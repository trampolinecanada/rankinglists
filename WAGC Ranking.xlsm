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GymCan Excel Sheets/Ranking Lists/WAGC/"/>
    </mc:Choice>
  </mc:AlternateContent>
  <xr:revisionPtr revIDLastSave="0" documentId="13_ncr:1_{3CD1659E-5936-AF40-9F04-D4F54A946326}" xr6:coauthVersionLast="43" xr6:coauthVersionMax="43" xr10:uidLastSave="{00000000-0000-0000-0000-000000000000}"/>
  <bookViews>
    <workbookView xWindow="0" yWindow="460" windowWidth="33600" windowHeight="20540" xr2:uid="{00000000-000D-0000-FFFF-FFFF00000000}"/>
  </bookViews>
  <sheets>
    <sheet name="Info" sheetId="2" r:id="rId1"/>
    <sheet name="Qualifying Scores" sheetId="10" r:id="rId2"/>
    <sheet name="TRA-M" sheetId="3" r:id="rId3"/>
    <sheet name="TRA-W" sheetId="1" r:id="rId4"/>
    <sheet name="SYN-M" sheetId="5" r:id="rId5"/>
    <sheet name="SYN-W" sheetId="4" r:id="rId6"/>
    <sheet name="DMT-M" sheetId="6" r:id="rId7"/>
    <sheet name="DMT-W" sheetId="7" r:id="rId8"/>
    <sheet name="TUM-M" sheetId="8" r:id="rId9"/>
    <sheet name="TUM-W" sheetId="9" r:id="rId10"/>
  </sheets>
  <definedNames>
    <definedName name="_xlnm._FilterDatabase" localSheetId="6" hidden="1">'DMT-M'!$B$1:$W$2</definedName>
    <definedName name="_xlnm._FilterDatabase" localSheetId="7" hidden="1">'DMT-W'!$B$1:$W$2</definedName>
    <definedName name="_xlnm._FilterDatabase" localSheetId="4" hidden="1">'SYN-M'!$B$1:$W$2</definedName>
    <definedName name="_xlnm._FilterDatabase" localSheetId="5" hidden="1">'SYN-W'!$B$1:$W$2</definedName>
    <definedName name="_xlnm._FilterDatabase" localSheetId="2" hidden="1">'TRA-M'!$B$1:$AC$2</definedName>
    <definedName name="_xlnm._FilterDatabase" localSheetId="3" hidden="1">'TRA-W'!$B$1:$AC$2</definedName>
    <definedName name="_xlnm._FilterDatabase" localSheetId="8" hidden="1">'TUM-M'!$A$1:$AE$2</definedName>
    <definedName name="_xlnm._FilterDatabase" localSheetId="9" hidden="1">'TUM-W'!$A$1:$W$2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0" i="4" l="1"/>
  <c r="I10" i="4" s="1"/>
  <c r="N10" i="4"/>
  <c r="F8" i="4"/>
  <c r="J8" i="4" s="1"/>
  <c r="N8" i="4"/>
  <c r="O8" i="4" s="1"/>
  <c r="F6" i="4"/>
  <c r="I6" i="4" s="1"/>
  <c r="N6" i="4"/>
  <c r="F3" i="4"/>
  <c r="I3" i="4" s="1"/>
  <c r="N3" i="4"/>
  <c r="F10" i="5"/>
  <c r="I10" i="5" s="1"/>
  <c r="N10" i="5"/>
  <c r="F9" i="5"/>
  <c r="I9" i="5" s="1"/>
  <c r="N9" i="5"/>
  <c r="F7" i="5"/>
  <c r="I7" i="5" s="1"/>
  <c r="N7" i="5"/>
  <c r="K10" i="4" l="1"/>
  <c r="J10" i="4"/>
  <c r="O10" i="4"/>
  <c r="H10" i="4" s="1"/>
  <c r="K8" i="4"/>
  <c r="I8" i="4"/>
  <c r="H8" i="4"/>
  <c r="K6" i="4"/>
  <c r="O6" i="4"/>
  <c r="H6" i="4" s="1"/>
  <c r="J6" i="4"/>
  <c r="O3" i="4"/>
  <c r="H3" i="4" s="1"/>
  <c r="J3" i="4"/>
  <c r="K3" i="4"/>
  <c r="O10" i="5"/>
  <c r="H10" i="5" s="1"/>
  <c r="K10" i="5"/>
  <c r="J10" i="5"/>
  <c r="K9" i="5"/>
  <c r="J9" i="5"/>
  <c r="O9" i="5"/>
  <c r="H9" i="5" s="1"/>
  <c r="O7" i="5"/>
  <c r="H7" i="5" s="1"/>
  <c r="J7" i="5"/>
  <c r="K7" i="5"/>
  <c r="F14" i="5" l="1"/>
  <c r="J14" i="5" s="1"/>
  <c r="N14" i="5"/>
  <c r="O14" i="5" s="1"/>
  <c r="F13" i="5"/>
  <c r="J13" i="5" s="1"/>
  <c r="N13" i="5"/>
  <c r="F8" i="8"/>
  <c r="J8" i="8" s="1"/>
  <c r="N8" i="8"/>
  <c r="O8" i="8" s="1"/>
  <c r="F6" i="8"/>
  <c r="J6" i="8" s="1"/>
  <c r="N6" i="8"/>
  <c r="F4" i="8"/>
  <c r="J4" i="8" s="1"/>
  <c r="N4" i="8"/>
  <c r="O4" i="8" s="1"/>
  <c r="F11" i="8"/>
  <c r="J11" i="8" s="1"/>
  <c r="N11" i="8"/>
  <c r="O11" i="8" s="1"/>
  <c r="F23" i="9"/>
  <c r="J23" i="9" s="1"/>
  <c r="N23" i="9"/>
  <c r="F45" i="7"/>
  <c r="J45" i="7" s="1"/>
  <c r="N45" i="7"/>
  <c r="O45" i="7" s="1"/>
  <c r="F44" i="6"/>
  <c r="J44" i="6" s="1"/>
  <c r="N44" i="6"/>
  <c r="F43" i="6"/>
  <c r="J43" i="6" s="1"/>
  <c r="N43" i="6"/>
  <c r="O43" i="6" s="1"/>
  <c r="F35" i="6"/>
  <c r="J35" i="6" s="1"/>
  <c r="N35" i="6"/>
  <c r="O35" i="6" s="1"/>
  <c r="F33" i="6"/>
  <c r="J33" i="6" s="1"/>
  <c r="N33" i="6"/>
  <c r="O33" i="6" s="1"/>
  <c r="F32" i="6"/>
  <c r="J32" i="6" s="1"/>
  <c r="N32" i="6"/>
  <c r="F36" i="6"/>
  <c r="J36" i="6" s="1"/>
  <c r="N36" i="6"/>
  <c r="F9" i="6"/>
  <c r="J9" i="6" s="1"/>
  <c r="N9" i="6"/>
  <c r="F25" i="7"/>
  <c r="J25" i="7" s="1"/>
  <c r="N25" i="7"/>
  <c r="O25" i="7" s="1"/>
  <c r="F46" i="7"/>
  <c r="J46" i="7" s="1"/>
  <c r="N46" i="7"/>
  <c r="F44" i="7"/>
  <c r="J44" i="7" s="1"/>
  <c r="N44" i="7"/>
  <c r="F39" i="7"/>
  <c r="J39" i="7" s="1"/>
  <c r="N39" i="7"/>
  <c r="O39" i="7" s="1"/>
  <c r="F38" i="7"/>
  <c r="J38" i="7" s="1"/>
  <c r="N38" i="7"/>
  <c r="O38" i="7" s="1"/>
  <c r="F34" i="7"/>
  <c r="J34" i="7" s="1"/>
  <c r="N34" i="7"/>
  <c r="O34" i="7" s="1"/>
  <c r="F12" i="6"/>
  <c r="J12" i="6" s="1"/>
  <c r="N12" i="6"/>
  <c r="I44" i="6" l="1"/>
  <c r="I23" i="9"/>
  <c r="K6" i="8"/>
  <c r="A6" i="8" s="1"/>
  <c r="K13" i="5"/>
  <c r="I6" i="8"/>
  <c r="I13" i="5"/>
  <c r="I8" i="8"/>
  <c r="I14" i="5"/>
  <c r="H14" i="5"/>
  <c r="K14" i="5"/>
  <c r="A14" i="5" s="1"/>
  <c r="O13" i="5"/>
  <c r="H13" i="5" s="1"/>
  <c r="H8" i="8"/>
  <c r="K8" i="8"/>
  <c r="A8" i="8" s="1"/>
  <c r="I4" i="8"/>
  <c r="O6" i="8"/>
  <c r="H6" i="8" s="1"/>
  <c r="H4" i="8"/>
  <c r="K4" i="8"/>
  <c r="A4" i="8" s="1"/>
  <c r="H11" i="8"/>
  <c r="I11" i="8"/>
  <c r="K11" i="8"/>
  <c r="A11" i="8" s="1"/>
  <c r="O23" i="9"/>
  <c r="H23" i="9" s="1"/>
  <c r="K23" i="9"/>
  <c r="A23" i="9" s="1"/>
  <c r="I45" i="7"/>
  <c r="H45" i="7"/>
  <c r="K45" i="7"/>
  <c r="K44" i="7"/>
  <c r="K46" i="7"/>
  <c r="I39" i="7"/>
  <c r="I44" i="7"/>
  <c r="I46" i="7"/>
  <c r="I25" i="7"/>
  <c r="I43" i="6"/>
  <c r="O44" i="6"/>
  <c r="H44" i="6" s="1"/>
  <c r="K44" i="6"/>
  <c r="I32" i="6"/>
  <c r="I33" i="6"/>
  <c r="H43" i="6"/>
  <c r="K43" i="6"/>
  <c r="K36" i="6"/>
  <c r="K32" i="6"/>
  <c r="K9" i="6"/>
  <c r="I36" i="6"/>
  <c r="I35" i="6"/>
  <c r="H35" i="6"/>
  <c r="K35" i="6"/>
  <c r="H33" i="6"/>
  <c r="K33" i="6"/>
  <c r="I9" i="6"/>
  <c r="O32" i="6"/>
  <c r="H32" i="6" s="1"/>
  <c r="O36" i="6"/>
  <c r="H36" i="6" s="1"/>
  <c r="I12" i="6"/>
  <c r="O9" i="6"/>
  <c r="H9" i="6" s="1"/>
  <c r="H25" i="7"/>
  <c r="K25" i="7"/>
  <c r="I38" i="7"/>
  <c r="O46" i="7"/>
  <c r="H46" i="7" s="1"/>
  <c r="O44" i="7"/>
  <c r="H44" i="7" s="1"/>
  <c r="H39" i="7"/>
  <c r="K39" i="7"/>
  <c r="H38" i="7"/>
  <c r="K38" i="7"/>
  <c r="K34" i="7"/>
  <c r="I34" i="7"/>
  <c r="H34" i="7"/>
  <c r="O12" i="6"/>
  <c r="H12" i="6" s="1"/>
  <c r="K12" i="6"/>
  <c r="F3" i="7"/>
  <c r="I3" i="7" s="1"/>
  <c r="N3" i="7"/>
  <c r="O3" i="7" s="1"/>
  <c r="F9" i="7"/>
  <c r="K9" i="7" s="1"/>
  <c r="N9" i="7"/>
  <c r="F10" i="7"/>
  <c r="I10" i="7" s="1"/>
  <c r="N10" i="7"/>
  <c r="O10" i="7" s="1"/>
  <c r="F28" i="7"/>
  <c r="N28" i="7"/>
  <c r="F13" i="7"/>
  <c r="I13" i="7" s="1"/>
  <c r="N13" i="7"/>
  <c r="O13" i="7" s="1"/>
  <c r="F41" i="3"/>
  <c r="J41" i="3" s="1"/>
  <c r="T41" i="3"/>
  <c r="AA41" i="3"/>
  <c r="F4" i="3"/>
  <c r="J4" i="3" s="1"/>
  <c r="T4" i="3"/>
  <c r="AA4" i="3"/>
  <c r="F6" i="3"/>
  <c r="J6" i="3" s="1"/>
  <c r="T6" i="3"/>
  <c r="AA6" i="3"/>
  <c r="F5" i="3"/>
  <c r="J5" i="3" s="1"/>
  <c r="T5" i="3"/>
  <c r="AA5" i="3"/>
  <c r="F31" i="3"/>
  <c r="T31" i="3"/>
  <c r="AA31" i="3"/>
  <c r="F13" i="3"/>
  <c r="J13" i="3" s="1"/>
  <c r="T13" i="3"/>
  <c r="AA13" i="3"/>
  <c r="F48" i="3"/>
  <c r="J48" i="3" s="1"/>
  <c r="T48" i="3"/>
  <c r="AA48" i="3"/>
  <c r="F47" i="3"/>
  <c r="J47" i="3" s="1"/>
  <c r="T47" i="3"/>
  <c r="AA47" i="3"/>
  <c r="F46" i="3"/>
  <c r="J46" i="3" s="1"/>
  <c r="T46" i="3"/>
  <c r="AA46" i="3"/>
  <c r="F30" i="3"/>
  <c r="J30" i="3" s="1"/>
  <c r="T30" i="3"/>
  <c r="AA30" i="3"/>
  <c r="F26" i="1"/>
  <c r="J26" i="1" s="1"/>
  <c r="T26" i="1"/>
  <c r="AA26" i="1"/>
  <c r="F50" i="1"/>
  <c r="J50" i="1" s="1"/>
  <c r="T50" i="1"/>
  <c r="AA50" i="1"/>
  <c r="F49" i="1"/>
  <c r="J49" i="1" s="1"/>
  <c r="T49" i="1"/>
  <c r="AA49" i="1"/>
  <c r="F36" i="1"/>
  <c r="J36" i="1" s="1"/>
  <c r="T36" i="1"/>
  <c r="AA36" i="1"/>
  <c r="F38" i="1"/>
  <c r="J38" i="1" s="1"/>
  <c r="T38" i="1"/>
  <c r="AA38" i="1"/>
  <c r="F45" i="1"/>
  <c r="J45" i="1" s="1"/>
  <c r="T45" i="1"/>
  <c r="AA45" i="1"/>
  <c r="F44" i="1"/>
  <c r="J44" i="1" s="1"/>
  <c r="T44" i="1"/>
  <c r="AA44" i="1"/>
  <c r="F34" i="1"/>
  <c r="J34" i="1" s="1"/>
  <c r="T34" i="1"/>
  <c r="AA34" i="1"/>
  <c r="F5" i="1"/>
  <c r="J5" i="1" s="1"/>
  <c r="T5" i="1"/>
  <c r="AA5" i="1"/>
  <c r="F51" i="1"/>
  <c r="J51" i="1" s="1"/>
  <c r="T51" i="1"/>
  <c r="AA51" i="1"/>
  <c r="F4" i="1"/>
  <c r="J4" i="1" s="1"/>
  <c r="T4" i="1"/>
  <c r="AA4" i="1"/>
  <c r="F18" i="1"/>
  <c r="J18" i="1" s="1"/>
  <c r="T18" i="1"/>
  <c r="AA18" i="1"/>
  <c r="F15" i="1"/>
  <c r="J15" i="1" s="1"/>
  <c r="T15" i="1"/>
  <c r="AA15" i="1"/>
  <c r="F40" i="1"/>
  <c r="J40" i="1" s="1"/>
  <c r="T40" i="1"/>
  <c r="AA40" i="1"/>
  <c r="F13" i="1"/>
  <c r="J13" i="1" s="1"/>
  <c r="T13" i="1"/>
  <c r="AA13" i="1"/>
  <c r="K3" i="7" l="1"/>
  <c r="J3" i="7"/>
  <c r="N47" i="3"/>
  <c r="O47" i="3" s="1"/>
  <c r="N31" i="3"/>
  <c r="O31" i="3" s="1"/>
  <c r="H31" i="3" s="1"/>
  <c r="H3" i="7"/>
  <c r="O9" i="7"/>
  <c r="H9" i="7" s="1"/>
  <c r="J9" i="7"/>
  <c r="I9" i="7"/>
  <c r="K10" i="7"/>
  <c r="J10" i="7"/>
  <c r="H10" i="7"/>
  <c r="O28" i="7"/>
  <c r="H28" i="7" s="1"/>
  <c r="K28" i="7"/>
  <c r="J28" i="7"/>
  <c r="I28" i="7"/>
  <c r="J13" i="7"/>
  <c r="K13" i="7"/>
  <c r="H13" i="7"/>
  <c r="I41" i="3"/>
  <c r="N41" i="3"/>
  <c r="O41" i="3" s="1"/>
  <c r="H41" i="3" s="1"/>
  <c r="K41" i="3"/>
  <c r="I4" i="3"/>
  <c r="K4" i="3"/>
  <c r="N4" i="3"/>
  <c r="I6" i="3"/>
  <c r="N6" i="3"/>
  <c r="O6" i="3" s="1"/>
  <c r="H6" i="3" s="1"/>
  <c r="K6" i="3"/>
  <c r="K5" i="3"/>
  <c r="N5" i="3"/>
  <c r="I5" i="3"/>
  <c r="I31" i="3"/>
  <c r="K31" i="3"/>
  <c r="J31" i="3"/>
  <c r="I13" i="3"/>
  <c r="K13" i="3"/>
  <c r="N13" i="3"/>
  <c r="K48" i="3"/>
  <c r="N48" i="3"/>
  <c r="O48" i="3" s="1"/>
  <c r="H48" i="3" s="1"/>
  <c r="I48" i="3"/>
  <c r="K47" i="3"/>
  <c r="I47" i="3"/>
  <c r="I46" i="3"/>
  <c r="K46" i="3"/>
  <c r="N46" i="3"/>
  <c r="O46" i="3" s="1"/>
  <c r="I30" i="3"/>
  <c r="K30" i="3"/>
  <c r="N30" i="3"/>
  <c r="O30" i="3" s="1"/>
  <c r="I26" i="1"/>
  <c r="N26" i="1"/>
  <c r="K26" i="1"/>
  <c r="I50" i="1"/>
  <c r="N50" i="1"/>
  <c r="K50" i="1"/>
  <c r="I49" i="1"/>
  <c r="K49" i="1"/>
  <c r="N49" i="1"/>
  <c r="I36" i="1"/>
  <c r="N36" i="1"/>
  <c r="K36" i="1"/>
  <c r="I38" i="1"/>
  <c r="K38" i="1"/>
  <c r="N38" i="1"/>
  <c r="I45" i="1"/>
  <c r="N45" i="1"/>
  <c r="K45" i="1"/>
  <c r="I44" i="1"/>
  <c r="K44" i="1"/>
  <c r="N44" i="1"/>
  <c r="I34" i="1"/>
  <c r="N34" i="1"/>
  <c r="O34" i="1" s="1"/>
  <c r="H34" i="1" s="1"/>
  <c r="K34" i="1"/>
  <c r="I5" i="1"/>
  <c r="N5" i="1"/>
  <c r="K5" i="1"/>
  <c r="I51" i="1"/>
  <c r="N51" i="1"/>
  <c r="K51" i="1"/>
  <c r="I4" i="1"/>
  <c r="N4" i="1"/>
  <c r="K4" i="1"/>
  <c r="I18" i="1"/>
  <c r="K18" i="1"/>
  <c r="N18" i="1"/>
  <c r="I15" i="1"/>
  <c r="N15" i="1"/>
  <c r="O15" i="1" s="1"/>
  <c r="K15" i="1"/>
  <c r="I40" i="1"/>
  <c r="K40" i="1"/>
  <c r="N40" i="1"/>
  <c r="I13" i="1"/>
  <c r="N13" i="1"/>
  <c r="K13" i="1"/>
  <c r="H47" i="3" l="1"/>
  <c r="O4" i="3"/>
  <c r="H4" i="3" s="1"/>
  <c r="O5" i="3"/>
  <c r="H5" i="3" s="1"/>
  <c r="O13" i="3"/>
  <c r="H13" i="3" s="1"/>
  <c r="H46" i="3"/>
  <c r="H30" i="3"/>
  <c r="H15" i="1"/>
  <c r="O26" i="1"/>
  <c r="H26" i="1" s="1"/>
  <c r="O50" i="1"/>
  <c r="H50" i="1" s="1"/>
  <c r="O49" i="1"/>
  <c r="H49" i="1" s="1"/>
  <c r="O36" i="1"/>
  <c r="H36" i="1" s="1"/>
  <c r="O38" i="1"/>
  <c r="H38" i="1" s="1"/>
  <c r="O45" i="1"/>
  <c r="H45" i="1" s="1"/>
  <c r="O44" i="1"/>
  <c r="H44" i="1" s="1"/>
  <c r="O5" i="1"/>
  <c r="H5" i="1" s="1"/>
  <c r="O51" i="1"/>
  <c r="H51" i="1" s="1"/>
  <c r="O4" i="1"/>
  <c r="H4" i="1" s="1"/>
  <c r="O18" i="1"/>
  <c r="H18" i="1" s="1"/>
  <c r="O40" i="1"/>
  <c r="H40" i="1" s="1"/>
  <c r="O13" i="1"/>
  <c r="H13" i="1" s="1"/>
  <c r="F5" i="8" l="1"/>
  <c r="N5" i="8"/>
  <c r="O5" i="8" s="1"/>
  <c r="F12" i="8"/>
  <c r="N12" i="8"/>
  <c r="O12" i="8" s="1"/>
  <c r="F3" i="8"/>
  <c r="N3" i="8"/>
  <c r="O3" i="8" s="1"/>
  <c r="F19" i="9"/>
  <c r="N19" i="9"/>
  <c r="O19" i="9" s="1"/>
  <c r="F10" i="9"/>
  <c r="N10" i="9"/>
  <c r="O10" i="9" s="1"/>
  <c r="F15" i="9"/>
  <c r="N15" i="9"/>
  <c r="O15" i="9" s="1"/>
  <c r="F14" i="9"/>
  <c r="N14" i="9"/>
  <c r="O14" i="9" s="1"/>
  <c r="F17" i="9"/>
  <c r="N17" i="9"/>
  <c r="O17" i="9" s="1"/>
  <c r="H17" i="9" s="1"/>
  <c r="K15" i="9" l="1"/>
  <c r="I15" i="9"/>
  <c r="J15" i="9"/>
  <c r="K17" i="9"/>
  <c r="A17" i="9" s="1"/>
  <c r="J17" i="9"/>
  <c r="I17" i="9"/>
  <c r="K19" i="9"/>
  <c r="A19" i="9" s="1"/>
  <c r="J19" i="9"/>
  <c r="I19" i="9"/>
  <c r="K10" i="9"/>
  <c r="A10" i="9" s="1"/>
  <c r="I10" i="9"/>
  <c r="J10" i="9"/>
  <c r="K14" i="9"/>
  <c r="A14" i="9" s="1"/>
  <c r="I14" i="9"/>
  <c r="J14" i="9"/>
  <c r="K12" i="8"/>
  <c r="A12" i="8" s="1"/>
  <c r="I12" i="8"/>
  <c r="J12" i="8"/>
  <c r="K3" i="8"/>
  <c r="J3" i="8"/>
  <c r="I3" i="8"/>
  <c r="K5" i="8"/>
  <c r="A5" i="8" s="1"/>
  <c r="J5" i="8"/>
  <c r="I5" i="8"/>
  <c r="H5" i="8"/>
  <c r="H12" i="8"/>
  <c r="H3" i="8"/>
  <c r="H19" i="9"/>
  <c r="H10" i="9"/>
  <c r="H15" i="9"/>
  <c r="H14" i="9"/>
  <c r="F4" i="9" l="1"/>
  <c r="N4" i="9"/>
  <c r="O4" i="9" s="1"/>
  <c r="F42" i="3"/>
  <c r="J42" i="3" s="1"/>
  <c r="T42" i="3"/>
  <c r="AA42" i="3"/>
  <c r="F19" i="3"/>
  <c r="J19" i="3" s="1"/>
  <c r="T19" i="3"/>
  <c r="AA19" i="3"/>
  <c r="F37" i="3"/>
  <c r="J37" i="3" s="1"/>
  <c r="T37" i="3"/>
  <c r="AA37" i="3"/>
  <c r="F10" i="3"/>
  <c r="J10" i="3" s="1"/>
  <c r="T10" i="3"/>
  <c r="AA10" i="3"/>
  <c r="F3" i="3"/>
  <c r="J3" i="3" s="1"/>
  <c r="T3" i="3"/>
  <c r="AA3" i="3"/>
  <c r="F23" i="3"/>
  <c r="J23" i="3" s="1"/>
  <c r="T23" i="3"/>
  <c r="AA23" i="3"/>
  <c r="F26" i="3"/>
  <c r="J26" i="3" s="1"/>
  <c r="T26" i="3"/>
  <c r="AA26" i="3"/>
  <c r="F11" i="3"/>
  <c r="J11" i="3" s="1"/>
  <c r="T11" i="3"/>
  <c r="AA11" i="3"/>
  <c r="F8" i="3"/>
  <c r="T8" i="3"/>
  <c r="AA8" i="3"/>
  <c r="F20" i="1"/>
  <c r="J20" i="1" s="1"/>
  <c r="T20" i="1"/>
  <c r="AA20" i="1"/>
  <c r="F41" i="1"/>
  <c r="J41" i="1" s="1"/>
  <c r="T41" i="1"/>
  <c r="AA41" i="1"/>
  <c r="F39" i="1"/>
  <c r="J39" i="1" s="1"/>
  <c r="T39" i="1"/>
  <c r="AA39" i="1"/>
  <c r="F16" i="1"/>
  <c r="J16" i="1" s="1"/>
  <c r="T16" i="1"/>
  <c r="AA16" i="1"/>
  <c r="F17" i="1"/>
  <c r="J17" i="1" s="1"/>
  <c r="T17" i="1"/>
  <c r="AA17" i="1"/>
  <c r="F35" i="1"/>
  <c r="J35" i="1" s="1"/>
  <c r="T35" i="1"/>
  <c r="AA35" i="1"/>
  <c r="F9" i="1"/>
  <c r="J9" i="1" s="1"/>
  <c r="T9" i="1"/>
  <c r="AA9" i="1"/>
  <c r="F12" i="1"/>
  <c r="J12" i="1" s="1"/>
  <c r="T12" i="1"/>
  <c r="AA12" i="1"/>
  <c r="F11" i="1"/>
  <c r="J11" i="1" s="1"/>
  <c r="T11" i="1"/>
  <c r="AA11" i="1"/>
  <c r="F14" i="1"/>
  <c r="J14" i="1" s="1"/>
  <c r="T14" i="1"/>
  <c r="AA14" i="1"/>
  <c r="F3" i="1"/>
  <c r="J3" i="1" s="1"/>
  <c r="T3" i="1"/>
  <c r="AA3" i="1"/>
  <c r="F8" i="1"/>
  <c r="J8" i="1" s="1"/>
  <c r="T8" i="1"/>
  <c r="AA8" i="1"/>
  <c r="F7" i="1"/>
  <c r="J7" i="1" s="1"/>
  <c r="T7" i="1"/>
  <c r="AA7" i="1"/>
  <c r="F22" i="1"/>
  <c r="J22" i="1" s="1"/>
  <c r="T22" i="1"/>
  <c r="AA22" i="1"/>
  <c r="F25" i="1"/>
  <c r="J25" i="1" s="1"/>
  <c r="T25" i="1"/>
  <c r="AA25" i="1"/>
  <c r="F6" i="5"/>
  <c r="N6" i="5"/>
  <c r="O6" i="5" s="1"/>
  <c r="F4" i="5"/>
  <c r="N4" i="5"/>
  <c r="O4" i="5" s="1"/>
  <c r="F8" i="5"/>
  <c r="N8" i="5"/>
  <c r="O8" i="5" s="1"/>
  <c r="F3" i="5"/>
  <c r="N3" i="5"/>
  <c r="O3" i="5" s="1"/>
  <c r="F5" i="5"/>
  <c r="N5" i="5"/>
  <c r="O5" i="5" s="1"/>
  <c r="F5" i="4"/>
  <c r="N5" i="4"/>
  <c r="O5" i="4" s="1"/>
  <c r="F13" i="4"/>
  <c r="N13" i="4"/>
  <c r="O13" i="4" s="1"/>
  <c r="F7" i="4"/>
  <c r="N7" i="4"/>
  <c r="O7" i="4" s="1"/>
  <c r="F4" i="4"/>
  <c r="N4" i="4"/>
  <c r="O4" i="4" s="1"/>
  <c r="F12" i="4"/>
  <c r="N12" i="4"/>
  <c r="O12" i="4" s="1"/>
  <c r="F39" i="6"/>
  <c r="N39" i="6"/>
  <c r="O39" i="6" s="1"/>
  <c r="F24" i="6"/>
  <c r="N24" i="6"/>
  <c r="O24" i="6" s="1"/>
  <c r="F27" i="6"/>
  <c r="N27" i="6"/>
  <c r="O27" i="6" s="1"/>
  <c r="F3" i="6"/>
  <c r="N3" i="6"/>
  <c r="O3" i="6" s="1"/>
  <c r="F11" i="6"/>
  <c r="N11" i="6"/>
  <c r="O11" i="6" s="1"/>
  <c r="F38" i="6"/>
  <c r="N38" i="6"/>
  <c r="O38" i="6" s="1"/>
  <c r="F37" i="6"/>
  <c r="N37" i="6"/>
  <c r="O37" i="6" s="1"/>
  <c r="F34" i="6"/>
  <c r="N34" i="6"/>
  <c r="O34" i="6" s="1"/>
  <c r="F26" i="6"/>
  <c r="N26" i="6"/>
  <c r="O26" i="6" s="1"/>
  <c r="I3" i="1" l="1"/>
  <c r="I9" i="1"/>
  <c r="J26" i="6"/>
  <c r="I26" i="6"/>
  <c r="K26" i="6"/>
  <c r="I39" i="6"/>
  <c r="J39" i="6"/>
  <c r="K39" i="6"/>
  <c r="K11" i="6"/>
  <c r="J11" i="6"/>
  <c r="I11" i="6"/>
  <c r="J27" i="6"/>
  <c r="K27" i="6"/>
  <c r="I27" i="6"/>
  <c r="I3" i="6"/>
  <c r="J3" i="6"/>
  <c r="K3" i="6"/>
  <c r="K34" i="6"/>
  <c r="I34" i="6"/>
  <c r="J34" i="6"/>
  <c r="I37" i="6"/>
  <c r="K37" i="6"/>
  <c r="J37" i="6"/>
  <c r="I38" i="6"/>
  <c r="J38" i="6"/>
  <c r="K38" i="6"/>
  <c r="I24" i="6"/>
  <c r="K24" i="6"/>
  <c r="J24" i="6"/>
  <c r="J8" i="3"/>
  <c r="K4" i="9"/>
  <c r="I4" i="9"/>
  <c r="J4" i="9"/>
  <c r="I5" i="4"/>
  <c r="J5" i="4"/>
  <c r="J4" i="4"/>
  <c r="I4" i="4"/>
  <c r="J12" i="4"/>
  <c r="I12" i="4"/>
  <c r="I13" i="4"/>
  <c r="J13" i="4"/>
  <c r="I7" i="4"/>
  <c r="J7" i="4"/>
  <c r="K5" i="5"/>
  <c r="I5" i="5"/>
  <c r="J5" i="5"/>
  <c r="I4" i="5"/>
  <c r="J4" i="5"/>
  <c r="K8" i="5"/>
  <c r="I8" i="5"/>
  <c r="J8" i="5"/>
  <c r="J3" i="5"/>
  <c r="I3" i="5"/>
  <c r="I6" i="5"/>
  <c r="J6" i="5"/>
  <c r="I22" i="1"/>
  <c r="I8" i="1"/>
  <c r="I14" i="1"/>
  <c r="I12" i="1"/>
  <c r="I35" i="1"/>
  <c r="I16" i="1"/>
  <c r="I41" i="1"/>
  <c r="I7" i="1"/>
  <c r="I11" i="1"/>
  <c r="I17" i="1"/>
  <c r="I39" i="1"/>
  <c r="I20" i="1"/>
  <c r="I25" i="1"/>
  <c r="I42" i="3"/>
  <c r="I26" i="3"/>
  <c r="I37" i="3"/>
  <c r="I11" i="3"/>
  <c r="I23" i="3"/>
  <c r="I10" i="3"/>
  <c r="I19" i="3"/>
  <c r="I8" i="3"/>
  <c r="I3" i="3"/>
  <c r="H4" i="9"/>
  <c r="K37" i="3"/>
  <c r="K19" i="3"/>
  <c r="K42" i="3"/>
  <c r="N42" i="3"/>
  <c r="O42" i="3" s="1"/>
  <c r="N19" i="3"/>
  <c r="O19" i="3" s="1"/>
  <c r="N37" i="3"/>
  <c r="O37" i="3" s="1"/>
  <c r="K10" i="3"/>
  <c r="N10" i="3"/>
  <c r="O10" i="3" s="1"/>
  <c r="N3" i="3"/>
  <c r="O3" i="3" s="1"/>
  <c r="K3" i="3"/>
  <c r="K23" i="3"/>
  <c r="N23" i="3"/>
  <c r="O23" i="3" s="1"/>
  <c r="H23" i="3" s="1"/>
  <c r="N26" i="3"/>
  <c r="K26" i="3"/>
  <c r="N11" i="3"/>
  <c r="O11" i="3" s="1"/>
  <c r="K11" i="3"/>
  <c r="N8" i="3"/>
  <c r="O8" i="3" s="1"/>
  <c r="K8" i="3"/>
  <c r="N20" i="1"/>
  <c r="O20" i="1" s="1"/>
  <c r="K20" i="1"/>
  <c r="N41" i="1"/>
  <c r="O41" i="1" s="1"/>
  <c r="K41" i="1"/>
  <c r="N39" i="1"/>
  <c r="O39" i="1" s="1"/>
  <c r="K39" i="1"/>
  <c r="K16" i="1"/>
  <c r="N16" i="1"/>
  <c r="O16" i="1" s="1"/>
  <c r="K11" i="1"/>
  <c r="K17" i="1"/>
  <c r="N17" i="1"/>
  <c r="O17" i="1" s="1"/>
  <c r="N35" i="1"/>
  <c r="O35" i="1" s="1"/>
  <c r="K35" i="1"/>
  <c r="K9" i="1"/>
  <c r="N9" i="1"/>
  <c r="O9" i="1" s="1"/>
  <c r="H9" i="1" s="1"/>
  <c r="K12" i="1"/>
  <c r="N12" i="1"/>
  <c r="O12" i="1" s="1"/>
  <c r="N11" i="1"/>
  <c r="O11" i="1" s="1"/>
  <c r="K14" i="1"/>
  <c r="N14" i="1"/>
  <c r="O14" i="1" s="1"/>
  <c r="N3" i="1"/>
  <c r="O3" i="1" s="1"/>
  <c r="K3" i="1"/>
  <c r="N8" i="1"/>
  <c r="O8" i="1" s="1"/>
  <c r="H8" i="1" s="1"/>
  <c r="K8" i="1"/>
  <c r="K7" i="1"/>
  <c r="N7" i="1"/>
  <c r="O7" i="1" s="1"/>
  <c r="N22" i="1"/>
  <c r="O22" i="1" s="1"/>
  <c r="K22" i="1"/>
  <c r="K25" i="1"/>
  <c r="N25" i="1"/>
  <c r="K6" i="5"/>
  <c r="H6" i="5"/>
  <c r="K4" i="5"/>
  <c r="H4" i="5"/>
  <c r="H8" i="5"/>
  <c r="K3" i="5"/>
  <c r="H3" i="5"/>
  <c r="H5" i="5"/>
  <c r="K5" i="4"/>
  <c r="H5" i="4"/>
  <c r="K13" i="4"/>
  <c r="H13" i="4"/>
  <c r="K7" i="4"/>
  <c r="H7" i="4"/>
  <c r="K4" i="4"/>
  <c r="H4" i="4"/>
  <c r="K12" i="4"/>
  <c r="H12" i="4"/>
  <c r="H39" i="6"/>
  <c r="H24" i="6"/>
  <c r="H27" i="6"/>
  <c r="H3" i="6"/>
  <c r="H11" i="6"/>
  <c r="H38" i="6"/>
  <c r="H37" i="6"/>
  <c r="H34" i="6"/>
  <c r="H26" i="6"/>
  <c r="A12" i="4" l="1"/>
  <c r="A13" i="4"/>
  <c r="A4" i="5"/>
  <c r="A5" i="5"/>
  <c r="A3" i="5"/>
  <c r="H16" i="1"/>
  <c r="H19" i="3"/>
  <c r="H42" i="3"/>
  <c r="H37" i="3"/>
  <c r="H10" i="3"/>
  <c r="H3" i="3"/>
  <c r="O26" i="3"/>
  <c r="H26" i="3" s="1"/>
  <c r="H11" i="3"/>
  <c r="H8" i="3"/>
  <c r="H20" i="1"/>
  <c r="H41" i="1"/>
  <c r="H39" i="1"/>
  <c r="H22" i="1"/>
  <c r="H17" i="1"/>
  <c r="H35" i="1"/>
  <c r="H12" i="1"/>
  <c r="H11" i="1"/>
  <c r="H14" i="1"/>
  <c r="H3" i="1"/>
  <c r="H7" i="1"/>
  <c r="O25" i="1"/>
  <c r="H25" i="1" s="1"/>
  <c r="F31" i="6" l="1"/>
  <c r="N31" i="6"/>
  <c r="O31" i="6" s="1"/>
  <c r="F7" i="6"/>
  <c r="N7" i="6"/>
  <c r="O7" i="6" s="1"/>
  <c r="F18" i="6"/>
  <c r="N18" i="6"/>
  <c r="O18" i="6" s="1"/>
  <c r="Q8" i="6"/>
  <c r="S5" i="6"/>
  <c r="K7" i="6" l="1"/>
  <c r="I7" i="6"/>
  <c r="J7" i="6"/>
  <c r="I18" i="6"/>
  <c r="K18" i="6"/>
  <c r="J18" i="6"/>
  <c r="J31" i="6"/>
  <c r="K31" i="6"/>
  <c r="I31" i="6"/>
  <c r="H31" i="6"/>
  <c r="H7" i="6"/>
  <c r="H18" i="6"/>
  <c r="F36" i="7"/>
  <c r="N36" i="7"/>
  <c r="O36" i="7" s="1"/>
  <c r="J36" i="7" l="1"/>
  <c r="K36" i="7"/>
  <c r="I36" i="7"/>
  <c r="H36" i="7"/>
  <c r="F43" i="7"/>
  <c r="N43" i="7"/>
  <c r="O43" i="7" s="1"/>
  <c r="F27" i="7"/>
  <c r="N27" i="7"/>
  <c r="O27" i="7" s="1"/>
  <c r="H27" i="7" s="1"/>
  <c r="F35" i="7"/>
  <c r="N35" i="7"/>
  <c r="O35" i="7" s="1"/>
  <c r="F30" i="7"/>
  <c r="N30" i="7"/>
  <c r="O30" i="7" s="1"/>
  <c r="F15" i="7"/>
  <c r="N15" i="7"/>
  <c r="O15" i="7" s="1"/>
  <c r="F5" i="7"/>
  <c r="N5" i="7"/>
  <c r="O5" i="7" s="1"/>
  <c r="F11" i="7"/>
  <c r="N11" i="7"/>
  <c r="O11" i="7" s="1"/>
  <c r="F32" i="7"/>
  <c r="N32" i="7"/>
  <c r="O32" i="7" s="1"/>
  <c r="F16" i="7"/>
  <c r="N16" i="7"/>
  <c r="O16" i="7" s="1"/>
  <c r="F14" i="7"/>
  <c r="N14" i="7"/>
  <c r="O14" i="7" s="1"/>
  <c r="F41" i="7"/>
  <c r="N41" i="7"/>
  <c r="O41" i="7" s="1"/>
  <c r="F37" i="7"/>
  <c r="N37" i="7"/>
  <c r="O37" i="7" s="1"/>
  <c r="F24" i="7"/>
  <c r="N24" i="7"/>
  <c r="O24" i="7" s="1"/>
  <c r="S23" i="7"/>
  <c r="K14" i="7" l="1"/>
  <c r="J14" i="7"/>
  <c r="I14" i="7"/>
  <c r="K37" i="7"/>
  <c r="I37" i="7"/>
  <c r="J37" i="7"/>
  <c r="I15" i="7"/>
  <c r="J15" i="7"/>
  <c r="K15" i="7"/>
  <c r="J41" i="7"/>
  <c r="K41" i="7"/>
  <c r="I41" i="7"/>
  <c r="J32" i="7"/>
  <c r="I32" i="7"/>
  <c r="K32" i="7"/>
  <c r="K30" i="7"/>
  <c r="J30" i="7"/>
  <c r="I30" i="7"/>
  <c r="K43" i="7"/>
  <c r="J43" i="7"/>
  <c r="I43" i="7"/>
  <c r="K11" i="7"/>
  <c r="J11" i="7"/>
  <c r="I11" i="7"/>
  <c r="K35" i="7"/>
  <c r="I35" i="7"/>
  <c r="J35" i="7"/>
  <c r="K24" i="7"/>
  <c r="J24" i="7"/>
  <c r="I24" i="7"/>
  <c r="K16" i="7"/>
  <c r="J16" i="7"/>
  <c r="I16" i="7"/>
  <c r="K5" i="7"/>
  <c r="J5" i="7"/>
  <c r="I5" i="7"/>
  <c r="K27" i="7"/>
  <c r="J27" i="7"/>
  <c r="I27" i="7"/>
  <c r="H43" i="7"/>
  <c r="H35" i="7"/>
  <c r="H30" i="7"/>
  <c r="H15" i="7"/>
  <c r="H5" i="7"/>
  <c r="H11" i="7"/>
  <c r="H32" i="7"/>
  <c r="H16" i="7"/>
  <c r="H14" i="7"/>
  <c r="H41" i="7"/>
  <c r="H37" i="7"/>
  <c r="H24" i="7"/>
  <c r="N10" i="8"/>
  <c r="N9" i="8"/>
  <c r="N13" i="8"/>
  <c r="N17" i="7"/>
  <c r="N7" i="7"/>
  <c r="N8" i="7"/>
  <c r="N4" i="7"/>
  <c r="N18" i="7"/>
  <c r="N6" i="7"/>
  <c r="N21" i="7"/>
  <c r="N33" i="7"/>
  <c r="N29" i="7"/>
  <c r="N19" i="7"/>
  <c r="N22" i="7"/>
  <c r="N23" i="7"/>
  <c r="N20" i="7"/>
  <c r="N40" i="7"/>
  <c r="N42" i="7"/>
  <c r="N31" i="7"/>
  <c r="N26" i="7"/>
  <c r="N12" i="7"/>
  <c r="N5" i="6"/>
  <c r="N4" i="6"/>
  <c r="N8" i="6"/>
  <c r="N6" i="6"/>
  <c r="N28" i="6"/>
  <c r="N42" i="6"/>
  <c r="N23" i="6"/>
  <c r="N40" i="6"/>
  <c r="N16" i="6"/>
  <c r="N15" i="6"/>
  <c r="N19" i="6"/>
  <c r="N14" i="6"/>
  <c r="N41" i="6"/>
  <c r="N21" i="6"/>
  <c r="N20" i="6"/>
  <c r="N25" i="6"/>
  <c r="N29" i="6"/>
  <c r="N30" i="6"/>
  <c r="N13" i="6"/>
  <c r="N17" i="6"/>
  <c r="N22" i="6"/>
  <c r="N10" i="6"/>
  <c r="N12" i="5" l="1"/>
  <c r="O12" i="5" s="1"/>
  <c r="N11" i="5"/>
  <c r="O11" i="5" s="1"/>
  <c r="N9" i="4"/>
  <c r="O9" i="4" s="1"/>
  <c r="N11" i="4"/>
  <c r="O11" i="4" s="1"/>
  <c r="O17" i="7"/>
  <c r="O21" i="7"/>
  <c r="H21" i="7" s="1"/>
  <c r="O7" i="7"/>
  <c r="O33" i="7"/>
  <c r="H33" i="7" s="1"/>
  <c r="O8" i="7"/>
  <c r="H8" i="7" s="1"/>
  <c r="O4" i="7"/>
  <c r="O18" i="7"/>
  <c r="H18" i="7" s="1"/>
  <c r="O6" i="7"/>
  <c r="O19" i="7"/>
  <c r="H19" i="7" s="1"/>
  <c r="O22" i="7"/>
  <c r="H22" i="7" s="1"/>
  <c r="O23" i="7"/>
  <c r="H23" i="7" s="1"/>
  <c r="O20" i="7"/>
  <c r="H20" i="7" s="1"/>
  <c r="O40" i="7"/>
  <c r="H40" i="7" s="1"/>
  <c r="O31" i="7"/>
  <c r="H31" i="7" s="1"/>
  <c r="O26" i="7"/>
  <c r="H26" i="7" s="1"/>
  <c r="F17" i="7"/>
  <c r="F21" i="7"/>
  <c r="F7" i="7"/>
  <c r="F33" i="7"/>
  <c r="F8" i="7"/>
  <c r="F4" i="7"/>
  <c r="F18" i="7"/>
  <c r="F29" i="7"/>
  <c r="F6" i="7"/>
  <c r="F19" i="7"/>
  <c r="F22" i="7"/>
  <c r="F23" i="7"/>
  <c r="F20" i="7"/>
  <c r="F40" i="7"/>
  <c r="F42" i="7"/>
  <c r="F31" i="7"/>
  <c r="F26" i="7"/>
  <c r="O12" i="7"/>
  <c r="O5" i="6"/>
  <c r="O4" i="6"/>
  <c r="O8" i="6"/>
  <c r="O28" i="6"/>
  <c r="O42" i="6"/>
  <c r="O23" i="6"/>
  <c r="O6" i="6"/>
  <c r="O40" i="6"/>
  <c r="O16" i="6"/>
  <c r="O15" i="6"/>
  <c r="O19" i="6"/>
  <c r="O14" i="6"/>
  <c r="O41" i="6"/>
  <c r="O21" i="6"/>
  <c r="O20" i="6"/>
  <c r="H20" i="6" s="1"/>
  <c r="O25" i="6"/>
  <c r="O29" i="6"/>
  <c r="O30" i="6"/>
  <c r="O13" i="6"/>
  <c r="O17" i="6"/>
  <c r="O22" i="6"/>
  <c r="O10" i="6"/>
  <c r="J21" i="7" l="1"/>
  <c r="I21" i="7"/>
  <c r="K21" i="7"/>
  <c r="K26" i="7"/>
  <c r="J26" i="7"/>
  <c r="I26" i="7"/>
  <c r="J31" i="7"/>
  <c r="I31" i="7"/>
  <c r="K31" i="7"/>
  <c r="K18" i="7"/>
  <c r="J18" i="7"/>
  <c r="I18" i="7"/>
  <c r="J40" i="7"/>
  <c r="I40" i="7"/>
  <c r="K40" i="7"/>
  <c r="I4" i="7"/>
  <c r="J4" i="7"/>
  <c r="K4" i="7"/>
  <c r="I29" i="7"/>
  <c r="K29" i="7"/>
  <c r="J29" i="7"/>
  <c r="K42" i="7"/>
  <c r="J42" i="7"/>
  <c r="I42" i="7"/>
  <c r="I8" i="7"/>
  <c r="K8" i="7"/>
  <c r="J8" i="7"/>
  <c r="K19" i="7"/>
  <c r="I19" i="7"/>
  <c r="J19" i="7"/>
  <c r="K17" i="7"/>
  <c r="J17" i="7"/>
  <c r="I17" i="7"/>
  <c r="K23" i="7"/>
  <c r="J23" i="7"/>
  <c r="I23" i="7"/>
  <c r="I33" i="7"/>
  <c r="K33" i="7"/>
  <c r="J33" i="7"/>
  <c r="K6" i="7"/>
  <c r="J6" i="7"/>
  <c r="I6" i="7"/>
  <c r="K20" i="7"/>
  <c r="J20" i="7"/>
  <c r="I20" i="7"/>
  <c r="J22" i="7"/>
  <c r="I22" i="7"/>
  <c r="K22" i="7"/>
  <c r="K7" i="7"/>
  <c r="J7" i="7"/>
  <c r="I7" i="7"/>
  <c r="O29" i="7"/>
  <c r="H29" i="7" s="1"/>
  <c r="H12" i="7"/>
  <c r="H17" i="7"/>
  <c r="H6" i="7"/>
  <c r="O42" i="7"/>
  <c r="H42" i="7" s="1"/>
  <c r="H4" i="7"/>
  <c r="H7" i="7"/>
  <c r="O10" i="8"/>
  <c r="A30" i="7" l="1"/>
  <c r="A26" i="7"/>
  <c r="A34" i="7"/>
  <c r="A33" i="7"/>
  <c r="F5" i="6"/>
  <c r="F4" i="6"/>
  <c r="F8" i="6"/>
  <c r="F28" i="6"/>
  <c r="F42" i="6"/>
  <c r="F23" i="6"/>
  <c r="F6" i="6"/>
  <c r="F40" i="6"/>
  <c r="F15" i="6"/>
  <c r="F16" i="6"/>
  <c r="F19" i="6"/>
  <c r="F14" i="6"/>
  <c r="F41" i="6"/>
  <c r="F21" i="6"/>
  <c r="F20" i="6"/>
  <c r="F25" i="6"/>
  <c r="F29" i="6"/>
  <c r="F30" i="6"/>
  <c r="F13" i="6"/>
  <c r="F17" i="6"/>
  <c r="F22" i="6"/>
  <c r="F13" i="8"/>
  <c r="O13" i="8"/>
  <c r="F22" i="9"/>
  <c r="N22" i="9"/>
  <c r="O22" i="9" s="1"/>
  <c r="F16" i="9"/>
  <c r="N16" i="9"/>
  <c r="O16" i="9" s="1"/>
  <c r="F12" i="9"/>
  <c r="N12" i="9"/>
  <c r="O12" i="9" s="1"/>
  <c r="F13" i="9"/>
  <c r="F20" i="9"/>
  <c r="N20" i="9"/>
  <c r="O20" i="9" s="1"/>
  <c r="F21" i="9"/>
  <c r="N21" i="9"/>
  <c r="F18" i="9"/>
  <c r="N6" i="9"/>
  <c r="O6" i="9" s="1"/>
  <c r="F6" i="9"/>
  <c r="N3" i="9"/>
  <c r="O3" i="9" s="1"/>
  <c r="F3" i="9"/>
  <c r="N5" i="9"/>
  <c r="O5" i="9" s="1"/>
  <c r="F5" i="9"/>
  <c r="N9" i="9"/>
  <c r="O9" i="9" s="1"/>
  <c r="F9" i="9"/>
  <c r="N11" i="9"/>
  <c r="O11" i="9" s="1"/>
  <c r="F11" i="9"/>
  <c r="N7" i="9"/>
  <c r="O7" i="9" s="1"/>
  <c r="F7" i="9"/>
  <c r="F8" i="9"/>
  <c r="O9" i="8"/>
  <c r="F9" i="8"/>
  <c r="F7" i="8"/>
  <c r="F10" i="8"/>
  <c r="F12" i="7"/>
  <c r="A31" i="7" s="1"/>
  <c r="F10" i="6"/>
  <c r="F11" i="5"/>
  <c r="F12" i="5"/>
  <c r="F9" i="4"/>
  <c r="F11" i="4"/>
  <c r="AA24" i="3"/>
  <c r="AA34" i="3"/>
  <c r="AA9" i="3"/>
  <c r="AA28" i="3"/>
  <c r="AA12" i="3"/>
  <c r="AA35" i="3"/>
  <c r="AA17" i="3"/>
  <c r="AA15" i="3"/>
  <c r="AA16" i="3"/>
  <c r="AA18" i="3"/>
  <c r="AA29" i="3"/>
  <c r="AA25" i="3"/>
  <c r="AA22" i="3"/>
  <c r="AA27" i="3"/>
  <c r="AA21" i="3"/>
  <c r="AA39" i="3"/>
  <c r="AA43" i="3"/>
  <c r="AA33" i="3"/>
  <c r="AA36" i="3"/>
  <c r="AA44" i="3"/>
  <c r="AA40" i="3"/>
  <c r="AA32" i="3"/>
  <c r="AA7" i="3"/>
  <c r="AA45" i="3"/>
  <c r="AA38" i="3"/>
  <c r="AA20" i="3"/>
  <c r="AA14" i="3"/>
  <c r="T7" i="3"/>
  <c r="T45" i="3"/>
  <c r="T38" i="3"/>
  <c r="T20" i="3"/>
  <c r="T9" i="3"/>
  <c r="T28" i="3"/>
  <c r="T12" i="3"/>
  <c r="T35" i="3"/>
  <c r="T17" i="3"/>
  <c r="T15" i="3"/>
  <c r="T16" i="3"/>
  <c r="T18" i="3"/>
  <c r="T29" i="3"/>
  <c r="T25" i="3"/>
  <c r="T22" i="3"/>
  <c r="T27" i="3"/>
  <c r="T21" i="3"/>
  <c r="T39" i="3"/>
  <c r="T43" i="3"/>
  <c r="T33" i="3"/>
  <c r="T36" i="3"/>
  <c r="T44" i="3"/>
  <c r="T40" i="3"/>
  <c r="T32" i="3"/>
  <c r="T24" i="3"/>
  <c r="T34" i="3"/>
  <c r="T14" i="3"/>
  <c r="F43" i="3"/>
  <c r="J43" i="3" s="1"/>
  <c r="F33" i="3"/>
  <c r="J33" i="3" s="1"/>
  <c r="F36" i="3"/>
  <c r="J36" i="3" s="1"/>
  <c r="F44" i="3"/>
  <c r="J44" i="3" s="1"/>
  <c r="F40" i="3"/>
  <c r="J40" i="3" s="1"/>
  <c r="F32" i="3"/>
  <c r="J32" i="3" s="1"/>
  <c r="F24" i="3"/>
  <c r="J24" i="3" s="1"/>
  <c r="F34" i="3"/>
  <c r="J34" i="3" s="1"/>
  <c r="A44" i="7" l="1"/>
  <c r="A41" i="7"/>
  <c r="A40" i="7"/>
  <c r="A39" i="7"/>
  <c r="A32" i="7"/>
  <c r="A35" i="7"/>
  <c r="A21" i="7"/>
  <c r="A29" i="7"/>
  <c r="A14" i="7"/>
  <c r="K12" i="7"/>
  <c r="A6" i="7" s="1"/>
  <c r="J12" i="7"/>
  <c r="I12" i="7"/>
  <c r="J5" i="6"/>
  <c r="I5" i="6"/>
  <c r="K5" i="6"/>
  <c r="J30" i="6"/>
  <c r="K30" i="6"/>
  <c r="I30" i="6"/>
  <c r="J15" i="6"/>
  <c r="I15" i="6"/>
  <c r="K15" i="6"/>
  <c r="K25" i="6"/>
  <c r="J25" i="6"/>
  <c r="I25" i="6"/>
  <c r="K40" i="6"/>
  <c r="A37" i="6" s="1"/>
  <c r="J40" i="6"/>
  <c r="I40" i="6"/>
  <c r="J8" i="6"/>
  <c r="I8" i="6"/>
  <c r="K8" i="6"/>
  <c r="I29" i="6"/>
  <c r="K29" i="6"/>
  <c r="J29" i="6"/>
  <c r="J20" i="6"/>
  <c r="I20" i="6"/>
  <c r="K20" i="6"/>
  <c r="J6" i="6"/>
  <c r="I6" i="6"/>
  <c r="K6" i="6"/>
  <c r="K13" i="6"/>
  <c r="I13" i="6"/>
  <c r="J13" i="6"/>
  <c r="K16" i="6"/>
  <c r="I16" i="6"/>
  <c r="J16" i="6"/>
  <c r="K10" i="6"/>
  <c r="I10" i="6"/>
  <c r="J10" i="6"/>
  <c r="I21" i="6"/>
  <c r="J21" i="6"/>
  <c r="K21" i="6"/>
  <c r="J23" i="6"/>
  <c r="I23" i="6"/>
  <c r="K23" i="6"/>
  <c r="I19" i="6"/>
  <c r="J19" i="6"/>
  <c r="K19" i="6"/>
  <c r="I4" i="6"/>
  <c r="K4" i="6"/>
  <c r="J4" i="6"/>
  <c r="J22" i="6"/>
  <c r="K22" i="6"/>
  <c r="I22" i="6"/>
  <c r="K41" i="6"/>
  <c r="J41" i="6"/>
  <c r="I41" i="6"/>
  <c r="K42" i="6"/>
  <c r="J42" i="6"/>
  <c r="I42" i="6"/>
  <c r="I17" i="6"/>
  <c r="K17" i="6"/>
  <c r="J17" i="6"/>
  <c r="K14" i="6"/>
  <c r="I14" i="6"/>
  <c r="J14" i="6"/>
  <c r="I28" i="6"/>
  <c r="K28" i="6"/>
  <c r="J28" i="6"/>
  <c r="A9" i="8"/>
  <c r="A22" i="7"/>
  <c r="A5" i="9"/>
  <c r="A5" i="6"/>
  <c r="A3" i="6"/>
  <c r="A17" i="7"/>
  <c r="A16" i="7"/>
  <c r="A3" i="7"/>
  <c r="I24" i="3"/>
  <c r="I40" i="3"/>
  <c r="I33" i="3"/>
  <c r="I43" i="3"/>
  <c r="I44" i="3"/>
  <c r="I18" i="9"/>
  <c r="J18" i="9"/>
  <c r="J22" i="9"/>
  <c r="I22" i="9"/>
  <c r="I3" i="9"/>
  <c r="J3" i="9"/>
  <c r="J12" i="9"/>
  <c r="I12" i="9"/>
  <c r="I8" i="9"/>
  <c r="J8" i="9"/>
  <c r="I9" i="9"/>
  <c r="J9" i="9"/>
  <c r="I20" i="9"/>
  <c r="J20" i="9"/>
  <c r="J6" i="9"/>
  <c r="I6" i="9"/>
  <c r="I16" i="9"/>
  <c r="J16" i="9"/>
  <c r="J21" i="9"/>
  <c r="I21" i="9"/>
  <c r="I11" i="9"/>
  <c r="J11" i="9"/>
  <c r="J7" i="9"/>
  <c r="I7" i="9"/>
  <c r="I13" i="9"/>
  <c r="J13" i="9"/>
  <c r="J5" i="9"/>
  <c r="I5" i="9"/>
  <c r="J7" i="8"/>
  <c r="I7" i="8"/>
  <c r="I9" i="8"/>
  <c r="J9" i="8"/>
  <c r="I10" i="8"/>
  <c r="J10" i="8"/>
  <c r="J13" i="8"/>
  <c r="I13" i="8"/>
  <c r="I11" i="4"/>
  <c r="J11" i="4"/>
  <c r="I9" i="4"/>
  <c r="J9" i="4"/>
  <c r="J11" i="5"/>
  <c r="I11" i="5"/>
  <c r="I12" i="5"/>
  <c r="J12" i="5"/>
  <c r="I36" i="3"/>
  <c r="I34" i="3"/>
  <c r="I32" i="3"/>
  <c r="K13" i="8"/>
  <c r="A13" i="8" s="1"/>
  <c r="K9" i="8"/>
  <c r="K7" i="8"/>
  <c r="A7" i="8" s="1"/>
  <c r="K11" i="4"/>
  <c r="A11" i="4" s="1"/>
  <c r="K9" i="4"/>
  <c r="K12" i="5"/>
  <c r="K11" i="5"/>
  <c r="K34" i="3"/>
  <c r="K24" i="3"/>
  <c r="K40" i="3"/>
  <c r="K33" i="3"/>
  <c r="K43" i="3"/>
  <c r="K44" i="3"/>
  <c r="K36" i="3"/>
  <c r="K32" i="3"/>
  <c r="K12" i="9"/>
  <c r="A12" i="9" s="1"/>
  <c r="K18" i="9"/>
  <c r="A18" i="9" s="1"/>
  <c r="K8" i="9"/>
  <c r="K9" i="9"/>
  <c r="A9" i="9" s="1"/>
  <c r="K16" i="9"/>
  <c r="A16" i="9" s="1"/>
  <c r="K11" i="9"/>
  <c r="A11" i="9" s="1"/>
  <c r="K3" i="9"/>
  <c r="K20" i="9"/>
  <c r="A20" i="9" s="1"/>
  <c r="K6" i="9"/>
  <c r="K13" i="9"/>
  <c r="A13" i="9" s="1"/>
  <c r="K7" i="9"/>
  <c r="K5" i="9"/>
  <c r="K21" i="9"/>
  <c r="A21" i="9" s="1"/>
  <c r="K22" i="9"/>
  <c r="A22" i="9" s="1"/>
  <c r="K10" i="8"/>
  <c r="O21" i="9"/>
  <c r="H21" i="9" s="1"/>
  <c r="H15" i="6"/>
  <c r="H22" i="9"/>
  <c r="H13" i="8"/>
  <c r="H4" i="6"/>
  <c r="H23" i="6"/>
  <c r="H12" i="5"/>
  <c r="H11" i="5"/>
  <c r="H13" i="6"/>
  <c r="H30" i="6"/>
  <c r="H41" i="6"/>
  <c r="H40" i="6"/>
  <c r="H29" i="6"/>
  <c r="H25" i="6"/>
  <c r="H6" i="6"/>
  <c r="H5" i="6"/>
  <c r="H20" i="9"/>
  <c r="H12" i="9"/>
  <c r="N13" i="9"/>
  <c r="O13" i="9" s="1"/>
  <c r="H16" i="9"/>
  <c r="H11" i="9"/>
  <c r="H9" i="9"/>
  <c r="H6" i="9"/>
  <c r="H5" i="9"/>
  <c r="N18" i="9"/>
  <c r="O18" i="9" s="1"/>
  <c r="H7" i="9"/>
  <c r="N8" i="9"/>
  <c r="O8" i="9" s="1"/>
  <c r="H3" i="9"/>
  <c r="H10" i="8"/>
  <c r="N7" i="8"/>
  <c r="O7" i="8" s="1"/>
  <c r="H9" i="8"/>
  <c r="H10" i="6"/>
  <c r="H9" i="4"/>
  <c r="H11" i="4"/>
  <c r="N43" i="3"/>
  <c r="O43" i="3" s="1"/>
  <c r="H43" i="3" s="1"/>
  <c r="N40" i="3"/>
  <c r="O40" i="3" s="1"/>
  <c r="N32" i="3"/>
  <c r="O32" i="3" s="1"/>
  <c r="H32" i="3" s="1"/>
  <c r="N24" i="3"/>
  <c r="O24" i="3" s="1"/>
  <c r="H24" i="3" s="1"/>
  <c r="N33" i="3"/>
  <c r="O33" i="3" s="1"/>
  <c r="N36" i="3"/>
  <c r="O36" i="3" s="1"/>
  <c r="H36" i="3" s="1"/>
  <c r="N34" i="3"/>
  <c r="O34" i="3" s="1"/>
  <c r="H34" i="3" s="1"/>
  <c r="N44" i="3"/>
  <c r="O44" i="3" s="1"/>
  <c r="H44" i="3" s="1"/>
  <c r="A7" i="4" l="1"/>
  <c r="A10" i="4"/>
  <c r="A11" i="5"/>
  <c r="A12" i="5"/>
  <c r="A13" i="5"/>
  <c r="A29" i="6"/>
  <c r="A42" i="7"/>
  <c r="A38" i="7"/>
  <c r="A45" i="7"/>
  <c r="A37" i="7"/>
  <c r="A46" i="7"/>
  <c r="A30" i="6"/>
  <c r="A4" i="4"/>
  <c r="A9" i="4"/>
  <c r="A8" i="4"/>
  <c r="A3" i="4"/>
  <c r="A10" i="5"/>
  <c r="A11" i="7"/>
  <c r="A36" i="7"/>
  <c r="A5" i="7"/>
  <c r="A27" i="7"/>
  <c r="A7" i="7"/>
  <c r="A43" i="7"/>
  <c r="A13" i="7"/>
  <c r="A25" i="7"/>
  <c r="A10" i="7"/>
  <c r="A23" i="6"/>
  <c r="A36" i="6"/>
  <c r="A28" i="7"/>
  <c r="A23" i="7"/>
  <c r="A9" i="7"/>
  <c r="A24" i="7"/>
  <c r="A15" i="7"/>
  <c r="A18" i="7"/>
  <c r="A19" i="7"/>
  <c r="A12" i="7"/>
  <c r="A4" i="7"/>
  <c r="A26" i="6"/>
  <c r="A28" i="6"/>
  <c r="A31" i="6"/>
  <c r="A25" i="6"/>
  <c r="A27" i="6"/>
  <c r="A22" i="6"/>
  <c r="A5" i="4"/>
  <c r="A6" i="4"/>
  <c r="A8" i="5"/>
  <c r="A9" i="5"/>
  <c r="A6" i="5"/>
  <c r="A7" i="5"/>
  <c r="A8" i="7"/>
  <c r="A20" i="7"/>
  <c r="H14" i="6"/>
  <c r="H22" i="6"/>
  <c r="H8" i="6"/>
  <c r="H17" i="6"/>
  <c r="H19" i="6"/>
  <c r="H42" i="6"/>
  <c r="A43" i="6" s="1"/>
  <c r="H16" i="6"/>
  <c r="H21" i="6"/>
  <c r="H28" i="6"/>
  <c r="H13" i="9"/>
  <c r="A15" i="9" s="1"/>
  <c r="H18" i="9"/>
  <c r="H8" i="9"/>
  <c r="A3" i="9" s="1"/>
  <c r="H7" i="8"/>
  <c r="A10" i="8" s="1"/>
  <c r="H40" i="3"/>
  <c r="H33" i="3"/>
  <c r="E210" i="2" l="1" a="1"/>
  <c r="E210" i="2" s="1"/>
  <c r="E155" i="2" a="1"/>
  <c r="E155" i="2" s="1"/>
  <c r="E135" i="2" a="1"/>
  <c r="E135" i="2" s="1"/>
  <c r="E159" i="2" a="1"/>
  <c r="E159" i="2" s="1"/>
  <c r="E138" i="2" a="1"/>
  <c r="E138" i="2" s="1"/>
  <c r="E152" i="2" a="1"/>
  <c r="E152" i="2" s="1"/>
  <c r="E134" i="2" a="1"/>
  <c r="E134" i="2" s="1"/>
  <c r="E153" i="2" a="1"/>
  <c r="E153" i="2" s="1"/>
  <c r="E141" i="2" a="1"/>
  <c r="E141" i="2" s="1"/>
  <c r="E145" i="2" a="1"/>
  <c r="E145" i="2" s="1"/>
  <c r="E139" i="2" a="1"/>
  <c r="E139" i="2" s="1"/>
  <c r="E148" i="2" a="1"/>
  <c r="E148" i="2" s="1"/>
  <c r="E147" i="2" a="1"/>
  <c r="E147" i="2" s="1"/>
  <c r="E136" i="2" a="1"/>
  <c r="E136" i="2" s="1"/>
  <c r="E158" i="2" a="1"/>
  <c r="E158" i="2" s="1"/>
  <c r="E137" i="2" a="1"/>
  <c r="E137" i="2" s="1"/>
  <c r="E142" i="2" a="1"/>
  <c r="E142" i="2" s="1"/>
  <c r="E130" i="2" a="1"/>
  <c r="E130" i="2" s="1"/>
  <c r="E160" i="2" a="1"/>
  <c r="E160" i="2" s="1"/>
  <c r="E156" i="2" a="1"/>
  <c r="E156" i="2" s="1"/>
  <c r="E132" i="2" a="1"/>
  <c r="E132" i="2" s="1"/>
  <c r="E131" i="2" a="1"/>
  <c r="E131" i="2" s="1"/>
  <c r="E149" i="2" a="1"/>
  <c r="E149" i="2" s="1"/>
  <c r="E140" i="2" a="1"/>
  <c r="E140" i="2" s="1"/>
  <c r="E150" i="2" a="1"/>
  <c r="E150" i="2" s="1"/>
  <c r="E151" i="2" a="1"/>
  <c r="E151" i="2" s="1"/>
  <c r="E133" i="2" a="1"/>
  <c r="E133" i="2" s="1"/>
  <c r="E161" i="2" a="1"/>
  <c r="E161" i="2" s="1"/>
  <c r="E144" i="2" a="1"/>
  <c r="E144" i="2" s="1"/>
  <c r="E146" i="2" a="1"/>
  <c r="E146" i="2" s="1"/>
  <c r="E143" i="2" a="1"/>
  <c r="E143" i="2" s="1"/>
  <c r="E154" i="2" a="1"/>
  <c r="E154" i="2" s="1"/>
  <c r="E157" i="2" a="1"/>
  <c r="E157" i="2" s="1"/>
  <c r="E93" i="2" a="1"/>
  <c r="E93" i="2" s="1"/>
  <c r="E96" i="2" a="1"/>
  <c r="E96" i="2" s="1"/>
  <c r="E86" i="2" a="1"/>
  <c r="E86" i="2" s="1"/>
  <c r="E87" i="2" a="1"/>
  <c r="E87" i="2" s="1"/>
  <c r="E94" i="2" a="1"/>
  <c r="E94" i="2" s="1"/>
  <c r="E91" i="2" a="1"/>
  <c r="E91" i="2" s="1"/>
  <c r="E88" i="2" a="1"/>
  <c r="E88" i="2" s="1"/>
  <c r="E97" i="2" a="1"/>
  <c r="E97" i="2" s="1"/>
  <c r="E82" i="2" a="1"/>
  <c r="E82" i="2" s="1"/>
  <c r="E89" i="2" a="1"/>
  <c r="E89" i="2" s="1"/>
  <c r="E95" i="2" a="1"/>
  <c r="E95" i="2" s="1"/>
  <c r="E85" i="2" a="1"/>
  <c r="E85" i="2" s="1"/>
  <c r="E83" i="2" a="1"/>
  <c r="E83" i="2" s="1"/>
  <c r="E90" i="2" a="1"/>
  <c r="E90" i="2" s="1"/>
  <c r="E92" i="2" a="1"/>
  <c r="E92" i="2" s="1"/>
  <c r="E84" i="2" a="1"/>
  <c r="E84" i="2" s="1"/>
  <c r="E68" i="2" a="1"/>
  <c r="E68" i="2" s="1"/>
  <c r="E67" i="2" a="1"/>
  <c r="E67" i="2" s="1"/>
  <c r="E66" i="2" a="1"/>
  <c r="E66" i="2" s="1"/>
  <c r="E77" i="2" a="1"/>
  <c r="E77" i="2" s="1"/>
  <c r="E73" i="2" a="1"/>
  <c r="E73" i="2" s="1"/>
  <c r="E78" i="2" a="1"/>
  <c r="E78" i="2" s="1"/>
  <c r="E80" i="2" a="1"/>
  <c r="E80" i="2" s="1"/>
  <c r="E69" i="2" a="1"/>
  <c r="E69" i="2" s="1"/>
  <c r="E81" i="2" a="1"/>
  <c r="E81" i="2" s="1"/>
  <c r="E71" i="2" a="1"/>
  <c r="E71" i="2" s="1"/>
  <c r="E75" i="2" a="1"/>
  <c r="E75" i="2" s="1"/>
  <c r="E74" i="2" a="1"/>
  <c r="E74" i="2" s="1"/>
  <c r="E72" i="2" a="1"/>
  <c r="E72" i="2" s="1"/>
  <c r="E76" i="2" a="1"/>
  <c r="E76" i="2" s="1"/>
  <c r="E70" i="2" a="1"/>
  <c r="E70" i="2" s="1"/>
  <c r="E79" i="2" a="1"/>
  <c r="E79" i="2" s="1"/>
  <c r="A15" i="6"/>
  <c r="A21" i="6"/>
  <c r="A35" i="6"/>
  <c r="A39" i="6"/>
  <c r="A41" i="6"/>
  <c r="A32" i="6"/>
  <c r="A42" i="6"/>
  <c r="A8" i="9"/>
  <c r="A40" i="6"/>
  <c r="A38" i="6"/>
  <c r="A44" i="6"/>
  <c r="A20" i="6"/>
  <c r="A3" i="8"/>
  <c r="E162" i="2" s="1" a="1"/>
  <c r="E162" i="2" s="1"/>
  <c r="A18" i="6"/>
  <c r="A4" i="9"/>
  <c r="A7" i="9"/>
  <c r="A19" i="6"/>
  <c r="A33" i="6"/>
  <c r="A11" i="6"/>
  <c r="A4" i="6"/>
  <c r="E114" i="2" s="1" a="1"/>
  <c r="E114" i="2" s="1"/>
  <c r="A10" i="6"/>
  <c r="A17" i="6"/>
  <c r="A8" i="6"/>
  <c r="A34" i="6"/>
  <c r="A14" i="6"/>
  <c r="A9" i="6"/>
  <c r="A6" i="6"/>
  <c r="A13" i="6"/>
  <c r="A6" i="9"/>
  <c r="A16" i="6"/>
  <c r="A12" i="6"/>
  <c r="A24" i="6"/>
  <c r="A7" i="6"/>
  <c r="D73" i="2" a="1"/>
  <c r="D73" i="2" s="1"/>
  <c r="D79" i="2" a="1"/>
  <c r="D79" i="2" s="1"/>
  <c r="D86" i="2" a="1"/>
  <c r="D86" i="2" s="1"/>
  <c r="A86" i="2" s="1"/>
  <c r="D81" i="2" a="1"/>
  <c r="D81" i="2" s="1"/>
  <c r="D80" i="2" a="1"/>
  <c r="D80" i="2" s="1"/>
  <c r="D77" i="2" a="1"/>
  <c r="D77" i="2" s="1"/>
  <c r="D75" i="2" a="1"/>
  <c r="D75" i="2" s="1"/>
  <c r="D68" i="2" a="1"/>
  <c r="D68" i="2" s="1"/>
  <c r="D74" i="2" a="1"/>
  <c r="D74" i="2" s="1"/>
  <c r="D76" i="2" a="1"/>
  <c r="D76" i="2" s="1"/>
  <c r="D72" i="2" a="1"/>
  <c r="D72" i="2" s="1"/>
  <c r="D70" i="2" a="1"/>
  <c r="D70" i="2" s="1"/>
  <c r="D71" i="2" a="1"/>
  <c r="D71" i="2" s="1"/>
  <c r="D67" i="2" a="1"/>
  <c r="D67" i="2" s="1"/>
  <c r="D66" i="2" a="1"/>
  <c r="D66" i="2" s="1"/>
  <c r="D69" i="2" a="1"/>
  <c r="D69" i="2" s="1"/>
  <c r="D78" i="2" a="1"/>
  <c r="D78" i="2" s="1"/>
  <c r="D88" i="2" a="1"/>
  <c r="D88" i="2" s="1"/>
  <c r="A88" i="2" s="1"/>
  <c r="D82" i="2" a="1"/>
  <c r="D82" i="2" s="1"/>
  <c r="A82" i="2" s="1"/>
  <c r="D91" i="2" a="1"/>
  <c r="D91" i="2" s="1"/>
  <c r="A91" i="2" s="1"/>
  <c r="D93" i="2" a="1"/>
  <c r="D93" i="2" s="1"/>
  <c r="A93" i="2" s="1"/>
  <c r="D96" i="2" a="1"/>
  <c r="D96" i="2" s="1"/>
  <c r="A96" i="2" s="1"/>
  <c r="D89" i="2" a="1"/>
  <c r="D89" i="2" s="1"/>
  <c r="A89" i="2" s="1"/>
  <c r="D95" i="2" a="1"/>
  <c r="D95" i="2" s="1"/>
  <c r="A95" i="2" s="1"/>
  <c r="D87" i="2" a="1"/>
  <c r="D87" i="2" s="1"/>
  <c r="A87" i="2" s="1"/>
  <c r="D83" i="2" a="1"/>
  <c r="D83" i="2" s="1"/>
  <c r="A83" i="2" s="1"/>
  <c r="D94" i="2" a="1"/>
  <c r="D94" i="2" s="1"/>
  <c r="A94" i="2" s="1"/>
  <c r="D84" i="2" a="1"/>
  <c r="D84" i="2" s="1"/>
  <c r="A84" i="2" s="1"/>
  <c r="D85" i="2" a="1"/>
  <c r="D85" i="2" s="1"/>
  <c r="A85" i="2" s="1"/>
  <c r="D90" i="2" a="1"/>
  <c r="D90" i="2" s="1"/>
  <c r="A90" i="2" s="1"/>
  <c r="D92" i="2" a="1"/>
  <c r="D92" i="2" s="1"/>
  <c r="A92" i="2" s="1"/>
  <c r="D97" i="2" a="1"/>
  <c r="D97" i="2" s="1"/>
  <c r="A97" i="2" s="1"/>
  <c r="D154" i="2" a="1"/>
  <c r="D154" i="2" s="1"/>
  <c r="D147" i="2" a="1"/>
  <c r="D147" i="2" s="1"/>
  <c r="D142" i="2" a="1"/>
  <c r="D142" i="2" s="1"/>
  <c r="D139" i="2" a="1"/>
  <c r="D139" i="2" s="1"/>
  <c r="D137" i="2" a="1"/>
  <c r="D137" i="2" s="1"/>
  <c r="D141" i="2" a="1"/>
  <c r="D141" i="2" s="1"/>
  <c r="D158" i="2" a="1"/>
  <c r="D158" i="2" s="1"/>
  <c r="D152" i="2" a="1"/>
  <c r="D152" i="2" s="1"/>
  <c r="D156" i="2" a="1"/>
  <c r="D156" i="2" s="1"/>
  <c r="D131" i="2" a="1"/>
  <c r="D131" i="2" s="1"/>
  <c r="D159" i="2" a="1"/>
  <c r="D159" i="2" s="1"/>
  <c r="D160" i="2" a="1"/>
  <c r="D160" i="2" s="1"/>
  <c r="D150" i="2" a="1"/>
  <c r="D150" i="2" s="1"/>
  <c r="D133" i="2" a="1"/>
  <c r="D133" i="2" s="1"/>
  <c r="D161" i="2" a="1"/>
  <c r="D161" i="2" s="1"/>
  <c r="D132" i="2" a="1"/>
  <c r="D132" i="2" s="1"/>
  <c r="D146" i="2" a="1"/>
  <c r="D146" i="2" s="1"/>
  <c r="D134" i="2" a="1"/>
  <c r="D134" i="2" s="1"/>
  <c r="D145" i="2" a="1"/>
  <c r="D145" i="2" s="1"/>
  <c r="D140" i="2" a="1"/>
  <c r="D140" i="2" s="1"/>
  <c r="D149" i="2" a="1"/>
  <c r="D149" i="2" s="1"/>
  <c r="D135" i="2" a="1"/>
  <c r="D135" i="2" s="1"/>
  <c r="D144" i="2" a="1"/>
  <c r="D144" i="2" s="1"/>
  <c r="D130" i="2" a="1"/>
  <c r="D130" i="2" s="1"/>
  <c r="D148" i="2" a="1"/>
  <c r="D148" i="2" s="1"/>
  <c r="D151" i="2" a="1"/>
  <c r="D151" i="2" s="1"/>
  <c r="D153" i="2" a="1"/>
  <c r="D153" i="2" s="1"/>
  <c r="D155" i="2" a="1"/>
  <c r="D155" i="2" s="1"/>
  <c r="D138" i="2" a="1"/>
  <c r="D138" i="2" s="1"/>
  <c r="D157" i="2" a="1"/>
  <c r="D157" i="2" s="1"/>
  <c r="D143" i="2" a="1"/>
  <c r="D143" i="2" s="1"/>
  <c r="D136" i="2" a="1"/>
  <c r="D136" i="2" s="1"/>
  <c r="E195" i="2" l="1" a="1"/>
  <c r="E195" i="2" s="1"/>
  <c r="E212" i="2" a="1"/>
  <c r="E212" i="2" s="1"/>
  <c r="E208" i="2" a="1"/>
  <c r="E208" i="2" s="1"/>
  <c r="E206" i="2" a="1"/>
  <c r="E206" i="2" s="1"/>
  <c r="E214" i="2" a="1"/>
  <c r="E214" i="2" s="1"/>
  <c r="E215" i="2" a="1"/>
  <c r="E215" i="2" s="1"/>
  <c r="E217" i="2" a="1"/>
  <c r="E217" i="2" s="1"/>
  <c r="E203" i="2" a="1"/>
  <c r="E203" i="2" s="1"/>
  <c r="E211" i="2" a="1"/>
  <c r="E211" i="2" s="1"/>
  <c r="E223" i="2" a="1"/>
  <c r="E223" i="2" s="1"/>
  <c r="E198" i="2" a="1"/>
  <c r="E198" i="2" s="1"/>
  <c r="E200" i="2" a="1"/>
  <c r="E200" i="2" s="1"/>
  <c r="E196" i="2" a="1"/>
  <c r="E196" i="2" s="1"/>
  <c r="E213" i="2" a="1"/>
  <c r="E213" i="2" s="1"/>
  <c r="E199" i="2" a="1"/>
  <c r="E199" i="2" s="1"/>
  <c r="E224" i="2" a="1"/>
  <c r="E224" i="2" s="1"/>
  <c r="E219" i="2" a="1"/>
  <c r="E219" i="2" s="1"/>
  <c r="E218" i="2" a="1"/>
  <c r="E218" i="2" s="1"/>
  <c r="E197" i="2" a="1"/>
  <c r="E197" i="2" s="1"/>
  <c r="E225" i="2" a="1"/>
  <c r="E225" i="2" s="1"/>
  <c r="E202" i="2" a="1"/>
  <c r="E202" i="2" s="1"/>
  <c r="E221" i="2" a="1"/>
  <c r="E221" i="2" s="1"/>
  <c r="E205" i="2" a="1"/>
  <c r="E205" i="2" s="1"/>
  <c r="E209" i="2" a="1"/>
  <c r="E209" i="2" s="1"/>
  <c r="E222" i="2" a="1"/>
  <c r="E222" i="2" s="1"/>
  <c r="E220" i="2" a="1"/>
  <c r="E220" i="2" s="1"/>
  <c r="E194" i="2" a="1"/>
  <c r="E194" i="2" s="1"/>
  <c r="E216" i="2" a="1"/>
  <c r="E216" i="2" s="1"/>
  <c r="E207" i="2" a="1"/>
  <c r="E207" i="2" s="1"/>
  <c r="E204" i="2" a="1"/>
  <c r="E204" i="2" s="1"/>
  <c r="E201" i="2" a="1"/>
  <c r="E201" i="2" s="1"/>
  <c r="E187" i="2" a="1"/>
  <c r="E187" i="2" s="1"/>
  <c r="E186" i="2" a="1"/>
  <c r="E186" i="2" s="1"/>
  <c r="E167" i="2" a="1"/>
  <c r="E167" i="2" s="1"/>
  <c r="E184" i="2" a="1"/>
  <c r="E184" i="2" s="1"/>
  <c r="E183" i="2" a="1"/>
  <c r="E183" i="2" s="1"/>
  <c r="E170" i="2" a="1"/>
  <c r="E170" i="2" s="1"/>
  <c r="E180" i="2" a="1"/>
  <c r="E180" i="2" s="1"/>
  <c r="E191" i="2" a="1"/>
  <c r="E191" i="2" s="1"/>
  <c r="E171" i="2" a="1"/>
  <c r="E171" i="2" s="1"/>
  <c r="E169" i="2" a="1"/>
  <c r="E169" i="2" s="1"/>
  <c r="E166" i="2" a="1"/>
  <c r="E166" i="2" s="1"/>
  <c r="E181" i="2" a="1"/>
  <c r="E181" i="2" s="1"/>
  <c r="E173" i="2" a="1"/>
  <c r="E173" i="2" s="1"/>
  <c r="E179" i="2" a="1"/>
  <c r="E179" i="2" s="1"/>
  <c r="E185" i="2" a="1"/>
  <c r="E185" i="2" s="1"/>
  <c r="E174" i="2" a="1"/>
  <c r="E174" i="2" s="1"/>
  <c r="E177" i="2" a="1"/>
  <c r="E177" i="2" s="1"/>
  <c r="E168" i="2" a="1"/>
  <c r="E168" i="2" s="1"/>
  <c r="E164" i="2" a="1"/>
  <c r="E164" i="2" s="1"/>
  <c r="E192" i="2" a="1"/>
  <c r="E192" i="2" s="1"/>
  <c r="E175" i="2" a="1"/>
  <c r="E175" i="2" s="1"/>
  <c r="E182" i="2" a="1"/>
  <c r="E182" i="2" s="1"/>
  <c r="E190" i="2" a="1"/>
  <c r="E190" i="2" s="1"/>
  <c r="E163" i="2" a="1"/>
  <c r="E163" i="2" s="1"/>
  <c r="E188" i="2" a="1"/>
  <c r="E188" i="2" s="1"/>
  <c r="E172" i="2" a="1"/>
  <c r="E172" i="2" s="1"/>
  <c r="E176" i="2" a="1"/>
  <c r="E176" i="2" s="1"/>
  <c r="E189" i="2" a="1"/>
  <c r="E189" i="2" s="1"/>
  <c r="E178" i="2" a="1"/>
  <c r="E178" i="2" s="1"/>
  <c r="E193" i="2" a="1"/>
  <c r="E193" i="2" s="1"/>
  <c r="E165" i="2" a="1"/>
  <c r="E165" i="2" s="1"/>
  <c r="E100" i="2" a="1"/>
  <c r="E100" i="2" s="1"/>
  <c r="E121" i="2" a="1"/>
  <c r="E121" i="2" s="1"/>
  <c r="E129" i="2" a="1"/>
  <c r="E129" i="2" s="1"/>
  <c r="E123" i="2" a="1"/>
  <c r="E123" i="2" s="1"/>
  <c r="E109" i="2" a="1"/>
  <c r="E109" i="2" s="1"/>
  <c r="E119" i="2" a="1"/>
  <c r="E119" i="2" s="1"/>
  <c r="E128" i="2" a="1"/>
  <c r="E128" i="2" s="1"/>
  <c r="E106" i="2" a="1"/>
  <c r="E106" i="2" s="1"/>
  <c r="E112" i="2" a="1"/>
  <c r="E112" i="2" s="1"/>
  <c r="E120" i="2" a="1"/>
  <c r="E120" i="2" s="1"/>
  <c r="E125" i="2" a="1"/>
  <c r="E125" i="2" s="1"/>
  <c r="E104" i="2" a="1"/>
  <c r="E104" i="2" s="1"/>
  <c r="E127" i="2" a="1"/>
  <c r="E127" i="2" s="1"/>
  <c r="E126" i="2" a="1"/>
  <c r="E126" i="2" s="1"/>
  <c r="E116" i="2" a="1"/>
  <c r="E116" i="2" s="1"/>
  <c r="E111" i="2" a="1"/>
  <c r="E111" i="2" s="1"/>
  <c r="E103" i="2" a="1"/>
  <c r="E103" i="2" s="1"/>
  <c r="E98" i="2" a="1"/>
  <c r="E98" i="2" s="1"/>
  <c r="E102" i="2" a="1"/>
  <c r="E102" i="2" s="1"/>
  <c r="E99" i="2" a="1"/>
  <c r="E99" i="2" s="1"/>
  <c r="E118" i="2" a="1"/>
  <c r="E118" i="2" s="1"/>
  <c r="E110" i="2" a="1"/>
  <c r="E110" i="2" s="1"/>
  <c r="E113" i="2" a="1"/>
  <c r="E113" i="2" s="1"/>
  <c r="E108" i="2" a="1"/>
  <c r="E108" i="2" s="1"/>
  <c r="E124" i="2" a="1"/>
  <c r="E124" i="2" s="1"/>
  <c r="E101" i="2" a="1"/>
  <c r="E101" i="2" s="1"/>
  <c r="E115" i="2" a="1"/>
  <c r="E115" i="2" s="1"/>
  <c r="E105" i="2" a="1"/>
  <c r="E105" i="2" s="1"/>
  <c r="E107" i="2" a="1"/>
  <c r="E107" i="2" s="1"/>
  <c r="E122" i="2" a="1"/>
  <c r="E122" i="2" s="1"/>
  <c r="E117" i="2" a="1"/>
  <c r="E117" i="2" s="1"/>
  <c r="D190" i="2" a="1"/>
  <c r="D190" i="2" s="1"/>
  <c r="A190" i="2" s="1"/>
  <c r="D175" i="2" a="1"/>
  <c r="D175" i="2" s="1"/>
  <c r="A175" i="2" s="1"/>
  <c r="D170" i="2" a="1"/>
  <c r="D170" i="2" s="1"/>
  <c r="A170" i="2" s="1"/>
  <c r="D176" i="2" a="1"/>
  <c r="D176" i="2" s="1"/>
  <c r="A176" i="2" s="1"/>
  <c r="D166" i="2" a="1"/>
  <c r="D166" i="2" s="1"/>
  <c r="A166" i="2" s="1"/>
  <c r="D185" i="2" a="1"/>
  <c r="D185" i="2" s="1"/>
  <c r="A185" i="2" s="1"/>
  <c r="D162" i="2" a="1"/>
  <c r="D162" i="2" s="1"/>
  <c r="A162" i="2" s="1"/>
  <c r="D188" i="2" a="1"/>
  <c r="D188" i="2" s="1"/>
  <c r="A188" i="2" s="1"/>
  <c r="D167" i="2" a="1"/>
  <c r="D167" i="2" s="1"/>
  <c r="A167" i="2" s="1"/>
  <c r="D183" i="2" a="1"/>
  <c r="D183" i="2" s="1"/>
  <c r="A183" i="2" s="1"/>
  <c r="D177" i="2" a="1"/>
  <c r="D177" i="2" s="1"/>
  <c r="A177" i="2" s="1"/>
  <c r="D189" i="2" a="1"/>
  <c r="D189" i="2" s="1"/>
  <c r="A189" i="2" s="1"/>
  <c r="D181" i="2" a="1"/>
  <c r="D181" i="2" s="1"/>
  <c r="A181" i="2" s="1"/>
  <c r="D178" i="2" a="1"/>
  <c r="D178" i="2" s="1"/>
  <c r="A178" i="2" s="1"/>
  <c r="D171" i="2" a="1"/>
  <c r="D171" i="2" s="1"/>
  <c r="A171" i="2" s="1"/>
  <c r="D182" i="2" a="1"/>
  <c r="D182" i="2" s="1"/>
  <c r="A182" i="2" s="1"/>
  <c r="D172" i="2" a="1"/>
  <c r="D172" i="2" s="1"/>
  <c r="A172" i="2" s="1"/>
  <c r="D186" i="2" a="1"/>
  <c r="D186" i="2" s="1"/>
  <c r="A186" i="2" s="1"/>
  <c r="D165" i="2" a="1"/>
  <c r="D165" i="2" s="1"/>
  <c r="A165" i="2" s="1"/>
  <c r="D168" i="2" a="1"/>
  <c r="D168" i="2" s="1"/>
  <c r="A168" i="2" s="1"/>
  <c r="D169" i="2" a="1"/>
  <c r="D169" i="2" s="1"/>
  <c r="A169" i="2" s="1"/>
  <c r="D174" i="2" a="1"/>
  <c r="D174" i="2" s="1"/>
  <c r="A174" i="2" s="1"/>
  <c r="D173" i="2" a="1"/>
  <c r="D173" i="2" s="1"/>
  <c r="A173" i="2" s="1"/>
  <c r="D163" i="2" a="1"/>
  <c r="D163" i="2" s="1"/>
  <c r="A163" i="2" s="1"/>
  <c r="D179" i="2" a="1"/>
  <c r="D179" i="2" s="1"/>
  <c r="A179" i="2" s="1"/>
  <c r="D187" i="2" a="1"/>
  <c r="D187" i="2" s="1"/>
  <c r="A187" i="2" s="1"/>
  <c r="D164" i="2" a="1"/>
  <c r="D164" i="2" s="1"/>
  <c r="A164" i="2" s="1"/>
  <c r="D191" i="2" a="1"/>
  <c r="D191" i="2" s="1"/>
  <c r="A191" i="2" s="1"/>
  <c r="D184" i="2" a="1"/>
  <c r="D184" i="2" s="1"/>
  <c r="A184" i="2" s="1"/>
  <c r="D192" i="2" a="1"/>
  <c r="D192" i="2" s="1"/>
  <c r="A192" i="2" s="1"/>
  <c r="D180" i="2" a="1"/>
  <c r="D180" i="2" s="1"/>
  <c r="A180" i="2" s="1"/>
  <c r="D193" i="2" a="1"/>
  <c r="D193" i="2" s="1"/>
  <c r="A193" i="2" s="1"/>
  <c r="D210" i="2" a="1"/>
  <c r="D210" i="2" s="1"/>
  <c r="A210" i="2" s="1"/>
  <c r="D211" i="2" a="1"/>
  <c r="D211" i="2" s="1"/>
  <c r="A211" i="2" s="1"/>
  <c r="D195" i="2" a="1"/>
  <c r="D195" i="2" s="1"/>
  <c r="A195" i="2" s="1"/>
  <c r="D217" i="2" a="1"/>
  <c r="D217" i="2" s="1"/>
  <c r="A217" i="2" s="1"/>
  <c r="D198" i="2" a="1"/>
  <c r="D198" i="2" s="1"/>
  <c r="A198" i="2" s="1"/>
  <c r="D215" i="2" a="1"/>
  <c r="D215" i="2" s="1"/>
  <c r="A215" i="2" s="1"/>
  <c r="D204" i="2" a="1"/>
  <c r="D204" i="2" s="1"/>
  <c r="A204" i="2" s="1"/>
  <c r="D196" i="2" a="1"/>
  <c r="D196" i="2" s="1"/>
  <c r="A196" i="2" s="1"/>
  <c r="D201" i="2" a="1"/>
  <c r="D201" i="2" s="1"/>
  <c r="A201" i="2" s="1"/>
  <c r="D207" i="2" a="1"/>
  <c r="D207" i="2" s="1"/>
  <c r="A207" i="2" s="1"/>
  <c r="D202" i="2" a="1"/>
  <c r="D202" i="2" s="1"/>
  <c r="A202" i="2" s="1"/>
  <c r="D219" i="2" a="1"/>
  <c r="D219" i="2" s="1"/>
  <c r="A219" i="2" s="1"/>
  <c r="D212" i="2" a="1"/>
  <c r="D212" i="2" s="1"/>
  <c r="A212" i="2" s="1"/>
  <c r="D203" i="2" a="1"/>
  <c r="D203" i="2" s="1"/>
  <c r="A203" i="2" s="1"/>
  <c r="D205" i="2" a="1"/>
  <c r="D205" i="2" s="1"/>
  <c r="A205" i="2" s="1"/>
  <c r="D222" i="2" a="1"/>
  <c r="D222" i="2" s="1"/>
  <c r="A222" i="2" s="1"/>
  <c r="D221" i="2" a="1"/>
  <c r="D221" i="2" s="1"/>
  <c r="A221" i="2" s="1"/>
  <c r="D220" i="2" a="1"/>
  <c r="D220" i="2" s="1"/>
  <c r="A220" i="2" s="1"/>
  <c r="D194" i="2" a="1"/>
  <c r="D194" i="2" s="1"/>
  <c r="A194" i="2" s="1"/>
  <c r="D213" i="2" a="1"/>
  <c r="D213" i="2" s="1"/>
  <c r="A213" i="2" s="1"/>
  <c r="D208" i="2" a="1"/>
  <c r="D208" i="2" s="1"/>
  <c r="A208" i="2" s="1"/>
  <c r="D199" i="2" a="1"/>
  <c r="D199" i="2" s="1"/>
  <c r="A199" i="2" s="1"/>
  <c r="D209" i="2" a="1"/>
  <c r="D209" i="2" s="1"/>
  <c r="A209" i="2" s="1"/>
  <c r="D214" i="2" a="1"/>
  <c r="D214" i="2" s="1"/>
  <c r="A214" i="2" s="1"/>
  <c r="D206" i="2" a="1"/>
  <c r="D206" i="2" s="1"/>
  <c r="A206" i="2" s="1"/>
  <c r="D224" i="2" a="1"/>
  <c r="D224" i="2" s="1"/>
  <c r="A224" i="2" s="1"/>
  <c r="D197" i="2" a="1"/>
  <c r="D197" i="2" s="1"/>
  <c r="A197" i="2" s="1"/>
  <c r="D223" i="2" a="1"/>
  <c r="D223" i="2" s="1"/>
  <c r="A223" i="2" s="1"/>
  <c r="D225" i="2" a="1"/>
  <c r="D225" i="2" s="1"/>
  <c r="A225" i="2" s="1"/>
  <c r="D218" i="2" a="1"/>
  <c r="D218" i="2" s="1"/>
  <c r="A218" i="2" s="1"/>
  <c r="D200" i="2" a="1"/>
  <c r="D200" i="2" s="1"/>
  <c r="A200" i="2" s="1"/>
  <c r="D216" i="2" a="1"/>
  <c r="D216" i="2" s="1"/>
  <c r="A216" i="2" s="1"/>
  <c r="D116" i="2" a="1"/>
  <c r="D116" i="2" s="1"/>
  <c r="A116" i="2" s="1"/>
  <c r="D127" i="2" a="1"/>
  <c r="D127" i="2" s="1"/>
  <c r="A127" i="2" s="1"/>
  <c r="D126" i="2" a="1"/>
  <c r="D126" i="2" s="1"/>
  <c r="A126" i="2" s="1"/>
  <c r="D120" i="2" a="1"/>
  <c r="D120" i="2" s="1"/>
  <c r="A120" i="2" s="1"/>
  <c r="D104" i="2" a="1"/>
  <c r="D104" i="2" s="1"/>
  <c r="A104" i="2" s="1"/>
  <c r="D100" i="2" a="1"/>
  <c r="D100" i="2" s="1"/>
  <c r="A100" i="2" s="1"/>
  <c r="D107" i="2" a="1"/>
  <c r="D107" i="2" s="1"/>
  <c r="A107" i="2" s="1"/>
  <c r="D114" i="2" a="1"/>
  <c r="D114" i="2" s="1"/>
  <c r="A114" i="2" s="1"/>
  <c r="D113" i="2" a="1"/>
  <c r="D113" i="2" s="1"/>
  <c r="A113" i="2" s="1"/>
  <c r="D102" i="2" a="1"/>
  <c r="D102" i="2" s="1"/>
  <c r="A102" i="2" s="1"/>
  <c r="D110" i="2" a="1"/>
  <c r="D110" i="2" s="1"/>
  <c r="A110" i="2" s="1"/>
  <c r="D121" i="2" a="1"/>
  <c r="D121" i="2" s="1"/>
  <c r="A121" i="2" s="1"/>
  <c r="D99" i="2" a="1"/>
  <c r="D99" i="2" s="1"/>
  <c r="A99" i="2" s="1"/>
  <c r="D119" i="2" a="1"/>
  <c r="D119" i="2" s="1"/>
  <c r="A119" i="2" s="1"/>
  <c r="D118" i="2" a="1"/>
  <c r="D118" i="2" s="1"/>
  <c r="A118" i="2" s="1"/>
  <c r="D117" i="2" a="1"/>
  <c r="D117" i="2" s="1"/>
  <c r="A117" i="2" s="1"/>
  <c r="D124" i="2" a="1"/>
  <c r="D124" i="2" s="1"/>
  <c r="A124" i="2" s="1"/>
  <c r="D128" i="2" a="1"/>
  <c r="D128" i="2" s="1"/>
  <c r="A128" i="2" s="1"/>
  <c r="D112" i="2" a="1"/>
  <c r="D112" i="2" s="1"/>
  <c r="A112" i="2" s="1"/>
  <c r="D101" i="2" a="1"/>
  <c r="D101" i="2" s="1"/>
  <c r="A101" i="2" s="1"/>
  <c r="D122" i="2" a="1"/>
  <c r="D122" i="2" s="1"/>
  <c r="A122" i="2" s="1"/>
  <c r="D129" i="2" a="1"/>
  <c r="D129" i="2" s="1"/>
  <c r="A129" i="2" s="1"/>
  <c r="D106" i="2" a="1"/>
  <c r="D106" i="2" s="1"/>
  <c r="A106" i="2" s="1"/>
  <c r="D108" i="2" a="1"/>
  <c r="D108" i="2" s="1"/>
  <c r="A108" i="2" s="1"/>
  <c r="D105" i="2" a="1"/>
  <c r="D105" i="2" s="1"/>
  <c r="A105" i="2" s="1"/>
  <c r="D109" i="2" a="1"/>
  <c r="D109" i="2" s="1"/>
  <c r="A109" i="2" s="1"/>
  <c r="D125" i="2" a="1"/>
  <c r="D125" i="2" s="1"/>
  <c r="A125" i="2" s="1"/>
  <c r="D115" i="2" a="1"/>
  <c r="D115" i="2" s="1"/>
  <c r="A115" i="2" s="1"/>
  <c r="D103" i="2" a="1"/>
  <c r="D103" i="2" s="1"/>
  <c r="A103" i="2" s="1"/>
  <c r="D111" i="2" a="1"/>
  <c r="D111" i="2" s="1"/>
  <c r="A111" i="2" s="1"/>
  <c r="D98" i="2" a="1"/>
  <c r="D98" i="2" s="1"/>
  <c r="A98" i="2" s="1"/>
  <c r="D123" i="2" a="1"/>
  <c r="D123" i="2" s="1"/>
  <c r="A123" i="2" s="1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F14" i="3"/>
  <c r="F7" i="3"/>
  <c r="F45" i="3"/>
  <c r="F38" i="3"/>
  <c r="F20" i="3"/>
  <c r="F9" i="3"/>
  <c r="F28" i="3"/>
  <c r="F12" i="3"/>
  <c r="F35" i="3"/>
  <c r="F17" i="3"/>
  <c r="F15" i="3"/>
  <c r="F16" i="3"/>
  <c r="F18" i="3"/>
  <c r="F29" i="3"/>
  <c r="F25" i="3"/>
  <c r="F22" i="3"/>
  <c r="F27" i="3"/>
  <c r="F21" i="3"/>
  <c r="F39" i="3"/>
  <c r="N39" i="3"/>
  <c r="O39" i="3" s="1"/>
  <c r="H39" i="3" s="1"/>
  <c r="N21" i="3"/>
  <c r="N22" i="3"/>
  <c r="O22" i="3" s="1"/>
  <c r="N29" i="3"/>
  <c r="N18" i="3"/>
  <c r="O18" i="3" s="1"/>
  <c r="N15" i="3"/>
  <c r="N17" i="3"/>
  <c r="O17" i="3" s="1"/>
  <c r="N38" i="3"/>
  <c r="N45" i="3"/>
  <c r="O45" i="3" s="1"/>
  <c r="A47" i="3" l="1"/>
  <c r="A44" i="3"/>
  <c r="J15" i="3"/>
  <c r="I15" i="3"/>
  <c r="J39" i="3"/>
  <c r="I39" i="3"/>
  <c r="J18" i="3"/>
  <c r="I18" i="3"/>
  <c r="J17" i="3"/>
  <c r="I17" i="3"/>
  <c r="J20" i="3"/>
  <c r="I20" i="3"/>
  <c r="J38" i="3"/>
  <c r="I38" i="3"/>
  <c r="J29" i="3"/>
  <c r="I29" i="3"/>
  <c r="J21" i="3"/>
  <c r="I21" i="3"/>
  <c r="J35" i="3"/>
  <c r="I35" i="3"/>
  <c r="J27" i="3"/>
  <c r="I27" i="3"/>
  <c r="J12" i="3"/>
  <c r="I12" i="3"/>
  <c r="J45" i="3"/>
  <c r="I45" i="3"/>
  <c r="J22" i="3"/>
  <c r="I22" i="3"/>
  <c r="J28" i="3"/>
  <c r="I28" i="3"/>
  <c r="J7" i="3"/>
  <c r="I7" i="3"/>
  <c r="J25" i="3"/>
  <c r="I25" i="3"/>
  <c r="J16" i="3"/>
  <c r="I16" i="3"/>
  <c r="J9" i="3"/>
  <c r="I9" i="3"/>
  <c r="J14" i="3"/>
  <c r="I14" i="3"/>
  <c r="K39" i="3"/>
  <c r="K21" i="3"/>
  <c r="K27" i="3"/>
  <c r="K22" i="3"/>
  <c r="K25" i="3"/>
  <c r="K29" i="3"/>
  <c r="K18" i="3"/>
  <c r="K16" i="3"/>
  <c r="K15" i="3"/>
  <c r="K17" i="3"/>
  <c r="K35" i="3"/>
  <c r="K12" i="3"/>
  <c r="A48" i="3" s="1"/>
  <c r="K28" i="3"/>
  <c r="K9" i="3"/>
  <c r="K20" i="3"/>
  <c r="K38" i="3"/>
  <c r="A5" i="3" s="1"/>
  <c r="K45" i="3"/>
  <c r="A41" i="3" s="1"/>
  <c r="K7" i="3"/>
  <c r="K14" i="3"/>
  <c r="A40" i="3" s="1"/>
  <c r="H18" i="3"/>
  <c r="H22" i="3"/>
  <c r="H45" i="3"/>
  <c r="H17" i="3"/>
  <c r="N35" i="3"/>
  <c r="O35" i="3" s="1"/>
  <c r="N9" i="3"/>
  <c r="N12" i="3"/>
  <c r="O15" i="3"/>
  <c r="H15" i="3" s="1"/>
  <c r="O21" i="3"/>
  <c r="H21" i="3" s="1"/>
  <c r="N7" i="3"/>
  <c r="N20" i="3"/>
  <c r="N28" i="3"/>
  <c r="N16" i="3"/>
  <c r="N25" i="3"/>
  <c r="O38" i="3"/>
  <c r="H38" i="3" s="1"/>
  <c r="O29" i="3"/>
  <c r="H29" i="3" s="1"/>
  <c r="N27" i="3"/>
  <c r="T19" i="1"/>
  <c r="T27" i="1"/>
  <c r="T46" i="1"/>
  <c r="T28" i="1"/>
  <c r="T30" i="1"/>
  <c r="T42" i="1"/>
  <c r="T32" i="1"/>
  <c r="T43" i="1"/>
  <c r="T21" i="1"/>
  <c r="T33" i="1"/>
  <c r="T37" i="1"/>
  <c r="T31" i="1"/>
  <c r="T47" i="1"/>
  <c r="T24" i="1"/>
  <c r="T23" i="1"/>
  <c r="T29" i="1"/>
  <c r="T48" i="1"/>
  <c r="T10" i="1"/>
  <c r="T6" i="1"/>
  <c r="AA24" i="1"/>
  <c r="AA23" i="1"/>
  <c r="AA29" i="1"/>
  <c r="AA48" i="1"/>
  <c r="AA10" i="1"/>
  <c r="AA19" i="1"/>
  <c r="AA27" i="1"/>
  <c r="AA46" i="1"/>
  <c r="AA28" i="1"/>
  <c r="AA30" i="1"/>
  <c r="AA42" i="1"/>
  <c r="AA32" i="1"/>
  <c r="AA43" i="1"/>
  <c r="AA21" i="1"/>
  <c r="AA33" i="1"/>
  <c r="AA37" i="1"/>
  <c r="AA31" i="1"/>
  <c r="AA47" i="1"/>
  <c r="AA6" i="1"/>
  <c r="F24" i="1"/>
  <c r="F23" i="1"/>
  <c r="F29" i="1"/>
  <c r="J29" i="1" s="1"/>
  <c r="F48" i="1"/>
  <c r="J48" i="1" s="1"/>
  <c r="F10" i="1"/>
  <c r="J10" i="1" s="1"/>
  <c r="F19" i="1"/>
  <c r="F27" i="1"/>
  <c r="J27" i="1" s="1"/>
  <c r="F46" i="1"/>
  <c r="J46" i="1" s="1"/>
  <c r="F28" i="1"/>
  <c r="J28" i="1" s="1"/>
  <c r="F30" i="1"/>
  <c r="J30" i="1" s="1"/>
  <c r="F42" i="1"/>
  <c r="J42" i="1" s="1"/>
  <c r="F32" i="1"/>
  <c r="J32" i="1" s="1"/>
  <c r="F43" i="1"/>
  <c r="J43" i="1" s="1"/>
  <c r="F21" i="1"/>
  <c r="F33" i="1"/>
  <c r="J33" i="1" s="1"/>
  <c r="F37" i="1"/>
  <c r="J37" i="1" s="1"/>
  <c r="F31" i="1"/>
  <c r="J31" i="1" s="1"/>
  <c r="F47" i="1"/>
  <c r="J47" i="1" s="1"/>
  <c r="F6" i="1"/>
  <c r="A24" i="3" l="1"/>
  <c r="A49" i="1"/>
  <c r="A43" i="3"/>
  <c r="A31" i="3"/>
  <c r="A36" i="3"/>
  <c r="A39" i="3"/>
  <c r="A28" i="3"/>
  <c r="A25" i="3"/>
  <c r="A27" i="3"/>
  <c r="A35" i="3"/>
  <c r="A26" i="3"/>
  <c r="J6" i="1"/>
  <c r="J23" i="1"/>
  <c r="J24" i="1"/>
  <c r="A5" i="1"/>
  <c r="J21" i="1"/>
  <c r="J19" i="1"/>
  <c r="A19" i="3"/>
  <c r="A8" i="3"/>
  <c r="A22" i="3"/>
  <c r="A23" i="3"/>
  <c r="A7" i="3"/>
  <c r="A29" i="3"/>
  <c r="A30" i="3"/>
  <c r="A33" i="3"/>
  <c r="A21" i="3"/>
  <c r="A13" i="3"/>
  <c r="I33" i="1"/>
  <c r="I27" i="1"/>
  <c r="I19" i="1"/>
  <c r="I32" i="1"/>
  <c r="I24" i="1"/>
  <c r="I42" i="1"/>
  <c r="I6" i="1"/>
  <c r="I10" i="1"/>
  <c r="I30" i="1"/>
  <c r="I48" i="1"/>
  <c r="I21" i="1"/>
  <c r="I28" i="1"/>
  <c r="I47" i="1"/>
  <c r="I46" i="1"/>
  <c r="I29" i="1"/>
  <c r="I31" i="1"/>
  <c r="I23" i="1"/>
  <c r="I37" i="1"/>
  <c r="I43" i="1"/>
  <c r="K29" i="1"/>
  <c r="K23" i="1"/>
  <c r="K24" i="1"/>
  <c r="K6" i="1"/>
  <c r="K31" i="1"/>
  <c r="A50" i="1" s="1"/>
  <c r="K48" i="1"/>
  <c r="K43" i="1"/>
  <c r="K30" i="1"/>
  <c r="K37" i="1"/>
  <c r="K42" i="1"/>
  <c r="K33" i="1"/>
  <c r="K32" i="1"/>
  <c r="K21" i="1"/>
  <c r="K28" i="1"/>
  <c r="K47" i="1"/>
  <c r="K46" i="1"/>
  <c r="A46" i="1" s="1"/>
  <c r="K10" i="1"/>
  <c r="A14" i="1" s="1"/>
  <c r="K27" i="1"/>
  <c r="K19" i="1"/>
  <c r="O12" i="3"/>
  <c r="H12" i="3" s="1"/>
  <c r="H35" i="3"/>
  <c r="O9" i="3"/>
  <c r="H9" i="3" s="1"/>
  <c r="O25" i="3"/>
  <c r="H25" i="3" s="1"/>
  <c r="O27" i="3"/>
  <c r="H27" i="3" s="1"/>
  <c r="O16" i="3"/>
  <c r="H16" i="3" s="1"/>
  <c r="O28" i="3"/>
  <c r="H28" i="3" s="1"/>
  <c r="O20" i="3"/>
  <c r="H20" i="3" s="1"/>
  <c r="O7" i="3"/>
  <c r="H7" i="3" s="1"/>
  <c r="N48" i="1"/>
  <c r="O48" i="1" s="1"/>
  <c r="N29" i="1"/>
  <c r="O29" i="1" s="1"/>
  <c r="N31" i="1"/>
  <c r="O31" i="1" s="1"/>
  <c r="N23" i="1"/>
  <c r="O23" i="1" s="1"/>
  <c r="N37" i="1"/>
  <c r="O37" i="1" s="1"/>
  <c r="N43" i="1"/>
  <c r="O43" i="1" s="1"/>
  <c r="N46" i="1"/>
  <c r="O46" i="1" s="1"/>
  <c r="N24" i="1"/>
  <c r="O24" i="1" s="1"/>
  <c r="N27" i="1"/>
  <c r="O27" i="1" s="1"/>
  <c r="N47" i="1"/>
  <c r="O47" i="1" s="1"/>
  <c r="N6" i="1"/>
  <c r="O6" i="1" s="1"/>
  <c r="N33" i="1"/>
  <c r="O33" i="1" s="1"/>
  <c r="N32" i="1"/>
  <c r="O32" i="1" s="1"/>
  <c r="N21" i="1"/>
  <c r="O21" i="1" s="1"/>
  <c r="N42" i="1"/>
  <c r="O42" i="1" s="1"/>
  <c r="H42" i="1" s="1"/>
  <c r="N19" i="1"/>
  <c r="O19" i="1" s="1"/>
  <c r="N28" i="1"/>
  <c r="O28" i="1" s="1"/>
  <c r="N10" i="1"/>
  <c r="O10" i="1" s="1"/>
  <c r="N30" i="1"/>
  <c r="O30" i="1" s="1"/>
  <c r="A15" i="1" l="1"/>
  <c r="A45" i="1"/>
  <c r="A17" i="1"/>
  <c r="A21" i="1"/>
  <c r="A51" i="1"/>
  <c r="A47" i="1"/>
  <c r="A48" i="1"/>
  <c r="A43" i="1"/>
  <c r="A3" i="1"/>
  <c r="A38" i="1"/>
  <c r="A40" i="1"/>
  <c r="A44" i="1"/>
  <c r="A12" i="1"/>
  <c r="A19" i="1"/>
  <c r="A39" i="1"/>
  <c r="A41" i="1"/>
  <c r="A42" i="1"/>
  <c r="A37" i="1"/>
  <c r="A20" i="1"/>
  <c r="A11" i="1"/>
  <c r="A25" i="1"/>
  <c r="A24" i="1"/>
  <c r="A27" i="1"/>
  <c r="A16" i="1"/>
  <c r="A30" i="1"/>
  <c r="A32" i="1"/>
  <c r="A33" i="1"/>
  <c r="A35" i="1"/>
  <c r="A26" i="1"/>
  <c r="A28" i="1"/>
  <c r="A13" i="1"/>
  <c r="A22" i="1"/>
  <c r="A29" i="1"/>
  <c r="A31" i="1"/>
  <c r="A34" i="1"/>
  <c r="A36" i="1"/>
  <c r="A9" i="1"/>
  <c r="A10" i="1"/>
  <c r="H23" i="1"/>
  <c r="H47" i="1"/>
  <c r="H48" i="1"/>
  <c r="H28" i="1"/>
  <c r="A4" i="1" s="1"/>
  <c r="H37" i="1"/>
  <c r="H27" i="1"/>
  <c r="H43" i="1"/>
  <c r="H10" i="1"/>
  <c r="A7" i="1" s="1"/>
  <c r="H19" i="1"/>
  <c r="H24" i="1"/>
  <c r="A23" i="1" s="1"/>
  <c r="H46" i="1"/>
  <c r="H33" i="1"/>
  <c r="H30" i="1"/>
  <c r="H32" i="1"/>
  <c r="H29" i="1"/>
  <c r="H31" i="1"/>
  <c r="H6" i="1"/>
  <c r="H21" i="1"/>
  <c r="A6" i="1" l="1"/>
  <c r="E62" i="2" s="1" a="1"/>
  <c r="E62" i="2" s="1"/>
  <c r="A8" i="1"/>
  <c r="A18" i="1"/>
  <c r="N14" i="3"/>
  <c r="O14" i="3" s="1"/>
  <c r="H14" i="3" s="1"/>
  <c r="E41" i="2" l="1" a="1"/>
  <c r="E41" i="2" s="1"/>
  <c r="E58" i="2" a="1"/>
  <c r="E58" i="2" s="1"/>
  <c r="E59" i="2" a="1"/>
  <c r="E59" i="2" s="1"/>
  <c r="E52" i="2" a="1"/>
  <c r="E52" i="2" s="1"/>
  <c r="E65" i="2" a="1"/>
  <c r="E65" i="2" s="1"/>
  <c r="E37" i="2" a="1"/>
  <c r="E37" i="2" s="1"/>
  <c r="E48" i="2" a="1"/>
  <c r="E48" i="2" s="1"/>
  <c r="E57" i="2" a="1"/>
  <c r="E57" i="2" s="1"/>
  <c r="D34" i="2" a="1"/>
  <c r="D34" i="2" s="1"/>
  <c r="A34" i="2" s="1"/>
  <c r="E42" i="2" a="1"/>
  <c r="E42" i="2" s="1"/>
  <c r="E39" i="2" a="1"/>
  <c r="E39" i="2" s="1"/>
  <c r="E44" i="2" a="1"/>
  <c r="E44" i="2" s="1"/>
  <c r="E63" i="2" a="1"/>
  <c r="E63" i="2" s="1"/>
  <c r="E35" i="2" a="1"/>
  <c r="E35" i="2" s="1"/>
  <c r="E34" i="2" a="1"/>
  <c r="E34" i="2" s="1"/>
  <c r="E38" i="2" a="1"/>
  <c r="E38" i="2" s="1"/>
  <c r="E55" i="2" a="1"/>
  <c r="E55" i="2" s="1"/>
  <c r="E40" i="2" a="1"/>
  <c r="E40" i="2" s="1"/>
  <c r="E46" i="2" a="1"/>
  <c r="E46" i="2" s="1"/>
  <c r="E64" i="2" a="1"/>
  <c r="E64" i="2" s="1"/>
  <c r="E49" i="2" a="1"/>
  <c r="E49" i="2" s="1"/>
  <c r="E61" i="2" a="1"/>
  <c r="E61" i="2" s="1"/>
  <c r="E51" i="2" a="1"/>
  <c r="E51" i="2" s="1"/>
  <c r="E56" i="2" a="1"/>
  <c r="E56" i="2" s="1"/>
  <c r="E36" i="2" a="1"/>
  <c r="E36" i="2" s="1"/>
  <c r="E54" i="2" a="1"/>
  <c r="E54" i="2" s="1"/>
  <c r="E45" i="2" a="1"/>
  <c r="E45" i="2" s="1"/>
  <c r="E50" i="2" a="1"/>
  <c r="E50" i="2" s="1"/>
  <c r="E47" i="2" a="1"/>
  <c r="E47" i="2" s="1"/>
  <c r="E60" i="2" a="1"/>
  <c r="E60" i="2" s="1"/>
  <c r="E53" i="2" a="1"/>
  <c r="E53" i="2" s="1"/>
  <c r="E43" i="2" a="1"/>
  <c r="E43" i="2" s="1"/>
  <c r="A46" i="3"/>
  <c r="A14" i="3"/>
  <c r="A9" i="3"/>
  <c r="A45" i="3"/>
  <c r="A42" i="3"/>
  <c r="A20" i="3"/>
  <c r="A11" i="3"/>
  <c r="A32" i="3"/>
  <c r="A15" i="3"/>
  <c r="A6" i="3"/>
  <c r="A16" i="3"/>
  <c r="A38" i="3"/>
  <c r="A17" i="3"/>
  <c r="A18" i="3"/>
  <c r="A4" i="3"/>
  <c r="A37" i="3"/>
  <c r="A3" i="3"/>
  <c r="A10" i="3"/>
  <c r="A34" i="3"/>
  <c r="A12" i="3"/>
  <c r="D59" i="2" a="1"/>
  <c r="D59" i="2" s="1"/>
  <c r="A59" i="2" s="1"/>
  <c r="D46" i="2" a="1"/>
  <c r="D46" i="2" s="1"/>
  <c r="A46" i="2" s="1"/>
  <c r="D43" i="2" a="1"/>
  <c r="D43" i="2" s="1"/>
  <c r="A43" i="2" s="1"/>
  <c r="D42" i="2" a="1"/>
  <c r="D42" i="2" s="1"/>
  <c r="A42" i="2" s="1"/>
  <c r="D58" i="2" a="1"/>
  <c r="D58" i="2" s="1"/>
  <c r="A58" i="2" s="1"/>
  <c r="D57" i="2" a="1"/>
  <c r="D57" i="2" s="1"/>
  <c r="A57" i="2" s="1"/>
  <c r="D65" i="2" a="1"/>
  <c r="D65" i="2" s="1"/>
  <c r="A65" i="2" s="1"/>
  <c r="D37" i="2" a="1"/>
  <c r="D37" i="2" s="1"/>
  <c r="A37" i="2" s="1"/>
  <c r="D44" i="2" a="1"/>
  <c r="D44" i="2" s="1"/>
  <c r="A44" i="2" s="1"/>
  <c r="D56" i="2" a="1"/>
  <c r="D56" i="2" s="1"/>
  <c r="A56" i="2" s="1"/>
  <c r="D60" i="2" a="1"/>
  <c r="D60" i="2" s="1"/>
  <c r="A60" i="2" s="1"/>
  <c r="D54" i="2" a="1"/>
  <c r="D54" i="2" s="1"/>
  <c r="A54" i="2" s="1"/>
  <c r="D62" i="2" a="1"/>
  <c r="D62" i="2" s="1"/>
  <c r="A62" i="2" s="1"/>
  <c r="D41" i="2" a="1"/>
  <c r="D41" i="2" s="1"/>
  <c r="A41" i="2" s="1"/>
  <c r="D55" i="2" a="1"/>
  <c r="D55" i="2" s="1"/>
  <c r="A55" i="2" s="1"/>
  <c r="D50" i="2" a="1"/>
  <c r="D50" i="2" s="1"/>
  <c r="A50" i="2" s="1"/>
  <c r="D35" i="2" a="1"/>
  <c r="D35" i="2" s="1"/>
  <c r="A35" i="2" s="1"/>
  <c r="D40" i="2" a="1"/>
  <c r="D40" i="2" s="1"/>
  <c r="A40" i="2" s="1"/>
  <c r="D49" i="2" a="1"/>
  <c r="D49" i="2" s="1"/>
  <c r="A49" i="2" s="1"/>
  <c r="D36" i="2" a="1"/>
  <c r="D36" i="2" s="1"/>
  <c r="A36" i="2" s="1"/>
  <c r="D64" i="2" a="1"/>
  <c r="D64" i="2" s="1"/>
  <c r="A64" i="2" s="1"/>
  <c r="D51" i="2" a="1"/>
  <c r="D51" i="2" s="1"/>
  <c r="A51" i="2" s="1"/>
  <c r="D63" i="2" a="1"/>
  <c r="D63" i="2" s="1"/>
  <c r="A63" i="2" s="1"/>
  <c r="D52" i="2" a="1"/>
  <c r="D52" i="2" s="1"/>
  <c r="A52" i="2" s="1"/>
  <c r="D38" i="2" a="1"/>
  <c r="D38" i="2" s="1"/>
  <c r="A38" i="2" s="1"/>
  <c r="D53" i="2" a="1"/>
  <c r="D53" i="2" s="1"/>
  <c r="A53" i="2" s="1"/>
  <c r="D47" i="2" a="1"/>
  <c r="D47" i="2" s="1"/>
  <c r="A47" i="2" s="1"/>
  <c r="D45" i="2" a="1"/>
  <c r="D45" i="2" s="1"/>
  <c r="A45" i="2" s="1"/>
  <c r="D48" i="2" a="1"/>
  <c r="D48" i="2" s="1"/>
  <c r="A48" i="2" s="1"/>
  <c r="D61" i="2" a="1"/>
  <c r="D61" i="2" s="1"/>
  <c r="A61" i="2" s="1"/>
  <c r="D39" i="2" a="1"/>
  <c r="D39" i="2" s="1"/>
  <c r="A39" i="2" s="1"/>
  <c r="E3" i="2" l="1" a="1"/>
  <c r="E3" i="2" s="1"/>
  <c r="E10" i="2" a="1"/>
  <c r="E10" i="2" s="1"/>
  <c r="E16" i="2" a="1"/>
  <c r="E16" i="2" s="1"/>
  <c r="E29" i="2" a="1"/>
  <c r="E29" i="2" s="1"/>
  <c r="E6" i="2" a="1"/>
  <c r="E6" i="2" s="1"/>
  <c r="E32" i="2" a="1"/>
  <c r="E32" i="2" s="1"/>
  <c r="E4" i="2" a="1"/>
  <c r="E4" i="2" s="1"/>
  <c r="E17" i="2" a="1"/>
  <c r="E17" i="2" s="1"/>
  <c r="E23" i="2" a="1"/>
  <c r="E23" i="2" s="1"/>
  <c r="E30" i="2" a="1"/>
  <c r="E30" i="2" s="1"/>
  <c r="E12" i="2" a="1"/>
  <c r="E12" i="2" s="1"/>
  <c r="E9" i="2" a="1"/>
  <c r="E9" i="2" s="1"/>
  <c r="E5" i="2" a="1"/>
  <c r="E5" i="2" s="1"/>
  <c r="E11" i="2" a="1"/>
  <c r="E11" i="2" s="1"/>
  <c r="E18" i="2" a="1"/>
  <c r="E18" i="2" s="1"/>
  <c r="E24" i="2" a="1"/>
  <c r="E24" i="2" s="1"/>
  <c r="E31" i="2" a="1"/>
  <c r="E31" i="2" s="1"/>
  <c r="E25" i="2" a="1"/>
  <c r="E25" i="2" s="1"/>
  <c r="E22" i="2" a="1"/>
  <c r="E22" i="2" s="1"/>
  <c r="E13" i="2" a="1"/>
  <c r="E13" i="2" s="1"/>
  <c r="E19" i="2" a="1"/>
  <c r="E19" i="2" s="1"/>
  <c r="E26" i="2" a="1"/>
  <c r="E26" i="2" s="1"/>
  <c r="E33" i="2" a="1"/>
  <c r="E33" i="2" s="1"/>
  <c r="E8" i="2" a="1"/>
  <c r="E8" i="2" s="1"/>
  <c r="E27" i="2" a="1"/>
  <c r="E27" i="2" s="1"/>
  <c r="E28" i="2" a="1"/>
  <c r="E28" i="2" s="1"/>
  <c r="E7" i="2" a="1"/>
  <c r="E7" i="2" s="1"/>
  <c r="E14" i="2" a="1"/>
  <c r="E14" i="2" s="1"/>
  <c r="E20" i="2" a="1"/>
  <c r="E20" i="2" s="1"/>
  <c r="E2" i="2" a="1"/>
  <c r="E2" i="2" s="1"/>
  <c r="E21" i="2" a="1"/>
  <c r="E21" i="2" s="1"/>
  <c r="E15" i="2" a="1"/>
  <c r="E15" i="2" s="1"/>
  <c r="D26" i="2" a="1"/>
  <c r="D26" i="2" s="1"/>
  <c r="A26" i="2" s="1"/>
  <c r="D18" i="2" a="1"/>
  <c r="D18" i="2" s="1"/>
  <c r="A18" i="2" s="1"/>
  <c r="D25" i="2" a="1"/>
  <c r="D25" i="2" s="1"/>
  <c r="A25" i="2" s="1"/>
  <c r="D4" i="2" a="1"/>
  <c r="D4" i="2" s="1"/>
  <c r="A4" i="2" s="1"/>
  <c r="D16" i="2" a="1"/>
  <c r="D16" i="2" s="1"/>
  <c r="A16" i="2" s="1"/>
  <c r="D2" i="2" a="1"/>
  <c r="D2" i="2" s="1"/>
  <c r="A2" i="2" s="1"/>
  <c r="D32" i="2" a="1"/>
  <c r="D32" i="2" s="1"/>
  <c r="A32" i="2" s="1"/>
  <c r="D24" i="2" a="1"/>
  <c r="D24" i="2" s="1"/>
  <c r="A24" i="2" s="1"/>
  <c r="D17" i="2" a="1"/>
  <c r="D17" i="2" s="1"/>
  <c r="A17" i="2" s="1"/>
  <c r="D21" i="2" a="1"/>
  <c r="D21" i="2" s="1"/>
  <c r="A21" i="2" s="1"/>
  <c r="D3" i="2" a="1"/>
  <c r="D3" i="2" s="1"/>
  <c r="A3" i="2" s="1"/>
  <c r="D33" i="2" a="1"/>
  <c r="D33" i="2" s="1"/>
  <c r="A33" i="2" s="1"/>
  <c r="D9" i="2" a="1"/>
  <c r="D9" i="2" s="1"/>
  <c r="A9" i="2" s="1"/>
  <c r="D5" i="2" a="1"/>
  <c r="D5" i="2" s="1"/>
  <c r="A5" i="2" s="1"/>
  <c r="D11" i="2" a="1"/>
  <c r="D11" i="2" s="1"/>
  <c r="A11" i="2" s="1"/>
  <c r="D12" i="2" a="1"/>
  <c r="D12" i="2" s="1"/>
  <c r="A12" i="2" s="1"/>
  <c r="D7" i="2" a="1"/>
  <c r="D7" i="2" s="1"/>
  <c r="A7" i="2" s="1"/>
  <c r="D28" i="2" a="1"/>
  <c r="D28" i="2" s="1"/>
  <c r="A28" i="2" s="1"/>
  <c r="D13" i="2" a="1"/>
  <c r="D13" i="2" s="1"/>
  <c r="A13" i="2" s="1"/>
  <c r="D20" i="2" a="1"/>
  <c r="D20" i="2" s="1"/>
  <c r="A20" i="2" s="1"/>
  <c r="D23" i="2" a="1"/>
  <c r="D23" i="2" s="1"/>
  <c r="A23" i="2" s="1"/>
  <c r="D30" i="2" a="1"/>
  <c r="D30" i="2" s="1"/>
  <c r="A30" i="2" s="1"/>
  <c r="D8" i="2" a="1"/>
  <c r="D8" i="2" s="1"/>
  <c r="A8" i="2" s="1"/>
  <c r="D15" i="2" a="1"/>
  <c r="D15" i="2" s="1"/>
  <c r="A15" i="2" s="1"/>
  <c r="D29" i="2" a="1"/>
  <c r="D29" i="2" s="1"/>
  <c r="A29" i="2" s="1"/>
  <c r="D27" i="2" a="1"/>
  <c r="D27" i="2" s="1"/>
  <c r="A27" i="2" s="1"/>
  <c r="D31" i="2" a="1"/>
  <c r="D31" i="2" s="1"/>
  <c r="A31" i="2" s="1"/>
  <c r="D6" i="2" a="1"/>
  <c r="D6" i="2" s="1"/>
  <c r="A6" i="2" s="1"/>
  <c r="D19" i="2" a="1"/>
  <c r="D19" i="2" s="1"/>
  <c r="A19" i="2" s="1"/>
  <c r="D10" i="2" a="1"/>
  <c r="D10" i="2" s="1"/>
  <c r="A10" i="2" s="1"/>
  <c r="D14" i="2" a="1"/>
  <c r="D14" i="2" s="1"/>
  <c r="A14" i="2" s="1"/>
  <c r="D22" i="2" a="1"/>
  <c r="D22" i="2" s="1"/>
  <c r="A22" i="2" s="1"/>
</calcChain>
</file>

<file path=xl/sharedStrings.xml><?xml version="1.0" encoding="utf-8"?>
<sst xmlns="http://schemas.openxmlformats.org/spreadsheetml/2006/main" count="1214" uniqueCount="317">
  <si>
    <t>Name</t>
  </si>
  <si>
    <t>Province</t>
  </si>
  <si>
    <t>Club</t>
  </si>
  <si>
    <t>PINNOCK, Liana</t>
  </si>
  <si>
    <t>ON</t>
  </si>
  <si>
    <t>Synergy Gymnastics</t>
  </si>
  <si>
    <t>BC</t>
  </si>
  <si>
    <t>Okanagan Gymnastics Centre</t>
  </si>
  <si>
    <t>AB</t>
  </si>
  <si>
    <t>Calgary Gymnastics Centre</t>
  </si>
  <si>
    <t>Shasta Trampoline</t>
  </si>
  <si>
    <t>Skyriders Trampoline Place</t>
  </si>
  <si>
    <t>QC</t>
  </si>
  <si>
    <t>Trampoline Intercité</t>
  </si>
  <si>
    <t>BOUDREAU, Camille</t>
  </si>
  <si>
    <t>Dynamix</t>
  </si>
  <si>
    <t>PHANEUF, Zoe</t>
  </si>
  <si>
    <t>Virtuose Centre Scrobatique</t>
  </si>
  <si>
    <t>Thunder Country Trampoline and Gymnastics</t>
  </si>
  <si>
    <t>RANIERI, Laura</t>
  </si>
  <si>
    <t>LARGE, Veronica</t>
  </si>
  <si>
    <t>Kingston Aeros</t>
  </si>
  <si>
    <t>Whistler Gymnastics</t>
  </si>
  <si>
    <t xml:space="preserve">MANAHAN, Nicole </t>
  </si>
  <si>
    <t>Manjak's Gymnastics</t>
  </si>
  <si>
    <t>Kamloops Gymnastics and Trampoline Centre</t>
  </si>
  <si>
    <t>RIPLEY, Sarah</t>
  </si>
  <si>
    <t>ANAKA, Ashley</t>
  </si>
  <si>
    <t>SK</t>
  </si>
  <si>
    <t>Team Saskatchewan</t>
  </si>
  <si>
    <t>WELSH, Emily</t>
  </si>
  <si>
    <t>YOB</t>
  </si>
  <si>
    <t>Age Group</t>
  </si>
  <si>
    <t>Compulsory</t>
  </si>
  <si>
    <t>Compulsory DD</t>
  </si>
  <si>
    <t>Optional</t>
  </si>
  <si>
    <t>Optional DD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</si>
  <si>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</si>
  <si>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</si>
  <si>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</si>
  <si>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</si>
  <si>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</si>
  <si>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</si>
  <si>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</si>
  <si>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</si>
  <si>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BOUCHER, Alexandra</t>
  </si>
  <si>
    <t>BONHAM, Maja</t>
  </si>
  <si>
    <t>MOISEEV, Sophia</t>
  </si>
  <si>
    <t>DOHAN, Shelynn</t>
  </si>
  <si>
    <t>TAM, Rachel</t>
  </si>
  <si>
    <t>BERTHIAUME, Sara-Jade</t>
  </si>
  <si>
    <t>MCCAIG, Abby</t>
  </si>
  <si>
    <t>CELENTANO, Jensen</t>
  </si>
  <si>
    <t>FLYNN, Gabriella</t>
  </si>
  <si>
    <t>WAI, Emma</t>
  </si>
  <si>
    <t>Best Other Voluntary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</si>
  <si>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</si>
  <si>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</si>
  <si>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</si>
  <si>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</si>
  <si>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</si>
  <si>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</si>
  <si>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</si>
  <si>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</si>
  <si>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</si>
  <si>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</si>
  <si>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</si>
  <si>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</si>
  <si>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</si>
  <si>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</si>
  <si>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Met Requirements</t>
  </si>
  <si>
    <t>Virtuose Centre Acrobatique</t>
  </si>
  <si>
    <t>DON, Alexander</t>
  </si>
  <si>
    <t>Burlington BGs</t>
  </si>
  <si>
    <t>Kingston Aeros Trampoline Club</t>
  </si>
  <si>
    <t>Phoenix Gymnastics Centre</t>
  </si>
  <si>
    <t>NS</t>
  </si>
  <si>
    <t>Titans Trampoline</t>
  </si>
  <si>
    <t>Flip City</t>
  </si>
  <si>
    <t>POLEGATO, Andrew</t>
  </si>
  <si>
    <t>NB</t>
  </si>
  <si>
    <t>Kingswood Gymnastics</t>
  </si>
  <si>
    <t>HENFREY, Ashton</t>
  </si>
  <si>
    <t>DAWSON, David</t>
  </si>
  <si>
    <t>Club Aviva</t>
  </si>
  <si>
    <t>Nanaimo Gymnastics School</t>
  </si>
  <si>
    <t>VAILLANCOURT, Olivier</t>
  </si>
  <si>
    <t>MANCINI, Michael</t>
  </si>
  <si>
    <t>Grand River Gymmies</t>
  </si>
  <si>
    <t>POMERLEAU, Julien</t>
  </si>
  <si>
    <t xml:space="preserve">LEFAIVRE, Justin </t>
  </si>
  <si>
    <t>KVRGIC, Nicholas</t>
  </si>
  <si>
    <t>OAA</t>
  </si>
  <si>
    <t>RICHARD, Dexter</t>
  </si>
  <si>
    <t>FISHMAN, Max</t>
  </si>
  <si>
    <t>MCCAIG (2001) / PHANEUF (2003)</t>
  </si>
  <si>
    <t>CELENTANO (2001)/RANIERI (1998)</t>
  </si>
  <si>
    <t>DON (2002)/RIENDEAU (2001)</t>
  </si>
  <si>
    <t>FRIGON (2000)/LEFAIVRE (1998)</t>
  </si>
  <si>
    <t>Qc</t>
  </si>
  <si>
    <t>Nanaimo Gymnastics</t>
  </si>
  <si>
    <t>Dynamo Gymnastics</t>
  </si>
  <si>
    <t>T&amp;T Adventure</t>
  </si>
  <si>
    <t>Kamloops Gymnastics and Trampoline Club</t>
  </si>
  <si>
    <t>Altadore Gymnastics Club</t>
  </si>
  <si>
    <t>Prince George Gymnastics</t>
  </si>
  <si>
    <t>Acrospot Barani</t>
  </si>
  <si>
    <t>Futures Gymnastics</t>
  </si>
  <si>
    <t>Team Sask</t>
  </si>
  <si>
    <t>Oakville Gymnastics Club</t>
  </si>
  <si>
    <t>CGC</t>
  </si>
  <si>
    <t>Ariborne Okotoks</t>
  </si>
  <si>
    <t>Wimgym</t>
  </si>
  <si>
    <t>Kamloops Gymnastics and Trampoline</t>
  </si>
  <si>
    <t>Best Prelim</t>
  </si>
  <si>
    <t>Best Other Round</t>
  </si>
  <si>
    <t>Prelims DD</t>
  </si>
  <si>
    <t>Team Members:</t>
  </si>
  <si>
    <t>Member</t>
  </si>
  <si>
    <t>Sort names into correct order</t>
  </si>
  <si>
    <t>DD and Score Together</t>
  </si>
  <si>
    <t>Elite Canada 2019</t>
  </si>
  <si>
    <t>Nationals 2019</t>
  </si>
  <si>
    <t>Select</t>
  </si>
  <si>
    <t>Add a new athlete to:</t>
  </si>
  <si>
    <t>Remove athlete:</t>
  </si>
  <si>
    <t>Okanagan</t>
  </si>
  <si>
    <t>Nanaimo</t>
  </si>
  <si>
    <t>Shasta</t>
  </si>
  <si>
    <t>Just Bounce</t>
  </si>
  <si>
    <t>Exelta</t>
  </si>
  <si>
    <t>Grande Prairie</t>
  </si>
  <si>
    <t>Altadore</t>
  </si>
  <si>
    <t>Flippers</t>
  </si>
  <si>
    <t>MB</t>
  </si>
  <si>
    <t>KGTC</t>
  </si>
  <si>
    <t>Okaganan</t>
  </si>
  <si>
    <t>Revelstoke</t>
  </si>
  <si>
    <t>Acrosport</t>
  </si>
  <si>
    <t>Anti-Gravity</t>
  </si>
  <si>
    <t>Skyriders</t>
  </si>
  <si>
    <t>Manjak's</t>
  </si>
  <si>
    <t>BONHAM (2002) / FLYNN (2001)</t>
  </si>
  <si>
    <t>KGTC/Nanaimo</t>
  </si>
  <si>
    <t>DODD (2003) / MOULD (2001)</t>
  </si>
  <si>
    <t>CLOUTIER (2005) / LEVASSEUR (2004)</t>
  </si>
  <si>
    <t>OAA/Grand River</t>
  </si>
  <si>
    <t>KVRGIC (1998) / MANCINI (2000)</t>
  </si>
  <si>
    <t>Tumblers</t>
  </si>
  <si>
    <t>Phoenix</t>
  </si>
  <si>
    <t>STANNARD (2003) / ZUREK (2003)</t>
  </si>
  <si>
    <t>ARRUDA (2002) / LOVE (2003)</t>
  </si>
  <si>
    <t>Virtuose</t>
  </si>
  <si>
    <t>ROSS, Éliane</t>
  </si>
  <si>
    <t>NAGANO, Mariko</t>
  </si>
  <si>
    <t>BRIAND-BRIÈRE, Gabrielle</t>
  </si>
  <si>
    <t>RAUTENBACH, Loami</t>
  </si>
  <si>
    <t>ROMANIUK, Maveric</t>
  </si>
  <si>
    <t>CARROLL, Jordan</t>
  </si>
  <si>
    <t>Beauséjour</t>
  </si>
  <si>
    <t>EDWARDS, Evan</t>
  </si>
  <si>
    <t>PAPKYRIAKOPOULOS, Eleni</t>
  </si>
  <si>
    <t>ANDERSON, Julie</t>
  </si>
  <si>
    <t>THACKERAY, Nyla</t>
  </si>
  <si>
    <t>EAGLE, Madison</t>
  </si>
  <si>
    <t xml:space="preserve">LAWLESS, Taya </t>
  </si>
  <si>
    <t>HARDJOWASITO, Claire</t>
  </si>
  <si>
    <t>CIRONE, Domenica</t>
  </si>
  <si>
    <t>LOVE, Ethan</t>
  </si>
  <si>
    <t>LEVASSEUR, Nathan</t>
  </si>
  <si>
    <t>BOUCHARD, Cameron</t>
  </si>
  <si>
    <t>KARWACKI, Jordan</t>
  </si>
  <si>
    <t>CLOUTIER, Étienne</t>
  </si>
  <si>
    <t>PERREAULT, Mathieu</t>
  </si>
  <si>
    <t>Airborne KW</t>
  </si>
  <si>
    <t>CARVALHO, Gabriel</t>
  </si>
  <si>
    <t>Asymétriques</t>
  </si>
  <si>
    <t>SEROUART, Guillaume</t>
  </si>
  <si>
    <t>CHÂTEAUVERT, Émile</t>
  </si>
  <si>
    <t>SPENCE, Abby</t>
  </si>
  <si>
    <t>Futures</t>
  </si>
  <si>
    <t>IBACH, Sam</t>
  </si>
  <si>
    <t>MEZA, Patty</t>
  </si>
  <si>
    <t>Quinte Bay</t>
  </si>
  <si>
    <t>MATTHEWS, Jared</t>
  </si>
  <si>
    <t>KLASSEN, Isaiah</t>
  </si>
  <si>
    <t>UVAKOV, Chris</t>
  </si>
  <si>
    <t>Last Updated:</t>
  </si>
  <si>
    <t>DODD, Gavin</t>
  </si>
  <si>
    <t>ZUREK, Nolan</t>
  </si>
  <si>
    <t>WISHLOW, Josh</t>
  </si>
  <si>
    <t>LUPISH, Kieran</t>
  </si>
  <si>
    <t>DWYER, Kai</t>
  </si>
  <si>
    <t>BLAKELY, Zachary</t>
  </si>
  <si>
    <t>MOULD, Blake</t>
  </si>
  <si>
    <t>ARMSTRONG, Owen</t>
  </si>
  <si>
    <t>FRIGON, Charles</t>
  </si>
  <si>
    <t>BIANCHET, Anthony</t>
  </si>
  <si>
    <t>ARRUDA, Erik</t>
  </si>
  <si>
    <t>CHAMPAGNE, Tyler</t>
  </si>
  <si>
    <t>RIENDEAU, Gabriel</t>
  </si>
  <si>
    <t>CARLSON, Roman</t>
  </si>
  <si>
    <t>LAGACÉ, Benjamin</t>
  </si>
  <si>
    <t>FARNSWORTH, Brent</t>
  </si>
  <si>
    <t>ANDERSON (2003) / PAPAKYRIAKOPOLOUS (2004)</t>
  </si>
  <si>
    <t>MOISEEV (2002) / NAGANO (2002)</t>
  </si>
  <si>
    <t>RIPLEY (1999) / WAI (2001)</t>
  </si>
  <si>
    <t>CARROLL (2003) / MANAHAN (1998)</t>
  </si>
  <si>
    <t>HARASYM, Will</t>
  </si>
  <si>
    <t>STANNARD, Adam</t>
  </si>
  <si>
    <t>BELL, Jason</t>
  </si>
  <si>
    <t>LEFAIVRE, Justin</t>
  </si>
  <si>
    <t>BARLOW, Pierce</t>
  </si>
  <si>
    <t>ERTMAN, Brent</t>
  </si>
  <si>
    <t>PARISOT, Stan</t>
  </si>
  <si>
    <t>NEVELAINEN, Cole</t>
  </si>
  <si>
    <t>PISKO, Carter</t>
  </si>
  <si>
    <t>DEXTRASE, Ethan</t>
  </si>
  <si>
    <t>CHÂTEAUVERT, Emile</t>
  </si>
  <si>
    <t>FERNANDES, Antonio</t>
  </si>
  <si>
    <t>PEDERSEN, Mitchel</t>
  </si>
  <si>
    <t>HOWELL, Kayla</t>
  </si>
  <si>
    <t>BODNAR, Cassidy</t>
  </si>
  <si>
    <t>PARHAR, Jasmine</t>
  </si>
  <si>
    <t>PAPAKYRIAKOPOLOUS, Eleni</t>
  </si>
  <si>
    <t>KOCI, Makayla</t>
  </si>
  <si>
    <t>THOMPSON, Abby</t>
  </si>
  <si>
    <t>PILLINGER, Taylor</t>
  </si>
  <si>
    <t>GILLESPIE, Ashley</t>
  </si>
  <si>
    <t>SCHULER, Sierra</t>
  </si>
  <si>
    <t>MOORE, Sara</t>
  </si>
  <si>
    <t>NAKONECHNI, Haley</t>
  </si>
  <si>
    <t>DODD, Kristina</t>
  </si>
  <si>
    <t>YENDLEY, Jordyn</t>
  </si>
  <si>
    <t>VITEYCHUK, Kaitlyn</t>
  </si>
  <si>
    <t>WENNBERG, Hanna</t>
  </si>
  <si>
    <t>MACDONALD, Anna</t>
  </si>
  <si>
    <t>WAX, Sophie</t>
  </si>
  <si>
    <t>VERBANCIC, Alexandria</t>
  </si>
  <si>
    <t>BOUCHER, Alex</t>
  </si>
  <si>
    <t>DALGETTY, McKayla</t>
  </si>
  <si>
    <t>WILL, Rebecca</t>
  </si>
  <si>
    <t>HARRIS, Janiah</t>
  </si>
  <si>
    <t>KYFIUK, MacKenzie</t>
  </si>
  <si>
    <t>MCCONNELL, Jocelyn</t>
  </si>
  <si>
    <t>HARRISON, Emily</t>
  </si>
  <si>
    <t>DONG, Helen</t>
  </si>
  <si>
    <t>SIMINIUC, Alexandra</t>
  </si>
  <si>
    <t>SCHOLES, Hannah</t>
  </si>
  <si>
    <t>TOMASSINI, Vanessa</t>
  </si>
  <si>
    <t>ANDERSON, Ryley</t>
  </si>
  <si>
    <t>JEWAN, Brittney</t>
  </si>
  <si>
    <t>TYO, Monica</t>
  </si>
  <si>
    <t>NOSSACK, Sophie</t>
  </si>
  <si>
    <t>Thunder Country</t>
  </si>
  <si>
    <t>FIGUEROA, Paola</t>
  </si>
  <si>
    <t>BOYER, Jasmine</t>
  </si>
  <si>
    <t>PROBE, Celia</t>
  </si>
  <si>
    <t>METHERAL, Hannah</t>
  </si>
  <si>
    <t>BAO, Norine</t>
  </si>
  <si>
    <t>MAJOR, Lilyclaire</t>
  </si>
  <si>
    <t>Calgary Gymnastics Center</t>
  </si>
  <si>
    <t>ARNDT, Kailyn</t>
  </si>
  <si>
    <t>DUBÉ, Marylou</t>
  </si>
  <si>
    <t>MCDONALD, Anna</t>
  </si>
  <si>
    <t>Kamloops Gymnasticcs Center</t>
  </si>
  <si>
    <t>LE CUNFF, Gaëlle</t>
  </si>
  <si>
    <t>HARRIGAN, Jane</t>
  </si>
  <si>
    <t>RUNDELL, Cc</t>
  </si>
  <si>
    <t>MINOR, Rachel</t>
  </si>
  <si>
    <t>SOEHN, Kalena</t>
  </si>
  <si>
    <t>ALAIN, Hugo</t>
  </si>
  <si>
    <t>AUDET, Alex</t>
  </si>
  <si>
    <t>MASSON, Félix</t>
  </si>
  <si>
    <t>GAGNÉ, Julien</t>
  </si>
  <si>
    <t>REMAIS, Botond</t>
  </si>
  <si>
    <t>ZUKERMAN SCHURE, Ty</t>
  </si>
  <si>
    <t>THOMPSON, Derek</t>
  </si>
  <si>
    <t>AUBIN, Rémi</t>
  </si>
  <si>
    <t>BRIAND-BRIERE, Gabrielle</t>
  </si>
  <si>
    <t>Okanagan Gymnastics Center</t>
  </si>
  <si>
    <t>Aviva</t>
  </si>
  <si>
    <t>DYKMAN, Matthew</t>
  </si>
  <si>
    <t>PESSES, Carly</t>
  </si>
  <si>
    <t>HARDJOWASITO, Clare</t>
  </si>
  <si>
    <t>MCCRORY, Laine</t>
  </si>
  <si>
    <t>MACKAY, Kiana</t>
  </si>
  <si>
    <t>Ortona</t>
  </si>
  <si>
    <t>NEUFELD, Simon</t>
  </si>
  <si>
    <t>LAMOND, Nicolas</t>
  </si>
  <si>
    <t>PARHAM, Sammy</t>
  </si>
  <si>
    <t>MASSON, Felix</t>
  </si>
  <si>
    <t>Kingswood</t>
  </si>
  <si>
    <t>PETERSEN, Thomas</t>
  </si>
  <si>
    <t>Prelim DD</t>
  </si>
  <si>
    <t>DEMELO, Tyler</t>
  </si>
  <si>
    <t>BOND, Rylan</t>
  </si>
  <si>
    <t>AUBIN (2001)/LAGACE (1999)</t>
  </si>
  <si>
    <t>Calgary Gymnastics</t>
  </si>
  <si>
    <t>CARLSON (2002)/CHANPAGNE (1999)</t>
  </si>
  <si>
    <t>RISWICK, Joshua</t>
  </si>
  <si>
    <t>NESTMAN, MacKenzie</t>
  </si>
  <si>
    <t>GOLDTHORPE, Jamie</t>
  </si>
  <si>
    <t>2019 Nationals</t>
  </si>
  <si>
    <t>Submitted Intent</t>
  </si>
  <si>
    <t>P</t>
  </si>
  <si>
    <t>MASSON (2000)/PERREAULT (2003)</t>
  </si>
  <si>
    <t>PARHAM (2001)/THOMPSON (2005)</t>
  </si>
  <si>
    <t>ARMSTRONG (2001)/FISHMAN (2001)</t>
  </si>
  <si>
    <t>BAO (2005)/ROMANIUK (2005)</t>
  </si>
  <si>
    <t>Acrosport Barani</t>
  </si>
  <si>
    <t>BRIAND-BRIERE (2003)/ROUX (1998)</t>
  </si>
  <si>
    <t>BOYER (2003)/FIGEUROA (2002)</t>
  </si>
  <si>
    <t>Virtuose/Thunder Country</t>
  </si>
  <si>
    <t>QC/AB</t>
  </si>
  <si>
    <t>CIRONE (1998)/SOEHN (1999)</t>
  </si>
  <si>
    <t>Acrosport Barani/Virtuose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</si>
</sst>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theme="1"/>
      <name val="Wingdings 2"/>
      <charset val="2"/>
    </font>
    <font>
      <sz val="12"/>
      <name val="Wingdings 2"/>
      <charset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7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5" fontId="0" fillId="0" borderId="5" xfId="0" applyNumberFormat="1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164" fontId="0" fillId="0" borderId="7" xfId="0" applyNumberFormat="1" applyBorder="1" applyAlignment="1" applyProtection="1">
      <alignment horizontal="center"/>
      <protection locked="0"/>
    </xf>
    <xf numFmtId="164" fontId="0" fillId="0" borderId="7" xfId="0" applyNumberFormat="1" applyBorder="1" applyProtection="1">
      <protection locked="0"/>
    </xf>
    <xf numFmtId="0" fontId="0" fillId="0" borderId="7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5" fontId="0" fillId="0" borderId="0" xfId="0" applyNumberFormat="1" applyFill="1" applyBorder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164" fontId="0" fillId="0" borderId="0" xfId="0" applyNumberFormat="1" applyFill="1" applyBorder="1" applyAlignment="1" applyProtection="1">
      <alignment horizontal="center"/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165" fontId="0" fillId="0" borderId="5" xfId="0" applyNumberFormat="1" applyFill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11" fillId="2" borderId="0" xfId="0" applyFont="1" applyFill="1"/>
    <xf numFmtId="0" fontId="11" fillId="2" borderId="0" xfId="0" quotePrefix="1" applyFont="1" applyFill="1"/>
    <xf numFmtId="0" fontId="11" fillId="3" borderId="0" xfId="0" applyFont="1" applyFill="1"/>
    <xf numFmtId="0" fontId="11" fillId="3" borderId="0" xfId="0" quotePrefix="1" applyFont="1" applyFill="1"/>
    <xf numFmtId="0" fontId="3" fillId="0" borderId="0" xfId="0" applyFont="1"/>
    <xf numFmtId="164" fontId="12" fillId="0" borderId="0" xfId="0" applyNumberFormat="1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4" fillId="2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8" xfId="0" applyFont="1" applyBorder="1" applyAlignment="1">
      <alignment horizont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84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1"/>
  <sheetViews>
    <sheetView tabSelected="1" zoomScaleNormal="100" workbookViewId="0"/>
  </sheetViews>
  <sheetFormatPr baseColWidth="10" defaultColWidth="11" defaultRowHeight="16" x14ac:dyDescent="0.2"/>
  <cols>
    <col min="1" max="1" width="14.6640625" bestFit="1" customWidth="1"/>
    <col min="2" max="2" width="10" customWidth="1"/>
    <col min="3" max="3" width="7" bestFit="1" customWidth="1"/>
    <col min="4" max="4" width="31" bestFit="1" customWidth="1"/>
    <col min="5" max="5" width="15" style="60" bestFit="1" customWidth="1"/>
  </cols>
  <sheetData>
    <row r="1" spans="1:5" x14ac:dyDescent="0.2">
      <c r="A1" s="32" t="s">
        <v>117</v>
      </c>
      <c r="B1" s="32" t="s">
        <v>32</v>
      </c>
      <c r="C1" s="32" t="s">
        <v>56</v>
      </c>
      <c r="D1" s="32" t="s">
        <v>118</v>
      </c>
      <c r="E1" s="32" t="s">
        <v>304</v>
      </c>
    </row>
    <row r="2" spans="1:5" hidden="1" x14ac:dyDescent="0.2">
      <c r="A2" s="50" t="str">
        <f>IF(D2="","","TRA-M")</f>
        <v/>
      </c>
      <c r="B2" s="51" t="s">
        <v>59</v>
      </c>
      <c r="C2" s="50">
        <v>1</v>
      </c>
      <c r="D2" s="50" t="str">
        <f t="array" ref="D2">_xlfn.IFNA(INDEX('TRA-M'!B$3:B$49,MATCH(1,(C2='TRA-M'!A$3:A$49)*(B2='TRA-M'!F$3:F$49),0)),"")</f>
        <v/>
      </c>
      <c r="E2" s="58" t="str">
        <f t="array" ref="E2">_xlfn.IFNA(IF(INDEX('TRA-M'!G$3:G$49,MATCH(1,(C2='TRA-M'!A$3:A$49)*(B2='TRA-M'!F$3:F$49),0))="P","P",""),"")</f>
        <v/>
      </c>
    </row>
    <row r="3" spans="1:5" hidden="1" x14ac:dyDescent="0.2">
      <c r="A3" s="50" t="str">
        <f t="shared" ref="A3:A33" si="0">IF(D3="","","TRA-M")</f>
        <v/>
      </c>
      <c r="B3" s="51" t="s">
        <v>59</v>
      </c>
      <c r="C3" s="50">
        <v>2</v>
      </c>
      <c r="D3" s="50" t="str">
        <f t="array" ref="D3">_xlfn.IFNA(INDEX('TRA-M'!B$3:B$49,MATCH(1,(C3='TRA-M'!A$3:A$49)*(B3='TRA-M'!F$3:F$49),0)),"")</f>
        <v/>
      </c>
      <c r="E3" s="58" t="str">
        <f t="array" ref="E3">_xlfn.IFNA(IF(INDEX('TRA-M'!G$3:G$49,MATCH(1,(C3='TRA-M'!A$3:A$49)*(B3='TRA-M'!F$3:F$49),0))="P","P",""),"")</f>
        <v/>
      </c>
    </row>
    <row r="4" spans="1:5" hidden="1" x14ac:dyDescent="0.2">
      <c r="A4" s="50" t="str">
        <f t="shared" si="0"/>
        <v/>
      </c>
      <c r="B4" s="51" t="s">
        <v>59</v>
      </c>
      <c r="C4" s="50">
        <v>3</v>
      </c>
      <c r="D4" s="50" t="str">
        <f t="array" ref="D4">_xlfn.IFNA(INDEX('TRA-M'!B$3:B$49,MATCH(1,(C4='TRA-M'!A$3:A$49)*(B4='TRA-M'!F$3:F$49),0)),"")</f>
        <v/>
      </c>
      <c r="E4" s="58" t="str">
        <f t="array" ref="E4">_xlfn.IFNA(IF(INDEX('TRA-M'!G$3:G$49,MATCH(1,(C4='TRA-M'!A$3:A$49)*(B4='TRA-M'!F$3:F$49),0))="P","P",""),"")</f>
        <v/>
      </c>
    </row>
    <row r="5" spans="1:5" hidden="1" x14ac:dyDescent="0.2">
      <c r="A5" s="50" t="str">
        <f t="shared" si="0"/>
        <v/>
      </c>
      <c r="B5" s="51" t="s">
        <v>59</v>
      </c>
      <c r="C5" s="50">
        <v>4</v>
      </c>
      <c r="D5" s="50" t="str">
        <f t="array" ref="D5">_xlfn.IFNA(INDEX('TRA-M'!B$3:B$49,MATCH(1,(C5='TRA-M'!A$3:A$49)*(B5='TRA-M'!F$3:F$49),0)),"")</f>
        <v/>
      </c>
      <c r="E5" s="58" t="str">
        <f t="array" ref="E5">_xlfn.IFNA(IF(INDEX('TRA-M'!G$3:G$49,MATCH(1,(C5='TRA-M'!A$3:A$49)*(B5='TRA-M'!F$3:F$49),0))="P","P",""),"")</f>
        <v/>
      </c>
    </row>
    <row r="6" spans="1:5" hidden="1" x14ac:dyDescent="0.2">
      <c r="A6" s="50" t="str">
        <f t="shared" si="0"/>
        <v/>
      </c>
      <c r="B6" s="51" t="s">
        <v>59</v>
      </c>
      <c r="C6" s="50">
        <v>5</v>
      </c>
      <c r="D6" s="50" t="str">
        <f t="array" ref="D6">_xlfn.IFNA(INDEX('TRA-M'!B$3:B$49,MATCH(1,(C6='TRA-M'!A$3:A$49)*(B6='TRA-M'!F$3:F$49),0)),"")</f>
        <v/>
      </c>
      <c r="E6" s="58" t="str">
        <f t="array" ref="E6">_xlfn.IFNA(IF(INDEX('TRA-M'!G$3:G$49,MATCH(1,(C6='TRA-M'!A$3:A$49)*(B6='TRA-M'!F$3:F$49),0))="P","P",""),"")</f>
        <v/>
      </c>
    </row>
    <row r="7" spans="1:5" hidden="1" x14ac:dyDescent="0.2">
      <c r="A7" s="50" t="str">
        <f t="shared" si="0"/>
        <v/>
      </c>
      <c r="B7" s="51" t="s">
        <v>59</v>
      </c>
      <c r="C7" s="50">
        <v>6</v>
      </c>
      <c r="D7" s="50" t="str">
        <f t="array" ref="D7">_xlfn.IFNA(INDEX('TRA-M'!B$3:B$49,MATCH(1,(C7='TRA-M'!A$3:A$49)*(B7='TRA-M'!F$3:F$49),0)),"")</f>
        <v/>
      </c>
      <c r="E7" s="58" t="str">
        <f t="array" ref="E7">_xlfn.IFNA(IF(INDEX('TRA-M'!G$3:G$49,MATCH(1,(C7='TRA-M'!A$3:A$49)*(B7='TRA-M'!F$3:F$49),0))="P","P",""),"")</f>
        <v/>
      </c>
    </row>
    <row r="8" spans="1:5" hidden="1" x14ac:dyDescent="0.2">
      <c r="A8" s="50" t="str">
        <f t="shared" si="0"/>
        <v/>
      </c>
      <c r="B8" s="51" t="s">
        <v>59</v>
      </c>
      <c r="C8" s="50">
        <v>7</v>
      </c>
      <c r="D8" s="50" t="str">
        <f t="array" ref="D8">_xlfn.IFNA(INDEX('TRA-M'!B$3:B$49,MATCH(1,(C8='TRA-M'!A$3:A$49)*(B8='TRA-M'!F$3:F$49),0)),"")</f>
        <v/>
      </c>
      <c r="E8" s="58" t="str">
        <f t="array" ref="E8">_xlfn.IFNA(IF(INDEX('TRA-M'!G$3:G$49,MATCH(1,(C8='TRA-M'!A$3:A$49)*(B8='TRA-M'!F$3:F$49),0))="P","P",""),"")</f>
        <v/>
      </c>
    </row>
    <row r="9" spans="1:5" hidden="1" x14ac:dyDescent="0.2">
      <c r="A9" s="50" t="str">
        <f t="shared" si="0"/>
        <v/>
      </c>
      <c r="B9" s="51" t="s">
        <v>59</v>
      </c>
      <c r="C9" s="50">
        <v>8</v>
      </c>
      <c r="D9" s="50" t="str">
        <f t="array" ref="D9">_xlfn.IFNA(INDEX('TRA-M'!B$3:B$49,MATCH(1,(C9='TRA-M'!A$3:A$49)*(B9='TRA-M'!F$3:F$49),0)),"")</f>
        <v/>
      </c>
      <c r="E9" s="58" t="str">
        <f t="array" ref="E9">_xlfn.IFNA(IF(INDEX('TRA-M'!G$3:G$49,MATCH(1,(C9='TRA-M'!A$3:A$49)*(B9='TRA-M'!F$3:F$49),0))="P","P",""),"")</f>
        <v/>
      </c>
    </row>
    <row r="10" spans="1:5" x14ac:dyDescent="0.2">
      <c r="A10" s="50" t="str">
        <f t="shared" si="0"/>
        <v>TRA-M</v>
      </c>
      <c r="B10" s="50" t="s">
        <v>58</v>
      </c>
      <c r="C10" s="50">
        <v>1</v>
      </c>
      <c r="D10" s="50" t="str">
        <f t="array" ref="D10">_xlfn.IFNA(INDEX('TRA-M'!B$3:B$49,MATCH(1,(C10='TRA-M'!A$3:A$49)*(B10='TRA-M'!F$3:F$49),0)),"")</f>
        <v>CLOUTIER, Étienne</v>
      </c>
      <c r="E10" s="58" t="str">
        <f t="array" ref="E10">_xlfn.IFNA(IF(INDEX('TRA-M'!G$3:G$49,MATCH(1,(C10='TRA-M'!A$3:A$49)*(B10='TRA-M'!F$3:F$49),0))="P","P",""),"")</f>
        <v/>
      </c>
    </row>
    <row r="11" spans="1:5" hidden="1" x14ac:dyDescent="0.2">
      <c r="A11" s="50" t="str">
        <f t="shared" si="0"/>
        <v/>
      </c>
      <c r="B11" s="50" t="s">
        <v>58</v>
      </c>
      <c r="C11" s="50">
        <v>2</v>
      </c>
      <c r="D11" s="50" t="str">
        <f t="array" ref="D11">_xlfn.IFNA(INDEX('TRA-M'!B$3:B$49,MATCH(1,(C11='TRA-M'!A$3:A$49)*(B11='TRA-M'!F$3:F$49),0)),"")</f>
        <v/>
      </c>
      <c r="E11" s="58" t="str">
        <f t="array" ref="E11">_xlfn.IFNA(IF(INDEX('TRA-M'!G$3:G$49,MATCH(1,(C11='TRA-M'!A$3:A$49)*(B11='TRA-M'!F$3:F$49),0))="P","P",""),"")</f>
        <v/>
      </c>
    </row>
    <row r="12" spans="1:5" hidden="1" x14ac:dyDescent="0.2">
      <c r="A12" s="50" t="str">
        <f t="shared" si="0"/>
        <v/>
      </c>
      <c r="B12" s="50" t="s">
        <v>58</v>
      </c>
      <c r="C12" s="50">
        <v>3</v>
      </c>
      <c r="D12" s="50" t="str">
        <f t="array" ref="D12">_xlfn.IFNA(INDEX('TRA-M'!B$3:B$49,MATCH(1,(C12='TRA-M'!A$3:A$49)*(B12='TRA-M'!F$3:F$49),0)),"")</f>
        <v/>
      </c>
      <c r="E12" s="58" t="str">
        <f t="array" ref="E12">_xlfn.IFNA(IF(INDEX('TRA-M'!G$3:G$49,MATCH(1,(C12='TRA-M'!A$3:A$49)*(B12='TRA-M'!F$3:F$49),0))="P","P",""),"")</f>
        <v/>
      </c>
    </row>
    <row r="13" spans="1:5" hidden="1" x14ac:dyDescent="0.2">
      <c r="A13" s="50" t="str">
        <f t="shared" si="0"/>
        <v/>
      </c>
      <c r="B13" s="50" t="s">
        <v>58</v>
      </c>
      <c r="C13" s="50">
        <v>4</v>
      </c>
      <c r="D13" s="50" t="str">
        <f t="array" ref="D13">_xlfn.IFNA(INDEX('TRA-M'!B$3:B$49,MATCH(1,(C13='TRA-M'!A$3:A$49)*(B13='TRA-M'!F$3:F$49),0)),"")</f>
        <v/>
      </c>
      <c r="E13" s="58" t="str">
        <f t="array" ref="E13">_xlfn.IFNA(IF(INDEX('TRA-M'!G$3:G$49,MATCH(1,(C13='TRA-M'!A$3:A$49)*(B13='TRA-M'!F$3:F$49),0))="P","P",""),"")</f>
        <v/>
      </c>
    </row>
    <row r="14" spans="1:5" hidden="1" x14ac:dyDescent="0.2">
      <c r="A14" s="50" t="str">
        <f t="shared" si="0"/>
        <v/>
      </c>
      <c r="B14" s="50" t="s">
        <v>58</v>
      </c>
      <c r="C14" s="50">
        <v>5</v>
      </c>
      <c r="D14" s="50" t="str">
        <f t="array" ref="D14">_xlfn.IFNA(INDEX('TRA-M'!B$3:B$49,MATCH(1,(C14='TRA-M'!A$3:A$49)*(B14='TRA-M'!F$3:F$49),0)),"")</f>
        <v/>
      </c>
      <c r="E14" s="58" t="str">
        <f t="array" ref="E14">_xlfn.IFNA(IF(INDEX('TRA-M'!G$3:G$49,MATCH(1,(C14='TRA-M'!A$3:A$49)*(B14='TRA-M'!F$3:F$49),0))="P","P",""),"")</f>
        <v/>
      </c>
    </row>
    <row r="15" spans="1:5" hidden="1" x14ac:dyDescent="0.2">
      <c r="A15" s="50" t="str">
        <f t="shared" si="0"/>
        <v/>
      </c>
      <c r="B15" s="50" t="s">
        <v>58</v>
      </c>
      <c r="C15" s="50">
        <v>6</v>
      </c>
      <c r="D15" s="50" t="str">
        <f t="array" ref="D15">_xlfn.IFNA(INDEX('TRA-M'!B$3:B$49,MATCH(1,(C15='TRA-M'!A$3:A$49)*(B15='TRA-M'!F$3:F$49),0)),"")</f>
        <v/>
      </c>
      <c r="E15" s="58" t="str">
        <f t="array" ref="E15">_xlfn.IFNA(IF(INDEX('TRA-M'!G$3:G$49,MATCH(1,(C15='TRA-M'!A$3:A$49)*(B15='TRA-M'!F$3:F$49),0))="P","P",""),"")</f>
        <v/>
      </c>
    </row>
    <row r="16" spans="1:5" hidden="1" x14ac:dyDescent="0.2">
      <c r="A16" s="50" t="str">
        <f t="shared" si="0"/>
        <v/>
      </c>
      <c r="B16" s="50" t="s">
        <v>58</v>
      </c>
      <c r="C16" s="50">
        <v>7</v>
      </c>
      <c r="D16" s="50" t="str">
        <f t="array" ref="D16">_xlfn.IFNA(INDEX('TRA-M'!B$3:B$49,MATCH(1,(C16='TRA-M'!A$3:A$49)*(B16='TRA-M'!F$3:F$49),0)),"")</f>
        <v/>
      </c>
      <c r="E16" s="58" t="str">
        <f t="array" ref="E16">_xlfn.IFNA(IF(INDEX('TRA-M'!G$3:G$49,MATCH(1,(C16='TRA-M'!A$3:A$49)*(B16='TRA-M'!F$3:F$49),0))="P","P",""),"")</f>
        <v/>
      </c>
    </row>
    <row r="17" spans="1:5" hidden="1" x14ac:dyDescent="0.2">
      <c r="A17" s="50" t="str">
        <f t="shared" si="0"/>
        <v/>
      </c>
      <c r="B17" s="50" t="s">
        <v>58</v>
      </c>
      <c r="C17" s="50">
        <v>8</v>
      </c>
      <c r="D17" s="50" t="str">
        <f t="array" ref="D17">_xlfn.IFNA(INDEX('TRA-M'!B$3:B$49,MATCH(1,(C17='TRA-M'!A$3:A$49)*(B17='TRA-M'!F$3:F$49),0)),"")</f>
        <v/>
      </c>
      <c r="E17" s="58" t="str">
        <f t="array" ref="E17">_xlfn.IFNA(IF(INDEX('TRA-M'!G$3:G$49,MATCH(1,(C17='TRA-M'!A$3:A$49)*(B17='TRA-M'!F$3:F$49),0))="P","P",""),"")</f>
        <v/>
      </c>
    </row>
    <row r="18" spans="1:5" x14ac:dyDescent="0.2">
      <c r="A18" s="50" t="str">
        <f t="shared" si="0"/>
        <v>TRA-M</v>
      </c>
      <c r="B18" s="50" t="s">
        <v>60</v>
      </c>
      <c r="C18" s="50">
        <v>1</v>
      </c>
      <c r="D18" s="50" t="str">
        <f t="array" ref="D18">_xlfn.IFNA(INDEX('TRA-M'!B$3:B$49,MATCH(1,(C18='TRA-M'!A$3:A$49)*(B18='TRA-M'!F$3:F$49),0)),"")</f>
        <v>DODD, Gavin</v>
      </c>
      <c r="E18" s="58" t="str">
        <f t="array" ref="E18">_xlfn.IFNA(IF(INDEX('TRA-M'!G$3:G$49,MATCH(1,(C18='TRA-M'!A$3:A$49)*(B18='TRA-M'!F$3:F$49),0))="P","P",""),"")</f>
        <v>P</v>
      </c>
    </row>
    <row r="19" spans="1:5" x14ac:dyDescent="0.2">
      <c r="A19" s="50" t="str">
        <f t="shared" si="0"/>
        <v>TRA-M</v>
      </c>
      <c r="B19" s="50" t="s">
        <v>60</v>
      </c>
      <c r="C19" s="50">
        <v>2</v>
      </c>
      <c r="D19" s="50" t="str">
        <f t="array" ref="D19">_xlfn.IFNA(INDEX('TRA-M'!B$3:B$49,MATCH(1,(C19='TRA-M'!A$3:A$49)*(B19='TRA-M'!F$3:F$49),0)),"")</f>
        <v>LOVE, Ethan</v>
      </c>
      <c r="E19" s="58" t="str">
        <f t="array" ref="E19">_xlfn.IFNA(IF(INDEX('TRA-M'!G$3:G$49,MATCH(1,(C19='TRA-M'!A$3:A$49)*(B19='TRA-M'!F$3:F$49),0))="P","P",""),"")</f>
        <v>P</v>
      </c>
    </row>
    <row r="20" spans="1:5" x14ac:dyDescent="0.2">
      <c r="A20" s="50" t="str">
        <f t="shared" si="0"/>
        <v>TRA-M</v>
      </c>
      <c r="B20" s="50" t="s">
        <v>60</v>
      </c>
      <c r="C20" s="50">
        <v>3</v>
      </c>
      <c r="D20" s="50" t="str">
        <f t="array" ref="D20">_xlfn.IFNA(INDEX('TRA-M'!B$3:B$49,MATCH(1,(C20='TRA-M'!A$3:A$49)*(B20='TRA-M'!F$3:F$49),0)),"")</f>
        <v>LUPISH, Kieran</v>
      </c>
      <c r="E20" s="58" t="str">
        <f t="array" ref="E20">_xlfn.IFNA(IF(INDEX('TRA-M'!G$3:G$49,MATCH(1,(C20='TRA-M'!A$3:A$49)*(B20='TRA-M'!F$3:F$49),0))="P","P",""),"")</f>
        <v>P</v>
      </c>
    </row>
    <row r="21" spans="1:5" hidden="1" x14ac:dyDescent="0.2">
      <c r="A21" s="50" t="str">
        <f t="shared" si="0"/>
        <v/>
      </c>
      <c r="B21" s="50" t="s">
        <v>60</v>
      </c>
      <c r="C21" s="50">
        <v>4</v>
      </c>
      <c r="D21" s="50" t="str">
        <f t="array" ref="D21">_xlfn.IFNA(INDEX('TRA-M'!B$3:B$49,MATCH(1,(C21='TRA-M'!A$3:A$49)*(B21='TRA-M'!F$3:F$49),0)),"")</f>
        <v/>
      </c>
      <c r="E21" s="58" t="str">
        <f t="array" ref="E21">_xlfn.IFNA(IF(INDEX('TRA-M'!G$3:G$49,MATCH(1,(C21='TRA-M'!A$3:A$49)*(B21='TRA-M'!F$3:F$49),0))="P","P",""),"")</f>
        <v/>
      </c>
    </row>
    <row r="22" spans="1:5" hidden="1" x14ac:dyDescent="0.2">
      <c r="A22" s="50" t="str">
        <f t="shared" si="0"/>
        <v/>
      </c>
      <c r="B22" s="50" t="s">
        <v>60</v>
      </c>
      <c r="C22" s="50">
        <v>5</v>
      </c>
      <c r="D22" s="50" t="str">
        <f t="array" ref="D22">_xlfn.IFNA(INDEX('TRA-M'!B$3:B$49,MATCH(1,(C22='TRA-M'!A$3:A$49)*(B22='TRA-M'!F$3:F$49),0)),"")</f>
        <v/>
      </c>
      <c r="E22" s="58" t="str">
        <f t="array" ref="E22">_xlfn.IFNA(IF(INDEX('TRA-M'!G$3:G$49,MATCH(1,(C22='TRA-M'!A$3:A$49)*(B22='TRA-M'!F$3:F$49),0))="P","P",""),"")</f>
        <v/>
      </c>
    </row>
    <row r="23" spans="1:5" hidden="1" x14ac:dyDescent="0.2">
      <c r="A23" s="50" t="str">
        <f t="shared" si="0"/>
        <v/>
      </c>
      <c r="B23" s="50" t="s">
        <v>60</v>
      </c>
      <c r="C23" s="50">
        <v>6</v>
      </c>
      <c r="D23" s="50" t="str">
        <f t="array" ref="D23">_xlfn.IFNA(INDEX('TRA-M'!B$3:B$49,MATCH(1,(C23='TRA-M'!A$3:A$49)*(B23='TRA-M'!F$3:F$49),0)),"")</f>
        <v/>
      </c>
      <c r="E23" s="58" t="str">
        <f t="array" ref="E23">_xlfn.IFNA(IF(INDEX('TRA-M'!G$3:G$49,MATCH(1,(C23='TRA-M'!A$3:A$49)*(B23='TRA-M'!F$3:F$49),0))="P","P",""),"")</f>
        <v/>
      </c>
    </row>
    <row r="24" spans="1:5" hidden="1" x14ac:dyDescent="0.2">
      <c r="A24" s="50" t="str">
        <f t="shared" si="0"/>
        <v/>
      </c>
      <c r="B24" s="50" t="s">
        <v>60</v>
      </c>
      <c r="C24" s="50">
        <v>7</v>
      </c>
      <c r="D24" s="50" t="str">
        <f t="array" ref="D24">_xlfn.IFNA(INDEX('TRA-M'!B$3:B$49,MATCH(1,(C24='TRA-M'!A$3:A$49)*(B24='TRA-M'!F$3:F$49),0)),"")</f>
        <v/>
      </c>
      <c r="E24" s="58" t="str">
        <f t="array" ref="E24">_xlfn.IFNA(IF(INDEX('TRA-M'!G$3:G$49,MATCH(1,(C24='TRA-M'!A$3:A$49)*(B24='TRA-M'!F$3:F$49),0))="P","P",""),"")</f>
        <v/>
      </c>
    </row>
    <row r="25" spans="1:5" hidden="1" x14ac:dyDescent="0.2">
      <c r="A25" s="50" t="str">
        <f t="shared" si="0"/>
        <v/>
      </c>
      <c r="B25" s="50" t="s">
        <v>60</v>
      </c>
      <c r="C25" s="50">
        <v>8</v>
      </c>
      <c r="D25" s="50" t="str">
        <f t="array" ref="D25">_xlfn.IFNA(INDEX('TRA-M'!B$3:B$49,MATCH(1,(C25='TRA-M'!A$3:A$49)*(B25='TRA-M'!F$3:F$49),0)),"")</f>
        <v/>
      </c>
      <c r="E25" s="58" t="str">
        <f t="array" ref="E25">_xlfn.IFNA(IF(INDEX('TRA-M'!G$3:G$49,MATCH(1,(C25='TRA-M'!A$3:A$49)*(B25='TRA-M'!F$3:F$49),0))="P","P",""),"")</f>
        <v/>
      </c>
    </row>
    <row r="26" spans="1:5" x14ac:dyDescent="0.2">
      <c r="A26" s="50" t="str">
        <f t="shared" si="0"/>
        <v>TRA-M</v>
      </c>
      <c r="B26" s="50" t="s">
        <v>61</v>
      </c>
      <c r="C26" s="50">
        <v>1</v>
      </c>
      <c r="D26" s="50" t="str">
        <f t="array" ref="D26">_xlfn.IFNA(INDEX('TRA-M'!B$3:B$49,MATCH(1,(C26='TRA-M'!A$3:A$49)*(B26='TRA-M'!F$3:F$49),0)),"")</f>
        <v>LAGACÉ, Benjamin</v>
      </c>
      <c r="E26" s="58" t="str">
        <f t="array" ref="E26">_xlfn.IFNA(IF(INDEX('TRA-M'!G$3:G$49,MATCH(1,(C26='TRA-M'!A$3:A$49)*(B26='TRA-M'!F$3:F$49),0))="P","P",""),"")</f>
        <v/>
      </c>
    </row>
    <row r="27" spans="1:5" x14ac:dyDescent="0.2">
      <c r="A27" s="50" t="str">
        <f t="shared" si="0"/>
        <v>TRA-M</v>
      </c>
      <c r="B27" s="50" t="s">
        <v>61</v>
      </c>
      <c r="C27" s="50">
        <v>2</v>
      </c>
      <c r="D27" s="50" t="str">
        <f t="array" ref="D27">_xlfn.IFNA(INDEX('TRA-M'!B$3:B$49,MATCH(1,(C27='TRA-M'!A$3:A$49)*(B27='TRA-M'!F$3:F$49),0)),"")</f>
        <v>BLAKELY, Zachary</v>
      </c>
      <c r="E27" s="58" t="str">
        <f t="array" ref="E27">_xlfn.IFNA(IF(INDEX('TRA-M'!G$3:G$49,MATCH(1,(C27='TRA-M'!A$3:A$49)*(B27='TRA-M'!F$3:F$49),0))="P","P",""),"")</f>
        <v>P</v>
      </c>
    </row>
    <row r="28" spans="1:5" x14ac:dyDescent="0.2">
      <c r="A28" s="50" t="str">
        <f t="shared" si="0"/>
        <v>TRA-M</v>
      </c>
      <c r="B28" s="50" t="s">
        <v>61</v>
      </c>
      <c r="C28" s="50">
        <v>3</v>
      </c>
      <c r="D28" s="50" t="str">
        <f t="array" ref="D28">_xlfn.IFNA(INDEX('TRA-M'!B$3:B$49,MATCH(1,(C28='TRA-M'!A$3:A$49)*(B28='TRA-M'!F$3:F$49),0)),"")</f>
        <v>DWYER, Kai</v>
      </c>
      <c r="E28" s="58" t="str">
        <f t="array" ref="E28">_xlfn.IFNA(IF(INDEX('TRA-M'!G$3:G$49,MATCH(1,(C28='TRA-M'!A$3:A$49)*(B28='TRA-M'!F$3:F$49),0))="P","P",""),"")</f>
        <v>P</v>
      </c>
    </row>
    <row r="29" spans="1:5" x14ac:dyDescent="0.2">
      <c r="A29" s="50" t="str">
        <f t="shared" si="0"/>
        <v>TRA-M</v>
      </c>
      <c r="B29" s="50" t="s">
        <v>61</v>
      </c>
      <c r="C29" s="50">
        <v>4</v>
      </c>
      <c r="D29" s="50" t="str">
        <f t="array" ref="D29">_xlfn.IFNA(INDEX('TRA-M'!B$3:B$49,MATCH(1,(C29='TRA-M'!A$3:A$49)*(B29='TRA-M'!F$3:F$49),0)),"")</f>
        <v>ARMSTRONG, Owen</v>
      </c>
      <c r="E29" s="58" t="str">
        <f t="array" ref="E29">_xlfn.IFNA(IF(INDEX('TRA-M'!G$3:G$49,MATCH(1,(C29='TRA-M'!A$3:A$49)*(B29='TRA-M'!F$3:F$49),0))="P","P",""),"")</f>
        <v/>
      </c>
    </row>
    <row r="30" spans="1:5" hidden="1" x14ac:dyDescent="0.2">
      <c r="A30" s="50" t="str">
        <f t="shared" si="0"/>
        <v/>
      </c>
      <c r="B30" s="50" t="s">
        <v>61</v>
      </c>
      <c r="C30" s="50">
        <v>5</v>
      </c>
      <c r="D30" s="50" t="str">
        <f t="array" ref="D30">_xlfn.IFNA(INDEX('TRA-M'!B$3:B$49,MATCH(1,(C30='TRA-M'!A$3:A$49)*(B30='TRA-M'!F$3:F$49),0)),"")</f>
        <v/>
      </c>
      <c r="E30" s="58" t="str">
        <f t="array" ref="E30">_xlfn.IFNA(IF(INDEX('TRA-M'!G$3:G$49,MATCH(1,(C30='TRA-M'!A$3:A$49)*(B30='TRA-M'!F$3:F$49),0))="P","P",""),"")</f>
        <v/>
      </c>
    </row>
    <row r="31" spans="1:5" hidden="1" x14ac:dyDescent="0.2">
      <c r="A31" s="50" t="str">
        <f t="shared" si="0"/>
        <v/>
      </c>
      <c r="B31" s="50" t="s">
        <v>61</v>
      </c>
      <c r="C31" s="50">
        <v>6</v>
      </c>
      <c r="D31" s="50" t="str">
        <f t="array" ref="D31">_xlfn.IFNA(INDEX('TRA-M'!B$3:B$49,MATCH(1,(C31='TRA-M'!A$3:A$49)*(B31='TRA-M'!F$3:F$49),0)),"")</f>
        <v/>
      </c>
      <c r="E31" s="58" t="str">
        <f t="array" ref="E31">_xlfn.IFNA(IF(INDEX('TRA-M'!G$3:G$49,MATCH(1,(C31='TRA-M'!A$3:A$49)*(B31='TRA-M'!F$3:F$49),0))="P","P",""),"")</f>
        <v/>
      </c>
    </row>
    <row r="32" spans="1:5" hidden="1" x14ac:dyDescent="0.2">
      <c r="A32" s="50" t="str">
        <f t="shared" si="0"/>
        <v/>
      </c>
      <c r="B32" s="50" t="s">
        <v>61</v>
      </c>
      <c r="C32" s="50">
        <v>7</v>
      </c>
      <c r="D32" s="50" t="str">
        <f t="array" ref="D32">_xlfn.IFNA(INDEX('TRA-M'!B$3:B$49,MATCH(1,(C32='TRA-M'!A$3:A$49)*(B32='TRA-M'!F$3:F$49),0)),"")</f>
        <v/>
      </c>
      <c r="E32" s="58" t="str">
        <f t="array" ref="E32">_xlfn.IFNA(IF(INDEX('TRA-M'!G$3:G$49,MATCH(1,(C32='TRA-M'!A$3:A$49)*(B32='TRA-M'!F$3:F$49),0))="P","P",""),"")</f>
        <v/>
      </c>
    </row>
    <row r="33" spans="1:5" hidden="1" x14ac:dyDescent="0.2">
      <c r="A33" s="50" t="str">
        <f t="shared" si="0"/>
        <v/>
      </c>
      <c r="B33" s="50" t="s">
        <v>61</v>
      </c>
      <c r="C33" s="50">
        <v>8</v>
      </c>
      <c r="D33" s="50" t="str">
        <f t="array" ref="D33">_xlfn.IFNA(INDEX('TRA-M'!B$3:B$49,MATCH(1,(C33='TRA-M'!A$3:A$49)*(B33='TRA-M'!F$3:F$49),0)),"")</f>
        <v/>
      </c>
      <c r="E33" s="58" t="str">
        <f t="array" ref="E33">_xlfn.IFNA(IF(INDEX('TRA-M'!G$3:G$49,MATCH(1,(C33='TRA-M'!A$3:A$49)*(B33='TRA-M'!F$3:F$49),0))="P","P",""),"")</f>
        <v/>
      </c>
    </row>
    <row r="34" spans="1:5" hidden="1" x14ac:dyDescent="0.2">
      <c r="A34" s="52" t="str">
        <f>IF(D34="","","TRA-W")</f>
        <v/>
      </c>
      <c r="B34" s="53" t="s">
        <v>59</v>
      </c>
      <c r="C34" s="52">
        <v>1</v>
      </c>
      <c r="D34" s="52" t="str">
        <f t="array" ref="D34">_xlfn.IFNA(INDEX('TRA-W'!B$3:B$52,MATCH(1,(C34='TRA-W'!A$3:A$52)*(B34='TRA-W'!F$3:F$52),0)),"")</f>
        <v/>
      </c>
      <c r="E34" s="59" t="str">
        <f t="array" ref="E34">_xlfn.IFNA(IF(INDEX('TRA-W'!G$3:G$52,MATCH(1,(C34='TRA-W'!A$3:A$52)*(B34='TRA-W'!F$3:F$52),0))="P","P",""),"")</f>
        <v/>
      </c>
    </row>
    <row r="35" spans="1:5" hidden="1" x14ac:dyDescent="0.2">
      <c r="A35" s="52" t="str">
        <f t="shared" ref="A35:A65" si="1">IF(D35="","","TRA-W")</f>
        <v/>
      </c>
      <c r="B35" s="53" t="s">
        <v>59</v>
      </c>
      <c r="C35" s="52">
        <v>2</v>
      </c>
      <c r="D35" s="52" t="str">
        <f t="array" ref="D35">_xlfn.IFNA(INDEX('TRA-W'!B$3:B$52,MATCH(1,(C35='TRA-W'!A$3:A$52)*(B35='TRA-W'!F$3:F$52),0)),"")</f>
        <v/>
      </c>
      <c r="E35" s="59" t="str">
        <f t="array" ref="E35">_xlfn.IFNA(IF(INDEX('TRA-W'!G$3:G$52,MATCH(1,(C35='TRA-W'!A$3:A$52)*(B35='TRA-W'!F$3:F$52),0))="P","P",""),"")</f>
        <v/>
      </c>
    </row>
    <row r="36" spans="1:5" hidden="1" x14ac:dyDescent="0.2">
      <c r="A36" s="52" t="str">
        <f t="shared" si="1"/>
        <v/>
      </c>
      <c r="B36" s="53" t="s">
        <v>59</v>
      </c>
      <c r="C36" s="52">
        <v>3</v>
      </c>
      <c r="D36" s="52" t="str">
        <f t="array" ref="D36">_xlfn.IFNA(INDEX('TRA-W'!B$3:B$52,MATCH(1,(C36='TRA-W'!A$3:A$52)*(B36='TRA-W'!F$3:F$52),0)),"")</f>
        <v/>
      </c>
      <c r="E36" s="59" t="str">
        <f t="array" ref="E36">_xlfn.IFNA(IF(INDEX('TRA-W'!G$3:G$52,MATCH(1,(C36='TRA-W'!A$3:A$52)*(B36='TRA-W'!F$3:F$52),0))="P","P",""),"")</f>
        <v/>
      </c>
    </row>
    <row r="37" spans="1:5" hidden="1" x14ac:dyDescent="0.2">
      <c r="A37" s="52" t="str">
        <f t="shared" si="1"/>
        <v/>
      </c>
      <c r="B37" s="53" t="s">
        <v>59</v>
      </c>
      <c r="C37" s="52">
        <v>4</v>
      </c>
      <c r="D37" s="52" t="str">
        <f t="array" ref="D37">_xlfn.IFNA(INDEX('TRA-W'!B$3:B$52,MATCH(1,(C37='TRA-W'!A$3:A$52)*(B37='TRA-W'!F$3:F$52),0)),"")</f>
        <v/>
      </c>
      <c r="E37" s="59" t="str">
        <f t="array" ref="E37">_xlfn.IFNA(IF(INDEX('TRA-W'!G$3:G$52,MATCH(1,(C37='TRA-W'!A$3:A$52)*(B37='TRA-W'!F$3:F$52),0))="P","P",""),"")</f>
        <v/>
      </c>
    </row>
    <row r="38" spans="1:5" hidden="1" x14ac:dyDescent="0.2">
      <c r="A38" s="52" t="str">
        <f t="shared" si="1"/>
        <v/>
      </c>
      <c r="B38" s="53" t="s">
        <v>59</v>
      </c>
      <c r="C38" s="52">
        <v>5</v>
      </c>
      <c r="D38" s="52" t="str">
        <f t="array" ref="D38">_xlfn.IFNA(INDEX('TRA-W'!B$3:B$52,MATCH(1,(C38='TRA-W'!A$3:A$52)*(B38='TRA-W'!F$3:F$52),0)),"")</f>
        <v/>
      </c>
      <c r="E38" s="59" t="str">
        <f t="array" ref="E38">_xlfn.IFNA(IF(INDEX('TRA-W'!G$3:G$52,MATCH(1,(C38='TRA-W'!A$3:A$52)*(B38='TRA-W'!F$3:F$52),0))="P","P",""),"")</f>
        <v/>
      </c>
    </row>
    <row r="39" spans="1:5" hidden="1" x14ac:dyDescent="0.2">
      <c r="A39" s="52" t="str">
        <f t="shared" si="1"/>
        <v/>
      </c>
      <c r="B39" s="53" t="s">
        <v>59</v>
      </c>
      <c r="C39" s="52">
        <v>6</v>
      </c>
      <c r="D39" s="52" t="str">
        <f t="array" ref="D39">_xlfn.IFNA(INDEX('TRA-W'!B$3:B$52,MATCH(1,(C39='TRA-W'!A$3:A$52)*(B39='TRA-W'!F$3:F$52),0)),"")</f>
        <v/>
      </c>
      <c r="E39" s="59" t="str">
        <f t="array" ref="E39">_xlfn.IFNA(IF(INDEX('TRA-W'!G$3:G$52,MATCH(1,(C39='TRA-W'!A$3:A$52)*(B39='TRA-W'!F$3:F$52),0))="P","P",""),"")</f>
        <v/>
      </c>
    </row>
    <row r="40" spans="1:5" hidden="1" x14ac:dyDescent="0.2">
      <c r="A40" s="52" t="str">
        <f t="shared" si="1"/>
        <v/>
      </c>
      <c r="B40" s="53" t="s">
        <v>59</v>
      </c>
      <c r="C40" s="52">
        <v>7</v>
      </c>
      <c r="D40" s="52" t="str">
        <f t="array" ref="D40">_xlfn.IFNA(INDEX('TRA-W'!B$3:B$52,MATCH(1,(C40='TRA-W'!A$3:A$52)*(B40='TRA-W'!F$3:F$52),0)),"")</f>
        <v/>
      </c>
      <c r="E40" s="59" t="str">
        <f t="array" ref="E40">_xlfn.IFNA(IF(INDEX('TRA-W'!G$3:G$52,MATCH(1,(C40='TRA-W'!A$3:A$52)*(B40='TRA-W'!F$3:F$52),0))="P","P",""),"")</f>
        <v/>
      </c>
    </row>
    <row r="41" spans="1:5" hidden="1" x14ac:dyDescent="0.2">
      <c r="A41" s="52" t="str">
        <f t="shared" si="1"/>
        <v/>
      </c>
      <c r="B41" s="53" t="s">
        <v>59</v>
      </c>
      <c r="C41" s="52">
        <v>8</v>
      </c>
      <c r="D41" s="52" t="str">
        <f t="array" ref="D41">_xlfn.IFNA(INDEX('TRA-W'!B$3:B$52,MATCH(1,(C41='TRA-W'!A$3:A$52)*(B41='TRA-W'!F$3:F$52),0)),"")</f>
        <v/>
      </c>
      <c r="E41" s="59" t="str">
        <f t="array" ref="E41">_xlfn.IFNA(IF(INDEX('TRA-W'!G$3:G$52,MATCH(1,(C41='TRA-W'!A$3:A$52)*(B41='TRA-W'!F$3:F$52),0))="P","P",""),"")</f>
        <v/>
      </c>
    </row>
    <row r="42" spans="1:5" hidden="1" x14ac:dyDescent="0.2">
      <c r="A42" s="52" t="str">
        <f t="shared" si="1"/>
        <v/>
      </c>
      <c r="B42" s="52" t="s">
        <v>58</v>
      </c>
      <c r="C42" s="52">
        <v>1</v>
      </c>
      <c r="D42" s="52" t="str">
        <f t="array" ref="D42">_xlfn.IFNA(INDEX('TRA-W'!B$3:B$52,MATCH(1,(C42='TRA-W'!A$3:A$52)*(B42='TRA-W'!F$3:F$52),0)),"")</f>
        <v/>
      </c>
      <c r="E42" s="59" t="str">
        <f t="array" ref="E42">_xlfn.IFNA(IF(INDEX('TRA-W'!G$3:G$52,MATCH(1,(C42='TRA-W'!A$3:A$52)*(B42='TRA-W'!F$3:F$52),0))="P","P",""),"")</f>
        <v/>
      </c>
    </row>
    <row r="43" spans="1:5" hidden="1" x14ac:dyDescent="0.2">
      <c r="A43" s="52" t="str">
        <f t="shared" si="1"/>
        <v/>
      </c>
      <c r="B43" s="52" t="s">
        <v>58</v>
      </c>
      <c r="C43" s="52">
        <v>2</v>
      </c>
      <c r="D43" s="52" t="str">
        <f t="array" ref="D43">_xlfn.IFNA(INDEX('TRA-W'!B$3:B$52,MATCH(1,(C43='TRA-W'!A$3:A$52)*(B43='TRA-W'!F$3:F$52),0)),"")</f>
        <v/>
      </c>
      <c r="E43" s="59" t="str">
        <f t="array" ref="E43">_xlfn.IFNA(IF(INDEX('TRA-W'!G$3:G$52,MATCH(1,(C43='TRA-W'!A$3:A$52)*(B43='TRA-W'!F$3:F$52),0))="P","P",""),"")</f>
        <v/>
      </c>
    </row>
    <row r="44" spans="1:5" hidden="1" x14ac:dyDescent="0.2">
      <c r="A44" s="52" t="str">
        <f t="shared" si="1"/>
        <v/>
      </c>
      <c r="B44" s="52" t="s">
        <v>58</v>
      </c>
      <c r="C44" s="52">
        <v>3</v>
      </c>
      <c r="D44" s="52" t="str">
        <f t="array" ref="D44">_xlfn.IFNA(INDEX('TRA-W'!B$3:B$52,MATCH(1,(C44='TRA-W'!A$3:A$52)*(B44='TRA-W'!F$3:F$52),0)),"")</f>
        <v/>
      </c>
      <c r="E44" s="59" t="str">
        <f t="array" ref="E44">_xlfn.IFNA(IF(INDEX('TRA-W'!G$3:G$52,MATCH(1,(C44='TRA-W'!A$3:A$52)*(B44='TRA-W'!F$3:F$52),0))="P","P",""),"")</f>
        <v/>
      </c>
    </row>
    <row r="45" spans="1:5" hidden="1" x14ac:dyDescent="0.2">
      <c r="A45" s="52" t="str">
        <f t="shared" si="1"/>
        <v/>
      </c>
      <c r="B45" s="52" t="s">
        <v>58</v>
      </c>
      <c r="C45" s="52">
        <v>4</v>
      </c>
      <c r="D45" s="52" t="str">
        <f t="array" ref="D45">_xlfn.IFNA(INDEX('TRA-W'!B$3:B$52,MATCH(1,(C45='TRA-W'!A$3:A$52)*(B45='TRA-W'!F$3:F$52),0)),"")</f>
        <v/>
      </c>
      <c r="E45" s="59" t="str">
        <f t="array" ref="E45">_xlfn.IFNA(IF(INDEX('TRA-W'!G$3:G$52,MATCH(1,(C45='TRA-W'!A$3:A$52)*(B45='TRA-W'!F$3:F$52),0))="P","P",""),"")</f>
        <v/>
      </c>
    </row>
    <row r="46" spans="1:5" hidden="1" x14ac:dyDescent="0.2">
      <c r="A46" s="52" t="str">
        <f t="shared" si="1"/>
        <v/>
      </c>
      <c r="B46" s="52" t="s">
        <v>58</v>
      </c>
      <c r="C46" s="52">
        <v>5</v>
      </c>
      <c r="D46" s="52" t="str">
        <f t="array" ref="D46">_xlfn.IFNA(INDEX('TRA-W'!B$3:B$52,MATCH(1,(C46='TRA-W'!A$3:A$52)*(B46='TRA-W'!F$3:F$52),0)),"")</f>
        <v/>
      </c>
      <c r="E46" s="59" t="str">
        <f t="array" ref="E46">_xlfn.IFNA(IF(INDEX('TRA-W'!G$3:G$52,MATCH(1,(C46='TRA-W'!A$3:A$52)*(B46='TRA-W'!F$3:F$52),0))="P","P",""),"")</f>
        <v/>
      </c>
    </row>
    <row r="47" spans="1:5" hidden="1" x14ac:dyDescent="0.2">
      <c r="A47" s="52" t="str">
        <f t="shared" si="1"/>
        <v/>
      </c>
      <c r="B47" s="52" t="s">
        <v>58</v>
      </c>
      <c r="C47" s="52">
        <v>6</v>
      </c>
      <c r="D47" s="52" t="str">
        <f t="array" ref="D47">_xlfn.IFNA(INDEX('TRA-W'!B$3:B$52,MATCH(1,(C47='TRA-W'!A$3:A$52)*(B47='TRA-W'!F$3:F$52),0)),"")</f>
        <v/>
      </c>
      <c r="E47" s="59" t="str">
        <f t="array" ref="E47">_xlfn.IFNA(IF(INDEX('TRA-W'!G$3:G$52,MATCH(1,(C47='TRA-W'!A$3:A$52)*(B47='TRA-W'!F$3:F$52),0))="P","P",""),"")</f>
        <v/>
      </c>
    </row>
    <row r="48" spans="1:5" hidden="1" x14ac:dyDescent="0.2">
      <c r="A48" s="52" t="str">
        <f t="shared" si="1"/>
        <v/>
      </c>
      <c r="B48" s="52" t="s">
        <v>58</v>
      </c>
      <c r="C48" s="52">
        <v>7</v>
      </c>
      <c r="D48" s="52" t="str">
        <f t="array" ref="D48">_xlfn.IFNA(INDEX('TRA-W'!B$3:B$52,MATCH(1,(C48='TRA-W'!A$3:A$52)*(B48='TRA-W'!F$3:F$52),0)),"")</f>
        <v/>
      </c>
      <c r="E48" s="59" t="str">
        <f t="array" ref="E48">_xlfn.IFNA(IF(INDEX('TRA-W'!G$3:G$52,MATCH(1,(C48='TRA-W'!A$3:A$52)*(B48='TRA-W'!F$3:F$52),0))="P","P",""),"")</f>
        <v/>
      </c>
    </row>
    <row r="49" spans="1:5" hidden="1" x14ac:dyDescent="0.2">
      <c r="A49" s="52" t="str">
        <f t="shared" si="1"/>
        <v/>
      </c>
      <c r="B49" s="52" t="s">
        <v>58</v>
      </c>
      <c r="C49" s="52">
        <v>8</v>
      </c>
      <c r="D49" s="52" t="str">
        <f t="array" ref="D49">_xlfn.IFNA(INDEX('TRA-W'!B$3:B$52,MATCH(1,(C49='TRA-W'!A$3:A$52)*(B49='TRA-W'!F$3:F$52),0)),"")</f>
        <v/>
      </c>
      <c r="E49" s="59" t="str">
        <f t="array" ref="E49">_xlfn.IFNA(IF(INDEX('TRA-W'!G$3:G$52,MATCH(1,(C49='TRA-W'!A$3:A$52)*(B49='TRA-W'!F$3:F$52),0))="P","P",""),"")</f>
        <v/>
      </c>
    </row>
    <row r="50" spans="1:5" x14ac:dyDescent="0.2">
      <c r="A50" s="52" t="str">
        <f t="shared" si="1"/>
        <v>TRA-W</v>
      </c>
      <c r="B50" s="52" t="s">
        <v>60</v>
      </c>
      <c r="C50" s="52">
        <v>1</v>
      </c>
      <c r="D50" s="52" t="str">
        <f t="array" ref="D50">_xlfn.IFNA(INDEX('TRA-W'!B$3:B$52,MATCH(1,(C50='TRA-W'!A$3:A$52)*(B50='TRA-W'!F$3:F$52),0)),"")</f>
        <v>PINNOCK, Liana</v>
      </c>
      <c r="E50" s="59" t="str">
        <f t="array" ref="E50">_xlfn.IFNA(IF(INDEX('TRA-W'!G$3:G$52,MATCH(1,(C50='TRA-W'!A$3:A$52)*(B50='TRA-W'!F$3:F$52),0))="P","P",""),"")</f>
        <v>P</v>
      </c>
    </row>
    <row r="51" spans="1:5" hidden="1" x14ac:dyDescent="0.2">
      <c r="A51" s="52" t="str">
        <f t="shared" si="1"/>
        <v/>
      </c>
      <c r="B51" s="52" t="s">
        <v>60</v>
      </c>
      <c r="C51" s="52">
        <v>2</v>
      </c>
      <c r="D51" s="52" t="str">
        <f t="array" ref="D51">_xlfn.IFNA(INDEX('TRA-W'!B$3:B$52,MATCH(1,(C51='TRA-W'!A$3:A$52)*(B51='TRA-W'!F$3:F$52),0)),"")</f>
        <v/>
      </c>
      <c r="E51" s="59" t="str">
        <f t="array" ref="E51">_xlfn.IFNA(IF(INDEX('TRA-W'!G$3:G$52,MATCH(1,(C51='TRA-W'!A$3:A$52)*(B51='TRA-W'!F$3:F$52),0))="P","P",""),"")</f>
        <v/>
      </c>
    </row>
    <row r="52" spans="1:5" hidden="1" x14ac:dyDescent="0.2">
      <c r="A52" s="52" t="str">
        <f t="shared" si="1"/>
        <v/>
      </c>
      <c r="B52" s="52" t="s">
        <v>60</v>
      </c>
      <c r="C52" s="52">
        <v>3</v>
      </c>
      <c r="D52" s="52" t="str">
        <f t="array" ref="D52">_xlfn.IFNA(INDEX('TRA-W'!B$3:B$52,MATCH(1,(C52='TRA-W'!A$3:A$52)*(B52='TRA-W'!F$3:F$52),0)),"")</f>
        <v/>
      </c>
      <c r="E52" s="59" t="str">
        <f t="array" ref="E52">_xlfn.IFNA(IF(INDEX('TRA-W'!G$3:G$52,MATCH(1,(C52='TRA-W'!A$3:A$52)*(B52='TRA-W'!F$3:F$52),0))="P","P",""),"")</f>
        <v/>
      </c>
    </row>
    <row r="53" spans="1:5" hidden="1" x14ac:dyDescent="0.2">
      <c r="A53" s="52" t="str">
        <f t="shared" si="1"/>
        <v/>
      </c>
      <c r="B53" s="52" t="s">
        <v>60</v>
      </c>
      <c r="C53" s="52">
        <v>4</v>
      </c>
      <c r="D53" s="52" t="str">
        <f t="array" ref="D53">_xlfn.IFNA(INDEX('TRA-W'!B$3:B$52,MATCH(1,(C53='TRA-W'!A$3:A$52)*(B53='TRA-W'!F$3:F$52),0)),"")</f>
        <v/>
      </c>
      <c r="E53" s="59" t="str">
        <f t="array" ref="E53">_xlfn.IFNA(IF(INDEX('TRA-W'!G$3:G$52,MATCH(1,(C53='TRA-W'!A$3:A$52)*(B53='TRA-W'!F$3:F$52),0))="P","P",""),"")</f>
        <v/>
      </c>
    </row>
    <row r="54" spans="1:5" hidden="1" x14ac:dyDescent="0.2">
      <c r="A54" s="52" t="str">
        <f t="shared" si="1"/>
        <v/>
      </c>
      <c r="B54" s="52" t="s">
        <v>60</v>
      </c>
      <c r="C54" s="52">
        <v>5</v>
      </c>
      <c r="D54" s="52" t="str">
        <f t="array" ref="D54">_xlfn.IFNA(INDEX('TRA-W'!B$3:B$52,MATCH(1,(C54='TRA-W'!A$3:A$52)*(B54='TRA-W'!F$3:F$52),0)),"")</f>
        <v/>
      </c>
      <c r="E54" s="59" t="str">
        <f t="array" ref="E54">_xlfn.IFNA(IF(INDEX('TRA-W'!G$3:G$52,MATCH(1,(C54='TRA-W'!A$3:A$52)*(B54='TRA-W'!F$3:F$52),0))="P","P",""),"")</f>
        <v/>
      </c>
    </row>
    <row r="55" spans="1:5" hidden="1" x14ac:dyDescent="0.2">
      <c r="A55" s="52" t="str">
        <f t="shared" si="1"/>
        <v/>
      </c>
      <c r="B55" s="52" t="s">
        <v>60</v>
      </c>
      <c r="C55" s="52">
        <v>6</v>
      </c>
      <c r="D55" s="52" t="str">
        <f t="array" ref="D55">_xlfn.IFNA(INDEX('TRA-W'!B$3:B$52,MATCH(1,(C55='TRA-W'!A$3:A$52)*(B55='TRA-W'!F$3:F$52),0)),"")</f>
        <v/>
      </c>
      <c r="E55" s="59" t="str">
        <f t="array" ref="E55">_xlfn.IFNA(IF(INDEX('TRA-W'!G$3:G$52,MATCH(1,(C55='TRA-W'!A$3:A$52)*(B55='TRA-W'!F$3:F$52),0))="P","P",""),"")</f>
        <v/>
      </c>
    </row>
    <row r="56" spans="1:5" hidden="1" x14ac:dyDescent="0.2">
      <c r="A56" s="52" t="str">
        <f t="shared" si="1"/>
        <v/>
      </c>
      <c r="B56" s="52" t="s">
        <v>60</v>
      </c>
      <c r="C56" s="52">
        <v>7</v>
      </c>
      <c r="D56" s="52" t="str">
        <f t="array" ref="D56">_xlfn.IFNA(INDEX('TRA-W'!B$3:B$52,MATCH(1,(C56='TRA-W'!A$3:A$52)*(B56='TRA-W'!F$3:F$52),0)),"")</f>
        <v/>
      </c>
      <c r="E56" s="59" t="str">
        <f t="array" ref="E56">_xlfn.IFNA(IF(INDEX('TRA-W'!G$3:G$52,MATCH(1,(C56='TRA-W'!A$3:A$52)*(B56='TRA-W'!F$3:F$52),0))="P","P",""),"")</f>
        <v/>
      </c>
    </row>
    <row r="57" spans="1:5" hidden="1" x14ac:dyDescent="0.2">
      <c r="A57" s="52" t="str">
        <f t="shared" si="1"/>
        <v/>
      </c>
      <c r="B57" s="52" t="s">
        <v>60</v>
      </c>
      <c r="C57" s="52">
        <v>8</v>
      </c>
      <c r="D57" s="52" t="str">
        <f t="array" ref="D57">_xlfn.IFNA(INDEX('TRA-W'!B$3:B$52,MATCH(1,(C57='TRA-W'!A$3:A$52)*(B57='TRA-W'!F$3:F$52),0)),"")</f>
        <v/>
      </c>
      <c r="E57" s="59" t="str">
        <f t="array" ref="E57">_xlfn.IFNA(IF(INDEX('TRA-W'!G$3:G$52,MATCH(1,(C57='TRA-W'!A$3:A$52)*(B57='TRA-W'!F$3:F$52),0))="P","P",""),"")</f>
        <v/>
      </c>
    </row>
    <row r="58" spans="1:5" x14ac:dyDescent="0.2">
      <c r="A58" s="52" t="str">
        <f t="shared" si="1"/>
        <v>TRA-W</v>
      </c>
      <c r="B58" s="52" t="s">
        <v>61</v>
      </c>
      <c r="C58" s="52">
        <v>1</v>
      </c>
      <c r="D58" s="52" t="str">
        <f t="array" ref="D58">_xlfn.IFNA(INDEX('TRA-W'!B$3:B$52,MATCH(1,(C58='TRA-W'!A$3:A$52)*(B58='TRA-W'!F$3:F$52),0)),"")</f>
        <v>TAM, Rachel</v>
      </c>
      <c r="E58" s="59" t="str">
        <f t="array" ref="E58">_xlfn.IFNA(IF(INDEX('TRA-W'!G$3:G$52,MATCH(1,(C58='TRA-W'!A$3:A$52)*(B58='TRA-W'!F$3:F$52),0))="P","P",""),"")</f>
        <v>P</v>
      </c>
    </row>
    <row r="59" spans="1:5" x14ac:dyDescent="0.2">
      <c r="A59" s="52" t="str">
        <f t="shared" si="1"/>
        <v>TRA-W</v>
      </c>
      <c r="B59" s="52" t="s">
        <v>61</v>
      </c>
      <c r="C59" s="52">
        <v>2</v>
      </c>
      <c r="D59" s="52" t="str">
        <f t="array" ref="D59">_xlfn.IFNA(INDEX('TRA-W'!B$3:B$52,MATCH(1,(C59='TRA-W'!A$3:A$52)*(B59='TRA-W'!F$3:F$52),0)),"")</f>
        <v>CIRONE, Domenica</v>
      </c>
      <c r="E59" s="59" t="str">
        <f t="array" ref="E59">_xlfn.IFNA(IF(INDEX('TRA-W'!G$3:G$52,MATCH(1,(C59='TRA-W'!A$3:A$52)*(B59='TRA-W'!F$3:F$52),0))="P","P",""),"")</f>
        <v>P</v>
      </c>
    </row>
    <row r="60" spans="1:5" x14ac:dyDescent="0.2">
      <c r="A60" s="52" t="str">
        <f t="shared" si="1"/>
        <v>TRA-W</v>
      </c>
      <c r="B60" s="52" t="s">
        <v>61</v>
      </c>
      <c r="C60" s="52">
        <v>3</v>
      </c>
      <c r="D60" s="52" t="str">
        <f t="array" ref="D60">_xlfn.IFNA(INDEX('TRA-W'!B$3:B$52,MATCH(1,(C60='TRA-W'!A$3:A$52)*(B60='TRA-W'!F$3:F$52),0)),"")</f>
        <v>FLYNN, Gabriella</v>
      </c>
      <c r="E60" s="59" t="str">
        <f t="array" ref="E60">_xlfn.IFNA(IF(INDEX('TRA-W'!G$3:G$52,MATCH(1,(C60='TRA-W'!A$3:A$52)*(B60='TRA-W'!F$3:F$52),0))="P","P",""),"")</f>
        <v>P</v>
      </c>
    </row>
    <row r="61" spans="1:5" x14ac:dyDescent="0.2">
      <c r="A61" s="52" t="str">
        <f t="shared" si="1"/>
        <v>TRA-W</v>
      </c>
      <c r="B61" s="52" t="s">
        <v>61</v>
      </c>
      <c r="C61" s="52">
        <v>4</v>
      </c>
      <c r="D61" s="52" t="str">
        <f t="array" ref="D61">_xlfn.IFNA(INDEX('TRA-W'!B$3:B$52,MATCH(1,(C61='TRA-W'!A$3:A$52)*(B61='TRA-W'!F$3:F$52),0)),"")</f>
        <v>NAGANO, Mariko</v>
      </c>
      <c r="E61" s="59" t="str">
        <f t="array" ref="E61">_xlfn.IFNA(IF(INDEX('TRA-W'!G$3:G$52,MATCH(1,(C61='TRA-W'!A$3:A$52)*(B61='TRA-W'!F$3:F$52),0))="P","P",""),"")</f>
        <v>P</v>
      </c>
    </row>
    <row r="62" spans="1:5" x14ac:dyDescent="0.2">
      <c r="A62" s="52" t="str">
        <f t="shared" si="1"/>
        <v>TRA-W</v>
      </c>
      <c r="B62" s="52" t="s">
        <v>61</v>
      </c>
      <c r="C62" s="52">
        <v>5</v>
      </c>
      <c r="D62" s="52" t="str">
        <f t="array" ref="D62">_xlfn.IFNA(INDEX('TRA-W'!B$3:B$52,MATCH(1,(C62='TRA-W'!A$3:A$52)*(B62='TRA-W'!F$3:F$52),0)),"")</f>
        <v>BONHAM, Maja</v>
      </c>
      <c r="E62" s="59" t="str">
        <f t="array" ref="E62">_xlfn.IFNA(IF(INDEX('TRA-W'!G$3:G$52,MATCH(1,(C62='TRA-W'!A$3:A$52)*(B62='TRA-W'!F$3:F$52),0))="P","P",""),"")</f>
        <v>P</v>
      </c>
    </row>
    <row r="63" spans="1:5" x14ac:dyDescent="0.2">
      <c r="A63" s="52" t="str">
        <f t="shared" si="1"/>
        <v>TRA-W</v>
      </c>
      <c r="B63" s="52" t="s">
        <v>61</v>
      </c>
      <c r="C63" s="52">
        <v>6</v>
      </c>
      <c r="D63" s="52" t="str">
        <f t="array" ref="D63">_xlfn.IFNA(INDEX('TRA-W'!B$3:B$52,MATCH(1,(C63='TRA-W'!A$3:A$52)*(B63='TRA-W'!F$3:F$52),0)),"")</f>
        <v>BOUCHER, Alexandra</v>
      </c>
      <c r="E63" s="59" t="str">
        <f t="array" ref="E63">_xlfn.IFNA(IF(INDEX('TRA-W'!G$3:G$52,MATCH(1,(C63='TRA-W'!A$3:A$52)*(B63='TRA-W'!F$3:F$52),0))="P","P",""),"")</f>
        <v>P</v>
      </c>
    </row>
    <row r="64" spans="1:5" hidden="1" x14ac:dyDescent="0.2">
      <c r="A64" s="52" t="str">
        <f t="shared" si="1"/>
        <v/>
      </c>
      <c r="B64" s="52" t="s">
        <v>61</v>
      </c>
      <c r="C64" s="52">
        <v>7</v>
      </c>
      <c r="D64" s="52" t="str">
        <f t="array" ref="D64">_xlfn.IFNA(INDEX('TRA-W'!B$3:B$52,MATCH(1,(C64='TRA-W'!A$3:A$52)*(B64='TRA-W'!F$3:F$52),0)),"")</f>
        <v/>
      </c>
      <c r="E64" s="59" t="str">
        <f t="array" ref="E64">_xlfn.IFNA(IF(INDEX('TRA-W'!G$3:G$52,MATCH(1,(C64='TRA-W'!A$3:A$52)*(B64='TRA-W'!F$3:F$52),0))="P","P",""),"")</f>
        <v/>
      </c>
    </row>
    <row r="65" spans="1:5" hidden="1" x14ac:dyDescent="0.2">
      <c r="A65" s="52" t="str">
        <f t="shared" si="1"/>
        <v/>
      </c>
      <c r="B65" s="52" t="s">
        <v>61</v>
      </c>
      <c r="C65" s="52">
        <v>8</v>
      </c>
      <c r="D65" s="52" t="str">
        <f t="array" ref="D65">_xlfn.IFNA(INDEX('TRA-W'!B$3:B$52,MATCH(1,(C65='TRA-W'!A$3:A$52)*(B65='TRA-W'!F$3:F$52),0)),"")</f>
        <v/>
      </c>
      <c r="E65" s="59" t="str">
        <f t="array" ref="E65">_xlfn.IFNA(IF(INDEX('TRA-W'!G$3:G$52,MATCH(1,(C65='TRA-W'!A$3:A$52)*(B65='TRA-W'!F$3:F$52),0))="P","P",""),"")</f>
        <v/>
      </c>
    </row>
    <row r="66" spans="1:5" hidden="1" x14ac:dyDescent="0.2">
      <c r="A66" s="50" t="str">
        <f>IF(D66="","","SYN-M")</f>
        <v/>
      </c>
      <c r="B66" s="51" t="s">
        <v>59</v>
      </c>
      <c r="C66" s="50">
        <v>1</v>
      </c>
      <c r="D66" s="50" t="str">
        <f t="array" ref="D66">_xlfn.IFNA(INDEX('SYN-M'!B$3:B$15,MATCH(1,(C66='SYN-M'!A$3:A$15)*(B66='SYN-M'!F$3:F$15),0)),"")</f>
        <v/>
      </c>
      <c r="E66" s="58" t="str">
        <f t="array" ref="E66">_xlfn.IFNA(IF(INDEX('SYN-M'!G$3:G$15,MATCH(1,(C66='SYN-M'!A$3:A$15)*(B66='SYN-M'!F$3:F$15),0))="P","P",""),"")</f>
        <v/>
      </c>
    </row>
    <row r="67" spans="1:5" hidden="1" x14ac:dyDescent="0.2">
      <c r="A67" s="50" t="str">
        <f t="shared" ref="A67:A81" si="2">IF(D67="","","SYN-M")</f>
        <v/>
      </c>
      <c r="B67" s="51" t="s">
        <v>59</v>
      </c>
      <c r="C67" s="50">
        <v>2</v>
      </c>
      <c r="D67" s="50" t="str">
        <f t="array" ref="D67">_xlfn.IFNA(INDEX('SYN-M'!B$3:B$15,MATCH(1,(C67='SYN-M'!A$3:A$15)*(B67='SYN-M'!F$3:F$15),0)),"")</f>
        <v/>
      </c>
      <c r="E67" s="58" t="str">
        <f t="array" ref="E67">_xlfn.IFNA(IF(INDEX('SYN-M'!G$3:G$15,MATCH(1,(C67='SYN-M'!A$3:A$15)*(B67='SYN-M'!F$3:F$15),0))="P","P",""),"")</f>
        <v/>
      </c>
    </row>
    <row r="68" spans="1:5" hidden="1" x14ac:dyDescent="0.2">
      <c r="A68" s="50" t="str">
        <f t="shared" si="2"/>
        <v/>
      </c>
      <c r="B68" s="51" t="s">
        <v>59</v>
      </c>
      <c r="C68" s="50">
        <v>3</v>
      </c>
      <c r="D68" s="50" t="str">
        <f t="array" ref="D68">_xlfn.IFNA(INDEX('SYN-M'!B$3:B$15,MATCH(1,(C68='SYN-M'!A$3:A$15)*(B68='SYN-M'!F$3:F$15),0)),"")</f>
        <v/>
      </c>
      <c r="E68" s="58" t="str">
        <f t="array" ref="E68">_xlfn.IFNA(IF(INDEX('SYN-M'!G$3:G$15,MATCH(1,(C68='SYN-M'!A$3:A$15)*(B68='SYN-M'!F$3:F$15),0))="P","P",""),"")</f>
        <v/>
      </c>
    </row>
    <row r="69" spans="1:5" hidden="1" x14ac:dyDescent="0.2">
      <c r="A69" s="50" t="str">
        <f t="shared" si="2"/>
        <v/>
      </c>
      <c r="B69" s="51" t="s">
        <v>59</v>
      </c>
      <c r="C69" s="50">
        <v>4</v>
      </c>
      <c r="D69" s="50" t="str">
        <f t="array" ref="D69">_xlfn.IFNA(INDEX('SYN-M'!B$3:B$15,MATCH(1,(C69='SYN-M'!A$3:A$15)*(B69='SYN-M'!F$3:F$15),0)),"")</f>
        <v/>
      </c>
      <c r="E69" s="58" t="str">
        <f t="array" ref="E69">_xlfn.IFNA(IF(INDEX('SYN-M'!G$3:G$15,MATCH(1,(C69='SYN-M'!A$3:A$15)*(B69='SYN-M'!F$3:F$15),0))="P","P",""),"")</f>
        <v/>
      </c>
    </row>
    <row r="70" spans="1:5" hidden="1" x14ac:dyDescent="0.2">
      <c r="A70" s="50" t="str">
        <f t="shared" si="2"/>
        <v/>
      </c>
      <c r="B70" s="50" t="s">
        <v>58</v>
      </c>
      <c r="C70" s="50">
        <v>1</v>
      </c>
      <c r="D70" s="50" t="str">
        <f t="array" ref="D70">_xlfn.IFNA(INDEX('SYN-M'!B$3:B$15,MATCH(1,(C70='SYN-M'!A$3:A$15)*(B70='SYN-M'!F$3:F$15),0)),"")</f>
        <v/>
      </c>
      <c r="E70" s="58" t="str">
        <f t="array" ref="E70">_xlfn.IFNA(IF(INDEX('SYN-M'!G$3:G$15,MATCH(1,(C70='SYN-M'!A$3:A$15)*(B70='SYN-M'!F$3:F$15),0))="P","P",""),"")</f>
        <v/>
      </c>
    </row>
    <row r="71" spans="1:5" hidden="1" x14ac:dyDescent="0.2">
      <c r="A71" s="50" t="str">
        <f t="shared" si="2"/>
        <v/>
      </c>
      <c r="B71" s="50" t="s">
        <v>58</v>
      </c>
      <c r="C71" s="50">
        <v>2</v>
      </c>
      <c r="D71" s="50" t="str">
        <f t="array" ref="D71">_xlfn.IFNA(INDEX('SYN-M'!B$3:B$15,MATCH(1,(C71='SYN-M'!A$3:A$15)*(B71='SYN-M'!F$3:F$15),0)),"")</f>
        <v/>
      </c>
      <c r="E71" s="58" t="str">
        <f t="array" ref="E71">_xlfn.IFNA(IF(INDEX('SYN-M'!G$3:G$15,MATCH(1,(C71='SYN-M'!A$3:A$15)*(B71='SYN-M'!F$3:F$15),0))="P","P",""),"")</f>
        <v/>
      </c>
    </row>
    <row r="72" spans="1:5" hidden="1" x14ac:dyDescent="0.2">
      <c r="A72" s="50" t="str">
        <f t="shared" si="2"/>
        <v/>
      </c>
      <c r="B72" s="50" t="s">
        <v>58</v>
      </c>
      <c r="C72" s="50">
        <v>3</v>
      </c>
      <c r="D72" s="50" t="str">
        <f t="array" ref="D72">_xlfn.IFNA(INDEX('SYN-M'!B$3:B$15,MATCH(1,(C72='SYN-M'!A$3:A$15)*(B72='SYN-M'!F$3:F$15),0)),"")</f>
        <v/>
      </c>
      <c r="E72" s="58" t="str">
        <f t="array" ref="E72">_xlfn.IFNA(IF(INDEX('SYN-M'!G$3:G$15,MATCH(1,(C72='SYN-M'!A$3:A$15)*(B72='SYN-M'!F$3:F$15),0))="P","P",""),"")</f>
        <v/>
      </c>
    </row>
    <row r="73" spans="1:5" hidden="1" x14ac:dyDescent="0.2">
      <c r="A73" s="50" t="str">
        <f t="shared" si="2"/>
        <v/>
      </c>
      <c r="B73" s="50" t="s">
        <v>58</v>
      </c>
      <c r="C73" s="50">
        <v>4</v>
      </c>
      <c r="D73" s="50" t="str">
        <f t="array" ref="D73">_xlfn.IFNA(INDEX('SYN-M'!B$3:B$15,MATCH(1,(C73='SYN-M'!A$3:A$15)*(B73='SYN-M'!F$3:F$15),0)),"")</f>
        <v/>
      </c>
      <c r="E73" s="58" t="str">
        <f t="array" ref="E73">_xlfn.IFNA(IF(INDEX('SYN-M'!G$3:G$15,MATCH(1,(C73='SYN-M'!A$3:A$15)*(B73='SYN-M'!F$3:F$15),0))="P","P",""),"")</f>
        <v/>
      </c>
    </row>
    <row r="74" spans="1:5" hidden="1" x14ac:dyDescent="0.2">
      <c r="A74" s="50" t="str">
        <f t="shared" si="2"/>
        <v/>
      </c>
      <c r="B74" s="50" t="s">
        <v>60</v>
      </c>
      <c r="C74" s="50">
        <v>1</v>
      </c>
      <c r="D74" s="50" t="str">
        <f t="array" ref="D74">_xlfn.IFNA(INDEX('SYN-M'!B$3:B$15,MATCH(1,(C74='SYN-M'!A$3:A$15)*(B74='SYN-M'!F$3:F$15),0)),"")</f>
        <v/>
      </c>
      <c r="E74" s="58" t="str">
        <f t="array" ref="E74">_xlfn.IFNA(IF(INDEX('SYN-M'!G$3:G$15,MATCH(1,(C74='SYN-M'!A$3:A$15)*(B74='SYN-M'!F$3:F$15),0))="P","P",""),"")</f>
        <v/>
      </c>
    </row>
    <row r="75" spans="1:5" hidden="1" x14ac:dyDescent="0.2">
      <c r="A75" s="50" t="str">
        <f t="shared" si="2"/>
        <v/>
      </c>
      <c r="B75" s="50" t="s">
        <v>60</v>
      </c>
      <c r="C75" s="50">
        <v>2</v>
      </c>
      <c r="D75" s="50" t="str">
        <f t="array" ref="D75">_xlfn.IFNA(INDEX('SYN-M'!B$3:B$15,MATCH(1,(C75='SYN-M'!A$3:A$15)*(B75='SYN-M'!F$3:F$15),0)),"")</f>
        <v/>
      </c>
      <c r="E75" s="58" t="str">
        <f t="array" ref="E75">_xlfn.IFNA(IF(INDEX('SYN-M'!G$3:G$15,MATCH(1,(C75='SYN-M'!A$3:A$15)*(B75='SYN-M'!F$3:F$15),0))="P","P",""),"")</f>
        <v/>
      </c>
    </row>
    <row r="76" spans="1:5" hidden="1" x14ac:dyDescent="0.2">
      <c r="A76" s="50" t="str">
        <f t="shared" si="2"/>
        <v/>
      </c>
      <c r="B76" s="50" t="s">
        <v>60</v>
      </c>
      <c r="C76" s="50">
        <v>3</v>
      </c>
      <c r="D76" s="50" t="str">
        <f t="array" ref="D76">_xlfn.IFNA(INDEX('SYN-M'!B$3:B$15,MATCH(1,(C76='SYN-M'!A$3:A$15)*(B76='SYN-M'!F$3:F$15),0)),"")</f>
        <v/>
      </c>
      <c r="E76" s="58" t="str">
        <f t="array" ref="E76">_xlfn.IFNA(IF(INDEX('SYN-M'!G$3:G$15,MATCH(1,(C76='SYN-M'!A$3:A$15)*(B76='SYN-M'!F$3:F$15),0))="P","P",""),"")</f>
        <v/>
      </c>
    </row>
    <row r="77" spans="1:5" hidden="1" x14ac:dyDescent="0.2">
      <c r="A77" s="50" t="str">
        <f t="shared" si="2"/>
        <v/>
      </c>
      <c r="B77" s="50" t="s">
        <v>60</v>
      </c>
      <c r="C77" s="50">
        <v>4</v>
      </c>
      <c r="D77" s="50" t="str">
        <f t="array" ref="D77">_xlfn.IFNA(INDEX('SYN-M'!B$3:B$15,MATCH(1,(C77='SYN-M'!A$3:A$15)*(B77='SYN-M'!F$3:F$15),0)),"")</f>
        <v/>
      </c>
      <c r="E77" s="58" t="str">
        <f t="array" ref="E77">_xlfn.IFNA(IF(INDEX('SYN-M'!G$3:G$15,MATCH(1,(C77='SYN-M'!A$3:A$15)*(B77='SYN-M'!F$3:F$15),0))="P","P",""),"")</f>
        <v/>
      </c>
    </row>
    <row r="78" spans="1:5" x14ac:dyDescent="0.2">
      <c r="A78" s="50" t="str">
        <f t="shared" si="2"/>
        <v>SYN-M</v>
      </c>
      <c r="B78" s="50" t="s">
        <v>61</v>
      </c>
      <c r="C78" s="50">
        <v>1</v>
      </c>
      <c r="D78" s="50" t="str">
        <f t="array" ref="D78">_xlfn.IFNA(INDEX('SYN-M'!B$3:B$15,MATCH(1,(C78='SYN-M'!A$3:A$15)*(B78='SYN-M'!F$3:F$15),0)),"")</f>
        <v>AUBIN (2001)/LAGACE (1999)</v>
      </c>
      <c r="E78" s="58" t="str">
        <f t="array" ref="E78">_xlfn.IFNA(IF(INDEX('SYN-M'!G$3:G$15,MATCH(1,(C78='SYN-M'!A$3:A$15)*(B78='SYN-M'!F$3:F$15),0))="P","P",""),"")</f>
        <v/>
      </c>
    </row>
    <row r="79" spans="1:5" hidden="1" x14ac:dyDescent="0.2">
      <c r="A79" s="50" t="str">
        <f t="shared" si="2"/>
        <v/>
      </c>
      <c r="B79" s="50" t="s">
        <v>61</v>
      </c>
      <c r="C79" s="50">
        <v>2</v>
      </c>
      <c r="D79" s="50" t="str">
        <f t="array" ref="D79">_xlfn.IFNA(INDEX('SYN-M'!B$3:B$15,MATCH(1,(C79='SYN-M'!A$3:A$15)*(B79='SYN-M'!F$3:F$15),0)),"")</f>
        <v/>
      </c>
      <c r="E79" s="58" t="str">
        <f t="array" ref="E79">_xlfn.IFNA(IF(INDEX('SYN-M'!G$3:G$15,MATCH(1,(C79='SYN-M'!A$3:A$15)*(B79='SYN-M'!F$3:F$15),0))="P","P",""),"")</f>
        <v/>
      </c>
    </row>
    <row r="80" spans="1:5" hidden="1" x14ac:dyDescent="0.2">
      <c r="A80" s="50" t="str">
        <f t="shared" si="2"/>
        <v/>
      </c>
      <c r="B80" s="50" t="s">
        <v>61</v>
      </c>
      <c r="C80" s="50">
        <v>3</v>
      </c>
      <c r="D80" s="50" t="str">
        <f t="array" ref="D80">_xlfn.IFNA(INDEX('SYN-M'!B$3:B$15,MATCH(1,(C80='SYN-M'!A$3:A$15)*(B80='SYN-M'!F$3:F$15),0)),"")</f>
        <v/>
      </c>
      <c r="E80" s="58" t="str">
        <f t="array" ref="E80">_xlfn.IFNA(IF(INDEX('SYN-M'!G$3:G$15,MATCH(1,(C80='SYN-M'!A$3:A$15)*(B80='SYN-M'!F$3:F$15),0))="P","P",""),"")</f>
        <v/>
      </c>
    </row>
    <row r="81" spans="1:5" hidden="1" x14ac:dyDescent="0.2">
      <c r="A81" s="50" t="str">
        <f t="shared" si="2"/>
        <v/>
      </c>
      <c r="B81" s="50" t="s">
        <v>61</v>
      </c>
      <c r="C81" s="50">
        <v>4</v>
      </c>
      <c r="D81" s="50" t="str">
        <f t="array" ref="D81">_xlfn.IFNA(INDEX('SYN-M'!B$3:B$15,MATCH(1,(C81='SYN-M'!A$3:A$15)*(B81='SYN-M'!F$3:F$15),0)),"")</f>
        <v/>
      </c>
      <c r="E81" s="58" t="str">
        <f t="array" ref="E81">_xlfn.IFNA(IF(INDEX('SYN-M'!G$3:G$15,MATCH(1,(C81='SYN-M'!A$3:A$15)*(B81='SYN-M'!F$3:F$15),0))="P","P",""),"")</f>
        <v/>
      </c>
    </row>
    <row r="82" spans="1:5" hidden="1" x14ac:dyDescent="0.2">
      <c r="A82" s="52" t="str">
        <f>IF(D82="","","SYN-W")</f>
        <v/>
      </c>
      <c r="B82" s="53" t="s">
        <v>59</v>
      </c>
      <c r="C82" s="52">
        <v>1</v>
      </c>
      <c r="D82" s="52" t="str">
        <f t="array" ref="D82">_xlfn.IFNA(INDEX('SYN-W'!B$3:B$14,MATCH(1,(C82='SYN-W'!A$3:A$14)*(B82='SYN-W'!F$3:F$14),0)),"")</f>
        <v/>
      </c>
      <c r="E82" s="59" t="str">
        <f t="array" ref="E82">_xlfn.IFNA(IF(INDEX('SYN-W'!G$3:G$14,MATCH(1,(C82='SYN-W'!A$3:A$14)*(B82='SYN-W'!F$3:F$14),0))="P","P",""),"")</f>
        <v/>
      </c>
    </row>
    <row r="83" spans="1:5" hidden="1" x14ac:dyDescent="0.2">
      <c r="A83" s="52" t="str">
        <f t="shared" ref="A83:A97" si="3">IF(D83="","","SYN-W")</f>
        <v/>
      </c>
      <c r="B83" s="53" t="s">
        <v>59</v>
      </c>
      <c r="C83" s="52">
        <v>2</v>
      </c>
      <c r="D83" s="52" t="str">
        <f t="array" ref="D83">_xlfn.IFNA(INDEX('SYN-W'!B$3:B$14,MATCH(1,(C83='SYN-W'!A$3:A$14)*(B83='SYN-W'!F$3:F$14),0)),"")</f>
        <v/>
      </c>
      <c r="E83" s="59" t="str">
        <f t="array" ref="E83">_xlfn.IFNA(IF(INDEX('SYN-W'!G$3:G$14,MATCH(1,(C83='SYN-W'!A$3:A$14)*(B83='SYN-W'!F$3:F$14),0))="P","P",""),"")</f>
        <v/>
      </c>
    </row>
    <row r="84" spans="1:5" hidden="1" x14ac:dyDescent="0.2">
      <c r="A84" s="52" t="str">
        <f t="shared" si="3"/>
        <v/>
      </c>
      <c r="B84" s="53" t="s">
        <v>59</v>
      </c>
      <c r="C84" s="52">
        <v>3</v>
      </c>
      <c r="D84" s="52" t="str">
        <f t="array" ref="D84">_xlfn.IFNA(INDEX('SYN-W'!B$3:B$14,MATCH(1,(C84='SYN-W'!A$3:A$14)*(B84='SYN-W'!F$3:F$14),0)),"")</f>
        <v/>
      </c>
      <c r="E84" s="59" t="str">
        <f t="array" ref="E84">_xlfn.IFNA(IF(INDEX('SYN-W'!G$3:G$14,MATCH(1,(C84='SYN-W'!A$3:A$14)*(B84='SYN-W'!F$3:F$14),0))="P","P",""),"")</f>
        <v/>
      </c>
    </row>
    <row r="85" spans="1:5" hidden="1" x14ac:dyDescent="0.2">
      <c r="A85" s="52" t="str">
        <f t="shared" si="3"/>
        <v/>
      </c>
      <c r="B85" s="53" t="s">
        <v>59</v>
      </c>
      <c r="C85" s="52">
        <v>4</v>
      </c>
      <c r="D85" s="52" t="str">
        <f t="array" ref="D85">_xlfn.IFNA(INDEX('SYN-W'!B$3:B$14,MATCH(1,(C85='SYN-W'!A$3:A$14)*(B85='SYN-W'!F$3:F$14),0)),"")</f>
        <v/>
      </c>
      <c r="E85" s="59" t="str">
        <f t="array" ref="E85">_xlfn.IFNA(IF(INDEX('SYN-W'!G$3:G$14,MATCH(1,(C85='SYN-W'!A$3:A$14)*(B85='SYN-W'!F$3:F$14),0))="P","P",""),"")</f>
        <v/>
      </c>
    </row>
    <row r="86" spans="1:5" x14ac:dyDescent="0.2">
      <c r="A86" s="52" t="str">
        <f t="shared" si="3"/>
        <v>SYN-W</v>
      </c>
      <c r="B86" s="52" t="s">
        <v>58</v>
      </c>
      <c r="C86" s="52">
        <v>1</v>
      </c>
      <c r="D86" s="52" t="str">
        <f t="array" ref="D86">_xlfn.IFNA(INDEX('SYN-W'!B$3:B$14,MATCH(1,(C86='SYN-W'!A$3:A$14)*(B86='SYN-W'!F$3:F$14),0)),"")</f>
        <v>BAO (2005)/ROMANIUK (2005)</v>
      </c>
      <c r="E86" s="59" t="str">
        <f t="array" ref="E86">_xlfn.IFNA(IF(INDEX('SYN-W'!G$3:G$14,MATCH(1,(C86='SYN-W'!A$3:A$14)*(B86='SYN-W'!F$3:F$14),0))="P","P",""),"")</f>
        <v/>
      </c>
    </row>
    <row r="87" spans="1:5" hidden="1" x14ac:dyDescent="0.2">
      <c r="A87" s="52" t="str">
        <f t="shared" si="3"/>
        <v/>
      </c>
      <c r="B87" s="52" t="s">
        <v>58</v>
      </c>
      <c r="C87" s="52">
        <v>2</v>
      </c>
      <c r="D87" s="52" t="str">
        <f t="array" ref="D87">_xlfn.IFNA(INDEX('SYN-W'!B$3:B$14,MATCH(1,(C87='SYN-W'!A$3:A$14)*(B87='SYN-W'!F$3:F$14),0)),"")</f>
        <v/>
      </c>
      <c r="E87" s="59" t="str">
        <f t="array" ref="E87">_xlfn.IFNA(IF(INDEX('SYN-W'!G$3:G$14,MATCH(1,(C87='SYN-W'!A$3:A$14)*(B87='SYN-W'!F$3:F$14),0))="P","P",""),"")</f>
        <v/>
      </c>
    </row>
    <row r="88" spans="1:5" hidden="1" x14ac:dyDescent="0.2">
      <c r="A88" s="52" t="str">
        <f t="shared" si="3"/>
        <v/>
      </c>
      <c r="B88" s="52" t="s">
        <v>58</v>
      </c>
      <c r="C88" s="52">
        <v>3</v>
      </c>
      <c r="D88" s="52" t="str">
        <f t="array" ref="D88">_xlfn.IFNA(INDEX('SYN-W'!B$3:B$14,MATCH(1,(C88='SYN-W'!A$3:A$14)*(B88='SYN-W'!F$3:F$14),0)),"")</f>
        <v/>
      </c>
      <c r="E88" s="59" t="str">
        <f t="array" ref="E88">_xlfn.IFNA(IF(INDEX('SYN-W'!G$3:G$14,MATCH(1,(C88='SYN-W'!A$3:A$14)*(B88='SYN-W'!F$3:F$14),0))="P","P",""),"")</f>
        <v/>
      </c>
    </row>
    <row r="89" spans="1:5" hidden="1" x14ac:dyDescent="0.2">
      <c r="A89" s="52" t="str">
        <f t="shared" si="3"/>
        <v/>
      </c>
      <c r="B89" s="52" t="s">
        <v>58</v>
      </c>
      <c r="C89" s="52">
        <v>4</v>
      </c>
      <c r="D89" s="52" t="str">
        <f t="array" ref="D89">_xlfn.IFNA(INDEX('SYN-W'!B$3:B$14,MATCH(1,(C89='SYN-W'!A$3:A$14)*(B89='SYN-W'!F$3:F$14),0)),"")</f>
        <v/>
      </c>
      <c r="E89" s="59" t="str">
        <f t="array" ref="E89">_xlfn.IFNA(IF(INDEX('SYN-W'!G$3:G$14,MATCH(1,(C89='SYN-W'!A$3:A$14)*(B89='SYN-W'!F$3:F$14),0))="P","P",""),"")</f>
        <v/>
      </c>
    </row>
    <row r="90" spans="1:5" hidden="1" x14ac:dyDescent="0.2">
      <c r="A90" s="52" t="str">
        <f t="shared" si="3"/>
        <v/>
      </c>
      <c r="B90" s="52" t="s">
        <v>60</v>
      </c>
      <c r="C90" s="52">
        <v>1</v>
      </c>
      <c r="D90" s="52" t="str">
        <f t="array" ref="D90">_xlfn.IFNA(INDEX('SYN-W'!B$3:B$14,MATCH(1,(C90='SYN-W'!A$3:A$14)*(B90='SYN-W'!F$3:F$14),0)),"")</f>
        <v/>
      </c>
      <c r="E90" s="59" t="str">
        <f t="array" ref="E90">_xlfn.IFNA(IF(INDEX('SYN-W'!G$3:G$14,MATCH(1,(C90='SYN-W'!A$3:A$14)*(B90='SYN-W'!F$3:F$14),0))="P","P",""),"")</f>
        <v/>
      </c>
    </row>
    <row r="91" spans="1:5" hidden="1" x14ac:dyDescent="0.2">
      <c r="A91" s="52" t="str">
        <f t="shared" si="3"/>
        <v/>
      </c>
      <c r="B91" s="52" t="s">
        <v>60</v>
      </c>
      <c r="C91" s="52">
        <v>2</v>
      </c>
      <c r="D91" s="52" t="str">
        <f t="array" ref="D91">_xlfn.IFNA(INDEX('SYN-W'!B$3:B$14,MATCH(1,(C91='SYN-W'!A$3:A$14)*(B91='SYN-W'!F$3:F$14),0)),"")</f>
        <v/>
      </c>
      <c r="E91" s="59" t="str">
        <f t="array" ref="E91">_xlfn.IFNA(IF(INDEX('SYN-W'!G$3:G$14,MATCH(1,(C91='SYN-W'!A$3:A$14)*(B91='SYN-W'!F$3:F$14),0))="P","P",""),"")</f>
        <v/>
      </c>
    </row>
    <row r="92" spans="1:5" hidden="1" x14ac:dyDescent="0.2">
      <c r="A92" s="52" t="str">
        <f t="shared" si="3"/>
        <v/>
      </c>
      <c r="B92" s="52" t="s">
        <v>60</v>
      </c>
      <c r="C92" s="52">
        <v>3</v>
      </c>
      <c r="D92" s="52" t="str">
        <f t="array" ref="D92">_xlfn.IFNA(INDEX('SYN-W'!B$3:B$14,MATCH(1,(C92='SYN-W'!A$3:A$14)*(B92='SYN-W'!F$3:F$14),0)),"")</f>
        <v/>
      </c>
      <c r="E92" s="59" t="str">
        <f t="array" ref="E92">_xlfn.IFNA(IF(INDEX('SYN-W'!G$3:G$14,MATCH(1,(C92='SYN-W'!A$3:A$14)*(B92='SYN-W'!F$3:F$14),0))="P","P",""),"")</f>
        <v/>
      </c>
    </row>
    <row r="93" spans="1:5" hidden="1" x14ac:dyDescent="0.2">
      <c r="A93" s="52" t="str">
        <f t="shared" si="3"/>
        <v/>
      </c>
      <c r="B93" s="52" t="s">
        <v>60</v>
      </c>
      <c r="C93" s="52">
        <v>4</v>
      </c>
      <c r="D93" s="52" t="str">
        <f t="array" ref="D93">_xlfn.IFNA(INDEX('SYN-W'!B$3:B$14,MATCH(1,(C93='SYN-W'!A$3:A$14)*(B93='SYN-W'!F$3:F$14),0)),"")</f>
        <v/>
      </c>
      <c r="E93" s="59" t="str">
        <f t="array" ref="E93">_xlfn.IFNA(IF(INDEX('SYN-W'!G$3:G$14,MATCH(1,(C93='SYN-W'!A$3:A$14)*(B93='SYN-W'!F$3:F$14),0))="P","P",""),"")</f>
        <v/>
      </c>
    </row>
    <row r="94" spans="1:5" x14ac:dyDescent="0.2">
      <c r="A94" s="52" t="str">
        <f t="shared" si="3"/>
        <v>SYN-W</v>
      </c>
      <c r="B94" s="52" t="s">
        <v>61</v>
      </c>
      <c r="C94" s="52">
        <v>1</v>
      </c>
      <c r="D94" s="52" t="str">
        <f t="array" ref="D94">_xlfn.IFNA(INDEX('SYN-W'!B$3:B$14,MATCH(1,(C94='SYN-W'!A$3:A$14)*(B94='SYN-W'!F$3:F$14),0)),"")</f>
        <v>BONHAM (2002) / FLYNN (2001)</v>
      </c>
      <c r="E94" s="59" t="str">
        <f t="array" ref="E94">_xlfn.IFNA(IF(INDEX('SYN-W'!G$3:G$14,MATCH(1,(C94='SYN-W'!A$3:A$14)*(B94='SYN-W'!F$3:F$14),0))="P","P",""),"")</f>
        <v>P</v>
      </c>
    </row>
    <row r="95" spans="1:5" x14ac:dyDescent="0.2">
      <c r="A95" s="52" t="str">
        <f t="shared" si="3"/>
        <v>SYN-W</v>
      </c>
      <c r="B95" s="52" t="s">
        <v>61</v>
      </c>
      <c r="C95" s="52">
        <v>2</v>
      </c>
      <c r="D95" s="52" t="str">
        <f t="array" ref="D95">_xlfn.IFNA(INDEX('SYN-W'!B$3:B$14,MATCH(1,(C95='SYN-W'!A$3:A$14)*(B95='SYN-W'!F$3:F$14),0)),"")</f>
        <v>BRIAND-BRIERE (2003)/ROUX (1998)</v>
      </c>
      <c r="E95" s="59" t="str">
        <f t="array" ref="E95">_xlfn.IFNA(IF(INDEX('SYN-W'!G$3:G$14,MATCH(1,(C95='SYN-W'!A$3:A$14)*(B95='SYN-W'!F$3:F$14),0))="P","P",""),"")</f>
        <v/>
      </c>
    </row>
    <row r="96" spans="1:5" x14ac:dyDescent="0.2">
      <c r="A96" s="52" t="str">
        <f t="shared" si="3"/>
        <v>SYN-W</v>
      </c>
      <c r="B96" s="52" t="s">
        <v>61</v>
      </c>
      <c r="C96" s="52">
        <v>3</v>
      </c>
      <c r="D96" s="52" t="str">
        <f t="array" ref="D96">_xlfn.IFNA(INDEX('SYN-W'!B$3:B$14,MATCH(1,(C96='SYN-W'!A$3:A$14)*(B96='SYN-W'!F$3:F$14),0)),"")</f>
        <v>CELENTANO (2001)/RANIERI (1998)</v>
      </c>
      <c r="E96" s="59" t="str">
        <f t="array" ref="E96">_xlfn.IFNA(IF(INDEX('SYN-W'!G$3:G$14,MATCH(1,(C96='SYN-W'!A$3:A$14)*(B96='SYN-W'!F$3:F$14),0))="P","P",""),"")</f>
        <v>P</v>
      </c>
    </row>
    <row r="97" spans="1:5" x14ac:dyDescent="0.2">
      <c r="A97" s="52" t="str">
        <f t="shared" si="3"/>
        <v>SYN-W</v>
      </c>
      <c r="B97" s="52" t="s">
        <v>61</v>
      </c>
      <c r="C97" s="52">
        <v>4</v>
      </c>
      <c r="D97" s="52" t="str">
        <f t="array" ref="D97">_xlfn.IFNA(INDEX('SYN-W'!B$3:B$14,MATCH(1,(C97='SYN-W'!A$3:A$14)*(B97='SYN-W'!F$3:F$14),0)),"")</f>
        <v>CIRONE (1998)/SOEHN (1999)</v>
      </c>
      <c r="E97" s="59" t="str">
        <f t="array" ref="E97">_xlfn.IFNA(IF(INDEX('SYN-W'!G$3:G$14,MATCH(1,(C97='SYN-W'!A$3:A$14)*(B97='SYN-W'!F$3:F$14),0))="P","P",""),"")</f>
        <v/>
      </c>
    </row>
    <row r="98" spans="1:5" hidden="1" x14ac:dyDescent="0.2">
      <c r="A98" s="50" t="str">
        <f>IF(D98="","","DMT-M")</f>
        <v/>
      </c>
      <c r="B98" s="51" t="s">
        <v>59</v>
      </c>
      <c r="C98" s="50">
        <v>1</v>
      </c>
      <c r="D98" s="50" t="str">
        <f t="array" ref="D98">_xlfn.IFNA(INDEX('DMT-M'!B$3:B$45,MATCH(1,(C98='DMT-M'!A$3:A$45)*(B98='DMT-M'!F$3:F$45),0)),"")</f>
        <v/>
      </c>
      <c r="E98" s="58" t="str">
        <f t="array" ref="E98">_xlfn.IFNA(IF(INDEX('DMT-M'!G$3:G$45,MATCH(1,(C98='DMT-M'!A$3:A$45)*(B98='DMT-M'!F$3:F$45),0))="P","P",""),"")</f>
        <v/>
      </c>
    </row>
    <row r="99" spans="1:5" hidden="1" x14ac:dyDescent="0.2">
      <c r="A99" s="50" t="str">
        <f t="shared" ref="A99:A129" si="4">IF(D99="","","DMT-M")</f>
        <v/>
      </c>
      <c r="B99" s="51" t="s">
        <v>59</v>
      </c>
      <c r="C99" s="50">
        <v>2</v>
      </c>
      <c r="D99" s="50" t="str">
        <f t="array" ref="D99">_xlfn.IFNA(INDEX('DMT-M'!B$3:B$45,MATCH(1,(C99='DMT-M'!A$3:A$45)*(B99='DMT-M'!F$3:F$45),0)),"")</f>
        <v/>
      </c>
      <c r="E99" s="58" t="str">
        <f t="array" ref="E99">_xlfn.IFNA(IF(INDEX('DMT-M'!G$3:G$45,MATCH(1,(C99='DMT-M'!A$3:A$45)*(B99='DMT-M'!F$3:F$45),0))="P","P",""),"")</f>
        <v/>
      </c>
    </row>
    <row r="100" spans="1:5" hidden="1" x14ac:dyDescent="0.2">
      <c r="A100" s="50" t="str">
        <f t="shared" si="4"/>
        <v/>
      </c>
      <c r="B100" s="51" t="s">
        <v>59</v>
      </c>
      <c r="C100" s="50">
        <v>3</v>
      </c>
      <c r="D100" s="50" t="str">
        <f t="array" ref="D100">_xlfn.IFNA(INDEX('DMT-M'!B$3:B$45,MATCH(1,(C100='DMT-M'!A$3:A$45)*(B100='DMT-M'!F$3:F$45),0)),"")</f>
        <v/>
      </c>
      <c r="E100" s="58" t="str">
        <f t="array" ref="E100">_xlfn.IFNA(IF(INDEX('DMT-M'!G$3:G$45,MATCH(1,(C100='DMT-M'!A$3:A$45)*(B100='DMT-M'!F$3:F$45),0))="P","P",""),"")</f>
        <v/>
      </c>
    </row>
    <row r="101" spans="1:5" hidden="1" x14ac:dyDescent="0.2">
      <c r="A101" s="50" t="str">
        <f t="shared" si="4"/>
        <v/>
      </c>
      <c r="B101" s="51" t="s">
        <v>59</v>
      </c>
      <c r="C101" s="50">
        <v>4</v>
      </c>
      <c r="D101" s="50" t="str">
        <f t="array" ref="D101">_xlfn.IFNA(INDEX('DMT-M'!B$3:B$45,MATCH(1,(C101='DMT-M'!A$3:A$45)*(B101='DMT-M'!F$3:F$45),0)),"")</f>
        <v/>
      </c>
      <c r="E101" s="58" t="str">
        <f t="array" ref="E101">_xlfn.IFNA(IF(INDEX('DMT-M'!G$3:G$45,MATCH(1,(C101='DMT-M'!A$3:A$45)*(B101='DMT-M'!F$3:F$45),0))="P","P",""),"")</f>
        <v/>
      </c>
    </row>
    <row r="102" spans="1:5" hidden="1" x14ac:dyDescent="0.2">
      <c r="A102" s="50" t="str">
        <f t="shared" si="4"/>
        <v/>
      </c>
      <c r="B102" s="51" t="s">
        <v>59</v>
      </c>
      <c r="C102" s="50">
        <v>5</v>
      </c>
      <c r="D102" s="50" t="str">
        <f t="array" ref="D102">_xlfn.IFNA(INDEX('DMT-M'!B$3:B$45,MATCH(1,(C102='DMT-M'!A$3:A$45)*(B102='DMT-M'!F$3:F$45),0)),"")</f>
        <v/>
      </c>
      <c r="E102" s="58" t="str">
        <f t="array" ref="E102">_xlfn.IFNA(IF(INDEX('DMT-M'!G$3:G$45,MATCH(1,(C102='DMT-M'!A$3:A$45)*(B102='DMT-M'!F$3:F$45),0))="P","P",""),"")</f>
        <v/>
      </c>
    </row>
    <row r="103" spans="1:5" hidden="1" x14ac:dyDescent="0.2">
      <c r="A103" s="50" t="str">
        <f t="shared" si="4"/>
        <v/>
      </c>
      <c r="B103" s="51" t="s">
        <v>59</v>
      </c>
      <c r="C103" s="50">
        <v>6</v>
      </c>
      <c r="D103" s="50" t="str">
        <f t="array" ref="D103">_xlfn.IFNA(INDEX('DMT-M'!B$3:B$45,MATCH(1,(C103='DMT-M'!A$3:A$45)*(B103='DMT-M'!F$3:F$45),0)),"")</f>
        <v/>
      </c>
      <c r="E103" s="58" t="str">
        <f t="array" ref="E103">_xlfn.IFNA(IF(INDEX('DMT-M'!G$3:G$45,MATCH(1,(C103='DMT-M'!A$3:A$45)*(B103='DMT-M'!F$3:F$45),0))="P","P",""),"")</f>
        <v/>
      </c>
    </row>
    <row r="104" spans="1:5" hidden="1" x14ac:dyDescent="0.2">
      <c r="A104" s="50" t="str">
        <f t="shared" si="4"/>
        <v/>
      </c>
      <c r="B104" s="51" t="s">
        <v>59</v>
      </c>
      <c r="C104" s="50">
        <v>7</v>
      </c>
      <c r="D104" s="50" t="str">
        <f t="array" ref="D104">_xlfn.IFNA(INDEX('DMT-M'!B$3:B$45,MATCH(1,(C104='DMT-M'!A$3:A$45)*(B104='DMT-M'!F$3:F$45),0)),"")</f>
        <v/>
      </c>
      <c r="E104" s="58" t="str">
        <f t="array" ref="E104">_xlfn.IFNA(IF(INDEX('DMT-M'!G$3:G$45,MATCH(1,(C104='DMT-M'!A$3:A$45)*(B104='DMT-M'!F$3:F$45),0))="P","P",""),"")</f>
        <v/>
      </c>
    </row>
    <row r="105" spans="1:5" hidden="1" x14ac:dyDescent="0.2">
      <c r="A105" s="50" t="str">
        <f t="shared" si="4"/>
        <v/>
      </c>
      <c r="B105" s="51" t="s">
        <v>59</v>
      </c>
      <c r="C105" s="50">
        <v>8</v>
      </c>
      <c r="D105" s="50" t="str">
        <f t="array" ref="D105">_xlfn.IFNA(INDEX('DMT-M'!B$3:B$45,MATCH(1,(C105='DMT-M'!A$3:A$45)*(B105='DMT-M'!F$3:F$45),0)),"")</f>
        <v/>
      </c>
      <c r="E105" s="58" t="str">
        <f t="array" ref="E105">_xlfn.IFNA(IF(INDEX('DMT-M'!G$3:G$45,MATCH(1,(C105='DMT-M'!A$3:A$45)*(B105='DMT-M'!F$3:F$45),0))="P","P",""),"")</f>
        <v/>
      </c>
    </row>
    <row r="106" spans="1:5" hidden="1" x14ac:dyDescent="0.2">
      <c r="A106" s="50" t="str">
        <f t="shared" si="4"/>
        <v/>
      </c>
      <c r="B106" s="50" t="s">
        <v>58</v>
      </c>
      <c r="C106" s="50">
        <v>1</v>
      </c>
      <c r="D106" s="50" t="str">
        <f t="array" ref="D106">_xlfn.IFNA(INDEX('DMT-M'!B$3:B$45,MATCH(1,(C106='DMT-M'!A$3:A$45)*(B106='DMT-M'!F$3:F$45),0)),"")</f>
        <v/>
      </c>
      <c r="E106" s="58" t="str">
        <f t="array" ref="E106">_xlfn.IFNA(IF(INDEX('DMT-M'!G$3:G$45,MATCH(1,(C106='DMT-M'!A$3:A$45)*(B106='DMT-M'!F$3:F$45),0))="P","P",""),"")</f>
        <v/>
      </c>
    </row>
    <row r="107" spans="1:5" hidden="1" x14ac:dyDescent="0.2">
      <c r="A107" s="50" t="str">
        <f t="shared" si="4"/>
        <v/>
      </c>
      <c r="B107" s="50" t="s">
        <v>58</v>
      </c>
      <c r="C107" s="50">
        <v>2</v>
      </c>
      <c r="D107" s="50" t="str">
        <f t="array" ref="D107">_xlfn.IFNA(INDEX('DMT-M'!B$3:B$45,MATCH(1,(C107='DMT-M'!A$3:A$45)*(B107='DMT-M'!F$3:F$45),0)),"")</f>
        <v/>
      </c>
      <c r="E107" s="58" t="str">
        <f t="array" ref="E107">_xlfn.IFNA(IF(INDEX('DMT-M'!G$3:G$45,MATCH(1,(C107='DMT-M'!A$3:A$45)*(B107='DMT-M'!F$3:F$45),0))="P","P",""),"")</f>
        <v/>
      </c>
    </row>
    <row r="108" spans="1:5" hidden="1" x14ac:dyDescent="0.2">
      <c r="A108" s="50" t="str">
        <f t="shared" si="4"/>
        <v/>
      </c>
      <c r="B108" s="50" t="s">
        <v>58</v>
      </c>
      <c r="C108" s="50">
        <v>3</v>
      </c>
      <c r="D108" s="50" t="str">
        <f t="array" ref="D108">_xlfn.IFNA(INDEX('DMT-M'!B$3:B$45,MATCH(1,(C108='DMT-M'!A$3:A$45)*(B108='DMT-M'!F$3:F$45),0)),"")</f>
        <v/>
      </c>
      <c r="E108" s="58" t="str">
        <f t="array" ref="E108">_xlfn.IFNA(IF(INDEX('DMT-M'!G$3:G$45,MATCH(1,(C108='DMT-M'!A$3:A$45)*(B108='DMT-M'!F$3:F$45),0))="P","P",""),"")</f>
        <v/>
      </c>
    </row>
    <row r="109" spans="1:5" hidden="1" x14ac:dyDescent="0.2">
      <c r="A109" s="50" t="str">
        <f t="shared" si="4"/>
        <v/>
      </c>
      <c r="B109" s="50" t="s">
        <v>58</v>
      </c>
      <c r="C109" s="50">
        <v>4</v>
      </c>
      <c r="D109" s="50" t="str">
        <f t="array" ref="D109">_xlfn.IFNA(INDEX('DMT-M'!B$3:B$45,MATCH(1,(C109='DMT-M'!A$3:A$45)*(B109='DMT-M'!F$3:F$45),0)),"")</f>
        <v/>
      </c>
      <c r="E109" s="58" t="str">
        <f t="array" ref="E109">_xlfn.IFNA(IF(INDEX('DMT-M'!G$3:G$45,MATCH(1,(C109='DMT-M'!A$3:A$45)*(B109='DMT-M'!F$3:F$45),0))="P","P",""),"")</f>
        <v/>
      </c>
    </row>
    <row r="110" spans="1:5" hidden="1" x14ac:dyDescent="0.2">
      <c r="A110" s="50" t="str">
        <f t="shared" si="4"/>
        <v/>
      </c>
      <c r="B110" s="50" t="s">
        <v>58</v>
      </c>
      <c r="C110" s="50">
        <v>5</v>
      </c>
      <c r="D110" s="50" t="str">
        <f t="array" ref="D110">_xlfn.IFNA(INDEX('DMT-M'!B$3:B$45,MATCH(1,(C110='DMT-M'!A$3:A$45)*(B110='DMT-M'!F$3:F$45),0)),"")</f>
        <v/>
      </c>
      <c r="E110" s="58" t="str">
        <f t="array" ref="E110">_xlfn.IFNA(IF(INDEX('DMT-M'!G$3:G$45,MATCH(1,(C110='DMT-M'!A$3:A$45)*(B110='DMT-M'!F$3:F$45),0))="P","P",""),"")</f>
        <v/>
      </c>
    </row>
    <row r="111" spans="1:5" hidden="1" x14ac:dyDescent="0.2">
      <c r="A111" s="50" t="str">
        <f t="shared" si="4"/>
        <v/>
      </c>
      <c r="B111" s="50" t="s">
        <v>58</v>
      </c>
      <c r="C111" s="50">
        <v>6</v>
      </c>
      <c r="D111" s="50" t="str">
        <f t="array" ref="D111">_xlfn.IFNA(INDEX('DMT-M'!B$3:B$45,MATCH(1,(C111='DMT-M'!A$3:A$45)*(B111='DMT-M'!F$3:F$45),0)),"")</f>
        <v/>
      </c>
      <c r="E111" s="58" t="str">
        <f t="array" ref="E111">_xlfn.IFNA(IF(INDEX('DMT-M'!G$3:G$45,MATCH(1,(C111='DMT-M'!A$3:A$45)*(B111='DMT-M'!F$3:F$45),0))="P","P",""),"")</f>
        <v/>
      </c>
    </row>
    <row r="112" spans="1:5" hidden="1" x14ac:dyDescent="0.2">
      <c r="A112" s="50" t="str">
        <f t="shared" si="4"/>
        <v/>
      </c>
      <c r="B112" s="50" t="s">
        <v>58</v>
      </c>
      <c r="C112" s="50">
        <v>7</v>
      </c>
      <c r="D112" s="50" t="str">
        <f t="array" ref="D112">_xlfn.IFNA(INDEX('DMT-M'!B$3:B$45,MATCH(1,(C112='DMT-M'!A$3:A$45)*(B112='DMT-M'!F$3:F$45),0)),"")</f>
        <v/>
      </c>
      <c r="E112" s="58" t="str">
        <f t="array" ref="E112">_xlfn.IFNA(IF(INDEX('DMT-M'!G$3:G$45,MATCH(1,(C112='DMT-M'!A$3:A$45)*(B112='DMT-M'!F$3:F$45),0))="P","P",""),"")</f>
        <v/>
      </c>
    </row>
    <row r="113" spans="1:5" hidden="1" x14ac:dyDescent="0.2">
      <c r="A113" s="50" t="str">
        <f t="shared" si="4"/>
        <v/>
      </c>
      <c r="B113" s="50" t="s">
        <v>58</v>
      </c>
      <c r="C113" s="50">
        <v>8</v>
      </c>
      <c r="D113" s="50" t="str">
        <f t="array" ref="D113">_xlfn.IFNA(INDEX('DMT-M'!B$3:B$45,MATCH(1,(C113='DMT-M'!A$3:A$45)*(B113='DMT-M'!F$3:F$45),0)),"")</f>
        <v/>
      </c>
      <c r="E113" s="58" t="str">
        <f t="array" ref="E113">_xlfn.IFNA(IF(INDEX('DMT-M'!G$3:G$45,MATCH(1,(C113='DMT-M'!A$3:A$45)*(B113='DMT-M'!F$3:F$45),0))="P","P",""),"")</f>
        <v/>
      </c>
    </row>
    <row r="114" spans="1:5" x14ac:dyDescent="0.2">
      <c r="A114" s="50" t="str">
        <f t="shared" si="4"/>
        <v>DMT-M</v>
      </c>
      <c r="B114" s="50" t="s">
        <v>60</v>
      </c>
      <c r="C114" s="50">
        <v>1</v>
      </c>
      <c r="D114" s="50" t="str">
        <f t="array" ref="D114">_xlfn.IFNA(INDEX('DMT-M'!B$3:B$45,MATCH(1,(C114='DMT-M'!A$3:A$45)*(B114='DMT-M'!F$3:F$45),0)),"")</f>
        <v>LUPISH, Kieran</v>
      </c>
      <c r="E114" s="58" t="str">
        <f t="array" ref="E114">_xlfn.IFNA(IF(INDEX('DMT-M'!G$3:G$45,MATCH(1,(C114='DMT-M'!A$3:A$45)*(B114='DMT-M'!F$3:F$45),0))="P","P",""),"")</f>
        <v>P</v>
      </c>
    </row>
    <row r="115" spans="1:5" x14ac:dyDescent="0.2">
      <c r="A115" s="50" t="str">
        <f t="shared" si="4"/>
        <v>DMT-M</v>
      </c>
      <c r="B115" s="50" t="s">
        <v>60</v>
      </c>
      <c r="C115" s="50">
        <v>2</v>
      </c>
      <c r="D115" s="50" t="str">
        <f t="array" ref="D115">_xlfn.IFNA(INDEX('DMT-M'!B$3:B$45,MATCH(1,(C115='DMT-M'!A$3:A$45)*(B115='DMT-M'!F$3:F$45),0)),"")</f>
        <v>DODD, Gavin</v>
      </c>
      <c r="E115" s="58" t="str">
        <f t="array" ref="E115">_xlfn.IFNA(IF(INDEX('DMT-M'!G$3:G$45,MATCH(1,(C115='DMT-M'!A$3:A$45)*(B115='DMT-M'!F$3:F$45),0))="P","P",""),"")</f>
        <v>P</v>
      </c>
    </row>
    <row r="116" spans="1:5" x14ac:dyDescent="0.2">
      <c r="A116" s="50" t="str">
        <f t="shared" si="4"/>
        <v>DMT-M</v>
      </c>
      <c r="B116" s="50" t="s">
        <v>60</v>
      </c>
      <c r="C116" s="50">
        <v>3</v>
      </c>
      <c r="D116" s="50" t="str">
        <f t="array" ref="D116">_xlfn.IFNA(INDEX('DMT-M'!B$3:B$45,MATCH(1,(C116='DMT-M'!A$3:A$45)*(B116='DMT-M'!F$3:F$45),0)),"")</f>
        <v>ZUREK, Nolan</v>
      </c>
      <c r="E116" s="58" t="str">
        <f t="array" ref="E116">_xlfn.IFNA(IF(INDEX('DMT-M'!G$3:G$45,MATCH(1,(C116='DMT-M'!A$3:A$45)*(B116='DMT-M'!F$3:F$45),0))="P","P",""),"")</f>
        <v>P</v>
      </c>
    </row>
    <row r="117" spans="1:5" x14ac:dyDescent="0.2">
      <c r="A117" s="50" t="str">
        <f t="shared" si="4"/>
        <v>DMT-M</v>
      </c>
      <c r="B117" s="50" t="s">
        <v>60</v>
      </c>
      <c r="C117" s="50">
        <v>4</v>
      </c>
      <c r="D117" s="50" t="str">
        <f t="array" ref="D117">_xlfn.IFNA(INDEX('DMT-M'!B$3:B$45,MATCH(1,(C117='DMT-M'!A$3:A$45)*(B117='DMT-M'!F$3:F$45),0)),"")</f>
        <v>WISHLOW, Josh</v>
      </c>
      <c r="E117" s="58" t="str">
        <f t="array" ref="E117">_xlfn.IFNA(IF(INDEX('DMT-M'!G$3:G$45,MATCH(1,(C117='DMT-M'!A$3:A$45)*(B117='DMT-M'!F$3:F$45),0))="P","P",""),"")</f>
        <v/>
      </c>
    </row>
    <row r="118" spans="1:5" x14ac:dyDescent="0.2">
      <c r="A118" s="50" t="str">
        <f t="shared" si="4"/>
        <v>DMT-M</v>
      </c>
      <c r="B118" s="50" t="s">
        <v>60</v>
      </c>
      <c r="C118" s="50">
        <v>5</v>
      </c>
      <c r="D118" s="50" t="str">
        <f t="array" ref="D118">_xlfn.IFNA(INDEX('DMT-M'!B$3:B$45,MATCH(1,(C118='DMT-M'!A$3:A$45)*(B118='DMT-M'!F$3:F$45),0)),"")</f>
        <v>STANNARD, Adam</v>
      </c>
      <c r="E118" s="58" t="str">
        <f t="array" ref="E118">_xlfn.IFNA(IF(INDEX('DMT-M'!G$3:G$45,MATCH(1,(C118='DMT-M'!A$3:A$45)*(B118='DMT-M'!F$3:F$45),0))="P","P",""),"")</f>
        <v>P</v>
      </c>
    </row>
    <row r="119" spans="1:5" x14ac:dyDescent="0.2">
      <c r="A119" s="50" t="str">
        <f t="shared" si="4"/>
        <v>DMT-M</v>
      </c>
      <c r="B119" s="50" t="s">
        <v>60</v>
      </c>
      <c r="C119" s="50">
        <v>6</v>
      </c>
      <c r="D119" s="50" t="str">
        <f t="array" ref="D119">_xlfn.IFNA(INDEX('DMT-M'!B$3:B$45,MATCH(1,(C119='DMT-M'!A$3:A$45)*(B119='DMT-M'!F$3:F$45),0)),"")</f>
        <v>UVAKOV, Chris</v>
      </c>
      <c r="E119" s="58" t="str">
        <f t="array" ref="E119">_xlfn.IFNA(IF(INDEX('DMT-M'!G$3:G$45,MATCH(1,(C119='DMT-M'!A$3:A$45)*(B119='DMT-M'!F$3:F$45),0))="P","P",""),"")</f>
        <v>P</v>
      </c>
    </row>
    <row r="120" spans="1:5" hidden="1" x14ac:dyDescent="0.2">
      <c r="A120" s="50" t="str">
        <f t="shared" si="4"/>
        <v/>
      </c>
      <c r="B120" s="50" t="s">
        <v>60</v>
      </c>
      <c r="C120" s="50">
        <v>7</v>
      </c>
      <c r="D120" s="50" t="str">
        <f t="array" ref="D120">_xlfn.IFNA(INDEX('DMT-M'!B$3:B$45,MATCH(1,(C120='DMT-M'!A$3:A$45)*(B120='DMT-M'!F$3:F$45),0)),"")</f>
        <v/>
      </c>
      <c r="E120" s="58" t="str">
        <f t="array" ref="E120">_xlfn.IFNA(IF(INDEX('DMT-M'!G$3:G$45,MATCH(1,(C120='DMT-M'!A$3:A$45)*(B120='DMT-M'!F$3:F$45),0))="P","P",""),"")</f>
        <v/>
      </c>
    </row>
    <row r="121" spans="1:5" hidden="1" x14ac:dyDescent="0.2">
      <c r="A121" s="50" t="str">
        <f t="shared" si="4"/>
        <v/>
      </c>
      <c r="B121" s="50" t="s">
        <v>60</v>
      </c>
      <c r="C121" s="50">
        <v>8</v>
      </c>
      <c r="D121" s="50" t="str">
        <f t="array" ref="D121">_xlfn.IFNA(INDEX('DMT-M'!B$3:B$45,MATCH(1,(C121='DMT-M'!A$3:A$45)*(B121='DMT-M'!F$3:F$45),0)),"")</f>
        <v/>
      </c>
      <c r="E121" s="58" t="str">
        <f t="array" ref="E121">_xlfn.IFNA(IF(INDEX('DMT-M'!G$3:G$45,MATCH(1,(C121='DMT-M'!A$3:A$45)*(B121='DMT-M'!F$3:F$45),0))="P","P",""),"")</f>
        <v/>
      </c>
    </row>
    <row r="122" spans="1:5" x14ac:dyDescent="0.2">
      <c r="A122" s="50" t="str">
        <f t="shared" si="4"/>
        <v>DMT-M</v>
      </c>
      <c r="B122" s="50" t="s">
        <v>61</v>
      </c>
      <c r="C122" s="50">
        <v>1</v>
      </c>
      <c r="D122" s="50" t="str">
        <f t="array" ref="D122">_xlfn.IFNA(INDEX('DMT-M'!B$3:B$45,MATCH(1,(C122='DMT-M'!A$3:A$45)*(B122='DMT-M'!F$3:F$45),0)),"")</f>
        <v>CHÂTEAUVERT, Emile</v>
      </c>
      <c r="E122" s="58" t="str">
        <f t="array" ref="E122">_xlfn.IFNA(IF(INDEX('DMT-M'!G$3:G$45,MATCH(1,(C122='DMT-M'!A$3:A$45)*(B122='DMT-M'!F$3:F$45),0))="P","P",""),"")</f>
        <v/>
      </c>
    </row>
    <row r="123" spans="1:5" x14ac:dyDescent="0.2">
      <c r="A123" s="50" t="str">
        <f t="shared" si="4"/>
        <v>DMT-M</v>
      </c>
      <c r="B123" s="50" t="s">
        <v>61</v>
      </c>
      <c r="C123" s="50">
        <v>2</v>
      </c>
      <c r="D123" s="50" t="str">
        <f t="array" ref="D123">_xlfn.IFNA(INDEX('DMT-M'!B$3:B$45,MATCH(1,(C123='DMT-M'!A$3:A$45)*(B123='DMT-M'!F$3:F$45),0)),"")</f>
        <v>FERNANDES, Antonio</v>
      </c>
      <c r="E123" s="58" t="str">
        <f t="array" ref="E123">_xlfn.IFNA(IF(INDEX('DMT-M'!G$3:G$45,MATCH(1,(C123='DMT-M'!A$3:A$45)*(B123='DMT-M'!F$3:F$45),0))="P","P",""),"")</f>
        <v>P</v>
      </c>
    </row>
    <row r="124" spans="1:5" x14ac:dyDescent="0.2">
      <c r="A124" s="50" t="str">
        <f t="shared" si="4"/>
        <v>DMT-M</v>
      </c>
      <c r="B124" s="50" t="s">
        <v>61</v>
      </c>
      <c r="C124" s="50">
        <v>3</v>
      </c>
      <c r="D124" s="50" t="str">
        <f t="array" ref="D124">_xlfn.IFNA(INDEX('DMT-M'!B$3:B$45,MATCH(1,(C124='DMT-M'!A$3:A$45)*(B124='DMT-M'!F$3:F$45),0)),"")</f>
        <v>ARMSTRONG, Owen</v>
      </c>
      <c r="E124" s="58" t="str">
        <f t="array" ref="E124">_xlfn.IFNA(IF(INDEX('DMT-M'!G$3:G$45,MATCH(1,(C124='DMT-M'!A$3:A$45)*(B124='DMT-M'!F$3:F$45),0))="P","P",""),"")</f>
        <v/>
      </c>
    </row>
    <row r="125" spans="1:5" x14ac:dyDescent="0.2">
      <c r="A125" s="50" t="str">
        <f t="shared" si="4"/>
        <v>DMT-M</v>
      </c>
      <c r="B125" s="50" t="s">
        <v>61</v>
      </c>
      <c r="C125" s="50">
        <v>4</v>
      </c>
      <c r="D125" s="50" t="str">
        <f t="array" ref="D125">_xlfn.IFNA(INDEX('DMT-M'!B$3:B$45,MATCH(1,(C125='DMT-M'!A$3:A$45)*(B125='DMT-M'!F$3:F$45),0)),"")</f>
        <v>BLAKELY, Zachary</v>
      </c>
      <c r="E125" s="58" t="str">
        <f t="array" ref="E125">_xlfn.IFNA(IF(INDEX('DMT-M'!G$3:G$45,MATCH(1,(C125='DMT-M'!A$3:A$45)*(B125='DMT-M'!F$3:F$45),0))="P","P",""),"")</f>
        <v>P</v>
      </c>
    </row>
    <row r="126" spans="1:5" x14ac:dyDescent="0.2">
      <c r="A126" s="50" t="str">
        <f t="shared" si="4"/>
        <v>DMT-M</v>
      </c>
      <c r="B126" s="50" t="s">
        <v>61</v>
      </c>
      <c r="C126" s="50">
        <v>5</v>
      </c>
      <c r="D126" s="50" t="str">
        <f t="array" ref="D126">_xlfn.IFNA(INDEX('DMT-M'!B$3:B$45,MATCH(1,(C126='DMT-M'!A$3:A$45)*(B126='DMT-M'!F$3:F$45),0)),"")</f>
        <v>DAWSON, David</v>
      </c>
      <c r="E126" s="58" t="str">
        <f t="array" ref="E126">_xlfn.IFNA(IF(INDEX('DMT-M'!G$3:G$45,MATCH(1,(C126='DMT-M'!A$3:A$45)*(B126='DMT-M'!F$3:F$45),0))="P","P",""),"")</f>
        <v>P</v>
      </c>
    </row>
    <row r="127" spans="1:5" x14ac:dyDescent="0.2">
      <c r="A127" s="50" t="str">
        <f t="shared" si="4"/>
        <v>DMT-M</v>
      </c>
      <c r="B127" s="50" t="s">
        <v>61</v>
      </c>
      <c r="C127" s="50">
        <v>6</v>
      </c>
      <c r="D127" s="50" t="str">
        <f t="array" ref="D127">_xlfn.IFNA(INDEX('DMT-M'!B$3:B$45,MATCH(1,(C127='DMT-M'!A$3:A$45)*(B127='DMT-M'!F$3:F$45),0)),"")</f>
        <v>KLASSEN, Isaiah</v>
      </c>
      <c r="E127" s="58" t="str">
        <f t="array" ref="E127">_xlfn.IFNA(IF(INDEX('DMT-M'!G$3:G$45,MATCH(1,(C127='DMT-M'!A$3:A$45)*(B127='DMT-M'!F$3:F$45),0))="P","P",""),"")</f>
        <v>P</v>
      </c>
    </row>
    <row r="128" spans="1:5" x14ac:dyDescent="0.2">
      <c r="A128" s="50" t="str">
        <f t="shared" si="4"/>
        <v>DMT-M</v>
      </c>
      <c r="B128" s="50" t="s">
        <v>61</v>
      </c>
      <c r="C128" s="50">
        <v>7</v>
      </c>
      <c r="D128" s="50" t="str">
        <f t="array" ref="D128">_xlfn.IFNA(INDEX('DMT-M'!B$3:B$45,MATCH(1,(C128='DMT-M'!A$3:A$45)*(B128='DMT-M'!F$3:F$45),0)),"")</f>
        <v>CHAMPAGNE, Tyler</v>
      </c>
      <c r="E128" s="58" t="str">
        <f t="array" ref="E128">_xlfn.IFNA(IF(INDEX('DMT-M'!G$3:G$45,MATCH(1,(C128='DMT-M'!A$3:A$45)*(B128='DMT-M'!F$3:F$45),0))="P","P",""),"")</f>
        <v>P</v>
      </c>
    </row>
    <row r="129" spans="1:5" x14ac:dyDescent="0.2">
      <c r="A129" s="50" t="str">
        <f t="shared" si="4"/>
        <v>DMT-M</v>
      </c>
      <c r="B129" s="50" t="s">
        <v>61</v>
      </c>
      <c r="C129" s="50">
        <v>8</v>
      </c>
      <c r="D129" s="50" t="str">
        <f t="array" ref="D129">_xlfn.IFNA(INDEX('DMT-M'!B$3:B$45,MATCH(1,(C129='DMT-M'!A$3:A$45)*(B129='DMT-M'!F$3:F$45),0)),"")</f>
        <v>LEFAIVRE, Justin</v>
      </c>
      <c r="E129" s="58" t="str">
        <f t="array" ref="E129">_xlfn.IFNA(IF(INDEX('DMT-M'!G$3:G$45,MATCH(1,(C129='DMT-M'!A$3:A$45)*(B129='DMT-M'!F$3:F$45),0))="P","P",""),"")</f>
        <v/>
      </c>
    </row>
    <row r="130" spans="1:5" hidden="1" x14ac:dyDescent="0.2">
      <c r="A130" s="52" t="str">
        <f>IF(D130="","","DMT-W")</f>
        <v/>
      </c>
      <c r="B130" s="53" t="s">
        <v>59</v>
      </c>
      <c r="C130" s="52">
        <v>1</v>
      </c>
      <c r="D130" s="52" t="str">
        <f t="array" ref="D130">_xlfn.IFNA(INDEX('DMT-W'!B$3:B$47,MATCH(1,(C130='DMT-W'!A$3:A$47)*(B130='DMT-W'!F$3:F$47),0)),"")</f>
        <v/>
      </c>
      <c r="E130" s="59" t="str">
        <f t="array" ref="E130">_xlfn.IFNA(IF(INDEX('DMT-W'!G$3:G$47,MATCH(1,(C130='DMT-W'!A$3:A$47)*(B130='DMT-W'!F$3:F$47),0))="P","P",""),"")</f>
        <v/>
      </c>
    </row>
    <row r="131" spans="1:5" hidden="1" x14ac:dyDescent="0.2">
      <c r="A131" s="52" t="str">
        <f t="shared" ref="A131:A161" si="5">IF(D131="","","DMT-W")</f>
        <v/>
      </c>
      <c r="B131" s="53" t="s">
        <v>59</v>
      </c>
      <c r="C131" s="52">
        <v>2</v>
      </c>
      <c r="D131" s="52" t="str">
        <f t="array" ref="D131">_xlfn.IFNA(INDEX('DMT-W'!B$3:B$47,MATCH(1,(C131='DMT-W'!A$3:A$47)*(B131='DMT-W'!F$3:F$47),0)),"")</f>
        <v/>
      </c>
      <c r="E131" s="59" t="str">
        <f t="array" ref="E131">_xlfn.IFNA(IF(INDEX('DMT-W'!G$3:G$47,MATCH(1,(C131='DMT-W'!A$3:A$47)*(B131='DMT-W'!F$3:F$47),0))="P","P",""),"")</f>
        <v/>
      </c>
    </row>
    <row r="132" spans="1:5" hidden="1" x14ac:dyDescent="0.2">
      <c r="A132" s="52" t="str">
        <f t="shared" si="5"/>
        <v/>
      </c>
      <c r="B132" s="53" t="s">
        <v>59</v>
      </c>
      <c r="C132" s="52">
        <v>3</v>
      </c>
      <c r="D132" s="52" t="str">
        <f t="array" ref="D132">_xlfn.IFNA(INDEX('DMT-W'!B$3:B$47,MATCH(1,(C132='DMT-W'!A$3:A$47)*(B132='DMT-W'!F$3:F$47),0)),"")</f>
        <v/>
      </c>
      <c r="E132" s="59" t="str">
        <f t="array" ref="E132">_xlfn.IFNA(IF(INDEX('DMT-W'!G$3:G$47,MATCH(1,(C132='DMT-W'!A$3:A$47)*(B132='DMT-W'!F$3:F$47),0))="P","P",""),"")</f>
        <v/>
      </c>
    </row>
    <row r="133" spans="1:5" hidden="1" x14ac:dyDescent="0.2">
      <c r="A133" s="52" t="str">
        <f t="shared" si="5"/>
        <v/>
      </c>
      <c r="B133" s="53" t="s">
        <v>59</v>
      </c>
      <c r="C133" s="52">
        <v>4</v>
      </c>
      <c r="D133" s="52" t="str">
        <f t="array" ref="D133">_xlfn.IFNA(INDEX('DMT-W'!B$3:B$47,MATCH(1,(C133='DMT-W'!A$3:A$47)*(B133='DMT-W'!F$3:F$47),0)),"")</f>
        <v/>
      </c>
      <c r="E133" s="59" t="str">
        <f t="array" ref="E133">_xlfn.IFNA(IF(INDEX('DMT-W'!G$3:G$47,MATCH(1,(C133='DMT-W'!A$3:A$47)*(B133='DMT-W'!F$3:F$47),0))="P","P",""),"")</f>
        <v/>
      </c>
    </row>
    <row r="134" spans="1:5" hidden="1" x14ac:dyDescent="0.2">
      <c r="A134" s="52" t="str">
        <f t="shared" si="5"/>
        <v/>
      </c>
      <c r="B134" s="53" t="s">
        <v>59</v>
      </c>
      <c r="C134" s="52">
        <v>5</v>
      </c>
      <c r="D134" s="52" t="str">
        <f t="array" ref="D134">_xlfn.IFNA(INDEX('DMT-W'!B$3:B$47,MATCH(1,(C134='DMT-W'!A$3:A$47)*(B134='DMT-W'!F$3:F$47),0)),"")</f>
        <v/>
      </c>
      <c r="E134" s="59" t="str">
        <f t="array" ref="E134">_xlfn.IFNA(IF(INDEX('DMT-W'!G$3:G$47,MATCH(1,(C134='DMT-W'!A$3:A$47)*(B134='DMT-W'!F$3:F$47),0))="P","P",""),"")</f>
        <v/>
      </c>
    </row>
    <row r="135" spans="1:5" hidden="1" x14ac:dyDescent="0.2">
      <c r="A135" s="52" t="str">
        <f t="shared" si="5"/>
        <v/>
      </c>
      <c r="B135" s="53" t="s">
        <v>59</v>
      </c>
      <c r="C135" s="52">
        <v>6</v>
      </c>
      <c r="D135" s="52" t="str">
        <f t="array" ref="D135">_xlfn.IFNA(INDEX('DMT-W'!B$3:B$47,MATCH(1,(C135='DMT-W'!A$3:A$47)*(B135='DMT-W'!F$3:F$47),0)),"")</f>
        <v/>
      </c>
      <c r="E135" s="59" t="str">
        <f t="array" ref="E135">_xlfn.IFNA(IF(INDEX('DMT-W'!G$3:G$47,MATCH(1,(C135='DMT-W'!A$3:A$47)*(B135='DMT-W'!F$3:F$47),0))="P","P",""),"")</f>
        <v/>
      </c>
    </row>
    <row r="136" spans="1:5" hidden="1" x14ac:dyDescent="0.2">
      <c r="A136" s="52" t="str">
        <f t="shared" si="5"/>
        <v/>
      </c>
      <c r="B136" s="53" t="s">
        <v>59</v>
      </c>
      <c r="C136" s="52">
        <v>7</v>
      </c>
      <c r="D136" s="52" t="str">
        <f t="array" ref="D136">_xlfn.IFNA(INDEX('DMT-W'!B$3:B$47,MATCH(1,(C136='DMT-W'!A$3:A$47)*(B136='DMT-W'!F$3:F$47),0)),"")</f>
        <v/>
      </c>
      <c r="E136" s="59" t="str">
        <f t="array" ref="E136">_xlfn.IFNA(IF(INDEX('DMT-W'!G$3:G$47,MATCH(1,(C136='DMT-W'!A$3:A$47)*(B136='DMT-W'!F$3:F$47),0))="P","P",""),"")</f>
        <v/>
      </c>
    </row>
    <row r="137" spans="1:5" hidden="1" x14ac:dyDescent="0.2">
      <c r="A137" s="52" t="str">
        <f t="shared" si="5"/>
        <v/>
      </c>
      <c r="B137" s="53" t="s">
        <v>59</v>
      </c>
      <c r="C137" s="52">
        <v>8</v>
      </c>
      <c r="D137" s="52" t="str">
        <f t="array" ref="D137">_xlfn.IFNA(INDEX('DMT-W'!B$3:B$47,MATCH(1,(C137='DMT-W'!A$3:A$47)*(B137='DMT-W'!F$3:F$47),0)),"")</f>
        <v/>
      </c>
      <c r="E137" s="59" t="str">
        <f t="array" ref="E137">_xlfn.IFNA(IF(INDEX('DMT-W'!G$3:G$47,MATCH(1,(C137='DMT-W'!A$3:A$47)*(B137='DMT-W'!F$3:F$47),0))="P","P",""),"")</f>
        <v/>
      </c>
    </row>
    <row r="138" spans="1:5" hidden="1" x14ac:dyDescent="0.2">
      <c r="A138" s="52" t="str">
        <f t="shared" si="5"/>
        <v/>
      </c>
      <c r="B138" s="52" t="s">
        <v>58</v>
      </c>
      <c r="C138" s="52">
        <v>1</v>
      </c>
      <c r="D138" s="52" t="str">
        <f t="array" ref="D138">_xlfn.IFNA(INDEX('DMT-W'!B$3:B$47,MATCH(1,(C138='DMT-W'!A$3:A$47)*(B138='DMT-W'!F$3:F$47),0)),"")</f>
        <v/>
      </c>
      <c r="E138" s="59" t="str">
        <f t="array" ref="E138">_xlfn.IFNA(IF(INDEX('DMT-W'!G$3:G$47,MATCH(1,(C138='DMT-W'!A$3:A$47)*(B138='DMT-W'!F$3:F$47),0))="P","P",""),"")</f>
        <v/>
      </c>
    </row>
    <row r="139" spans="1:5" hidden="1" x14ac:dyDescent="0.2">
      <c r="A139" s="52" t="str">
        <f t="shared" si="5"/>
        <v/>
      </c>
      <c r="B139" s="52" t="s">
        <v>58</v>
      </c>
      <c r="C139" s="52">
        <v>2</v>
      </c>
      <c r="D139" s="52" t="str">
        <f t="array" ref="D139">_xlfn.IFNA(INDEX('DMT-W'!B$3:B$47,MATCH(1,(C139='DMT-W'!A$3:A$47)*(B139='DMT-W'!F$3:F$47),0)),"")</f>
        <v/>
      </c>
      <c r="E139" s="59" t="str">
        <f t="array" ref="E139">_xlfn.IFNA(IF(INDEX('DMT-W'!G$3:G$47,MATCH(1,(C139='DMT-W'!A$3:A$47)*(B139='DMT-W'!F$3:F$47),0))="P","P",""),"")</f>
        <v/>
      </c>
    </row>
    <row r="140" spans="1:5" hidden="1" x14ac:dyDescent="0.2">
      <c r="A140" s="52" t="str">
        <f t="shared" si="5"/>
        <v/>
      </c>
      <c r="B140" s="52" t="s">
        <v>58</v>
      </c>
      <c r="C140" s="52">
        <v>3</v>
      </c>
      <c r="D140" s="52" t="str">
        <f t="array" ref="D140">_xlfn.IFNA(INDEX('DMT-W'!B$3:B$47,MATCH(1,(C140='DMT-W'!A$3:A$47)*(B140='DMT-W'!F$3:F$47),0)),"")</f>
        <v/>
      </c>
      <c r="E140" s="59" t="str">
        <f t="array" ref="E140">_xlfn.IFNA(IF(INDEX('DMT-W'!G$3:G$47,MATCH(1,(C140='DMT-W'!A$3:A$47)*(B140='DMT-W'!F$3:F$47),0))="P","P",""),"")</f>
        <v/>
      </c>
    </row>
    <row r="141" spans="1:5" hidden="1" x14ac:dyDescent="0.2">
      <c r="A141" s="52" t="str">
        <f t="shared" si="5"/>
        <v/>
      </c>
      <c r="B141" s="52" t="s">
        <v>58</v>
      </c>
      <c r="C141" s="52">
        <v>4</v>
      </c>
      <c r="D141" s="52" t="str">
        <f t="array" ref="D141">_xlfn.IFNA(INDEX('DMT-W'!B$3:B$47,MATCH(1,(C141='DMT-W'!A$3:A$47)*(B141='DMT-W'!F$3:F$47),0)),"")</f>
        <v/>
      </c>
      <c r="E141" s="59" t="str">
        <f t="array" ref="E141">_xlfn.IFNA(IF(INDEX('DMT-W'!G$3:G$47,MATCH(1,(C141='DMT-W'!A$3:A$47)*(B141='DMT-W'!F$3:F$47),0))="P","P",""),"")</f>
        <v/>
      </c>
    </row>
    <row r="142" spans="1:5" hidden="1" x14ac:dyDescent="0.2">
      <c r="A142" s="52" t="str">
        <f t="shared" si="5"/>
        <v/>
      </c>
      <c r="B142" s="52" t="s">
        <v>58</v>
      </c>
      <c r="C142" s="52">
        <v>5</v>
      </c>
      <c r="D142" s="52" t="str">
        <f t="array" ref="D142">_xlfn.IFNA(INDEX('DMT-W'!B$3:B$47,MATCH(1,(C142='DMT-W'!A$3:A$47)*(B142='DMT-W'!F$3:F$47),0)),"")</f>
        <v/>
      </c>
      <c r="E142" s="59" t="str">
        <f t="array" ref="E142">_xlfn.IFNA(IF(INDEX('DMT-W'!G$3:G$47,MATCH(1,(C142='DMT-W'!A$3:A$47)*(B142='DMT-W'!F$3:F$47),0))="P","P",""),"")</f>
        <v/>
      </c>
    </row>
    <row r="143" spans="1:5" hidden="1" x14ac:dyDescent="0.2">
      <c r="A143" s="52" t="str">
        <f t="shared" si="5"/>
        <v/>
      </c>
      <c r="B143" s="52" t="s">
        <v>58</v>
      </c>
      <c r="C143" s="52">
        <v>6</v>
      </c>
      <c r="D143" s="52" t="str">
        <f t="array" ref="D143">_xlfn.IFNA(INDEX('DMT-W'!B$3:B$47,MATCH(1,(C143='DMT-W'!A$3:A$47)*(B143='DMT-W'!F$3:F$47),0)),"")</f>
        <v/>
      </c>
      <c r="E143" s="59" t="str">
        <f t="array" ref="E143">_xlfn.IFNA(IF(INDEX('DMT-W'!G$3:G$47,MATCH(1,(C143='DMT-W'!A$3:A$47)*(B143='DMT-W'!F$3:F$47),0))="P","P",""),"")</f>
        <v/>
      </c>
    </row>
    <row r="144" spans="1:5" hidden="1" x14ac:dyDescent="0.2">
      <c r="A144" s="52" t="str">
        <f t="shared" si="5"/>
        <v/>
      </c>
      <c r="B144" s="52" t="s">
        <v>58</v>
      </c>
      <c r="C144" s="52">
        <v>7</v>
      </c>
      <c r="D144" s="52" t="str">
        <f t="array" ref="D144">_xlfn.IFNA(INDEX('DMT-W'!B$3:B$47,MATCH(1,(C144='DMT-W'!A$3:A$47)*(B144='DMT-W'!F$3:F$47),0)),"")</f>
        <v/>
      </c>
      <c r="E144" s="59" t="str">
        <f t="array" ref="E144">_xlfn.IFNA(IF(INDEX('DMT-W'!G$3:G$47,MATCH(1,(C144='DMT-W'!A$3:A$47)*(B144='DMT-W'!F$3:F$47),0))="P","P",""),"")</f>
        <v/>
      </c>
    </row>
    <row r="145" spans="1:5" hidden="1" x14ac:dyDescent="0.2">
      <c r="A145" s="52" t="str">
        <f t="shared" si="5"/>
        <v/>
      </c>
      <c r="B145" s="52" t="s">
        <v>58</v>
      </c>
      <c r="C145" s="52">
        <v>8</v>
      </c>
      <c r="D145" s="52" t="str">
        <f t="array" ref="D145">_xlfn.IFNA(INDEX('DMT-W'!B$3:B$47,MATCH(1,(C145='DMT-W'!A$3:A$47)*(B145='DMT-W'!F$3:F$47),0)),"")</f>
        <v/>
      </c>
      <c r="E145" s="59" t="str">
        <f t="array" ref="E145">_xlfn.IFNA(IF(INDEX('DMT-W'!G$3:G$47,MATCH(1,(C145='DMT-W'!A$3:A$47)*(B145='DMT-W'!F$3:F$47),0))="P","P",""),"")</f>
        <v/>
      </c>
    </row>
    <row r="146" spans="1:5" x14ac:dyDescent="0.2">
      <c r="A146" s="52" t="str">
        <f t="shared" si="5"/>
        <v>DMT-W</v>
      </c>
      <c r="B146" s="52" t="s">
        <v>60</v>
      </c>
      <c r="C146" s="52">
        <v>1</v>
      </c>
      <c r="D146" s="52" t="str">
        <f t="array" ref="D146">_xlfn.IFNA(INDEX('DMT-W'!B$3:B$47,MATCH(1,(C146='DMT-W'!A$3:A$47)*(B146='DMT-W'!F$3:F$47),0)),"")</f>
        <v>PHANEUF, Zoe</v>
      </c>
      <c r="E146" s="59" t="str">
        <f t="array" ref="E146">_xlfn.IFNA(IF(INDEX('DMT-W'!G$3:G$47,MATCH(1,(C146='DMT-W'!A$3:A$47)*(B146='DMT-W'!F$3:F$47),0))="P","P",""),"")</f>
        <v>P</v>
      </c>
    </row>
    <row r="147" spans="1:5" x14ac:dyDescent="0.2">
      <c r="A147" s="52" t="str">
        <f t="shared" si="5"/>
        <v>DMT-W</v>
      </c>
      <c r="B147" s="52" t="s">
        <v>60</v>
      </c>
      <c r="C147" s="52">
        <v>2</v>
      </c>
      <c r="D147" s="52" t="str">
        <f t="array" ref="D147">_xlfn.IFNA(INDEX('DMT-W'!B$3:B$47,MATCH(1,(C147='DMT-W'!A$3:A$47)*(B147='DMT-W'!F$3:F$47),0)),"")</f>
        <v>THOMPSON, Abby</v>
      </c>
      <c r="E147" s="59" t="str">
        <f t="array" ref="E147">_xlfn.IFNA(IF(INDEX('DMT-W'!G$3:G$47,MATCH(1,(C147='DMT-W'!A$3:A$47)*(B147='DMT-W'!F$3:F$47),0))="P","P",""),"")</f>
        <v>P</v>
      </c>
    </row>
    <row r="148" spans="1:5" x14ac:dyDescent="0.2">
      <c r="A148" s="52" t="str">
        <f t="shared" si="5"/>
        <v>DMT-W</v>
      </c>
      <c r="B148" s="52" t="s">
        <v>60</v>
      </c>
      <c r="C148" s="52">
        <v>3</v>
      </c>
      <c r="D148" s="52" t="str">
        <f t="array" ref="D148">_xlfn.IFNA(INDEX('DMT-W'!B$3:B$47,MATCH(1,(C148='DMT-W'!A$3:A$47)*(B148='DMT-W'!F$3:F$47),0)),"")</f>
        <v>PARHAR, Jasmine</v>
      </c>
      <c r="E148" s="59" t="str">
        <f t="array" ref="E148">_xlfn.IFNA(IF(INDEX('DMT-W'!G$3:G$47,MATCH(1,(C148='DMT-W'!A$3:A$47)*(B148='DMT-W'!F$3:F$47),0))="P","P",""),"")</f>
        <v>P</v>
      </c>
    </row>
    <row r="149" spans="1:5" hidden="1" x14ac:dyDescent="0.2">
      <c r="A149" s="52" t="str">
        <f t="shared" si="5"/>
        <v/>
      </c>
      <c r="B149" s="52" t="s">
        <v>60</v>
      </c>
      <c r="C149" s="52">
        <v>4</v>
      </c>
      <c r="D149" s="52" t="str">
        <f t="array" ref="D149">_xlfn.IFNA(INDEX('DMT-W'!B$3:B$47,MATCH(1,(C149='DMT-W'!A$3:A$47)*(B149='DMT-W'!F$3:F$47),0)),"")</f>
        <v/>
      </c>
      <c r="E149" s="59" t="str">
        <f t="array" ref="E149">_xlfn.IFNA(IF(INDEX('DMT-W'!G$3:G$47,MATCH(1,(C149='DMT-W'!A$3:A$47)*(B149='DMT-W'!F$3:F$47),0))="P","P",""),"")</f>
        <v/>
      </c>
    </row>
    <row r="150" spans="1:5" hidden="1" x14ac:dyDescent="0.2">
      <c r="A150" s="52" t="str">
        <f t="shared" si="5"/>
        <v/>
      </c>
      <c r="B150" s="52" t="s">
        <v>60</v>
      </c>
      <c r="C150" s="52">
        <v>5</v>
      </c>
      <c r="D150" s="52" t="str">
        <f t="array" ref="D150">_xlfn.IFNA(INDEX('DMT-W'!B$3:B$47,MATCH(1,(C150='DMT-W'!A$3:A$47)*(B150='DMT-W'!F$3:F$47),0)),"")</f>
        <v/>
      </c>
      <c r="E150" s="59" t="str">
        <f t="array" ref="E150">_xlfn.IFNA(IF(INDEX('DMT-W'!G$3:G$47,MATCH(1,(C150='DMT-W'!A$3:A$47)*(B150='DMT-W'!F$3:F$47),0))="P","P",""),"")</f>
        <v/>
      </c>
    </row>
    <row r="151" spans="1:5" hidden="1" x14ac:dyDescent="0.2">
      <c r="A151" s="52" t="str">
        <f t="shared" si="5"/>
        <v/>
      </c>
      <c r="B151" s="52" t="s">
        <v>60</v>
      </c>
      <c r="C151" s="52">
        <v>6</v>
      </c>
      <c r="D151" s="52" t="str">
        <f t="array" ref="D151">_xlfn.IFNA(INDEX('DMT-W'!B$3:B$47,MATCH(1,(C151='DMT-W'!A$3:A$47)*(B151='DMT-W'!F$3:F$47),0)),"")</f>
        <v/>
      </c>
      <c r="E151" s="59" t="str">
        <f t="array" ref="E151">_xlfn.IFNA(IF(INDEX('DMT-W'!G$3:G$47,MATCH(1,(C151='DMT-W'!A$3:A$47)*(B151='DMT-W'!F$3:F$47),0))="P","P",""),"")</f>
        <v/>
      </c>
    </row>
    <row r="152" spans="1:5" hidden="1" x14ac:dyDescent="0.2">
      <c r="A152" s="52" t="str">
        <f t="shared" si="5"/>
        <v/>
      </c>
      <c r="B152" s="52" t="s">
        <v>60</v>
      </c>
      <c r="C152" s="52">
        <v>7</v>
      </c>
      <c r="D152" s="52" t="str">
        <f t="array" ref="D152">_xlfn.IFNA(INDEX('DMT-W'!B$3:B$47,MATCH(1,(C152='DMT-W'!A$3:A$47)*(B152='DMT-W'!F$3:F$47),0)),"")</f>
        <v/>
      </c>
      <c r="E152" s="59" t="str">
        <f t="array" ref="E152">_xlfn.IFNA(IF(INDEX('DMT-W'!G$3:G$47,MATCH(1,(C152='DMT-W'!A$3:A$47)*(B152='DMT-W'!F$3:F$47),0))="P","P",""),"")</f>
        <v/>
      </c>
    </row>
    <row r="153" spans="1:5" hidden="1" x14ac:dyDescent="0.2">
      <c r="A153" s="52" t="str">
        <f t="shared" si="5"/>
        <v/>
      </c>
      <c r="B153" s="52" t="s">
        <v>60</v>
      </c>
      <c r="C153" s="52">
        <v>8</v>
      </c>
      <c r="D153" s="52" t="str">
        <f t="array" ref="D153">_xlfn.IFNA(INDEX('DMT-W'!B$3:B$47,MATCH(1,(C153='DMT-W'!A$3:A$47)*(B153='DMT-W'!F$3:F$47),0)),"")</f>
        <v/>
      </c>
      <c r="E153" s="59" t="str">
        <f t="array" ref="E153">_xlfn.IFNA(IF(INDEX('DMT-W'!G$3:G$47,MATCH(1,(C153='DMT-W'!A$3:A$47)*(B153='DMT-W'!F$3:F$47),0))="P","P",""),"")</f>
        <v/>
      </c>
    </row>
    <row r="154" spans="1:5" x14ac:dyDescent="0.2">
      <c r="A154" s="52" t="str">
        <f t="shared" si="5"/>
        <v>DMT-W</v>
      </c>
      <c r="B154" s="52" t="s">
        <v>61</v>
      </c>
      <c r="C154" s="52">
        <v>1</v>
      </c>
      <c r="D154" s="52" t="str">
        <f t="array" ref="D154">_xlfn.IFNA(INDEX('DMT-W'!B$3:B$47,MATCH(1,(C154='DMT-W'!A$3:A$47)*(B154='DMT-W'!F$3:F$47),0)),"")</f>
        <v>NAKONECHNI, Haley</v>
      </c>
      <c r="E154" s="59" t="str">
        <f t="array" ref="E154">_xlfn.IFNA(IF(INDEX('DMT-W'!G$3:G$47,MATCH(1,(C154='DMT-W'!A$3:A$47)*(B154='DMT-W'!F$3:F$47),0))="P","P",""),"")</f>
        <v>P</v>
      </c>
    </row>
    <row r="155" spans="1:5" x14ac:dyDescent="0.2">
      <c r="A155" s="52" t="str">
        <f t="shared" si="5"/>
        <v>DMT-W</v>
      </c>
      <c r="B155" s="52" t="s">
        <v>61</v>
      </c>
      <c r="C155" s="52">
        <v>2</v>
      </c>
      <c r="D155" s="52" t="str">
        <f t="array" ref="D155">_xlfn.IFNA(INDEX('DMT-W'!B$3:B$47,MATCH(1,(C155='DMT-W'!A$3:A$47)*(B155='DMT-W'!F$3:F$47),0)),"")</f>
        <v>FLYNN, Gabriella</v>
      </c>
      <c r="E155" s="59" t="str">
        <f t="array" ref="E155">_xlfn.IFNA(IF(INDEX('DMT-W'!G$3:G$47,MATCH(1,(C155='DMT-W'!A$3:A$47)*(B155='DMT-W'!F$3:F$47),0))="P","P",""),"")</f>
        <v>P</v>
      </c>
    </row>
    <row r="156" spans="1:5" x14ac:dyDescent="0.2">
      <c r="A156" s="52" t="str">
        <f t="shared" si="5"/>
        <v>DMT-W</v>
      </c>
      <c r="B156" s="52" t="s">
        <v>61</v>
      </c>
      <c r="C156" s="52">
        <v>3</v>
      </c>
      <c r="D156" s="52" t="str">
        <f t="array" ref="D156">_xlfn.IFNA(INDEX('DMT-W'!B$3:B$47,MATCH(1,(C156='DMT-W'!A$3:A$47)*(B156='DMT-W'!F$3:F$47),0)),"")</f>
        <v>YENDLEY, Jordyn</v>
      </c>
      <c r="E156" s="59" t="str">
        <f t="array" ref="E156">_xlfn.IFNA(IF(INDEX('DMT-W'!G$3:G$47,MATCH(1,(C156='DMT-W'!A$3:A$47)*(B156='DMT-W'!F$3:F$47),0))="P","P",""),"")</f>
        <v>P</v>
      </c>
    </row>
    <row r="157" spans="1:5" x14ac:dyDescent="0.2">
      <c r="A157" s="52" t="str">
        <f t="shared" si="5"/>
        <v>DMT-W</v>
      </c>
      <c r="B157" s="52" t="s">
        <v>61</v>
      </c>
      <c r="C157" s="52">
        <v>4</v>
      </c>
      <c r="D157" s="52" t="str">
        <f t="array" ref="D157">_xlfn.IFNA(INDEX('DMT-W'!B$3:B$47,MATCH(1,(C157='DMT-W'!A$3:A$47)*(B157='DMT-W'!F$3:F$47),0)),"")</f>
        <v>MCCAIG, Abby</v>
      </c>
      <c r="E157" s="59" t="str">
        <f t="array" ref="E157">_xlfn.IFNA(IF(INDEX('DMT-W'!G$3:G$47,MATCH(1,(C157='DMT-W'!A$3:A$47)*(B157='DMT-W'!F$3:F$47),0))="P","P",""),"")</f>
        <v>P</v>
      </c>
    </row>
    <row r="158" spans="1:5" x14ac:dyDescent="0.2">
      <c r="A158" s="52" t="str">
        <f t="shared" si="5"/>
        <v>DMT-W</v>
      </c>
      <c r="B158" s="52" t="s">
        <v>61</v>
      </c>
      <c r="C158" s="52">
        <v>5</v>
      </c>
      <c r="D158" s="52" t="str">
        <f t="array" ref="D158">_xlfn.IFNA(INDEX('DMT-W'!B$3:B$47,MATCH(1,(C158='DMT-W'!A$3:A$47)*(B158='DMT-W'!F$3:F$47),0)),"")</f>
        <v>DODD, Kristina</v>
      </c>
      <c r="E158" s="59" t="str">
        <f t="array" ref="E158">_xlfn.IFNA(IF(INDEX('DMT-W'!G$3:G$47,MATCH(1,(C158='DMT-W'!A$3:A$47)*(B158='DMT-W'!F$3:F$47),0))="P","P",""),"")</f>
        <v>P</v>
      </c>
    </row>
    <row r="159" spans="1:5" x14ac:dyDescent="0.2">
      <c r="A159" s="52" t="str">
        <f t="shared" si="5"/>
        <v>DMT-W</v>
      </c>
      <c r="B159" s="52" t="s">
        <v>61</v>
      </c>
      <c r="C159" s="52">
        <v>6</v>
      </c>
      <c r="D159" s="52" t="str">
        <f t="array" ref="D159">_xlfn.IFNA(INDEX('DMT-W'!B$3:B$47,MATCH(1,(C159='DMT-W'!A$3:A$47)*(B159='DMT-W'!F$3:F$47),0)),"")</f>
        <v>BOUCHER, Alex</v>
      </c>
      <c r="E159" s="59" t="str">
        <f t="array" ref="E159">_xlfn.IFNA(IF(INDEX('DMT-W'!G$3:G$47,MATCH(1,(C159='DMT-W'!A$3:A$47)*(B159='DMT-W'!F$3:F$47),0))="P","P",""),"")</f>
        <v>P</v>
      </c>
    </row>
    <row r="160" spans="1:5" x14ac:dyDescent="0.2">
      <c r="A160" s="52" t="str">
        <f t="shared" si="5"/>
        <v>DMT-W</v>
      </c>
      <c r="B160" s="52" t="s">
        <v>61</v>
      </c>
      <c r="C160" s="52">
        <v>7</v>
      </c>
      <c r="D160" s="52" t="str">
        <f t="array" ref="D160">_xlfn.IFNA(INDEX('DMT-W'!B$3:B$47,MATCH(1,(C160='DMT-W'!A$3:A$47)*(B160='DMT-W'!F$3:F$47),0)),"")</f>
        <v>ARNDT, Kailyn</v>
      </c>
      <c r="E160" s="59" t="str">
        <f t="array" ref="E160">_xlfn.IFNA(IF(INDEX('DMT-W'!G$3:G$47,MATCH(1,(C160='DMT-W'!A$3:A$47)*(B160='DMT-W'!F$3:F$47),0))="P","P",""),"")</f>
        <v>P</v>
      </c>
    </row>
    <row r="161" spans="1:5" x14ac:dyDescent="0.2">
      <c r="A161" s="52" t="str">
        <f t="shared" si="5"/>
        <v>DMT-W</v>
      </c>
      <c r="B161" s="52" t="s">
        <v>61</v>
      </c>
      <c r="C161" s="52">
        <v>8</v>
      </c>
      <c r="D161" s="52" t="str">
        <f t="array" ref="D161">_xlfn.IFNA(INDEX('DMT-W'!B$3:B$47,MATCH(1,(C161='DMT-W'!A$3:A$47)*(B161='DMT-W'!F$3:F$47),0)),"")</f>
        <v>KYFIUK, MacKenzie</v>
      </c>
      <c r="E161" s="59" t="str">
        <f t="array" ref="E161">_xlfn.IFNA(IF(INDEX('DMT-W'!G$3:G$47,MATCH(1,(C161='DMT-W'!A$3:A$47)*(B161='DMT-W'!F$3:F$47),0))="P","P",""),"")</f>
        <v/>
      </c>
    </row>
    <row r="162" spans="1:5" hidden="1" x14ac:dyDescent="0.2">
      <c r="A162" s="50" t="str">
        <f>IF(D162="","","TUM-M")</f>
        <v/>
      </c>
      <c r="B162" s="51" t="s">
        <v>59</v>
      </c>
      <c r="C162" s="50">
        <v>1</v>
      </c>
      <c r="D162" s="50" t="str">
        <f t="array" ref="D162">_xlfn.IFNA(INDEX('TUM-M'!B$3:B$14,MATCH(1,(C162='TUM-M'!A$3:A$14)*(B162='TUM-M'!F$3:F$14),0)),"")</f>
        <v/>
      </c>
      <c r="E162" s="58" t="str">
        <f t="array" ref="E162">_xlfn.IFNA(IF(INDEX('TUM-M'!G$3:G$14,MATCH(1,(C162='TUM-M'!A$3:A$14)*(B162='TUM-M'!F$3:F$14),0))="P","P",""),"")</f>
        <v/>
      </c>
    </row>
    <row r="163" spans="1:5" hidden="1" x14ac:dyDescent="0.2">
      <c r="A163" s="50" t="str">
        <f t="shared" ref="A163:A193" si="6">IF(D163="","","TUM-M")</f>
        <v/>
      </c>
      <c r="B163" s="51" t="s">
        <v>59</v>
      </c>
      <c r="C163" s="50">
        <v>2</v>
      </c>
      <c r="D163" s="50" t="str">
        <f t="array" ref="D163">_xlfn.IFNA(INDEX('TUM-M'!B$3:B$14,MATCH(1,(C163='TUM-M'!A$3:A$14)*(B163='TUM-M'!F$3:F$14),0)),"")</f>
        <v/>
      </c>
      <c r="E163" s="58" t="str">
        <f t="array" ref="E163">_xlfn.IFNA(IF(INDEX('TUM-M'!G$3:G$14,MATCH(1,(C163='TUM-M'!A$3:A$14)*(B163='TUM-M'!F$3:F$14),0))="P","P",""),"")</f>
        <v/>
      </c>
    </row>
    <row r="164" spans="1:5" hidden="1" x14ac:dyDescent="0.2">
      <c r="A164" s="50" t="str">
        <f t="shared" si="6"/>
        <v/>
      </c>
      <c r="B164" s="51" t="s">
        <v>59</v>
      </c>
      <c r="C164" s="50">
        <v>3</v>
      </c>
      <c r="D164" s="50" t="str">
        <f t="array" ref="D164">_xlfn.IFNA(INDEX('TUM-M'!B$3:B$14,MATCH(1,(C164='TUM-M'!A$3:A$14)*(B164='TUM-M'!F$3:F$14),0)),"")</f>
        <v/>
      </c>
      <c r="E164" s="58" t="str">
        <f t="array" ref="E164">_xlfn.IFNA(IF(INDEX('TUM-M'!G$3:G$14,MATCH(1,(C164='TUM-M'!A$3:A$14)*(B164='TUM-M'!F$3:F$14),0))="P","P",""),"")</f>
        <v/>
      </c>
    </row>
    <row r="165" spans="1:5" hidden="1" x14ac:dyDescent="0.2">
      <c r="A165" s="50" t="str">
        <f t="shared" si="6"/>
        <v/>
      </c>
      <c r="B165" s="51" t="s">
        <v>59</v>
      </c>
      <c r="C165" s="50">
        <v>4</v>
      </c>
      <c r="D165" s="50" t="str">
        <f t="array" ref="D165">_xlfn.IFNA(INDEX('TUM-M'!B$3:B$14,MATCH(1,(C165='TUM-M'!A$3:A$14)*(B165='TUM-M'!F$3:F$14),0)),"")</f>
        <v/>
      </c>
      <c r="E165" s="58" t="str">
        <f t="array" ref="E165">_xlfn.IFNA(IF(INDEX('TUM-M'!G$3:G$14,MATCH(1,(C165='TUM-M'!A$3:A$14)*(B165='TUM-M'!F$3:F$14),0))="P","P",""),"")</f>
        <v/>
      </c>
    </row>
    <row r="166" spans="1:5" hidden="1" x14ac:dyDescent="0.2">
      <c r="A166" s="50" t="str">
        <f t="shared" si="6"/>
        <v/>
      </c>
      <c r="B166" s="51" t="s">
        <v>59</v>
      </c>
      <c r="C166" s="50">
        <v>5</v>
      </c>
      <c r="D166" s="50" t="str">
        <f t="array" ref="D166">_xlfn.IFNA(INDEX('TUM-M'!B$3:B$14,MATCH(1,(C166='TUM-M'!A$3:A$14)*(B166='TUM-M'!F$3:F$14),0)),"")</f>
        <v/>
      </c>
      <c r="E166" s="58" t="str">
        <f t="array" ref="E166">_xlfn.IFNA(IF(INDEX('TUM-M'!G$3:G$14,MATCH(1,(C166='TUM-M'!A$3:A$14)*(B166='TUM-M'!F$3:F$14),0))="P","P",""),"")</f>
        <v/>
      </c>
    </row>
    <row r="167" spans="1:5" hidden="1" x14ac:dyDescent="0.2">
      <c r="A167" s="50" t="str">
        <f t="shared" si="6"/>
        <v/>
      </c>
      <c r="B167" s="51" t="s">
        <v>59</v>
      </c>
      <c r="C167" s="50">
        <v>6</v>
      </c>
      <c r="D167" s="50" t="str">
        <f t="array" ref="D167">_xlfn.IFNA(INDEX('TUM-M'!B$3:B$14,MATCH(1,(C167='TUM-M'!A$3:A$14)*(B167='TUM-M'!F$3:F$14),0)),"")</f>
        <v/>
      </c>
      <c r="E167" s="58" t="str">
        <f t="array" ref="E167">_xlfn.IFNA(IF(INDEX('TUM-M'!G$3:G$14,MATCH(1,(C167='TUM-M'!A$3:A$14)*(B167='TUM-M'!F$3:F$14),0))="P","P",""),"")</f>
        <v/>
      </c>
    </row>
    <row r="168" spans="1:5" hidden="1" x14ac:dyDescent="0.2">
      <c r="A168" s="50" t="str">
        <f t="shared" si="6"/>
        <v/>
      </c>
      <c r="B168" s="51" t="s">
        <v>59</v>
      </c>
      <c r="C168" s="50">
        <v>7</v>
      </c>
      <c r="D168" s="50" t="str">
        <f t="array" ref="D168">_xlfn.IFNA(INDEX('TUM-M'!B$3:B$14,MATCH(1,(C168='TUM-M'!A$3:A$14)*(B168='TUM-M'!F$3:F$14),0)),"")</f>
        <v/>
      </c>
      <c r="E168" s="58" t="str">
        <f t="array" ref="E168">_xlfn.IFNA(IF(INDEX('TUM-M'!G$3:G$14,MATCH(1,(C168='TUM-M'!A$3:A$14)*(B168='TUM-M'!F$3:F$14),0))="P","P",""),"")</f>
        <v/>
      </c>
    </row>
    <row r="169" spans="1:5" hidden="1" x14ac:dyDescent="0.2">
      <c r="A169" s="50" t="str">
        <f t="shared" si="6"/>
        <v/>
      </c>
      <c r="B169" s="51" t="s">
        <v>59</v>
      </c>
      <c r="C169" s="50">
        <v>8</v>
      </c>
      <c r="D169" s="50" t="str">
        <f t="array" ref="D169">_xlfn.IFNA(INDEX('TUM-M'!B$3:B$14,MATCH(1,(C169='TUM-M'!A$3:A$14)*(B169='TUM-M'!F$3:F$14),0)),"")</f>
        <v/>
      </c>
      <c r="E169" s="58" t="str">
        <f t="array" ref="E169">_xlfn.IFNA(IF(INDEX('TUM-M'!G$3:G$14,MATCH(1,(C169='TUM-M'!A$3:A$14)*(B169='TUM-M'!F$3:F$14),0))="P","P",""),"")</f>
        <v/>
      </c>
    </row>
    <row r="170" spans="1:5" x14ac:dyDescent="0.2">
      <c r="A170" s="50" t="str">
        <f t="shared" si="6"/>
        <v>TUM-M</v>
      </c>
      <c r="B170" s="50" t="s">
        <v>58</v>
      </c>
      <c r="C170" s="50">
        <v>1</v>
      </c>
      <c r="D170" s="50" t="str">
        <f t="array" ref="D170">_xlfn.IFNA(INDEX('TUM-M'!B$3:B$14,MATCH(1,(C170='TUM-M'!A$3:A$14)*(B170='TUM-M'!F$3:F$14),0)),"")</f>
        <v>MATTHEWS, Jared</v>
      </c>
      <c r="E170" s="58" t="str">
        <f t="array" ref="E170">_xlfn.IFNA(IF(INDEX('TUM-M'!G$3:G$14,MATCH(1,(C170='TUM-M'!A$3:A$14)*(B170='TUM-M'!F$3:F$14),0))="P","P",""),"")</f>
        <v>P</v>
      </c>
    </row>
    <row r="171" spans="1:5" hidden="1" x14ac:dyDescent="0.2">
      <c r="A171" s="50" t="str">
        <f t="shared" si="6"/>
        <v/>
      </c>
      <c r="B171" s="50" t="s">
        <v>58</v>
      </c>
      <c r="C171" s="50">
        <v>2</v>
      </c>
      <c r="D171" s="50" t="str">
        <f t="array" ref="D171">_xlfn.IFNA(INDEX('TUM-M'!B$3:B$14,MATCH(1,(C171='TUM-M'!A$3:A$14)*(B171='TUM-M'!F$3:F$14),0)),"")</f>
        <v/>
      </c>
      <c r="E171" s="58" t="str">
        <f t="array" ref="E171">_xlfn.IFNA(IF(INDEX('TUM-M'!G$3:G$14,MATCH(1,(C171='TUM-M'!A$3:A$14)*(B171='TUM-M'!F$3:F$14),0))="P","P",""),"")</f>
        <v/>
      </c>
    </row>
    <row r="172" spans="1:5" hidden="1" x14ac:dyDescent="0.2">
      <c r="A172" s="50" t="str">
        <f t="shared" si="6"/>
        <v/>
      </c>
      <c r="B172" s="50" t="s">
        <v>58</v>
      </c>
      <c r="C172" s="50">
        <v>3</v>
      </c>
      <c r="D172" s="50" t="str">
        <f t="array" ref="D172">_xlfn.IFNA(INDEX('TUM-M'!B$3:B$14,MATCH(1,(C172='TUM-M'!A$3:A$14)*(B172='TUM-M'!F$3:F$14),0)),"")</f>
        <v/>
      </c>
      <c r="E172" s="58" t="str">
        <f t="array" ref="E172">_xlfn.IFNA(IF(INDEX('TUM-M'!G$3:G$14,MATCH(1,(C172='TUM-M'!A$3:A$14)*(B172='TUM-M'!F$3:F$14),0))="P","P",""),"")</f>
        <v/>
      </c>
    </row>
    <row r="173" spans="1:5" hidden="1" x14ac:dyDescent="0.2">
      <c r="A173" s="50" t="str">
        <f t="shared" si="6"/>
        <v/>
      </c>
      <c r="B173" s="50" t="s">
        <v>58</v>
      </c>
      <c r="C173" s="50">
        <v>4</v>
      </c>
      <c r="D173" s="50" t="str">
        <f t="array" ref="D173">_xlfn.IFNA(INDEX('TUM-M'!B$3:B$14,MATCH(1,(C173='TUM-M'!A$3:A$14)*(B173='TUM-M'!F$3:F$14),0)),"")</f>
        <v/>
      </c>
      <c r="E173" s="58" t="str">
        <f t="array" ref="E173">_xlfn.IFNA(IF(INDEX('TUM-M'!G$3:G$14,MATCH(1,(C173='TUM-M'!A$3:A$14)*(B173='TUM-M'!F$3:F$14),0))="P","P",""),"")</f>
        <v/>
      </c>
    </row>
    <row r="174" spans="1:5" hidden="1" x14ac:dyDescent="0.2">
      <c r="A174" s="50" t="str">
        <f t="shared" si="6"/>
        <v/>
      </c>
      <c r="B174" s="50" t="s">
        <v>58</v>
      </c>
      <c r="C174" s="50">
        <v>5</v>
      </c>
      <c r="D174" s="50" t="str">
        <f t="array" ref="D174">_xlfn.IFNA(INDEX('TUM-M'!B$3:B$14,MATCH(1,(C174='TUM-M'!A$3:A$14)*(B174='TUM-M'!F$3:F$14),0)),"")</f>
        <v/>
      </c>
      <c r="E174" s="58" t="str">
        <f t="array" ref="E174">_xlfn.IFNA(IF(INDEX('TUM-M'!G$3:G$14,MATCH(1,(C174='TUM-M'!A$3:A$14)*(B174='TUM-M'!F$3:F$14),0))="P","P",""),"")</f>
        <v/>
      </c>
    </row>
    <row r="175" spans="1:5" hidden="1" x14ac:dyDescent="0.2">
      <c r="A175" s="50" t="str">
        <f t="shared" si="6"/>
        <v/>
      </c>
      <c r="B175" s="50" t="s">
        <v>58</v>
      </c>
      <c r="C175" s="50">
        <v>6</v>
      </c>
      <c r="D175" s="50" t="str">
        <f t="array" ref="D175">_xlfn.IFNA(INDEX('TUM-M'!B$3:B$14,MATCH(1,(C175='TUM-M'!A$3:A$14)*(B175='TUM-M'!F$3:F$14),0)),"")</f>
        <v/>
      </c>
      <c r="E175" s="58" t="str">
        <f t="array" ref="E175">_xlfn.IFNA(IF(INDEX('TUM-M'!G$3:G$14,MATCH(1,(C175='TUM-M'!A$3:A$14)*(B175='TUM-M'!F$3:F$14),0))="P","P",""),"")</f>
        <v/>
      </c>
    </row>
    <row r="176" spans="1:5" hidden="1" x14ac:dyDescent="0.2">
      <c r="A176" s="50" t="str">
        <f t="shared" si="6"/>
        <v/>
      </c>
      <c r="B176" s="50" t="s">
        <v>58</v>
      </c>
      <c r="C176" s="50">
        <v>7</v>
      </c>
      <c r="D176" s="50" t="str">
        <f t="array" ref="D176">_xlfn.IFNA(INDEX('TUM-M'!B$3:B$14,MATCH(1,(C176='TUM-M'!A$3:A$14)*(B176='TUM-M'!F$3:F$14),0)),"")</f>
        <v/>
      </c>
      <c r="E176" s="58" t="str">
        <f t="array" ref="E176">_xlfn.IFNA(IF(INDEX('TUM-M'!G$3:G$14,MATCH(1,(C176='TUM-M'!A$3:A$14)*(B176='TUM-M'!F$3:F$14),0))="P","P",""),"")</f>
        <v/>
      </c>
    </row>
    <row r="177" spans="1:5" hidden="1" x14ac:dyDescent="0.2">
      <c r="A177" s="50" t="str">
        <f t="shared" si="6"/>
        <v/>
      </c>
      <c r="B177" s="50" t="s">
        <v>58</v>
      </c>
      <c r="C177" s="50">
        <v>8</v>
      </c>
      <c r="D177" s="50" t="str">
        <f t="array" ref="D177">_xlfn.IFNA(INDEX('TUM-M'!B$3:B$14,MATCH(1,(C177='TUM-M'!A$3:A$14)*(B177='TUM-M'!F$3:F$14),0)),"")</f>
        <v/>
      </c>
      <c r="E177" s="58" t="str">
        <f t="array" ref="E177">_xlfn.IFNA(IF(INDEX('TUM-M'!G$3:G$14,MATCH(1,(C177='TUM-M'!A$3:A$14)*(B177='TUM-M'!F$3:F$14),0))="P","P",""),"")</f>
        <v/>
      </c>
    </row>
    <row r="178" spans="1:5" hidden="1" x14ac:dyDescent="0.2">
      <c r="A178" s="50" t="str">
        <f t="shared" si="6"/>
        <v/>
      </c>
      <c r="B178" s="50" t="s">
        <v>60</v>
      </c>
      <c r="C178" s="50">
        <v>1</v>
      </c>
      <c r="D178" s="50" t="str">
        <f t="array" ref="D178">_xlfn.IFNA(INDEX('TUM-M'!B$3:B$14,MATCH(1,(C178='TUM-M'!A$3:A$14)*(B178='TUM-M'!F$3:F$14),0)),"")</f>
        <v/>
      </c>
      <c r="E178" s="58" t="str">
        <f t="array" ref="E178">_xlfn.IFNA(IF(INDEX('TUM-M'!G$3:G$14,MATCH(1,(C178='TUM-M'!A$3:A$14)*(B178='TUM-M'!F$3:F$14),0))="P","P",""),"")</f>
        <v/>
      </c>
    </row>
    <row r="179" spans="1:5" hidden="1" x14ac:dyDescent="0.2">
      <c r="A179" s="50" t="str">
        <f t="shared" si="6"/>
        <v/>
      </c>
      <c r="B179" s="50" t="s">
        <v>60</v>
      </c>
      <c r="C179" s="50">
        <v>2</v>
      </c>
      <c r="D179" s="50" t="str">
        <f t="array" ref="D179">_xlfn.IFNA(INDEX('TUM-M'!B$3:B$14,MATCH(1,(C179='TUM-M'!A$3:A$14)*(B179='TUM-M'!F$3:F$14),0)),"")</f>
        <v/>
      </c>
      <c r="E179" s="58" t="str">
        <f t="array" ref="E179">_xlfn.IFNA(IF(INDEX('TUM-M'!G$3:G$14,MATCH(1,(C179='TUM-M'!A$3:A$14)*(B179='TUM-M'!F$3:F$14),0))="P","P",""),"")</f>
        <v/>
      </c>
    </row>
    <row r="180" spans="1:5" hidden="1" x14ac:dyDescent="0.2">
      <c r="A180" s="50" t="str">
        <f t="shared" si="6"/>
        <v/>
      </c>
      <c r="B180" s="50" t="s">
        <v>60</v>
      </c>
      <c r="C180" s="50">
        <v>3</v>
      </c>
      <c r="D180" s="50" t="str">
        <f t="array" ref="D180">_xlfn.IFNA(INDEX('TUM-M'!B$3:B$14,MATCH(1,(C180='TUM-M'!A$3:A$14)*(B180='TUM-M'!F$3:F$14),0)),"")</f>
        <v/>
      </c>
      <c r="E180" s="58" t="str">
        <f t="array" ref="E180">_xlfn.IFNA(IF(INDEX('TUM-M'!G$3:G$14,MATCH(1,(C180='TUM-M'!A$3:A$14)*(B180='TUM-M'!F$3:F$14),0))="P","P",""),"")</f>
        <v/>
      </c>
    </row>
    <row r="181" spans="1:5" hidden="1" x14ac:dyDescent="0.2">
      <c r="A181" s="50" t="str">
        <f t="shared" si="6"/>
        <v/>
      </c>
      <c r="B181" s="50" t="s">
        <v>60</v>
      </c>
      <c r="C181" s="50">
        <v>4</v>
      </c>
      <c r="D181" s="50" t="str">
        <f t="array" ref="D181">_xlfn.IFNA(INDEX('TUM-M'!B$3:B$14,MATCH(1,(C181='TUM-M'!A$3:A$14)*(B181='TUM-M'!F$3:F$14),0)),"")</f>
        <v/>
      </c>
      <c r="E181" s="58" t="str">
        <f t="array" ref="E181">_xlfn.IFNA(IF(INDEX('TUM-M'!G$3:G$14,MATCH(1,(C181='TUM-M'!A$3:A$14)*(B181='TUM-M'!F$3:F$14),0))="P","P",""),"")</f>
        <v/>
      </c>
    </row>
    <row r="182" spans="1:5" hidden="1" x14ac:dyDescent="0.2">
      <c r="A182" s="50" t="str">
        <f t="shared" si="6"/>
        <v/>
      </c>
      <c r="B182" s="50" t="s">
        <v>60</v>
      </c>
      <c r="C182" s="50">
        <v>5</v>
      </c>
      <c r="D182" s="50" t="str">
        <f t="array" ref="D182">_xlfn.IFNA(INDEX('TUM-M'!B$3:B$14,MATCH(1,(C182='TUM-M'!A$3:A$14)*(B182='TUM-M'!F$3:F$14),0)),"")</f>
        <v/>
      </c>
      <c r="E182" s="58" t="str">
        <f t="array" ref="E182">_xlfn.IFNA(IF(INDEX('TUM-M'!G$3:G$14,MATCH(1,(C182='TUM-M'!A$3:A$14)*(B182='TUM-M'!F$3:F$14),0))="P","P",""),"")</f>
        <v/>
      </c>
    </row>
    <row r="183" spans="1:5" hidden="1" x14ac:dyDescent="0.2">
      <c r="A183" s="50" t="str">
        <f t="shared" si="6"/>
        <v/>
      </c>
      <c r="B183" s="50" t="s">
        <v>60</v>
      </c>
      <c r="C183" s="50">
        <v>6</v>
      </c>
      <c r="D183" s="50" t="str">
        <f t="array" ref="D183">_xlfn.IFNA(INDEX('TUM-M'!B$3:B$14,MATCH(1,(C183='TUM-M'!A$3:A$14)*(B183='TUM-M'!F$3:F$14),0)),"")</f>
        <v/>
      </c>
      <c r="E183" s="58" t="str">
        <f t="array" ref="E183">_xlfn.IFNA(IF(INDEX('TUM-M'!G$3:G$14,MATCH(1,(C183='TUM-M'!A$3:A$14)*(B183='TUM-M'!F$3:F$14),0))="P","P",""),"")</f>
        <v/>
      </c>
    </row>
    <row r="184" spans="1:5" hidden="1" x14ac:dyDescent="0.2">
      <c r="A184" s="50" t="str">
        <f t="shared" si="6"/>
        <v/>
      </c>
      <c r="B184" s="50" t="s">
        <v>60</v>
      </c>
      <c r="C184" s="50">
        <v>7</v>
      </c>
      <c r="D184" s="50" t="str">
        <f t="array" ref="D184">_xlfn.IFNA(INDEX('TUM-M'!B$3:B$14,MATCH(1,(C184='TUM-M'!A$3:A$14)*(B184='TUM-M'!F$3:F$14),0)),"")</f>
        <v/>
      </c>
      <c r="E184" s="58" t="str">
        <f t="array" ref="E184">_xlfn.IFNA(IF(INDEX('TUM-M'!G$3:G$14,MATCH(1,(C184='TUM-M'!A$3:A$14)*(B184='TUM-M'!F$3:F$14),0))="P","P",""),"")</f>
        <v/>
      </c>
    </row>
    <row r="185" spans="1:5" hidden="1" x14ac:dyDescent="0.2">
      <c r="A185" s="50" t="str">
        <f t="shared" si="6"/>
        <v/>
      </c>
      <c r="B185" s="50" t="s">
        <v>60</v>
      </c>
      <c r="C185" s="50">
        <v>8</v>
      </c>
      <c r="D185" s="50" t="str">
        <f t="array" ref="D185">_xlfn.IFNA(INDEX('TUM-M'!B$3:B$14,MATCH(1,(C185='TUM-M'!A$3:A$14)*(B185='TUM-M'!F$3:F$14),0)),"")</f>
        <v/>
      </c>
      <c r="E185" s="58" t="str">
        <f t="array" ref="E185">_xlfn.IFNA(IF(INDEX('TUM-M'!G$3:G$14,MATCH(1,(C185='TUM-M'!A$3:A$14)*(B185='TUM-M'!F$3:F$14),0))="P","P",""),"")</f>
        <v/>
      </c>
    </row>
    <row r="186" spans="1:5" x14ac:dyDescent="0.2">
      <c r="A186" s="50" t="str">
        <f t="shared" si="6"/>
        <v>TUM-M</v>
      </c>
      <c r="B186" s="50" t="s">
        <v>61</v>
      </c>
      <c r="C186" s="50">
        <v>1</v>
      </c>
      <c r="D186" s="50" t="str">
        <f t="array" ref="D186">_xlfn.IFNA(INDEX('TUM-M'!B$3:B$14,MATCH(1,(C186='TUM-M'!A$3:A$14)*(B186='TUM-M'!F$3:F$14),0)),"")</f>
        <v>FERNANDES, Antonio</v>
      </c>
      <c r="E186" s="58" t="str">
        <f t="array" ref="E186">_xlfn.IFNA(IF(INDEX('TUM-M'!G$3:G$14,MATCH(1,(C186='TUM-M'!A$3:A$14)*(B186='TUM-M'!F$3:F$14),0))="P","P",""),"")</f>
        <v>P</v>
      </c>
    </row>
    <row r="187" spans="1:5" x14ac:dyDescent="0.2">
      <c r="A187" s="50" t="str">
        <f t="shared" si="6"/>
        <v>TUM-M</v>
      </c>
      <c r="B187" s="50" t="s">
        <v>61</v>
      </c>
      <c r="C187" s="50">
        <v>2</v>
      </c>
      <c r="D187" s="50" t="str">
        <f t="array" ref="D187">_xlfn.IFNA(INDEX('TUM-M'!B$3:B$14,MATCH(1,(C187='TUM-M'!A$3:A$14)*(B187='TUM-M'!F$3:F$14),0)),"")</f>
        <v>PEDERSEN, Mitchel</v>
      </c>
      <c r="E187" s="58" t="str">
        <f t="array" ref="E187">_xlfn.IFNA(IF(INDEX('TUM-M'!G$3:G$14,MATCH(1,(C187='TUM-M'!A$3:A$14)*(B187='TUM-M'!F$3:F$14),0))="P","P",""),"")</f>
        <v>P</v>
      </c>
    </row>
    <row r="188" spans="1:5" hidden="1" x14ac:dyDescent="0.2">
      <c r="A188" s="50" t="str">
        <f t="shared" si="6"/>
        <v/>
      </c>
      <c r="B188" s="50" t="s">
        <v>61</v>
      </c>
      <c r="C188" s="50">
        <v>3</v>
      </c>
      <c r="D188" s="50" t="str">
        <f t="array" ref="D188">_xlfn.IFNA(INDEX('TUM-M'!B$3:B$14,MATCH(1,(C188='TUM-M'!A$3:A$14)*(B188='TUM-M'!F$3:F$14),0)),"")</f>
        <v/>
      </c>
      <c r="E188" s="58" t="str">
        <f t="array" ref="E188">_xlfn.IFNA(IF(INDEX('TUM-M'!G$3:G$14,MATCH(1,(C188='TUM-M'!A$3:A$14)*(B188='TUM-M'!F$3:F$14),0))="P","P",""),"")</f>
        <v/>
      </c>
    </row>
    <row r="189" spans="1:5" hidden="1" x14ac:dyDescent="0.2">
      <c r="A189" s="50" t="str">
        <f t="shared" si="6"/>
        <v/>
      </c>
      <c r="B189" s="50" t="s">
        <v>61</v>
      </c>
      <c r="C189" s="50">
        <v>4</v>
      </c>
      <c r="D189" s="50" t="str">
        <f t="array" ref="D189">_xlfn.IFNA(INDEX('TUM-M'!B$3:B$14,MATCH(1,(C189='TUM-M'!A$3:A$14)*(B189='TUM-M'!F$3:F$14),0)),"")</f>
        <v/>
      </c>
      <c r="E189" s="58" t="str">
        <f t="array" ref="E189">_xlfn.IFNA(IF(INDEX('TUM-M'!G$3:G$14,MATCH(1,(C189='TUM-M'!A$3:A$14)*(B189='TUM-M'!F$3:F$14),0))="P","P",""),"")</f>
        <v/>
      </c>
    </row>
    <row r="190" spans="1:5" hidden="1" x14ac:dyDescent="0.2">
      <c r="A190" s="50" t="str">
        <f t="shared" si="6"/>
        <v/>
      </c>
      <c r="B190" s="50" t="s">
        <v>61</v>
      </c>
      <c r="C190" s="50">
        <v>5</v>
      </c>
      <c r="D190" s="50" t="str">
        <f t="array" ref="D190">_xlfn.IFNA(INDEX('TUM-M'!B$3:B$14,MATCH(1,(C190='TUM-M'!A$3:A$14)*(B190='TUM-M'!F$3:F$14),0)),"")</f>
        <v/>
      </c>
      <c r="E190" s="58" t="str">
        <f t="array" ref="E190">_xlfn.IFNA(IF(INDEX('TUM-M'!G$3:G$14,MATCH(1,(C190='TUM-M'!A$3:A$14)*(B190='TUM-M'!F$3:F$14),0))="P","P",""),"")</f>
        <v/>
      </c>
    </row>
    <row r="191" spans="1:5" hidden="1" x14ac:dyDescent="0.2">
      <c r="A191" s="50" t="str">
        <f t="shared" si="6"/>
        <v/>
      </c>
      <c r="B191" s="50" t="s">
        <v>61</v>
      </c>
      <c r="C191" s="50">
        <v>6</v>
      </c>
      <c r="D191" s="50" t="str">
        <f t="array" ref="D191">_xlfn.IFNA(INDEX('TUM-M'!B$3:B$14,MATCH(1,(C191='TUM-M'!A$3:A$14)*(B191='TUM-M'!F$3:F$14),0)),"")</f>
        <v/>
      </c>
      <c r="E191" s="58" t="str">
        <f t="array" ref="E191">_xlfn.IFNA(IF(INDEX('TUM-M'!G$3:G$14,MATCH(1,(C191='TUM-M'!A$3:A$14)*(B191='TUM-M'!F$3:F$14),0))="P","P",""),"")</f>
        <v/>
      </c>
    </row>
    <row r="192" spans="1:5" hidden="1" x14ac:dyDescent="0.2">
      <c r="A192" s="50" t="str">
        <f t="shared" si="6"/>
        <v/>
      </c>
      <c r="B192" s="50" t="s">
        <v>61</v>
      </c>
      <c r="C192" s="50">
        <v>7</v>
      </c>
      <c r="D192" s="50" t="str">
        <f t="array" ref="D192">_xlfn.IFNA(INDEX('TUM-M'!B$3:B$14,MATCH(1,(C192='TUM-M'!A$3:A$14)*(B192='TUM-M'!F$3:F$14),0)),"")</f>
        <v/>
      </c>
      <c r="E192" s="58" t="str">
        <f t="array" ref="E192">_xlfn.IFNA(IF(INDEX('TUM-M'!G$3:G$14,MATCH(1,(C192='TUM-M'!A$3:A$14)*(B192='TUM-M'!F$3:F$14),0))="P","P",""),"")</f>
        <v/>
      </c>
    </row>
    <row r="193" spans="1:5" hidden="1" x14ac:dyDescent="0.2">
      <c r="A193" s="50" t="str">
        <f t="shared" si="6"/>
        <v/>
      </c>
      <c r="B193" s="50" t="s">
        <v>61</v>
      </c>
      <c r="C193" s="50">
        <v>8</v>
      </c>
      <c r="D193" s="50" t="str">
        <f t="array" ref="D193">_xlfn.IFNA(INDEX('TUM-M'!B$3:B$14,MATCH(1,(C193='TUM-M'!A$3:A$14)*(B193='TUM-M'!F$3:F$14),0)),"")</f>
        <v/>
      </c>
      <c r="E193" s="58" t="str">
        <f t="array" ref="E193">_xlfn.IFNA(IF(INDEX('TUM-M'!G$3:G$14,MATCH(1,(C193='TUM-M'!A$3:A$14)*(B193='TUM-M'!F$3:F$14),0))="P","P",""),"")</f>
        <v/>
      </c>
    </row>
    <row r="194" spans="1:5" hidden="1" x14ac:dyDescent="0.2">
      <c r="A194" s="52" t="str">
        <f>IF(D194="","","TUM-W")</f>
        <v/>
      </c>
      <c r="B194" s="53" t="s">
        <v>59</v>
      </c>
      <c r="C194" s="52">
        <v>1</v>
      </c>
      <c r="D194" s="52" t="str">
        <f t="array" ref="D194">_xlfn.IFNA(INDEX('TUM-W'!B$3:B$24,MATCH(1,(C194='TUM-W'!A$3:A$24)*(B194='TUM-W'!F$3:F$24),0)),"")</f>
        <v/>
      </c>
      <c r="E194" s="59" t="str">
        <f t="array" ref="E194">_xlfn.IFNA(IF(INDEX('TUM-W'!G$3:G$24,MATCH(1,(C194='TUM-W'!A$3:A$24)*(B194='TUM-W'!F$3:F$24),0))="P","P",""),"")</f>
        <v/>
      </c>
    </row>
    <row r="195" spans="1:5" hidden="1" x14ac:dyDescent="0.2">
      <c r="A195" s="52" t="str">
        <f t="shared" ref="A195:A225" si="7">IF(D195="","","TUM-W")</f>
        <v/>
      </c>
      <c r="B195" s="53" t="s">
        <v>59</v>
      </c>
      <c r="C195" s="52">
        <v>2</v>
      </c>
      <c r="D195" s="52" t="str">
        <f t="array" ref="D195">_xlfn.IFNA(INDEX('TUM-W'!B$3:B$24,MATCH(1,(C195='TUM-W'!A$3:A$24)*(B195='TUM-W'!F$3:F$24),0)),"")</f>
        <v/>
      </c>
      <c r="E195" s="59" t="str">
        <f t="array" ref="E195">_xlfn.IFNA(IF(INDEX('TUM-W'!G$3:G$24,MATCH(1,(C195='TUM-W'!A$3:A$24)*(B195='TUM-W'!F$3:F$24),0))="P","P",""),"")</f>
        <v/>
      </c>
    </row>
    <row r="196" spans="1:5" hidden="1" x14ac:dyDescent="0.2">
      <c r="A196" s="52" t="str">
        <f t="shared" si="7"/>
        <v/>
      </c>
      <c r="B196" s="53" t="s">
        <v>59</v>
      </c>
      <c r="C196" s="52">
        <v>3</v>
      </c>
      <c r="D196" s="52" t="str">
        <f t="array" ref="D196">_xlfn.IFNA(INDEX('TUM-W'!B$3:B$24,MATCH(1,(C196='TUM-W'!A$3:A$24)*(B196='TUM-W'!F$3:F$24),0)),"")</f>
        <v/>
      </c>
      <c r="E196" s="59" t="str">
        <f t="array" ref="E196">_xlfn.IFNA(IF(INDEX('TUM-W'!G$3:G$24,MATCH(1,(C196='TUM-W'!A$3:A$24)*(B196='TUM-W'!F$3:F$24),0))="P","P",""),"")</f>
        <v/>
      </c>
    </row>
    <row r="197" spans="1:5" hidden="1" x14ac:dyDescent="0.2">
      <c r="A197" s="52" t="str">
        <f t="shared" si="7"/>
        <v/>
      </c>
      <c r="B197" s="53" t="s">
        <v>59</v>
      </c>
      <c r="C197" s="52">
        <v>4</v>
      </c>
      <c r="D197" s="52" t="str">
        <f t="array" ref="D197">_xlfn.IFNA(INDEX('TUM-W'!B$3:B$24,MATCH(1,(C197='TUM-W'!A$3:A$24)*(B197='TUM-W'!F$3:F$24),0)),"")</f>
        <v/>
      </c>
      <c r="E197" s="59" t="str">
        <f t="array" ref="E197">_xlfn.IFNA(IF(INDEX('TUM-W'!G$3:G$24,MATCH(1,(C197='TUM-W'!A$3:A$24)*(B197='TUM-W'!F$3:F$24),0))="P","P",""),"")</f>
        <v/>
      </c>
    </row>
    <row r="198" spans="1:5" hidden="1" x14ac:dyDescent="0.2">
      <c r="A198" s="52" t="str">
        <f t="shared" si="7"/>
        <v/>
      </c>
      <c r="B198" s="53" t="s">
        <v>59</v>
      </c>
      <c r="C198" s="52">
        <v>5</v>
      </c>
      <c r="D198" s="52" t="str">
        <f t="array" ref="D198">_xlfn.IFNA(INDEX('TUM-W'!B$3:B$24,MATCH(1,(C198='TUM-W'!A$3:A$24)*(B198='TUM-W'!F$3:F$24),0)),"")</f>
        <v/>
      </c>
      <c r="E198" s="59" t="str">
        <f t="array" ref="E198">_xlfn.IFNA(IF(INDEX('TUM-W'!G$3:G$24,MATCH(1,(C198='TUM-W'!A$3:A$24)*(B198='TUM-W'!F$3:F$24),0))="P","P",""),"")</f>
        <v/>
      </c>
    </row>
    <row r="199" spans="1:5" hidden="1" x14ac:dyDescent="0.2">
      <c r="A199" s="52" t="str">
        <f t="shared" si="7"/>
        <v/>
      </c>
      <c r="B199" s="53" t="s">
        <v>59</v>
      </c>
      <c r="C199" s="52">
        <v>6</v>
      </c>
      <c r="D199" s="52" t="str">
        <f t="array" ref="D199">_xlfn.IFNA(INDEX('TUM-W'!B$3:B$24,MATCH(1,(C199='TUM-W'!A$3:A$24)*(B199='TUM-W'!F$3:F$24),0)),"")</f>
        <v/>
      </c>
      <c r="E199" s="59" t="str">
        <f t="array" ref="E199">_xlfn.IFNA(IF(INDEX('TUM-W'!G$3:G$24,MATCH(1,(C199='TUM-W'!A$3:A$24)*(B199='TUM-W'!F$3:F$24),0))="P","P",""),"")</f>
        <v/>
      </c>
    </row>
    <row r="200" spans="1:5" hidden="1" x14ac:dyDescent="0.2">
      <c r="A200" s="52" t="str">
        <f t="shared" si="7"/>
        <v/>
      </c>
      <c r="B200" s="53" t="s">
        <v>59</v>
      </c>
      <c r="C200" s="52">
        <v>7</v>
      </c>
      <c r="D200" s="52" t="str">
        <f t="array" ref="D200">_xlfn.IFNA(INDEX('TUM-W'!B$3:B$24,MATCH(1,(C200='TUM-W'!A$3:A$24)*(B200='TUM-W'!F$3:F$24),0)),"")</f>
        <v/>
      </c>
      <c r="E200" s="59" t="str">
        <f t="array" ref="E200">_xlfn.IFNA(IF(INDEX('TUM-W'!G$3:G$24,MATCH(1,(C200='TUM-W'!A$3:A$24)*(B200='TUM-W'!F$3:F$24),0))="P","P",""),"")</f>
        <v/>
      </c>
    </row>
    <row r="201" spans="1:5" hidden="1" x14ac:dyDescent="0.2">
      <c r="A201" s="52" t="str">
        <f t="shared" si="7"/>
        <v/>
      </c>
      <c r="B201" s="53" t="s">
        <v>59</v>
      </c>
      <c r="C201" s="52">
        <v>8</v>
      </c>
      <c r="D201" s="52" t="str">
        <f t="array" ref="D201">_xlfn.IFNA(INDEX('TUM-W'!B$3:B$24,MATCH(1,(C201='TUM-W'!A$3:A$24)*(B201='TUM-W'!F$3:F$24),0)),"")</f>
        <v/>
      </c>
      <c r="E201" s="59" t="str">
        <f t="array" ref="E201">_xlfn.IFNA(IF(INDEX('TUM-W'!G$3:G$24,MATCH(1,(C201='TUM-W'!A$3:A$24)*(B201='TUM-W'!F$3:F$24),0))="P","P",""),"")</f>
        <v/>
      </c>
    </row>
    <row r="202" spans="1:5" hidden="1" x14ac:dyDescent="0.2">
      <c r="A202" s="52" t="str">
        <f t="shared" si="7"/>
        <v/>
      </c>
      <c r="B202" s="52" t="s">
        <v>58</v>
      </c>
      <c r="C202" s="52">
        <v>1</v>
      </c>
      <c r="D202" s="52" t="str">
        <f t="array" ref="D202">_xlfn.IFNA(INDEX('TUM-W'!B$3:B$24,MATCH(1,(C202='TUM-W'!A$3:A$24)*(B202='TUM-W'!F$3:F$24),0)),"")</f>
        <v/>
      </c>
      <c r="E202" s="59" t="str">
        <f t="array" ref="E202">_xlfn.IFNA(IF(INDEX('TUM-W'!G$3:G$24,MATCH(1,(C202='TUM-W'!A$3:A$24)*(B202='TUM-W'!F$3:F$24),0))="P","P",""),"")</f>
        <v/>
      </c>
    </row>
    <row r="203" spans="1:5" hidden="1" x14ac:dyDescent="0.2">
      <c r="A203" s="52" t="str">
        <f t="shared" si="7"/>
        <v/>
      </c>
      <c r="B203" s="52" t="s">
        <v>58</v>
      </c>
      <c r="C203" s="52">
        <v>2</v>
      </c>
      <c r="D203" s="52" t="str">
        <f t="array" ref="D203">_xlfn.IFNA(INDEX('TUM-W'!B$3:B$24,MATCH(1,(C203='TUM-W'!A$3:A$24)*(B203='TUM-W'!F$3:F$24),0)),"")</f>
        <v/>
      </c>
      <c r="E203" s="59" t="str">
        <f t="array" ref="E203">_xlfn.IFNA(IF(INDEX('TUM-W'!G$3:G$24,MATCH(1,(C203='TUM-W'!A$3:A$24)*(B203='TUM-W'!F$3:F$24),0))="P","P",""),"")</f>
        <v/>
      </c>
    </row>
    <row r="204" spans="1:5" hidden="1" x14ac:dyDescent="0.2">
      <c r="A204" s="52" t="str">
        <f t="shared" si="7"/>
        <v/>
      </c>
      <c r="B204" s="52" t="s">
        <v>58</v>
      </c>
      <c r="C204" s="52">
        <v>3</v>
      </c>
      <c r="D204" s="52" t="str">
        <f t="array" ref="D204">_xlfn.IFNA(INDEX('TUM-W'!B$3:B$24,MATCH(1,(C204='TUM-W'!A$3:A$24)*(B204='TUM-W'!F$3:F$24),0)),"")</f>
        <v/>
      </c>
      <c r="E204" s="59" t="str">
        <f t="array" ref="E204">_xlfn.IFNA(IF(INDEX('TUM-W'!G$3:G$24,MATCH(1,(C204='TUM-W'!A$3:A$24)*(B204='TUM-W'!F$3:F$24),0))="P","P",""),"")</f>
        <v/>
      </c>
    </row>
    <row r="205" spans="1:5" hidden="1" x14ac:dyDescent="0.2">
      <c r="A205" s="52" t="str">
        <f t="shared" si="7"/>
        <v/>
      </c>
      <c r="B205" s="52" t="s">
        <v>58</v>
      </c>
      <c r="C205" s="52">
        <v>4</v>
      </c>
      <c r="D205" s="52" t="str">
        <f t="array" ref="D205">_xlfn.IFNA(INDEX('TUM-W'!B$3:B$24,MATCH(1,(C205='TUM-W'!A$3:A$24)*(B205='TUM-W'!F$3:F$24),0)),"")</f>
        <v/>
      </c>
      <c r="E205" s="59" t="str">
        <f t="array" ref="E205">_xlfn.IFNA(IF(INDEX('TUM-W'!G$3:G$24,MATCH(1,(C205='TUM-W'!A$3:A$24)*(B205='TUM-W'!F$3:F$24),0))="P","P",""),"")</f>
        <v/>
      </c>
    </row>
    <row r="206" spans="1:5" hidden="1" x14ac:dyDescent="0.2">
      <c r="A206" s="52" t="str">
        <f t="shared" si="7"/>
        <v/>
      </c>
      <c r="B206" s="52" t="s">
        <v>58</v>
      </c>
      <c r="C206" s="52">
        <v>5</v>
      </c>
      <c r="D206" s="52" t="str">
        <f t="array" ref="D206">_xlfn.IFNA(INDEX('TUM-W'!B$3:B$24,MATCH(1,(C206='TUM-W'!A$3:A$24)*(B206='TUM-W'!F$3:F$24),0)),"")</f>
        <v/>
      </c>
      <c r="E206" s="59" t="str">
        <f t="array" ref="E206">_xlfn.IFNA(IF(INDEX('TUM-W'!G$3:G$24,MATCH(1,(C206='TUM-W'!A$3:A$24)*(B206='TUM-W'!F$3:F$24),0))="P","P",""),"")</f>
        <v/>
      </c>
    </row>
    <row r="207" spans="1:5" hidden="1" x14ac:dyDescent="0.2">
      <c r="A207" s="52" t="str">
        <f t="shared" si="7"/>
        <v/>
      </c>
      <c r="B207" s="52" t="s">
        <v>58</v>
      </c>
      <c r="C207" s="52">
        <v>6</v>
      </c>
      <c r="D207" s="52" t="str">
        <f t="array" ref="D207">_xlfn.IFNA(INDEX('TUM-W'!B$3:B$24,MATCH(1,(C207='TUM-W'!A$3:A$24)*(B207='TUM-W'!F$3:F$24),0)),"")</f>
        <v/>
      </c>
      <c r="E207" s="59" t="str">
        <f t="array" ref="E207">_xlfn.IFNA(IF(INDEX('TUM-W'!G$3:G$24,MATCH(1,(C207='TUM-W'!A$3:A$24)*(B207='TUM-W'!F$3:F$24),0))="P","P",""),"")</f>
        <v/>
      </c>
    </row>
    <row r="208" spans="1:5" hidden="1" x14ac:dyDescent="0.2">
      <c r="A208" s="52" t="str">
        <f t="shared" si="7"/>
        <v/>
      </c>
      <c r="B208" s="52" t="s">
        <v>58</v>
      </c>
      <c r="C208" s="52">
        <v>7</v>
      </c>
      <c r="D208" s="52" t="str">
        <f t="array" ref="D208">_xlfn.IFNA(INDEX('TUM-W'!B$3:B$24,MATCH(1,(C208='TUM-W'!A$3:A$24)*(B208='TUM-W'!F$3:F$24),0)),"")</f>
        <v/>
      </c>
      <c r="E208" s="59" t="str">
        <f t="array" ref="E208">_xlfn.IFNA(IF(INDEX('TUM-W'!G$3:G$24,MATCH(1,(C208='TUM-W'!A$3:A$24)*(B208='TUM-W'!F$3:F$24),0))="P","P",""),"")</f>
        <v/>
      </c>
    </row>
    <row r="209" spans="1:5" hidden="1" x14ac:dyDescent="0.2">
      <c r="A209" s="52" t="str">
        <f t="shared" si="7"/>
        <v/>
      </c>
      <c r="B209" s="52" t="s">
        <v>58</v>
      </c>
      <c r="C209" s="52">
        <v>8</v>
      </c>
      <c r="D209" s="52" t="str">
        <f t="array" ref="D209">_xlfn.IFNA(INDEX('TUM-W'!B$3:B$24,MATCH(1,(C209='TUM-W'!A$3:A$24)*(B209='TUM-W'!F$3:F$24),0)),"")</f>
        <v/>
      </c>
      <c r="E209" s="59" t="str">
        <f t="array" ref="E209">_xlfn.IFNA(IF(INDEX('TUM-W'!G$3:G$24,MATCH(1,(C209='TUM-W'!A$3:A$24)*(B209='TUM-W'!F$3:F$24),0))="P","P",""),"")</f>
        <v/>
      </c>
    </row>
    <row r="210" spans="1:5" x14ac:dyDescent="0.2">
      <c r="A210" s="52" t="str">
        <f t="shared" si="7"/>
        <v>TUM-W</v>
      </c>
      <c r="B210" s="52" t="s">
        <v>60</v>
      </c>
      <c r="C210" s="52">
        <v>1</v>
      </c>
      <c r="D210" s="52" t="str">
        <f t="array" ref="D210">_xlfn.IFNA(INDEX('TUM-W'!B$3:B$24,MATCH(1,(C210='TUM-W'!A$3:A$24)*(B210='TUM-W'!F$3:F$24),0)),"")</f>
        <v>PILLINGER, Taylor</v>
      </c>
      <c r="E210" s="59" t="str">
        <f t="array" ref="E210">_xlfn.IFNA(IF(INDEX('TUM-W'!G$3:G$24,MATCH(1,(C210='TUM-W'!A$3:A$24)*(B210='TUM-W'!F$3:F$24),0))="P","P",""),"")</f>
        <v>P</v>
      </c>
    </row>
    <row r="211" spans="1:5" x14ac:dyDescent="0.2">
      <c r="A211" s="52" t="str">
        <f t="shared" si="7"/>
        <v>TUM-W</v>
      </c>
      <c r="B211" s="52" t="s">
        <v>60</v>
      </c>
      <c r="C211" s="52">
        <v>2</v>
      </c>
      <c r="D211" s="52" t="str">
        <f t="array" ref="D211">_xlfn.IFNA(INDEX('TUM-W'!B$3:B$24,MATCH(1,(C211='TUM-W'!A$3:A$24)*(B211='TUM-W'!F$3:F$24),0)),"")</f>
        <v>SPENCE, Abby</v>
      </c>
      <c r="E211" s="59" t="str">
        <f t="array" ref="E211">_xlfn.IFNA(IF(INDEX('TUM-W'!G$3:G$24,MATCH(1,(C211='TUM-W'!A$3:A$24)*(B211='TUM-W'!F$3:F$24),0))="P","P",""),"")</f>
        <v/>
      </c>
    </row>
    <row r="212" spans="1:5" x14ac:dyDescent="0.2">
      <c r="A212" s="52" t="str">
        <f t="shared" si="7"/>
        <v>TUM-W</v>
      </c>
      <c r="B212" s="52" t="s">
        <v>60</v>
      </c>
      <c r="C212" s="52">
        <v>3</v>
      </c>
      <c r="D212" s="52" t="str">
        <f t="array" ref="D212">_xlfn.IFNA(INDEX('TUM-W'!B$3:B$24,MATCH(1,(C212='TUM-W'!A$3:A$24)*(B212='TUM-W'!F$3:F$24),0)),"")</f>
        <v>HARRISON, Emily</v>
      </c>
      <c r="E212" s="59" t="str">
        <f t="array" ref="E212">_xlfn.IFNA(IF(INDEX('TUM-W'!G$3:G$24,MATCH(1,(C212='TUM-W'!A$3:A$24)*(B212='TUM-W'!F$3:F$24),0))="P","P",""),"")</f>
        <v>P</v>
      </c>
    </row>
    <row r="213" spans="1:5" x14ac:dyDescent="0.2">
      <c r="A213" s="52" t="str">
        <f t="shared" si="7"/>
        <v>TUM-W</v>
      </c>
      <c r="B213" s="52" t="s">
        <v>60</v>
      </c>
      <c r="C213" s="52">
        <v>4</v>
      </c>
      <c r="D213" s="52" t="str">
        <f t="array" ref="D213">_xlfn.IFNA(INDEX('TUM-W'!B$3:B$24,MATCH(1,(C213='TUM-W'!A$3:A$24)*(B213='TUM-W'!F$3:F$24),0)),"")</f>
        <v>DONG, Helen</v>
      </c>
      <c r="E213" s="59" t="str">
        <f t="array" ref="E213">_xlfn.IFNA(IF(INDEX('TUM-W'!G$3:G$24,MATCH(1,(C213='TUM-W'!A$3:A$24)*(B213='TUM-W'!F$3:F$24),0))="P","P",""),"")</f>
        <v>P</v>
      </c>
    </row>
    <row r="214" spans="1:5" x14ac:dyDescent="0.2">
      <c r="A214" s="52" t="str">
        <f t="shared" si="7"/>
        <v>TUM-W</v>
      </c>
      <c r="B214" s="52" t="s">
        <v>60</v>
      </c>
      <c r="C214" s="52">
        <v>5</v>
      </c>
      <c r="D214" s="52" t="str">
        <f t="array" ref="D214">_xlfn.IFNA(INDEX('TUM-W'!B$3:B$24,MATCH(1,(C214='TUM-W'!A$3:A$24)*(B214='TUM-W'!F$3:F$24),0)),"")</f>
        <v>THOMPSON, Abby</v>
      </c>
      <c r="E214" s="59" t="str">
        <f t="array" ref="E214">_xlfn.IFNA(IF(INDEX('TUM-W'!G$3:G$24,MATCH(1,(C214='TUM-W'!A$3:A$24)*(B214='TUM-W'!F$3:F$24),0))="P","P",""),"")</f>
        <v>P</v>
      </c>
    </row>
    <row r="215" spans="1:5" x14ac:dyDescent="0.2">
      <c r="A215" s="52" t="str">
        <f t="shared" si="7"/>
        <v>TUM-W</v>
      </c>
      <c r="B215" s="52" t="s">
        <v>60</v>
      </c>
      <c r="C215" s="52">
        <v>6</v>
      </c>
      <c r="D215" s="52" t="str">
        <f t="array" ref="D215">_xlfn.IFNA(INDEX('TUM-W'!B$3:B$24,MATCH(1,(C215='TUM-W'!A$3:A$24)*(B215='TUM-W'!F$3:F$24),0)),"")</f>
        <v>SIMINIUC, Alexandra</v>
      </c>
      <c r="E215" s="59" t="str">
        <f t="array" ref="E215">_xlfn.IFNA(IF(INDEX('TUM-W'!G$3:G$24,MATCH(1,(C215='TUM-W'!A$3:A$24)*(B215='TUM-W'!F$3:F$24),0))="P","P",""),"")</f>
        <v/>
      </c>
    </row>
    <row r="216" spans="1:5" hidden="1" x14ac:dyDescent="0.2">
      <c r="A216" s="52" t="str">
        <f t="shared" si="7"/>
        <v/>
      </c>
      <c r="B216" s="52" t="s">
        <v>60</v>
      </c>
      <c r="C216" s="52">
        <v>7</v>
      </c>
      <c r="D216" s="52" t="str">
        <f t="array" ref="D216">_xlfn.IFNA(INDEX('TUM-W'!B$3:B$24,MATCH(1,(C216='TUM-W'!A$3:A$24)*(B216='TUM-W'!F$3:F$24),0)),"")</f>
        <v/>
      </c>
      <c r="E216" s="59" t="str">
        <f t="array" ref="E216">_xlfn.IFNA(IF(INDEX('TUM-W'!G$3:G$24,MATCH(1,(C216='TUM-W'!A$3:A$24)*(B216='TUM-W'!F$3:F$24),0))="P","P",""),"")</f>
        <v/>
      </c>
    </row>
    <row r="217" spans="1:5" hidden="1" x14ac:dyDescent="0.2">
      <c r="A217" s="52" t="str">
        <f t="shared" si="7"/>
        <v/>
      </c>
      <c r="B217" s="52" t="s">
        <v>60</v>
      </c>
      <c r="C217" s="52">
        <v>8</v>
      </c>
      <c r="D217" s="52" t="str">
        <f t="array" ref="D217">_xlfn.IFNA(INDEX('TUM-W'!B$3:B$24,MATCH(1,(C217='TUM-W'!A$3:A$24)*(B217='TUM-W'!F$3:F$24),0)),"")</f>
        <v/>
      </c>
      <c r="E217" s="59" t="str">
        <f t="array" ref="E217">_xlfn.IFNA(IF(INDEX('TUM-W'!G$3:G$24,MATCH(1,(C217='TUM-W'!A$3:A$24)*(B217='TUM-W'!F$3:F$24),0))="P","P",""),"")</f>
        <v/>
      </c>
    </row>
    <row r="218" spans="1:5" x14ac:dyDescent="0.2">
      <c r="A218" s="52" t="str">
        <f t="shared" si="7"/>
        <v>TUM-W</v>
      </c>
      <c r="B218" s="52" t="s">
        <v>61</v>
      </c>
      <c r="C218" s="52">
        <v>1</v>
      </c>
      <c r="D218" s="52" t="str">
        <f t="array" ref="D218">_xlfn.IFNA(INDEX('TUM-W'!B$3:B$24,MATCH(1,(C218='TUM-W'!A$3:A$24)*(B218='TUM-W'!F$3:F$24),0)),"")</f>
        <v>NESTMAN, MacKenzie</v>
      </c>
      <c r="E218" s="59" t="str">
        <f t="array" ref="E218">_xlfn.IFNA(IF(INDEX('TUM-W'!G$3:G$24,MATCH(1,(C218='TUM-W'!A$3:A$24)*(B218='TUM-W'!F$3:F$24),0))="P","P",""),"")</f>
        <v>P</v>
      </c>
    </row>
    <row r="219" spans="1:5" hidden="1" x14ac:dyDescent="0.2">
      <c r="A219" s="52" t="str">
        <f t="shared" si="7"/>
        <v/>
      </c>
      <c r="B219" s="52" t="s">
        <v>61</v>
      </c>
      <c r="C219" s="52">
        <v>2</v>
      </c>
      <c r="D219" s="52" t="str">
        <f t="array" ref="D219">_xlfn.IFNA(INDEX('TUM-W'!B$3:B$24,MATCH(1,(C219='TUM-W'!A$3:A$24)*(B219='TUM-W'!F$3:F$24),0)),"")</f>
        <v/>
      </c>
      <c r="E219" s="59" t="str">
        <f t="array" ref="E219">_xlfn.IFNA(IF(INDEX('TUM-W'!G$3:G$24,MATCH(1,(C219='TUM-W'!A$3:A$24)*(B219='TUM-W'!F$3:F$24),0))="P","P",""),"")</f>
        <v/>
      </c>
    </row>
    <row r="220" spans="1:5" hidden="1" x14ac:dyDescent="0.2">
      <c r="A220" s="52" t="str">
        <f t="shared" si="7"/>
        <v/>
      </c>
      <c r="B220" s="52" t="s">
        <v>61</v>
      </c>
      <c r="C220" s="52">
        <v>3</v>
      </c>
      <c r="D220" s="52" t="str">
        <f t="array" ref="D220">_xlfn.IFNA(INDEX('TUM-W'!B$3:B$24,MATCH(1,(C220='TUM-W'!A$3:A$24)*(B220='TUM-W'!F$3:F$24),0)),"")</f>
        <v/>
      </c>
      <c r="E220" s="59" t="str">
        <f t="array" ref="E220">_xlfn.IFNA(IF(INDEX('TUM-W'!G$3:G$24,MATCH(1,(C220='TUM-W'!A$3:A$24)*(B220='TUM-W'!F$3:F$24),0))="P","P",""),"")</f>
        <v/>
      </c>
    </row>
    <row r="221" spans="1:5" hidden="1" x14ac:dyDescent="0.2">
      <c r="A221" s="52" t="str">
        <f t="shared" si="7"/>
        <v/>
      </c>
      <c r="B221" s="52" t="s">
        <v>61</v>
      </c>
      <c r="C221" s="52">
        <v>4</v>
      </c>
      <c r="D221" s="52" t="str">
        <f t="array" ref="D221">_xlfn.IFNA(INDEX('TUM-W'!B$3:B$24,MATCH(1,(C221='TUM-W'!A$3:A$24)*(B221='TUM-W'!F$3:F$24),0)),"")</f>
        <v/>
      </c>
      <c r="E221" s="59" t="str">
        <f t="array" ref="E221">_xlfn.IFNA(IF(INDEX('TUM-W'!G$3:G$24,MATCH(1,(C221='TUM-W'!A$3:A$24)*(B221='TUM-W'!F$3:F$24),0))="P","P",""),"")</f>
        <v/>
      </c>
    </row>
    <row r="222" spans="1:5" hidden="1" x14ac:dyDescent="0.2">
      <c r="A222" s="52" t="str">
        <f t="shared" si="7"/>
        <v/>
      </c>
      <c r="B222" s="52" t="s">
        <v>61</v>
      </c>
      <c r="C222" s="52">
        <v>5</v>
      </c>
      <c r="D222" s="52" t="str">
        <f t="array" ref="D222">_xlfn.IFNA(INDEX('TUM-W'!B$3:B$24,MATCH(1,(C222='TUM-W'!A$3:A$24)*(B222='TUM-W'!F$3:F$24),0)),"")</f>
        <v/>
      </c>
      <c r="E222" s="59" t="str">
        <f t="array" ref="E222">_xlfn.IFNA(IF(INDEX('TUM-W'!G$3:G$24,MATCH(1,(C222='TUM-W'!A$3:A$24)*(B222='TUM-W'!F$3:F$24),0))="P","P",""),"")</f>
        <v/>
      </c>
    </row>
    <row r="223" spans="1:5" hidden="1" x14ac:dyDescent="0.2">
      <c r="A223" s="52" t="str">
        <f t="shared" si="7"/>
        <v/>
      </c>
      <c r="B223" s="52" t="s">
        <v>61</v>
      </c>
      <c r="C223" s="52">
        <v>6</v>
      </c>
      <c r="D223" s="52" t="str">
        <f t="array" ref="D223">_xlfn.IFNA(INDEX('TUM-W'!B$3:B$24,MATCH(1,(C223='TUM-W'!A$3:A$24)*(B223='TUM-W'!F$3:F$24),0)),"")</f>
        <v/>
      </c>
      <c r="E223" s="59" t="str">
        <f t="array" ref="E223">_xlfn.IFNA(IF(INDEX('TUM-W'!G$3:G$24,MATCH(1,(C223='TUM-W'!A$3:A$24)*(B223='TUM-W'!F$3:F$24),0))="P","P",""),"")</f>
        <v/>
      </c>
    </row>
    <row r="224" spans="1:5" hidden="1" x14ac:dyDescent="0.2">
      <c r="A224" s="52" t="str">
        <f t="shared" si="7"/>
        <v/>
      </c>
      <c r="B224" s="52" t="s">
        <v>61</v>
      </c>
      <c r="C224" s="52">
        <v>7</v>
      </c>
      <c r="D224" s="52" t="str">
        <f t="array" ref="D224">_xlfn.IFNA(INDEX('TUM-W'!B$3:B$24,MATCH(1,(C224='TUM-W'!A$3:A$24)*(B224='TUM-W'!F$3:F$24),0)),"")</f>
        <v/>
      </c>
      <c r="E224" s="59" t="str">
        <f t="array" ref="E224">_xlfn.IFNA(IF(INDEX('TUM-W'!G$3:G$24,MATCH(1,(C224='TUM-W'!A$3:A$24)*(B224='TUM-W'!F$3:F$24),0))="P","P",""),"")</f>
        <v/>
      </c>
    </row>
    <row r="225" spans="1:6" hidden="1" x14ac:dyDescent="0.2">
      <c r="A225" s="52" t="str">
        <f t="shared" si="7"/>
        <v/>
      </c>
      <c r="B225" s="52" t="s">
        <v>61</v>
      </c>
      <c r="C225" s="52">
        <v>8</v>
      </c>
      <c r="D225" s="52" t="str">
        <f t="array" ref="D225">_xlfn.IFNA(INDEX('TUM-W'!B$3:B$24,MATCH(1,(C225='TUM-W'!A$3:A$24)*(B225='TUM-W'!F$3:F$24),0)),"")</f>
        <v/>
      </c>
      <c r="E225" s="59" t="str">
        <f t="array" ref="E225">_xlfn.IFNA(IF(INDEX('TUM-W'!G$3:G$24,MATCH(1,(C225='TUM-W'!A$3:A$24)*(B225='TUM-W'!F$3:F$24),0))="P","P",""),"")</f>
        <v/>
      </c>
    </row>
    <row r="227" spans="1:6" x14ac:dyDescent="0.2">
      <c r="B227" s="64" t="s">
        <v>119</v>
      </c>
      <c r="C227" s="64"/>
      <c r="D227" s="64"/>
    </row>
    <row r="228" spans="1:6" x14ac:dyDescent="0.2">
      <c r="B228" s="62" t="s">
        <v>124</v>
      </c>
      <c r="C228" s="62"/>
      <c r="D228" s="62"/>
      <c r="E228" s="60" t="s">
        <v>123</v>
      </c>
    </row>
    <row r="229" spans="1:6" x14ac:dyDescent="0.2">
      <c r="B229" s="62" t="s">
        <v>125</v>
      </c>
      <c r="C229" s="62"/>
      <c r="D229" s="62"/>
      <c r="E229" s="60" t="s">
        <v>123</v>
      </c>
      <c r="F229" t="s">
        <v>123</v>
      </c>
    </row>
    <row r="230" spans="1:6" x14ac:dyDescent="0.2">
      <c r="A230" s="54" t="s">
        <v>187</v>
      </c>
      <c r="B230" s="61">
        <v>43689</v>
      </c>
      <c r="C230" s="61"/>
      <c r="D230" s="61"/>
    </row>
    <row r="231" spans="1:6" x14ac:dyDescent="0.2">
      <c r="A231" s="54"/>
      <c r="B231" s="63" t="s">
        <v>303</v>
      </c>
      <c r="C231" s="63"/>
      <c r="D231" s="63"/>
    </row>
  </sheetData>
  <mergeCells count="5">
    <mergeCell ref="B230:D230"/>
    <mergeCell ref="B229:D229"/>
    <mergeCell ref="B228:D228"/>
    <mergeCell ref="B231:D231"/>
    <mergeCell ref="B227:D227"/>
  </mergeCells>
  <conditionalFormatting sqref="A2:D225">
    <cfRule type="expression" dxfId="83" priority="5">
      <formula>IF($B2="17-21",1,0)</formula>
    </cfRule>
    <cfRule type="expression" dxfId="82" priority="6">
      <formula>IF($B2="15-16",1,0)</formula>
    </cfRule>
    <cfRule type="expression" dxfId="81" priority="7">
      <formula>IF($B2="13-14",1,0)</formula>
    </cfRule>
    <cfRule type="expression" dxfId="80" priority="8">
      <formula>IF($B2="11-12",1,0)</formula>
    </cfRule>
  </conditionalFormatting>
  <conditionalFormatting sqref="E2:E225">
    <cfRule type="expression" dxfId="79" priority="1">
      <formula>IF($B2="17-21",1,0)</formula>
    </cfRule>
    <cfRule type="expression" dxfId="78" priority="2">
      <formula>IF($B2="15-16",1,0)</formula>
    </cfRule>
    <cfRule type="expression" dxfId="77" priority="3">
      <formula>IF($B2="13-14",1,0)</formula>
    </cfRule>
    <cfRule type="expression" dxfId="76" priority="4">
      <formula>IF($B2="11-12",1,0)</formula>
    </cfRule>
  </conditionalFormatting>
  <dataValidations count="2">
    <dataValidation type="list" allowBlank="1" showInputMessage="1" showErrorMessage="1" sqref="E228:E229" xr:uid="{00000000-0002-0000-0000-000000000000}">
      <formula1>"Select,TRA-M,TRA-W,SYN-M,SYN-W,DMT-M,DMT-W,TUM-M,TUM-W"</formula1>
    </dataValidation>
    <dataValidation type="list" allowBlank="1" showInputMessage="1" showErrorMessage="1" sqref="F229" xr:uid="{00000000-0002-0000-0000-000001000000}">
      <formula1>IF($E$229="Select",E229,INDIRECT("'"&amp;$E$229&amp;"'!"&amp;"B3:B"&amp;MATCH(TRUE,INDEX(INDIRECT("'"&amp;$E$229&amp;"'!"&amp;"B3:B100")="",0),0)+1))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1" t="s">
        <v>38</v>
      </c>
      <c r="B1" s="11">
        <v>2019</v>
      </c>
      <c r="C1" s="11"/>
      <c r="D1" s="11"/>
      <c r="E1" s="11"/>
      <c r="F1" s="11"/>
      <c r="G1" s="11"/>
      <c r="H1" s="11"/>
      <c r="I1" s="11"/>
    </row>
    <row r="2" spans="1:9" x14ac:dyDescent="0.2">
      <c r="A2" s="12" t="s">
        <v>40</v>
      </c>
      <c r="B2" s="10"/>
      <c r="C2" s="10"/>
      <c r="D2" s="10"/>
      <c r="E2" s="10"/>
      <c r="F2" s="10"/>
      <c r="G2" s="10"/>
      <c r="H2" s="10"/>
      <c r="I2" s="10"/>
    </row>
    <row r="3" spans="1:9" x14ac:dyDescent="0.2">
      <c r="A3" s="13" t="s">
        <v>32</v>
      </c>
      <c r="B3" s="13" t="s">
        <v>63</v>
      </c>
      <c r="C3" s="13" t="s">
        <v>62</v>
      </c>
      <c r="D3" s="13" t="s">
        <v>68</v>
      </c>
      <c r="E3" s="13" t="s">
        <v>69</v>
      </c>
      <c r="F3" s="13" t="s">
        <v>64</v>
      </c>
      <c r="G3" s="13" t="s">
        <v>65</v>
      </c>
      <c r="H3" s="13" t="s">
        <v>66</v>
      </c>
      <c r="I3" s="13" t="s">
        <v>67</v>
      </c>
    </row>
    <row r="4" spans="1:9" x14ac:dyDescent="0.2">
      <c r="A4" s="20" t="s">
        <v>59</v>
      </c>
      <c r="B4" s="21">
        <v>88</v>
      </c>
      <c r="C4" s="21">
        <v>86</v>
      </c>
      <c r="D4" s="21">
        <v>41.5</v>
      </c>
      <c r="E4" s="21">
        <v>42</v>
      </c>
      <c r="F4" s="21">
        <v>63</v>
      </c>
      <c r="G4" s="21">
        <v>61.5</v>
      </c>
      <c r="H4" s="21">
        <v>57.4</v>
      </c>
      <c r="I4" s="21">
        <v>58.9</v>
      </c>
    </row>
    <row r="5" spans="1:9" x14ac:dyDescent="0.2">
      <c r="A5" s="24" t="s">
        <v>58</v>
      </c>
      <c r="B5" s="25">
        <v>89.5</v>
      </c>
      <c r="C5" s="25">
        <v>87.5</v>
      </c>
      <c r="D5" s="25">
        <v>42.6</v>
      </c>
      <c r="E5" s="25">
        <v>42</v>
      </c>
      <c r="F5" s="25">
        <v>65.7</v>
      </c>
      <c r="G5" s="25">
        <v>62.7</v>
      </c>
      <c r="H5" s="25">
        <v>60.2</v>
      </c>
      <c r="I5" s="25">
        <v>58.8</v>
      </c>
    </row>
    <row r="6" spans="1:9" x14ac:dyDescent="0.2">
      <c r="A6" s="28" t="s">
        <v>60</v>
      </c>
      <c r="B6" s="29">
        <v>93.4</v>
      </c>
      <c r="C6" s="29">
        <v>89</v>
      </c>
      <c r="D6" s="29">
        <v>45</v>
      </c>
      <c r="E6" s="29">
        <v>43.3</v>
      </c>
      <c r="F6" s="29">
        <v>67.099999999999994</v>
      </c>
      <c r="G6" s="29">
        <v>64.3</v>
      </c>
      <c r="H6" s="29">
        <v>60.8</v>
      </c>
      <c r="I6" s="29">
        <v>59.2</v>
      </c>
    </row>
    <row r="7" spans="1:9" x14ac:dyDescent="0.2">
      <c r="A7" s="18" t="s">
        <v>61</v>
      </c>
      <c r="B7" s="16">
        <v>97</v>
      </c>
      <c r="C7" s="16">
        <v>90.4</v>
      </c>
      <c r="D7" s="16">
        <v>46.4</v>
      </c>
      <c r="E7" s="16">
        <v>43.3</v>
      </c>
      <c r="F7" s="16">
        <v>67.599999999999994</v>
      </c>
      <c r="G7" s="16">
        <v>65.8</v>
      </c>
      <c r="H7" s="16">
        <v>62.5</v>
      </c>
      <c r="I7" s="16">
        <v>60.3</v>
      </c>
    </row>
    <row r="8" spans="1:9" x14ac:dyDescent="0.2">
      <c r="A8" s="14" t="s">
        <v>41</v>
      </c>
      <c r="B8" s="11"/>
      <c r="C8" s="11"/>
      <c r="D8" s="11"/>
      <c r="E8" s="11"/>
      <c r="F8" s="11"/>
      <c r="G8" s="11"/>
      <c r="H8" s="11"/>
      <c r="I8" s="11"/>
    </row>
    <row r="9" spans="1:9" x14ac:dyDescent="0.2">
      <c r="A9" s="15" t="s">
        <v>32</v>
      </c>
      <c r="B9" s="15" t="s">
        <v>63</v>
      </c>
      <c r="C9" s="15" t="s">
        <v>62</v>
      </c>
      <c r="D9" s="15" t="s">
        <v>68</v>
      </c>
      <c r="E9" s="15" t="s">
        <v>69</v>
      </c>
      <c r="F9" s="15" t="s">
        <v>64</v>
      </c>
      <c r="G9" s="15" t="s">
        <v>65</v>
      </c>
      <c r="H9" s="15" t="s">
        <v>66</v>
      </c>
      <c r="I9" s="15" t="s">
        <v>67</v>
      </c>
    </row>
    <row r="10" spans="1:9" x14ac:dyDescent="0.2">
      <c r="A10" s="22" t="s">
        <v>59</v>
      </c>
      <c r="B10" s="23">
        <v>9.1</v>
      </c>
      <c r="C10" s="23">
        <v>8.4</v>
      </c>
      <c r="D10" s="23">
        <v>8.1</v>
      </c>
      <c r="E10" s="23">
        <v>8.1</v>
      </c>
      <c r="F10" s="23">
        <v>8</v>
      </c>
      <c r="G10" s="23">
        <v>7.1</v>
      </c>
      <c r="H10" s="23">
        <v>6.6</v>
      </c>
      <c r="I10" s="23">
        <v>6.4</v>
      </c>
    </row>
    <row r="11" spans="1:9" x14ac:dyDescent="0.2">
      <c r="A11" s="26" t="s">
        <v>58</v>
      </c>
      <c r="B11" s="27">
        <v>9.6</v>
      </c>
      <c r="C11" s="27">
        <v>9.1999999999999993</v>
      </c>
      <c r="D11" s="27">
        <v>8.8000000000000007</v>
      </c>
      <c r="E11" s="27">
        <v>8.1</v>
      </c>
      <c r="F11" s="27">
        <v>9.6</v>
      </c>
      <c r="G11" s="27">
        <v>9.6</v>
      </c>
      <c r="H11" s="27">
        <v>7</v>
      </c>
      <c r="I11" s="27">
        <v>6.6</v>
      </c>
    </row>
    <row r="12" spans="1:9" x14ac:dyDescent="0.2">
      <c r="A12" s="30" t="s">
        <v>60</v>
      </c>
      <c r="B12" s="31">
        <v>12.8</v>
      </c>
      <c r="C12" s="31">
        <v>9.6999999999999993</v>
      </c>
      <c r="D12" s="31">
        <v>10.4</v>
      </c>
      <c r="E12" s="31">
        <v>9</v>
      </c>
      <c r="F12" s="31">
        <v>12.8</v>
      </c>
      <c r="G12" s="31">
        <v>10</v>
      </c>
      <c r="H12" s="31">
        <v>7</v>
      </c>
      <c r="I12" s="31">
        <v>6.6</v>
      </c>
    </row>
    <row r="13" spans="1:9" x14ac:dyDescent="0.2">
      <c r="A13" s="19" t="s">
        <v>61</v>
      </c>
      <c r="B13" s="17">
        <v>13.5</v>
      </c>
      <c r="C13" s="17">
        <v>10.4</v>
      </c>
      <c r="D13" s="17">
        <v>12.6</v>
      </c>
      <c r="E13" s="17">
        <v>9.1999999999999993</v>
      </c>
      <c r="F13" s="17">
        <v>12.8</v>
      </c>
      <c r="G13" s="17">
        <v>10.4</v>
      </c>
      <c r="H13" s="17">
        <v>9.5</v>
      </c>
      <c r="I13" s="17">
        <v>7.1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C92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22.1640625" style="38" bestFit="1" customWidth="1"/>
    <col min="3" max="3" width="8.6640625" style="38" bestFit="1" customWidth="1"/>
    <col min="4" max="4" width="39.16406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3" bestFit="1" customWidth="1"/>
    <col min="12" max="12" width="18.33203125" style="42" bestFit="1" customWidth="1"/>
    <col min="13" max="13" width="18.6640625" style="42" bestFit="1" customWidth="1"/>
    <col min="14" max="14" width="15.6640625" bestFit="1" customWidth="1"/>
    <col min="15" max="15" width="18.6640625" bestFit="1" customWidth="1"/>
    <col min="16" max="16" width="10.83203125" style="37" bestFit="1" customWidth="1"/>
    <col min="17" max="17" width="13.6640625" style="38" bestFit="1" customWidth="1"/>
    <col min="18" max="18" width="8.33203125" style="38" bestFit="1" customWidth="1"/>
    <col min="19" max="19" width="11.1640625" style="38" bestFit="1" customWidth="1"/>
    <col min="20" max="20" width="7.5" bestFit="1" customWidth="1"/>
    <col min="21" max="21" width="6.6640625" style="38" bestFit="1" customWidth="1"/>
    <col min="22" max="22" width="11" style="38" bestFit="1" customWidth="1"/>
    <col min="23" max="23" width="10.83203125" style="37" bestFit="1" customWidth="1"/>
    <col min="24" max="24" width="13.6640625" style="38" bestFit="1" customWidth="1"/>
    <col min="25" max="25" width="8.33203125" style="38" bestFit="1" customWidth="1"/>
    <col min="26" max="26" width="11.1640625" style="38" bestFit="1" customWidth="1"/>
    <col min="27" max="27" width="7.6640625" bestFit="1" customWidth="1"/>
    <col min="28" max="28" width="6.6640625" style="38" bestFit="1" customWidth="1"/>
    <col min="29" max="29" width="9" style="41" bestFit="1" customWidth="1"/>
  </cols>
  <sheetData>
    <row r="1" spans="1:29" s="6" customFormat="1" x14ac:dyDescent="0.2">
      <c r="A1" s="65" t="s">
        <v>56</v>
      </c>
      <c r="B1" s="65" t="s">
        <v>0</v>
      </c>
      <c r="C1" s="65" t="s">
        <v>1</v>
      </c>
      <c r="D1" s="70" t="s">
        <v>2</v>
      </c>
      <c r="E1" s="72" t="s">
        <v>31</v>
      </c>
      <c r="F1" s="65" t="s">
        <v>32</v>
      </c>
      <c r="G1" s="65" t="s">
        <v>304</v>
      </c>
      <c r="H1" s="68" t="s">
        <v>44</v>
      </c>
      <c r="I1" s="65" t="s">
        <v>40</v>
      </c>
      <c r="J1" s="65" t="s">
        <v>41</v>
      </c>
      <c r="K1" s="65" t="s">
        <v>120</v>
      </c>
      <c r="L1" s="65" t="s">
        <v>43</v>
      </c>
      <c r="M1" s="65" t="s">
        <v>42</v>
      </c>
      <c r="N1" s="65" t="s">
        <v>114</v>
      </c>
      <c r="O1" s="65" t="s">
        <v>55</v>
      </c>
      <c r="P1" s="67" t="s">
        <v>121</v>
      </c>
      <c r="Q1" s="67"/>
      <c r="R1" s="67"/>
      <c r="S1" s="67"/>
      <c r="T1" s="67"/>
      <c r="U1" s="67"/>
      <c r="V1" s="67"/>
      <c r="W1" s="67" t="s">
        <v>122</v>
      </c>
      <c r="X1" s="67"/>
      <c r="Y1" s="67"/>
      <c r="Z1" s="67"/>
      <c r="AA1" s="67"/>
      <c r="AB1" s="67"/>
      <c r="AC1" s="67"/>
    </row>
    <row r="2" spans="1:29" s="7" customFormat="1" ht="17" thickBot="1" x14ac:dyDescent="0.25">
      <c r="A2" s="66"/>
      <c r="B2" s="66"/>
      <c r="C2" s="66"/>
      <c r="D2" s="71"/>
      <c r="E2" s="73"/>
      <c r="F2" s="66"/>
      <c r="G2" s="66"/>
      <c r="H2" s="69"/>
      <c r="I2" s="66"/>
      <c r="J2" s="66"/>
      <c r="K2" s="66"/>
      <c r="L2" s="66"/>
      <c r="M2" s="66"/>
      <c r="N2" s="66"/>
      <c r="O2" s="66"/>
      <c r="P2" s="8" t="s">
        <v>33</v>
      </c>
      <c r="Q2" s="7" t="s">
        <v>34</v>
      </c>
      <c r="R2" s="7" t="s">
        <v>35</v>
      </c>
      <c r="S2" s="7" t="s">
        <v>36</v>
      </c>
      <c r="T2" s="7" t="s">
        <v>57</v>
      </c>
      <c r="U2" s="7" t="s">
        <v>37</v>
      </c>
      <c r="V2" s="7" t="s">
        <v>39</v>
      </c>
      <c r="W2" s="8" t="s">
        <v>33</v>
      </c>
      <c r="X2" s="7" t="s">
        <v>34</v>
      </c>
      <c r="Y2" s="7" t="s">
        <v>35</v>
      </c>
      <c r="Z2" s="7" t="s">
        <v>36</v>
      </c>
      <c r="AA2" s="7" t="s">
        <v>57</v>
      </c>
      <c r="AB2" s="7" t="s">
        <v>37</v>
      </c>
      <c r="AC2" s="9" t="s">
        <v>39</v>
      </c>
    </row>
    <row r="3" spans="1:29" ht="17" thickTop="1" x14ac:dyDescent="0.2">
      <c r="A3" s="1">
        <f t="shared" ref="A3:A48" si="0">IF(M3&lt;&gt;"",SUMPRODUCT((M$3:M$49&lt;&gt;"")*(F$3:F$49=F3)*(M$3:M$49&lt;M3))+1,IF(L3&lt;&gt;"",SUMPRODUCT((M$3:M$49&lt;&gt;"")*(F$3:F$49=F3))+SUMPRODUCT((L$3:L$49&lt;&gt;"")*(F$3:F$49=F3)*(L$3:L$49&lt;L3))+1,IF(K3="P",SUMPRODUCT((L$3:L$49&lt;&gt;"")*(F$3:F$49=F3))+SUMPRODUCT((M$3:M$49&lt;&gt;"")*(F$3:F$49=F3))+1+SUMPRODUCT((K$3:K$49="P")*(F$3:F$49=F3)*(H$3:H$49&gt;H3)*(L$3:L$49="")*(M$3:M$49="")),"")))</f>
        <v>1</v>
      </c>
      <c r="B3" s="38" t="s">
        <v>172</v>
      </c>
      <c r="C3" s="38" t="s">
        <v>12</v>
      </c>
      <c r="D3" s="38" t="s">
        <v>15</v>
      </c>
      <c r="E3" s="37">
        <v>2005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13-14</v>
      </c>
      <c r="G3" s="56"/>
      <c r="H3" s="4">
        <f>SUM(N3:O3)</f>
        <v>142.79</v>
      </c>
      <c r="I3" s="3" t="str">
        <f>IF(MAX(T3-Q3,AA3-X3)&gt;=LOOKUP(F3,'Qualifying Scores'!$A$4:$A$7,'Qualifying Scores'!$B$4:$B$7),"P","")</f>
        <v>P</v>
      </c>
      <c r="J3" s="3" t="str">
        <f>IF(MAX(S3,Z3)&gt;=LOOKUP(F3,'Qualifying Scores'!$A$10:$A$13,'Qualifying Scores'!$B$10:$B$13),"P","")</f>
        <v>P</v>
      </c>
      <c r="K3" s="3" t="str">
        <f>IF(OR(AND(T3-Q3&gt;=LOOKUP(F3,'Qualifying Scores'!$A$4:$A$7,'Qualifying Scores'!$B$4:$B$7),S3&gt;=LOOKUP(F3,'Qualifying Scores'!$A$10:$A$13,'Qualifying Scores'!$B$10:$B$13)),AND(AA3-X3&gt;=LOOKUP(F3,'Qualifying Scores'!$A$4:$A$7,'Qualifying Scores'!$B$4:$B$7),Z3&gt;=LOOKUP(F3,'Qualifying Scores'!$A$10:$A$13,'Qualifying Scores'!$B$10:$B$13))),"P","")</f>
        <v>P</v>
      </c>
      <c r="N3" s="4">
        <f>MAX(T3,AA3)</f>
        <v>93.344999999999999</v>
      </c>
      <c r="O3" s="4">
        <f>IF(N3=T3,MAX(U3,Y3,AB3),MAX(R3,U3,AB3))</f>
        <v>49.445</v>
      </c>
      <c r="P3" s="33">
        <v>42.585000000000001</v>
      </c>
      <c r="Q3" s="45">
        <v>2</v>
      </c>
      <c r="R3" s="47">
        <v>25.605</v>
      </c>
      <c r="S3" s="45">
        <v>6.5</v>
      </c>
      <c r="T3" s="4">
        <f>P3+R3</f>
        <v>68.19</v>
      </c>
      <c r="U3" s="47">
        <v>49.445</v>
      </c>
      <c r="V3" s="45">
        <v>11.1</v>
      </c>
      <c r="W3" s="33">
        <v>44.46</v>
      </c>
      <c r="X3" s="44">
        <v>3.2</v>
      </c>
      <c r="Y3" s="34">
        <v>48.884999999999998</v>
      </c>
      <c r="Z3" s="44">
        <v>11.2</v>
      </c>
      <c r="AA3" s="4">
        <f>W3+Y3</f>
        <v>93.344999999999999</v>
      </c>
      <c r="AB3" s="34">
        <v>48.64</v>
      </c>
      <c r="AC3" s="39">
        <v>11.1</v>
      </c>
    </row>
    <row r="4" spans="1:29" x14ac:dyDescent="0.2">
      <c r="A4" s="1" t="str">
        <f t="shared" si="0"/>
        <v/>
      </c>
      <c r="B4" s="38" t="s">
        <v>277</v>
      </c>
      <c r="C4" s="38" t="s">
        <v>4</v>
      </c>
      <c r="E4" s="37">
        <v>2005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13-14</v>
      </c>
      <c r="G4" s="56"/>
      <c r="H4" s="4">
        <f>SUM(N4:O4)</f>
        <v>135.42000000000002</v>
      </c>
      <c r="I4" s="3" t="str">
        <f>IF(MAX(T4-Q4,AA4-X4)&gt;=LOOKUP(F4,'Qualifying Scores'!$A$4:$A$7,'Qualifying Scores'!$B$4:$B$7),"P","")</f>
        <v/>
      </c>
      <c r="J4" s="3" t="str">
        <f>IF(MAX(S4,Z4)&gt;=LOOKUP(F4,'Qualifying Scores'!$A$10:$A$13,'Qualifying Scores'!$B$10:$B$13),"P","")</f>
        <v/>
      </c>
      <c r="K4" s="3" t="str">
        <f>IF(OR(AND(T4-Q4&gt;=LOOKUP(F4,'Qualifying Scores'!$A$4:$A$7,'Qualifying Scores'!$B$4:$B$7),S4&gt;=LOOKUP(F4,'Qualifying Scores'!$A$10:$A$13,'Qualifying Scores'!$B$10:$B$13)),AND(AA4-X4&gt;=LOOKUP(F4,'Qualifying Scores'!$A$4:$A$7,'Qualifying Scores'!$B$4:$B$7),Z4&gt;=LOOKUP(F4,'Qualifying Scores'!$A$10:$A$13,'Qualifying Scores'!$B$10:$B$13))),"P","")</f>
        <v/>
      </c>
      <c r="N4" s="4">
        <f>MAX(T4,AA4)</f>
        <v>87.43</v>
      </c>
      <c r="O4" s="4">
        <f>IF(N4=T4,MAX(U4,Y4,AB4),MAX(R4,U4,AB4))</f>
        <v>47.99</v>
      </c>
      <c r="P4" s="33"/>
      <c r="Q4" s="44"/>
      <c r="R4" s="34"/>
      <c r="S4" s="44"/>
      <c r="T4" s="4">
        <f>P4+R4</f>
        <v>0</v>
      </c>
      <c r="U4" s="34"/>
      <c r="V4" s="44"/>
      <c r="W4" s="33">
        <v>41.15</v>
      </c>
      <c r="X4" s="44">
        <v>2.2999999999999998</v>
      </c>
      <c r="Y4" s="34">
        <v>46.28</v>
      </c>
      <c r="Z4" s="44">
        <v>9.5</v>
      </c>
      <c r="AA4" s="4">
        <f>W4+Y4</f>
        <v>87.43</v>
      </c>
      <c r="AB4" s="34">
        <v>47.99</v>
      </c>
      <c r="AC4" s="39">
        <v>10</v>
      </c>
    </row>
    <row r="5" spans="1:29" x14ac:dyDescent="0.2">
      <c r="A5" s="1" t="str">
        <f t="shared" si="0"/>
        <v/>
      </c>
      <c r="B5" s="38" t="s">
        <v>275</v>
      </c>
      <c r="C5" s="38" t="s">
        <v>4</v>
      </c>
      <c r="E5" s="37">
        <v>2005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13-14</v>
      </c>
      <c r="G5" s="56"/>
      <c r="H5" s="4">
        <f>SUM(N5:O5)</f>
        <v>131.47499999999999</v>
      </c>
      <c r="I5" s="3" t="str">
        <f>IF(MAX(T5-Q5,AA5-X5)&gt;=LOOKUP(F5,'Qualifying Scores'!$A$4:$A$7,'Qualifying Scores'!$B$4:$B$7),"P","")</f>
        <v/>
      </c>
      <c r="J5" s="3" t="str">
        <f>IF(MAX(S5,Z5)&gt;=LOOKUP(F5,'Qualifying Scores'!$A$10:$A$13,'Qualifying Scores'!$B$10:$B$13),"P","")</f>
        <v>P</v>
      </c>
      <c r="K5" s="3" t="str">
        <f>IF(OR(AND(T5-Q5&gt;=LOOKUP(F5,'Qualifying Scores'!$A$4:$A$7,'Qualifying Scores'!$B$4:$B$7),S5&gt;=LOOKUP(F5,'Qualifying Scores'!$A$10:$A$13,'Qualifying Scores'!$B$10:$B$13)),AND(AA5-X5&gt;=LOOKUP(F5,'Qualifying Scores'!$A$4:$A$7,'Qualifying Scores'!$B$4:$B$7),Z5&gt;=LOOKUP(F5,'Qualifying Scores'!$A$10:$A$13,'Qualifying Scores'!$B$10:$B$13))),"P","")</f>
        <v/>
      </c>
      <c r="N5" s="4">
        <f>MAX(T5,AA5)</f>
        <v>83.31</v>
      </c>
      <c r="O5" s="4">
        <f>IF(N5=T5,MAX(U5,Y5,AB5),MAX(R5,U5,AB5))</f>
        <v>48.164999999999999</v>
      </c>
      <c r="P5" s="33"/>
      <c r="Q5" s="44"/>
      <c r="R5" s="34"/>
      <c r="S5" s="44"/>
      <c r="T5" s="4">
        <f>P5+R5</f>
        <v>0</v>
      </c>
      <c r="U5" s="34"/>
      <c r="V5" s="44"/>
      <c r="W5" s="33">
        <v>37.465000000000003</v>
      </c>
      <c r="X5" s="44">
        <v>0.8</v>
      </c>
      <c r="Y5" s="34">
        <v>45.844999999999999</v>
      </c>
      <c r="Z5" s="44">
        <v>10.3</v>
      </c>
      <c r="AA5" s="4">
        <f>W5+Y5</f>
        <v>83.31</v>
      </c>
      <c r="AB5" s="34">
        <v>48.164999999999999</v>
      </c>
      <c r="AC5" s="39">
        <v>11</v>
      </c>
    </row>
    <row r="6" spans="1:29" x14ac:dyDescent="0.2">
      <c r="A6" s="1" t="str">
        <f t="shared" si="0"/>
        <v/>
      </c>
      <c r="B6" s="38" t="s">
        <v>276</v>
      </c>
      <c r="C6" s="38" t="s">
        <v>4</v>
      </c>
      <c r="E6" s="37">
        <v>2005</v>
      </c>
      <c r="F6" s="1" t="str">
        <f>IF('Qualifying Scores'!$B$1-E6&gt;21,"Not Age Eligible",IF('Qualifying Scores'!$B$1-E6&gt;16,"17-21",IF('Qualifying Scores'!$B$1-E6&gt;14,"15-16",IF('Qualifying Scores'!$B$1-E6&gt;12,"13-14",IF('Qualifying Scores'!$B$1-E6&gt;10,"11-12,""Not Age Eligible")))))</f>
        <v>13-14</v>
      </c>
      <c r="G6" s="56"/>
      <c r="H6" s="4">
        <f>SUM(N6:O6)</f>
        <v>130.69499999999999</v>
      </c>
      <c r="I6" s="3" t="str">
        <f>IF(MAX(T6-Q6,AA6-X6)&gt;=LOOKUP(F6,'Qualifying Scores'!$A$4:$A$7,'Qualifying Scores'!$B$4:$B$7),"P","")</f>
        <v/>
      </c>
      <c r="J6" s="3" t="str">
        <f>IF(MAX(S6,Z6)&gt;=LOOKUP(F6,'Qualifying Scores'!$A$10:$A$13,'Qualifying Scores'!$B$10:$B$13),"P","")</f>
        <v/>
      </c>
      <c r="K6" s="3" t="str">
        <f>IF(OR(AND(T6-Q6&gt;=LOOKUP(F6,'Qualifying Scores'!$A$4:$A$7,'Qualifying Scores'!$B$4:$B$7),S6&gt;=LOOKUP(F6,'Qualifying Scores'!$A$10:$A$13,'Qualifying Scores'!$B$10:$B$13)),AND(AA6-X6&gt;=LOOKUP(F6,'Qualifying Scores'!$A$4:$A$7,'Qualifying Scores'!$B$4:$B$7),Z6&gt;=LOOKUP(F6,'Qualifying Scores'!$A$10:$A$13,'Qualifying Scores'!$B$10:$B$13))),"P","")</f>
        <v/>
      </c>
      <c r="N6" s="4">
        <f>MAX(T6,AA6)</f>
        <v>82.49</v>
      </c>
      <c r="O6" s="4">
        <f>IF(N6=T6,MAX(U6,Y6,AB6),MAX(R6,U6,AB6))</f>
        <v>48.204999999999998</v>
      </c>
      <c r="P6" s="33"/>
      <c r="Q6" s="44"/>
      <c r="R6" s="34"/>
      <c r="S6" s="44"/>
      <c r="T6" s="4">
        <f>P6+R6</f>
        <v>0</v>
      </c>
      <c r="U6" s="34"/>
      <c r="V6" s="44"/>
      <c r="W6" s="33">
        <v>41.37</v>
      </c>
      <c r="X6" s="44">
        <v>2</v>
      </c>
      <c r="Y6" s="34">
        <v>41.12</v>
      </c>
      <c r="Z6" s="44">
        <v>7.9</v>
      </c>
      <c r="AA6" s="4">
        <f>W6+Y6</f>
        <v>82.49</v>
      </c>
      <c r="AB6" s="34">
        <v>48.204999999999998</v>
      </c>
      <c r="AC6" s="39">
        <v>9.9</v>
      </c>
    </row>
    <row r="7" spans="1:29" x14ac:dyDescent="0.2">
      <c r="A7" s="1">
        <f t="shared" si="0"/>
        <v>1</v>
      </c>
      <c r="B7" s="38" t="s">
        <v>188</v>
      </c>
      <c r="C7" s="38" t="s">
        <v>6</v>
      </c>
      <c r="D7" s="38" t="s">
        <v>25</v>
      </c>
      <c r="E7" s="37">
        <v>2003</v>
      </c>
      <c r="F7" s="1" t="str">
        <f>IF('Qualifying Scores'!$B$1-E7&gt;21,"Not Age Eligible",IF('Qualifying Scores'!$B$1-E7&gt;16,"17-21",IF('Qualifying Scores'!$B$1-E7&gt;14,"15-16",IF('Qualifying Scores'!$B$1-E7&gt;12,"13-14",IF('Qualifying Scores'!$B$1-E7&gt;10,"11-12,""Not Age Eligible")))))</f>
        <v>15-16</v>
      </c>
      <c r="G7" s="56" t="s">
        <v>305</v>
      </c>
      <c r="H7" s="4">
        <f>SUM(N7:O7)</f>
        <v>152.11500000000001</v>
      </c>
      <c r="I7" s="3" t="str">
        <f>IF(MAX(T7-Q7,AA7-X7)&gt;=LOOKUP(F7,'Qualifying Scores'!$A$4:$A$7,'Qualifying Scores'!$B$4:$B$7),"P","")</f>
        <v>P</v>
      </c>
      <c r="J7" s="3" t="str">
        <f>IF(MAX(S7,Z7)&gt;=LOOKUP(F7,'Qualifying Scores'!$A$10:$A$13,'Qualifying Scores'!$B$10:$B$13),"P","")</f>
        <v>P</v>
      </c>
      <c r="K7" s="3" t="str">
        <f>IF(OR(AND(T7-Q7&gt;=LOOKUP(F7,'Qualifying Scores'!$A$4:$A$7,'Qualifying Scores'!$B$4:$B$7),S7&gt;=LOOKUP(F7,'Qualifying Scores'!$A$10:$A$13,'Qualifying Scores'!$B$10:$B$13)),AND(AA7-X7&gt;=LOOKUP(F7,'Qualifying Scores'!$A$4:$A$7,'Qualifying Scores'!$B$4:$B$7),Z7&gt;=LOOKUP(F7,'Qualifying Scores'!$A$10:$A$13,'Qualifying Scores'!$B$10:$B$13))),"P","")</f>
        <v>P</v>
      </c>
      <c r="L7" s="42">
        <v>2</v>
      </c>
      <c r="N7" s="4">
        <f>MAX(T7,AA7)</f>
        <v>99.2</v>
      </c>
      <c r="O7" s="4">
        <f>IF(N7=T7,MAX(U7,Y7,AB7),MAX(R7,U7,AB7))</f>
        <v>52.914999999999999</v>
      </c>
      <c r="P7" s="33">
        <v>46.32</v>
      </c>
      <c r="Q7" s="44">
        <v>4.5999999999999996</v>
      </c>
      <c r="R7" s="34">
        <v>52.88</v>
      </c>
      <c r="S7" s="44">
        <v>14.3</v>
      </c>
      <c r="T7" s="4">
        <f>P7+R7</f>
        <v>99.2</v>
      </c>
      <c r="U7" s="34">
        <v>52.914999999999999</v>
      </c>
      <c r="V7" s="45">
        <v>13.5</v>
      </c>
      <c r="W7" s="33">
        <v>45.704999999999998</v>
      </c>
      <c r="X7" s="44">
        <v>4.8</v>
      </c>
      <c r="Y7" s="34">
        <v>32.924999999999997</v>
      </c>
      <c r="Z7" s="44">
        <v>8.9</v>
      </c>
      <c r="AA7" s="4">
        <f>W7+Y7</f>
        <v>78.63</v>
      </c>
      <c r="AB7" s="34"/>
      <c r="AC7" s="39"/>
    </row>
    <row r="8" spans="1:29" x14ac:dyDescent="0.2">
      <c r="A8" s="1">
        <f t="shared" si="0"/>
        <v>2</v>
      </c>
      <c r="B8" s="38" t="s">
        <v>168</v>
      </c>
      <c r="C8" s="38" t="s">
        <v>4</v>
      </c>
      <c r="D8" s="38" t="s">
        <v>140</v>
      </c>
      <c r="E8" s="37">
        <v>2003</v>
      </c>
      <c r="F8" s="1" t="str">
        <f>IF('Qualifying Scores'!$B$1-E8&gt;21,"Not Age Eligible",IF('Qualifying Scores'!$B$1-E8&gt;16,"17-21",IF('Qualifying Scores'!$B$1-E8&gt;14,"15-16",IF('Qualifying Scores'!$B$1-E8&gt;12,"13-14",IF('Qualifying Scores'!$B$1-E8&gt;10,"11-12,""Not Age Eligible")))))</f>
        <v>15-16</v>
      </c>
      <c r="G8" s="56" t="s">
        <v>305</v>
      </c>
      <c r="H8" s="4">
        <f>SUM(N8:O8)</f>
        <v>149.97499999999999</v>
      </c>
      <c r="I8" s="3" t="str">
        <f>IF(MAX(T8-Q8,AA8-X8)&gt;=LOOKUP(F8,'Qualifying Scores'!$A$4:$A$7,'Qualifying Scores'!$B$4:$B$7),"P","")</f>
        <v>P</v>
      </c>
      <c r="J8" s="3" t="str">
        <f>IF(MAX(S8,Z8)&gt;=LOOKUP(F8,'Qualifying Scores'!$A$10:$A$13,'Qualifying Scores'!$B$10:$B$13),"P","")</f>
        <v>P</v>
      </c>
      <c r="K8" s="3" t="str">
        <f>IF(OR(AND(T8-Q8&gt;=LOOKUP(F8,'Qualifying Scores'!$A$4:$A$7,'Qualifying Scores'!$B$4:$B$7),S8&gt;=LOOKUP(F8,'Qualifying Scores'!$A$10:$A$13,'Qualifying Scores'!$B$10:$B$13)),AND(AA8-X8&gt;=LOOKUP(F8,'Qualifying Scores'!$A$4:$A$7,'Qualifying Scores'!$B$4:$B$7),Z8&gt;=LOOKUP(F8,'Qualifying Scores'!$A$10:$A$13,'Qualifying Scores'!$B$10:$B$13))),"P","")</f>
        <v>P</v>
      </c>
      <c r="L8" s="42">
        <v>3</v>
      </c>
      <c r="N8" s="4">
        <f>MAX(T8,AA8)</f>
        <v>98.37</v>
      </c>
      <c r="O8" s="4">
        <f>IF(N8=T8,MAX(U8,Y8,AB8),MAX(R8,U8,AB8))</f>
        <v>51.604999999999997</v>
      </c>
      <c r="P8" s="33">
        <v>46.494999999999997</v>
      </c>
      <c r="Q8" s="45">
        <v>3.9</v>
      </c>
      <c r="R8" s="47">
        <v>51.875</v>
      </c>
      <c r="S8" s="45">
        <v>13.8</v>
      </c>
      <c r="T8" s="4">
        <f>P8+R8</f>
        <v>98.37</v>
      </c>
      <c r="U8" s="47">
        <v>51.505000000000003</v>
      </c>
      <c r="V8" s="45">
        <v>13.8</v>
      </c>
      <c r="W8" s="33">
        <v>46.435000000000002</v>
      </c>
      <c r="X8" s="44">
        <v>3.9</v>
      </c>
      <c r="Y8" s="34">
        <v>51.604999999999997</v>
      </c>
      <c r="Z8" s="44">
        <v>13.8</v>
      </c>
      <c r="AA8" s="4">
        <f>W8+Y8</f>
        <v>98.039999999999992</v>
      </c>
      <c r="AB8" s="34">
        <v>21.215</v>
      </c>
      <c r="AC8" s="39">
        <v>6.1</v>
      </c>
    </row>
    <row r="9" spans="1:29" x14ac:dyDescent="0.2">
      <c r="A9" s="1">
        <f t="shared" si="0"/>
        <v>3</v>
      </c>
      <c r="B9" s="38" t="s">
        <v>191</v>
      </c>
      <c r="C9" s="38" t="s">
        <v>4</v>
      </c>
      <c r="D9" s="38" t="s">
        <v>73</v>
      </c>
      <c r="E9" s="37">
        <v>2003</v>
      </c>
      <c r="F9" s="1" t="str">
        <f>IF('Qualifying Scores'!$B$1-E9&gt;21,"Not Age Eligible",IF('Qualifying Scores'!$B$1-E9&gt;16,"17-21",IF('Qualifying Scores'!$B$1-E9&gt;14,"15-16",IF('Qualifying Scores'!$B$1-E9&gt;12,"13-14",IF('Qualifying Scores'!$B$1-E9&gt;10,"11-12,""Not Age Eligible")))))</f>
        <v>15-16</v>
      </c>
      <c r="G9" s="56" t="s">
        <v>305</v>
      </c>
      <c r="H9" s="4">
        <f>SUM(N9:O9)</f>
        <v>150.565</v>
      </c>
      <c r="I9" s="3" t="str">
        <f>IF(MAX(T9-Q9,AA9-X9)&gt;=LOOKUP(F9,'Qualifying Scores'!$A$4:$A$7,'Qualifying Scores'!$B$4:$B$7),"P","")</f>
        <v>P</v>
      </c>
      <c r="J9" s="3" t="str">
        <f>IF(MAX(S9,Z9)&gt;=LOOKUP(F9,'Qualifying Scores'!$A$10:$A$13,'Qualifying Scores'!$B$10:$B$13),"P","")</f>
        <v>P</v>
      </c>
      <c r="K9" s="3" t="str">
        <f>IF(OR(AND(T9-Q9&gt;=LOOKUP(F9,'Qualifying Scores'!$A$4:$A$7,'Qualifying Scores'!$B$4:$B$7),S9&gt;=LOOKUP(F9,'Qualifying Scores'!$A$10:$A$13,'Qualifying Scores'!$B$10:$B$13)),AND(AA9-X9&gt;=LOOKUP(F9,'Qualifying Scores'!$A$4:$A$7,'Qualifying Scores'!$B$4:$B$7),Z9&gt;=LOOKUP(F9,'Qualifying Scores'!$A$10:$A$13,'Qualifying Scores'!$B$10:$B$13))),"P","")</f>
        <v>P</v>
      </c>
      <c r="N9" s="4">
        <f>MAX(T9,AA9)</f>
        <v>97.740000000000009</v>
      </c>
      <c r="O9" s="4">
        <f>IF(N9=T9,MAX(U9,Y9,AB9),MAX(R9,U9,AB9))</f>
        <v>52.825000000000003</v>
      </c>
      <c r="P9" s="33">
        <v>44.4</v>
      </c>
      <c r="Q9" s="44">
        <v>4.8</v>
      </c>
      <c r="R9" s="34">
        <v>45.57</v>
      </c>
      <c r="S9" s="44">
        <v>12.7</v>
      </c>
      <c r="T9" s="4">
        <f>P9+R9</f>
        <v>89.97</v>
      </c>
      <c r="U9" s="34">
        <v>5.63</v>
      </c>
      <c r="V9" s="44">
        <v>1.7</v>
      </c>
      <c r="W9" s="33">
        <v>46.39</v>
      </c>
      <c r="X9" s="44">
        <v>3.9</v>
      </c>
      <c r="Y9" s="34">
        <v>51.35</v>
      </c>
      <c r="Z9" s="44">
        <v>13.5</v>
      </c>
      <c r="AA9" s="4">
        <f>W9+Y9</f>
        <v>97.740000000000009</v>
      </c>
      <c r="AB9" s="34">
        <v>52.825000000000003</v>
      </c>
      <c r="AC9" s="39">
        <v>13.7</v>
      </c>
    </row>
    <row r="10" spans="1:29" x14ac:dyDescent="0.2">
      <c r="A10" s="1" t="str">
        <f t="shared" si="0"/>
        <v/>
      </c>
      <c r="B10" s="38" t="s">
        <v>173</v>
      </c>
      <c r="C10" s="38" t="s">
        <v>12</v>
      </c>
      <c r="D10" s="38" t="s">
        <v>15</v>
      </c>
      <c r="E10" s="37">
        <v>2003</v>
      </c>
      <c r="F10" s="1" t="str">
        <f>IF('Qualifying Scores'!$B$1-E10&gt;21,"Not Age Eligible",IF('Qualifying Scores'!$B$1-E10&gt;16,"17-21",IF('Qualifying Scores'!$B$1-E10&gt;14,"15-16",IF('Qualifying Scores'!$B$1-E10&gt;12,"13-14",IF('Qualifying Scores'!$B$1-E10&gt;10,"11-12,""Not Age Eligible")))))</f>
        <v>15-16</v>
      </c>
      <c r="G10" s="56"/>
      <c r="H10" s="4">
        <f>SUM(N10:O10)</f>
        <v>146.30500000000001</v>
      </c>
      <c r="I10" s="3" t="str">
        <f>IF(MAX(T10-Q10,AA10-X10)&gt;=LOOKUP(F10,'Qualifying Scores'!$A$4:$A$7,'Qualifying Scores'!$B$4:$B$7),"P","")</f>
        <v/>
      </c>
      <c r="J10" s="3" t="str">
        <f>IF(MAX(S10,Z10)&gt;=LOOKUP(F10,'Qualifying Scores'!$A$10:$A$13,'Qualifying Scores'!$B$10:$B$13),"P","")</f>
        <v/>
      </c>
      <c r="K10" s="3" t="str">
        <f>IF(OR(AND(T10-Q10&gt;=LOOKUP(F10,'Qualifying Scores'!$A$4:$A$7,'Qualifying Scores'!$B$4:$B$7),S10&gt;=LOOKUP(F10,'Qualifying Scores'!$A$10:$A$13,'Qualifying Scores'!$B$10:$B$13)),AND(AA10-X10&gt;=LOOKUP(F10,'Qualifying Scores'!$A$4:$A$7,'Qualifying Scores'!$B$4:$B$7),Z10&gt;=LOOKUP(F10,'Qualifying Scores'!$A$10:$A$13,'Qualifying Scores'!$B$10:$B$13))),"P","")</f>
        <v/>
      </c>
      <c r="N10" s="4">
        <f>MAX(T10,AA10)</f>
        <v>96.77000000000001</v>
      </c>
      <c r="O10" s="4">
        <f>IF(N10=T10,MAX(U10,Y10,AB10),MAX(R10,U10,AB10))</f>
        <v>49.534999999999997</v>
      </c>
      <c r="P10" s="33">
        <v>43.32</v>
      </c>
      <c r="Q10" s="45">
        <v>2.2000000000000002</v>
      </c>
      <c r="R10" s="47">
        <v>24.93</v>
      </c>
      <c r="S10" s="45">
        <v>6.3</v>
      </c>
      <c r="T10" s="4">
        <f>P10+R10</f>
        <v>68.25</v>
      </c>
      <c r="U10" s="47">
        <v>49.015000000000001</v>
      </c>
      <c r="V10" s="45">
        <v>10.4</v>
      </c>
      <c r="W10" s="33">
        <v>45.96</v>
      </c>
      <c r="X10" s="44">
        <v>3.4</v>
      </c>
      <c r="Y10" s="34">
        <v>50.81</v>
      </c>
      <c r="Z10" s="44">
        <v>11.2</v>
      </c>
      <c r="AA10" s="4">
        <f>W10+Y10</f>
        <v>96.77000000000001</v>
      </c>
      <c r="AB10" s="34">
        <v>49.534999999999997</v>
      </c>
      <c r="AC10" s="39">
        <v>11.2</v>
      </c>
    </row>
    <row r="11" spans="1:29" x14ac:dyDescent="0.2">
      <c r="A11" s="1" t="str">
        <f t="shared" si="0"/>
        <v/>
      </c>
      <c r="B11" s="38" t="s">
        <v>169</v>
      </c>
      <c r="C11" s="38" t="s">
        <v>12</v>
      </c>
      <c r="D11" s="38" t="s">
        <v>15</v>
      </c>
      <c r="E11" s="37">
        <v>2004</v>
      </c>
      <c r="F11" s="1" t="str">
        <f>IF('Qualifying Scores'!$B$1-E11&gt;21,"Not Age Eligible",IF('Qualifying Scores'!$B$1-E11&gt;16,"17-21",IF('Qualifying Scores'!$B$1-E11&gt;14,"15-16",IF('Qualifying Scores'!$B$1-E11&gt;12,"13-14",IF('Qualifying Scores'!$B$1-E11&gt;10,"11-12,""Not Age Eligible")))))</f>
        <v>15-16</v>
      </c>
      <c r="G11" s="56"/>
      <c r="H11" s="4">
        <f>SUM(N11:O11)</f>
        <v>144.65</v>
      </c>
      <c r="I11" s="3" t="str">
        <f>IF(MAX(T11-Q11,AA11-X11)&gt;=LOOKUP(F11,'Qualifying Scores'!$A$4:$A$7,'Qualifying Scores'!$B$4:$B$7),"P","")</f>
        <v/>
      </c>
      <c r="J11" s="3" t="str">
        <f>IF(MAX(S11,Z11)&gt;=LOOKUP(F11,'Qualifying Scores'!$A$10:$A$13,'Qualifying Scores'!$B$10:$B$13),"P","")</f>
        <v/>
      </c>
      <c r="K11" s="3" t="str">
        <f>IF(OR(AND(T11-Q11&gt;=LOOKUP(F11,'Qualifying Scores'!$A$4:$A$7,'Qualifying Scores'!$B$4:$B$7),S11&gt;=LOOKUP(F11,'Qualifying Scores'!$A$10:$A$13,'Qualifying Scores'!$B$10:$B$13)),AND(AA11-X11&gt;=LOOKUP(F11,'Qualifying Scores'!$A$4:$A$7,'Qualifying Scores'!$B$4:$B$7),Z11&gt;=LOOKUP(F11,'Qualifying Scores'!$A$10:$A$13,'Qualifying Scores'!$B$10:$B$13))),"P","")</f>
        <v/>
      </c>
      <c r="N11" s="4">
        <f>MAX(T11,AA11)</f>
        <v>94.03</v>
      </c>
      <c r="O11" s="4">
        <f>IF(N11=T11,MAX(U11,Y11,AB11),MAX(R11,U11,AB11))</f>
        <v>50.62</v>
      </c>
      <c r="P11" s="33">
        <v>43.46</v>
      </c>
      <c r="Q11" s="45">
        <v>2.2000000000000002</v>
      </c>
      <c r="R11" s="47">
        <v>50.57</v>
      </c>
      <c r="S11" s="45">
        <v>11.2</v>
      </c>
      <c r="T11" s="4">
        <f>P11+R11</f>
        <v>94.03</v>
      </c>
      <c r="U11" s="47">
        <v>50.62</v>
      </c>
      <c r="V11" s="45">
        <v>11.4</v>
      </c>
      <c r="W11" s="33">
        <v>40.99</v>
      </c>
      <c r="X11" s="44">
        <v>3.4</v>
      </c>
      <c r="Y11" s="34">
        <v>43.53</v>
      </c>
      <c r="Z11" s="44">
        <v>9.3000000000000007</v>
      </c>
      <c r="AA11" s="4">
        <f>W11+Y11</f>
        <v>84.52000000000001</v>
      </c>
      <c r="AB11" s="34">
        <v>5.46</v>
      </c>
      <c r="AC11" s="39">
        <v>1.5</v>
      </c>
    </row>
    <row r="12" spans="1:29" x14ac:dyDescent="0.2">
      <c r="A12" s="1" t="str">
        <f t="shared" si="0"/>
        <v/>
      </c>
      <c r="B12" s="38" t="s">
        <v>189</v>
      </c>
      <c r="C12" s="38" t="s">
        <v>6</v>
      </c>
      <c r="D12" s="38" t="s">
        <v>75</v>
      </c>
      <c r="E12" s="37">
        <v>2003</v>
      </c>
      <c r="F12" s="1" t="str">
        <f>IF('Qualifying Scores'!$B$1-E12&gt;21,"Not Age Eligible",IF('Qualifying Scores'!$B$1-E12&gt;16,"17-21",IF('Qualifying Scores'!$B$1-E12&gt;14,"15-16",IF('Qualifying Scores'!$B$1-E12&gt;12,"13-14",IF('Qualifying Scores'!$B$1-E12&gt;10,"11-12,""Not Age Eligible")))))</f>
        <v>15-16</v>
      </c>
      <c r="G12" s="56"/>
      <c r="H12" s="4">
        <f>SUM(N12:O12)</f>
        <v>143.97499999999999</v>
      </c>
      <c r="I12" s="3" t="str">
        <f>IF(MAX(T12-Q12,AA12-X12)&gt;=LOOKUP(F12,'Qualifying Scores'!$A$4:$A$7,'Qualifying Scores'!$B$4:$B$7),"P","")</f>
        <v/>
      </c>
      <c r="J12" s="3" t="str">
        <f>IF(MAX(S12,Z12)&gt;=LOOKUP(F12,'Qualifying Scores'!$A$10:$A$13,'Qualifying Scores'!$B$10:$B$13),"P","")</f>
        <v>P</v>
      </c>
      <c r="K12" s="3" t="str">
        <f>IF(OR(AND(T12-Q12&gt;=LOOKUP(F12,'Qualifying Scores'!$A$4:$A$7,'Qualifying Scores'!$B$4:$B$7),S12&gt;=LOOKUP(F12,'Qualifying Scores'!$A$10:$A$13,'Qualifying Scores'!$B$10:$B$13)),AND(AA12-X12&gt;=LOOKUP(F12,'Qualifying Scores'!$A$4:$A$7,'Qualifying Scores'!$B$4:$B$7),Z12&gt;=LOOKUP(F12,'Qualifying Scores'!$A$10:$A$13,'Qualifying Scores'!$B$10:$B$13))),"P","")</f>
        <v/>
      </c>
      <c r="N12" s="4">
        <f>MAX(T12,AA12)</f>
        <v>92.87</v>
      </c>
      <c r="O12" s="4">
        <f>IF(N12=T12,MAX(U12,Y12,AB12),MAX(R12,U12,AB12))</f>
        <v>51.104999999999997</v>
      </c>
      <c r="P12" s="33">
        <v>42.795000000000002</v>
      </c>
      <c r="Q12" s="44">
        <v>2.9</v>
      </c>
      <c r="R12" s="34">
        <v>50.075000000000003</v>
      </c>
      <c r="S12" s="44">
        <v>12.9</v>
      </c>
      <c r="T12" s="4">
        <f>P12+R12</f>
        <v>92.87</v>
      </c>
      <c r="U12" s="34">
        <v>51.104999999999997</v>
      </c>
      <c r="V12" s="44">
        <v>11.4</v>
      </c>
      <c r="W12" s="33">
        <v>41.61</v>
      </c>
      <c r="X12" s="44">
        <v>2.7</v>
      </c>
      <c r="Y12" s="34">
        <v>49.59</v>
      </c>
      <c r="Z12" s="44">
        <v>11.4</v>
      </c>
      <c r="AA12" s="4">
        <f>W12+Y12</f>
        <v>91.2</v>
      </c>
      <c r="AB12" s="34">
        <v>49.994999999999997</v>
      </c>
      <c r="AC12" s="39">
        <v>11.2</v>
      </c>
    </row>
    <row r="13" spans="1:29" x14ac:dyDescent="0.2">
      <c r="A13" s="1" t="str">
        <f t="shared" si="0"/>
        <v/>
      </c>
      <c r="B13" s="38" t="s">
        <v>274</v>
      </c>
      <c r="C13" s="38" t="s">
        <v>12</v>
      </c>
      <c r="E13" s="37">
        <v>2003</v>
      </c>
      <c r="F13" s="1" t="str">
        <f>IF('Qualifying Scores'!$B$1-E13&gt;21,"Not Age Eligible",IF('Qualifying Scores'!$B$1-E13&gt;16,"17-21",IF('Qualifying Scores'!$B$1-E13&gt;14,"15-16",IF('Qualifying Scores'!$B$1-E13&gt;12,"13-14",IF('Qualifying Scores'!$B$1-E13&gt;10,"11-12,""Not Age Eligible")))))</f>
        <v>15-16</v>
      </c>
      <c r="G13" s="56"/>
      <c r="H13" s="4">
        <f>SUM(N13:O13)</f>
        <v>141.75</v>
      </c>
      <c r="I13" s="3" t="str">
        <f>IF(MAX(T13-Q13,AA13-X13)&gt;=LOOKUP(F13,'Qualifying Scores'!$A$4:$A$7,'Qualifying Scores'!$B$4:$B$7),"P","")</f>
        <v/>
      </c>
      <c r="J13" s="3" t="str">
        <f>IF(MAX(S13,Z13)&gt;=LOOKUP(F13,'Qualifying Scores'!$A$10:$A$13,'Qualifying Scores'!$B$10:$B$13),"P","")</f>
        <v/>
      </c>
      <c r="K13" s="3" t="str">
        <f>IF(OR(AND(T13-Q13&gt;=LOOKUP(F13,'Qualifying Scores'!$A$4:$A$7,'Qualifying Scores'!$B$4:$B$7),S13&gt;=LOOKUP(F13,'Qualifying Scores'!$A$10:$A$13,'Qualifying Scores'!$B$10:$B$13)),AND(AA13-X13&gt;=LOOKUP(F13,'Qualifying Scores'!$A$4:$A$7,'Qualifying Scores'!$B$4:$B$7),Z13&gt;=LOOKUP(F13,'Qualifying Scores'!$A$10:$A$13,'Qualifying Scores'!$B$10:$B$13))),"P","")</f>
        <v/>
      </c>
      <c r="N13" s="4">
        <f>MAX(T13,AA13)</f>
        <v>91.515000000000001</v>
      </c>
      <c r="O13" s="4">
        <f>IF(N13=T13,MAX(U13,Y13,AB13),MAX(R13,U13,AB13))</f>
        <v>50.234999999999999</v>
      </c>
      <c r="P13" s="33">
        <v>43.21</v>
      </c>
      <c r="Q13" s="44">
        <v>1.8</v>
      </c>
      <c r="R13" s="34">
        <v>48.305</v>
      </c>
      <c r="S13" s="44">
        <v>9.6999999999999993</v>
      </c>
      <c r="T13" s="4">
        <f>P13+R13</f>
        <v>91.515000000000001</v>
      </c>
      <c r="U13" s="34">
        <v>50.234999999999999</v>
      </c>
      <c r="V13" s="44">
        <v>9.6999999999999993</v>
      </c>
      <c r="W13" s="33">
        <v>43.21</v>
      </c>
      <c r="X13" s="44">
        <v>1.8</v>
      </c>
      <c r="Y13" s="34">
        <v>48.305</v>
      </c>
      <c r="Z13" s="44">
        <v>9.6999999999999993</v>
      </c>
      <c r="AA13" s="4">
        <f>W13+Y13</f>
        <v>91.515000000000001</v>
      </c>
      <c r="AB13" s="34">
        <v>50.234999999999999</v>
      </c>
      <c r="AC13" s="39">
        <v>9.6999999999999993</v>
      </c>
    </row>
    <row r="14" spans="1:29" x14ac:dyDescent="0.2">
      <c r="A14" s="1" t="str">
        <f t="shared" si="0"/>
        <v/>
      </c>
      <c r="B14" s="38" t="s">
        <v>190</v>
      </c>
      <c r="C14" s="38" t="s">
        <v>8</v>
      </c>
      <c r="D14" s="38" t="s">
        <v>110</v>
      </c>
      <c r="E14" s="37">
        <v>2004</v>
      </c>
      <c r="F14" s="1" t="str">
        <f>IF('Qualifying Scores'!$B$1-E14&gt;21,"Not Age Eligible",IF('Qualifying Scores'!$B$1-E14&gt;16,"17-21",IF('Qualifying Scores'!$B$1-E14&gt;14,"15-16",IF('Qualifying Scores'!$B$1-E14&gt;12,"13-14",IF('Qualifying Scores'!$B$1-E14&gt;10,"11-12,""Not Age Eligible")))))</f>
        <v>15-16</v>
      </c>
      <c r="G14" s="56"/>
      <c r="H14" s="4">
        <f>SUM(N14:O14)</f>
        <v>107.31</v>
      </c>
      <c r="I14" s="3" t="str">
        <f>IF(MAX(T14-Q14,AA14-X14)&gt;=LOOKUP(F14,'Qualifying Scores'!$A$4:$A$7,'Qualifying Scores'!$B$4:$B$7),"P","")</f>
        <v>P</v>
      </c>
      <c r="J14" s="3" t="str">
        <f>IF(MAX(S14,Z14)&gt;=LOOKUP(F14,'Qualifying Scores'!$A$10:$A$13,'Qualifying Scores'!$B$10:$B$13),"P","")</f>
        <v/>
      </c>
      <c r="K14" s="3" t="str">
        <f>IF(OR(AND(T14-Q14&gt;=LOOKUP(F14,'Qualifying Scores'!$A$4:$A$7,'Qualifying Scores'!$B$4:$B$7),S14&gt;=LOOKUP(F14,'Qualifying Scores'!$A$10:$A$13,'Qualifying Scores'!$B$10:$B$13)),AND(AA14-X14&gt;=LOOKUP(F14,'Qualifying Scores'!$A$4:$A$7,'Qualifying Scores'!$B$4:$B$7),Z14&gt;=LOOKUP(F14,'Qualifying Scores'!$A$10:$A$13,'Qualifying Scores'!$B$10:$B$13))),"P","")</f>
        <v/>
      </c>
      <c r="N14" s="4">
        <f>MAX(T14,AA14)</f>
        <v>96.79</v>
      </c>
      <c r="O14" s="4">
        <f>IF(N14=T14,MAX(U14,Y14,AB14),MAX(R14,U14,AB14))</f>
        <v>10.52</v>
      </c>
      <c r="P14" s="33">
        <v>45.395000000000003</v>
      </c>
      <c r="Q14" s="44">
        <v>2.1</v>
      </c>
      <c r="R14" s="34">
        <v>51.395000000000003</v>
      </c>
      <c r="S14" s="44">
        <v>12.4</v>
      </c>
      <c r="T14" s="4">
        <f>P14+R14</f>
        <v>96.79</v>
      </c>
      <c r="U14" s="34">
        <v>10.52</v>
      </c>
      <c r="V14" s="44">
        <v>2.7</v>
      </c>
      <c r="W14" s="33"/>
      <c r="X14" s="44"/>
      <c r="Y14" s="34"/>
      <c r="Z14" s="44"/>
      <c r="AA14" s="4">
        <f>W14+Y14</f>
        <v>0</v>
      </c>
      <c r="AB14" s="34"/>
      <c r="AC14" s="39"/>
    </row>
    <row r="15" spans="1:29" x14ac:dyDescent="0.2">
      <c r="A15" s="1">
        <f t="shared" si="0"/>
        <v>1</v>
      </c>
      <c r="B15" s="38" t="s">
        <v>202</v>
      </c>
      <c r="C15" s="38" t="s">
        <v>12</v>
      </c>
      <c r="D15" s="38" t="s">
        <v>71</v>
      </c>
      <c r="E15" s="37">
        <v>1999</v>
      </c>
      <c r="F15" s="1" t="str">
        <f>IF('Qualifying Scores'!$B$1-E15&gt;21,"Not Age Eligible",IF('Qualifying Scores'!$B$1-E15&gt;16,"17-21",IF('Qualifying Scores'!$B$1-E15&gt;14,"15-16",IF('Qualifying Scores'!$B$1-E15&gt;12,"13-14",IF('Qualifying Scores'!$B$1-E15&gt;10,"11-12,""Not Age Eligible")))))</f>
        <v>17-21</v>
      </c>
      <c r="G15" s="56"/>
      <c r="H15" s="4">
        <f>SUM(N15:O15)</f>
        <v>161.33500000000001</v>
      </c>
      <c r="I15" s="3" t="str">
        <f>IF(MAX(T15-Q15,AA15-X15)&gt;=LOOKUP(F15,'Qualifying Scores'!$A$4:$A$7,'Qualifying Scores'!$B$4:$B$7),"P","")</f>
        <v>P</v>
      </c>
      <c r="J15" s="3" t="str">
        <f>IF(MAX(S15,Z15)&gt;=LOOKUP(F15,'Qualifying Scores'!$A$10:$A$13,'Qualifying Scores'!$B$10:$B$13),"P","")</f>
        <v>P</v>
      </c>
      <c r="K15" s="3" t="str">
        <f>IF(OR(AND(T15-Q15&gt;=LOOKUP(F15,'Qualifying Scores'!$A$4:$A$7,'Qualifying Scores'!$B$4:$B$7),S15&gt;=LOOKUP(F15,'Qualifying Scores'!$A$10:$A$13,'Qualifying Scores'!$B$10:$B$13)),AND(AA15-X15&gt;=LOOKUP(F15,'Qualifying Scores'!$A$4:$A$7,'Qualifying Scores'!$B$4:$B$7),Z15&gt;=LOOKUP(F15,'Qualifying Scores'!$A$10:$A$13,'Qualifying Scores'!$B$10:$B$13))),"P","")</f>
        <v>P</v>
      </c>
      <c r="M15" s="42">
        <v>6</v>
      </c>
      <c r="N15" s="4">
        <f>MAX(T15,AA15)</f>
        <v>104.905</v>
      </c>
      <c r="O15" s="4">
        <f>IF(N15=T15,MAX(U15,Y15,AB15),MAX(R15,U15,AB15))</f>
        <v>56.43</v>
      </c>
      <c r="P15" s="33">
        <v>47.854999999999997</v>
      </c>
      <c r="Q15" s="44">
        <v>5.2</v>
      </c>
      <c r="R15" s="34">
        <v>10.75</v>
      </c>
      <c r="S15" s="44">
        <v>2.6</v>
      </c>
      <c r="T15" s="4">
        <f>P15+R15</f>
        <v>58.604999999999997</v>
      </c>
      <c r="U15" s="34"/>
      <c r="V15" s="44"/>
      <c r="W15" s="33">
        <v>49.375</v>
      </c>
      <c r="X15" s="44">
        <v>4.8</v>
      </c>
      <c r="Y15" s="34">
        <v>55.53</v>
      </c>
      <c r="Z15" s="44">
        <v>14.4</v>
      </c>
      <c r="AA15" s="4">
        <f>W15+Y15</f>
        <v>104.905</v>
      </c>
      <c r="AB15" s="34">
        <v>56.43</v>
      </c>
      <c r="AC15" s="39">
        <v>14.4</v>
      </c>
    </row>
    <row r="16" spans="1:29" x14ac:dyDescent="0.2">
      <c r="A16" s="1">
        <f t="shared" si="0"/>
        <v>2</v>
      </c>
      <c r="B16" s="38" t="s">
        <v>193</v>
      </c>
      <c r="C16" s="38" t="s">
        <v>8</v>
      </c>
      <c r="D16" s="38" t="s">
        <v>18</v>
      </c>
      <c r="E16" s="37">
        <v>1999</v>
      </c>
      <c r="F16" s="1" t="str">
        <f>IF('Qualifying Scores'!$B$1-E16&gt;21,"Not Age Eligible",IF('Qualifying Scores'!$B$1-E16&gt;16,"17-21",IF('Qualifying Scores'!$B$1-E16&gt;14,"15-16",IF('Qualifying Scores'!$B$1-E16&gt;12,"13-14",IF('Qualifying Scores'!$B$1-E16&gt;10,"11-12,""Not Age Eligible")))))</f>
        <v>17-21</v>
      </c>
      <c r="G16" s="56" t="s">
        <v>305</v>
      </c>
      <c r="H16" s="4">
        <f>SUM(N16:O16)</f>
        <v>157.75</v>
      </c>
      <c r="I16" s="3" t="str">
        <f>IF(MAX(T16-Q16,AA16-X16)&gt;=LOOKUP(F16,'Qualifying Scores'!$A$4:$A$7,'Qualifying Scores'!$B$4:$B$7),"P","")</f>
        <v>P</v>
      </c>
      <c r="J16" s="3" t="str">
        <f>IF(MAX(S16,Z16)&gt;=LOOKUP(F16,'Qualifying Scores'!$A$10:$A$13,'Qualifying Scores'!$B$10:$B$13),"P","")</f>
        <v>P</v>
      </c>
      <c r="K16" s="3" t="str">
        <f>IF(OR(AND(T16-Q16&gt;=LOOKUP(F16,'Qualifying Scores'!$A$4:$A$7,'Qualifying Scores'!$B$4:$B$7),S16&gt;=LOOKUP(F16,'Qualifying Scores'!$A$10:$A$13,'Qualifying Scores'!$B$10:$B$13)),AND(AA16-X16&gt;=LOOKUP(F16,'Qualifying Scores'!$A$4:$A$7,'Qualifying Scores'!$B$4:$B$7),Z16&gt;=LOOKUP(F16,'Qualifying Scores'!$A$10:$A$13,'Qualifying Scores'!$B$10:$B$13))),"P","")</f>
        <v>P</v>
      </c>
      <c r="M16" s="42">
        <v>7</v>
      </c>
      <c r="N16" s="4">
        <f>MAX(T16,AA16)</f>
        <v>103.315</v>
      </c>
      <c r="O16" s="4">
        <f>IF(N16=T16,MAX(U16,Y16,AB16),MAX(R16,U16,AB16))</f>
        <v>54.435000000000002</v>
      </c>
      <c r="P16" s="33">
        <v>48.33</v>
      </c>
      <c r="Q16" s="44">
        <v>5.4</v>
      </c>
      <c r="R16" s="34">
        <v>53.854999999999997</v>
      </c>
      <c r="S16" s="44">
        <v>14.6</v>
      </c>
      <c r="T16" s="4">
        <f>P16+R16</f>
        <v>102.185</v>
      </c>
      <c r="U16" s="34">
        <v>54.335000000000001</v>
      </c>
      <c r="V16" s="44">
        <v>14.8</v>
      </c>
      <c r="W16" s="33">
        <v>47.575000000000003</v>
      </c>
      <c r="X16" s="44">
        <v>5.4</v>
      </c>
      <c r="Y16" s="34">
        <v>55.74</v>
      </c>
      <c r="Z16" s="44">
        <v>15.2</v>
      </c>
      <c r="AA16" s="4">
        <f>W16+Y16</f>
        <v>103.315</v>
      </c>
      <c r="AB16" s="34">
        <v>54.435000000000002</v>
      </c>
      <c r="AC16" s="39">
        <v>14.8</v>
      </c>
    </row>
    <row r="17" spans="1:29" x14ac:dyDescent="0.2">
      <c r="A17" s="1">
        <f t="shared" si="0"/>
        <v>3</v>
      </c>
      <c r="B17" s="38" t="s">
        <v>192</v>
      </c>
      <c r="C17" s="38" t="s">
        <v>76</v>
      </c>
      <c r="D17" s="38" t="s">
        <v>77</v>
      </c>
      <c r="E17" s="37">
        <v>2001</v>
      </c>
      <c r="F17" s="1" t="str">
        <f>IF('Qualifying Scores'!$B$1-E17&gt;21,"Not Age Eligible",IF('Qualifying Scores'!$B$1-E17&gt;16,"17-21",IF('Qualifying Scores'!$B$1-E17&gt;14,"15-16",IF('Qualifying Scores'!$B$1-E17&gt;12,"13-14",IF('Qualifying Scores'!$B$1-E17&gt;10,"11-12,""Not Age Eligible")))))</f>
        <v>17-21</v>
      </c>
      <c r="G17" s="56" t="s">
        <v>305</v>
      </c>
      <c r="H17" s="4">
        <f>SUM(N17:O17)</f>
        <v>158.67000000000002</v>
      </c>
      <c r="I17" s="3" t="str">
        <f>IF(MAX(T17-Q17,AA17-X17)&gt;=LOOKUP(F17,'Qualifying Scores'!$A$4:$A$7,'Qualifying Scores'!$B$4:$B$7),"P","")</f>
        <v>P</v>
      </c>
      <c r="J17" s="3" t="str">
        <f>IF(MAX(S17,Z17)&gt;=LOOKUP(F17,'Qualifying Scores'!$A$10:$A$13,'Qualifying Scores'!$B$10:$B$13),"P","")</f>
        <v>P</v>
      </c>
      <c r="K17" s="3" t="str">
        <f>IF(OR(AND(T17-Q17&gt;=LOOKUP(F17,'Qualifying Scores'!$A$4:$A$7,'Qualifying Scores'!$B$4:$B$7),S17&gt;=LOOKUP(F17,'Qualifying Scores'!$A$10:$A$13,'Qualifying Scores'!$B$10:$B$13)),AND(AA17-X17&gt;=LOOKUP(F17,'Qualifying Scores'!$A$4:$A$7,'Qualifying Scores'!$B$4:$B$7),Z17&gt;=LOOKUP(F17,'Qualifying Scores'!$A$10:$A$13,'Qualifying Scores'!$B$10:$B$13))),"P","")</f>
        <v>P</v>
      </c>
      <c r="L17" s="42">
        <v>1</v>
      </c>
      <c r="N17" s="4">
        <f>MAX(T17,AA17)</f>
        <v>103.205</v>
      </c>
      <c r="O17" s="4">
        <f>IF(N17=T17,MAX(U17,Y17,AB17),MAX(R17,U17,AB17))</f>
        <v>55.465000000000003</v>
      </c>
      <c r="P17" s="33">
        <v>47.854999999999997</v>
      </c>
      <c r="Q17" s="44">
        <v>3.9</v>
      </c>
      <c r="R17" s="34">
        <v>54.9</v>
      </c>
      <c r="S17" s="44">
        <v>14.3</v>
      </c>
      <c r="T17" s="4">
        <f>P17+R17</f>
        <v>102.755</v>
      </c>
      <c r="U17" s="34">
        <v>53.78</v>
      </c>
      <c r="V17" s="44">
        <v>14.3</v>
      </c>
      <c r="W17" s="33">
        <v>48.08</v>
      </c>
      <c r="X17" s="44">
        <v>5.4</v>
      </c>
      <c r="Y17" s="34">
        <v>55.125</v>
      </c>
      <c r="Z17" s="44">
        <v>15</v>
      </c>
      <c r="AA17" s="4">
        <f>W17+Y17</f>
        <v>103.205</v>
      </c>
      <c r="AB17" s="34">
        <v>55.465000000000003</v>
      </c>
      <c r="AC17" s="39">
        <v>15.2</v>
      </c>
    </row>
    <row r="18" spans="1:29" x14ac:dyDescent="0.2">
      <c r="A18" s="1">
        <f t="shared" si="0"/>
        <v>4</v>
      </c>
      <c r="B18" s="38" t="s">
        <v>195</v>
      </c>
      <c r="C18" s="38" t="s">
        <v>6</v>
      </c>
      <c r="D18" s="38" t="s">
        <v>78</v>
      </c>
      <c r="E18" s="37">
        <v>2001</v>
      </c>
      <c r="F18" s="1" t="str">
        <f>IF('Qualifying Scores'!$B$1-E18&gt;21,"Not Age Eligible",IF('Qualifying Scores'!$B$1-E18&gt;16,"17-21",IF('Qualifying Scores'!$B$1-E18&gt;14,"15-16",IF('Qualifying Scores'!$B$1-E18&gt;12,"13-14",IF('Qualifying Scores'!$B$1-E18&gt;10,"11-12,""Not Age Eligible")))))</f>
        <v>17-21</v>
      </c>
      <c r="G18" s="56"/>
      <c r="H18" s="4">
        <f>SUM(N18:O18)</f>
        <v>151.60499999999999</v>
      </c>
      <c r="I18" s="3" t="str">
        <f>IF(MAX(T18-Q18,AA18-X18)&gt;=LOOKUP(F18,'Qualifying Scores'!$A$4:$A$7,'Qualifying Scores'!$B$4:$B$7),"P","")</f>
        <v/>
      </c>
      <c r="J18" s="3" t="str">
        <f>IF(MAX(S18,Z18)&gt;=LOOKUP(F18,'Qualifying Scores'!$A$10:$A$13,'Qualifying Scores'!$B$10:$B$13),"P","")</f>
        <v>P</v>
      </c>
      <c r="K18" s="3" t="str">
        <f>IF(OR(AND(T18-Q18&gt;=LOOKUP(F18,'Qualifying Scores'!$A$4:$A$7,'Qualifying Scores'!$B$4:$B$7),S18&gt;=LOOKUP(F18,'Qualifying Scores'!$A$10:$A$13,'Qualifying Scores'!$B$10:$B$13)),AND(AA18-X18&gt;=LOOKUP(F18,'Qualifying Scores'!$A$4:$A$7,'Qualifying Scores'!$B$4:$B$7),Z18&gt;=LOOKUP(F18,'Qualifying Scores'!$A$10:$A$13,'Qualifying Scores'!$B$10:$B$13))),"P","")</f>
        <v/>
      </c>
      <c r="L18" s="42">
        <v>4</v>
      </c>
      <c r="N18" s="4">
        <f>MAX(T18,AA18)</f>
        <v>99.444999999999993</v>
      </c>
      <c r="O18" s="4">
        <f>IF(N18=T18,MAX(U18,Y18,AB18),MAX(R18,U18,AB18))</f>
        <v>52.16</v>
      </c>
      <c r="P18" s="33">
        <v>45.37</v>
      </c>
      <c r="Q18" s="44">
        <v>5</v>
      </c>
      <c r="R18" s="34">
        <v>52.16</v>
      </c>
      <c r="S18" s="44">
        <v>13.5</v>
      </c>
      <c r="T18" s="4">
        <f>P18+R18</f>
        <v>97.53</v>
      </c>
      <c r="U18" s="34">
        <v>48.604999999999997</v>
      </c>
      <c r="V18" s="44">
        <v>11.9</v>
      </c>
      <c r="W18" s="33">
        <v>46.65</v>
      </c>
      <c r="X18" s="44">
        <v>5</v>
      </c>
      <c r="Y18" s="34">
        <v>52.795000000000002</v>
      </c>
      <c r="Z18" s="44">
        <v>13.5</v>
      </c>
      <c r="AA18" s="4">
        <f>W18+Y18</f>
        <v>99.444999999999993</v>
      </c>
      <c r="AB18" s="34">
        <v>26.945</v>
      </c>
      <c r="AC18" s="39">
        <v>6.9</v>
      </c>
    </row>
    <row r="19" spans="1:29" x14ac:dyDescent="0.2">
      <c r="A19" s="1" t="str">
        <f t="shared" si="0"/>
        <v/>
      </c>
      <c r="B19" s="38" t="s">
        <v>177</v>
      </c>
      <c r="C19" s="38" t="s">
        <v>99</v>
      </c>
      <c r="D19" s="38" t="s">
        <v>176</v>
      </c>
      <c r="E19" s="37">
        <v>2000</v>
      </c>
      <c r="F19" s="1" t="str">
        <f>IF('Qualifying Scores'!$B$1-E19&gt;21,"Not Age Eligible",IF('Qualifying Scores'!$B$1-E19&gt;16,"17-21",IF('Qualifying Scores'!$B$1-E19&gt;14,"15-16",IF('Qualifying Scores'!$B$1-E19&gt;12,"13-14",IF('Qualifying Scores'!$B$1-E19&gt;10,"11-12,""Not Age Eligible")))))</f>
        <v>17-21</v>
      </c>
      <c r="G19" s="56"/>
      <c r="H19" s="4">
        <f>SUM(N19:O19)</f>
        <v>153.11000000000001</v>
      </c>
      <c r="I19" s="3" t="str">
        <f>IF(MAX(T19-Q19,AA19-X19)&gt;=LOOKUP(F19,'Qualifying Scores'!$A$4:$A$7,'Qualifying Scores'!$B$4:$B$7),"P","")</f>
        <v/>
      </c>
      <c r="J19" s="3" t="str">
        <f>IF(MAX(S19,Z19)&gt;=LOOKUP(F19,'Qualifying Scores'!$A$10:$A$13,'Qualifying Scores'!$B$10:$B$13),"P","")</f>
        <v/>
      </c>
      <c r="K19" s="3" t="str">
        <f>IF(OR(AND(T19-Q19&gt;=LOOKUP(F19,'Qualifying Scores'!$A$4:$A$7,'Qualifying Scores'!$B$4:$B$7),S19&gt;=LOOKUP(F19,'Qualifying Scores'!$A$10:$A$13,'Qualifying Scores'!$B$10:$B$13)),AND(AA19-X19&gt;=LOOKUP(F19,'Qualifying Scores'!$A$4:$A$7,'Qualifying Scores'!$B$4:$B$7),Z19&gt;=LOOKUP(F19,'Qualifying Scores'!$A$10:$A$13,'Qualifying Scores'!$B$10:$B$13))),"P","")</f>
        <v/>
      </c>
      <c r="N19" s="4">
        <f>MAX(T19,AA19)</f>
        <v>100.18</v>
      </c>
      <c r="O19" s="4">
        <f>IF(N19=T19,MAX(U19,Y19,AB19),MAX(R19,U19,AB19))</f>
        <v>52.93</v>
      </c>
      <c r="P19" s="33">
        <v>46.46</v>
      </c>
      <c r="Q19" s="45">
        <v>3.2</v>
      </c>
      <c r="R19" s="47">
        <v>47.05</v>
      </c>
      <c r="S19" s="45">
        <v>10.4</v>
      </c>
      <c r="T19" s="4">
        <f>P19+R19</f>
        <v>93.509999999999991</v>
      </c>
      <c r="U19" s="47">
        <v>33.57</v>
      </c>
      <c r="V19" s="45">
        <v>8.5</v>
      </c>
      <c r="W19" s="33">
        <v>49.41</v>
      </c>
      <c r="X19" s="44">
        <v>5.4</v>
      </c>
      <c r="Y19" s="34">
        <v>50.77</v>
      </c>
      <c r="Z19" s="44">
        <v>11.7</v>
      </c>
      <c r="AA19" s="4">
        <f>W19+Y19</f>
        <v>100.18</v>
      </c>
      <c r="AB19" s="34">
        <v>52.93</v>
      </c>
      <c r="AC19" s="39">
        <v>14.4</v>
      </c>
    </row>
    <row r="20" spans="1:29" x14ac:dyDescent="0.2">
      <c r="A20" s="1" t="str">
        <f t="shared" si="0"/>
        <v/>
      </c>
      <c r="B20" s="38" t="s">
        <v>72</v>
      </c>
      <c r="C20" s="38" t="s">
        <v>4</v>
      </c>
      <c r="D20" s="38" t="s">
        <v>148</v>
      </c>
      <c r="E20" s="37">
        <v>2002</v>
      </c>
      <c r="F20" s="1" t="str">
        <f>IF('Qualifying Scores'!$B$1-E20&gt;21,"Not Age Eligible",IF('Qualifying Scores'!$B$1-E20&gt;16,"17-21",IF('Qualifying Scores'!$B$1-E20&gt;14,"15-16",IF('Qualifying Scores'!$B$1-E20&gt;12,"13-14",IF('Qualifying Scores'!$B$1-E20&gt;10,"11-12,""Not Age Eligible")))))</f>
        <v>17-21</v>
      </c>
      <c r="G20" s="56"/>
      <c r="H20" s="4">
        <f>SUM(N20:O20)</f>
        <v>151.62</v>
      </c>
      <c r="I20" s="3" t="str">
        <f>IF(MAX(T20-Q20,AA20-X20)&gt;=LOOKUP(F20,'Qualifying Scores'!$A$4:$A$7,'Qualifying Scores'!$B$4:$B$7),"P","")</f>
        <v/>
      </c>
      <c r="J20" s="3" t="str">
        <f>IF(MAX(S20,Z20)&gt;=LOOKUP(F20,'Qualifying Scores'!$A$10:$A$13,'Qualifying Scores'!$B$10:$B$13),"P","")</f>
        <v>P</v>
      </c>
      <c r="K20" s="3" t="str">
        <f>IF(OR(AND(T20-Q20&gt;=LOOKUP(F20,'Qualifying Scores'!$A$4:$A$7,'Qualifying Scores'!$B$4:$B$7),S20&gt;=LOOKUP(F20,'Qualifying Scores'!$A$10:$A$13,'Qualifying Scores'!$B$10:$B$13)),AND(AA20-X20&gt;=LOOKUP(F20,'Qualifying Scores'!$A$4:$A$7,'Qualifying Scores'!$B$4:$B$7),Z20&gt;=LOOKUP(F20,'Qualifying Scores'!$A$10:$A$13,'Qualifying Scores'!$B$10:$B$13))),"P","")</f>
        <v/>
      </c>
      <c r="N20" s="4">
        <f>MAX(T20,AA20)</f>
        <v>97.495000000000005</v>
      </c>
      <c r="O20" s="4">
        <f>IF(N20=T20,MAX(U20,Y20,AB20),MAX(R20,U20,AB20))</f>
        <v>54.125</v>
      </c>
      <c r="P20" s="33">
        <v>43.895000000000003</v>
      </c>
      <c r="Q20" s="44">
        <v>2.1</v>
      </c>
      <c r="R20" s="34">
        <v>53.6</v>
      </c>
      <c r="S20" s="44">
        <v>13.5</v>
      </c>
      <c r="T20" s="4">
        <f>P20+R20</f>
        <v>97.495000000000005</v>
      </c>
      <c r="U20" s="34">
        <v>54.125</v>
      </c>
      <c r="V20" s="44">
        <v>13.5</v>
      </c>
      <c r="W20" s="33">
        <v>43.79</v>
      </c>
      <c r="X20" s="44">
        <v>3.9</v>
      </c>
      <c r="Y20" s="34">
        <v>5.835</v>
      </c>
      <c r="Z20" s="44">
        <v>1.7</v>
      </c>
      <c r="AA20" s="4">
        <f>W20+Y20</f>
        <v>49.625</v>
      </c>
      <c r="AB20" s="34"/>
      <c r="AC20" s="39"/>
    </row>
    <row r="21" spans="1:29" x14ac:dyDescent="0.2">
      <c r="A21" s="1" t="str">
        <f t="shared" si="0"/>
        <v/>
      </c>
      <c r="B21" s="38" t="s">
        <v>194</v>
      </c>
      <c r="C21" s="38" t="s">
        <v>6</v>
      </c>
      <c r="D21" s="38" t="s">
        <v>85</v>
      </c>
      <c r="E21" s="37">
        <v>2001</v>
      </c>
      <c r="F21" s="1" t="str">
        <f>IF('Qualifying Scores'!$B$1-E21&gt;21,"Not Age Eligible",IF('Qualifying Scores'!$B$1-E21&gt;16,"17-21",IF('Qualifying Scores'!$B$1-E21&gt;14,"15-16",IF('Qualifying Scores'!$B$1-E21&gt;12,"13-14",IF('Qualifying Scores'!$B$1-E21&gt;10,"11-12,""Not Age Eligible")))))</f>
        <v>17-21</v>
      </c>
      <c r="G21" s="56"/>
      <c r="H21" s="4">
        <f>SUM(N21:O21)</f>
        <v>148.82</v>
      </c>
      <c r="I21" s="3" t="str">
        <f>IF(MAX(T21-Q21,AA21-X21)&gt;=LOOKUP(F21,'Qualifying Scores'!$A$4:$A$7,'Qualifying Scores'!$B$4:$B$7),"P","")</f>
        <v/>
      </c>
      <c r="J21" s="3" t="str">
        <f>IF(MAX(S21,Z21)&gt;=LOOKUP(F21,'Qualifying Scores'!$A$10:$A$13,'Qualifying Scores'!$B$10:$B$13),"P","")</f>
        <v>P</v>
      </c>
      <c r="K21" s="3" t="str">
        <f>IF(OR(AND(T21-Q21&gt;=LOOKUP(F21,'Qualifying Scores'!$A$4:$A$7,'Qualifying Scores'!$B$4:$B$7),S21&gt;=LOOKUP(F21,'Qualifying Scores'!$A$10:$A$13,'Qualifying Scores'!$B$10:$B$13)),AND(AA21-X21&gt;=LOOKUP(F21,'Qualifying Scores'!$A$4:$A$7,'Qualifying Scores'!$B$4:$B$7),Z21&gt;=LOOKUP(F21,'Qualifying Scores'!$A$10:$A$13,'Qualifying Scores'!$B$10:$B$13))),"P","")</f>
        <v/>
      </c>
      <c r="N21" s="4">
        <f>MAX(T21,AA21)</f>
        <v>97.14500000000001</v>
      </c>
      <c r="O21" s="4">
        <f>IF(N21=T21,MAX(U21,Y21,AB21),MAX(R21,U21,AB21))</f>
        <v>51.674999999999997</v>
      </c>
      <c r="P21" s="33">
        <v>46.655000000000001</v>
      </c>
      <c r="Q21" s="44">
        <v>4.3</v>
      </c>
      <c r="R21" s="34">
        <v>50.49</v>
      </c>
      <c r="S21" s="44">
        <v>13.6</v>
      </c>
      <c r="T21" s="4">
        <f>P21+R21</f>
        <v>97.14500000000001</v>
      </c>
      <c r="U21" s="34">
        <v>51.674999999999997</v>
      </c>
      <c r="V21" s="44">
        <v>11.7</v>
      </c>
      <c r="W21" s="33">
        <v>45.954999999999998</v>
      </c>
      <c r="X21" s="44">
        <v>4.0999999999999996</v>
      </c>
      <c r="Y21" s="34">
        <v>45.15</v>
      </c>
      <c r="Z21" s="44">
        <v>9.8000000000000007</v>
      </c>
      <c r="AA21" s="4">
        <f>W21+Y21</f>
        <v>91.10499999999999</v>
      </c>
      <c r="AB21" s="34">
        <v>11.045</v>
      </c>
      <c r="AC21" s="39">
        <v>3.1</v>
      </c>
    </row>
    <row r="22" spans="1:29" x14ac:dyDescent="0.2">
      <c r="A22" s="1" t="str">
        <f t="shared" si="0"/>
        <v/>
      </c>
      <c r="B22" s="38" t="s">
        <v>82</v>
      </c>
      <c r="C22" s="38" t="s">
        <v>8</v>
      </c>
      <c r="D22" s="38" t="s">
        <v>18</v>
      </c>
      <c r="E22" s="37">
        <v>2001</v>
      </c>
      <c r="F22" s="1" t="str">
        <f>IF('Qualifying Scores'!$B$1-E22&gt;21,"Not Age Eligible",IF('Qualifying Scores'!$B$1-E22&gt;16,"17-21",IF('Qualifying Scores'!$B$1-E22&gt;14,"15-16",IF('Qualifying Scores'!$B$1-E22&gt;12,"13-14",IF('Qualifying Scores'!$B$1-E22&gt;10,"11-12,""Not Age Eligible")))))</f>
        <v>17-21</v>
      </c>
      <c r="G22" s="56"/>
      <c r="H22" s="4">
        <f>SUM(N22:O22)</f>
        <v>147.62</v>
      </c>
      <c r="I22" s="3" t="str">
        <f>IF(MAX(T22-Q22,AA22-X22)&gt;=LOOKUP(F22,'Qualifying Scores'!$A$4:$A$7,'Qualifying Scores'!$B$4:$B$7),"P","")</f>
        <v/>
      </c>
      <c r="J22" s="3" t="str">
        <f>IF(MAX(S22,Z22)&gt;=LOOKUP(F22,'Qualifying Scores'!$A$10:$A$13,'Qualifying Scores'!$B$10:$B$13),"P","")</f>
        <v/>
      </c>
      <c r="K22" s="3" t="str">
        <f>IF(OR(AND(T22-Q22&gt;=LOOKUP(F22,'Qualifying Scores'!$A$4:$A$7,'Qualifying Scores'!$B$4:$B$7),S22&gt;=LOOKUP(F22,'Qualifying Scores'!$A$10:$A$13,'Qualifying Scores'!$B$10:$B$13)),AND(AA22-X22&gt;=LOOKUP(F22,'Qualifying Scores'!$A$4:$A$7,'Qualifying Scores'!$B$4:$B$7),Z22&gt;=LOOKUP(F22,'Qualifying Scores'!$A$10:$A$13,'Qualifying Scores'!$B$10:$B$13))),"P","")</f>
        <v/>
      </c>
      <c r="N22" s="4">
        <f>MAX(T22,AA22)</f>
        <v>95.46</v>
      </c>
      <c r="O22" s="4">
        <f>IF(N22=T22,MAX(U22,Y22,AB22),MAX(R22,U22,AB22))</f>
        <v>52.16</v>
      </c>
      <c r="P22" s="33">
        <v>43.66</v>
      </c>
      <c r="Q22" s="44">
        <v>3.5</v>
      </c>
      <c r="R22" s="34">
        <v>51.8</v>
      </c>
      <c r="S22" s="44">
        <v>12</v>
      </c>
      <c r="T22" s="4">
        <f>P22+R22</f>
        <v>95.46</v>
      </c>
      <c r="U22" s="34">
        <v>52.16</v>
      </c>
      <c r="V22" s="44">
        <v>12</v>
      </c>
      <c r="W22" s="33">
        <v>44.56</v>
      </c>
      <c r="X22" s="44">
        <v>3.5</v>
      </c>
      <c r="Y22" s="34">
        <v>10.185</v>
      </c>
      <c r="Z22" s="44">
        <v>2.7</v>
      </c>
      <c r="AA22" s="4">
        <f>W22+Y22</f>
        <v>54.745000000000005</v>
      </c>
      <c r="AB22" s="34"/>
      <c r="AC22" s="39"/>
    </row>
    <row r="23" spans="1:29" x14ac:dyDescent="0.2">
      <c r="A23" s="1" t="str">
        <f t="shared" si="0"/>
        <v/>
      </c>
      <c r="B23" s="38" t="s">
        <v>171</v>
      </c>
      <c r="C23" s="38" t="s">
        <v>6</v>
      </c>
      <c r="D23" s="38" t="s">
        <v>128</v>
      </c>
      <c r="E23" s="37">
        <v>2002</v>
      </c>
      <c r="F23" s="1" t="str">
        <f>IF('Qualifying Scores'!$B$1-E23&gt;21,"Not Age Eligible",IF('Qualifying Scores'!$B$1-E23&gt;16,"17-21",IF('Qualifying Scores'!$B$1-E23&gt;14,"15-16",IF('Qualifying Scores'!$B$1-E23&gt;12,"13-14",IF('Qualifying Scores'!$B$1-E23&gt;10,"11-12,""Not Age Eligible")))))</f>
        <v>17-21</v>
      </c>
      <c r="G23" s="56"/>
      <c r="H23" s="4">
        <f>SUM(N23:O23)</f>
        <v>145.19499999999999</v>
      </c>
      <c r="I23" s="3" t="str">
        <f>IF(MAX(T23-Q23,AA23-X23)&gt;=LOOKUP(F23,'Qualifying Scores'!$A$4:$A$7,'Qualifying Scores'!$B$4:$B$7),"P","")</f>
        <v/>
      </c>
      <c r="J23" s="3" t="str">
        <f>IF(MAX(S23,Z23)&gt;=LOOKUP(F23,'Qualifying Scores'!$A$10:$A$13,'Qualifying Scores'!$B$10:$B$13),"P","")</f>
        <v/>
      </c>
      <c r="K23" s="3" t="str">
        <f>IF(OR(AND(T23-Q23&gt;=LOOKUP(F23,'Qualifying Scores'!$A$4:$A$7,'Qualifying Scores'!$B$4:$B$7),S23&gt;=LOOKUP(F23,'Qualifying Scores'!$A$10:$A$13,'Qualifying Scores'!$B$10:$B$13)),AND(AA23-X23&gt;=LOOKUP(F23,'Qualifying Scores'!$A$4:$A$7,'Qualifying Scores'!$B$4:$B$7),Z23&gt;=LOOKUP(F23,'Qualifying Scores'!$A$10:$A$13,'Qualifying Scores'!$B$10:$B$13))),"P","")</f>
        <v/>
      </c>
      <c r="N23" s="4">
        <f>MAX(T23,AA23)</f>
        <v>93.89</v>
      </c>
      <c r="O23" s="4">
        <f>IF(N23=T23,MAX(U23,Y23,AB23),MAX(R23,U23,AB23))</f>
        <v>51.305</v>
      </c>
      <c r="P23" s="33">
        <v>43.34</v>
      </c>
      <c r="Q23" s="45">
        <v>2</v>
      </c>
      <c r="R23" s="47">
        <v>50.55</v>
      </c>
      <c r="S23" s="45">
        <v>12</v>
      </c>
      <c r="T23" s="4">
        <f>P23+R23</f>
        <v>93.89</v>
      </c>
      <c r="U23" s="47">
        <v>26.265000000000001</v>
      </c>
      <c r="V23" s="45">
        <v>6.3</v>
      </c>
      <c r="W23" s="33">
        <v>43.515000000000001</v>
      </c>
      <c r="X23" s="55">
        <v>2</v>
      </c>
      <c r="Y23" s="34">
        <v>45.69</v>
      </c>
      <c r="Z23" s="44">
        <v>10.4</v>
      </c>
      <c r="AA23" s="4">
        <f>W23+Y23</f>
        <v>89.204999999999998</v>
      </c>
      <c r="AB23" s="34">
        <v>51.305</v>
      </c>
      <c r="AC23" s="39">
        <v>12</v>
      </c>
    </row>
    <row r="24" spans="1:29" x14ac:dyDescent="0.2">
      <c r="A24" s="1" t="str">
        <f t="shared" si="0"/>
        <v/>
      </c>
      <c r="B24" s="38" t="s">
        <v>93</v>
      </c>
      <c r="C24" s="38" t="s">
        <v>80</v>
      </c>
      <c r="D24" s="38" t="s">
        <v>81</v>
      </c>
      <c r="E24" s="37">
        <v>2001</v>
      </c>
      <c r="F24" s="1" t="str">
        <f>IF('Qualifying Scores'!$B$1-E24&gt;21,"Not Age Eligible",IF('Qualifying Scores'!$B$1-E24&gt;16,"17-21",IF('Qualifying Scores'!$B$1-E24&gt;14,"15-16",IF('Qualifying Scores'!$B$1-E24&gt;12,"13-14",IF('Qualifying Scores'!$B$1-E24&gt;10,"11-12,""Not Age Eligible")))))</f>
        <v>17-21</v>
      </c>
      <c r="G24" s="56"/>
      <c r="H24" s="4">
        <f>SUM(N24:O24)</f>
        <v>144.07999999999998</v>
      </c>
      <c r="I24" s="3" t="str">
        <f>IF(MAX(T24-Q24,AA24-X24)&gt;=LOOKUP(F24,'Qualifying Scores'!$A$4:$A$7,'Qualifying Scores'!$B$4:$B$7),"P","")</f>
        <v/>
      </c>
      <c r="J24" s="3" t="str">
        <f>IF(MAX(S24,Z24)&gt;=LOOKUP(F24,'Qualifying Scores'!$A$10:$A$13,'Qualifying Scores'!$B$10:$B$13),"P","")</f>
        <v/>
      </c>
      <c r="K24" s="3" t="str">
        <f>IF(OR(AND(T24-Q24&gt;=LOOKUP(F24,'Qualifying Scores'!$A$4:$A$7,'Qualifying Scores'!$B$4:$B$7),S24&gt;=LOOKUP(F24,'Qualifying Scores'!$A$10:$A$13,'Qualifying Scores'!$B$10:$B$13)),AND(AA24-X24&gt;=LOOKUP(F24,'Qualifying Scores'!$A$4:$A$7,'Qualifying Scores'!$B$4:$B$7),Z24&gt;=LOOKUP(F24,'Qualifying Scores'!$A$10:$A$13,'Qualifying Scores'!$B$10:$B$13))),"P","")</f>
        <v/>
      </c>
      <c r="N24" s="4">
        <f>MAX(T24,AA24)</f>
        <v>94.694999999999993</v>
      </c>
      <c r="O24" s="4">
        <f>IF(N24=T24,MAX(U24,Y24,AB24),MAX(R24,U24,AB24))</f>
        <v>49.384999999999998</v>
      </c>
      <c r="P24" s="33">
        <v>41.734999999999999</v>
      </c>
      <c r="Q24" s="44">
        <v>4.3</v>
      </c>
      <c r="R24" s="34">
        <v>40.89</v>
      </c>
      <c r="S24" s="44">
        <v>11.2</v>
      </c>
      <c r="T24" s="4">
        <f>P24+R24</f>
        <v>82.625</v>
      </c>
      <c r="U24" s="34">
        <v>37.045000000000002</v>
      </c>
      <c r="V24" s="45">
        <v>10</v>
      </c>
      <c r="W24" s="33">
        <v>48.06</v>
      </c>
      <c r="X24" s="44">
        <v>5</v>
      </c>
      <c r="Y24" s="34">
        <v>46.634999999999998</v>
      </c>
      <c r="Z24" s="44">
        <v>13</v>
      </c>
      <c r="AA24" s="4">
        <f>W24+Y24</f>
        <v>94.694999999999993</v>
      </c>
      <c r="AB24" s="34">
        <v>49.384999999999998</v>
      </c>
      <c r="AC24" s="39">
        <v>13.7</v>
      </c>
    </row>
    <row r="25" spans="1:29" x14ac:dyDescent="0.2">
      <c r="A25" s="1" t="str">
        <f t="shared" si="0"/>
        <v/>
      </c>
      <c r="B25" s="38" t="s">
        <v>196</v>
      </c>
      <c r="C25" s="38" t="s">
        <v>12</v>
      </c>
      <c r="D25" s="38" t="s">
        <v>15</v>
      </c>
      <c r="E25" s="37">
        <v>2000</v>
      </c>
      <c r="F25" s="1" t="str">
        <f>IF('Qualifying Scores'!$B$1-E25&gt;21,"Not Age Eligible",IF('Qualifying Scores'!$B$1-E25&gt;16,"17-21",IF('Qualifying Scores'!$B$1-E25&gt;14,"15-16",IF('Qualifying Scores'!$B$1-E25&gt;12,"13-14",IF('Qualifying Scores'!$B$1-E25&gt;10,"11-12,""Not Age Eligible")))))</f>
        <v>17-21</v>
      </c>
      <c r="G25" s="56"/>
      <c r="H25" s="4">
        <f>SUM(N25:O25)</f>
        <v>143.82</v>
      </c>
      <c r="I25" s="3" t="str">
        <f>IF(MAX(T25-Q25,AA25-X25)&gt;=LOOKUP(F25,'Qualifying Scores'!$A$4:$A$7,'Qualifying Scores'!$B$4:$B$7),"P","")</f>
        <v/>
      </c>
      <c r="J25" s="3" t="str">
        <f>IF(MAX(S25,Z25)&gt;=LOOKUP(F25,'Qualifying Scores'!$A$10:$A$13,'Qualifying Scores'!$B$10:$B$13),"P","")</f>
        <v/>
      </c>
      <c r="K25" s="3" t="str">
        <f>IF(OR(AND(T25-Q25&gt;=LOOKUP(F25,'Qualifying Scores'!$A$4:$A$7,'Qualifying Scores'!$B$4:$B$7),S25&gt;=LOOKUP(F25,'Qualifying Scores'!$A$10:$A$13,'Qualifying Scores'!$B$10:$B$13)),AND(AA25-X25&gt;=LOOKUP(F25,'Qualifying Scores'!$A$4:$A$7,'Qualifying Scores'!$B$4:$B$7),Z25&gt;=LOOKUP(F25,'Qualifying Scores'!$A$10:$A$13,'Qualifying Scores'!$B$10:$B$13))),"P","")</f>
        <v/>
      </c>
      <c r="N25" s="4">
        <f>MAX(T25,AA25)</f>
        <v>94.615000000000009</v>
      </c>
      <c r="O25" s="4">
        <f>IF(N25=T25,MAX(U25,Y25,AB25),MAX(R25,U25,AB25))</f>
        <v>49.204999999999998</v>
      </c>
      <c r="P25" s="33">
        <v>45.795000000000002</v>
      </c>
      <c r="Q25" s="44">
        <v>3.4</v>
      </c>
      <c r="R25" s="34">
        <v>48.82</v>
      </c>
      <c r="S25" s="44">
        <v>12</v>
      </c>
      <c r="T25" s="4">
        <f>P25+R25</f>
        <v>94.615000000000009</v>
      </c>
      <c r="U25" s="34">
        <v>49.204999999999998</v>
      </c>
      <c r="V25" s="44">
        <v>12</v>
      </c>
      <c r="W25" s="33">
        <v>45.234999999999999</v>
      </c>
      <c r="X25" s="44">
        <v>3.2</v>
      </c>
      <c r="Y25" s="34">
        <v>35.414999999999999</v>
      </c>
      <c r="Z25" s="44">
        <v>8.3000000000000007</v>
      </c>
      <c r="AA25" s="4">
        <f>W25+Y25</f>
        <v>80.650000000000006</v>
      </c>
      <c r="AB25" s="34"/>
      <c r="AC25" s="39"/>
    </row>
    <row r="26" spans="1:29" x14ac:dyDescent="0.2">
      <c r="A26" s="1" t="str">
        <f t="shared" si="0"/>
        <v/>
      </c>
      <c r="B26" s="38" t="s">
        <v>170</v>
      </c>
      <c r="C26" s="38" t="s">
        <v>6</v>
      </c>
      <c r="D26" s="38" t="s">
        <v>126</v>
      </c>
      <c r="E26" s="37">
        <v>2002</v>
      </c>
      <c r="F26" s="1" t="str">
        <f>IF('Qualifying Scores'!$B$1-E26&gt;21,"Not Age Eligible",IF('Qualifying Scores'!$B$1-E26&gt;16,"17-21",IF('Qualifying Scores'!$B$1-E26&gt;14,"15-16",IF('Qualifying Scores'!$B$1-E26&gt;12,"13-14",IF('Qualifying Scores'!$B$1-E26&gt;10,"11-12,""Not Age Eligible")))))</f>
        <v>17-21</v>
      </c>
      <c r="G26" s="56"/>
      <c r="H26" s="4">
        <f>SUM(N26:O26)</f>
        <v>142.60500000000002</v>
      </c>
      <c r="I26" s="3" t="str">
        <f>IF(MAX(T26-Q26,AA26-X26)&gt;=LOOKUP(F26,'Qualifying Scores'!$A$4:$A$7,'Qualifying Scores'!$B$4:$B$7),"P","")</f>
        <v/>
      </c>
      <c r="J26" s="3" t="str">
        <f>IF(MAX(S26,Z26)&gt;=LOOKUP(F26,'Qualifying Scores'!$A$10:$A$13,'Qualifying Scores'!$B$10:$B$13),"P","")</f>
        <v/>
      </c>
      <c r="K26" s="3" t="str">
        <f>IF(OR(AND(T26-Q26&gt;=LOOKUP(F26,'Qualifying Scores'!$A$4:$A$7,'Qualifying Scores'!$B$4:$B$7),S26&gt;=LOOKUP(F26,'Qualifying Scores'!$A$10:$A$13,'Qualifying Scores'!$B$10:$B$13)),AND(AA26-X26&gt;=LOOKUP(F26,'Qualifying Scores'!$A$4:$A$7,'Qualifying Scores'!$B$4:$B$7),Z26&gt;=LOOKUP(F26,'Qualifying Scores'!$A$10:$A$13,'Qualifying Scores'!$B$10:$B$13))),"P","")</f>
        <v/>
      </c>
      <c r="N26" s="4">
        <f>MAX(T26,AA26)</f>
        <v>92.025000000000006</v>
      </c>
      <c r="O26" s="4">
        <f>IF(N26=T26,MAX(U26,Y26,AB26),MAX(R26,U26,AB26))</f>
        <v>50.58</v>
      </c>
      <c r="P26" s="33">
        <v>43.82</v>
      </c>
      <c r="Q26" s="45">
        <v>2.5</v>
      </c>
      <c r="R26" s="47">
        <v>48.204999999999998</v>
      </c>
      <c r="S26" s="45">
        <v>11</v>
      </c>
      <c r="T26" s="4">
        <f>P26+R26</f>
        <v>92.025000000000006</v>
      </c>
      <c r="U26" s="47">
        <v>50.375</v>
      </c>
      <c r="V26" s="45">
        <v>11</v>
      </c>
      <c r="W26" s="33">
        <v>42.884999999999998</v>
      </c>
      <c r="X26" s="44">
        <v>2.2000000000000002</v>
      </c>
      <c r="Y26" s="34">
        <v>38.215000000000003</v>
      </c>
      <c r="Z26" s="44">
        <v>9.1999999999999993</v>
      </c>
      <c r="AA26" s="4">
        <f>W26+Y26</f>
        <v>81.099999999999994</v>
      </c>
      <c r="AB26" s="34">
        <v>50.58</v>
      </c>
      <c r="AC26" s="39">
        <v>13.5</v>
      </c>
    </row>
    <row r="27" spans="1:29" x14ac:dyDescent="0.2">
      <c r="A27" s="1" t="str">
        <f t="shared" si="0"/>
        <v/>
      </c>
      <c r="B27" s="38" t="s">
        <v>83</v>
      </c>
      <c r="C27" s="38" t="s">
        <v>4</v>
      </c>
      <c r="D27" s="38" t="s">
        <v>74</v>
      </c>
      <c r="E27" s="37">
        <v>2000</v>
      </c>
      <c r="F27" s="1" t="str">
        <f>IF('Qualifying Scores'!$B$1-E27&gt;21,"Not Age Eligible",IF('Qualifying Scores'!$B$1-E27&gt;16,"17-21",IF('Qualifying Scores'!$B$1-E27&gt;14,"15-16",IF('Qualifying Scores'!$B$1-E27&gt;12,"13-14",IF('Qualifying Scores'!$B$1-E27&gt;10,"11-12,""Not Age Eligible")))))</f>
        <v>17-21</v>
      </c>
      <c r="G27" s="56" t="s">
        <v>305</v>
      </c>
      <c r="H27" s="4">
        <f>SUM(N27:O27)</f>
        <v>142.24</v>
      </c>
      <c r="I27" s="3" t="str">
        <f>IF(MAX(T27-Q27,AA27-X27)&gt;=LOOKUP(F27,'Qualifying Scores'!$A$4:$A$7,'Qualifying Scores'!$B$4:$B$7),"P","")</f>
        <v/>
      </c>
      <c r="J27" s="3" t="str">
        <f>IF(MAX(S27,Z27)&gt;=LOOKUP(F27,'Qualifying Scores'!$A$10:$A$13,'Qualifying Scores'!$B$10:$B$13),"P","")</f>
        <v/>
      </c>
      <c r="K27" s="3" t="str">
        <f>IF(OR(AND(T27-Q27&gt;=LOOKUP(F27,'Qualifying Scores'!$A$4:$A$7,'Qualifying Scores'!$B$4:$B$7),S27&gt;=LOOKUP(F27,'Qualifying Scores'!$A$10:$A$13,'Qualifying Scores'!$B$10:$B$13)),AND(AA27-X27&gt;=LOOKUP(F27,'Qualifying Scores'!$A$4:$A$7,'Qualifying Scores'!$B$4:$B$7),Z27&gt;=LOOKUP(F27,'Qualifying Scores'!$A$10:$A$13,'Qualifying Scores'!$B$10:$B$13))),"P","")</f>
        <v/>
      </c>
      <c r="N27" s="4">
        <f>MAX(T27,AA27)</f>
        <v>91.78</v>
      </c>
      <c r="O27" s="4">
        <f>IF(N27=T27,MAX(U27,Y27,AB27),MAX(R27,U27,AB27))</f>
        <v>50.46</v>
      </c>
      <c r="P27" s="33">
        <v>43.11</v>
      </c>
      <c r="Q27" s="44">
        <v>3.1</v>
      </c>
      <c r="R27" s="34">
        <v>48.67</v>
      </c>
      <c r="S27" s="44">
        <v>11.7</v>
      </c>
      <c r="T27" s="4">
        <f>P27+R27</f>
        <v>91.78</v>
      </c>
      <c r="U27" s="34">
        <v>50.46</v>
      </c>
      <c r="V27" s="44">
        <v>13.1</v>
      </c>
      <c r="W27" s="33">
        <v>42.1</v>
      </c>
      <c r="X27" s="44">
        <v>2.7</v>
      </c>
      <c r="Y27" s="34">
        <v>20.675000000000001</v>
      </c>
      <c r="Z27" s="44">
        <v>6.2</v>
      </c>
      <c r="AA27" s="4">
        <f>W27+Y27</f>
        <v>62.775000000000006</v>
      </c>
      <c r="AB27" s="34">
        <v>24.795000000000002</v>
      </c>
      <c r="AC27" s="39">
        <v>5.9</v>
      </c>
    </row>
    <row r="28" spans="1:29" x14ac:dyDescent="0.2">
      <c r="A28" s="1" t="str">
        <f t="shared" si="0"/>
        <v/>
      </c>
      <c r="B28" s="38" t="s">
        <v>197</v>
      </c>
      <c r="C28" s="38" t="s">
        <v>4</v>
      </c>
      <c r="D28" s="38" t="s">
        <v>74</v>
      </c>
      <c r="E28" s="37">
        <v>2002</v>
      </c>
      <c r="F28" s="1" t="str">
        <f>IF('Qualifying Scores'!$B$1-E28&gt;21,"Not Age Eligible",IF('Qualifying Scores'!$B$1-E28&gt;16,"17-21",IF('Qualifying Scores'!$B$1-E28&gt;14,"15-16",IF('Qualifying Scores'!$B$1-E28&gt;12,"13-14",IF('Qualifying Scores'!$B$1-E28&gt;10,"11-12,""Not Age Eligible")))))</f>
        <v>17-21</v>
      </c>
      <c r="G28" s="56"/>
      <c r="H28" s="4">
        <f>SUM(N28:O28)</f>
        <v>142.09</v>
      </c>
      <c r="I28" s="3" t="str">
        <f>IF(MAX(T28-Q28,AA28-X28)&gt;=LOOKUP(F28,'Qualifying Scores'!$A$4:$A$7,'Qualifying Scores'!$B$4:$B$7),"P","")</f>
        <v/>
      </c>
      <c r="J28" s="3" t="str">
        <f>IF(MAX(S28,Z28)&gt;=LOOKUP(F28,'Qualifying Scores'!$A$10:$A$13,'Qualifying Scores'!$B$10:$B$13),"P","")</f>
        <v/>
      </c>
      <c r="K28" s="3" t="str">
        <f>IF(OR(AND(T28-Q28&gt;=LOOKUP(F28,'Qualifying Scores'!$A$4:$A$7,'Qualifying Scores'!$B$4:$B$7),S28&gt;=LOOKUP(F28,'Qualifying Scores'!$A$10:$A$13,'Qualifying Scores'!$B$10:$B$13)),AND(AA28-X28&gt;=LOOKUP(F28,'Qualifying Scores'!$A$4:$A$7,'Qualifying Scores'!$B$4:$B$7),Z28&gt;=LOOKUP(F28,'Qualifying Scores'!$A$10:$A$13,'Qualifying Scores'!$B$10:$B$13))),"P","")</f>
        <v/>
      </c>
      <c r="N28" s="4">
        <f>MAX(T28,AA28)</f>
        <v>92.435000000000002</v>
      </c>
      <c r="O28" s="4">
        <f>IF(N28=T28,MAX(U28,Y28,AB28),MAX(R28,U28,AB28))</f>
        <v>49.655000000000001</v>
      </c>
      <c r="P28" s="33">
        <v>43.984999999999999</v>
      </c>
      <c r="Q28" s="44">
        <v>2.9</v>
      </c>
      <c r="R28" s="34">
        <v>48.45</v>
      </c>
      <c r="S28" s="44">
        <v>11.1</v>
      </c>
      <c r="T28" s="4">
        <f>P28+R28</f>
        <v>92.435000000000002</v>
      </c>
      <c r="U28" s="34">
        <v>49.655000000000001</v>
      </c>
      <c r="V28" s="44">
        <v>11.1</v>
      </c>
      <c r="W28" s="33">
        <v>42.07</v>
      </c>
      <c r="X28" s="44">
        <v>2.7</v>
      </c>
      <c r="Y28" s="34">
        <v>48.094999999999999</v>
      </c>
      <c r="Z28" s="44">
        <v>10.7</v>
      </c>
      <c r="AA28" s="4">
        <f>W28+Y28</f>
        <v>90.164999999999992</v>
      </c>
      <c r="AB28" s="34">
        <v>49.25</v>
      </c>
      <c r="AC28" s="39">
        <v>11.1</v>
      </c>
    </row>
    <row r="29" spans="1:29" x14ac:dyDescent="0.2">
      <c r="A29" s="1" t="str">
        <f t="shared" si="0"/>
        <v/>
      </c>
      <c r="B29" s="38" t="s">
        <v>79</v>
      </c>
      <c r="C29" s="38" t="s">
        <v>80</v>
      </c>
      <c r="D29" s="38" t="s">
        <v>81</v>
      </c>
      <c r="E29" s="37">
        <v>2000</v>
      </c>
      <c r="F29" s="1" t="str">
        <f>IF('Qualifying Scores'!$B$1-E29&gt;21,"Not Age Eligible",IF('Qualifying Scores'!$B$1-E29&gt;16,"17-21",IF('Qualifying Scores'!$B$1-E29&gt;14,"15-16",IF('Qualifying Scores'!$B$1-E29&gt;12,"13-14",IF('Qualifying Scores'!$B$1-E29&gt;10,"11-12,""Not Age Eligible")))))</f>
        <v>17-21</v>
      </c>
      <c r="G29" s="56"/>
      <c r="H29" s="4">
        <f>SUM(N29:O29)</f>
        <v>141.72</v>
      </c>
      <c r="I29" s="3" t="str">
        <f>IF(MAX(T29-Q29,AA29-X29)&gt;=LOOKUP(F29,'Qualifying Scores'!$A$4:$A$7,'Qualifying Scores'!$B$4:$B$7),"P","")</f>
        <v/>
      </c>
      <c r="J29" s="3" t="str">
        <f>IF(MAX(S29,Z29)&gt;=LOOKUP(F29,'Qualifying Scores'!$A$10:$A$13,'Qualifying Scores'!$B$10:$B$13),"P","")</f>
        <v/>
      </c>
      <c r="K29" s="3" t="str">
        <f>IF(OR(AND(T29-Q29&gt;=LOOKUP(F29,'Qualifying Scores'!$A$4:$A$7,'Qualifying Scores'!$B$4:$B$7),S29&gt;=LOOKUP(F29,'Qualifying Scores'!$A$10:$A$13,'Qualifying Scores'!$B$10:$B$13)),AND(AA29-X29&gt;=LOOKUP(F29,'Qualifying Scores'!$A$4:$A$7,'Qualifying Scores'!$B$4:$B$7),Z29&gt;=LOOKUP(F29,'Qualifying Scores'!$A$10:$A$13,'Qualifying Scores'!$B$10:$B$13))),"P","")</f>
        <v/>
      </c>
      <c r="N29" s="4">
        <f>MAX(T29,AA29)</f>
        <v>93.36</v>
      </c>
      <c r="O29" s="4">
        <f>IF(N29=T29,MAX(U29,Y29,AB29),MAX(R29,U29,AB29))</f>
        <v>48.36</v>
      </c>
      <c r="P29" s="33">
        <v>40.325000000000003</v>
      </c>
      <c r="Q29" s="44">
        <v>2.9</v>
      </c>
      <c r="R29" s="34">
        <v>48.36</v>
      </c>
      <c r="S29" s="44">
        <v>12.3</v>
      </c>
      <c r="T29" s="4">
        <f>P29+R29</f>
        <v>88.685000000000002</v>
      </c>
      <c r="U29" s="34">
        <v>42.375</v>
      </c>
      <c r="V29" s="44">
        <v>8</v>
      </c>
      <c r="W29" s="33">
        <v>42.35</v>
      </c>
      <c r="X29" s="44">
        <v>2.7</v>
      </c>
      <c r="Y29" s="34">
        <v>51.01</v>
      </c>
      <c r="Z29" s="44">
        <v>12.4</v>
      </c>
      <c r="AA29" s="4">
        <f>W29+Y29</f>
        <v>93.36</v>
      </c>
      <c r="AB29" s="34">
        <v>48.354999999999997</v>
      </c>
      <c r="AC29" s="39">
        <v>11.1</v>
      </c>
    </row>
    <row r="30" spans="1:29" x14ac:dyDescent="0.2">
      <c r="A30" s="1" t="str">
        <f t="shared" si="0"/>
        <v/>
      </c>
      <c r="B30" s="38" t="s">
        <v>271</v>
      </c>
      <c r="C30" s="38" t="s">
        <v>12</v>
      </c>
      <c r="E30" s="37">
        <v>2001</v>
      </c>
      <c r="F30" s="1" t="str">
        <f>IF('Qualifying Scores'!$B$1-E30&gt;21,"Not Age Eligible",IF('Qualifying Scores'!$B$1-E30&gt;16,"17-21",IF('Qualifying Scores'!$B$1-E30&gt;14,"15-16",IF('Qualifying Scores'!$B$1-E30&gt;12,"13-14",IF('Qualifying Scores'!$B$1-E30&gt;10,"11-12,""Not Age Eligible")))))</f>
        <v>17-21</v>
      </c>
      <c r="G30" s="56"/>
      <c r="H30" s="4">
        <f>SUM(N30:O30)</f>
        <v>141.71</v>
      </c>
      <c r="I30" s="3" t="str">
        <f>IF(MAX(T30-Q30,AA30-X30)&gt;=LOOKUP(F30,'Qualifying Scores'!$A$4:$A$7,'Qualifying Scores'!$B$4:$B$7),"P","")</f>
        <v/>
      </c>
      <c r="J30" s="3" t="str">
        <f>IF(MAX(S30,Z30)&gt;=LOOKUP(F30,'Qualifying Scores'!$A$10:$A$13,'Qualifying Scores'!$B$10:$B$13),"P","")</f>
        <v/>
      </c>
      <c r="K30" s="3" t="str">
        <f>IF(OR(AND(T30-Q30&gt;=LOOKUP(F30,'Qualifying Scores'!$A$4:$A$7,'Qualifying Scores'!$B$4:$B$7),S30&gt;=LOOKUP(F30,'Qualifying Scores'!$A$10:$A$13,'Qualifying Scores'!$B$10:$B$13)),AND(AA30-X30&gt;=LOOKUP(F30,'Qualifying Scores'!$A$4:$A$7,'Qualifying Scores'!$B$4:$B$7),Z30&gt;=LOOKUP(F30,'Qualifying Scores'!$A$10:$A$13,'Qualifying Scores'!$B$10:$B$13))),"P","")</f>
        <v/>
      </c>
      <c r="N30" s="4">
        <f>MAX(T30,AA30)</f>
        <v>91.300000000000011</v>
      </c>
      <c r="O30" s="4">
        <f>IF(N30=T30,MAX(U30,Y30,AB30),MAX(R30,U30,AB30))</f>
        <v>50.41</v>
      </c>
      <c r="P30" s="33"/>
      <c r="Q30" s="44"/>
      <c r="R30" s="34"/>
      <c r="S30" s="44"/>
      <c r="T30" s="4">
        <f>P30+R30</f>
        <v>0</v>
      </c>
      <c r="U30" s="34"/>
      <c r="V30" s="44"/>
      <c r="W30" s="33">
        <v>42.92</v>
      </c>
      <c r="X30" s="44">
        <v>1.9</v>
      </c>
      <c r="Y30" s="34">
        <v>48.38</v>
      </c>
      <c r="Z30" s="44">
        <v>10</v>
      </c>
      <c r="AA30" s="4">
        <f>W30+Y30</f>
        <v>91.300000000000011</v>
      </c>
      <c r="AB30" s="34">
        <v>50.41</v>
      </c>
      <c r="AC30" s="39">
        <v>9.8000000000000007</v>
      </c>
    </row>
    <row r="31" spans="1:29" x14ac:dyDescent="0.2">
      <c r="A31" s="1" t="str">
        <f t="shared" si="0"/>
        <v/>
      </c>
      <c r="B31" s="38" t="s">
        <v>185</v>
      </c>
      <c r="C31" s="38" t="s">
        <v>134</v>
      </c>
      <c r="E31" s="37">
        <v>2002</v>
      </c>
      <c r="F31" s="1" t="str">
        <f>IF('Qualifying Scores'!$B$1-E31&gt;21,"Not Age Eligible",IF('Qualifying Scores'!$B$1-E31&gt;16,"17-21",IF('Qualifying Scores'!$B$1-E31&gt;14,"15-16",IF('Qualifying Scores'!$B$1-E31&gt;12,"13-14",IF('Qualifying Scores'!$B$1-E31&gt;10,"11-12,""Not Age Eligible")))))</f>
        <v>17-21</v>
      </c>
      <c r="G31" s="56"/>
      <c r="H31" s="4">
        <f>SUM(N31:O31)</f>
        <v>140.11500000000001</v>
      </c>
      <c r="I31" s="3" t="str">
        <f>IF(MAX(T31-Q31,AA31-X31)&gt;=LOOKUP(F31,'Qualifying Scores'!$A$4:$A$7,'Qualifying Scores'!$B$4:$B$7),"P","")</f>
        <v/>
      </c>
      <c r="J31" s="3" t="str">
        <f>IF(MAX(S31,Z31)&gt;=LOOKUP(F31,'Qualifying Scores'!$A$10:$A$13,'Qualifying Scores'!$B$10:$B$13),"P","")</f>
        <v/>
      </c>
      <c r="K31" s="3" t="str">
        <f>IF(OR(AND(T31-Q31&gt;=LOOKUP(F31,'Qualifying Scores'!$A$4:$A$7,'Qualifying Scores'!$B$4:$B$7),S31&gt;=LOOKUP(F31,'Qualifying Scores'!$A$10:$A$13,'Qualifying Scores'!$B$10:$B$13)),AND(AA31-X31&gt;=LOOKUP(F31,'Qualifying Scores'!$A$4:$A$7,'Qualifying Scores'!$B$4:$B$7),Z31&gt;=LOOKUP(F31,'Qualifying Scores'!$A$10:$A$13,'Qualifying Scores'!$B$10:$B$13))),"P","")</f>
        <v/>
      </c>
      <c r="N31" s="4">
        <f>MAX(T31,AA31)</f>
        <v>91.484999999999999</v>
      </c>
      <c r="O31" s="4">
        <f>IF(N31=T31,MAX(U31,Y31,AB31),MAX(R31,U31,AB31))</f>
        <v>48.63</v>
      </c>
      <c r="P31" s="33"/>
      <c r="Q31" s="44"/>
      <c r="R31" s="34"/>
      <c r="S31" s="44"/>
      <c r="T31" s="4">
        <f>P31+R31</f>
        <v>0</v>
      </c>
      <c r="U31" s="34"/>
      <c r="V31" s="44"/>
      <c r="W31" s="33">
        <v>42.555</v>
      </c>
      <c r="X31" s="44">
        <v>2.7</v>
      </c>
      <c r="Y31" s="34">
        <v>48.93</v>
      </c>
      <c r="Z31" s="44">
        <v>11.4</v>
      </c>
      <c r="AA31" s="4">
        <f>W31+Y31</f>
        <v>91.484999999999999</v>
      </c>
      <c r="AB31" s="34">
        <v>48.63</v>
      </c>
      <c r="AC31" s="39">
        <v>11.4</v>
      </c>
    </row>
    <row r="32" spans="1:29" x14ac:dyDescent="0.2">
      <c r="A32" s="1" t="str">
        <f t="shared" si="0"/>
        <v/>
      </c>
      <c r="B32" s="38" t="s">
        <v>91</v>
      </c>
      <c r="C32" s="38" t="s">
        <v>4</v>
      </c>
      <c r="D32" s="38" t="s">
        <v>92</v>
      </c>
      <c r="E32" s="37">
        <v>1998</v>
      </c>
      <c r="F32" s="1" t="str">
        <f>IF('Qualifying Scores'!$B$1-E32&gt;21,"Not Age Eligible",IF('Qualifying Scores'!$B$1-E32&gt;16,"17-21",IF('Qualifying Scores'!$B$1-E32&gt;14,"15-16",IF('Qualifying Scores'!$B$1-E32&gt;12,"13-14",IF('Qualifying Scores'!$B$1-E32&gt;10,"11-12,""Not Age Eligible")))))</f>
        <v>17-21</v>
      </c>
      <c r="G32" s="56"/>
      <c r="H32" s="4">
        <f>SUM(N32:O32)</f>
        <v>139.94999999999999</v>
      </c>
      <c r="I32" s="3" t="str">
        <f>IF(MAX(T32-Q32,AA32-X32)&gt;=LOOKUP(F32,'Qualifying Scores'!$A$4:$A$7,'Qualifying Scores'!$B$4:$B$7),"P","")</f>
        <v/>
      </c>
      <c r="J32" s="3" t="str">
        <f>IF(MAX(S32,Z32)&gt;=LOOKUP(F32,'Qualifying Scores'!$A$10:$A$13,'Qualifying Scores'!$B$10:$B$13),"P","")</f>
        <v/>
      </c>
      <c r="K32" s="3" t="str">
        <f>IF(OR(AND(T32-Q32&gt;=LOOKUP(F32,'Qualifying Scores'!$A$4:$A$7,'Qualifying Scores'!$B$4:$B$7),S32&gt;=LOOKUP(F32,'Qualifying Scores'!$A$10:$A$13,'Qualifying Scores'!$B$10:$B$13)),AND(AA32-X32&gt;=LOOKUP(F32,'Qualifying Scores'!$A$4:$A$7,'Qualifying Scores'!$B$4:$B$7),Z32&gt;=LOOKUP(F32,'Qualifying Scores'!$A$10:$A$13,'Qualifying Scores'!$B$10:$B$13))),"P","")</f>
        <v/>
      </c>
      <c r="N32" s="4">
        <f>MAX(T32,AA32)</f>
        <v>90.204999999999998</v>
      </c>
      <c r="O32" s="4">
        <f>IF(N32=T32,MAX(U32,Y32,AB32),MAX(R32,U32,AB32))</f>
        <v>49.744999999999997</v>
      </c>
      <c r="P32" s="33">
        <v>42.48</v>
      </c>
      <c r="Q32" s="44">
        <v>2.7</v>
      </c>
      <c r="R32" s="34">
        <v>47.725000000000001</v>
      </c>
      <c r="S32" s="44">
        <v>11.3</v>
      </c>
      <c r="T32" s="4">
        <f>P32+R32</f>
        <v>90.204999999999998</v>
      </c>
      <c r="U32" s="34">
        <v>41.365000000000002</v>
      </c>
      <c r="V32" s="44">
        <v>9.1999999999999993</v>
      </c>
      <c r="W32" s="33">
        <v>28.975000000000001</v>
      </c>
      <c r="X32" s="44">
        <v>1.5</v>
      </c>
      <c r="Y32" s="34">
        <v>47.424999999999997</v>
      </c>
      <c r="Z32" s="44">
        <v>11.8</v>
      </c>
      <c r="AA32" s="4">
        <f>W32+Y32</f>
        <v>76.400000000000006</v>
      </c>
      <c r="AB32" s="34">
        <v>49.744999999999997</v>
      </c>
      <c r="AC32" s="39">
        <v>11.9</v>
      </c>
    </row>
    <row r="33" spans="1:29" x14ac:dyDescent="0.2">
      <c r="A33" s="1" t="str">
        <f t="shared" si="0"/>
        <v/>
      </c>
      <c r="B33" s="38" t="s">
        <v>87</v>
      </c>
      <c r="C33" s="38" t="s">
        <v>8</v>
      </c>
      <c r="D33" s="38" t="s">
        <v>88</v>
      </c>
      <c r="E33" s="37">
        <v>2000</v>
      </c>
      <c r="F33" s="1" t="str">
        <f>IF('Qualifying Scores'!$B$1-E33&gt;21,"Not Age Eligible",IF('Qualifying Scores'!$B$1-E33&gt;16,"17-21",IF('Qualifying Scores'!$B$1-E33&gt;14,"15-16",IF('Qualifying Scores'!$B$1-E33&gt;12,"13-14",IF('Qualifying Scores'!$B$1-E33&gt;10,"11-12,""Not Age Eligible")))))</f>
        <v>17-21</v>
      </c>
      <c r="G33" s="56"/>
      <c r="H33" s="4">
        <f>SUM(N33:O33)</f>
        <v>138.06</v>
      </c>
      <c r="I33" s="3" t="str">
        <f>IF(MAX(T33-Q33,AA33-X33)&gt;=LOOKUP(F33,'Qualifying Scores'!$A$4:$A$7,'Qualifying Scores'!$B$4:$B$7),"P","")</f>
        <v/>
      </c>
      <c r="J33" s="3" t="str">
        <f>IF(MAX(S33,Z33)&gt;=LOOKUP(F33,'Qualifying Scores'!$A$10:$A$13,'Qualifying Scores'!$B$10:$B$13),"P","")</f>
        <v/>
      </c>
      <c r="K33" s="3" t="str">
        <f>IF(OR(AND(T33-Q33&gt;=LOOKUP(F33,'Qualifying Scores'!$A$4:$A$7,'Qualifying Scores'!$B$4:$B$7),S33&gt;=LOOKUP(F33,'Qualifying Scores'!$A$10:$A$13,'Qualifying Scores'!$B$10:$B$13)),AND(AA33-X33&gt;=LOOKUP(F33,'Qualifying Scores'!$A$4:$A$7,'Qualifying Scores'!$B$4:$B$7),Z33&gt;=LOOKUP(F33,'Qualifying Scores'!$A$10:$A$13,'Qualifying Scores'!$B$10:$B$13))),"P","")</f>
        <v/>
      </c>
      <c r="N33" s="4">
        <f>MAX(T33,AA33)</f>
        <v>89.66</v>
      </c>
      <c r="O33" s="4">
        <f>IF(N33=T33,MAX(U33,Y33,AB33),MAX(R33,U33,AB33))</f>
        <v>48.4</v>
      </c>
      <c r="P33" s="33">
        <v>42.15</v>
      </c>
      <c r="Q33" s="44">
        <v>2</v>
      </c>
      <c r="R33" s="34">
        <v>9.8849999999999998</v>
      </c>
      <c r="S33" s="44">
        <v>2.1</v>
      </c>
      <c r="T33" s="4">
        <f>P33+R33</f>
        <v>52.034999999999997</v>
      </c>
      <c r="U33" s="34"/>
      <c r="V33" s="44"/>
      <c r="W33" s="33">
        <v>41.2</v>
      </c>
      <c r="X33" s="44">
        <v>2</v>
      </c>
      <c r="Y33" s="34">
        <v>48.46</v>
      </c>
      <c r="Z33" s="44">
        <v>10.6</v>
      </c>
      <c r="AA33" s="4">
        <f>W33+Y33</f>
        <v>89.66</v>
      </c>
      <c r="AB33" s="34">
        <v>48.4</v>
      </c>
      <c r="AC33" s="39">
        <v>9.1999999999999993</v>
      </c>
    </row>
    <row r="34" spans="1:29" x14ac:dyDescent="0.2">
      <c r="A34" s="1" t="str">
        <f t="shared" si="0"/>
        <v/>
      </c>
      <c r="B34" s="38" t="s">
        <v>94</v>
      </c>
      <c r="C34" s="38" t="s">
        <v>6</v>
      </c>
      <c r="D34" s="38" t="s">
        <v>78</v>
      </c>
      <c r="E34" s="37">
        <v>2001</v>
      </c>
      <c r="F34" s="1" t="str">
        <f>IF('Qualifying Scores'!$B$1-E34&gt;21,"Not Age Eligible",IF('Qualifying Scores'!$B$1-E34&gt;16,"17-21",IF('Qualifying Scores'!$B$1-E34&gt;14,"15-16",IF('Qualifying Scores'!$B$1-E34&gt;12,"13-14",IF('Qualifying Scores'!$B$1-E34&gt;10,"11-12,""Not Age Eligible")))))</f>
        <v>17-21</v>
      </c>
      <c r="G34" s="56"/>
      <c r="H34" s="4">
        <f>SUM(N34:O34)</f>
        <v>138.05000000000001</v>
      </c>
      <c r="I34" s="3" t="str">
        <f>IF(MAX(T34-Q34,AA34-X34)&gt;=LOOKUP(F34,'Qualifying Scores'!$A$4:$A$7,'Qualifying Scores'!$B$4:$B$7),"P","")</f>
        <v/>
      </c>
      <c r="J34" s="3" t="str">
        <f>IF(MAX(S34,Z34)&gt;=LOOKUP(F34,'Qualifying Scores'!$A$10:$A$13,'Qualifying Scores'!$B$10:$B$13),"P","")</f>
        <v/>
      </c>
      <c r="K34" s="3" t="str">
        <f>IF(OR(AND(T34-Q34&gt;=LOOKUP(F34,'Qualifying Scores'!$A$4:$A$7,'Qualifying Scores'!$B$4:$B$7),S34&gt;=LOOKUP(F34,'Qualifying Scores'!$A$10:$A$13,'Qualifying Scores'!$B$10:$B$13)),AND(AA34-X34&gt;=LOOKUP(F34,'Qualifying Scores'!$A$4:$A$7,'Qualifying Scores'!$B$4:$B$7),Z34&gt;=LOOKUP(F34,'Qualifying Scores'!$A$10:$A$13,'Qualifying Scores'!$B$10:$B$13))),"P","")</f>
        <v/>
      </c>
      <c r="N34" s="4">
        <f>MAX(T34,AA34)</f>
        <v>89.25</v>
      </c>
      <c r="O34" s="4">
        <f>IF(N34=T34,MAX(U34,Y34,AB34),MAX(R34,U34,AB34))</f>
        <v>48.8</v>
      </c>
      <c r="P34" s="33">
        <v>31.13</v>
      </c>
      <c r="Q34" s="44">
        <v>0.9</v>
      </c>
      <c r="R34" s="34">
        <v>43.67</v>
      </c>
      <c r="S34" s="44">
        <v>10</v>
      </c>
      <c r="T34" s="4">
        <f>P34+R34</f>
        <v>74.8</v>
      </c>
      <c r="U34" s="34">
        <v>42.68</v>
      </c>
      <c r="V34" s="45">
        <v>7.5</v>
      </c>
      <c r="W34" s="33">
        <v>41.8</v>
      </c>
      <c r="X34" s="46">
        <v>2.2000000000000002</v>
      </c>
      <c r="Y34" s="43">
        <v>47.45</v>
      </c>
      <c r="Z34" s="46">
        <v>10</v>
      </c>
      <c r="AA34" s="4">
        <f>W34+Y34</f>
        <v>89.25</v>
      </c>
      <c r="AB34" s="43">
        <v>48.8</v>
      </c>
      <c r="AC34" s="39">
        <v>10.7</v>
      </c>
    </row>
    <row r="35" spans="1:29" x14ac:dyDescent="0.2">
      <c r="A35" s="1" t="str">
        <f t="shared" si="0"/>
        <v/>
      </c>
      <c r="B35" s="38" t="s">
        <v>203</v>
      </c>
      <c r="C35" s="38" t="s">
        <v>4</v>
      </c>
      <c r="D35" s="38" t="s">
        <v>139</v>
      </c>
      <c r="E35" s="37">
        <v>2002</v>
      </c>
      <c r="F35" s="1" t="str">
        <f>IF('Qualifying Scores'!$B$1-E35&gt;21,"Not Age Eligible",IF('Qualifying Scores'!$B$1-E35&gt;16,"17-21",IF('Qualifying Scores'!$B$1-E35&gt;14,"15-16",IF('Qualifying Scores'!$B$1-E35&gt;12,"13-14",IF('Qualifying Scores'!$B$1-E35&gt;10,"11-12,""Not Age Eligible")))))</f>
        <v>17-21</v>
      </c>
      <c r="G35" s="56"/>
      <c r="H35" s="4">
        <f>SUM(N35:O35)</f>
        <v>136.88999999999999</v>
      </c>
      <c r="I35" s="3" t="str">
        <f>IF(MAX(T35-Q35,AA35-X35)&gt;=LOOKUP(F35,'Qualifying Scores'!$A$4:$A$7,'Qualifying Scores'!$B$4:$B$7),"P","")</f>
        <v/>
      </c>
      <c r="J35" s="3" t="str">
        <f>IF(MAX(S35,Z35)&gt;=LOOKUP(F35,'Qualifying Scores'!$A$10:$A$13,'Qualifying Scores'!$B$10:$B$13),"P","")</f>
        <v/>
      </c>
      <c r="K35" s="3" t="str">
        <f>IF(OR(AND(T35-Q35&gt;=LOOKUP(F35,'Qualifying Scores'!$A$4:$A$7,'Qualifying Scores'!$B$4:$B$7),S35&gt;=LOOKUP(F35,'Qualifying Scores'!$A$10:$A$13,'Qualifying Scores'!$B$10:$B$13)),AND(AA35-X35&gt;=LOOKUP(F35,'Qualifying Scores'!$A$4:$A$7,'Qualifying Scores'!$B$4:$B$7),Z35&gt;=LOOKUP(F35,'Qualifying Scores'!$A$10:$A$13,'Qualifying Scores'!$B$10:$B$13))),"P","")</f>
        <v/>
      </c>
      <c r="N35" s="4">
        <f>MAX(T35,AA35)</f>
        <v>89.224999999999994</v>
      </c>
      <c r="O35" s="4">
        <f>IF(N35=T35,MAX(U35,Y35,AB35),MAX(R35,U35,AB35))</f>
        <v>47.664999999999999</v>
      </c>
      <c r="P35" s="33">
        <v>17.96</v>
      </c>
      <c r="Q35" s="44">
        <v>1.5</v>
      </c>
      <c r="R35" s="34">
        <v>9.6750000000000007</v>
      </c>
      <c r="S35" s="44">
        <v>2.5</v>
      </c>
      <c r="T35" s="4">
        <f>P35+R35</f>
        <v>27.635000000000002</v>
      </c>
      <c r="U35" s="34"/>
      <c r="V35" s="44"/>
      <c r="W35" s="33">
        <v>41.68</v>
      </c>
      <c r="X35" s="44">
        <v>2.9</v>
      </c>
      <c r="Y35" s="34">
        <v>47.545000000000002</v>
      </c>
      <c r="Z35" s="44">
        <v>10.6</v>
      </c>
      <c r="AA35" s="4">
        <f>W35+Y35</f>
        <v>89.224999999999994</v>
      </c>
      <c r="AB35" s="34">
        <v>47.664999999999999</v>
      </c>
      <c r="AC35" s="39">
        <v>10.4</v>
      </c>
    </row>
    <row r="36" spans="1:29" x14ac:dyDescent="0.2">
      <c r="A36" s="1" t="str">
        <f t="shared" si="0"/>
        <v/>
      </c>
      <c r="B36" s="38" t="s">
        <v>89</v>
      </c>
      <c r="C36" s="38" t="s">
        <v>12</v>
      </c>
      <c r="D36" s="38" t="s">
        <v>71</v>
      </c>
      <c r="E36" s="37">
        <v>1999</v>
      </c>
      <c r="F36" s="1" t="str">
        <f>IF('Qualifying Scores'!$B$1-E36&gt;21,"Not Age Eligible",IF('Qualifying Scores'!$B$1-E36&gt;16,"17-21",IF('Qualifying Scores'!$B$1-E36&gt;14,"15-16",IF('Qualifying Scores'!$B$1-E36&gt;12,"13-14",IF('Qualifying Scores'!$B$1-E36&gt;10,"11-12,""Not Age Eligible")))))</f>
        <v>17-21</v>
      </c>
      <c r="G36" s="56"/>
      <c r="H36" s="4">
        <f>SUM(N36:O36)</f>
        <v>136.495</v>
      </c>
      <c r="I36" s="3" t="str">
        <f>IF(MAX(T36-Q36,AA36-X36)&gt;=LOOKUP(F36,'Qualifying Scores'!$A$4:$A$7,'Qualifying Scores'!$B$4:$B$7),"P","")</f>
        <v/>
      </c>
      <c r="J36" s="3" t="str">
        <f>IF(MAX(S36,Z36)&gt;=LOOKUP(F36,'Qualifying Scores'!$A$10:$A$13,'Qualifying Scores'!$B$10:$B$13),"P","")</f>
        <v/>
      </c>
      <c r="K36" s="3" t="str">
        <f>IF(OR(AND(T36-Q36&gt;=LOOKUP(F36,'Qualifying Scores'!$A$4:$A$7,'Qualifying Scores'!$B$4:$B$7),S36&gt;=LOOKUP(F36,'Qualifying Scores'!$A$10:$A$13,'Qualifying Scores'!$B$10:$B$13)),AND(AA36-X36&gt;=LOOKUP(F36,'Qualifying Scores'!$A$4:$A$7,'Qualifying Scores'!$B$4:$B$7),Z36&gt;=LOOKUP(F36,'Qualifying Scores'!$A$10:$A$13,'Qualifying Scores'!$B$10:$B$13))),"P","")</f>
        <v/>
      </c>
      <c r="N36" s="4">
        <f>MAX(T36,AA36)</f>
        <v>88.03</v>
      </c>
      <c r="O36" s="4">
        <f>IF(N36=T36,MAX(U36,Y36,AB36),MAX(R36,U36,AB36))</f>
        <v>48.465000000000003</v>
      </c>
      <c r="P36" s="33">
        <v>41.36</v>
      </c>
      <c r="Q36" s="44">
        <v>2.1</v>
      </c>
      <c r="R36" s="34">
        <v>45.08</v>
      </c>
      <c r="S36" s="44">
        <v>8.8000000000000007</v>
      </c>
      <c r="T36" s="4">
        <f>P36+R36</f>
        <v>86.44</v>
      </c>
      <c r="U36" s="34">
        <v>45.86</v>
      </c>
      <c r="V36" s="44">
        <v>8.8000000000000007</v>
      </c>
      <c r="W36" s="33">
        <v>41.674999999999997</v>
      </c>
      <c r="X36" s="44">
        <v>2.1</v>
      </c>
      <c r="Y36" s="34">
        <v>46.354999999999997</v>
      </c>
      <c r="Z36" s="44">
        <v>9.5</v>
      </c>
      <c r="AA36" s="4">
        <f>W36+Y36</f>
        <v>88.03</v>
      </c>
      <c r="AB36" s="34">
        <v>48.465000000000003</v>
      </c>
      <c r="AC36" s="39">
        <v>9.6</v>
      </c>
    </row>
    <row r="37" spans="1:29" x14ac:dyDescent="0.2">
      <c r="A37" s="1" t="str">
        <f t="shared" si="0"/>
        <v/>
      </c>
      <c r="B37" s="38" t="s">
        <v>175</v>
      </c>
      <c r="C37" s="38" t="s">
        <v>4</v>
      </c>
      <c r="D37" s="38" t="s">
        <v>174</v>
      </c>
      <c r="E37" s="37">
        <v>1999</v>
      </c>
      <c r="F37" s="1" t="str">
        <f>IF('Qualifying Scores'!$B$1-E37&gt;21,"Not Age Eligible",IF('Qualifying Scores'!$B$1-E37&gt;16,"17-21",IF('Qualifying Scores'!$B$1-E37&gt;14,"15-16",IF('Qualifying Scores'!$B$1-E37&gt;12,"13-14",IF('Qualifying Scores'!$B$1-E37&gt;10,"11-12,""Not Age Eligible")))))</f>
        <v>17-21</v>
      </c>
      <c r="G37" s="56"/>
      <c r="H37" s="4">
        <f>SUM(N37:O37)</f>
        <v>135.73500000000001</v>
      </c>
      <c r="I37" s="3" t="str">
        <f>IF(MAX(T37-Q37,AA37-X37)&gt;=LOOKUP(F37,'Qualifying Scores'!$A$4:$A$7,'Qualifying Scores'!$B$4:$B$7),"P","")</f>
        <v/>
      </c>
      <c r="J37" s="3" t="str">
        <f>IF(MAX(S37,Z37)&gt;=LOOKUP(F37,'Qualifying Scores'!$A$10:$A$13,'Qualifying Scores'!$B$10:$B$13),"P","")</f>
        <v/>
      </c>
      <c r="K37" s="3" t="str">
        <f>IF(OR(AND(T37-Q37&gt;=LOOKUP(F37,'Qualifying Scores'!$A$4:$A$7,'Qualifying Scores'!$B$4:$B$7),S37&gt;=LOOKUP(F37,'Qualifying Scores'!$A$10:$A$13,'Qualifying Scores'!$B$10:$B$13)),AND(AA37-X37&gt;=LOOKUP(F37,'Qualifying Scores'!$A$4:$A$7,'Qualifying Scores'!$B$4:$B$7),Z37&gt;=LOOKUP(F37,'Qualifying Scores'!$A$10:$A$13,'Qualifying Scores'!$B$10:$B$13))),"P","")</f>
        <v/>
      </c>
      <c r="N37" s="4">
        <f>MAX(T37,AA37)</f>
        <v>87.72</v>
      </c>
      <c r="O37" s="4">
        <f>IF(N37=T37,MAX(U37,Y37,AB37),MAX(R37,U37,AB37))</f>
        <v>48.015000000000001</v>
      </c>
      <c r="P37" s="33">
        <v>40.76</v>
      </c>
      <c r="Q37" s="45">
        <v>2.2000000000000002</v>
      </c>
      <c r="R37" s="47">
        <v>46.96</v>
      </c>
      <c r="S37" s="45">
        <v>10.6</v>
      </c>
      <c r="T37" s="4">
        <f>P37+R37</f>
        <v>87.72</v>
      </c>
      <c r="U37" s="47">
        <v>48.015000000000001</v>
      </c>
      <c r="V37" s="45">
        <v>12.2</v>
      </c>
      <c r="W37" s="33"/>
      <c r="X37" s="44"/>
      <c r="Y37" s="34"/>
      <c r="Z37" s="44"/>
      <c r="AA37" s="4">
        <f>W37+Y37</f>
        <v>0</v>
      </c>
      <c r="AB37" s="34"/>
      <c r="AC37" s="39"/>
    </row>
    <row r="38" spans="1:29" x14ac:dyDescent="0.2">
      <c r="A38" s="1" t="str">
        <f t="shared" si="0"/>
        <v/>
      </c>
      <c r="B38" s="38" t="s">
        <v>198</v>
      </c>
      <c r="C38" s="38" t="s">
        <v>4</v>
      </c>
      <c r="D38" s="38" t="s">
        <v>11</v>
      </c>
      <c r="E38" s="37">
        <v>2002</v>
      </c>
      <c r="F38" s="1" t="str">
        <f>IF('Qualifying Scores'!$B$1-E38&gt;21,"Not Age Eligible",IF('Qualifying Scores'!$B$1-E38&gt;16,"17-21",IF('Qualifying Scores'!$B$1-E38&gt;14,"15-16",IF('Qualifying Scores'!$B$1-E38&gt;12,"13-14",IF('Qualifying Scores'!$B$1-E38&gt;10,"11-12,""Not Age Eligible")))))</f>
        <v>17-21</v>
      </c>
      <c r="G38" s="56"/>
      <c r="H38" s="4">
        <f>SUM(N38:O38)</f>
        <v>134.74</v>
      </c>
      <c r="I38" s="3" t="str">
        <f>IF(MAX(T38-Q38,AA38-X38)&gt;=LOOKUP(F38,'Qualifying Scores'!$A$4:$A$7,'Qualifying Scores'!$B$4:$B$7),"P","")</f>
        <v/>
      </c>
      <c r="J38" s="3" t="str">
        <f>IF(MAX(S38,Z38)&gt;=LOOKUP(F38,'Qualifying Scores'!$A$10:$A$13,'Qualifying Scores'!$B$10:$B$13),"P","")</f>
        <v>P</v>
      </c>
      <c r="K38" s="3" t="str">
        <f>IF(OR(AND(T38-Q38&gt;=LOOKUP(F38,'Qualifying Scores'!$A$4:$A$7,'Qualifying Scores'!$B$4:$B$7),S38&gt;=LOOKUP(F38,'Qualifying Scores'!$A$10:$A$13,'Qualifying Scores'!$B$10:$B$13)),AND(AA38-X38&gt;=LOOKUP(F38,'Qualifying Scores'!$A$4:$A$7,'Qualifying Scores'!$B$4:$B$7),Z38&gt;=LOOKUP(F38,'Qualifying Scores'!$A$10:$A$13,'Qualifying Scores'!$B$10:$B$13))),"P","")</f>
        <v/>
      </c>
      <c r="N38" s="4">
        <f>MAX(T38,AA38)</f>
        <v>86.835000000000008</v>
      </c>
      <c r="O38" s="4">
        <f>IF(N38=T38,MAX(U38,Y38,AB38),MAX(R38,U38,AB38))</f>
        <v>47.905000000000001</v>
      </c>
      <c r="P38" s="33">
        <v>35.47</v>
      </c>
      <c r="Q38" s="44">
        <v>1.9</v>
      </c>
      <c r="R38" s="34">
        <v>51.365000000000002</v>
      </c>
      <c r="S38" s="44">
        <v>13.6</v>
      </c>
      <c r="T38" s="4">
        <f>P38+R38</f>
        <v>86.835000000000008</v>
      </c>
      <c r="U38" s="34">
        <v>47.905000000000001</v>
      </c>
      <c r="V38" s="44">
        <v>11.9</v>
      </c>
      <c r="W38" s="33">
        <v>47.56</v>
      </c>
      <c r="X38" s="44">
        <v>3.9</v>
      </c>
      <c r="Y38" s="34">
        <v>25.395</v>
      </c>
      <c r="Z38" s="44">
        <v>6.4</v>
      </c>
      <c r="AA38" s="4">
        <f>W38+Y38</f>
        <v>72.954999999999998</v>
      </c>
      <c r="AB38" s="34"/>
      <c r="AC38" s="39"/>
    </row>
    <row r="39" spans="1:29" x14ac:dyDescent="0.2">
      <c r="A39" s="1" t="str">
        <f t="shared" si="0"/>
        <v/>
      </c>
      <c r="B39" s="38" t="s">
        <v>199</v>
      </c>
      <c r="C39" s="38" t="s">
        <v>8</v>
      </c>
      <c r="D39" s="38" t="s">
        <v>9</v>
      </c>
      <c r="E39" s="37">
        <v>1999</v>
      </c>
      <c r="F39" s="1" t="str">
        <f>IF('Qualifying Scores'!$B$1-E39&gt;21,"Not Age Eligible",IF('Qualifying Scores'!$B$1-E39&gt;16,"17-21",IF('Qualifying Scores'!$B$1-E39&gt;14,"15-16",IF('Qualifying Scores'!$B$1-E39&gt;12,"13-14",IF('Qualifying Scores'!$B$1-E39&gt;10,"11-12,""Not Age Eligible")))))</f>
        <v>17-21</v>
      </c>
      <c r="G39" s="56"/>
      <c r="H39" s="4">
        <f>SUM(N39:O39)</f>
        <v>129.64999999999998</v>
      </c>
      <c r="I39" s="3" t="str">
        <f>IF(MAX(T39-Q39,AA39-X39)&gt;=LOOKUP(F39,'Qualifying Scores'!$A$4:$A$7,'Qualifying Scores'!$B$4:$B$7),"P","")</f>
        <v/>
      </c>
      <c r="J39" s="3" t="str">
        <f>IF(MAX(S39,Z39)&gt;=LOOKUP(F39,'Qualifying Scores'!$A$10:$A$13,'Qualifying Scores'!$B$10:$B$13),"P","")</f>
        <v/>
      </c>
      <c r="K39" s="3" t="str">
        <f>IF(OR(AND(T39-Q39&gt;=LOOKUP(F39,'Qualifying Scores'!$A$4:$A$7,'Qualifying Scores'!$B$4:$B$7),S39&gt;=LOOKUP(F39,'Qualifying Scores'!$A$10:$A$13,'Qualifying Scores'!$B$10:$B$13)),AND(AA39-X39&gt;=LOOKUP(F39,'Qualifying Scores'!$A$4:$A$7,'Qualifying Scores'!$B$4:$B$7),Z39&gt;=LOOKUP(F39,'Qualifying Scores'!$A$10:$A$13,'Qualifying Scores'!$B$10:$B$13))),"P","")</f>
        <v/>
      </c>
      <c r="N39" s="4">
        <f>MAX(T39,AA39)</f>
        <v>77.584999999999994</v>
      </c>
      <c r="O39" s="4">
        <f>IF(N39=T39,MAX(U39,Y39,AB39),MAX(R39,U39,AB39))</f>
        <v>52.064999999999998</v>
      </c>
      <c r="P39" s="33">
        <v>47.35</v>
      </c>
      <c r="Q39" s="44">
        <v>4</v>
      </c>
      <c r="R39" s="34">
        <v>21.164999999999999</v>
      </c>
      <c r="S39" s="44">
        <v>5.2</v>
      </c>
      <c r="T39" s="4">
        <f>P39+R39</f>
        <v>68.515000000000001</v>
      </c>
      <c r="U39" s="34">
        <v>52.064999999999998</v>
      </c>
      <c r="V39" s="44">
        <v>12.9</v>
      </c>
      <c r="W39" s="33">
        <v>46.87</v>
      </c>
      <c r="X39" s="44">
        <v>4</v>
      </c>
      <c r="Y39" s="34">
        <v>30.715</v>
      </c>
      <c r="Z39" s="44">
        <v>7.2</v>
      </c>
      <c r="AA39" s="4">
        <f>W39+Y39</f>
        <v>77.584999999999994</v>
      </c>
      <c r="AB39" s="34"/>
      <c r="AC39" s="39"/>
    </row>
    <row r="40" spans="1:29" x14ac:dyDescent="0.2">
      <c r="A40" s="1" t="str">
        <f t="shared" si="0"/>
        <v/>
      </c>
      <c r="B40" s="38" t="s">
        <v>90</v>
      </c>
      <c r="C40" s="38" t="s">
        <v>12</v>
      </c>
      <c r="D40" s="38" t="s">
        <v>15</v>
      </c>
      <c r="E40" s="37">
        <v>1998</v>
      </c>
      <c r="F40" s="1" t="str">
        <f>IF('Qualifying Scores'!$B$1-E40&gt;21,"Not Age Eligible",IF('Qualifying Scores'!$B$1-E40&gt;16,"17-21",IF('Qualifying Scores'!$B$1-E40&gt;14,"15-16",IF('Qualifying Scores'!$B$1-E40&gt;12,"13-14",IF('Qualifying Scores'!$B$1-E40&gt;10,"11-12,""Not Age Eligible")))))</f>
        <v>17-21</v>
      </c>
      <c r="G40" s="56"/>
      <c r="H40" s="4">
        <f>SUM(N40:O40)</f>
        <v>124.25999999999999</v>
      </c>
      <c r="I40" s="3" t="str">
        <f>IF(MAX(T40-Q40,AA40-X40)&gt;=LOOKUP(F40,'Qualifying Scores'!$A$4:$A$7,'Qualifying Scores'!$B$4:$B$7),"P","")</f>
        <v/>
      </c>
      <c r="J40" s="3" t="str">
        <f>IF(MAX(S40,Z40)&gt;=LOOKUP(F40,'Qualifying Scores'!$A$10:$A$13,'Qualifying Scores'!$B$10:$B$13),"P","")</f>
        <v/>
      </c>
      <c r="K40" s="3" t="str">
        <f>IF(OR(AND(T40-Q40&gt;=LOOKUP(F40,'Qualifying Scores'!$A$4:$A$7,'Qualifying Scores'!$B$4:$B$7),S40&gt;=LOOKUP(F40,'Qualifying Scores'!$A$10:$A$13,'Qualifying Scores'!$B$10:$B$13)),AND(AA40-X40&gt;=LOOKUP(F40,'Qualifying Scores'!$A$4:$A$7,'Qualifying Scores'!$B$4:$B$7),Z40&gt;=LOOKUP(F40,'Qualifying Scores'!$A$10:$A$13,'Qualifying Scores'!$B$10:$B$13))),"P","")</f>
        <v/>
      </c>
      <c r="N40" s="4">
        <f>MAX(T40,AA40)</f>
        <v>98.35</v>
      </c>
      <c r="O40" s="4">
        <f>IF(N40=T40,MAX(U40,Y40,AB40),MAX(R40,U40,AB40))</f>
        <v>25.91</v>
      </c>
      <c r="P40" s="33">
        <v>40.85</v>
      </c>
      <c r="Q40" s="44">
        <v>2.6</v>
      </c>
      <c r="R40" s="34">
        <v>25.91</v>
      </c>
      <c r="S40" s="44">
        <v>7.1</v>
      </c>
      <c r="T40" s="4">
        <f>P40+R40</f>
        <v>66.760000000000005</v>
      </c>
      <c r="U40" s="34"/>
      <c r="V40" s="44"/>
      <c r="W40" s="33">
        <v>46.86</v>
      </c>
      <c r="X40" s="44">
        <v>3.9</v>
      </c>
      <c r="Y40" s="34">
        <v>51.49</v>
      </c>
      <c r="Z40" s="44">
        <v>12.8</v>
      </c>
      <c r="AA40" s="4">
        <f>W40+Y40</f>
        <v>98.35</v>
      </c>
      <c r="AB40" s="34"/>
      <c r="AC40" s="39"/>
    </row>
    <row r="41" spans="1:29" x14ac:dyDescent="0.2">
      <c r="A41" s="1" t="str">
        <f t="shared" si="0"/>
        <v/>
      </c>
      <c r="B41" s="38" t="s">
        <v>278</v>
      </c>
      <c r="C41" s="38" t="s">
        <v>12</v>
      </c>
      <c r="E41" s="37">
        <v>2001</v>
      </c>
      <c r="F41" s="1" t="str">
        <f>IF('Qualifying Scores'!$B$1-E41&gt;21,"Not Age Eligible",IF('Qualifying Scores'!$B$1-E41&gt;16,"17-21",IF('Qualifying Scores'!$B$1-E41&gt;14,"15-16",IF('Qualifying Scores'!$B$1-E41&gt;12,"13-14",IF('Qualifying Scores'!$B$1-E41&gt;10,"11-12,""Not Age Eligible")))))</f>
        <v>17-21</v>
      </c>
      <c r="G41" s="56" t="s">
        <v>305</v>
      </c>
      <c r="H41" s="4">
        <f>SUM(N41:O41)</f>
        <v>106.13</v>
      </c>
      <c r="I41" s="3" t="str">
        <f>IF(MAX(T41-Q41,AA41-X41)&gt;=LOOKUP(F41,'Qualifying Scores'!$A$4:$A$7,'Qualifying Scores'!$B$4:$B$7),"P","")</f>
        <v/>
      </c>
      <c r="J41" s="3" t="str">
        <f>IF(MAX(S41,Z41)&gt;=LOOKUP(F41,'Qualifying Scores'!$A$10:$A$13,'Qualifying Scores'!$B$10:$B$13),"P","")</f>
        <v/>
      </c>
      <c r="K41" s="3" t="str">
        <f>IF(OR(AND(T41-Q41&gt;=LOOKUP(F41,'Qualifying Scores'!$A$4:$A$7,'Qualifying Scores'!$B$4:$B$7),S41&gt;=LOOKUP(F41,'Qualifying Scores'!$A$10:$A$13,'Qualifying Scores'!$B$10:$B$13)),AND(AA41-X41&gt;=LOOKUP(F41,'Qualifying Scores'!$A$4:$A$7,'Qualifying Scores'!$B$4:$B$7),Z41&gt;=LOOKUP(F41,'Qualifying Scores'!$A$10:$A$13,'Qualifying Scores'!$B$10:$B$13))),"P","")</f>
        <v/>
      </c>
      <c r="N41" s="4">
        <f>MAX(T41,AA41)</f>
        <v>82.96</v>
      </c>
      <c r="O41" s="4">
        <f>IF(N41=T41,MAX(U41,Y41,AB41),MAX(R41,U41,AB41))</f>
        <v>23.17</v>
      </c>
      <c r="P41" s="33"/>
      <c r="Q41" s="44"/>
      <c r="R41" s="34"/>
      <c r="S41" s="44"/>
      <c r="T41" s="4">
        <f>P41+R41</f>
        <v>0</v>
      </c>
      <c r="U41" s="34"/>
      <c r="V41" s="44"/>
      <c r="W41" s="33">
        <v>48.73</v>
      </c>
      <c r="X41" s="44">
        <v>3.2</v>
      </c>
      <c r="Y41" s="34">
        <v>34.229999999999997</v>
      </c>
      <c r="Z41" s="44">
        <v>9.4</v>
      </c>
      <c r="AA41" s="4">
        <f>W41+Y41</f>
        <v>82.96</v>
      </c>
      <c r="AB41" s="34">
        <v>23.17</v>
      </c>
      <c r="AC41" s="39">
        <v>6.7</v>
      </c>
    </row>
    <row r="42" spans="1:29" x14ac:dyDescent="0.2">
      <c r="A42" s="1" t="str">
        <f t="shared" si="0"/>
        <v/>
      </c>
      <c r="B42" s="38" t="s">
        <v>178</v>
      </c>
      <c r="C42" s="38" t="s">
        <v>12</v>
      </c>
      <c r="D42" s="38" t="s">
        <v>138</v>
      </c>
      <c r="E42" s="37">
        <v>2000</v>
      </c>
      <c r="F42" s="1" t="str">
        <f>IF('Qualifying Scores'!$B$1-E42&gt;21,"Not Age Eligible",IF('Qualifying Scores'!$B$1-E42&gt;16,"17-21",IF('Qualifying Scores'!$B$1-E42&gt;14,"15-16",IF('Qualifying Scores'!$B$1-E42&gt;12,"13-14",IF('Qualifying Scores'!$B$1-E42&gt;10,"11-12,""Not Age Eligible")))))</f>
        <v>17-21</v>
      </c>
      <c r="G42" s="56"/>
      <c r="H42" s="4">
        <f>SUM(N42:O42)</f>
        <v>99.36</v>
      </c>
      <c r="I42" s="3" t="str">
        <f>IF(MAX(T42-Q42,AA42-X42)&gt;=LOOKUP(F42,'Qualifying Scores'!$A$4:$A$7,'Qualifying Scores'!$B$4:$B$7),"P","")</f>
        <v/>
      </c>
      <c r="J42" s="3" t="str">
        <f>IF(MAX(S42,Z42)&gt;=LOOKUP(F42,'Qualifying Scores'!$A$10:$A$13,'Qualifying Scores'!$B$10:$B$13),"P","")</f>
        <v/>
      </c>
      <c r="K42" s="3" t="str">
        <f>IF(OR(AND(T42-Q42&gt;=LOOKUP(F42,'Qualifying Scores'!$A$4:$A$7,'Qualifying Scores'!$B$4:$B$7),S42&gt;=LOOKUP(F42,'Qualifying Scores'!$A$10:$A$13,'Qualifying Scores'!$B$10:$B$13)),AND(AA42-X42&gt;=LOOKUP(F42,'Qualifying Scores'!$A$4:$A$7,'Qualifying Scores'!$B$4:$B$7),Z42&gt;=LOOKUP(F42,'Qualifying Scores'!$A$10:$A$13,'Qualifying Scores'!$B$10:$B$13))),"P","")</f>
        <v/>
      </c>
      <c r="N42" s="4">
        <f>MAX(T42,AA42)</f>
        <v>87.97</v>
      </c>
      <c r="O42" s="4">
        <f>IF(N42=T42,MAX(U42,Y42,AB42),MAX(R42,U42,AB42))</f>
        <v>11.39</v>
      </c>
      <c r="P42" s="33">
        <v>35.375</v>
      </c>
      <c r="Q42" s="45">
        <v>3.8</v>
      </c>
      <c r="R42" s="47">
        <v>11.39</v>
      </c>
      <c r="S42" s="45">
        <v>3.4</v>
      </c>
      <c r="T42" s="4">
        <f>P42+R42</f>
        <v>46.765000000000001</v>
      </c>
      <c r="U42" s="47"/>
      <c r="V42" s="45"/>
      <c r="W42" s="33">
        <v>35.83</v>
      </c>
      <c r="X42" s="44">
        <v>1.6</v>
      </c>
      <c r="Y42" s="34">
        <v>52.14</v>
      </c>
      <c r="Z42" s="44">
        <v>13.2</v>
      </c>
      <c r="AA42" s="4">
        <f>W42+Y42</f>
        <v>87.97</v>
      </c>
      <c r="AB42" s="34"/>
      <c r="AC42" s="39"/>
    </row>
    <row r="43" spans="1:29" x14ac:dyDescent="0.2">
      <c r="A43" s="1" t="str">
        <f t="shared" si="0"/>
        <v/>
      </c>
      <c r="B43" s="38" t="s">
        <v>86</v>
      </c>
      <c r="C43" s="38" t="s">
        <v>8</v>
      </c>
      <c r="D43" s="38" t="s">
        <v>75</v>
      </c>
      <c r="E43" s="37">
        <v>2000</v>
      </c>
      <c r="F43" s="1" t="str">
        <f>IF('Qualifying Scores'!$B$1-E43&gt;21,"Not Age Eligible",IF('Qualifying Scores'!$B$1-E43&gt;16,"17-21",IF('Qualifying Scores'!$B$1-E43&gt;14,"15-16",IF('Qualifying Scores'!$B$1-E43&gt;12,"13-14",IF('Qualifying Scores'!$B$1-E43&gt;10,"11-12,""Not Age Eligible")))))</f>
        <v>17-21</v>
      </c>
      <c r="G43" s="56"/>
      <c r="H43" s="4">
        <f>SUM(N43:O43)</f>
        <v>95.26</v>
      </c>
      <c r="I43" s="3" t="str">
        <f>IF(MAX(T43-Q43,AA43-X43)&gt;=LOOKUP(F43,'Qualifying Scores'!$A$4:$A$7,'Qualifying Scores'!$B$4:$B$7),"P","")</f>
        <v/>
      </c>
      <c r="J43" s="3" t="str">
        <f>IF(MAX(S43,Z43)&gt;=LOOKUP(F43,'Qualifying Scores'!$A$10:$A$13,'Qualifying Scores'!$B$10:$B$13),"P","")</f>
        <v/>
      </c>
      <c r="K43" s="3" t="str">
        <f>IF(OR(AND(T43-Q43&gt;=LOOKUP(F43,'Qualifying Scores'!$A$4:$A$7,'Qualifying Scores'!$B$4:$B$7),S43&gt;=LOOKUP(F43,'Qualifying Scores'!$A$10:$A$13,'Qualifying Scores'!$B$10:$B$13)),AND(AA43-X43&gt;=LOOKUP(F43,'Qualifying Scores'!$A$4:$A$7,'Qualifying Scores'!$B$4:$B$7),Z43&gt;=LOOKUP(F43,'Qualifying Scores'!$A$10:$A$13,'Qualifying Scores'!$B$10:$B$13))),"P","")</f>
        <v/>
      </c>
      <c r="N43" s="4">
        <f>MAX(T43,AA43)</f>
        <v>85.43</v>
      </c>
      <c r="O43" s="4">
        <f>IF(N43=T43,MAX(U43,Y43,AB43),MAX(R43,U43,AB43))</f>
        <v>9.83</v>
      </c>
      <c r="P43" s="33">
        <v>40.5</v>
      </c>
      <c r="Q43" s="44">
        <v>2.5</v>
      </c>
      <c r="R43" s="34">
        <v>5.2149999999999999</v>
      </c>
      <c r="S43" s="44">
        <v>1.5</v>
      </c>
      <c r="T43" s="4">
        <f>P43+R43</f>
        <v>45.715000000000003</v>
      </c>
      <c r="U43" s="34"/>
      <c r="V43" s="44"/>
      <c r="W43" s="33">
        <v>40.18</v>
      </c>
      <c r="X43" s="44">
        <v>2.2999999999999998</v>
      </c>
      <c r="Y43" s="34">
        <v>45.25</v>
      </c>
      <c r="Z43" s="44">
        <v>9.4</v>
      </c>
      <c r="AA43" s="4">
        <f>W43+Y43</f>
        <v>85.43</v>
      </c>
      <c r="AB43" s="34">
        <v>9.83</v>
      </c>
      <c r="AC43" s="39">
        <v>2.5</v>
      </c>
    </row>
    <row r="44" spans="1:29" x14ac:dyDescent="0.2">
      <c r="A44" s="1" t="str">
        <f t="shared" si="0"/>
        <v/>
      </c>
      <c r="B44" s="38" t="s">
        <v>200</v>
      </c>
      <c r="C44" s="38" t="s">
        <v>4</v>
      </c>
      <c r="D44" s="38" t="s">
        <v>148</v>
      </c>
      <c r="E44" s="37">
        <v>2001</v>
      </c>
      <c r="F44" s="1" t="str">
        <f>IF('Qualifying Scores'!$B$1-E44&gt;21,"Not Age Eligible",IF('Qualifying Scores'!$B$1-E44&gt;16,"17-21",IF('Qualifying Scores'!$B$1-E44&gt;14,"15-16",IF('Qualifying Scores'!$B$1-E44&gt;12,"13-14",IF('Qualifying Scores'!$B$1-E44&gt;10,"11-12,""Not Age Eligible")))))</f>
        <v>17-21</v>
      </c>
      <c r="G44" s="56"/>
      <c r="H44" s="4">
        <f>SUM(N44:O44)</f>
        <v>89.025000000000006</v>
      </c>
      <c r="I44" s="3" t="str">
        <f>IF(MAX(T44-Q44,AA44-X44)&gt;=LOOKUP(F44,'Qualifying Scores'!$A$4:$A$7,'Qualifying Scores'!$B$4:$B$7),"P","")</f>
        <v/>
      </c>
      <c r="J44" s="3" t="str">
        <f>IF(MAX(S44,Z44)&gt;=LOOKUP(F44,'Qualifying Scores'!$A$10:$A$13,'Qualifying Scores'!$B$10:$B$13),"P","")</f>
        <v/>
      </c>
      <c r="K44" s="3" t="str">
        <f>IF(OR(AND(T44-Q44&gt;=LOOKUP(F44,'Qualifying Scores'!$A$4:$A$7,'Qualifying Scores'!$B$4:$B$7),S44&gt;=LOOKUP(F44,'Qualifying Scores'!$A$10:$A$13,'Qualifying Scores'!$B$10:$B$13)),AND(AA44-X44&gt;=LOOKUP(F44,'Qualifying Scores'!$A$4:$A$7,'Qualifying Scores'!$B$4:$B$7),Z44&gt;=LOOKUP(F44,'Qualifying Scores'!$A$10:$A$13,'Qualifying Scores'!$B$10:$B$13))),"P","")</f>
        <v/>
      </c>
      <c r="N44" s="4">
        <f>MAX(T44,AA44)</f>
        <v>77.715000000000003</v>
      </c>
      <c r="O44" s="4">
        <f>IF(N44=T44,MAX(U44,Y44,AB44),MAX(R44,U44,AB44))</f>
        <v>11.31</v>
      </c>
      <c r="P44" s="33">
        <v>45.744999999999997</v>
      </c>
      <c r="Q44" s="44">
        <v>4.0999999999999996</v>
      </c>
      <c r="R44" s="34">
        <v>31.97</v>
      </c>
      <c r="S44" s="44">
        <v>8.1999999999999993</v>
      </c>
      <c r="T44" s="4">
        <f>P44+R44</f>
        <v>77.715000000000003</v>
      </c>
      <c r="U44" s="34">
        <v>11.31</v>
      </c>
      <c r="V44" s="44">
        <v>3.8</v>
      </c>
      <c r="W44" s="33"/>
      <c r="X44" s="44"/>
      <c r="Y44" s="34"/>
      <c r="Z44" s="44"/>
      <c r="AA44" s="4">
        <f>W44+Y44</f>
        <v>0</v>
      </c>
      <c r="AB44" s="34"/>
      <c r="AC44" s="39"/>
    </row>
    <row r="45" spans="1:29" x14ac:dyDescent="0.2">
      <c r="A45" s="1" t="str">
        <f t="shared" si="0"/>
        <v/>
      </c>
      <c r="B45" s="38" t="s">
        <v>201</v>
      </c>
      <c r="C45" s="38" t="s">
        <v>8</v>
      </c>
      <c r="D45" s="38" t="s">
        <v>9</v>
      </c>
      <c r="E45" s="37">
        <v>2002</v>
      </c>
      <c r="F45" s="1" t="str">
        <f>IF('Qualifying Scores'!$B$1-E45&gt;21,"Not Age Eligible",IF('Qualifying Scores'!$B$1-E45&gt;16,"17-21",IF('Qualifying Scores'!$B$1-E45&gt;14,"15-16",IF('Qualifying Scores'!$B$1-E45&gt;12,"13-14",IF('Qualifying Scores'!$B$1-E45&gt;10,"11-12,""Not Age Eligible")))))</f>
        <v>17-21</v>
      </c>
      <c r="G45" s="56"/>
      <c r="H45" s="4">
        <f>SUM(N45:O45)</f>
        <v>74.125</v>
      </c>
      <c r="I45" s="3" t="str">
        <f>IF(MAX(T45-Q45,AA45-X45)&gt;=LOOKUP(F45,'Qualifying Scores'!$A$4:$A$7,'Qualifying Scores'!$B$4:$B$7),"P","")</f>
        <v/>
      </c>
      <c r="J45" s="3" t="str">
        <f>IF(MAX(S45,Z45)&gt;=LOOKUP(F45,'Qualifying Scores'!$A$10:$A$13,'Qualifying Scores'!$B$10:$B$13),"P","")</f>
        <v/>
      </c>
      <c r="K45" s="3" t="str">
        <f>IF(OR(AND(T45-Q45&gt;=LOOKUP(F45,'Qualifying Scores'!$A$4:$A$7,'Qualifying Scores'!$B$4:$B$7),S45&gt;=LOOKUP(F45,'Qualifying Scores'!$A$10:$A$13,'Qualifying Scores'!$B$10:$B$13)),AND(AA45-X45&gt;=LOOKUP(F45,'Qualifying Scores'!$A$4:$A$7,'Qualifying Scores'!$B$4:$B$7),Z45&gt;=LOOKUP(F45,'Qualifying Scores'!$A$10:$A$13,'Qualifying Scores'!$B$10:$B$13))),"P","")</f>
        <v/>
      </c>
      <c r="N45" s="4">
        <f>MAX(T45,AA45)</f>
        <v>62.965000000000003</v>
      </c>
      <c r="O45" s="4">
        <f>IF(N45=T45,MAX(U45,Y45,AB45),MAX(R45,U45,AB45))</f>
        <v>11.16</v>
      </c>
      <c r="P45" s="33">
        <v>46.325000000000003</v>
      </c>
      <c r="Q45" s="44">
        <v>4</v>
      </c>
      <c r="R45" s="34">
        <v>16.64</v>
      </c>
      <c r="S45" s="44">
        <v>4.5999999999999996</v>
      </c>
      <c r="T45" s="4">
        <f>P45+R45</f>
        <v>62.965000000000003</v>
      </c>
      <c r="U45" s="34"/>
      <c r="V45" s="44"/>
      <c r="W45" s="33">
        <v>47.454999999999998</v>
      </c>
      <c r="X45" s="44">
        <v>4</v>
      </c>
      <c r="Y45" s="34">
        <v>11.16</v>
      </c>
      <c r="Z45" s="44">
        <v>3.1</v>
      </c>
      <c r="AA45" s="4">
        <f>W45+Y45</f>
        <v>58.614999999999995</v>
      </c>
      <c r="AB45" s="34"/>
      <c r="AC45" s="39"/>
    </row>
    <row r="46" spans="1:29" x14ac:dyDescent="0.2">
      <c r="A46" s="1" t="str">
        <f t="shared" si="0"/>
        <v/>
      </c>
      <c r="B46" s="38" t="s">
        <v>272</v>
      </c>
      <c r="C46" s="38" t="s">
        <v>12</v>
      </c>
      <c r="E46" s="37">
        <v>2001</v>
      </c>
      <c r="F46" s="1" t="str">
        <f>IF('Qualifying Scores'!$B$1-E46&gt;21,"Not Age Eligible",IF('Qualifying Scores'!$B$1-E46&gt;16,"17-21",IF('Qualifying Scores'!$B$1-E46&gt;14,"15-16",IF('Qualifying Scores'!$B$1-E46&gt;12,"13-14",IF('Qualifying Scores'!$B$1-E46&gt;10,"11-12,""Not Age Eligible")))))</f>
        <v>17-21</v>
      </c>
      <c r="G46" s="56"/>
      <c r="H46" s="4">
        <f>SUM(N46:O46)</f>
        <v>60.88</v>
      </c>
      <c r="I46" s="3" t="str">
        <f>IF(MAX(T46-Q46,AA46-X46)&gt;=LOOKUP(F46,'Qualifying Scores'!$A$4:$A$7,'Qualifying Scores'!$B$4:$B$7),"P","")</f>
        <v/>
      </c>
      <c r="J46" s="3" t="str">
        <f>IF(MAX(S46,Z46)&gt;=LOOKUP(F46,'Qualifying Scores'!$A$10:$A$13,'Qualifying Scores'!$B$10:$B$13),"P","")</f>
        <v/>
      </c>
      <c r="K46" s="3" t="str">
        <f>IF(OR(AND(T46-Q46&gt;=LOOKUP(F46,'Qualifying Scores'!$A$4:$A$7,'Qualifying Scores'!$B$4:$B$7),S46&gt;=LOOKUP(F46,'Qualifying Scores'!$A$10:$A$13,'Qualifying Scores'!$B$10:$B$13)),AND(AA46-X46&gt;=LOOKUP(F46,'Qualifying Scores'!$A$4:$A$7,'Qualifying Scores'!$B$4:$B$7),Z46&gt;=LOOKUP(F46,'Qualifying Scores'!$A$10:$A$13,'Qualifying Scores'!$B$10:$B$13))),"P","")</f>
        <v/>
      </c>
      <c r="N46" s="4">
        <f>MAX(T46,AA46)</f>
        <v>60.88</v>
      </c>
      <c r="O46" s="4">
        <f>IF(N46=T46,MAX(U46,Y46,AB46),MAX(R46,U46,AB46))</f>
        <v>0</v>
      </c>
      <c r="P46" s="33"/>
      <c r="Q46" s="44"/>
      <c r="R46" s="34"/>
      <c r="S46" s="44"/>
      <c r="T46" s="4">
        <f>P46+R46</f>
        <v>0</v>
      </c>
      <c r="U46" s="34"/>
      <c r="V46" s="44"/>
      <c r="W46" s="33">
        <v>45.45</v>
      </c>
      <c r="X46" s="44">
        <v>2.4</v>
      </c>
      <c r="Y46" s="34">
        <v>15.43</v>
      </c>
      <c r="Z46" s="44">
        <v>3.8</v>
      </c>
      <c r="AA46" s="4">
        <f>W46+Y46</f>
        <v>60.88</v>
      </c>
      <c r="AB46" s="34"/>
      <c r="AC46" s="39"/>
    </row>
    <row r="47" spans="1:29" x14ac:dyDescent="0.2">
      <c r="A47" s="1" t="str">
        <f t="shared" si="0"/>
        <v/>
      </c>
      <c r="B47" s="38" t="s">
        <v>273</v>
      </c>
      <c r="C47" s="38" t="s">
        <v>12</v>
      </c>
      <c r="E47" s="37">
        <v>2000</v>
      </c>
      <c r="F47" s="1" t="str">
        <f>IF('Qualifying Scores'!$B$1-E47&gt;21,"Not Age Eligible",IF('Qualifying Scores'!$B$1-E47&gt;16,"17-21",IF('Qualifying Scores'!$B$1-E47&gt;14,"15-16",IF('Qualifying Scores'!$B$1-E47&gt;12,"13-14",IF('Qualifying Scores'!$B$1-E47&gt;10,"11-12,""Not Age Eligible")))))</f>
        <v>17-21</v>
      </c>
      <c r="G47" s="56"/>
      <c r="H47" s="4">
        <f>SUM(N47:O47)</f>
        <v>60.050000000000004</v>
      </c>
      <c r="I47" s="3" t="str">
        <f>IF(MAX(T47-Q47,AA47-X47)&gt;=LOOKUP(F47,'Qualifying Scores'!$A$4:$A$7,'Qualifying Scores'!$B$4:$B$7),"P","")</f>
        <v/>
      </c>
      <c r="J47" s="3" t="str">
        <f>IF(MAX(S47,Z47)&gt;=LOOKUP(F47,'Qualifying Scores'!$A$10:$A$13,'Qualifying Scores'!$B$10:$B$13),"P","")</f>
        <v/>
      </c>
      <c r="K47" s="3" t="str">
        <f>IF(OR(AND(T47-Q47&gt;=LOOKUP(F47,'Qualifying Scores'!$A$4:$A$7,'Qualifying Scores'!$B$4:$B$7),S47&gt;=LOOKUP(F47,'Qualifying Scores'!$A$10:$A$13,'Qualifying Scores'!$B$10:$B$13)),AND(AA47-X47&gt;=LOOKUP(F47,'Qualifying Scores'!$A$4:$A$7,'Qualifying Scores'!$B$4:$B$7),Z47&gt;=LOOKUP(F47,'Qualifying Scores'!$A$10:$A$13,'Qualifying Scores'!$B$10:$B$13))),"P","")</f>
        <v/>
      </c>
      <c r="N47" s="4">
        <f>MAX(T47,AA47)</f>
        <v>60.050000000000004</v>
      </c>
      <c r="O47" s="4">
        <f>IF(N47=T47,MAX(U47,Y47,AB47),MAX(R47,U47,AB47))</f>
        <v>0</v>
      </c>
      <c r="P47" s="33"/>
      <c r="Q47" s="44"/>
      <c r="R47" s="34"/>
      <c r="S47" s="44"/>
      <c r="T47" s="4">
        <f>P47+R47</f>
        <v>0</v>
      </c>
      <c r="U47" s="34"/>
      <c r="V47" s="44"/>
      <c r="W47" s="33">
        <v>41.005000000000003</v>
      </c>
      <c r="X47" s="44">
        <v>2.4</v>
      </c>
      <c r="Y47" s="34">
        <v>19.045000000000002</v>
      </c>
      <c r="Z47" s="44">
        <v>4.5</v>
      </c>
      <c r="AA47" s="4">
        <f>W47+Y47</f>
        <v>60.050000000000004</v>
      </c>
      <c r="AB47" s="34"/>
      <c r="AC47" s="39"/>
    </row>
    <row r="48" spans="1:29" x14ac:dyDescent="0.2">
      <c r="A48" s="1" t="str">
        <f t="shared" si="0"/>
        <v/>
      </c>
      <c r="B48" s="38" t="s">
        <v>300</v>
      </c>
      <c r="C48" s="38" t="s">
        <v>4</v>
      </c>
      <c r="E48" s="37">
        <v>2002</v>
      </c>
      <c r="F48" s="1" t="str">
        <f>IF('Qualifying Scores'!$B$1-E48&gt;21,"Not Age Eligible",IF('Qualifying Scores'!$B$1-E48&gt;16,"17-21",IF('Qualifying Scores'!$B$1-E48&gt;14,"15-16",IF('Qualifying Scores'!$B$1-E48&gt;12,"13-14",IF('Qualifying Scores'!$B$1-E48&gt;10,"11-12,""Not Age Eligible")))))</f>
        <v>17-21</v>
      </c>
      <c r="G48" s="56"/>
      <c r="H48" s="4">
        <f>SUM(N48:O48)</f>
        <v>57.195000000000007</v>
      </c>
      <c r="I48" s="3" t="str">
        <f>IF(MAX(T48-Q48,AA48-X48)&gt;=LOOKUP(F48,'Qualifying Scores'!$A$4:$A$7,'Qualifying Scores'!$B$4:$B$7),"P","")</f>
        <v/>
      </c>
      <c r="J48" s="3" t="str">
        <f>IF(MAX(S48,Z48)&gt;=LOOKUP(F48,'Qualifying Scores'!$A$10:$A$13,'Qualifying Scores'!$B$10:$B$13),"P","")</f>
        <v/>
      </c>
      <c r="K48" s="3" t="str">
        <f>IF(OR(AND(T48-Q48&gt;=LOOKUP(F48,'Qualifying Scores'!$A$4:$A$7,'Qualifying Scores'!$B$4:$B$7),S48&gt;=LOOKUP(F48,'Qualifying Scores'!$A$10:$A$13,'Qualifying Scores'!$B$10:$B$13)),AND(AA48-X48&gt;=LOOKUP(F48,'Qualifying Scores'!$A$4:$A$7,'Qualifying Scores'!$B$4:$B$7),Z48&gt;=LOOKUP(F48,'Qualifying Scores'!$A$10:$A$13,'Qualifying Scores'!$B$10:$B$13))),"P","")</f>
        <v/>
      </c>
      <c r="N48" s="4">
        <f>MAX(T48,AA48)</f>
        <v>57.195000000000007</v>
      </c>
      <c r="O48" s="4">
        <f>IF(N48=T48,MAX(U48,Y48,AB48),MAX(R48,U48,AB48))</f>
        <v>0</v>
      </c>
      <c r="P48" s="33"/>
      <c r="Q48" s="44"/>
      <c r="R48" s="34"/>
      <c r="S48" s="44"/>
      <c r="T48" s="4">
        <f>P48+R48</f>
        <v>0</v>
      </c>
      <c r="U48" s="34"/>
      <c r="V48" s="44"/>
      <c r="W48" s="33">
        <v>42.715000000000003</v>
      </c>
      <c r="X48" s="44">
        <v>2.1</v>
      </c>
      <c r="Y48" s="34">
        <v>14.48</v>
      </c>
      <c r="Z48" s="44">
        <v>3.4</v>
      </c>
      <c r="AA48" s="4">
        <f>W48+Y48</f>
        <v>57.195000000000007</v>
      </c>
      <c r="AB48" s="34"/>
      <c r="AC48" s="39"/>
    </row>
    <row r="49" spans="1:29" x14ac:dyDescent="0.2">
      <c r="A49" s="1"/>
      <c r="N49" s="4"/>
      <c r="O49" s="4"/>
      <c r="P49" s="33"/>
      <c r="Q49" s="44"/>
      <c r="R49" s="34"/>
      <c r="S49" s="44"/>
      <c r="T49" s="4"/>
      <c r="U49" s="34"/>
      <c r="V49" s="44"/>
      <c r="W49" s="33"/>
      <c r="X49" s="44"/>
      <c r="Y49" s="34"/>
      <c r="Z49" s="44"/>
      <c r="AA49" s="4"/>
      <c r="AB49" s="34"/>
      <c r="AC49" s="39"/>
    </row>
    <row r="50" spans="1:29" x14ac:dyDescent="0.2">
      <c r="N50" s="4"/>
      <c r="O50" s="4"/>
      <c r="P50" s="33"/>
      <c r="Q50" s="44"/>
      <c r="R50" s="34"/>
      <c r="S50" s="44"/>
      <c r="T50" s="4"/>
      <c r="U50" s="34"/>
      <c r="V50" s="44"/>
      <c r="W50" s="33"/>
      <c r="X50" s="44"/>
      <c r="Y50" s="34"/>
      <c r="Z50" s="44"/>
      <c r="AA50" s="4"/>
      <c r="AB50" s="34"/>
      <c r="AC50" s="39"/>
    </row>
    <row r="51" spans="1:29" x14ac:dyDescent="0.2">
      <c r="N51" s="4"/>
      <c r="O51" s="4"/>
      <c r="P51" s="33"/>
      <c r="Q51" s="44"/>
      <c r="R51" s="34"/>
      <c r="S51" s="44"/>
      <c r="T51" s="4"/>
      <c r="U51" s="34"/>
      <c r="V51" s="44"/>
      <c r="W51" s="33"/>
      <c r="X51" s="44"/>
      <c r="Y51" s="34"/>
      <c r="Z51" s="44"/>
      <c r="AA51" s="4"/>
      <c r="AB51" s="34"/>
      <c r="AC51" s="39"/>
    </row>
    <row r="52" spans="1:29" x14ac:dyDescent="0.2">
      <c r="N52" s="4"/>
      <c r="O52" s="4"/>
      <c r="P52" s="33"/>
      <c r="Q52" s="44"/>
      <c r="R52" s="34"/>
      <c r="S52" s="44"/>
      <c r="T52" s="4"/>
      <c r="U52" s="34"/>
      <c r="V52" s="44"/>
      <c r="W52" s="33"/>
      <c r="X52" s="44"/>
      <c r="Y52" s="34"/>
      <c r="Z52" s="44"/>
      <c r="AA52" s="4"/>
      <c r="AB52" s="34"/>
      <c r="AC52" s="39"/>
    </row>
    <row r="53" spans="1:29" x14ac:dyDescent="0.2">
      <c r="N53" s="4"/>
      <c r="O53" s="4"/>
      <c r="P53" s="33"/>
      <c r="Q53" s="44"/>
      <c r="R53" s="34"/>
      <c r="S53" s="44"/>
      <c r="T53" s="4"/>
      <c r="U53" s="34"/>
      <c r="V53" s="44"/>
      <c r="W53" s="33"/>
      <c r="X53" s="44"/>
      <c r="Y53" s="34"/>
      <c r="Z53" s="44"/>
      <c r="AA53" s="4"/>
      <c r="AB53" s="34"/>
      <c r="AC53" s="39"/>
    </row>
    <row r="54" spans="1:29" x14ac:dyDescent="0.2">
      <c r="N54" s="4"/>
      <c r="O54" s="4"/>
      <c r="P54" s="33"/>
      <c r="Q54" s="44"/>
      <c r="R54" s="34"/>
      <c r="S54" s="44"/>
      <c r="T54" s="4"/>
      <c r="U54" s="34"/>
      <c r="V54" s="44"/>
      <c r="W54" s="33"/>
      <c r="X54" s="44"/>
      <c r="Y54" s="34"/>
      <c r="Z54" s="44"/>
      <c r="AA54" s="4"/>
      <c r="AB54" s="34"/>
      <c r="AC54" s="39"/>
    </row>
    <row r="55" spans="1:29" x14ac:dyDescent="0.2">
      <c r="N55" s="4"/>
      <c r="O55" s="4"/>
      <c r="P55" s="33"/>
      <c r="Q55" s="44"/>
      <c r="R55" s="34"/>
      <c r="S55" s="44"/>
      <c r="T55" s="4"/>
      <c r="U55" s="34"/>
      <c r="V55" s="44"/>
      <c r="W55" s="33"/>
      <c r="X55" s="44"/>
      <c r="Y55" s="34"/>
      <c r="Z55" s="44"/>
      <c r="AA55" s="4"/>
      <c r="AB55" s="34"/>
      <c r="AC55" s="39"/>
    </row>
    <row r="56" spans="1:29" x14ac:dyDescent="0.2">
      <c r="N56" s="4"/>
      <c r="O56" s="4"/>
      <c r="P56" s="33"/>
      <c r="Q56" s="44"/>
      <c r="R56" s="34"/>
      <c r="S56" s="44"/>
      <c r="T56" s="4"/>
      <c r="U56" s="34"/>
      <c r="V56" s="44"/>
      <c r="W56" s="33"/>
      <c r="X56" s="44"/>
      <c r="Y56" s="34"/>
      <c r="Z56" s="44"/>
      <c r="AA56" s="4"/>
      <c r="AB56" s="34"/>
      <c r="AC56" s="39"/>
    </row>
    <row r="57" spans="1:29" x14ac:dyDescent="0.2">
      <c r="N57" s="4"/>
      <c r="O57" s="4"/>
      <c r="P57" s="33"/>
      <c r="Q57" s="44"/>
      <c r="R57" s="34"/>
      <c r="S57" s="44"/>
      <c r="T57" s="4"/>
      <c r="U57" s="34"/>
      <c r="V57" s="44"/>
      <c r="W57" s="33"/>
      <c r="X57" s="44"/>
      <c r="Y57" s="34"/>
      <c r="Z57" s="44"/>
      <c r="AA57" s="4"/>
      <c r="AB57" s="34"/>
      <c r="AC57" s="39"/>
    </row>
    <row r="58" spans="1:29" x14ac:dyDescent="0.2">
      <c r="N58" s="4"/>
      <c r="O58" s="4"/>
      <c r="P58" s="33"/>
      <c r="Q58" s="44"/>
      <c r="R58" s="34"/>
      <c r="S58" s="44"/>
      <c r="T58" s="4"/>
      <c r="U58" s="34"/>
      <c r="V58" s="44"/>
      <c r="W58" s="33"/>
      <c r="X58" s="44"/>
      <c r="Y58" s="34"/>
      <c r="Z58" s="44"/>
      <c r="AA58" s="4"/>
      <c r="AB58" s="34"/>
      <c r="AC58" s="39"/>
    </row>
    <row r="59" spans="1:29" x14ac:dyDescent="0.2">
      <c r="N59" s="4"/>
      <c r="O59" s="4"/>
      <c r="P59" s="33"/>
      <c r="Q59" s="44"/>
      <c r="R59" s="34"/>
      <c r="S59" s="44"/>
      <c r="T59" s="4"/>
      <c r="U59" s="34"/>
      <c r="V59" s="44"/>
      <c r="W59" s="33"/>
      <c r="X59" s="44"/>
      <c r="Y59" s="34"/>
      <c r="Z59" s="44"/>
      <c r="AA59" s="4"/>
      <c r="AB59" s="34"/>
      <c r="AC59" s="39"/>
    </row>
    <row r="60" spans="1:29" x14ac:dyDescent="0.2">
      <c r="N60" s="4"/>
      <c r="O60" s="4"/>
      <c r="P60" s="33"/>
      <c r="Q60" s="44"/>
      <c r="R60" s="34"/>
      <c r="S60" s="44"/>
      <c r="T60" s="4"/>
      <c r="U60" s="34"/>
      <c r="V60" s="44"/>
      <c r="W60" s="33"/>
      <c r="X60" s="44"/>
      <c r="Y60" s="34"/>
      <c r="Z60" s="44"/>
      <c r="AA60" s="4"/>
      <c r="AB60" s="34"/>
      <c r="AC60" s="39"/>
    </row>
    <row r="61" spans="1:29" x14ac:dyDescent="0.2">
      <c r="N61" s="4"/>
      <c r="O61" s="4"/>
      <c r="P61" s="33"/>
      <c r="Q61" s="44"/>
      <c r="R61" s="34"/>
      <c r="S61" s="44"/>
      <c r="T61" s="4"/>
      <c r="U61" s="34"/>
      <c r="V61" s="44"/>
      <c r="W61" s="33"/>
      <c r="X61" s="44"/>
      <c r="Y61" s="34"/>
      <c r="Z61" s="44"/>
      <c r="AA61" s="4"/>
      <c r="AB61" s="34"/>
      <c r="AC61" s="39"/>
    </row>
    <row r="62" spans="1:29" x14ac:dyDescent="0.2">
      <c r="N62" s="4"/>
      <c r="O62" s="4"/>
      <c r="P62" s="33"/>
      <c r="Q62" s="44"/>
      <c r="R62" s="34"/>
      <c r="S62" s="44"/>
      <c r="T62" s="4"/>
      <c r="U62" s="34"/>
      <c r="V62" s="44"/>
      <c r="W62" s="33"/>
      <c r="X62" s="44"/>
      <c r="Y62" s="34"/>
      <c r="Z62" s="44"/>
      <c r="AA62" s="4"/>
      <c r="AB62" s="34"/>
      <c r="AC62" s="39"/>
    </row>
    <row r="63" spans="1:29" x14ac:dyDescent="0.2">
      <c r="N63" s="4"/>
      <c r="O63" s="4"/>
      <c r="P63" s="33"/>
      <c r="Q63" s="44"/>
      <c r="R63" s="34"/>
      <c r="S63" s="44"/>
      <c r="T63" s="4"/>
      <c r="U63" s="34"/>
      <c r="V63" s="44"/>
      <c r="W63" s="33"/>
      <c r="X63" s="44"/>
      <c r="Y63" s="34"/>
      <c r="Z63" s="44"/>
      <c r="AA63" s="4"/>
      <c r="AB63" s="34"/>
      <c r="AC63" s="39"/>
    </row>
    <row r="64" spans="1:29" x14ac:dyDescent="0.2">
      <c r="N64" s="4"/>
      <c r="O64" s="4"/>
      <c r="P64" s="33"/>
      <c r="Q64" s="44"/>
      <c r="R64" s="34"/>
      <c r="S64" s="44"/>
      <c r="T64" s="4"/>
      <c r="U64" s="34"/>
      <c r="V64" s="44"/>
      <c r="W64" s="33"/>
      <c r="X64" s="44"/>
      <c r="Y64" s="34"/>
      <c r="Z64" s="44"/>
      <c r="AA64" s="4"/>
      <c r="AB64" s="34"/>
      <c r="AC64" s="39"/>
    </row>
    <row r="65" spans="14:29" x14ac:dyDescent="0.2">
      <c r="N65" s="4"/>
      <c r="O65" s="4"/>
      <c r="P65" s="33"/>
      <c r="Q65" s="44"/>
      <c r="R65" s="34"/>
      <c r="S65" s="44"/>
      <c r="T65" s="4"/>
      <c r="U65" s="34"/>
      <c r="V65" s="44"/>
      <c r="W65" s="33"/>
      <c r="X65" s="44"/>
      <c r="Y65" s="34"/>
      <c r="Z65" s="44"/>
      <c r="AA65" s="4"/>
      <c r="AB65" s="34"/>
      <c r="AC65" s="39"/>
    </row>
    <row r="66" spans="14:29" x14ac:dyDescent="0.2">
      <c r="N66" s="4"/>
      <c r="O66" s="4"/>
      <c r="P66" s="33"/>
      <c r="Q66" s="44"/>
      <c r="R66" s="34"/>
      <c r="S66" s="44"/>
      <c r="T66" s="4"/>
      <c r="U66" s="34"/>
      <c r="V66" s="44"/>
      <c r="W66" s="33"/>
      <c r="X66" s="44"/>
      <c r="Y66" s="34"/>
      <c r="Z66" s="44"/>
      <c r="AA66" s="4"/>
      <c r="AB66" s="34"/>
      <c r="AC66" s="39"/>
    </row>
    <row r="67" spans="14:29" x14ac:dyDescent="0.2">
      <c r="N67" s="4"/>
      <c r="O67" s="4"/>
      <c r="P67" s="33"/>
      <c r="Q67" s="44"/>
      <c r="R67" s="34"/>
      <c r="S67" s="44"/>
      <c r="T67" s="4"/>
      <c r="U67" s="34"/>
      <c r="V67" s="44"/>
      <c r="W67" s="33"/>
      <c r="X67" s="44"/>
      <c r="Y67" s="34"/>
      <c r="Z67" s="44"/>
      <c r="AA67" s="4"/>
      <c r="AB67" s="34"/>
      <c r="AC67" s="39"/>
    </row>
    <row r="68" spans="14:29" x14ac:dyDescent="0.2">
      <c r="N68" s="4"/>
      <c r="O68" s="4"/>
      <c r="P68" s="33"/>
      <c r="Q68" s="44"/>
      <c r="R68" s="34"/>
      <c r="S68" s="44"/>
      <c r="T68" s="4"/>
      <c r="U68" s="34"/>
      <c r="V68" s="44"/>
      <c r="W68" s="33"/>
      <c r="X68" s="44"/>
      <c r="Y68" s="34"/>
      <c r="Z68" s="44"/>
      <c r="AA68" s="4"/>
      <c r="AB68" s="34"/>
      <c r="AC68" s="39"/>
    </row>
    <row r="69" spans="14:29" x14ac:dyDescent="0.2">
      <c r="N69" s="4"/>
      <c r="O69" s="4"/>
      <c r="P69" s="33"/>
      <c r="Q69" s="44"/>
      <c r="R69" s="34"/>
      <c r="S69" s="44"/>
      <c r="T69" s="4"/>
      <c r="U69" s="34"/>
      <c r="V69" s="44"/>
      <c r="W69" s="33"/>
      <c r="X69" s="44"/>
      <c r="Y69" s="34"/>
      <c r="Z69" s="44"/>
      <c r="AA69" s="4"/>
      <c r="AB69" s="34"/>
      <c r="AC69" s="39"/>
    </row>
    <row r="70" spans="14:29" x14ac:dyDescent="0.2">
      <c r="N70" s="4"/>
      <c r="O70" s="4"/>
      <c r="P70" s="33"/>
      <c r="Q70" s="44"/>
      <c r="R70" s="34"/>
      <c r="S70" s="44"/>
      <c r="T70" s="4"/>
      <c r="U70" s="34"/>
      <c r="V70" s="44"/>
      <c r="W70" s="33"/>
      <c r="X70" s="44"/>
      <c r="Y70" s="34"/>
      <c r="Z70" s="44"/>
      <c r="AA70" s="4"/>
      <c r="AB70" s="34"/>
      <c r="AC70" s="39"/>
    </row>
    <row r="71" spans="14:29" x14ac:dyDescent="0.2">
      <c r="N71" s="4"/>
      <c r="O71" s="4"/>
      <c r="P71" s="33"/>
      <c r="Q71" s="44"/>
      <c r="R71" s="34"/>
      <c r="S71" s="44"/>
      <c r="T71" s="4"/>
      <c r="U71" s="34"/>
      <c r="V71" s="44"/>
      <c r="W71" s="33"/>
      <c r="X71" s="44"/>
      <c r="Y71" s="34"/>
      <c r="Z71" s="44"/>
      <c r="AA71" s="4"/>
      <c r="AB71" s="34"/>
      <c r="AC71" s="39"/>
    </row>
    <row r="72" spans="14:29" x14ac:dyDescent="0.2">
      <c r="N72" s="4"/>
      <c r="O72" s="4"/>
      <c r="P72" s="33"/>
      <c r="Q72" s="44"/>
      <c r="R72" s="34"/>
      <c r="S72" s="44"/>
      <c r="T72" s="4"/>
      <c r="U72" s="34"/>
      <c r="V72" s="44"/>
      <c r="W72" s="33"/>
      <c r="X72" s="44"/>
      <c r="Y72" s="34"/>
      <c r="Z72" s="44"/>
      <c r="AA72" s="4"/>
      <c r="AB72" s="34"/>
      <c r="AC72" s="39"/>
    </row>
    <row r="73" spans="14:29" x14ac:dyDescent="0.2">
      <c r="N73" s="4"/>
      <c r="O73" s="4"/>
      <c r="P73" s="33"/>
      <c r="Q73" s="44"/>
      <c r="R73" s="34"/>
      <c r="S73" s="44"/>
      <c r="T73" s="4"/>
      <c r="U73" s="34"/>
      <c r="V73" s="44"/>
      <c r="W73" s="33"/>
      <c r="X73" s="44"/>
      <c r="Y73" s="34"/>
      <c r="Z73" s="44"/>
      <c r="AA73" s="4"/>
      <c r="AB73" s="34"/>
      <c r="AC73" s="39"/>
    </row>
    <row r="74" spans="14:29" x14ac:dyDescent="0.2">
      <c r="N74" s="4"/>
      <c r="O74" s="4"/>
      <c r="P74" s="33"/>
      <c r="Q74" s="44"/>
      <c r="R74" s="34"/>
      <c r="S74" s="44"/>
      <c r="T74" s="4"/>
      <c r="U74" s="34"/>
      <c r="V74" s="44"/>
      <c r="W74" s="33"/>
      <c r="X74" s="44"/>
      <c r="Y74" s="34"/>
      <c r="Z74" s="44"/>
      <c r="AA74" s="4"/>
      <c r="AB74" s="34"/>
      <c r="AC74" s="39"/>
    </row>
    <row r="75" spans="14:29" x14ac:dyDescent="0.2">
      <c r="N75" s="4"/>
      <c r="O75" s="4"/>
      <c r="P75" s="33"/>
      <c r="Q75" s="44"/>
      <c r="R75" s="34"/>
      <c r="S75" s="44"/>
      <c r="T75" s="4"/>
      <c r="U75" s="34"/>
      <c r="V75" s="44"/>
      <c r="W75" s="33"/>
      <c r="X75" s="44"/>
      <c r="Y75" s="34"/>
      <c r="Z75" s="44"/>
      <c r="AA75" s="4"/>
      <c r="AB75" s="34"/>
      <c r="AC75" s="39"/>
    </row>
    <row r="76" spans="14:29" x14ac:dyDescent="0.2">
      <c r="N76" s="4"/>
      <c r="O76" s="4"/>
      <c r="P76" s="33"/>
      <c r="Q76" s="44"/>
      <c r="R76" s="34"/>
      <c r="S76" s="44"/>
      <c r="T76" s="4"/>
      <c r="U76" s="34"/>
      <c r="V76" s="44"/>
      <c r="W76" s="33"/>
      <c r="X76" s="44"/>
      <c r="Y76" s="34"/>
      <c r="Z76" s="44"/>
      <c r="AA76" s="4"/>
      <c r="AB76" s="34"/>
      <c r="AC76" s="39"/>
    </row>
    <row r="77" spans="14:29" x14ac:dyDescent="0.2">
      <c r="N77" s="4"/>
      <c r="O77" s="4"/>
      <c r="P77" s="33"/>
      <c r="Q77" s="44"/>
      <c r="R77" s="34"/>
      <c r="S77" s="44"/>
      <c r="T77" s="4"/>
      <c r="U77" s="34"/>
      <c r="V77" s="44"/>
      <c r="W77" s="33"/>
      <c r="X77" s="44"/>
      <c r="Y77" s="34"/>
      <c r="Z77" s="44"/>
      <c r="AA77" s="4"/>
      <c r="AB77" s="34"/>
      <c r="AC77" s="39"/>
    </row>
    <row r="78" spans="14:29" x14ac:dyDescent="0.2">
      <c r="N78" s="4"/>
      <c r="O78" s="4"/>
      <c r="P78" s="33"/>
      <c r="Q78" s="44"/>
      <c r="R78" s="34"/>
      <c r="S78" s="44"/>
      <c r="T78" s="4"/>
      <c r="U78" s="34"/>
      <c r="V78" s="44"/>
      <c r="W78" s="33"/>
      <c r="X78" s="44"/>
      <c r="Y78" s="34"/>
      <c r="Z78" s="44"/>
      <c r="AA78" s="4"/>
      <c r="AB78" s="34"/>
      <c r="AC78" s="39"/>
    </row>
    <row r="79" spans="14:29" x14ac:dyDescent="0.2">
      <c r="N79" s="4"/>
      <c r="O79" s="4"/>
      <c r="P79" s="33"/>
      <c r="Q79" s="44"/>
      <c r="R79" s="34"/>
      <c r="S79" s="44"/>
      <c r="T79" s="4"/>
      <c r="U79" s="34"/>
      <c r="V79" s="44"/>
      <c r="W79" s="33"/>
      <c r="X79" s="44"/>
      <c r="Y79" s="34"/>
      <c r="Z79" s="44"/>
      <c r="AA79" s="4"/>
      <c r="AB79" s="34"/>
      <c r="AC79" s="39"/>
    </row>
    <row r="80" spans="14:29" x14ac:dyDescent="0.2">
      <c r="N80" s="4"/>
      <c r="O80" s="4"/>
      <c r="P80" s="33"/>
      <c r="Q80" s="44"/>
      <c r="R80" s="34"/>
      <c r="S80" s="44"/>
      <c r="T80" s="4"/>
      <c r="U80" s="34"/>
      <c r="V80" s="44"/>
      <c r="W80" s="33"/>
      <c r="X80" s="44"/>
      <c r="Y80" s="34"/>
      <c r="Z80" s="44"/>
      <c r="AA80" s="4"/>
      <c r="AB80" s="34"/>
      <c r="AC80" s="39"/>
    </row>
    <row r="81" spans="14:29" x14ac:dyDescent="0.2">
      <c r="N81" s="4"/>
      <c r="O81" s="4"/>
      <c r="P81" s="33"/>
      <c r="Q81" s="44"/>
      <c r="R81" s="34"/>
      <c r="S81" s="44"/>
      <c r="T81" s="4"/>
      <c r="U81" s="34"/>
      <c r="V81" s="44"/>
      <c r="W81" s="33"/>
      <c r="X81" s="44"/>
      <c r="Y81" s="34"/>
      <c r="Z81" s="44"/>
      <c r="AA81" s="4"/>
      <c r="AB81" s="34"/>
      <c r="AC81" s="39"/>
    </row>
    <row r="82" spans="14:29" x14ac:dyDescent="0.2">
      <c r="N82" s="4"/>
      <c r="O82" s="4"/>
      <c r="P82" s="33"/>
      <c r="Q82" s="44"/>
      <c r="R82" s="34"/>
      <c r="S82" s="44"/>
      <c r="T82" s="4"/>
      <c r="U82" s="34"/>
      <c r="V82" s="44"/>
      <c r="W82" s="33"/>
      <c r="X82" s="44"/>
      <c r="Y82" s="34"/>
      <c r="Z82" s="44"/>
      <c r="AA82" s="4"/>
      <c r="AB82" s="34"/>
      <c r="AC82" s="39"/>
    </row>
    <row r="83" spans="14:29" x14ac:dyDescent="0.2">
      <c r="N83" s="4"/>
      <c r="O83" s="4"/>
      <c r="P83" s="33"/>
      <c r="Q83" s="44"/>
      <c r="R83" s="34"/>
      <c r="S83" s="44"/>
      <c r="T83" s="4"/>
      <c r="U83" s="34"/>
      <c r="V83" s="44"/>
      <c r="W83" s="33"/>
      <c r="X83" s="44"/>
      <c r="Y83" s="34"/>
      <c r="Z83" s="44"/>
      <c r="AA83" s="4"/>
      <c r="AB83" s="34"/>
      <c r="AC83" s="39"/>
    </row>
    <row r="84" spans="14:29" x14ac:dyDescent="0.2">
      <c r="N84" s="4"/>
      <c r="O84" s="4"/>
      <c r="P84" s="33"/>
      <c r="Q84" s="44"/>
      <c r="R84" s="34"/>
      <c r="S84" s="44"/>
      <c r="T84" s="4"/>
      <c r="U84" s="34"/>
      <c r="V84" s="44"/>
      <c r="W84" s="33"/>
      <c r="X84" s="44"/>
      <c r="Y84" s="34"/>
      <c r="Z84" s="44"/>
      <c r="AA84" s="4"/>
      <c r="AB84" s="34"/>
      <c r="AC84" s="39"/>
    </row>
    <row r="85" spans="14:29" x14ac:dyDescent="0.2">
      <c r="N85" s="4"/>
      <c r="O85" s="4"/>
      <c r="P85" s="33"/>
      <c r="Q85" s="44"/>
      <c r="R85" s="34"/>
      <c r="S85" s="44"/>
      <c r="T85" s="4"/>
      <c r="U85" s="34"/>
      <c r="V85" s="44"/>
      <c r="W85" s="33"/>
      <c r="X85" s="44"/>
      <c r="Y85" s="34"/>
      <c r="Z85" s="44"/>
      <c r="AA85" s="4"/>
      <c r="AB85" s="34"/>
      <c r="AC85" s="39"/>
    </row>
    <row r="86" spans="14:29" x14ac:dyDescent="0.2">
      <c r="N86" s="4"/>
      <c r="O86" s="4"/>
      <c r="P86" s="33"/>
      <c r="Q86" s="44"/>
      <c r="R86" s="34"/>
      <c r="S86" s="44"/>
      <c r="T86" s="4"/>
      <c r="U86" s="34"/>
      <c r="V86" s="44"/>
      <c r="W86" s="33"/>
      <c r="X86" s="44"/>
      <c r="Y86" s="34"/>
      <c r="Z86" s="44"/>
      <c r="AA86" s="4"/>
      <c r="AB86" s="34"/>
      <c r="AC86" s="39"/>
    </row>
    <row r="87" spans="14:29" x14ac:dyDescent="0.2">
      <c r="N87" s="4"/>
      <c r="O87" s="4"/>
      <c r="P87" s="33"/>
      <c r="Q87" s="44"/>
      <c r="R87" s="34"/>
      <c r="S87" s="44"/>
      <c r="T87" s="4"/>
      <c r="U87" s="34"/>
      <c r="V87" s="44"/>
      <c r="W87" s="33"/>
      <c r="X87" s="44"/>
      <c r="Y87" s="34"/>
      <c r="Z87" s="44"/>
      <c r="AA87" s="4"/>
      <c r="AB87" s="34"/>
      <c r="AC87" s="39"/>
    </row>
    <row r="88" spans="14:29" x14ac:dyDescent="0.2">
      <c r="N88" s="4"/>
      <c r="O88" s="4"/>
      <c r="P88" s="33"/>
      <c r="Q88" s="44"/>
      <c r="R88" s="34"/>
      <c r="S88" s="44"/>
      <c r="T88" s="4"/>
      <c r="U88" s="34"/>
      <c r="V88" s="44"/>
      <c r="W88" s="33"/>
      <c r="X88" s="44"/>
      <c r="Y88" s="34"/>
      <c r="Z88" s="44"/>
      <c r="AA88" s="4"/>
      <c r="AB88" s="34"/>
      <c r="AC88" s="39"/>
    </row>
    <row r="89" spans="14:29" x14ac:dyDescent="0.2">
      <c r="N89" s="4"/>
      <c r="O89" s="4"/>
      <c r="P89" s="33"/>
      <c r="Q89" s="44"/>
      <c r="R89" s="34"/>
      <c r="S89" s="44"/>
      <c r="T89" s="4"/>
      <c r="U89" s="34"/>
      <c r="V89" s="44"/>
      <c r="W89" s="33"/>
      <c r="X89" s="44"/>
      <c r="Y89" s="34"/>
      <c r="Z89" s="44"/>
      <c r="AA89" s="4"/>
      <c r="AB89" s="34"/>
      <c r="AC89" s="39"/>
    </row>
    <row r="90" spans="14:29" x14ac:dyDescent="0.2">
      <c r="N90" s="4"/>
      <c r="O90" s="4"/>
      <c r="P90" s="33"/>
      <c r="Q90" s="44"/>
      <c r="R90" s="34"/>
      <c r="S90" s="44"/>
      <c r="T90" s="4"/>
      <c r="U90" s="34"/>
      <c r="V90" s="44"/>
      <c r="W90" s="33"/>
      <c r="X90" s="44"/>
      <c r="Y90" s="34"/>
      <c r="Z90" s="44"/>
      <c r="AA90" s="4"/>
      <c r="AB90" s="34"/>
      <c r="AC90" s="39"/>
    </row>
    <row r="91" spans="14:29" x14ac:dyDescent="0.2">
      <c r="N91" s="4"/>
      <c r="O91" s="4"/>
      <c r="P91" s="33"/>
      <c r="Q91" s="44"/>
      <c r="R91" s="34"/>
      <c r="S91" s="44"/>
      <c r="T91" s="4"/>
      <c r="U91" s="34"/>
      <c r="V91" s="44"/>
      <c r="W91" s="33"/>
      <c r="X91" s="44"/>
      <c r="Y91" s="34"/>
      <c r="Z91" s="44"/>
      <c r="AA91" s="4"/>
      <c r="AB91" s="34"/>
      <c r="AC91" s="39"/>
    </row>
    <row r="92" spans="14:29" x14ac:dyDescent="0.2">
      <c r="N92" s="4"/>
      <c r="O92" s="4"/>
      <c r="P92" s="33"/>
      <c r="Q92" s="44"/>
      <c r="R92" s="34"/>
      <c r="S92" s="44"/>
      <c r="T92" s="4"/>
      <c r="U92" s="34"/>
      <c r="V92" s="44"/>
      <c r="W92" s="33"/>
      <c r="X92" s="44"/>
      <c r="Y92" s="34"/>
      <c r="Z92" s="44"/>
      <c r="AA92" s="4"/>
      <c r="AB92" s="34"/>
      <c r="AC92" s="39"/>
    </row>
  </sheetData>
  <sheetProtection sheet="1" formatCells="0" formatColumns="0" formatRows="0"/>
  <autoFilter ref="B1:AC2" xr:uid="{00000000-0009-0000-0000-000002000000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sortState xmlns:xlrd2="http://schemas.microsoft.com/office/spreadsheetml/2017/richdata2" ref="B3:AC48">
      <sortCondition ref="F1:F56"/>
    </sortState>
  </autoFilter>
  <mergeCells count="17">
    <mergeCell ref="G1:G2"/>
    <mergeCell ref="F1:F2"/>
    <mergeCell ref="A1:A2"/>
    <mergeCell ref="B1:B2"/>
    <mergeCell ref="C1:C2"/>
    <mergeCell ref="D1:D2"/>
    <mergeCell ref="E1:E2"/>
    <mergeCell ref="H1:H2"/>
    <mergeCell ref="I1:I2"/>
    <mergeCell ref="J1:J2"/>
    <mergeCell ref="L1:L2"/>
    <mergeCell ref="M1:M2"/>
    <mergeCell ref="N1:N2"/>
    <mergeCell ref="O1:O2"/>
    <mergeCell ref="P1:V1"/>
    <mergeCell ref="W1:AC1"/>
    <mergeCell ref="K1:K2"/>
  </mergeCells>
  <conditionalFormatting sqref="A1:XFD1048576">
    <cfRule type="expression" dxfId="75" priority="5">
      <formula>IF($F1="17-21",1,0)</formula>
    </cfRule>
    <cfRule type="expression" dxfId="74" priority="6">
      <formula>IF($F1="15-16",1,0)</formula>
    </cfRule>
    <cfRule type="expression" dxfId="73" priority="7">
      <formula>IF($F1="13-14",1,0)</formula>
    </cfRule>
    <cfRule type="expression" dxfId="72" priority="8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D114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23.6640625" style="38" bestFit="1" customWidth="1"/>
    <col min="3" max="3" width="8.6640625" style="38" bestFit="1" customWidth="1"/>
    <col min="4" max="4" width="39.16406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18.83203125" style="2" customWidth="1"/>
    <col min="12" max="12" width="18.33203125" style="42" bestFit="1" customWidth="1"/>
    <col min="13" max="13" width="18.6640625" style="42" bestFit="1" customWidth="1"/>
    <col min="14" max="14" width="15.6640625" bestFit="1" customWidth="1"/>
    <col min="15" max="15" width="18.6640625" bestFit="1" customWidth="1"/>
    <col min="16" max="16" width="10.83203125" style="37" bestFit="1" customWidth="1"/>
    <col min="17" max="17" width="13.6640625" style="38" bestFit="1" customWidth="1"/>
    <col min="18" max="18" width="8.33203125" style="38" bestFit="1" customWidth="1"/>
    <col min="19" max="19" width="11.1640625" style="38" bestFit="1" customWidth="1"/>
    <col min="20" max="20" width="7.5" bestFit="1" customWidth="1"/>
    <col min="21" max="21" width="6.6640625" style="38" bestFit="1" customWidth="1"/>
    <col min="22" max="22" width="11" style="38" bestFit="1" customWidth="1"/>
    <col min="23" max="23" width="10.83203125" style="37" bestFit="1" customWidth="1"/>
    <col min="24" max="24" width="13.6640625" style="38" bestFit="1" customWidth="1"/>
    <col min="25" max="25" width="8.33203125" style="38" bestFit="1" customWidth="1"/>
    <col min="26" max="26" width="11.1640625" style="38" bestFit="1" customWidth="1"/>
    <col min="27" max="27" width="7.5" bestFit="1" customWidth="1"/>
    <col min="28" max="28" width="7.6640625" style="38" bestFit="1" customWidth="1"/>
    <col min="29" max="29" width="9" style="41" bestFit="1" customWidth="1"/>
  </cols>
  <sheetData>
    <row r="1" spans="1:30" s="6" customFormat="1" x14ac:dyDescent="0.2">
      <c r="A1" s="65" t="s">
        <v>56</v>
      </c>
      <c r="B1" s="65" t="s">
        <v>0</v>
      </c>
      <c r="C1" s="65" t="s">
        <v>1</v>
      </c>
      <c r="D1" s="70" t="s">
        <v>2</v>
      </c>
      <c r="E1" s="72" t="s">
        <v>31</v>
      </c>
      <c r="F1" s="65" t="s">
        <v>32</v>
      </c>
      <c r="G1" s="65" t="s">
        <v>304</v>
      </c>
      <c r="H1" s="68" t="s">
        <v>44</v>
      </c>
      <c r="I1" s="65" t="s">
        <v>40</v>
      </c>
      <c r="J1" s="65" t="s">
        <v>41</v>
      </c>
      <c r="K1" s="65" t="s">
        <v>70</v>
      </c>
      <c r="L1" s="65" t="s">
        <v>43</v>
      </c>
      <c r="M1" s="65" t="s">
        <v>42</v>
      </c>
      <c r="N1" s="65" t="s">
        <v>114</v>
      </c>
      <c r="O1" s="65" t="s">
        <v>55</v>
      </c>
      <c r="P1" s="67" t="s">
        <v>121</v>
      </c>
      <c r="Q1" s="67"/>
      <c r="R1" s="67"/>
      <c r="S1" s="67"/>
      <c r="T1" s="67"/>
      <c r="U1" s="67"/>
      <c r="V1" s="67"/>
      <c r="W1" s="67" t="s">
        <v>122</v>
      </c>
      <c r="X1" s="67"/>
      <c r="Y1" s="67"/>
      <c r="Z1" s="67"/>
      <c r="AA1" s="67"/>
      <c r="AB1" s="67"/>
      <c r="AC1" s="67"/>
    </row>
    <row r="2" spans="1:30" s="7" customFormat="1" ht="17" thickBot="1" x14ac:dyDescent="0.25">
      <c r="A2" s="66"/>
      <c r="B2" s="66"/>
      <c r="C2" s="66"/>
      <c r="D2" s="71"/>
      <c r="E2" s="73"/>
      <c r="F2" s="66"/>
      <c r="G2" s="66"/>
      <c r="H2" s="69"/>
      <c r="I2" s="66"/>
      <c r="J2" s="66"/>
      <c r="K2" s="66"/>
      <c r="L2" s="66"/>
      <c r="M2" s="66"/>
      <c r="N2" s="66"/>
      <c r="O2" s="66"/>
      <c r="P2" s="8" t="s">
        <v>33</v>
      </c>
      <c r="Q2" s="7" t="s">
        <v>34</v>
      </c>
      <c r="R2" s="7" t="s">
        <v>35</v>
      </c>
      <c r="S2" s="7" t="s">
        <v>36</v>
      </c>
      <c r="T2" s="7" t="s">
        <v>57</v>
      </c>
      <c r="U2" s="7" t="s">
        <v>37</v>
      </c>
      <c r="V2" s="7" t="s">
        <v>39</v>
      </c>
      <c r="W2" s="8" t="s">
        <v>33</v>
      </c>
      <c r="X2" s="7" t="s">
        <v>34</v>
      </c>
      <c r="Y2" s="7" t="s">
        <v>35</v>
      </c>
      <c r="Z2" s="7" t="s">
        <v>36</v>
      </c>
      <c r="AA2" s="7" t="s">
        <v>57</v>
      </c>
      <c r="AB2" s="7" t="s">
        <v>37</v>
      </c>
      <c r="AC2" s="9" t="s">
        <v>39</v>
      </c>
    </row>
    <row r="3" spans="1:30" ht="17" thickTop="1" x14ac:dyDescent="0.2">
      <c r="A3" s="1" t="str">
        <f t="shared" ref="A3:A34" si="0">IF(M3&lt;&gt;"",SUMPRODUCT((M$3:M$52&lt;&gt;"")*(F$3:F$52=F3)*(M$3:M$52&lt;M3))+1,IF(L3&lt;&gt;"",SUMPRODUCT((M$3:M$52&lt;&gt;"")*(F$3:F$52=F3))+SUMPRODUCT((L$3:L$52&lt;&gt;"")*(F$3:F$52=F3)*(L$3:L$52&lt;L3))+1,IF(K3="P",SUMPRODUCT((L$3:L$52&lt;&gt;"")*(F$3:F$52=F3))+SUMPRODUCT((M$3:M$52&lt;&gt;"")*(F$3:F$52=F3))+1+SUMPRODUCT((K$3:K$52="P")*(F$3:F$52=F3)*(H$3:H$52&gt;H3)*(L$3:L$52="")*(M$3:M$52="")),"")))</f>
        <v/>
      </c>
      <c r="B3" s="38" t="s">
        <v>157</v>
      </c>
      <c r="C3" s="38" t="s">
        <v>6</v>
      </c>
      <c r="D3" s="38" t="s">
        <v>10</v>
      </c>
      <c r="E3" s="37">
        <v>2005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13-14</v>
      </c>
      <c r="G3" s="56"/>
      <c r="H3" s="4">
        <f>SUM(N3:O3)</f>
        <v>134.53</v>
      </c>
      <c r="I3" s="3" t="str">
        <f>IF(MAX(T3-Q3,AA3-X3)&gt;=LOOKUP(F3,'Qualifying Scores'!$A$4:$A$7,'Qualifying Scores'!$C$4:$C$7),"P","")</f>
        <v/>
      </c>
      <c r="J3" s="3" t="str">
        <f>IF(MAX(S3,Z3)&gt;=LOOKUP(F3,'Qualifying Scores'!$A$10:$A$13,'Qualifying Scores'!$C$10:$C$13),"P","")</f>
        <v/>
      </c>
      <c r="K3" s="3" t="str">
        <f>IF(OR(AND(T3-Q3&gt;=LOOKUP(F3,'Qualifying Scores'!$A$4:$A$7,'Qualifying Scores'!$C$4:$C$7),S3&gt;=LOOKUP(F3,'Qualifying Scores'!$A$10:$A$13,'Qualifying Scores'!$C$10:$C$13)),AND(AA3-X3&gt;=LOOKUP(F3,'Qualifying Scores'!$A$4:$A$7,'Qualifying Scores'!$C$4:$C$7),Z3&gt;=LOOKUP(F3,'Qualifying Scores'!$A$10:$A$13,'Qualifying Scores'!$C$10:$C$13))),"P","")</f>
        <v/>
      </c>
      <c r="N3" s="4">
        <f>MAX(T3,AA3)</f>
        <v>87.185000000000002</v>
      </c>
      <c r="O3" s="4">
        <f>IF(N3=T3,MAX(U3,Y3,AB3),MAX(R3,U3,AB3))</f>
        <v>47.344999999999999</v>
      </c>
      <c r="P3" s="33">
        <v>41.18</v>
      </c>
      <c r="Q3" s="34">
        <v>1.2</v>
      </c>
      <c r="R3" s="34">
        <v>46.005000000000003</v>
      </c>
      <c r="S3" s="34">
        <v>8.6999999999999993</v>
      </c>
      <c r="T3" s="4">
        <f>SUM(P3,R3)</f>
        <v>87.185000000000002</v>
      </c>
      <c r="U3" s="34">
        <v>47.344999999999999</v>
      </c>
      <c r="V3" s="34">
        <v>9.3000000000000007</v>
      </c>
      <c r="W3" s="33">
        <v>42.42</v>
      </c>
      <c r="X3" s="34">
        <v>1.4</v>
      </c>
      <c r="Y3" s="34">
        <v>28.22</v>
      </c>
      <c r="Z3" s="34">
        <v>5.8</v>
      </c>
      <c r="AA3" s="4">
        <f>SUM(W3,Y3)</f>
        <v>70.64</v>
      </c>
      <c r="AB3" s="34"/>
      <c r="AC3" s="39"/>
    </row>
    <row r="4" spans="1:30" x14ac:dyDescent="0.2">
      <c r="A4" s="1" t="str">
        <f t="shared" si="0"/>
        <v/>
      </c>
      <c r="B4" s="38" t="s">
        <v>257</v>
      </c>
      <c r="C4" s="38" t="s">
        <v>8</v>
      </c>
      <c r="E4" s="37">
        <v>2005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13-14</v>
      </c>
      <c r="G4" s="56"/>
      <c r="H4" s="4">
        <f>SUM(N4:O4)</f>
        <v>52.31</v>
      </c>
      <c r="I4" s="3" t="str">
        <f>IF(MAX(T4-Q4,AA4-X4)&gt;=LOOKUP(F4,'Qualifying Scores'!$A$4:$A$7,'Qualifying Scores'!$C$4:$C$7),"P","")</f>
        <v/>
      </c>
      <c r="J4" s="3" t="str">
        <f>IF(MAX(S4,Z4)&gt;=LOOKUP(F4,'Qualifying Scores'!$A$10:$A$13,'Qualifying Scores'!$C$10:$C$13),"P","")</f>
        <v/>
      </c>
      <c r="K4" s="3" t="str">
        <f>IF(OR(AND(T4-Q4&gt;=LOOKUP(F4,'Qualifying Scores'!$A$4:$A$7,'Qualifying Scores'!$C$4:$C$7),S4&gt;=LOOKUP(F4,'Qualifying Scores'!$A$10:$A$13,'Qualifying Scores'!$C$10:$C$13)),AND(AA4-X4&gt;=LOOKUP(F4,'Qualifying Scores'!$A$4:$A$7,'Qualifying Scores'!$C$4:$C$7),Z4&gt;=LOOKUP(F4,'Qualifying Scores'!$A$10:$A$13,'Qualifying Scores'!$C$10:$C$13))),"P","")</f>
        <v/>
      </c>
      <c r="N4" s="4">
        <f>MAX(T4,AA4)</f>
        <v>52.31</v>
      </c>
      <c r="O4" s="4">
        <f>IF(N4=T4,MAX(U4,Y4,AB4),MAX(R4,U4,AB4))</f>
        <v>0</v>
      </c>
      <c r="P4" s="33"/>
      <c r="Q4" s="34"/>
      <c r="R4" s="34"/>
      <c r="S4" s="34"/>
      <c r="T4" s="4">
        <f>SUM(P4,R4)</f>
        <v>0</v>
      </c>
      <c r="U4" s="34"/>
      <c r="V4" s="34"/>
      <c r="W4" s="33">
        <v>38.325000000000003</v>
      </c>
      <c r="X4" s="34">
        <v>0.9</v>
      </c>
      <c r="Y4" s="34">
        <v>13.984999999999999</v>
      </c>
      <c r="Z4" s="34">
        <v>3.2</v>
      </c>
      <c r="AA4" s="4">
        <f>SUM(W4,Y4)</f>
        <v>52.31</v>
      </c>
      <c r="AB4" s="34"/>
      <c r="AC4" s="39"/>
      <c r="AD4" s="5"/>
    </row>
    <row r="5" spans="1:30" x14ac:dyDescent="0.2">
      <c r="A5" s="1" t="str">
        <f t="shared" si="0"/>
        <v/>
      </c>
      <c r="B5" s="38" t="s">
        <v>259</v>
      </c>
      <c r="C5" s="38" t="s">
        <v>6</v>
      </c>
      <c r="D5" s="38" t="s">
        <v>10</v>
      </c>
      <c r="E5" s="37">
        <v>2005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13-14</v>
      </c>
      <c r="G5" s="56"/>
      <c r="H5" s="4">
        <f>SUM(N5:O5)</f>
        <v>45.96</v>
      </c>
      <c r="I5" s="3" t="str">
        <f>IF(MAX(T5-Q5,AA5-X5)&gt;=LOOKUP(F5,'Qualifying Scores'!$A$4:$A$7,'Qualifying Scores'!$C$4:$C$7),"P","")</f>
        <v/>
      </c>
      <c r="J5" s="3" t="str">
        <f>IF(MAX(S5,Z5)&gt;=LOOKUP(F5,'Qualifying Scores'!$A$10:$A$13,'Qualifying Scores'!$C$10:$C$13),"P","")</f>
        <v/>
      </c>
      <c r="K5" s="3" t="str">
        <f>IF(OR(AND(T5-Q5&gt;=LOOKUP(F5,'Qualifying Scores'!$A$4:$A$7,'Qualifying Scores'!$C$4:$C$7),S5&gt;=LOOKUP(F5,'Qualifying Scores'!$A$10:$A$13,'Qualifying Scores'!$C$10:$C$13)),AND(AA5-X5&gt;=LOOKUP(F5,'Qualifying Scores'!$A$4:$A$7,'Qualifying Scores'!$C$4:$C$7),Z5&gt;=LOOKUP(F5,'Qualifying Scores'!$A$10:$A$13,'Qualifying Scores'!$C$10:$C$13))),"P","")</f>
        <v/>
      </c>
      <c r="N5" s="4">
        <f>MAX(T5,AA5)</f>
        <v>45.96</v>
      </c>
      <c r="O5" s="4">
        <f>IF(N5=T5,MAX(U5,Y5,AB5),MAX(R5,U5,AB5))</f>
        <v>0</v>
      </c>
      <c r="P5" s="33"/>
      <c r="Q5" s="34"/>
      <c r="R5" s="34"/>
      <c r="S5" s="34"/>
      <c r="T5" s="4">
        <f>SUM(P5,R5)</f>
        <v>0</v>
      </c>
      <c r="U5" s="34"/>
      <c r="V5" s="34"/>
      <c r="W5" s="33">
        <v>40.950000000000003</v>
      </c>
      <c r="X5" s="34">
        <v>1.2</v>
      </c>
      <c r="Y5" s="34">
        <v>5.01</v>
      </c>
      <c r="Z5" s="34">
        <v>1.3</v>
      </c>
      <c r="AA5" s="4">
        <f>SUM(W5,Y5)</f>
        <v>45.96</v>
      </c>
      <c r="AB5" s="34"/>
      <c r="AC5" s="39"/>
      <c r="AD5" s="5"/>
    </row>
    <row r="6" spans="1:30" x14ac:dyDescent="0.2">
      <c r="A6" s="1">
        <f t="shared" si="0"/>
        <v>1</v>
      </c>
      <c r="B6" s="38" t="s">
        <v>3</v>
      </c>
      <c r="C6" s="38" t="s">
        <v>4</v>
      </c>
      <c r="D6" s="38" t="s">
        <v>5</v>
      </c>
      <c r="E6" s="37">
        <v>2004</v>
      </c>
      <c r="F6" s="1" t="str">
        <f>IF('Qualifying Scores'!$B$1-E6&gt;21,"Not Age Eligible",IF('Qualifying Scores'!$B$1-E6&gt;16,"17-21",IF('Qualifying Scores'!$B$1-E6&gt;14,"15-16",IF('Qualifying Scores'!$B$1-E6&gt;12,"13-14",IF('Qualifying Scores'!$B$1-E6&gt;10,"11-12,""Not Age Eligible")))))</f>
        <v>15-16</v>
      </c>
      <c r="G6" s="56" t="s">
        <v>305</v>
      </c>
      <c r="H6" s="4">
        <f>SUM(N6:O6)</f>
        <v>142.505</v>
      </c>
      <c r="I6" s="3" t="str">
        <f>IF(MAX(T6-Q6,AA6-X6)&gt;=LOOKUP(F6,'Qualifying Scores'!$A$4:$A$7,'Qualifying Scores'!$C$4:$C$7),"P","")</f>
        <v>P</v>
      </c>
      <c r="J6" s="3" t="str">
        <f>IF(MAX(S6,Z6)&gt;=LOOKUP(F6,'Qualifying Scores'!$A$10:$A$13,'Qualifying Scores'!$C$10:$C$13),"P","")</f>
        <v>P</v>
      </c>
      <c r="K6" s="3" t="str">
        <f>IF(OR(AND(T6-Q6&gt;=LOOKUP(F6,'Qualifying Scores'!$A$4:$A$7,'Qualifying Scores'!$C$4:$C$7),S6&gt;=LOOKUP(F6,'Qualifying Scores'!$A$10:$A$13,'Qualifying Scores'!$C$10:$C$13)),AND(AA6-X6&gt;=LOOKUP(F6,'Qualifying Scores'!$A$4:$A$7,'Qualifying Scores'!$C$4:$C$7),Z6&gt;=LOOKUP(F6,'Qualifying Scores'!$A$10:$A$13,'Qualifying Scores'!$C$10:$C$13))),"P","")</f>
        <v>P</v>
      </c>
      <c r="N6" s="4">
        <f>MAX(T6,AA6)</f>
        <v>92.775000000000006</v>
      </c>
      <c r="O6" s="4">
        <f>IF(N6=T6,MAX(U6,Y6,AB6),MAX(R6,U6,AB6))</f>
        <v>49.73</v>
      </c>
      <c r="P6" s="33">
        <v>43.03</v>
      </c>
      <c r="Q6" s="34">
        <v>1.8</v>
      </c>
      <c r="R6" s="34">
        <v>48.57</v>
      </c>
      <c r="S6" s="34">
        <v>10.4</v>
      </c>
      <c r="T6" s="4">
        <f>SUM(P6,R6)</f>
        <v>91.6</v>
      </c>
      <c r="U6" s="34">
        <v>49.73</v>
      </c>
      <c r="V6" s="34">
        <v>10.4</v>
      </c>
      <c r="W6" s="33">
        <v>43.74</v>
      </c>
      <c r="X6" s="34">
        <v>1.4</v>
      </c>
      <c r="Y6" s="34">
        <v>49.034999999999997</v>
      </c>
      <c r="Z6" s="34">
        <v>10.4</v>
      </c>
      <c r="AA6" s="4">
        <f>SUM(W6,Y6)</f>
        <v>92.775000000000006</v>
      </c>
      <c r="AB6" s="34">
        <v>49.585000000000001</v>
      </c>
      <c r="AC6" s="39">
        <v>10.4</v>
      </c>
      <c r="AD6" s="5"/>
    </row>
    <row r="7" spans="1:30" x14ac:dyDescent="0.2">
      <c r="A7" s="1" t="str">
        <f t="shared" si="0"/>
        <v/>
      </c>
      <c r="B7" s="38" t="s">
        <v>155</v>
      </c>
      <c r="C7" s="38" t="s">
        <v>12</v>
      </c>
      <c r="D7" s="38" t="s">
        <v>138</v>
      </c>
      <c r="E7" s="37">
        <v>2003</v>
      </c>
      <c r="F7" s="1" t="str">
        <f>IF('Qualifying Scores'!$B$1-E7&gt;21,"Not Age Eligible",IF('Qualifying Scores'!$B$1-E7&gt;16,"17-21",IF('Qualifying Scores'!$B$1-E7&gt;14,"15-16",IF('Qualifying Scores'!$B$1-E7&gt;12,"13-14",IF('Qualifying Scores'!$B$1-E7&gt;10,"11-12,""Not Age Eligible")))))</f>
        <v>15-16</v>
      </c>
      <c r="G7" s="56"/>
      <c r="H7" s="4">
        <f>SUM(N7:O7)</f>
        <v>137.95499999999998</v>
      </c>
      <c r="I7" s="3" t="str">
        <f>IF(MAX(T7-Q7,AA7-X7)&gt;=LOOKUP(F7,'Qualifying Scores'!$A$4:$A$7,'Qualifying Scores'!$C$4:$C$7),"P","")</f>
        <v/>
      </c>
      <c r="J7" s="3" t="str">
        <f>IF(MAX(S7,Z7)&gt;=LOOKUP(F7,'Qualifying Scores'!$A$10:$A$13,'Qualifying Scores'!$C$10:$C$13),"P","")</f>
        <v>P</v>
      </c>
      <c r="K7" s="3" t="str">
        <f>IF(OR(AND(T7-Q7&gt;=LOOKUP(F7,'Qualifying Scores'!$A$4:$A$7,'Qualifying Scores'!$C$4:$C$7),S7&gt;=LOOKUP(F7,'Qualifying Scores'!$A$10:$A$13,'Qualifying Scores'!$C$10:$C$13)),AND(AA7-X7&gt;=LOOKUP(F7,'Qualifying Scores'!$A$4:$A$7,'Qualifying Scores'!$C$4:$C$7),Z7&gt;=LOOKUP(F7,'Qualifying Scores'!$A$10:$A$13,'Qualifying Scores'!$C$10:$C$13))),"P","")</f>
        <v/>
      </c>
      <c r="N7" s="4">
        <f>MAX(T7,AA7)</f>
        <v>90.204999999999998</v>
      </c>
      <c r="O7" s="4">
        <f>IF(N7=T7,MAX(U7,Y7,AB7),MAX(R7,U7,AB7))</f>
        <v>47.75</v>
      </c>
      <c r="P7" s="33">
        <v>42.784999999999997</v>
      </c>
      <c r="Q7" s="34">
        <v>2</v>
      </c>
      <c r="R7" s="34">
        <v>47.42</v>
      </c>
      <c r="S7" s="34">
        <v>9.8000000000000007</v>
      </c>
      <c r="T7" s="4">
        <f>SUM(P7,R7)</f>
        <v>90.204999999999998</v>
      </c>
      <c r="U7" s="34">
        <v>47.75</v>
      </c>
      <c r="V7" s="34">
        <v>9.8000000000000007</v>
      </c>
      <c r="W7" s="33">
        <v>42.664999999999999</v>
      </c>
      <c r="X7" s="34">
        <v>2.2999999999999998</v>
      </c>
      <c r="Y7" s="34">
        <v>37.375</v>
      </c>
      <c r="Z7" s="34">
        <v>6.8</v>
      </c>
      <c r="AA7" s="4">
        <f>SUM(W7,Y7)</f>
        <v>80.039999999999992</v>
      </c>
      <c r="AB7" s="34">
        <v>47.215000000000003</v>
      </c>
      <c r="AC7" s="39">
        <v>8.6</v>
      </c>
      <c r="AD7" s="5"/>
    </row>
    <row r="8" spans="1:30" x14ac:dyDescent="0.2">
      <c r="A8" s="1" t="str">
        <f t="shared" si="0"/>
        <v/>
      </c>
      <c r="B8" s="38" t="s">
        <v>156</v>
      </c>
      <c r="C8" s="38" t="s">
        <v>8</v>
      </c>
      <c r="D8" s="38" t="s">
        <v>130</v>
      </c>
      <c r="E8" s="37">
        <v>2004</v>
      </c>
      <c r="F8" s="1" t="str">
        <f>IF('Qualifying Scores'!$B$1-E8&gt;21,"Not Age Eligible",IF('Qualifying Scores'!$B$1-E8&gt;16,"17-21",IF('Qualifying Scores'!$B$1-E8&gt;14,"15-16",IF('Qualifying Scores'!$B$1-E8&gt;12,"13-14",IF('Qualifying Scores'!$B$1-E8&gt;10,"11-12,""Not Age Eligible")))))</f>
        <v>15-16</v>
      </c>
      <c r="G8" s="56"/>
      <c r="H8" s="4">
        <f>SUM(N8:O8)</f>
        <v>137.77500000000001</v>
      </c>
      <c r="I8" s="3" t="str">
        <f>IF(MAX(T8-Q8,AA8-X8)&gt;=LOOKUP(F8,'Qualifying Scores'!$A$4:$A$7,'Qualifying Scores'!$C$4:$C$7),"P","")</f>
        <v/>
      </c>
      <c r="J8" s="3" t="str">
        <f>IF(MAX(S8,Z8)&gt;=LOOKUP(F8,'Qualifying Scores'!$A$10:$A$13,'Qualifying Scores'!$C$10:$C$13),"P","")</f>
        <v/>
      </c>
      <c r="K8" s="3" t="str">
        <f>IF(OR(AND(T8-Q8&gt;=LOOKUP(F8,'Qualifying Scores'!$A$4:$A$7,'Qualifying Scores'!$C$4:$C$7),S8&gt;=LOOKUP(F8,'Qualifying Scores'!$A$10:$A$13,'Qualifying Scores'!$C$10:$C$13)),AND(AA8-X8&gt;=LOOKUP(F8,'Qualifying Scores'!$A$4:$A$7,'Qualifying Scores'!$C$4:$C$7),Z8&gt;=LOOKUP(F8,'Qualifying Scores'!$A$10:$A$13,'Qualifying Scores'!$C$10:$C$13))),"P","")</f>
        <v/>
      </c>
      <c r="N8" s="4">
        <f>MAX(T8,AA8)</f>
        <v>90.31</v>
      </c>
      <c r="O8" s="4">
        <f>IF(N8=T8,MAX(U8,Y8,AB8),MAX(R8,U8,AB8))</f>
        <v>47.465000000000003</v>
      </c>
      <c r="P8" s="33">
        <v>43.034999999999997</v>
      </c>
      <c r="Q8" s="34">
        <v>2.2999999999999998</v>
      </c>
      <c r="R8" s="34">
        <v>45.59</v>
      </c>
      <c r="S8" s="34">
        <v>9.3000000000000007</v>
      </c>
      <c r="T8" s="4">
        <f>SUM(P8,R8)</f>
        <v>88.625</v>
      </c>
      <c r="U8" s="34">
        <v>47.465000000000003</v>
      </c>
      <c r="V8" s="34">
        <v>9.3000000000000007</v>
      </c>
      <c r="W8" s="33">
        <v>43.13</v>
      </c>
      <c r="X8" s="34">
        <v>2.2999999999999998</v>
      </c>
      <c r="Y8" s="34">
        <v>47.18</v>
      </c>
      <c r="Z8" s="34">
        <v>9.3000000000000007</v>
      </c>
      <c r="AA8" s="4">
        <f>SUM(W8,Y8)</f>
        <v>90.31</v>
      </c>
      <c r="AB8" s="34">
        <v>5.24</v>
      </c>
      <c r="AC8" s="39">
        <v>1.5</v>
      </c>
      <c r="AD8" s="5"/>
    </row>
    <row r="9" spans="1:30" x14ac:dyDescent="0.2">
      <c r="A9" s="1" t="str">
        <f t="shared" si="0"/>
        <v/>
      </c>
      <c r="B9" s="38" t="s">
        <v>162</v>
      </c>
      <c r="C9" s="38" t="s">
        <v>6</v>
      </c>
      <c r="D9" s="38" t="s">
        <v>10</v>
      </c>
      <c r="E9" s="37">
        <v>2003</v>
      </c>
      <c r="F9" s="1" t="str">
        <f>IF('Qualifying Scores'!$B$1-E9&gt;21,"Not Age Eligible",IF('Qualifying Scores'!$B$1-E9&gt;16,"17-21",IF('Qualifying Scores'!$B$1-E9&gt;14,"15-16",IF('Qualifying Scores'!$B$1-E9&gt;12,"13-14",IF('Qualifying Scores'!$B$1-E9&gt;10,"11-12,""Not Age Eligible")))))</f>
        <v>15-16</v>
      </c>
      <c r="G9" s="56"/>
      <c r="H9" s="4">
        <f>SUM(N9:O9)</f>
        <v>136.63999999999999</v>
      </c>
      <c r="I9" s="3" t="str">
        <f>IF(MAX(T9-Q9,AA9-X9)&gt;=LOOKUP(F9,'Qualifying Scores'!$A$4:$A$7,'Qualifying Scores'!$C$4:$C$7),"P","")</f>
        <v/>
      </c>
      <c r="J9" s="3" t="str">
        <f>IF(MAX(S9,Z9)&gt;=LOOKUP(F9,'Qualifying Scores'!$A$10:$A$13,'Qualifying Scores'!$C$10:$C$13),"P","")</f>
        <v>P</v>
      </c>
      <c r="K9" s="3" t="str">
        <f>IF(OR(AND(T9-Q9&gt;=LOOKUP(F9,'Qualifying Scores'!$A$4:$A$7,'Qualifying Scores'!$C$4:$C$7),S9&gt;=LOOKUP(F9,'Qualifying Scores'!$A$10:$A$13,'Qualifying Scores'!$C$10:$C$13)),AND(AA9-X9&gt;=LOOKUP(F9,'Qualifying Scores'!$A$4:$A$7,'Qualifying Scores'!$C$4:$C$7),Z9&gt;=LOOKUP(F9,'Qualifying Scores'!$A$10:$A$13,'Qualifying Scores'!$C$10:$C$13))),"P","")</f>
        <v/>
      </c>
      <c r="N9" s="4">
        <f>MAX(T9,AA9)</f>
        <v>89.72</v>
      </c>
      <c r="O9" s="4">
        <f>IF(N9=T9,MAX(U9,Y9,AB9),MAX(R9,U9,AB9))</f>
        <v>46.92</v>
      </c>
      <c r="P9" s="33">
        <v>42.104999999999997</v>
      </c>
      <c r="Q9" s="34">
        <v>1.4</v>
      </c>
      <c r="R9" s="34">
        <v>46.92</v>
      </c>
      <c r="S9" s="34">
        <v>9.6999999999999993</v>
      </c>
      <c r="T9" s="4">
        <f>SUM(P9,R9)</f>
        <v>89.025000000000006</v>
      </c>
      <c r="U9" s="34">
        <v>45.265000000000001</v>
      </c>
      <c r="V9" s="34">
        <v>9.6999999999999993</v>
      </c>
      <c r="W9" s="33">
        <v>41.625</v>
      </c>
      <c r="X9" s="34">
        <v>1.4</v>
      </c>
      <c r="Y9" s="34">
        <v>48.094999999999999</v>
      </c>
      <c r="Z9" s="34">
        <v>9.6999999999999993</v>
      </c>
      <c r="AA9" s="4">
        <f>SUM(W9,Y9)</f>
        <v>89.72</v>
      </c>
      <c r="AB9" s="34">
        <v>44.24</v>
      </c>
      <c r="AC9" s="39">
        <v>9.6</v>
      </c>
      <c r="AD9" s="5"/>
    </row>
    <row r="10" spans="1:30" x14ac:dyDescent="0.2">
      <c r="A10" s="1" t="str">
        <f t="shared" si="0"/>
        <v/>
      </c>
      <c r="B10" s="38" t="s">
        <v>16</v>
      </c>
      <c r="C10" s="38" t="s">
        <v>8</v>
      </c>
      <c r="D10" s="38" t="s">
        <v>9</v>
      </c>
      <c r="E10" s="37">
        <v>2003</v>
      </c>
      <c r="F10" s="1" t="str">
        <f>IF('Qualifying Scores'!$B$1-E10&gt;21,"Not Age Eligible",IF('Qualifying Scores'!$B$1-E10&gt;16,"17-21",IF('Qualifying Scores'!$B$1-E10&gt;14,"15-16",IF('Qualifying Scores'!$B$1-E10&gt;12,"13-14",IF('Qualifying Scores'!$B$1-E10&gt;10,"11-12,""Not Age Eligible")))))</f>
        <v>15-16</v>
      </c>
      <c r="G10" s="56" t="s">
        <v>305</v>
      </c>
      <c r="H10" s="4">
        <f>SUM(N10:O10)</f>
        <v>136.11500000000001</v>
      </c>
      <c r="I10" s="3" t="str">
        <f>IF(MAX(T10-Q10,AA10-X10)&gt;=LOOKUP(F10,'Qualifying Scores'!$A$4:$A$7,'Qualifying Scores'!$C$4:$C$7),"P","")</f>
        <v/>
      </c>
      <c r="J10" s="3" t="str">
        <f>IF(MAX(S10,Z10)&gt;=LOOKUP(F10,'Qualifying Scores'!$A$10:$A$13,'Qualifying Scores'!$C$10:$C$13),"P","")</f>
        <v>P</v>
      </c>
      <c r="K10" s="3" t="str">
        <f>IF(OR(AND(T10-Q10&gt;=LOOKUP(F10,'Qualifying Scores'!$A$4:$A$7,'Qualifying Scores'!$C$4:$C$7),S10&gt;=LOOKUP(F10,'Qualifying Scores'!$A$10:$A$13,'Qualifying Scores'!$C$10:$C$13)),AND(AA10-X10&gt;=LOOKUP(F10,'Qualifying Scores'!$A$4:$A$7,'Qualifying Scores'!$C$4:$C$7),Z10&gt;=LOOKUP(F10,'Qualifying Scores'!$A$10:$A$13,'Qualifying Scores'!$C$10:$C$13))),"P","")</f>
        <v/>
      </c>
      <c r="N10" s="4">
        <f>MAX(T10,AA10)</f>
        <v>88.664999999999992</v>
      </c>
      <c r="O10" s="4">
        <f>IF(N10=T10,MAX(U10,Y10,AB10),MAX(R10,U10,AB10))</f>
        <v>47.45</v>
      </c>
      <c r="P10" s="33">
        <v>40.72</v>
      </c>
      <c r="Q10" s="34">
        <v>2.2000000000000002</v>
      </c>
      <c r="R10" s="34">
        <v>47.945</v>
      </c>
      <c r="S10" s="34">
        <v>9.6999999999999993</v>
      </c>
      <c r="T10" s="4">
        <f>SUM(P10,R10)</f>
        <v>88.664999999999992</v>
      </c>
      <c r="U10" s="34">
        <v>47.45</v>
      </c>
      <c r="V10" s="34">
        <v>9.8000000000000007</v>
      </c>
      <c r="W10" s="33">
        <v>40.094999999999999</v>
      </c>
      <c r="X10" s="34">
        <v>2.2000000000000002</v>
      </c>
      <c r="Y10" s="34">
        <v>13.78</v>
      </c>
      <c r="Z10" s="34">
        <v>2.7</v>
      </c>
      <c r="AA10" s="4">
        <f>SUM(W10,Y10)</f>
        <v>53.875</v>
      </c>
      <c r="AB10" s="34"/>
      <c r="AC10" s="39"/>
      <c r="AD10" s="5"/>
    </row>
    <row r="11" spans="1:30" x14ac:dyDescent="0.2">
      <c r="A11" s="1" t="str">
        <f t="shared" si="0"/>
        <v/>
      </c>
      <c r="B11" s="38" t="s">
        <v>160</v>
      </c>
      <c r="C11" s="38" t="s">
        <v>80</v>
      </c>
      <c r="D11" s="38" t="s">
        <v>159</v>
      </c>
      <c r="E11" s="37">
        <v>2003</v>
      </c>
      <c r="F11" s="1" t="str">
        <f>IF('Qualifying Scores'!$B$1-E11&gt;21,"Not Age Eligible",IF('Qualifying Scores'!$B$1-E11&gt;16,"17-21",IF('Qualifying Scores'!$B$1-E11&gt;14,"15-16",IF('Qualifying Scores'!$B$1-E11&gt;12,"13-14",IF('Qualifying Scores'!$B$1-E11&gt;10,"11-12,""Not Age Eligible")))))</f>
        <v>15-16</v>
      </c>
      <c r="G11" s="56"/>
      <c r="H11" s="4">
        <f>SUM(N11:O11)</f>
        <v>135.06</v>
      </c>
      <c r="I11" s="3" t="str">
        <f>IF(MAX(T11-Q11,AA11-X11)&gt;=LOOKUP(F11,'Qualifying Scores'!$A$4:$A$7,'Qualifying Scores'!$C$4:$C$7),"P","")</f>
        <v/>
      </c>
      <c r="J11" s="3" t="str">
        <f>IF(MAX(S11,Z11)&gt;=LOOKUP(F11,'Qualifying Scores'!$A$10:$A$13,'Qualifying Scores'!$C$10:$C$13),"P","")</f>
        <v/>
      </c>
      <c r="K11" s="3" t="str">
        <f>IF(OR(AND(T11-Q11&gt;=LOOKUP(F11,'Qualifying Scores'!$A$4:$A$7,'Qualifying Scores'!$C$4:$C$7),S11&gt;=LOOKUP(F11,'Qualifying Scores'!$A$10:$A$13,'Qualifying Scores'!$C$10:$C$13)),AND(AA11-X11&gt;=LOOKUP(F11,'Qualifying Scores'!$A$4:$A$7,'Qualifying Scores'!$C$4:$C$7),Z11&gt;=LOOKUP(F11,'Qualifying Scores'!$A$10:$A$13,'Qualifying Scores'!$C$10:$C$13))),"P","")</f>
        <v/>
      </c>
      <c r="N11" s="4">
        <f>MAX(T11,AA11)</f>
        <v>88.474999999999994</v>
      </c>
      <c r="O11" s="4">
        <f>IF(N11=T11,MAX(U11,Y11,AB11),MAX(R11,U11,AB11))</f>
        <v>46.585000000000001</v>
      </c>
      <c r="P11" s="33">
        <v>40.064999999999998</v>
      </c>
      <c r="Q11" s="34">
        <v>2.1</v>
      </c>
      <c r="R11" s="34">
        <v>45.685000000000002</v>
      </c>
      <c r="S11" s="34">
        <v>9</v>
      </c>
      <c r="T11" s="4">
        <f>SUM(P11,R11)</f>
        <v>85.75</v>
      </c>
      <c r="U11" s="34">
        <v>45.78</v>
      </c>
      <c r="V11" s="34">
        <v>9</v>
      </c>
      <c r="W11" s="33">
        <v>41.604999999999997</v>
      </c>
      <c r="X11" s="34">
        <v>2.1</v>
      </c>
      <c r="Y11" s="34">
        <v>46.87</v>
      </c>
      <c r="Z11" s="34">
        <v>9.1999999999999993</v>
      </c>
      <c r="AA11" s="4">
        <f>SUM(W11,Y11)</f>
        <v>88.474999999999994</v>
      </c>
      <c r="AB11" s="34">
        <v>46.585000000000001</v>
      </c>
      <c r="AC11" s="39">
        <v>9.1999999999999993</v>
      </c>
      <c r="AD11" s="5"/>
    </row>
    <row r="12" spans="1:30" x14ac:dyDescent="0.2">
      <c r="A12" s="1" t="str">
        <f t="shared" si="0"/>
        <v/>
      </c>
      <c r="B12" s="38" t="s">
        <v>161</v>
      </c>
      <c r="C12" s="38" t="s">
        <v>6</v>
      </c>
      <c r="D12" s="38" t="s">
        <v>10</v>
      </c>
      <c r="E12" s="37">
        <v>2004</v>
      </c>
      <c r="F12" s="1" t="str">
        <f>IF('Qualifying Scores'!$B$1-E12&gt;21,"Not Age Eligible",IF('Qualifying Scores'!$B$1-E12&gt;16,"17-21",IF('Qualifying Scores'!$B$1-E12&gt;14,"15-16",IF('Qualifying Scores'!$B$1-E12&gt;12,"13-14",IF('Qualifying Scores'!$B$1-E12&gt;10,"11-12,""Not Age Eligible")))))</f>
        <v>15-16</v>
      </c>
      <c r="G12" s="56"/>
      <c r="H12" s="4">
        <f>SUM(N12:O12)</f>
        <v>134.69499999999999</v>
      </c>
      <c r="I12" s="3" t="str">
        <f>IF(MAX(T12-Q12,AA12-X12)&gt;=LOOKUP(F12,'Qualifying Scores'!$A$4:$A$7,'Qualifying Scores'!$C$4:$C$7),"P","")</f>
        <v/>
      </c>
      <c r="J12" s="3" t="str">
        <f>IF(MAX(S12,Z12)&gt;=LOOKUP(F12,'Qualifying Scores'!$A$10:$A$13,'Qualifying Scores'!$C$10:$C$13),"P","")</f>
        <v>P</v>
      </c>
      <c r="K12" s="3" t="str">
        <f>IF(OR(AND(T12-Q12&gt;=LOOKUP(F12,'Qualifying Scores'!$A$4:$A$7,'Qualifying Scores'!$C$4:$C$7),S12&gt;=LOOKUP(F12,'Qualifying Scores'!$A$10:$A$13,'Qualifying Scores'!$C$10:$C$13)),AND(AA12-X12&gt;=LOOKUP(F12,'Qualifying Scores'!$A$4:$A$7,'Qualifying Scores'!$C$4:$C$7),Z12&gt;=LOOKUP(F12,'Qualifying Scores'!$A$10:$A$13,'Qualifying Scores'!$C$10:$C$13))),"P","")</f>
        <v/>
      </c>
      <c r="N12" s="4">
        <f>MAX(T12,AA12)</f>
        <v>88.95</v>
      </c>
      <c r="O12" s="4">
        <f>IF(N12=T12,MAX(U12,Y12,AB12),MAX(R12,U12,AB12))</f>
        <v>45.744999999999997</v>
      </c>
      <c r="P12" s="33">
        <v>41.31</v>
      </c>
      <c r="Q12" s="34">
        <v>1.4</v>
      </c>
      <c r="R12" s="34">
        <v>47.64</v>
      </c>
      <c r="S12" s="34">
        <v>9.6999999999999993</v>
      </c>
      <c r="T12" s="4">
        <f>SUM(P12,R12)</f>
        <v>88.95</v>
      </c>
      <c r="U12" s="34">
        <v>45.744999999999997</v>
      </c>
      <c r="V12" s="34">
        <v>9.6999999999999993</v>
      </c>
      <c r="W12" s="33">
        <v>41.87</v>
      </c>
      <c r="X12" s="34">
        <v>1.4</v>
      </c>
      <c r="Y12" s="34">
        <v>14.65</v>
      </c>
      <c r="Z12" s="34">
        <v>3.1</v>
      </c>
      <c r="AA12" s="4">
        <f>SUM(W12,Y12)</f>
        <v>56.519999999999996</v>
      </c>
      <c r="AB12" s="34"/>
      <c r="AC12" s="39"/>
      <c r="AD12" s="5"/>
    </row>
    <row r="13" spans="1:30" x14ac:dyDescent="0.2">
      <c r="A13" s="1" t="str">
        <f t="shared" si="0"/>
        <v/>
      </c>
      <c r="B13" s="38" t="s">
        <v>253</v>
      </c>
      <c r="C13" s="38" t="s">
        <v>8</v>
      </c>
      <c r="D13" s="38" t="s">
        <v>254</v>
      </c>
      <c r="E13" s="37">
        <v>2004</v>
      </c>
      <c r="F13" s="1" t="str">
        <f>IF('Qualifying Scores'!$B$1-E13&gt;21,"Not Age Eligible",IF('Qualifying Scores'!$B$1-E13&gt;16,"17-21",IF('Qualifying Scores'!$B$1-E13&gt;14,"15-16",IF('Qualifying Scores'!$B$1-E13&gt;12,"13-14",IF('Qualifying Scores'!$B$1-E13&gt;10,"11-12,""Not Age Eligible")))))</f>
        <v>15-16</v>
      </c>
      <c r="G13" s="56"/>
      <c r="H13" s="4">
        <f>SUM(N13:O13)</f>
        <v>134.62</v>
      </c>
      <c r="I13" s="3" t="str">
        <f>IF(MAX(T13-Q13,AA13-X13)&gt;=LOOKUP(F13,'Qualifying Scores'!$A$4:$A$7,'Qualifying Scores'!$C$4:$C$7),"P","")</f>
        <v/>
      </c>
      <c r="J13" s="3" t="str">
        <f>IF(MAX(S13,Z13)&gt;=LOOKUP(F13,'Qualifying Scores'!$A$10:$A$13,'Qualifying Scores'!$C$10:$C$13),"P","")</f>
        <v>P</v>
      </c>
      <c r="K13" s="3" t="str">
        <f>IF(OR(AND(T13-Q13&gt;=LOOKUP(F13,'Qualifying Scores'!$A$4:$A$7,'Qualifying Scores'!$C$4:$C$7),S13&gt;=LOOKUP(F13,'Qualifying Scores'!$A$10:$A$13,'Qualifying Scores'!$C$10:$C$13)),AND(AA13-X13&gt;=LOOKUP(F13,'Qualifying Scores'!$A$4:$A$7,'Qualifying Scores'!$C$4:$C$7),Z13&gt;=LOOKUP(F13,'Qualifying Scores'!$A$10:$A$13,'Qualifying Scores'!$C$10:$C$13))),"P","")</f>
        <v/>
      </c>
      <c r="N13" s="4">
        <f>MAX(T13,AA13)</f>
        <v>87.9</v>
      </c>
      <c r="O13" s="4">
        <f>IF(N13=T13,MAX(U13,Y13,AB13),MAX(R13,U13,AB13))</f>
        <v>46.72</v>
      </c>
      <c r="P13" s="33">
        <v>41.524999999999999</v>
      </c>
      <c r="Q13" s="34">
        <v>1.5</v>
      </c>
      <c r="R13" s="34">
        <v>46.375</v>
      </c>
      <c r="S13" s="34">
        <v>9.8000000000000007</v>
      </c>
      <c r="T13" s="4">
        <f>SUM(P13,R13)</f>
        <v>87.9</v>
      </c>
      <c r="U13" s="34"/>
      <c r="V13" s="34"/>
      <c r="W13" s="33">
        <v>41.524999999999999</v>
      </c>
      <c r="X13" s="34">
        <v>1.5</v>
      </c>
      <c r="Y13" s="34">
        <v>46.375</v>
      </c>
      <c r="Z13" s="34">
        <v>9.8000000000000007</v>
      </c>
      <c r="AA13" s="4">
        <f>SUM(W13,Y13)</f>
        <v>87.9</v>
      </c>
      <c r="AB13" s="34">
        <v>46.72</v>
      </c>
      <c r="AC13" s="39">
        <v>9.8000000000000007</v>
      </c>
    </row>
    <row r="14" spans="1:30" x14ac:dyDescent="0.2">
      <c r="A14" s="1" t="str">
        <f t="shared" si="0"/>
        <v/>
      </c>
      <c r="B14" s="38" t="s">
        <v>158</v>
      </c>
      <c r="C14" s="38" t="s">
        <v>4</v>
      </c>
      <c r="D14" s="38" t="s">
        <v>141</v>
      </c>
      <c r="E14" s="37">
        <v>2003</v>
      </c>
      <c r="F14" s="1" t="str">
        <f>IF('Qualifying Scores'!$B$1-E14&gt;21,"Not Age Eligible",IF('Qualifying Scores'!$B$1-E14&gt;16,"17-21",IF('Qualifying Scores'!$B$1-E14&gt;14,"15-16",IF('Qualifying Scores'!$B$1-E14&gt;12,"13-14",IF('Qualifying Scores'!$B$1-E14&gt;10,"11-12,""Not Age Eligible")))))</f>
        <v>15-16</v>
      </c>
      <c r="G14" s="56"/>
      <c r="H14" s="4">
        <f>SUM(N14:O14)</f>
        <v>134.01999999999998</v>
      </c>
      <c r="I14" s="3" t="str">
        <f>IF(MAX(T14-Q14,AA14-X14)&gt;=LOOKUP(F14,'Qualifying Scores'!$A$4:$A$7,'Qualifying Scores'!$C$4:$C$7),"P","")</f>
        <v/>
      </c>
      <c r="J14" s="3" t="str">
        <f>IF(MAX(S14,Z14)&gt;=LOOKUP(F14,'Qualifying Scores'!$A$10:$A$13,'Qualifying Scores'!$C$10:$C$13),"P","")</f>
        <v>P</v>
      </c>
      <c r="K14" s="3" t="str">
        <f>IF(OR(AND(T14-Q14&gt;=LOOKUP(F14,'Qualifying Scores'!$A$4:$A$7,'Qualifying Scores'!$C$4:$C$7),S14&gt;=LOOKUP(F14,'Qualifying Scores'!$A$10:$A$13,'Qualifying Scores'!$C$10:$C$13)),AND(AA14-X14&gt;=LOOKUP(F14,'Qualifying Scores'!$A$4:$A$7,'Qualifying Scores'!$C$4:$C$7),Z14&gt;=LOOKUP(F14,'Qualifying Scores'!$A$10:$A$13,'Qualifying Scores'!$C$10:$C$13))),"P","")</f>
        <v/>
      </c>
      <c r="N14" s="4">
        <f>MAX(T14,AA14)</f>
        <v>87.789999999999992</v>
      </c>
      <c r="O14" s="4">
        <f>IF(N14=T14,MAX(U14,Y14,AB14),MAX(R14,U14,AB14))</f>
        <v>46.23</v>
      </c>
      <c r="P14" s="33">
        <v>36.115000000000002</v>
      </c>
      <c r="Q14" s="34">
        <v>0.8</v>
      </c>
      <c r="R14" s="34">
        <v>42.674999999999997</v>
      </c>
      <c r="S14" s="34">
        <v>8.5</v>
      </c>
      <c r="T14" s="4">
        <f>SUM(P14,R14)</f>
        <v>78.789999999999992</v>
      </c>
      <c r="U14" s="34">
        <v>46.23</v>
      </c>
      <c r="V14" s="34">
        <v>9.6</v>
      </c>
      <c r="W14" s="33">
        <v>42.63</v>
      </c>
      <c r="X14" s="34">
        <v>2</v>
      </c>
      <c r="Y14" s="34">
        <v>45.16</v>
      </c>
      <c r="Z14" s="34">
        <v>9.8000000000000007</v>
      </c>
      <c r="AA14" s="4">
        <f>SUM(W14,Y14)</f>
        <v>87.789999999999992</v>
      </c>
      <c r="AB14" s="34">
        <v>46.174999999999997</v>
      </c>
      <c r="AC14" s="39">
        <v>9</v>
      </c>
    </row>
    <row r="15" spans="1:30" x14ac:dyDescent="0.2">
      <c r="A15" s="1" t="str">
        <f t="shared" si="0"/>
        <v/>
      </c>
      <c r="B15" s="38" t="s">
        <v>222</v>
      </c>
      <c r="C15" s="38" t="s">
        <v>6</v>
      </c>
      <c r="D15" s="38" t="s">
        <v>85</v>
      </c>
      <c r="E15" s="37">
        <v>2003</v>
      </c>
      <c r="F15" s="1" t="str">
        <f>IF('Qualifying Scores'!$B$1-E15&gt;21,"Not Age Eligible",IF('Qualifying Scores'!$B$1-E15&gt;16,"17-21",IF('Qualifying Scores'!$B$1-E15&gt;14,"15-16",IF('Qualifying Scores'!$B$1-E15&gt;12,"13-14",IF('Qualifying Scores'!$B$1-E15&gt;10,"11-12,""Not Age Eligible")))))</f>
        <v>15-16</v>
      </c>
      <c r="G15" s="56"/>
      <c r="H15" s="4">
        <f>SUM(N15:O15)</f>
        <v>131.06</v>
      </c>
      <c r="I15" s="3" t="str">
        <f>IF(MAX(T15-Q15,AA15-X15)&gt;=LOOKUP(F15,'Qualifying Scores'!$A$4:$A$7,'Qualifying Scores'!$C$4:$C$7),"P","")</f>
        <v/>
      </c>
      <c r="J15" s="3" t="str">
        <f>IF(MAX(S15,Z15)&gt;=LOOKUP(F15,'Qualifying Scores'!$A$10:$A$13,'Qualifying Scores'!$C$10:$C$13),"P","")</f>
        <v/>
      </c>
      <c r="K15" s="3" t="str">
        <f>IF(OR(AND(T15-Q15&gt;=LOOKUP(F15,'Qualifying Scores'!$A$4:$A$7,'Qualifying Scores'!$C$4:$C$7),S15&gt;=LOOKUP(F15,'Qualifying Scores'!$A$10:$A$13,'Qualifying Scores'!$C$10:$C$13)),AND(AA15-X15&gt;=LOOKUP(F15,'Qualifying Scores'!$A$4:$A$7,'Qualifying Scores'!$C$4:$C$7),Z15&gt;=LOOKUP(F15,'Qualifying Scores'!$A$10:$A$13,'Qualifying Scores'!$C$10:$C$13))),"P","")</f>
        <v/>
      </c>
      <c r="N15" s="4">
        <f>MAX(T15,AA15)</f>
        <v>85.42</v>
      </c>
      <c r="O15" s="4">
        <f>IF(N15=T15,MAX(U15,Y15,AB15),MAX(R15,U15,AB15))</f>
        <v>45.64</v>
      </c>
      <c r="P15" s="33">
        <v>40.74</v>
      </c>
      <c r="Q15" s="34">
        <v>1.5</v>
      </c>
      <c r="R15" s="34">
        <v>44.68</v>
      </c>
      <c r="S15" s="34">
        <v>9</v>
      </c>
      <c r="T15" s="4">
        <f>SUM(P15,R15)</f>
        <v>85.42</v>
      </c>
      <c r="U15" s="34"/>
      <c r="V15" s="34"/>
      <c r="W15" s="33">
        <v>40.74</v>
      </c>
      <c r="X15" s="34">
        <v>1.5</v>
      </c>
      <c r="Y15" s="34">
        <v>44.68</v>
      </c>
      <c r="Z15" s="34">
        <v>9</v>
      </c>
      <c r="AA15" s="4">
        <f>SUM(W15,Y15)</f>
        <v>85.42</v>
      </c>
      <c r="AB15" s="34">
        <v>45.64</v>
      </c>
      <c r="AC15" s="39">
        <v>9</v>
      </c>
    </row>
    <row r="16" spans="1:30" x14ac:dyDescent="0.2">
      <c r="A16" s="1" t="str">
        <f t="shared" si="0"/>
        <v/>
      </c>
      <c r="B16" s="38" t="s">
        <v>164</v>
      </c>
      <c r="C16" s="38" t="s">
        <v>6</v>
      </c>
      <c r="D16" s="38" t="s">
        <v>126</v>
      </c>
      <c r="E16" s="37">
        <v>2003</v>
      </c>
      <c r="F16" s="1" t="str">
        <f>IF('Qualifying Scores'!$B$1-E16&gt;21,"Not Age Eligible",IF('Qualifying Scores'!$B$1-E16&gt;16,"17-21",IF('Qualifying Scores'!$B$1-E16&gt;14,"15-16",IF('Qualifying Scores'!$B$1-E16&gt;12,"13-14",IF('Qualifying Scores'!$B$1-E16&gt;10,"11-12,""Not Age Eligible")))))</f>
        <v>15-16</v>
      </c>
      <c r="G16" s="56"/>
      <c r="H16" s="4">
        <f>SUM(N16:O16)</f>
        <v>88.564999999999998</v>
      </c>
      <c r="I16" s="3" t="str">
        <f>IF(MAX(T16-Q16,AA16-X16)&gt;=LOOKUP(F16,'Qualifying Scores'!$A$4:$A$7,'Qualifying Scores'!$C$4:$C$7),"P","")</f>
        <v/>
      </c>
      <c r="J16" s="3" t="str">
        <f>IF(MAX(S16,Z16)&gt;=LOOKUP(F16,'Qualifying Scores'!$A$10:$A$13,'Qualifying Scores'!$C$10:$C$13),"P","")</f>
        <v/>
      </c>
      <c r="K16" s="3" t="str">
        <f>IF(OR(AND(T16-Q16&gt;=LOOKUP(F16,'Qualifying Scores'!$A$4:$A$7,'Qualifying Scores'!$C$4:$C$7),S16&gt;=LOOKUP(F16,'Qualifying Scores'!$A$10:$A$13,'Qualifying Scores'!$C$10:$C$13)),AND(AA16-X16&gt;=LOOKUP(F16,'Qualifying Scores'!$A$4:$A$7,'Qualifying Scores'!$C$4:$C$7),Z16&gt;=LOOKUP(F16,'Qualifying Scores'!$A$10:$A$13,'Qualifying Scores'!$C$10:$C$13))),"P","")</f>
        <v/>
      </c>
      <c r="N16" s="4">
        <f>MAX(T16,AA16)</f>
        <v>83.28</v>
      </c>
      <c r="O16" s="4">
        <f>IF(N16=T16,MAX(U16,Y16,AB16),MAX(R16,U16,AB16))</f>
        <v>5.2850000000000001</v>
      </c>
      <c r="P16" s="33">
        <v>42.484999999999999</v>
      </c>
      <c r="Q16" s="34">
        <v>2.2000000000000002</v>
      </c>
      <c r="R16" s="34">
        <v>5.2850000000000001</v>
      </c>
      <c r="S16" s="34">
        <v>1.5</v>
      </c>
      <c r="T16" s="4">
        <f>SUM(P16,R16)</f>
        <v>47.769999999999996</v>
      </c>
      <c r="U16" s="34"/>
      <c r="V16" s="34"/>
      <c r="W16" s="33">
        <v>37.450000000000003</v>
      </c>
      <c r="X16" s="34">
        <v>0.8</v>
      </c>
      <c r="Y16" s="34">
        <v>45.83</v>
      </c>
      <c r="Z16" s="34">
        <v>8.9</v>
      </c>
      <c r="AA16" s="4">
        <f>SUM(W16,Y16)</f>
        <v>83.28</v>
      </c>
      <c r="AB16" s="34"/>
      <c r="AC16" s="39"/>
    </row>
    <row r="17" spans="1:29" x14ac:dyDescent="0.2">
      <c r="A17" s="1" t="str">
        <f t="shared" si="0"/>
        <v/>
      </c>
      <c r="B17" s="38" t="s">
        <v>163</v>
      </c>
      <c r="C17" s="38" t="s">
        <v>28</v>
      </c>
      <c r="D17" s="38" t="s">
        <v>108</v>
      </c>
      <c r="E17" s="37">
        <v>2003</v>
      </c>
      <c r="F17" s="1" t="str">
        <f>IF('Qualifying Scores'!$B$1-E17&gt;21,"Not Age Eligible",IF('Qualifying Scores'!$B$1-E17&gt;16,"17-21",IF('Qualifying Scores'!$B$1-E17&gt;14,"15-16",IF('Qualifying Scores'!$B$1-E17&gt;12,"13-14",IF('Qualifying Scores'!$B$1-E17&gt;10,"11-12,""Not Age Eligible")))))</f>
        <v>15-16</v>
      </c>
      <c r="G17" s="56"/>
      <c r="H17" s="4">
        <f>SUM(N17:O17)</f>
        <v>76.635000000000005</v>
      </c>
      <c r="I17" s="3" t="str">
        <f>IF(MAX(T17-Q17,AA17-X17)&gt;=LOOKUP(F17,'Qualifying Scores'!$A$4:$A$7,'Qualifying Scores'!$C$4:$C$7),"P","")</f>
        <v/>
      </c>
      <c r="J17" s="3" t="str">
        <f>IF(MAX(S17,Z17)&gt;=LOOKUP(F17,'Qualifying Scores'!$A$10:$A$13,'Qualifying Scores'!$C$10:$C$13),"P","")</f>
        <v/>
      </c>
      <c r="K17" s="3" t="str">
        <f>IF(OR(AND(T17-Q17&gt;=LOOKUP(F17,'Qualifying Scores'!$A$4:$A$7,'Qualifying Scores'!$C$4:$C$7),S17&gt;=LOOKUP(F17,'Qualifying Scores'!$A$10:$A$13,'Qualifying Scores'!$C$10:$C$13)),AND(AA17-X17&gt;=LOOKUP(F17,'Qualifying Scores'!$A$4:$A$7,'Qualifying Scores'!$C$4:$C$7),Z17&gt;=LOOKUP(F17,'Qualifying Scores'!$A$10:$A$13,'Qualifying Scores'!$C$10:$C$13))),"P","")</f>
        <v/>
      </c>
      <c r="N17" s="4">
        <f>MAX(T17,AA17)</f>
        <v>67.995000000000005</v>
      </c>
      <c r="O17" s="4">
        <f>IF(N17=T17,MAX(U17,Y17,AB17),MAX(R17,U17,AB17))</f>
        <v>8.64</v>
      </c>
      <c r="P17" s="33">
        <v>40.104999999999997</v>
      </c>
      <c r="Q17" s="34">
        <v>1.8</v>
      </c>
      <c r="R17" s="34">
        <v>8.64</v>
      </c>
      <c r="S17" s="34">
        <v>2</v>
      </c>
      <c r="T17" s="4">
        <f>SUM(P17,R17)</f>
        <v>48.744999999999997</v>
      </c>
      <c r="U17" s="34"/>
      <c r="V17" s="34"/>
      <c r="W17" s="33">
        <v>35.875</v>
      </c>
      <c r="X17" s="34">
        <v>0.8</v>
      </c>
      <c r="Y17" s="34">
        <v>32.119999999999997</v>
      </c>
      <c r="Z17" s="34">
        <v>6.8</v>
      </c>
      <c r="AA17" s="4">
        <f>SUM(W17,Y17)</f>
        <v>67.995000000000005</v>
      </c>
      <c r="AB17" s="34"/>
      <c r="AC17" s="39"/>
    </row>
    <row r="18" spans="1:29" x14ac:dyDescent="0.2">
      <c r="A18" s="1" t="str">
        <f t="shared" si="0"/>
        <v/>
      </c>
      <c r="B18" s="38" t="s">
        <v>256</v>
      </c>
      <c r="C18" s="38" t="s">
        <v>4</v>
      </c>
      <c r="E18" s="37">
        <v>2003</v>
      </c>
      <c r="F18" s="1" t="str">
        <f>IF('Qualifying Scores'!$B$1-E18&gt;21,"Not Age Eligible",IF('Qualifying Scores'!$B$1-E18&gt;16,"17-21",IF('Qualifying Scores'!$B$1-E18&gt;14,"15-16",IF('Qualifying Scores'!$B$1-E18&gt;12,"13-14",IF('Qualifying Scores'!$B$1-E18&gt;10,"11-12,""Not Age Eligible")))))</f>
        <v>15-16</v>
      </c>
      <c r="G18" s="56"/>
      <c r="H18" s="4">
        <f>SUM(N18:O18)</f>
        <v>76.375</v>
      </c>
      <c r="I18" s="3" t="str">
        <f>IF(MAX(T18-Q18,AA18-X18)&gt;=LOOKUP(F18,'Qualifying Scores'!$A$4:$A$7,'Qualifying Scores'!$C$4:$C$7),"P","")</f>
        <v/>
      </c>
      <c r="J18" s="3" t="str">
        <f>IF(MAX(S18,Z18)&gt;=LOOKUP(F18,'Qualifying Scores'!$A$10:$A$13,'Qualifying Scores'!$C$10:$C$13),"P","")</f>
        <v/>
      </c>
      <c r="K18" s="3" t="str">
        <f>IF(OR(AND(T18-Q18&gt;=LOOKUP(F18,'Qualifying Scores'!$A$4:$A$7,'Qualifying Scores'!$C$4:$C$7),S18&gt;=LOOKUP(F18,'Qualifying Scores'!$A$10:$A$13,'Qualifying Scores'!$C$10:$C$13)),AND(AA18-X18&gt;=LOOKUP(F18,'Qualifying Scores'!$A$4:$A$7,'Qualifying Scores'!$C$4:$C$7),Z18&gt;=LOOKUP(F18,'Qualifying Scores'!$A$10:$A$13,'Qualifying Scores'!$C$10:$C$13))),"P","")</f>
        <v/>
      </c>
      <c r="N18" s="4">
        <f>MAX(T18,AA18)</f>
        <v>76.375</v>
      </c>
      <c r="O18" s="4">
        <f>IF(N18=T18,MAX(U18,Y18,AB18),MAX(R18,U18,AB18))</f>
        <v>0</v>
      </c>
      <c r="P18" s="33"/>
      <c r="Q18" s="34"/>
      <c r="R18" s="34"/>
      <c r="S18" s="34"/>
      <c r="T18" s="4">
        <f>SUM(P18,R18)</f>
        <v>0</v>
      </c>
      <c r="U18" s="34"/>
      <c r="V18" s="34"/>
      <c r="W18" s="33">
        <v>31.725000000000001</v>
      </c>
      <c r="X18" s="34">
        <v>0.9</v>
      </c>
      <c r="Y18" s="34">
        <v>44.65</v>
      </c>
      <c r="Z18" s="34">
        <v>8.9</v>
      </c>
      <c r="AA18" s="4">
        <f>SUM(W18,Y18)</f>
        <v>76.375</v>
      </c>
      <c r="AB18" s="34"/>
      <c r="AC18" s="39"/>
    </row>
    <row r="19" spans="1:29" x14ac:dyDescent="0.2">
      <c r="A19" s="1">
        <f t="shared" si="0"/>
        <v>1</v>
      </c>
      <c r="B19" s="38" t="s">
        <v>49</v>
      </c>
      <c r="C19" s="38" t="s">
        <v>4</v>
      </c>
      <c r="D19" s="38" t="s">
        <v>11</v>
      </c>
      <c r="E19" s="37">
        <v>1998</v>
      </c>
      <c r="F19" s="1" t="str">
        <f>IF('Qualifying Scores'!$B$1-E19&gt;21,"Not Age Eligible",IF('Qualifying Scores'!$B$1-E19&gt;16,"17-21",IF('Qualifying Scores'!$B$1-E19&gt;14,"15-16",IF('Qualifying Scores'!$B$1-E19&gt;12,"13-14",IF('Qualifying Scores'!$B$1-E19&gt;10,"11-12,""Not Age Eligible")))))</f>
        <v>17-21</v>
      </c>
      <c r="G19" s="56" t="s">
        <v>305</v>
      </c>
      <c r="H19" s="4">
        <f>SUM(N19:O19)</f>
        <v>155.58000000000001</v>
      </c>
      <c r="I19" s="3" t="str">
        <f>IF(MAX(T19-Q19,AA19-X19)&gt;=LOOKUP(F19,'Qualifying Scores'!$A$4:$A$7,'Qualifying Scores'!$C$4:$C$7),"P","")</f>
        <v>P</v>
      </c>
      <c r="J19" s="3" t="str">
        <f>IF(MAX(S19,Z19)&gt;=LOOKUP(F19,'Qualifying Scores'!$A$10:$A$13,'Qualifying Scores'!$C$10:$C$13),"P","")</f>
        <v>P</v>
      </c>
      <c r="K19" s="3" t="str">
        <f>IF(OR(AND(T19-Q19&gt;=LOOKUP(F19,'Qualifying Scores'!$A$4:$A$7,'Qualifying Scores'!$C$4:$C$7),S19&gt;=LOOKUP(F19,'Qualifying Scores'!$A$10:$A$13,'Qualifying Scores'!$C$10:$C$13)),AND(AA19-X19&gt;=LOOKUP(F19,'Qualifying Scores'!$A$4:$A$7,'Qualifying Scores'!$C$4:$C$7),Z19&gt;=LOOKUP(F19,'Qualifying Scores'!$A$10:$A$13,'Qualifying Scores'!$C$10:$C$13))),"P","")</f>
        <v>P</v>
      </c>
      <c r="M19" s="42">
        <v>5</v>
      </c>
      <c r="N19" s="4">
        <f>MAX(T19,AA19)</f>
        <v>102.06</v>
      </c>
      <c r="O19" s="4">
        <f>IF(N19=T19,MAX(U19,Y19,AB19),MAX(R19,U19,AB19))</f>
        <v>53.52</v>
      </c>
      <c r="P19" s="33">
        <v>47.545000000000002</v>
      </c>
      <c r="Q19" s="34">
        <v>6.2</v>
      </c>
      <c r="R19" s="34">
        <v>54.515000000000001</v>
      </c>
      <c r="S19" s="34">
        <v>13.8</v>
      </c>
      <c r="T19" s="4">
        <f>SUM(P19,R19)</f>
        <v>102.06</v>
      </c>
      <c r="U19" s="34">
        <v>53.52</v>
      </c>
      <c r="V19" s="34">
        <v>13.8</v>
      </c>
      <c r="W19" s="33">
        <v>47.32</v>
      </c>
      <c r="X19" s="34">
        <v>4.2</v>
      </c>
      <c r="Y19" s="34">
        <v>52.97</v>
      </c>
      <c r="Z19" s="34">
        <v>13.1</v>
      </c>
      <c r="AA19" s="4">
        <f>SUM(W19,Y19)</f>
        <v>100.28999999999999</v>
      </c>
      <c r="AB19" s="34">
        <v>52.505000000000003</v>
      </c>
      <c r="AC19" s="39">
        <v>13.8</v>
      </c>
    </row>
    <row r="20" spans="1:29" x14ac:dyDescent="0.2">
      <c r="A20" s="1">
        <f t="shared" si="0"/>
        <v>2</v>
      </c>
      <c r="B20" s="38" t="s">
        <v>167</v>
      </c>
      <c r="C20" s="38" t="s">
        <v>12</v>
      </c>
      <c r="D20" s="38" t="s">
        <v>152</v>
      </c>
      <c r="E20" s="37">
        <v>1998</v>
      </c>
      <c r="F20" s="1" t="str">
        <f>IF('Qualifying Scores'!$B$1-E20&gt;21,"Not Age Eligible",IF('Qualifying Scores'!$B$1-E20&gt;16,"17-21",IF('Qualifying Scores'!$B$1-E20&gt;14,"15-16",IF('Qualifying Scores'!$B$1-E20&gt;12,"13-14",IF('Qualifying Scores'!$B$1-E20&gt;10,"11-12,""Not Age Eligible")))))</f>
        <v>17-21</v>
      </c>
      <c r="G20" s="56" t="s">
        <v>305</v>
      </c>
      <c r="H20" s="4">
        <f>SUM(N20:O20)</f>
        <v>151.07499999999999</v>
      </c>
      <c r="I20" s="3" t="str">
        <f>IF(MAX(T20-Q20,AA20-X20)&gt;=LOOKUP(F20,'Qualifying Scores'!$A$4:$A$7,'Qualifying Scores'!$C$4:$C$7),"P","")</f>
        <v>P</v>
      </c>
      <c r="J20" s="3" t="str">
        <f>IF(MAX(S20,Z20)&gt;=LOOKUP(F20,'Qualifying Scores'!$A$10:$A$13,'Qualifying Scores'!$C$10:$C$13),"P","")</f>
        <v>P</v>
      </c>
      <c r="K20" s="3" t="str">
        <f>IF(OR(AND(T20-Q20&gt;=LOOKUP(F20,'Qualifying Scores'!$A$4:$A$7,'Qualifying Scores'!$C$4:$C$7),S20&gt;=LOOKUP(F20,'Qualifying Scores'!$A$10:$A$13,'Qualifying Scores'!$C$10:$C$13)),AND(AA20-X20&gt;=LOOKUP(F20,'Qualifying Scores'!$A$4:$A$7,'Qualifying Scores'!$C$4:$C$7),Z20&gt;=LOOKUP(F20,'Qualifying Scores'!$A$10:$A$13,'Qualifying Scores'!$C$10:$C$13))),"P","")</f>
        <v>P</v>
      </c>
      <c r="M20" s="42">
        <v>6</v>
      </c>
      <c r="N20" s="4">
        <f>MAX(T20,AA20)</f>
        <v>99.074999999999989</v>
      </c>
      <c r="O20" s="4">
        <f>IF(N20=T20,MAX(U20,Y20,AB20),MAX(R20,U20,AB20))</f>
        <v>52</v>
      </c>
      <c r="P20" s="33">
        <v>46.075000000000003</v>
      </c>
      <c r="Q20" s="34">
        <v>4.8</v>
      </c>
      <c r="R20" s="34">
        <v>50.664999999999999</v>
      </c>
      <c r="S20" s="34">
        <v>13.6</v>
      </c>
      <c r="T20" s="4">
        <f>SUM(P20,R20)</f>
        <v>96.740000000000009</v>
      </c>
      <c r="U20" s="34">
        <v>50.4</v>
      </c>
      <c r="V20" s="34">
        <v>11.6</v>
      </c>
      <c r="W20" s="33">
        <v>47.12</v>
      </c>
      <c r="X20" s="34">
        <v>4.8</v>
      </c>
      <c r="Y20" s="34">
        <v>51.954999999999998</v>
      </c>
      <c r="Z20" s="34">
        <v>12.1</v>
      </c>
      <c r="AA20" s="4">
        <f>SUM(W20,Y20)</f>
        <v>99.074999999999989</v>
      </c>
      <c r="AB20" s="34">
        <v>52</v>
      </c>
      <c r="AC20" s="39">
        <v>12.6</v>
      </c>
    </row>
    <row r="21" spans="1:29" x14ac:dyDescent="0.2">
      <c r="A21" s="1">
        <f t="shared" si="0"/>
        <v>3</v>
      </c>
      <c r="B21" s="38" t="s">
        <v>53</v>
      </c>
      <c r="C21" s="38" t="s">
        <v>6</v>
      </c>
      <c r="D21" s="38" t="s">
        <v>22</v>
      </c>
      <c r="E21" s="37">
        <v>2001</v>
      </c>
      <c r="F21" s="1" t="str">
        <f>IF('Qualifying Scores'!$B$1-E21&gt;21,"Not Age Eligible",IF('Qualifying Scores'!$B$1-E21&gt;16,"17-21",IF('Qualifying Scores'!$B$1-E21&gt;14,"15-16",IF('Qualifying Scores'!$B$1-E21&gt;12,"13-14",IF('Qualifying Scores'!$B$1-E21&gt;10,"11-12,""Not Age Eligible")))))</f>
        <v>17-21</v>
      </c>
      <c r="G21" s="56" t="s">
        <v>305</v>
      </c>
      <c r="H21" s="4">
        <f>SUM(N21:O21)</f>
        <v>143</v>
      </c>
      <c r="I21" s="3" t="str">
        <f>IF(MAX(T21-Q21,AA21-X21)&gt;=LOOKUP(F21,'Qualifying Scores'!$A$4:$A$7,'Qualifying Scores'!$C$4:$C$7),"P","")</f>
        <v>P</v>
      </c>
      <c r="J21" s="3" t="str">
        <f>IF(MAX(S21,Z21)&gt;=LOOKUP(F21,'Qualifying Scores'!$A$10:$A$13,'Qualifying Scores'!$C$10:$C$13),"P","")</f>
        <v>P</v>
      </c>
      <c r="K21" s="3" t="str">
        <f>IF(OR(AND(T21-Q21&gt;=LOOKUP(F21,'Qualifying Scores'!$A$4:$A$7,'Qualifying Scores'!$C$4:$C$7),S21&gt;=LOOKUP(F21,'Qualifying Scores'!$A$10:$A$13,'Qualifying Scores'!$C$10:$C$13)),AND(AA21-X21&gt;=LOOKUP(F21,'Qualifying Scores'!$A$4:$A$7,'Qualifying Scores'!$C$4:$C$7),Z21&gt;=LOOKUP(F21,'Qualifying Scores'!$A$10:$A$13,'Qualifying Scores'!$C$10:$C$13))),"P","")</f>
        <v>P</v>
      </c>
      <c r="L21" s="42">
        <v>1</v>
      </c>
      <c r="N21" s="4">
        <f>MAX(T21,AA21)</f>
        <v>94.539999999999992</v>
      </c>
      <c r="O21" s="4">
        <f>IF(N21=T21,MAX(U21,Y21,AB21),MAX(R21,U21,AB21))</f>
        <v>48.46</v>
      </c>
      <c r="P21" s="33">
        <v>44.51</v>
      </c>
      <c r="Q21" s="34">
        <v>3.5</v>
      </c>
      <c r="R21" s="34">
        <v>50.03</v>
      </c>
      <c r="S21" s="34">
        <v>13.1</v>
      </c>
      <c r="T21" s="4">
        <f>SUM(P21,R21)</f>
        <v>94.539999999999992</v>
      </c>
      <c r="U21" s="34">
        <v>46.734999999999999</v>
      </c>
      <c r="V21" s="34">
        <v>12.9</v>
      </c>
      <c r="W21" s="33">
        <v>45.314999999999998</v>
      </c>
      <c r="X21" s="34">
        <v>3.5</v>
      </c>
      <c r="Y21" s="34">
        <v>48.46</v>
      </c>
      <c r="Z21" s="34">
        <v>13.1</v>
      </c>
      <c r="AA21" s="4">
        <f>SUM(W21,Y21)</f>
        <v>93.775000000000006</v>
      </c>
      <c r="AB21" s="34">
        <v>10.085000000000001</v>
      </c>
      <c r="AC21" s="39">
        <v>3.1</v>
      </c>
    </row>
    <row r="22" spans="1:29" x14ac:dyDescent="0.2">
      <c r="A22" s="1">
        <f t="shared" si="0"/>
        <v>4</v>
      </c>
      <c r="B22" s="38" t="s">
        <v>154</v>
      </c>
      <c r="C22" s="38" t="s">
        <v>4</v>
      </c>
      <c r="D22" s="38" t="s">
        <v>140</v>
      </c>
      <c r="E22" s="37">
        <v>2002</v>
      </c>
      <c r="F22" s="1" t="str">
        <f>IF('Qualifying Scores'!$B$1-E22&gt;21,"Not Age Eligible",IF('Qualifying Scores'!$B$1-E22&gt;16,"17-21",IF('Qualifying Scores'!$B$1-E22&gt;14,"15-16",IF('Qualifying Scores'!$B$1-E22&gt;12,"13-14",IF('Qualifying Scores'!$B$1-E22&gt;10,"11-12,""Not Age Eligible")))))</f>
        <v>17-21</v>
      </c>
      <c r="G22" s="56" t="s">
        <v>305</v>
      </c>
      <c r="H22" s="4">
        <f>SUM(N22:O22)</f>
        <v>142.495</v>
      </c>
      <c r="I22" s="3" t="str">
        <f>IF(MAX(T22-Q22,AA22-X22)&gt;=LOOKUP(F22,'Qualifying Scores'!$A$4:$A$7,'Qualifying Scores'!$C$4:$C$7),"P","")</f>
        <v/>
      </c>
      <c r="J22" s="3" t="str">
        <f>IF(MAX(S22,Z22)&gt;=LOOKUP(F22,'Qualifying Scores'!$A$10:$A$13,'Qualifying Scores'!$C$10:$C$13),"P","")</f>
        <v>P</v>
      </c>
      <c r="K22" s="3" t="str">
        <f>IF(OR(AND(T22-Q22&gt;=LOOKUP(F22,'Qualifying Scores'!$A$4:$A$7,'Qualifying Scores'!$C$4:$C$7),S22&gt;=LOOKUP(F22,'Qualifying Scores'!$A$10:$A$13,'Qualifying Scores'!$C$10:$C$13)),AND(AA22-X22&gt;=LOOKUP(F22,'Qualifying Scores'!$A$4:$A$7,'Qualifying Scores'!$C$4:$C$7),Z22&gt;=LOOKUP(F22,'Qualifying Scores'!$A$10:$A$13,'Qualifying Scores'!$C$10:$C$13))),"P","")</f>
        <v/>
      </c>
      <c r="L22" s="42">
        <v>2</v>
      </c>
      <c r="N22" s="4">
        <f>MAX(T22,AA22)</f>
        <v>93.284999999999997</v>
      </c>
      <c r="O22" s="4">
        <f>IF(N22=T22,MAX(U22,Y22,AB22),MAX(R22,U22,AB22))</f>
        <v>49.21</v>
      </c>
      <c r="P22" s="33">
        <v>43.16</v>
      </c>
      <c r="Q22" s="34">
        <v>4.4000000000000004</v>
      </c>
      <c r="R22" s="34">
        <v>49.21</v>
      </c>
      <c r="S22" s="34">
        <v>10.5</v>
      </c>
      <c r="T22" s="4">
        <f>SUM(P22,R22)</f>
        <v>92.37</v>
      </c>
      <c r="U22" s="34">
        <v>47.14</v>
      </c>
      <c r="V22" s="34">
        <v>9.3000000000000007</v>
      </c>
      <c r="W22" s="33">
        <v>45.4</v>
      </c>
      <c r="X22" s="34">
        <v>3.9</v>
      </c>
      <c r="Y22" s="34">
        <v>47.884999999999998</v>
      </c>
      <c r="Z22" s="34">
        <v>11.4</v>
      </c>
      <c r="AA22" s="4">
        <f>SUM(W22,Y22)</f>
        <v>93.284999999999997</v>
      </c>
      <c r="AB22" s="34">
        <v>48.53</v>
      </c>
      <c r="AC22" s="39">
        <v>10.5</v>
      </c>
    </row>
    <row r="23" spans="1:29" x14ac:dyDescent="0.2">
      <c r="A23" s="1">
        <f t="shared" si="0"/>
        <v>5</v>
      </c>
      <c r="B23" s="38" t="s">
        <v>46</v>
      </c>
      <c r="C23" s="38" t="s">
        <v>6</v>
      </c>
      <c r="D23" s="38" t="s">
        <v>10</v>
      </c>
      <c r="E23" s="37">
        <v>2002</v>
      </c>
      <c r="F23" s="1" t="str">
        <f>IF('Qualifying Scores'!$B$1-E23&gt;21,"Not Age Eligible",IF('Qualifying Scores'!$B$1-E23&gt;16,"17-21",IF('Qualifying Scores'!$B$1-E23&gt;14,"15-16",IF('Qualifying Scores'!$B$1-E23&gt;12,"13-14",IF('Qualifying Scores'!$B$1-E23&gt;10,"11-12,""Not Age Eligible")))))</f>
        <v>17-21</v>
      </c>
      <c r="G23" s="56" t="s">
        <v>305</v>
      </c>
      <c r="H23" s="4">
        <f>SUM(N23:O23)</f>
        <v>144.42499999999998</v>
      </c>
      <c r="I23" s="3" t="str">
        <f>IF(MAX(T23-Q23,AA23-X23)&gt;=LOOKUP(F23,'Qualifying Scores'!$A$4:$A$7,'Qualifying Scores'!$C$4:$C$7),"P","")</f>
        <v>P</v>
      </c>
      <c r="J23" s="3" t="str">
        <f>IF(MAX(S23,Z23)&gt;=LOOKUP(F23,'Qualifying Scores'!$A$10:$A$13,'Qualifying Scores'!$C$10:$C$13),"P","")</f>
        <v>P</v>
      </c>
      <c r="K23" s="3" t="str">
        <f>IF(OR(AND(T23-Q23&gt;=LOOKUP(F23,'Qualifying Scores'!$A$4:$A$7,'Qualifying Scores'!$C$4:$C$7),S23&gt;=LOOKUP(F23,'Qualifying Scores'!$A$10:$A$13,'Qualifying Scores'!$C$10:$C$13)),AND(AA23-X23&gt;=LOOKUP(F23,'Qualifying Scores'!$A$4:$A$7,'Qualifying Scores'!$C$4:$C$7),Z23&gt;=LOOKUP(F23,'Qualifying Scores'!$A$10:$A$13,'Qualifying Scores'!$C$10:$C$13))),"P","")</f>
        <v>P</v>
      </c>
      <c r="L23" s="42">
        <v>3</v>
      </c>
      <c r="N23" s="4">
        <f>MAX(T23,AA23)</f>
        <v>94.444999999999993</v>
      </c>
      <c r="O23" s="4">
        <f>IF(N23=T23,MAX(U23,Y23,AB23),MAX(R23,U23,AB23))</f>
        <v>49.98</v>
      </c>
      <c r="P23" s="33">
        <v>43.825000000000003</v>
      </c>
      <c r="Q23" s="34">
        <v>3.2</v>
      </c>
      <c r="R23" s="34">
        <v>49.98</v>
      </c>
      <c r="S23" s="34">
        <v>11.3</v>
      </c>
      <c r="T23" s="4">
        <f>SUM(P23,R23)</f>
        <v>93.805000000000007</v>
      </c>
      <c r="U23" s="34">
        <v>45.78</v>
      </c>
      <c r="V23" s="34">
        <v>10.1</v>
      </c>
      <c r="W23" s="33">
        <v>45.365000000000002</v>
      </c>
      <c r="X23" s="34">
        <v>3.2</v>
      </c>
      <c r="Y23" s="34">
        <v>49.08</v>
      </c>
      <c r="Z23" s="34">
        <v>11.3</v>
      </c>
      <c r="AA23" s="4">
        <f>SUM(W23,Y23)</f>
        <v>94.444999999999993</v>
      </c>
      <c r="AB23" s="34">
        <v>15.29</v>
      </c>
      <c r="AC23" s="39">
        <v>3.5</v>
      </c>
    </row>
    <row r="24" spans="1:29" x14ac:dyDescent="0.2">
      <c r="A24" s="1">
        <f t="shared" si="0"/>
        <v>6</v>
      </c>
      <c r="B24" s="38" t="s">
        <v>45</v>
      </c>
      <c r="C24" s="38" t="s">
        <v>8</v>
      </c>
      <c r="D24" s="38" t="s">
        <v>9</v>
      </c>
      <c r="E24" s="37">
        <v>2002</v>
      </c>
      <c r="F24" s="1" t="str">
        <f>IF('Qualifying Scores'!$B$1-E24&gt;21,"Not Age Eligible",IF('Qualifying Scores'!$B$1-E24&gt;16,"17-21",IF('Qualifying Scores'!$B$1-E24&gt;14,"15-16",IF('Qualifying Scores'!$B$1-E24&gt;12,"13-14",IF('Qualifying Scores'!$B$1-E24&gt;10,"11-12,""Not Age Eligible")))))</f>
        <v>17-21</v>
      </c>
      <c r="G24" s="56" t="s">
        <v>305</v>
      </c>
      <c r="H24" s="4">
        <f>SUM(N24:O24)</f>
        <v>142.57</v>
      </c>
      <c r="I24" s="3" t="str">
        <f>IF(MAX(T24-Q24,AA24-X24)&gt;=LOOKUP(F24,'Qualifying Scores'!$A$4:$A$7,'Qualifying Scores'!$C$4:$C$7),"P","")</f>
        <v/>
      </c>
      <c r="J24" s="3" t="str">
        <f>IF(MAX(S24,Z24)&gt;=LOOKUP(F24,'Qualifying Scores'!$A$10:$A$13,'Qualifying Scores'!$C$10:$C$13),"P","")</f>
        <v>P</v>
      </c>
      <c r="K24" s="3" t="str">
        <f>IF(OR(AND(T24-Q24&gt;=LOOKUP(F24,'Qualifying Scores'!$A$4:$A$7,'Qualifying Scores'!$C$4:$C$7),S24&gt;=LOOKUP(F24,'Qualifying Scores'!$A$10:$A$13,'Qualifying Scores'!$C$10:$C$13)),AND(AA24-X24&gt;=LOOKUP(F24,'Qualifying Scores'!$A$4:$A$7,'Qualifying Scores'!$C$4:$C$7),Z24&gt;=LOOKUP(F24,'Qualifying Scores'!$A$10:$A$13,'Qualifying Scores'!$C$10:$C$13))),"P","")</f>
        <v/>
      </c>
      <c r="L24" s="42">
        <v>4</v>
      </c>
      <c r="N24" s="4">
        <f>MAX(T24,AA24)</f>
        <v>93.6</v>
      </c>
      <c r="O24" s="4">
        <f>IF(N24=T24,MAX(U24,Y24,AB24),MAX(R24,U24,AB24))</f>
        <v>48.97</v>
      </c>
      <c r="P24" s="33">
        <v>44.344999999999999</v>
      </c>
      <c r="Q24" s="34">
        <v>3.7</v>
      </c>
      <c r="R24" s="34">
        <v>49.255000000000003</v>
      </c>
      <c r="S24" s="34">
        <v>11</v>
      </c>
      <c r="T24" s="4">
        <f>SUM(P24,R24)</f>
        <v>93.6</v>
      </c>
      <c r="U24" s="34">
        <v>48.97</v>
      </c>
      <c r="V24" s="34">
        <v>9.6</v>
      </c>
      <c r="W24" s="33">
        <v>13.744999999999999</v>
      </c>
      <c r="X24" s="34">
        <v>1.3</v>
      </c>
      <c r="Y24" s="34">
        <v>28.734999999999999</v>
      </c>
      <c r="Z24" s="34">
        <v>5.4</v>
      </c>
      <c r="AA24" s="4">
        <f>SUM(W24,Y24)</f>
        <v>42.48</v>
      </c>
      <c r="AB24" s="34"/>
      <c r="AC24" s="39"/>
    </row>
    <row r="25" spans="1:29" x14ac:dyDescent="0.2">
      <c r="A25" s="1" t="str">
        <f t="shared" si="0"/>
        <v/>
      </c>
      <c r="B25" s="38" t="s">
        <v>153</v>
      </c>
      <c r="C25" s="38" t="s">
        <v>12</v>
      </c>
      <c r="D25" s="38" t="s">
        <v>152</v>
      </c>
      <c r="E25" s="37">
        <v>2002</v>
      </c>
      <c r="F25" s="1" t="str">
        <f>IF('Qualifying Scores'!$B$1-E25&gt;21,"Not Age Eligible",IF('Qualifying Scores'!$B$1-E25&gt;16,"17-21",IF('Qualifying Scores'!$B$1-E25&gt;14,"15-16",IF('Qualifying Scores'!$B$1-E25&gt;12,"13-14",IF('Qualifying Scores'!$B$1-E25&gt;10,"11-12,""Not Age Eligible")))))</f>
        <v>17-21</v>
      </c>
      <c r="G25" s="56"/>
      <c r="H25" s="4">
        <f>SUM(N25:O25)</f>
        <v>142.39500000000001</v>
      </c>
      <c r="I25" s="3" t="str">
        <f>IF(MAX(T25-Q25,AA25-X25)&gt;=LOOKUP(F25,'Qualifying Scores'!$A$4:$A$7,'Qualifying Scores'!$C$4:$C$7),"P","")</f>
        <v/>
      </c>
      <c r="J25" s="3" t="str">
        <f>IF(MAX(S25,Z25)&gt;=LOOKUP(F25,'Qualifying Scores'!$A$10:$A$13,'Qualifying Scores'!$C$10:$C$13),"P","")</f>
        <v>P</v>
      </c>
      <c r="K25" s="3" t="str">
        <f>IF(OR(AND(T25-Q25&gt;=LOOKUP(F25,'Qualifying Scores'!$A$4:$A$7,'Qualifying Scores'!$C$4:$C$7),S25&gt;=LOOKUP(F25,'Qualifying Scores'!$A$10:$A$13,'Qualifying Scores'!$C$10:$C$13)),AND(AA25-X25&gt;=LOOKUP(F25,'Qualifying Scores'!$A$4:$A$7,'Qualifying Scores'!$C$4:$C$7),Z25&gt;=LOOKUP(F25,'Qualifying Scores'!$A$10:$A$13,'Qualifying Scores'!$C$10:$C$13))),"P","")</f>
        <v/>
      </c>
      <c r="N25" s="4">
        <f>MAX(T25,AA25)</f>
        <v>93.275000000000006</v>
      </c>
      <c r="O25" s="4">
        <f>IF(N25=T25,MAX(U25,Y25,AB25),MAX(R25,U25,AB25))</f>
        <v>49.12</v>
      </c>
      <c r="P25" s="33">
        <v>44.45</v>
      </c>
      <c r="Q25" s="34">
        <v>3.8</v>
      </c>
      <c r="R25" s="34">
        <v>48.825000000000003</v>
      </c>
      <c r="S25" s="34">
        <v>10.5</v>
      </c>
      <c r="T25" s="4">
        <f>SUM(P25,R25)</f>
        <v>93.275000000000006</v>
      </c>
      <c r="U25" s="34">
        <v>49.12</v>
      </c>
      <c r="V25" s="34">
        <v>10.5</v>
      </c>
      <c r="W25" s="33"/>
      <c r="X25" s="34"/>
      <c r="Y25" s="34"/>
      <c r="Z25" s="34"/>
      <c r="AA25" s="4">
        <f>SUM(W25,Y25)</f>
        <v>0</v>
      </c>
      <c r="AB25" s="34"/>
      <c r="AC25" s="39"/>
    </row>
    <row r="26" spans="1:29" x14ac:dyDescent="0.2">
      <c r="A26" s="1" t="str">
        <f t="shared" si="0"/>
        <v/>
      </c>
      <c r="B26" s="38" t="s">
        <v>270</v>
      </c>
      <c r="C26" s="38" t="s">
        <v>8</v>
      </c>
      <c r="D26" s="38" t="s">
        <v>254</v>
      </c>
      <c r="E26" s="37">
        <v>1999</v>
      </c>
      <c r="F26" s="1" t="str">
        <f>IF('Qualifying Scores'!$B$1-E26&gt;21,"Not Age Eligible",IF('Qualifying Scores'!$B$1-E26&gt;16,"17-21",IF('Qualifying Scores'!$B$1-E26&gt;14,"15-16",IF('Qualifying Scores'!$B$1-E26&gt;12,"13-14",IF('Qualifying Scores'!$B$1-E26&gt;10,"11-12,""Not Age Eligible")))))</f>
        <v>17-21</v>
      </c>
      <c r="G26" s="56"/>
      <c r="H26" s="4">
        <f>SUM(N26:O26)</f>
        <v>141.625</v>
      </c>
      <c r="I26" s="3" t="str">
        <f>IF(MAX(T26-Q26,AA26-X26)&gt;=LOOKUP(F26,'Qualifying Scores'!$A$4:$A$7,'Qualifying Scores'!$C$4:$C$7),"P","")</f>
        <v/>
      </c>
      <c r="J26" s="3" t="str">
        <f>IF(MAX(S26,Z26)&gt;=LOOKUP(F26,'Qualifying Scores'!$A$10:$A$13,'Qualifying Scores'!$C$10:$C$13),"P","")</f>
        <v>P</v>
      </c>
      <c r="K26" s="3" t="str">
        <f>IF(OR(AND(T26-Q26&gt;=LOOKUP(F26,'Qualifying Scores'!$A$4:$A$7,'Qualifying Scores'!$C$4:$C$7),S26&gt;=LOOKUP(F26,'Qualifying Scores'!$A$10:$A$13,'Qualifying Scores'!$C$10:$C$13)),AND(AA26-X26&gt;=LOOKUP(F26,'Qualifying Scores'!$A$4:$A$7,'Qualifying Scores'!$C$4:$C$7),Z26&gt;=LOOKUP(F26,'Qualifying Scores'!$A$10:$A$13,'Qualifying Scores'!$C$10:$C$13))),"P","")</f>
        <v/>
      </c>
      <c r="N26" s="4">
        <f>MAX(T26,AA26)</f>
        <v>91.205000000000013</v>
      </c>
      <c r="O26" s="4">
        <f>IF(N26=T26,MAX(U26,Y26,AB26),MAX(R26,U26,AB26))</f>
        <v>50.42</v>
      </c>
      <c r="P26" s="33"/>
      <c r="Q26" s="34"/>
      <c r="R26" s="34"/>
      <c r="S26" s="34"/>
      <c r="T26" s="4">
        <f>SUM(P26,R26)</f>
        <v>0</v>
      </c>
      <c r="U26" s="34"/>
      <c r="V26" s="34"/>
      <c r="W26" s="33">
        <v>46.255000000000003</v>
      </c>
      <c r="X26" s="34">
        <v>4.9000000000000004</v>
      </c>
      <c r="Y26" s="34">
        <v>44.95</v>
      </c>
      <c r="Z26" s="34">
        <v>11.7</v>
      </c>
      <c r="AA26" s="4">
        <f>SUM(W26,Y26)</f>
        <v>91.205000000000013</v>
      </c>
      <c r="AB26" s="34">
        <v>50.42</v>
      </c>
      <c r="AC26" s="39">
        <v>12.9</v>
      </c>
    </row>
    <row r="27" spans="1:29" x14ac:dyDescent="0.2">
      <c r="A27" s="1" t="str">
        <f t="shared" si="0"/>
        <v/>
      </c>
      <c r="B27" s="38" t="s">
        <v>50</v>
      </c>
      <c r="C27" s="38" t="s">
        <v>12</v>
      </c>
      <c r="D27" s="38" t="s">
        <v>13</v>
      </c>
      <c r="E27" s="37">
        <v>2000</v>
      </c>
      <c r="F27" s="1" t="str">
        <f>IF('Qualifying Scores'!$B$1-E27&gt;21,"Not Age Eligible",IF('Qualifying Scores'!$B$1-E27&gt;16,"17-21",IF('Qualifying Scores'!$B$1-E27&gt;14,"15-16",IF('Qualifying Scores'!$B$1-E27&gt;12,"13-14",IF('Qualifying Scores'!$B$1-E27&gt;10,"11-12,""Not Age Eligible")))))</f>
        <v>17-21</v>
      </c>
      <c r="G27" s="56"/>
      <c r="H27" s="4">
        <f>SUM(N27:O27)</f>
        <v>140.255</v>
      </c>
      <c r="I27" s="3" t="str">
        <f>IF(MAX(T27-Q27,AA27-X27)&gt;=LOOKUP(F27,'Qualifying Scores'!$A$4:$A$7,'Qualifying Scores'!$C$4:$C$7),"P","")</f>
        <v/>
      </c>
      <c r="J27" s="3" t="str">
        <f>IF(MAX(S27,Z27)&gt;=LOOKUP(F27,'Qualifying Scores'!$A$10:$A$13,'Qualifying Scores'!$C$10:$C$13),"P","")</f>
        <v/>
      </c>
      <c r="K27" s="3" t="str">
        <f>IF(OR(AND(T27-Q27&gt;=LOOKUP(F27,'Qualifying Scores'!$A$4:$A$7,'Qualifying Scores'!$C$4:$C$7),S27&gt;=LOOKUP(F27,'Qualifying Scores'!$A$10:$A$13,'Qualifying Scores'!$C$10:$C$13)),AND(AA27-X27&gt;=LOOKUP(F27,'Qualifying Scores'!$A$4:$A$7,'Qualifying Scores'!$C$4:$C$7),Z27&gt;=LOOKUP(F27,'Qualifying Scores'!$A$10:$A$13,'Qualifying Scores'!$C$10:$C$13))),"P","")</f>
        <v/>
      </c>
      <c r="N27" s="4">
        <f>MAX(T27,AA27)</f>
        <v>91.669999999999987</v>
      </c>
      <c r="O27" s="4">
        <f>IF(N27=T27,MAX(U27,Y27,AB27),MAX(R27,U27,AB27))</f>
        <v>48.585000000000001</v>
      </c>
      <c r="P27" s="33">
        <v>46.244999999999997</v>
      </c>
      <c r="Q27" s="34">
        <v>3.4</v>
      </c>
      <c r="R27" s="34">
        <v>45.424999999999997</v>
      </c>
      <c r="S27" s="34">
        <v>10</v>
      </c>
      <c r="T27" s="4">
        <f>SUM(P27,R27)</f>
        <v>91.669999999999987</v>
      </c>
      <c r="U27" s="34">
        <v>48.585000000000001</v>
      </c>
      <c r="V27" s="34">
        <v>10.7</v>
      </c>
      <c r="W27" s="33">
        <v>41.325000000000003</v>
      </c>
      <c r="X27" s="34">
        <v>1.9</v>
      </c>
      <c r="Y27" s="34">
        <v>46.075000000000003</v>
      </c>
      <c r="Z27" s="34">
        <v>10</v>
      </c>
      <c r="AA27" s="4">
        <f>SUM(W27,Y27)</f>
        <v>87.4</v>
      </c>
      <c r="AB27" s="34">
        <v>21.24</v>
      </c>
      <c r="AC27" s="39">
        <v>5</v>
      </c>
    </row>
    <row r="28" spans="1:29" x14ac:dyDescent="0.2">
      <c r="A28" s="1" t="str">
        <f t="shared" si="0"/>
        <v/>
      </c>
      <c r="B28" s="38" t="s">
        <v>52</v>
      </c>
      <c r="C28" s="38" t="s">
        <v>4</v>
      </c>
      <c r="D28" s="38" t="s">
        <v>5</v>
      </c>
      <c r="E28" s="37">
        <v>2001</v>
      </c>
      <c r="F28" s="1" t="str">
        <f>IF('Qualifying Scores'!$B$1-E28&gt;21,"Not Age Eligible",IF('Qualifying Scores'!$B$1-E28&gt;16,"17-21",IF('Qualifying Scores'!$B$1-E28&gt;14,"15-16",IF('Qualifying Scores'!$B$1-E28&gt;12,"13-14",IF('Qualifying Scores'!$B$1-E28&gt;10,"11-12,""Not Age Eligible")))))</f>
        <v>17-21</v>
      </c>
      <c r="G28" s="56" t="s">
        <v>305</v>
      </c>
      <c r="H28" s="4">
        <f>SUM(N28:O28)</f>
        <v>138.23500000000001</v>
      </c>
      <c r="I28" s="3" t="str">
        <f>IF(MAX(T28-Q28,AA28-X28)&gt;=LOOKUP(F28,'Qualifying Scores'!$A$4:$A$7,'Qualifying Scores'!$C$4:$C$7),"P","")</f>
        <v/>
      </c>
      <c r="J28" s="3" t="str">
        <f>IF(MAX(S28,Z28)&gt;=LOOKUP(F28,'Qualifying Scores'!$A$10:$A$13,'Qualifying Scores'!$C$10:$C$13),"P","")</f>
        <v/>
      </c>
      <c r="K28" s="3" t="str">
        <f>IF(OR(AND(T28-Q28&gt;=LOOKUP(F28,'Qualifying Scores'!$A$4:$A$7,'Qualifying Scores'!$C$4:$C$7),S28&gt;=LOOKUP(F28,'Qualifying Scores'!$A$10:$A$13,'Qualifying Scores'!$C$10:$C$13)),AND(AA28-X28&gt;=LOOKUP(F28,'Qualifying Scores'!$A$4:$A$7,'Qualifying Scores'!$C$4:$C$7),Z28&gt;=LOOKUP(F28,'Qualifying Scores'!$A$10:$A$13,'Qualifying Scores'!$C$10:$C$13))),"P","")</f>
        <v/>
      </c>
      <c r="N28" s="4">
        <f>MAX(T28,AA28)</f>
        <v>89.89500000000001</v>
      </c>
      <c r="O28" s="4">
        <f>IF(N28=T28,MAX(U28,Y28,AB28),MAX(R28,U28,AB28))</f>
        <v>48.34</v>
      </c>
      <c r="P28" s="33">
        <v>44.335000000000001</v>
      </c>
      <c r="Q28" s="34">
        <v>3.9</v>
      </c>
      <c r="R28" s="34">
        <v>29.1</v>
      </c>
      <c r="S28" s="34">
        <v>6.4</v>
      </c>
      <c r="T28" s="4">
        <f>SUM(P28,R28)</f>
        <v>73.435000000000002</v>
      </c>
      <c r="U28" s="34">
        <v>48.34</v>
      </c>
      <c r="V28" s="34">
        <v>10.3</v>
      </c>
      <c r="W28" s="33">
        <v>42.32</v>
      </c>
      <c r="X28" s="34">
        <v>3.9</v>
      </c>
      <c r="Y28" s="34">
        <v>47.575000000000003</v>
      </c>
      <c r="Z28" s="34">
        <v>9.6999999999999993</v>
      </c>
      <c r="AA28" s="4">
        <f>SUM(W28,Y28)</f>
        <v>89.89500000000001</v>
      </c>
      <c r="AB28" s="34">
        <v>46.564999999999998</v>
      </c>
      <c r="AC28" s="39">
        <v>9.6999999999999993</v>
      </c>
    </row>
    <row r="29" spans="1:29" x14ac:dyDescent="0.2">
      <c r="A29" s="1" t="str">
        <f t="shared" si="0"/>
        <v/>
      </c>
      <c r="B29" s="38" t="s">
        <v>47</v>
      </c>
      <c r="C29" s="38" t="s">
        <v>4</v>
      </c>
      <c r="D29" s="38" t="s">
        <v>11</v>
      </c>
      <c r="E29" s="37">
        <v>2002</v>
      </c>
      <c r="F29" s="1" t="str">
        <f>IF('Qualifying Scores'!$B$1-E29&gt;21,"Not Age Eligible",IF('Qualifying Scores'!$B$1-E29&gt;16,"17-21",IF('Qualifying Scores'!$B$1-E29&gt;14,"15-16",IF('Qualifying Scores'!$B$1-E29&gt;12,"13-14",IF('Qualifying Scores'!$B$1-E29&gt;10,"11-12,""Not Age Eligible")))))</f>
        <v>17-21</v>
      </c>
      <c r="G29" s="56"/>
      <c r="H29" s="4">
        <f>SUM(N29:O29)</f>
        <v>137.68</v>
      </c>
      <c r="I29" s="3" t="str">
        <f>IF(MAX(T29-Q29,AA29-X29)&gt;=LOOKUP(F29,'Qualifying Scores'!$A$4:$A$7,'Qualifying Scores'!$C$4:$C$7),"P","")</f>
        <v/>
      </c>
      <c r="J29" s="3" t="str">
        <f>IF(MAX(S29,Z29)&gt;=LOOKUP(F29,'Qualifying Scores'!$A$10:$A$13,'Qualifying Scores'!$C$10:$C$13),"P","")</f>
        <v>P</v>
      </c>
      <c r="K29" s="3" t="str">
        <f>IF(OR(AND(T29-Q29&gt;=LOOKUP(F29,'Qualifying Scores'!$A$4:$A$7,'Qualifying Scores'!$C$4:$C$7),S29&gt;=LOOKUP(F29,'Qualifying Scores'!$A$10:$A$13,'Qualifying Scores'!$C$10:$C$13)),AND(AA29-X29&gt;=LOOKUP(F29,'Qualifying Scores'!$A$4:$A$7,'Qualifying Scores'!$C$4:$C$7),Z29&gt;=LOOKUP(F29,'Qualifying Scores'!$A$10:$A$13,'Qualifying Scores'!$C$10:$C$13))),"P","")</f>
        <v/>
      </c>
      <c r="N29" s="4">
        <f>MAX(T29,AA29)</f>
        <v>90.06</v>
      </c>
      <c r="O29" s="4">
        <f>IF(N29=T29,MAX(U29,Y29,AB29),MAX(R29,U29,AB29))</f>
        <v>47.62</v>
      </c>
      <c r="P29" s="33">
        <v>42.625</v>
      </c>
      <c r="Q29" s="34">
        <v>2.2000000000000002</v>
      </c>
      <c r="R29" s="34">
        <v>47.435000000000002</v>
      </c>
      <c r="S29" s="34">
        <v>10.5</v>
      </c>
      <c r="T29" s="4">
        <f>SUM(P29,R29)</f>
        <v>90.06</v>
      </c>
      <c r="U29" s="34">
        <v>47.62</v>
      </c>
      <c r="V29" s="34">
        <v>9</v>
      </c>
      <c r="W29" s="33"/>
      <c r="X29" s="34"/>
      <c r="Y29" s="34"/>
      <c r="Z29" s="34"/>
      <c r="AA29" s="4">
        <f>SUM(W29,Y29)</f>
        <v>0</v>
      </c>
      <c r="AB29" s="34"/>
      <c r="AC29" s="39"/>
    </row>
    <row r="30" spans="1:29" x14ac:dyDescent="0.2">
      <c r="A30" s="1" t="str">
        <f t="shared" si="0"/>
        <v/>
      </c>
      <c r="B30" s="38" t="s">
        <v>263</v>
      </c>
      <c r="C30" s="38" t="s">
        <v>12</v>
      </c>
      <c r="D30" s="38" t="s">
        <v>17</v>
      </c>
      <c r="E30" s="37">
        <v>1998</v>
      </c>
      <c r="F30" s="1" t="str">
        <f>IF('Qualifying Scores'!$B$1-E30&gt;21,"Not Age Eligible",IF('Qualifying Scores'!$B$1-E30&gt;16,"17-21",IF('Qualifying Scores'!$B$1-E30&gt;14,"15-16",IF('Qualifying Scores'!$B$1-E30&gt;12,"13-14",IF('Qualifying Scores'!$B$1-E30&gt;10,"11-12,""Not Age Eligible")))))</f>
        <v>17-21</v>
      </c>
      <c r="G30" s="56"/>
      <c r="H30" s="4">
        <f>SUM(N30:O30)</f>
        <v>136.745</v>
      </c>
      <c r="I30" s="3" t="str">
        <f>IF(MAX(T30-Q30,AA30-X30)&gt;=LOOKUP(F30,'Qualifying Scores'!$A$4:$A$7,'Qualifying Scores'!$C$4:$C$7),"P","")</f>
        <v/>
      </c>
      <c r="J30" s="3" t="str">
        <f>IF(MAX(S30,Z30)&gt;=LOOKUP(F30,'Qualifying Scores'!$A$10:$A$13,'Qualifying Scores'!$C$10:$C$13),"P","")</f>
        <v/>
      </c>
      <c r="K30" s="3" t="str">
        <f>IF(OR(AND(T30-Q30&gt;=LOOKUP(F30,'Qualifying Scores'!$A$4:$A$7,'Qualifying Scores'!$C$4:$C$7),S30&gt;=LOOKUP(F30,'Qualifying Scores'!$A$10:$A$13,'Qualifying Scores'!$C$10:$C$13)),AND(AA30-X30&gt;=LOOKUP(F30,'Qualifying Scores'!$A$4:$A$7,'Qualifying Scores'!$C$4:$C$7),Z30&gt;=LOOKUP(F30,'Qualifying Scores'!$A$10:$A$13,'Qualifying Scores'!$C$10:$C$13))),"P","")</f>
        <v/>
      </c>
      <c r="N30" s="4">
        <f>MAX(T30,AA30)</f>
        <v>88.68</v>
      </c>
      <c r="O30" s="4">
        <f>IF(N30=T30,MAX(U30,Y30,AB30),MAX(R30,U30,AB30))</f>
        <v>48.064999999999998</v>
      </c>
      <c r="P30" s="33">
        <v>40.164999999999999</v>
      </c>
      <c r="Q30" s="34">
        <v>1.8</v>
      </c>
      <c r="R30" s="34">
        <v>48.064999999999998</v>
      </c>
      <c r="S30" s="34">
        <v>8.9</v>
      </c>
      <c r="T30" s="4">
        <f>SUM(P30,R30)</f>
        <v>88.22999999999999</v>
      </c>
      <c r="U30" s="34">
        <v>46.92</v>
      </c>
      <c r="V30" s="34">
        <v>8.9</v>
      </c>
      <c r="W30" s="33">
        <v>41.51</v>
      </c>
      <c r="X30" s="34">
        <v>1.8</v>
      </c>
      <c r="Y30" s="34">
        <v>47.17</v>
      </c>
      <c r="Z30" s="34">
        <v>8.9</v>
      </c>
      <c r="AA30" s="4">
        <f>SUM(W30,Y30)</f>
        <v>88.68</v>
      </c>
      <c r="AB30" s="34">
        <v>9.9250000000000007</v>
      </c>
      <c r="AC30" s="39">
        <v>2.2999999999999998</v>
      </c>
    </row>
    <row r="31" spans="1:29" x14ac:dyDescent="0.2">
      <c r="A31" s="1" t="str">
        <f t="shared" si="0"/>
        <v/>
      </c>
      <c r="B31" s="38" t="s">
        <v>54</v>
      </c>
      <c r="C31" s="38" t="s">
        <v>4</v>
      </c>
      <c r="D31" s="38" t="s">
        <v>11</v>
      </c>
      <c r="E31" s="37">
        <v>2001</v>
      </c>
      <c r="F31" s="1" t="str">
        <f>IF('Qualifying Scores'!$B$1-E31&gt;21,"Not Age Eligible",IF('Qualifying Scores'!$B$1-E31&gt;16,"17-21",IF('Qualifying Scores'!$B$1-E31&gt;14,"15-16",IF('Qualifying Scores'!$B$1-E31&gt;12,"13-14",IF('Qualifying Scores'!$B$1-E31&gt;10,"11-12,""Not Age Eligible")))))</f>
        <v>17-21</v>
      </c>
      <c r="G31" s="56"/>
      <c r="H31" s="4">
        <f>SUM(N31:O31)</f>
        <v>135.85</v>
      </c>
      <c r="I31" s="3" t="str">
        <f>IF(MAX(T31-Q31,AA31-X31)&gt;=LOOKUP(F31,'Qualifying Scores'!$A$4:$A$7,'Qualifying Scores'!$C$4:$C$7),"P","")</f>
        <v/>
      </c>
      <c r="J31" s="3" t="str">
        <f>IF(MAX(S31,Z31)&gt;=LOOKUP(F31,'Qualifying Scores'!$A$10:$A$13,'Qualifying Scores'!$C$10:$C$13),"P","")</f>
        <v/>
      </c>
      <c r="K31" s="3" t="str">
        <f>IF(OR(AND(T31-Q31&gt;=LOOKUP(F31,'Qualifying Scores'!$A$4:$A$7,'Qualifying Scores'!$C$4:$C$7),S31&gt;=LOOKUP(F31,'Qualifying Scores'!$A$10:$A$13,'Qualifying Scores'!$C$10:$C$13)),AND(AA31-X31&gt;=LOOKUP(F31,'Qualifying Scores'!$A$4:$A$7,'Qualifying Scores'!$C$4:$C$7),Z31&gt;=LOOKUP(F31,'Qualifying Scores'!$A$10:$A$13,'Qualifying Scores'!$C$10:$C$13))),"P","")</f>
        <v/>
      </c>
      <c r="N31" s="4">
        <f>MAX(T31,AA31)</f>
        <v>89.125</v>
      </c>
      <c r="O31" s="4">
        <f>IF(N31=T31,MAX(U31,Y31,AB31),MAX(R31,U31,AB31))</f>
        <v>46.725000000000001</v>
      </c>
      <c r="P31" s="33">
        <v>42.494999999999997</v>
      </c>
      <c r="Q31" s="34">
        <v>2.2000000000000002</v>
      </c>
      <c r="R31" s="34">
        <v>46.63</v>
      </c>
      <c r="S31" s="34">
        <v>9.8000000000000007</v>
      </c>
      <c r="T31" s="4">
        <f>SUM(P31,R31)</f>
        <v>89.125</v>
      </c>
      <c r="U31" s="34">
        <v>46.24</v>
      </c>
      <c r="V31" s="34">
        <v>8.6</v>
      </c>
      <c r="W31" s="33">
        <v>42.16</v>
      </c>
      <c r="X31" s="34">
        <v>2.2000000000000002</v>
      </c>
      <c r="Y31" s="34">
        <v>43.87</v>
      </c>
      <c r="Z31" s="34">
        <v>8.1</v>
      </c>
      <c r="AA31" s="4">
        <f>SUM(W31,Y31)</f>
        <v>86.03</v>
      </c>
      <c r="AB31" s="34">
        <v>46.725000000000001</v>
      </c>
      <c r="AC31" s="39">
        <v>9.1999999999999993</v>
      </c>
    </row>
    <row r="32" spans="1:29" x14ac:dyDescent="0.2">
      <c r="A32" s="1" t="str">
        <f t="shared" si="0"/>
        <v/>
      </c>
      <c r="B32" s="38" t="s">
        <v>20</v>
      </c>
      <c r="C32" s="38" t="s">
        <v>4</v>
      </c>
      <c r="D32" s="38" t="s">
        <v>21</v>
      </c>
      <c r="E32" s="37">
        <v>1999</v>
      </c>
      <c r="F32" s="1" t="str">
        <f>IF('Qualifying Scores'!$B$1-E32&gt;21,"Not Age Eligible",IF('Qualifying Scores'!$B$1-E32&gt;16,"17-21",IF('Qualifying Scores'!$B$1-E32&gt;14,"15-16",IF('Qualifying Scores'!$B$1-E32&gt;12,"13-14",IF('Qualifying Scores'!$B$1-E32&gt;10,"11-12,""Not Age Eligible")))))</f>
        <v>17-21</v>
      </c>
      <c r="G32" s="56"/>
      <c r="H32" s="4">
        <f>SUM(N32:O32)</f>
        <v>135.51000000000002</v>
      </c>
      <c r="I32" s="3" t="str">
        <f>IF(MAX(T32-Q32,AA32-X32)&gt;=LOOKUP(F32,'Qualifying Scores'!$A$4:$A$7,'Qualifying Scores'!$C$4:$C$7),"P","")</f>
        <v/>
      </c>
      <c r="J32" s="3" t="str">
        <f>IF(MAX(S32,Z32)&gt;=LOOKUP(F32,'Qualifying Scores'!$A$10:$A$13,'Qualifying Scores'!$C$10:$C$13),"P","")</f>
        <v/>
      </c>
      <c r="K32" s="3" t="str">
        <f>IF(OR(AND(T32-Q32&gt;=LOOKUP(F32,'Qualifying Scores'!$A$4:$A$7,'Qualifying Scores'!$C$4:$C$7),S32&gt;=LOOKUP(F32,'Qualifying Scores'!$A$10:$A$13,'Qualifying Scores'!$C$10:$C$13)),AND(AA32-X32&gt;=LOOKUP(F32,'Qualifying Scores'!$A$4:$A$7,'Qualifying Scores'!$C$4:$C$7),Z32&gt;=LOOKUP(F32,'Qualifying Scores'!$A$10:$A$13,'Qualifying Scores'!$C$10:$C$13))),"P","")</f>
        <v/>
      </c>
      <c r="N32" s="4">
        <f>MAX(T32,AA32)</f>
        <v>87.39500000000001</v>
      </c>
      <c r="O32" s="4">
        <f>IF(N32=T32,MAX(U32,Y32,AB32),MAX(R32,U32,AB32))</f>
        <v>48.115000000000002</v>
      </c>
      <c r="P32" s="33">
        <v>41.46</v>
      </c>
      <c r="Q32" s="34">
        <v>1.5</v>
      </c>
      <c r="R32" s="34">
        <v>29.29</v>
      </c>
      <c r="S32" s="34">
        <v>6.4</v>
      </c>
      <c r="T32" s="4">
        <f>SUM(P32,R32)</f>
        <v>70.75</v>
      </c>
      <c r="U32" s="34">
        <v>18.445</v>
      </c>
      <c r="V32" s="34">
        <v>4.0999999999999996</v>
      </c>
      <c r="W32" s="33">
        <v>41.14</v>
      </c>
      <c r="X32" s="34">
        <v>1</v>
      </c>
      <c r="Y32" s="34">
        <v>46.255000000000003</v>
      </c>
      <c r="Z32" s="34">
        <v>8.9</v>
      </c>
      <c r="AA32" s="4">
        <f>SUM(W32,Y32)</f>
        <v>87.39500000000001</v>
      </c>
      <c r="AB32" s="34">
        <v>48.115000000000002</v>
      </c>
      <c r="AC32" s="39">
        <v>8.9</v>
      </c>
    </row>
    <row r="33" spans="1:29" x14ac:dyDescent="0.2">
      <c r="A33" s="1" t="str">
        <f t="shared" si="0"/>
        <v/>
      </c>
      <c r="B33" s="38" t="s">
        <v>26</v>
      </c>
      <c r="C33" s="38" t="s">
        <v>4</v>
      </c>
      <c r="D33" s="38" t="s">
        <v>11</v>
      </c>
      <c r="E33" s="37">
        <v>1999</v>
      </c>
      <c r="F33" s="1" t="str">
        <f>IF('Qualifying Scores'!$B$1-E33&gt;21,"Not Age Eligible",IF('Qualifying Scores'!$B$1-E33&gt;16,"17-21",IF('Qualifying Scores'!$B$1-E33&gt;14,"15-16",IF('Qualifying Scores'!$B$1-E33&gt;12,"13-14",IF('Qualifying Scores'!$B$1-E33&gt;10,"11-12,""Not Age Eligible")))))</f>
        <v>17-21</v>
      </c>
      <c r="G33" s="56"/>
      <c r="H33" s="4">
        <f>SUM(N33:O33)</f>
        <v>135.345</v>
      </c>
      <c r="I33" s="3" t="str">
        <f>IF(MAX(T33-Q33,AA33-X33)&gt;=LOOKUP(F33,'Qualifying Scores'!$A$4:$A$7,'Qualifying Scores'!$C$4:$C$7),"P","")</f>
        <v/>
      </c>
      <c r="J33" s="3" t="str">
        <f>IF(MAX(S33,Z33)&gt;=LOOKUP(F33,'Qualifying Scores'!$A$10:$A$13,'Qualifying Scores'!$C$10:$C$13),"P","")</f>
        <v/>
      </c>
      <c r="K33" s="3" t="str">
        <f>IF(OR(AND(T33-Q33&gt;=LOOKUP(F33,'Qualifying Scores'!$A$4:$A$7,'Qualifying Scores'!$C$4:$C$7),S33&gt;=LOOKUP(F33,'Qualifying Scores'!$A$10:$A$13,'Qualifying Scores'!$C$10:$C$13)),AND(AA33-X33&gt;=LOOKUP(F33,'Qualifying Scores'!$A$4:$A$7,'Qualifying Scores'!$C$4:$C$7),Z33&gt;=LOOKUP(F33,'Qualifying Scores'!$A$10:$A$13,'Qualifying Scores'!$C$10:$C$13))),"P","")</f>
        <v/>
      </c>
      <c r="N33" s="4">
        <f>MAX(T33,AA33)</f>
        <v>88.87</v>
      </c>
      <c r="O33" s="4">
        <f>IF(N33=T33,MAX(U33,Y33,AB33),MAX(R33,U33,AB33))</f>
        <v>46.475000000000001</v>
      </c>
      <c r="P33" s="33">
        <v>41.44</v>
      </c>
      <c r="Q33" s="34">
        <v>2</v>
      </c>
      <c r="R33" s="34">
        <v>14.78</v>
      </c>
      <c r="S33" s="34">
        <v>3.4</v>
      </c>
      <c r="T33" s="4">
        <f>SUM(P33,R33)</f>
        <v>56.22</v>
      </c>
      <c r="U33" s="34"/>
      <c r="V33" s="34"/>
      <c r="W33" s="33">
        <v>42.215000000000003</v>
      </c>
      <c r="X33" s="34">
        <v>2</v>
      </c>
      <c r="Y33" s="34">
        <v>46.655000000000001</v>
      </c>
      <c r="Z33" s="34">
        <v>9.1</v>
      </c>
      <c r="AA33" s="4">
        <f>SUM(W33,Y33)</f>
        <v>88.87</v>
      </c>
      <c r="AB33" s="34">
        <v>46.475000000000001</v>
      </c>
      <c r="AC33" s="39">
        <v>8.5</v>
      </c>
    </row>
    <row r="34" spans="1:29" x14ac:dyDescent="0.2">
      <c r="A34" s="1" t="str">
        <f t="shared" si="0"/>
        <v/>
      </c>
      <c r="B34" s="38" t="s">
        <v>260</v>
      </c>
      <c r="C34" s="38" t="s">
        <v>12</v>
      </c>
      <c r="E34" s="37">
        <v>2002</v>
      </c>
      <c r="F34" s="1" t="str">
        <f>IF('Qualifying Scores'!$B$1-E34&gt;21,"Not Age Eligible",IF('Qualifying Scores'!$B$1-E34&gt;16,"17-21",IF('Qualifying Scores'!$B$1-E34&gt;14,"15-16",IF('Qualifying Scores'!$B$1-E34&gt;12,"13-14",IF('Qualifying Scores'!$B$1-E34&gt;10,"11-12,""Not Age Eligible")))))</f>
        <v>17-21</v>
      </c>
      <c r="G34" s="56"/>
      <c r="H34" s="4">
        <f>SUM(N34:O34)</f>
        <v>135</v>
      </c>
      <c r="I34" s="3" t="str">
        <f>IF(MAX(T34-Q34,AA34-X34)&gt;=LOOKUP(F34,'Qualifying Scores'!$A$4:$A$7,'Qualifying Scores'!$C$4:$C$7),"P","")</f>
        <v/>
      </c>
      <c r="J34" s="3" t="str">
        <f>IF(MAX(S34,Z34)&gt;=LOOKUP(F34,'Qualifying Scores'!$A$10:$A$13,'Qualifying Scores'!$C$10:$C$13),"P","")</f>
        <v/>
      </c>
      <c r="K34" s="3" t="str">
        <f>IF(OR(AND(T34-Q34&gt;=LOOKUP(F34,'Qualifying Scores'!$A$4:$A$7,'Qualifying Scores'!$C$4:$C$7),S34&gt;=LOOKUP(F34,'Qualifying Scores'!$A$10:$A$13,'Qualifying Scores'!$C$10:$C$13)),AND(AA34-X34&gt;=LOOKUP(F34,'Qualifying Scores'!$A$4:$A$7,'Qualifying Scores'!$C$4:$C$7),Z34&gt;=LOOKUP(F34,'Qualifying Scores'!$A$10:$A$13,'Qualifying Scores'!$C$10:$C$13))),"P","")</f>
        <v/>
      </c>
      <c r="N34" s="4">
        <f>MAX(T34,AA34)</f>
        <v>86.82</v>
      </c>
      <c r="O34" s="4">
        <f>IF(N34=T34,MAX(U34,Y34,AB34),MAX(R34,U34,AB34))</f>
        <v>48.18</v>
      </c>
      <c r="P34" s="33"/>
      <c r="Q34" s="34"/>
      <c r="R34" s="34"/>
      <c r="S34" s="34"/>
      <c r="T34" s="4">
        <f>SUM(P34,R34)</f>
        <v>0</v>
      </c>
      <c r="U34" s="34"/>
      <c r="V34" s="34"/>
      <c r="W34" s="33">
        <v>45.51</v>
      </c>
      <c r="X34" s="34">
        <v>3.9</v>
      </c>
      <c r="Y34" s="34">
        <v>41.31</v>
      </c>
      <c r="Z34" s="34">
        <v>9.1</v>
      </c>
      <c r="AA34" s="4">
        <f>SUM(W34,Y34)</f>
        <v>86.82</v>
      </c>
      <c r="AB34" s="34">
        <v>48.18</v>
      </c>
      <c r="AC34" s="39">
        <v>10.5</v>
      </c>
    </row>
    <row r="35" spans="1:29" x14ac:dyDescent="0.2">
      <c r="A35" s="1" t="str">
        <f t="shared" ref="A35:A51" si="1">IF(M35&lt;&gt;"",SUMPRODUCT((M$3:M$52&lt;&gt;"")*(F$3:F$52=F35)*(M$3:M$52&lt;M35))+1,IF(L35&lt;&gt;"",SUMPRODUCT((M$3:M$52&lt;&gt;"")*(F$3:F$52=F35))+SUMPRODUCT((L$3:L$52&lt;&gt;"")*(F$3:F$52=F35)*(L$3:L$52&lt;L35))+1,IF(K35="P",SUMPRODUCT((L$3:L$52&lt;&gt;"")*(F$3:F$52=F35))+SUMPRODUCT((M$3:M$52&lt;&gt;"")*(F$3:F$52=F35))+1+SUMPRODUCT((K$3:K$52="P")*(F$3:F$52=F35)*(H$3:H$52&gt;H35)*(L$3:L$52="")*(M$3:M$52="")),"")))</f>
        <v/>
      </c>
      <c r="B35" s="38" t="s">
        <v>48</v>
      </c>
      <c r="C35" s="38" t="s">
        <v>8</v>
      </c>
      <c r="D35" s="38" t="s">
        <v>110</v>
      </c>
      <c r="E35" s="37">
        <v>2002</v>
      </c>
      <c r="F35" s="1" t="str">
        <f>IF('Qualifying Scores'!$B$1-E35&gt;21,"Not Age Eligible",IF('Qualifying Scores'!$B$1-E35&gt;16,"17-21",IF('Qualifying Scores'!$B$1-E35&gt;14,"15-16",IF('Qualifying Scores'!$B$1-E35&gt;12,"13-14",IF('Qualifying Scores'!$B$1-E35&gt;10,"11-12,""Not Age Eligible")))))</f>
        <v>17-21</v>
      </c>
      <c r="G35" s="56"/>
      <c r="H35" s="4">
        <f>SUM(N35:O35)</f>
        <v>134.6</v>
      </c>
      <c r="I35" s="3" t="str">
        <f>IF(MAX(T35-Q35,AA35-X35)&gt;=LOOKUP(F35,'Qualifying Scores'!$A$4:$A$7,'Qualifying Scores'!$C$4:$C$7),"P","")</f>
        <v/>
      </c>
      <c r="J35" s="3" t="str">
        <f>IF(MAX(S35,Z35)&gt;=LOOKUP(F35,'Qualifying Scores'!$A$10:$A$13,'Qualifying Scores'!$C$10:$C$13),"P","")</f>
        <v/>
      </c>
      <c r="K35" s="3" t="str">
        <f>IF(OR(AND(T35-Q35&gt;=LOOKUP(F35,'Qualifying Scores'!$A$4:$A$7,'Qualifying Scores'!$C$4:$C$7),S35&gt;=LOOKUP(F35,'Qualifying Scores'!$A$10:$A$13,'Qualifying Scores'!$C$10:$C$13)),AND(AA35-X35&gt;=LOOKUP(F35,'Qualifying Scores'!$A$4:$A$7,'Qualifying Scores'!$C$4:$C$7),Z35&gt;=LOOKUP(F35,'Qualifying Scores'!$A$10:$A$13,'Qualifying Scores'!$C$10:$C$13))),"P","")</f>
        <v/>
      </c>
      <c r="N35" s="4">
        <f>MAX(T35,AA35)</f>
        <v>84.82</v>
      </c>
      <c r="O35" s="4">
        <f>IF(N35=T35,MAX(U35,Y35,AB35),MAX(R35,U35,AB35))</f>
        <v>49.78</v>
      </c>
      <c r="P35" s="33">
        <v>41.895000000000003</v>
      </c>
      <c r="Q35" s="34">
        <v>1.5</v>
      </c>
      <c r="R35" s="34">
        <v>32.85</v>
      </c>
      <c r="S35" s="34">
        <v>6.7</v>
      </c>
      <c r="T35" s="4">
        <f>SUM(P35,R35)</f>
        <v>74.745000000000005</v>
      </c>
      <c r="U35" s="34"/>
      <c r="V35" s="34"/>
      <c r="W35" s="33">
        <v>42.325000000000003</v>
      </c>
      <c r="X35" s="34">
        <v>1.5</v>
      </c>
      <c r="Y35" s="34">
        <v>42.494999999999997</v>
      </c>
      <c r="Z35" s="34">
        <v>7.3</v>
      </c>
      <c r="AA35" s="4">
        <f>SUM(W35,Y35)</f>
        <v>84.82</v>
      </c>
      <c r="AB35" s="34">
        <v>49.78</v>
      </c>
      <c r="AC35" s="39">
        <v>10.5</v>
      </c>
    </row>
    <row r="36" spans="1:29" x14ac:dyDescent="0.2">
      <c r="A36" s="1" t="str">
        <f t="shared" si="1"/>
        <v/>
      </c>
      <c r="B36" s="38" t="s">
        <v>267</v>
      </c>
      <c r="C36" s="38" t="s">
        <v>6</v>
      </c>
      <c r="D36" s="38" t="s">
        <v>10</v>
      </c>
      <c r="E36" s="37">
        <v>2000</v>
      </c>
      <c r="F36" s="1" t="str">
        <f>IF('Qualifying Scores'!$B$1-E36&gt;21,"Not Age Eligible",IF('Qualifying Scores'!$B$1-E36&gt;16,"17-21",IF('Qualifying Scores'!$B$1-E36&gt;14,"15-16",IF('Qualifying Scores'!$B$1-E36&gt;12,"13-14",IF('Qualifying Scores'!$B$1-E36&gt;10,"11-12,""Not Age Eligible")))))</f>
        <v>17-21</v>
      </c>
      <c r="G36" s="56"/>
      <c r="H36" s="4">
        <f>SUM(N36:O36)</f>
        <v>134.41</v>
      </c>
      <c r="I36" s="3" t="str">
        <f>IF(MAX(T36-Q36,AA36-X36)&gt;=LOOKUP(F36,'Qualifying Scores'!$A$4:$A$7,'Qualifying Scores'!$C$4:$C$7),"P","")</f>
        <v/>
      </c>
      <c r="J36" s="3" t="str">
        <f>IF(MAX(S36,Z36)&gt;=LOOKUP(F36,'Qualifying Scores'!$A$10:$A$13,'Qualifying Scores'!$C$10:$C$13),"P","")</f>
        <v/>
      </c>
      <c r="K36" s="3" t="str">
        <f>IF(OR(AND(T36-Q36&gt;=LOOKUP(F36,'Qualifying Scores'!$A$4:$A$7,'Qualifying Scores'!$C$4:$C$7),S36&gt;=LOOKUP(F36,'Qualifying Scores'!$A$10:$A$13,'Qualifying Scores'!$C$10:$C$13)),AND(AA36-X36&gt;=LOOKUP(F36,'Qualifying Scores'!$A$4:$A$7,'Qualifying Scores'!$C$4:$C$7),Z36&gt;=LOOKUP(F36,'Qualifying Scores'!$A$10:$A$13,'Qualifying Scores'!$C$10:$C$13))),"P","")</f>
        <v/>
      </c>
      <c r="N36" s="4">
        <f>MAX(T36,AA36)</f>
        <v>85.49</v>
      </c>
      <c r="O36" s="4">
        <f>IF(N36=T36,MAX(U36,Y36,AB36),MAX(R36,U36,AB36))</f>
        <v>48.92</v>
      </c>
      <c r="P36" s="33"/>
      <c r="Q36" s="34"/>
      <c r="R36" s="34"/>
      <c r="S36" s="34"/>
      <c r="T36" s="4">
        <f>SUM(P36,R36)</f>
        <v>0</v>
      </c>
      <c r="U36" s="34"/>
      <c r="V36" s="34"/>
      <c r="W36" s="33">
        <v>43.034999999999997</v>
      </c>
      <c r="X36" s="34">
        <v>2.2000000000000002</v>
      </c>
      <c r="Y36" s="34">
        <v>42.454999999999998</v>
      </c>
      <c r="Z36" s="34">
        <v>7.8</v>
      </c>
      <c r="AA36" s="4">
        <f>SUM(W36,Y36)</f>
        <v>85.49</v>
      </c>
      <c r="AB36" s="34">
        <v>48.92</v>
      </c>
      <c r="AC36" s="39">
        <v>9.6</v>
      </c>
    </row>
    <row r="37" spans="1:29" x14ac:dyDescent="0.2">
      <c r="A37" s="1" t="str">
        <f t="shared" si="1"/>
        <v/>
      </c>
      <c r="B37" s="38" t="s">
        <v>27</v>
      </c>
      <c r="C37" s="38" t="s">
        <v>28</v>
      </c>
      <c r="D37" s="38" t="s">
        <v>29</v>
      </c>
      <c r="E37" s="37">
        <v>2000</v>
      </c>
      <c r="F37" s="1" t="str">
        <f>IF('Qualifying Scores'!$B$1-E37&gt;21,"Not Age Eligible",IF('Qualifying Scores'!$B$1-E37&gt;16,"17-21",IF('Qualifying Scores'!$B$1-E37&gt;14,"15-16",IF('Qualifying Scores'!$B$1-E37&gt;12,"13-14",IF('Qualifying Scores'!$B$1-E37&gt;10,"11-12,""Not Age Eligible")))))</f>
        <v>17-21</v>
      </c>
      <c r="G37" s="56"/>
      <c r="H37" s="4">
        <f>SUM(N37:O37)</f>
        <v>134.19</v>
      </c>
      <c r="I37" s="3" t="str">
        <f>IF(MAX(T37-Q37,AA37-X37)&gt;=LOOKUP(F37,'Qualifying Scores'!$A$4:$A$7,'Qualifying Scores'!$C$4:$C$7),"P","")</f>
        <v/>
      </c>
      <c r="J37" s="3" t="str">
        <f>IF(MAX(S37,Z37)&gt;=LOOKUP(F37,'Qualifying Scores'!$A$10:$A$13,'Qualifying Scores'!$C$10:$C$13),"P","")</f>
        <v/>
      </c>
      <c r="K37" s="3" t="str">
        <f>IF(OR(AND(T37-Q37&gt;=LOOKUP(F37,'Qualifying Scores'!$A$4:$A$7,'Qualifying Scores'!$C$4:$C$7),S37&gt;=LOOKUP(F37,'Qualifying Scores'!$A$10:$A$13,'Qualifying Scores'!$C$10:$C$13)),AND(AA37-X37&gt;=LOOKUP(F37,'Qualifying Scores'!$A$4:$A$7,'Qualifying Scores'!$C$4:$C$7),Z37&gt;=LOOKUP(F37,'Qualifying Scores'!$A$10:$A$13,'Qualifying Scores'!$C$10:$C$13))),"P","")</f>
        <v/>
      </c>
      <c r="N37" s="4">
        <f>MAX(T37,AA37)</f>
        <v>86.394999999999996</v>
      </c>
      <c r="O37" s="4">
        <f>IF(N37=T37,MAX(U37,Y37,AB37),MAX(R37,U37,AB37))</f>
        <v>47.795000000000002</v>
      </c>
      <c r="P37" s="33">
        <v>42.76</v>
      </c>
      <c r="Q37" s="34">
        <v>2.1</v>
      </c>
      <c r="R37" s="34">
        <v>43.634999999999998</v>
      </c>
      <c r="S37" s="34">
        <v>8.3000000000000007</v>
      </c>
      <c r="T37" s="4">
        <f>SUM(P37,R37)</f>
        <v>86.394999999999996</v>
      </c>
      <c r="U37" s="34">
        <v>47.795000000000002</v>
      </c>
      <c r="V37" s="34">
        <v>8.8000000000000007</v>
      </c>
      <c r="W37" s="33">
        <v>42.734999999999999</v>
      </c>
      <c r="X37" s="34">
        <v>2.1</v>
      </c>
      <c r="Y37" s="34">
        <v>14.335000000000001</v>
      </c>
      <c r="Z37" s="34">
        <v>3.6</v>
      </c>
      <c r="AA37" s="4">
        <f>SUM(W37,Y37)</f>
        <v>57.07</v>
      </c>
      <c r="AB37" s="34"/>
      <c r="AC37" s="39"/>
    </row>
    <row r="38" spans="1:29" x14ac:dyDescent="0.2">
      <c r="A38" s="1" t="str">
        <f t="shared" si="1"/>
        <v/>
      </c>
      <c r="B38" s="38" t="s">
        <v>266</v>
      </c>
      <c r="C38" s="38" t="s">
        <v>12</v>
      </c>
      <c r="E38" s="37">
        <v>2001</v>
      </c>
      <c r="F38" s="1" t="str">
        <f>IF('Qualifying Scores'!$B$1-E38&gt;21,"Not Age Eligible",IF('Qualifying Scores'!$B$1-E38&gt;16,"17-21",IF('Qualifying Scores'!$B$1-E38&gt;14,"15-16",IF('Qualifying Scores'!$B$1-E38&gt;12,"13-14",IF('Qualifying Scores'!$B$1-E38&gt;10,"11-12,""Not Age Eligible")))))</f>
        <v>17-21</v>
      </c>
      <c r="G38" s="56"/>
      <c r="H38" s="4">
        <f>SUM(N38:O38)</f>
        <v>133.95500000000001</v>
      </c>
      <c r="I38" s="3" t="str">
        <f>IF(MAX(T38-Q38,AA38-X38)&gt;=LOOKUP(F38,'Qualifying Scores'!$A$4:$A$7,'Qualifying Scores'!$C$4:$C$7),"P","")</f>
        <v/>
      </c>
      <c r="J38" s="3" t="str">
        <f>IF(MAX(S38,Z38)&gt;=LOOKUP(F38,'Qualifying Scores'!$A$10:$A$13,'Qualifying Scores'!$C$10:$C$13),"P","")</f>
        <v/>
      </c>
      <c r="K38" s="3" t="str">
        <f>IF(OR(AND(T38-Q38&gt;=LOOKUP(F38,'Qualifying Scores'!$A$4:$A$7,'Qualifying Scores'!$C$4:$C$7),S38&gt;=LOOKUP(F38,'Qualifying Scores'!$A$10:$A$13,'Qualifying Scores'!$C$10:$C$13)),AND(AA38-X38&gt;=LOOKUP(F38,'Qualifying Scores'!$A$4:$A$7,'Qualifying Scores'!$C$4:$C$7),Z38&gt;=LOOKUP(F38,'Qualifying Scores'!$A$10:$A$13,'Qualifying Scores'!$C$10:$C$13))),"P","")</f>
        <v/>
      </c>
      <c r="N38" s="4">
        <f>MAX(T38,AA38)</f>
        <v>87.9</v>
      </c>
      <c r="O38" s="4">
        <f>IF(N38=T38,MAX(U38,Y38,AB38),MAX(R38,U38,AB38))</f>
        <v>46.055</v>
      </c>
      <c r="P38" s="33"/>
      <c r="Q38" s="34"/>
      <c r="R38" s="34"/>
      <c r="S38" s="34"/>
      <c r="T38" s="4">
        <f>SUM(P38,R38)</f>
        <v>0</v>
      </c>
      <c r="U38" s="34"/>
      <c r="V38" s="34"/>
      <c r="W38" s="33">
        <v>42.365000000000002</v>
      </c>
      <c r="X38" s="34">
        <v>2.2000000000000002</v>
      </c>
      <c r="Y38" s="34">
        <v>45.534999999999997</v>
      </c>
      <c r="Z38" s="34">
        <v>8.8000000000000007</v>
      </c>
      <c r="AA38" s="4">
        <f>SUM(W38,Y38)</f>
        <v>87.9</v>
      </c>
      <c r="AB38" s="34">
        <v>46.055</v>
      </c>
      <c r="AC38" s="39">
        <v>8.8000000000000007</v>
      </c>
    </row>
    <row r="39" spans="1:29" x14ac:dyDescent="0.2">
      <c r="A39" s="1" t="str">
        <f t="shared" si="1"/>
        <v/>
      </c>
      <c r="B39" s="38" t="s">
        <v>165</v>
      </c>
      <c r="C39" s="38" t="s">
        <v>6</v>
      </c>
      <c r="D39" s="38" t="s">
        <v>126</v>
      </c>
      <c r="E39" s="37">
        <v>2001</v>
      </c>
      <c r="F39" s="1" t="str">
        <f>IF('Qualifying Scores'!$B$1-E39&gt;21,"Not Age Eligible",IF('Qualifying Scores'!$B$1-E39&gt;16,"17-21",IF('Qualifying Scores'!$B$1-E39&gt;14,"15-16",IF('Qualifying Scores'!$B$1-E39&gt;12,"13-14",IF('Qualifying Scores'!$B$1-E39&gt;10,"11-12,""Not Age Eligible")))))</f>
        <v>17-21</v>
      </c>
      <c r="G39" s="56"/>
      <c r="H39" s="4">
        <f>SUM(N39:O39)</f>
        <v>132.62</v>
      </c>
      <c r="I39" s="3" t="str">
        <f>IF(MAX(T39-Q39,AA39-X39)&gt;=LOOKUP(F39,'Qualifying Scores'!$A$4:$A$7,'Qualifying Scores'!$C$4:$C$7),"P","")</f>
        <v/>
      </c>
      <c r="J39" s="3" t="str">
        <f>IF(MAX(S39,Z39)&gt;=LOOKUP(F39,'Qualifying Scores'!$A$10:$A$13,'Qualifying Scores'!$C$10:$C$13),"P","")</f>
        <v/>
      </c>
      <c r="K39" s="3" t="str">
        <f>IF(OR(AND(T39-Q39&gt;=LOOKUP(F39,'Qualifying Scores'!$A$4:$A$7,'Qualifying Scores'!$C$4:$C$7),S39&gt;=LOOKUP(F39,'Qualifying Scores'!$A$10:$A$13,'Qualifying Scores'!$C$10:$C$13)),AND(AA39-X39&gt;=LOOKUP(F39,'Qualifying Scores'!$A$4:$A$7,'Qualifying Scores'!$C$4:$C$7),Z39&gt;=LOOKUP(F39,'Qualifying Scores'!$A$10:$A$13,'Qualifying Scores'!$C$10:$C$13))),"P","")</f>
        <v/>
      </c>
      <c r="N39" s="4">
        <f>MAX(T39,AA39)</f>
        <v>87.47</v>
      </c>
      <c r="O39" s="4">
        <f>IF(N39=T39,MAX(U39,Y39,AB39),MAX(R39,U39,AB39))</f>
        <v>45.15</v>
      </c>
      <c r="P39" s="33">
        <v>40.35</v>
      </c>
      <c r="Q39" s="34">
        <v>2</v>
      </c>
      <c r="R39" s="34">
        <v>22.62</v>
      </c>
      <c r="S39" s="34">
        <v>4.8</v>
      </c>
      <c r="T39" s="4">
        <f>SUM(P39,R39)</f>
        <v>62.97</v>
      </c>
      <c r="U39" s="34">
        <v>43.335000000000001</v>
      </c>
      <c r="V39" s="34">
        <v>6.9</v>
      </c>
      <c r="W39" s="33">
        <v>40.125</v>
      </c>
      <c r="X39" s="34">
        <v>2.2000000000000002</v>
      </c>
      <c r="Y39" s="34">
        <v>47.344999999999999</v>
      </c>
      <c r="Z39" s="34">
        <v>9.1</v>
      </c>
      <c r="AA39" s="4">
        <f>SUM(W39,Y39)</f>
        <v>87.47</v>
      </c>
      <c r="AB39" s="34">
        <v>45.15</v>
      </c>
      <c r="AC39" s="39">
        <v>8.9</v>
      </c>
    </row>
    <row r="40" spans="1:29" x14ac:dyDescent="0.2">
      <c r="A40" s="1" t="str">
        <f t="shared" si="1"/>
        <v/>
      </c>
      <c r="B40" s="38" t="s">
        <v>255</v>
      </c>
      <c r="C40" s="38" t="s">
        <v>4</v>
      </c>
      <c r="E40" s="37">
        <v>2002</v>
      </c>
      <c r="F40" s="1" t="str">
        <f>IF('Qualifying Scores'!$B$1-E40&gt;21,"Not Age Eligible",IF('Qualifying Scores'!$B$1-E40&gt;16,"17-21",IF('Qualifying Scores'!$B$1-E40&gt;14,"15-16",IF('Qualifying Scores'!$B$1-E40&gt;12,"13-14",IF('Qualifying Scores'!$B$1-E40&gt;10,"11-12,""Not Age Eligible")))))</f>
        <v>17-21</v>
      </c>
      <c r="G40" s="56"/>
      <c r="H40" s="4">
        <f>SUM(N40:O40)</f>
        <v>129.63499999999999</v>
      </c>
      <c r="I40" s="3" t="str">
        <f>IF(MAX(T40-Q40,AA40-X40)&gt;=LOOKUP(F40,'Qualifying Scores'!$A$4:$A$7,'Qualifying Scores'!$C$4:$C$7),"P","")</f>
        <v/>
      </c>
      <c r="J40" s="3" t="str">
        <f>IF(MAX(S40,Z40)&gt;=LOOKUP(F40,'Qualifying Scores'!$A$10:$A$13,'Qualifying Scores'!$C$10:$C$13),"P","")</f>
        <v/>
      </c>
      <c r="K40" s="3" t="str">
        <f>IF(OR(AND(T40-Q40&gt;=LOOKUP(F40,'Qualifying Scores'!$A$4:$A$7,'Qualifying Scores'!$C$4:$C$7),S40&gt;=LOOKUP(F40,'Qualifying Scores'!$A$10:$A$13,'Qualifying Scores'!$C$10:$C$13)),AND(AA40-X40&gt;=LOOKUP(F40,'Qualifying Scores'!$A$4:$A$7,'Qualifying Scores'!$C$4:$C$7),Z40&gt;=LOOKUP(F40,'Qualifying Scores'!$A$10:$A$13,'Qualifying Scores'!$C$10:$C$13))),"P","")</f>
        <v/>
      </c>
      <c r="N40" s="4">
        <f>MAX(T40,AA40)</f>
        <v>85.48</v>
      </c>
      <c r="O40" s="4">
        <f>IF(N40=T40,MAX(U40,Y40,AB40),MAX(R40,U40,AB40))</f>
        <v>44.155000000000001</v>
      </c>
      <c r="P40" s="33"/>
      <c r="Q40" s="34"/>
      <c r="R40" s="34"/>
      <c r="S40" s="34"/>
      <c r="T40" s="4">
        <f>SUM(P40,R40)</f>
        <v>0</v>
      </c>
      <c r="U40" s="34"/>
      <c r="V40" s="34"/>
      <c r="W40" s="33">
        <v>40.630000000000003</v>
      </c>
      <c r="X40" s="34">
        <v>2.2999999999999998</v>
      </c>
      <c r="Y40" s="34">
        <v>44.85</v>
      </c>
      <c r="Z40" s="34">
        <v>9.5</v>
      </c>
      <c r="AA40" s="4">
        <f>SUM(W40,Y40)</f>
        <v>85.48</v>
      </c>
      <c r="AB40" s="34">
        <v>44.155000000000001</v>
      </c>
      <c r="AC40" s="39">
        <v>9.5</v>
      </c>
    </row>
    <row r="41" spans="1:29" x14ac:dyDescent="0.2">
      <c r="A41" s="1" t="str">
        <f t="shared" si="1"/>
        <v/>
      </c>
      <c r="B41" s="38" t="s">
        <v>166</v>
      </c>
      <c r="C41" s="38" t="s">
        <v>6</v>
      </c>
      <c r="D41" s="38" t="s">
        <v>10</v>
      </c>
      <c r="E41" s="37">
        <v>2000</v>
      </c>
      <c r="F41" s="1" t="str">
        <f>IF('Qualifying Scores'!$B$1-E41&gt;21,"Not Age Eligible",IF('Qualifying Scores'!$B$1-E41&gt;16,"17-21",IF('Qualifying Scores'!$B$1-E41&gt;14,"15-16",IF('Qualifying Scores'!$B$1-E41&gt;12,"13-14",IF('Qualifying Scores'!$B$1-E41&gt;10,"11-12,""Not Age Eligible")))))</f>
        <v>17-21</v>
      </c>
      <c r="G41" s="56"/>
      <c r="H41" s="4">
        <f>SUM(N41:O41)</f>
        <v>128.9</v>
      </c>
      <c r="I41" s="3" t="str">
        <f>IF(MAX(T41-Q41,AA41-X41)&gt;=LOOKUP(F41,'Qualifying Scores'!$A$4:$A$7,'Qualifying Scores'!$C$4:$C$7),"P","")</f>
        <v/>
      </c>
      <c r="J41" s="3" t="str">
        <f>IF(MAX(S41,Z41)&gt;=LOOKUP(F41,'Qualifying Scores'!$A$10:$A$13,'Qualifying Scores'!$C$10:$C$13),"P","")</f>
        <v/>
      </c>
      <c r="K41" s="3" t="str">
        <f>IF(OR(AND(T41-Q41&gt;=LOOKUP(F41,'Qualifying Scores'!$A$4:$A$7,'Qualifying Scores'!$C$4:$C$7),S41&gt;=LOOKUP(F41,'Qualifying Scores'!$A$10:$A$13,'Qualifying Scores'!$C$10:$C$13)),AND(AA41-X41&gt;=LOOKUP(F41,'Qualifying Scores'!$A$4:$A$7,'Qualifying Scores'!$C$4:$C$7),Z41&gt;=LOOKUP(F41,'Qualifying Scores'!$A$10:$A$13,'Qualifying Scores'!$C$10:$C$13))),"P","")</f>
        <v/>
      </c>
      <c r="N41" s="4">
        <f>MAX(T41,AA41)</f>
        <v>84.954999999999998</v>
      </c>
      <c r="O41" s="4">
        <f>IF(N41=T41,MAX(U41,Y41,AB41),MAX(R41,U41,AB41))</f>
        <v>43.945</v>
      </c>
      <c r="P41" s="33">
        <v>34.795000000000002</v>
      </c>
      <c r="Q41" s="34">
        <v>0.8</v>
      </c>
      <c r="R41" s="34">
        <v>43.945</v>
      </c>
      <c r="S41" s="34">
        <v>9.1</v>
      </c>
      <c r="T41" s="4">
        <f>SUM(P41,R41)</f>
        <v>78.740000000000009</v>
      </c>
      <c r="U41" s="34">
        <v>4.9400000000000004</v>
      </c>
      <c r="V41" s="34">
        <v>1.5</v>
      </c>
      <c r="W41" s="33">
        <v>40.479999999999997</v>
      </c>
      <c r="X41" s="34">
        <v>2</v>
      </c>
      <c r="Y41" s="34">
        <v>44.475000000000001</v>
      </c>
      <c r="Z41" s="34">
        <v>8.5</v>
      </c>
      <c r="AA41" s="4">
        <f>SUM(W41,Y41)</f>
        <v>84.954999999999998</v>
      </c>
      <c r="AB41" s="34">
        <v>36.045000000000002</v>
      </c>
      <c r="AC41" s="39">
        <v>7.3</v>
      </c>
    </row>
    <row r="42" spans="1:29" x14ac:dyDescent="0.2">
      <c r="A42" s="1" t="str">
        <f t="shared" si="1"/>
        <v/>
      </c>
      <c r="B42" s="38" t="s">
        <v>19</v>
      </c>
      <c r="C42" s="38" t="s">
        <v>4</v>
      </c>
      <c r="D42" s="38" t="s">
        <v>5</v>
      </c>
      <c r="E42" s="37">
        <v>1998</v>
      </c>
      <c r="F42" s="1" t="str">
        <f>IF('Qualifying Scores'!$B$1-E42&gt;21,"Not Age Eligible",IF('Qualifying Scores'!$B$1-E42&gt;16,"17-21",IF('Qualifying Scores'!$B$1-E42&gt;14,"15-16",IF('Qualifying Scores'!$B$1-E42&gt;12,"13-14",IF('Qualifying Scores'!$B$1-E42&gt;10,"11-12,""Not Age Eligible")))))</f>
        <v>17-21</v>
      </c>
      <c r="G42" s="56" t="s">
        <v>305</v>
      </c>
      <c r="H42" s="4">
        <f>SUM(N42:O42)</f>
        <v>125.16500000000002</v>
      </c>
      <c r="I42" s="3" t="str">
        <f>IF(MAX(T42-Q42,AA42-X42)&gt;=LOOKUP(F42,'Qualifying Scores'!$A$4:$A$7,'Qualifying Scores'!$C$4:$C$7),"P","")</f>
        <v/>
      </c>
      <c r="J42" s="3" t="str">
        <f>IF(MAX(S42,Z42)&gt;=LOOKUP(F42,'Qualifying Scores'!$A$10:$A$13,'Qualifying Scores'!$C$10:$C$13),"P","")</f>
        <v>P</v>
      </c>
      <c r="K42" s="3" t="str">
        <f>IF(OR(AND(T42-Q42&gt;=LOOKUP(F42,'Qualifying Scores'!$A$4:$A$7,'Qualifying Scores'!$C$4:$C$7),S42&gt;=LOOKUP(F42,'Qualifying Scores'!$A$10:$A$13,'Qualifying Scores'!$C$10:$C$13)),AND(AA42-X42&gt;=LOOKUP(F42,'Qualifying Scores'!$A$4:$A$7,'Qualifying Scores'!$C$4:$C$7),Z42&gt;=LOOKUP(F42,'Qualifying Scores'!$A$10:$A$13,'Qualifying Scores'!$C$10:$C$13))),"P","")</f>
        <v/>
      </c>
      <c r="N42" s="4">
        <f>MAX(T42,AA42)</f>
        <v>90.64500000000001</v>
      </c>
      <c r="O42" s="4">
        <f>IF(N42=T42,MAX(U42,Y42,AB42),MAX(R42,U42,AB42))</f>
        <v>34.520000000000003</v>
      </c>
      <c r="P42" s="33">
        <v>43.045000000000002</v>
      </c>
      <c r="Q42" s="34">
        <v>1.8</v>
      </c>
      <c r="R42" s="34">
        <v>47.6</v>
      </c>
      <c r="S42" s="34">
        <v>10.4</v>
      </c>
      <c r="T42" s="4">
        <f>SUM(P42,R42)</f>
        <v>90.64500000000001</v>
      </c>
      <c r="U42" s="34">
        <v>24.63</v>
      </c>
      <c r="V42" s="34">
        <v>5.3</v>
      </c>
      <c r="W42" s="33">
        <v>43.76</v>
      </c>
      <c r="X42" s="34">
        <v>1.8</v>
      </c>
      <c r="Y42" s="34">
        <v>34.520000000000003</v>
      </c>
      <c r="Z42" s="34">
        <v>7.6</v>
      </c>
      <c r="AA42" s="4">
        <f>SUM(W42,Y42)</f>
        <v>78.28</v>
      </c>
      <c r="AB42" s="34">
        <v>33.93</v>
      </c>
      <c r="AC42" s="39">
        <v>6</v>
      </c>
    </row>
    <row r="43" spans="1:29" x14ac:dyDescent="0.2">
      <c r="A43" s="1" t="str">
        <f t="shared" si="1"/>
        <v/>
      </c>
      <c r="B43" s="38" t="s">
        <v>23</v>
      </c>
      <c r="C43" s="38" t="s">
        <v>4</v>
      </c>
      <c r="D43" s="38" t="s">
        <v>24</v>
      </c>
      <c r="E43" s="37">
        <v>1998</v>
      </c>
      <c r="F43" s="1" t="str">
        <f>IF('Qualifying Scores'!$B$1-E43&gt;21,"Not Age Eligible",IF('Qualifying Scores'!$B$1-E43&gt;16,"17-21",IF('Qualifying Scores'!$B$1-E43&gt;14,"15-16",IF('Qualifying Scores'!$B$1-E43&gt;12,"13-14",IF('Qualifying Scores'!$B$1-E43&gt;10,"11-12,""Not Age Eligible")))))</f>
        <v>17-21</v>
      </c>
      <c r="G43" s="56"/>
      <c r="H43" s="4">
        <f>SUM(N43:O43)</f>
        <v>116.73500000000001</v>
      </c>
      <c r="I43" s="3" t="str">
        <f>IF(MAX(T43-Q43,AA43-X43)&gt;=LOOKUP(F43,'Qualifying Scores'!$A$4:$A$7,'Qualifying Scores'!$C$4:$C$7),"P","")</f>
        <v/>
      </c>
      <c r="J43" s="3" t="str">
        <f>IF(MAX(S43,Z43)&gt;=LOOKUP(F43,'Qualifying Scores'!$A$10:$A$13,'Qualifying Scores'!$C$10:$C$13),"P","")</f>
        <v/>
      </c>
      <c r="K43" s="3" t="str">
        <f>IF(OR(AND(T43-Q43&gt;=LOOKUP(F43,'Qualifying Scores'!$A$4:$A$7,'Qualifying Scores'!$C$4:$C$7),S43&gt;=LOOKUP(F43,'Qualifying Scores'!$A$10:$A$13,'Qualifying Scores'!$C$10:$C$13)),AND(AA43-X43&gt;=LOOKUP(F43,'Qualifying Scores'!$A$4:$A$7,'Qualifying Scores'!$C$4:$C$7),Z43&gt;=LOOKUP(F43,'Qualifying Scores'!$A$10:$A$13,'Qualifying Scores'!$C$10:$C$13))),"P","")</f>
        <v/>
      </c>
      <c r="N43" s="4">
        <f>MAX(T43,AA43)</f>
        <v>68.805000000000007</v>
      </c>
      <c r="O43" s="4">
        <f>IF(N43=T43,MAX(U43,Y43,AB43),MAX(R43,U43,AB43))</f>
        <v>47.93</v>
      </c>
      <c r="P43" s="33">
        <v>20.745000000000001</v>
      </c>
      <c r="Q43" s="34">
        <v>0.6</v>
      </c>
      <c r="R43" s="34">
        <v>48.06</v>
      </c>
      <c r="S43" s="34">
        <v>9.4</v>
      </c>
      <c r="T43" s="4">
        <f>SUM(P43,R43)</f>
        <v>68.805000000000007</v>
      </c>
      <c r="U43" s="34">
        <v>47.93</v>
      </c>
      <c r="V43" s="34">
        <v>8.6999999999999993</v>
      </c>
      <c r="W43" s="33">
        <v>42.814999999999998</v>
      </c>
      <c r="X43" s="34">
        <v>2</v>
      </c>
      <c r="Y43" s="34">
        <v>5.4</v>
      </c>
      <c r="Z43" s="34">
        <v>1.5</v>
      </c>
      <c r="AA43" s="4">
        <f>SUM(W43,Y43)</f>
        <v>48.214999999999996</v>
      </c>
      <c r="AB43" s="34"/>
      <c r="AC43" s="39"/>
    </row>
    <row r="44" spans="1:29" x14ac:dyDescent="0.2">
      <c r="A44" s="1" t="str">
        <f t="shared" si="1"/>
        <v/>
      </c>
      <c r="B44" s="38" t="s">
        <v>262</v>
      </c>
      <c r="C44" s="38" t="s">
        <v>8</v>
      </c>
      <c r="D44" s="38" t="s">
        <v>261</v>
      </c>
      <c r="E44" s="37">
        <v>2001</v>
      </c>
      <c r="F44" s="1" t="str">
        <f>IF('Qualifying Scores'!$B$1-E44&gt;21,"Not Age Eligible",IF('Qualifying Scores'!$B$1-E44&gt;16,"17-21",IF('Qualifying Scores'!$B$1-E44&gt;14,"15-16",IF('Qualifying Scores'!$B$1-E44&gt;12,"13-14",IF('Qualifying Scores'!$B$1-E44&gt;10,"11-12,""Not Age Eligible")))))</f>
        <v>17-21</v>
      </c>
      <c r="G44" s="56"/>
      <c r="H44" s="4">
        <f>SUM(N44:O44)</f>
        <v>116.18</v>
      </c>
      <c r="I44" s="3" t="str">
        <f>IF(MAX(T44-Q44,AA44-X44)&gt;=LOOKUP(F44,'Qualifying Scores'!$A$4:$A$7,'Qualifying Scores'!$C$4:$C$7),"P","")</f>
        <v/>
      </c>
      <c r="J44" s="3" t="str">
        <f>IF(MAX(S44,Z44)&gt;=LOOKUP(F44,'Qualifying Scores'!$A$10:$A$13,'Qualifying Scores'!$C$10:$C$13),"P","")</f>
        <v/>
      </c>
      <c r="K44" s="3" t="str">
        <f>IF(OR(AND(T44-Q44&gt;=LOOKUP(F44,'Qualifying Scores'!$A$4:$A$7,'Qualifying Scores'!$C$4:$C$7),S44&gt;=LOOKUP(F44,'Qualifying Scores'!$A$10:$A$13,'Qualifying Scores'!$C$10:$C$13)),AND(AA44-X44&gt;=LOOKUP(F44,'Qualifying Scores'!$A$4:$A$7,'Qualifying Scores'!$C$4:$C$7),Z44&gt;=LOOKUP(F44,'Qualifying Scores'!$A$10:$A$13,'Qualifying Scores'!$C$10:$C$13))),"P","")</f>
        <v/>
      </c>
      <c r="N44" s="4">
        <f>MAX(T44,AA44)</f>
        <v>65.2</v>
      </c>
      <c r="O44" s="4">
        <f>IF(N44=T44,MAX(U44,Y44,AB44),MAX(R44,U44,AB44))</f>
        <v>50.98</v>
      </c>
      <c r="P44" s="33"/>
      <c r="Q44" s="34"/>
      <c r="R44" s="34"/>
      <c r="S44" s="34"/>
      <c r="T44" s="4">
        <f>SUM(P44,R44)</f>
        <v>0</v>
      </c>
      <c r="U44" s="34"/>
      <c r="V44" s="34"/>
      <c r="W44" s="33">
        <v>44.844999999999999</v>
      </c>
      <c r="X44" s="34">
        <v>3.7</v>
      </c>
      <c r="Y44" s="34">
        <v>20.355</v>
      </c>
      <c r="Z44" s="34">
        <v>4.5999999999999996</v>
      </c>
      <c r="AA44" s="4">
        <f>SUM(W44,Y44)</f>
        <v>65.2</v>
      </c>
      <c r="AB44" s="34">
        <v>50.98</v>
      </c>
      <c r="AC44" s="39">
        <v>11.4</v>
      </c>
    </row>
    <row r="45" spans="1:29" x14ac:dyDescent="0.2">
      <c r="A45" s="1" t="str">
        <f t="shared" si="1"/>
        <v/>
      </c>
      <c r="B45" s="38" t="s">
        <v>264</v>
      </c>
      <c r="C45" s="38" t="s">
        <v>6</v>
      </c>
      <c r="D45" s="38" t="s">
        <v>265</v>
      </c>
      <c r="E45" s="37">
        <v>1999</v>
      </c>
      <c r="F45" s="1" t="str">
        <f>IF('Qualifying Scores'!$B$1-E45&gt;21,"Not Age Eligible",IF('Qualifying Scores'!$B$1-E45&gt;16,"17-21",IF('Qualifying Scores'!$B$1-E45&gt;14,"15-16",IF('Qualifying Scores'!$B$1-E45&gt;12,"13-14",IF('Qualifying Scores'!$B$1-E45&gt;10,"11-12,""Not Age Eligible")))))</f>
        <v>17-21</v>
      </c>
      <c r="G45" s="56"/>
      <c r="H45" s="4">
        <f>SUM(N45:O45)</f>
        <v>111.045</v>
      </c>
      <c r="I45" s="3" t="str">
        <f>IF(MAX(T45-Q45,AA45-X45)&gt;=LOOKUP(F45,'Qualifying Scores'!$A$4:$A$7,'Qualifying Scores'!$C$4:$C$7),"P","")</f>
        <v/>
      </c>
      <c r="J45" s="3" t="str">
        <f>IF(MAX(S45,Z45)&gt;=LOOKUP(F45,'Qualifying Scores'!$A$10:$A$13,'Qualifying Scores'!$C$10:$C$13),"P","")</f>
        <v/>
      </c>
      <c r="K45" s="3" t="str">
        <f>IF(OR(AND(T45-Q45&gt;=LOOKUP(F45,'Qualifying Scores'!$A$4:$A$7,'Qualifying Scores'!$C$4:$C$7),S45&gt;=LOOKUP(F45,'Qualifying Scores'!$A$10:$A$13,'Qualifying Scores'!$C$10:$C$13)),AND(AA45-X45&gt;=LOOKUP(F45,'Qualifying Scores'!$A$4:$A$7,'Qualifying Scores'!$C$4:$C$7),Z45&gt;=LOOKUP(F45,'Qualifying Scores'!$A$10:$A$13,'Qualifying Scores'!$C$10:$C$13))),"P","")</f>
        <v/>
      </c>
      <c r="N45" s="4">
        <f>MAX(T45,AA45)</f>
        <v>89.465000000000003</v>
      </c>
      <c r="O45" s="4">
        <f>IF(N45=T45,MAX(U45,Y45,AB45),MAX(R45,U45,AB45))</f>
        <v>21.58</v>
      </c>
      <c r="P45" s="33"/>
      <c r="Q45" s="34"/>
      <c r="R45" s="34"/>
      <c r="S45" s="34"/>
      <c r="T45" s="4">
        <f>SUM(P45,R45)</f>
        <v>0</v>
      </c>
      <c r="U45" s="34"/>
      <c r="V45" s="34"/>
      <c r="W45" s="33">
        <v>41.134999999999998</v>
      </c>
      <c r="X45" s="34">
        <v>1.4</v>
      </c>
      <c r="Y45" s="34">
        <v>48.33</v>
      </c>
      <c r="Z45" s="34">
        <v>9</v>
      </c>
      <c r="AA45" s="4">
        <f>SUM(W45,Y45)</f>
        <v>89.465000000000003</v>
      </c>
      <c r="AB45" s="34">
        <v>21.58</v>
      </c>
      <c r="AC45" s="39">
        <v>4</v>
      </c>
    </row>
    <row r="46" spans="1:29" x14ac:dyDescent="0.2">
      <c r="A46" s="1" t="str">
        <f t="shared" si="1"/>
        <v/>
      </c>
      <c r="B46" s="38" t="s">
        <v>51</v>
      </c>
      <c r="C46" s="38" t="s">
        <v>8</v>
      </c>
      <c r="D46" s="38" t="s">
        <v>9</v>
      </c>
      <c r="E46" s="37">
        <v>2001</v>
      </c>
      <c r="F46" s="1" t="str">
        <f>IF('Qualifying Scores'!$B$1-E46&gt;21,"Not Age Eligible",IF('Qualifying Scores'!$B$1-E46&gt;16,"17-21",IF('Qualifying Scores'!$B$1-E46&gt;14,"15-16",IF('Qualifying Scores'!$B$1-E46&gt;12,"13-14",IF('Qualifying Scores'!$B$1-E46&gt;10,"11-12,""Not Age Eligible")))))</f>
        <v>17-21</v>
      </c>
      <c r="G46" s="56" t="s">
        <v>305</v>
      </c>
      <c r="H46" s="4">
        <f>SUM(N46:O46)</f>
        <v>109.755</v>
      </c>
      <c r="I46" s="3" t="str">
        <f>IF(MAX(T46-Q46,AA46-X46)&gt;=LOOKUP(F46,'Qualifying Scores'!$A$4:$A$7,'Qualifying Scores'!$C$4:$C$7),"P","")</f>
        <v/>
      </c>
      <c r="J46" s="3" t="str">
        <f>IF(MAX(S46,Z46)&gt;=LOOKUP(F46,'Qualifying Scores'!$A$10:$A$13,'Qualifying Scores'!$C$10:$C$13),"P","")</f>
        <v/>
      </c>
      <c r="K46" s="3" t="str">
        <f>IF(OR(AND(T46-Q46&gt;=LOOKUP(F46,'Qualifying Scores'!$A$4:$A$7,'Qualifying Scores'!$C$4:$C$7),S46&gt;=LOOKUP(F46,'Qualifying Scores'!$A$10:$A$13,'Qualifying Scores'!$C$10:$C$13)),AND(AA46-X46&gt;=LOOKUP(F46,'Qualifying Scores'!$A$4:$A$7,'Qualifying Scores'!$C$4:$C$7),Z46&gt;=LOOKUP(F46,'Qualifying Scores'!$A$10:$A$13,'Qualifying Scores'!$C$10:$C$13))),"P","")</f>
        <v/>
      </c>
      <c r="N46" s="4">
        <f>MAX(T46,AA46)</f>
        <v>70.625</v>
      </c>
      <c r="O46" s="4">
        <f>IF(N46=T46,MAX(U46,Y46,AB46),MAX(R46,U46,AB46))</f>
        <v>39.130000000000003</v>
      </c>
      <c r="P46" s="33">
        <v>25.69</v>
      </c>
      <c r="Q46" s="34">
        <v>2.4</v>
      </c>
      <c r="R46" s="34">
        <v>44.935000000000002</v>
      </c>
      <c r="S46" s="34">
        <v>8.4</v>
      </c>
      <c r="T46" s="4">
        <f>SUM(P46,R46)</f>
        <v>70.625</v>
      </c>
      <c r="U46" s="34">
        <v>39.130000000000003</v>
      </c>
      <c r="V46" s="34">
        <v>8.6999999999999993</v>
      </c>
      <c r="W46" s="33">
        <v>42.67</v>
      </c>
      <c r="X46" s="34">
        <v>3.8</v>
      </c>
      <c r="Y46" s="34">
        <v>5.38</v>
      </c>
      <c r="Z46" s="34">
        <v>1.5</v>
      </c>
      <c r="AA46" s="4">
        <f>SUM(W46,Y46)</f>
        <v>48.050000000000004</v>
      </c>
      <c r="AB46" s="34"/>
      <c r="AC46" s="39"/>
    </row>
    <row r="47" spans="1:29" x14ac:dyDescent="0.2">
      <c r="A47" s="1" t="str">
        <f t="shared" si="1"/>
        <v/>
      </c>
      <c r="B47" s="38" t="s">
        <v>30</v>
      </c>
      <c r="C47" s="38" t="s">
        <v>6</v>
      </c>
      <c r="D47" s="38" t="s">
        <v>7</v>
      </c>
      <c r="E47" s="37">
        <v>2000</v>
      </c>
      <c r="F47" s="1" t="str">
        <f>IF('Qualifying Scores'!$B$1-E47&gt;21,"Not Age Eligible",IF('Qualifying Scores'!$B$1-E47&gt;16,"17-21",IF('Qualifying Scores'!$B$1-E47&gt;14,"15-16",IF('Qualifying Scores'!$B$1-E47&gt;12,"13-14",IF('Qualifying Scores'!$B$1-E47&gt;10,"11-12,""Not Age Eligible")))))</f>
        <v>17-21</v>
      </c>
      <c r="G47" s="56"/>
      <c r="H47" s="4">
        <f>SUM(N47:O47)</f>
        <v>103.215</v>
      </c>
      <c r="I47" s="3" t="str">
        <f>IF(MAX(T47-Q47,AA47-X47)&gt;=LOOKUP(F47,'Qualifying Scores'!$A$4:$A$7,'Qualifying Scores'!$C$4:$C$7),"P","")</f>
        <v/>
      </c>
      <c r="J47" s="3" t="str">
        <f>IF(MAX(S47,Z47)&gt;=LOOKUP(F47,'Qualifying Scores'!$A$10:$A$13,'Qualifying Scores'!$C$10:$C$13),"P","")</f>
        <v/>
      </c>
      <c r="K47" s="3" t="str">
        <f>IF(OR(AND(T47-Q47&gt;=LOOKUP(F47,'Qualifying Scores'!$A$4:$A$7,'Qualifying Scores'!$C$4:$C$7),S47&gt;=LOOKUP(F47,'Qualifying Scores'!$A$10:$A$13,'Qualifying Scores'!$C$10:$C$13)),AND(AA47-X47&gt;=LOOKUP(F47,'Qualifying Scores'!$A$4:$A$7,'Qualifying Scores'!$C$4:$C$7),Z47&gt;=LOOKUP(F47,'Qualifying Scores'!$A$10:$A$13,'Qualifying Scores'!$C$10:$C$13))),"P","")</f>
        <v/>
      </c>
      <c r="N47" s="4">
        <f>MAX(T47,AA47)</f>
        <v>59.97</v>
      </c>
      <c r="O47" s="4">
        <f>IF(N47=T47,MAX(U47,Y47,AB47),MAX(R47,U47,AB47))</f>
        <v>43.244999999999997</v>
      </c>
      <c r="P47" s="33">
        <v>41.66</v>
      </c>
      <c r="Q47" s="34">
        <v>2.2999999999999998</v>
      </c>
      <c r="R47" s="34">
        <v>18.309999999999999</v>
      </c>
      <c r="S47" s="34">
        <v>4.3</v>
      </c>
      <c r="T47" s="4">
        <f>SUM(P47,R47)</f>
        <v>59.97</v>
      </c>
      <c r="U47" s="34">
        <v>43.244999999999997</v>
      </c>
      <c r="V47" s="34">
        <v>7.3</v>
      </c>
      <c r="W47" s="33">
        <v>39.795000000000002</v>
      </c>
      <c r="X47" s="34">
        <v>2.1</v>
      </c>
      <c r="Y47" s="34">
        <v>5.34</v>
      </c>
      <c r="Z47" s="34">
        <v>1.5</v>
      </c>
      <c r="AA47" s="4">
        <f>SUM(W47,Y47)</f>
        <v>45.135000000000005</v>
      </c>
      <c r="AB47" s="34"/>
      <c r="AC47" s="39"/>
    </row>
    <row r="48" spans="1:29" x14ac:dyDescent="0.2">
      <c r="A48" s="1" t="str">
        <f t="shared" si="1"/>
        <v/>
      </c>
      <c r="B48" s="38" t="s">
        <v>14</v>
      </c>
      <c r="C48" s="38" t="s">
        <v>12</v>
      </c>
      <c r="D48" s="38" t="s">
        <v>15</v>
      </c>
      <c r="E48" s="37">
        <v>2002</v>
      </c>
      <c r="F48" s="1" t="str">
        <f>IF('Qualifying Scores'!$B$1-E48&gt;21,"Not Age Eligible",IF('Qualifying Scores'!$B$1-E48&gt;16,"17-21",IF('Qualifying Scores'!$B$1-E48&gt;14,"15-16",IF('Qualifying Scores'!$B$1-E48&gt;12,"13-14",IF('Qualifying Scores'!$B$1-E48&gt;10,"11-12,""Not Age Eligible")))))</f>
        <v>17-21</v>
      </c>
      <c r="G48" s="56"/>
      <c r="H48" s="4">
        <f>SUM(N48:O48)</f>
        <v>97.100000000000009</v>
      </c>
      <c r="I48" s="3" t="str">
        <f>IF(MAX(T48-Q48,AA48-X48)&gt;=LOOKUP(F48,'Qualifying Scores'!$A$4:$A$7,'Qualifying Scores'!$C$4:$C$7),"P","")</f>
        <v/>
      </c>
      <c r="J48" s="3" t="str">
        <f>IF(MAX(S48,Z48)&gt;=LOOKUP(F48,'Qualifying Scores'!$A$10:$A$13,'Qualifying Scores'!$C$10:$C$13),"P","")</f>
        <v/>
      </c>
      <c r="K48" s="3" t="str">
        <f>IF(OR(AND(T48-Q48&gt;=LOOKUP(F48,'Qualifying Scores'!$A$4:$A$7,'Qualifying Scores'!$C$4:$C$7),S48&gt;=LOOKUP(F48,'Qualifying Scores'!$A$10:$A$13,'Qualifying Scores'!$C$10:$C$13)),AND(AA48-X48&gt;=LOOKUP(F48,'Qualifying Scores'!$A$4:$A$7,'Qualifying Scores'!$C$4:$C$7),Z48&gt;=LOOKUP(F48,'Qualifying Scores'!$A$10:$A$13,'Qualifying Scores'!$C$10:$C$13))),"P","")</f>
        <v/>
      </c>
      <c r="N48" s="4">
        <f>MAX(T48,AA48)</f>
        <v>87.115000000000009</v>
      </c>
      <c r="O48" s="4">
        <f>IF(N48=T48,MAX(U48,Y48,AB48),MAX(R48,U48,AB48))</f>
        <v>9.9849999999999994</v>
      </c>
      <c r="P48" s="33">
        <v>42.17</v>
      </c>
      <c r="Q48" s="34">
        <v>1.4</v>
      </c>
      <c r="R48" s="34">
        <v>9.9849999999999994</v>
      </c>
      <c r="S48" s="34">
        <v>2.2999999999999998</v>
      </c>
      <c r="T48" s="4">
        <f>SUM(P48,R48)</f>
        <v>52.155000000000001</v>
      </c>
      <c r="U48" s="34"/>
      <c r="V48" s="34"/>
      <c r="W48" s="33">
        <v>40.774999999999999</v>
      </c>
      <c r="X48" s="34">
        <v>1.5</v>
      </c>
      <c r="Y48" s="34">
        <v>46.34</v>
      </c>
      <c r="Z48" s="34">
        <v>8.8000000000000007</v>
      </c>
      <c r="AA48" s="4">
        <f>SUM(W48,Y48)</f>
        <v>87.115000000000009</v>
      </c>
      <c r="AB48" s="34">
        <v>5.26</v>
      </c>
      <c r="AC48" s="39">
        <v>1.3</v>
      </c>
    </row>
    <row r="49" spans="1:29" x14ac:dyDescent="0.2">
      <c r="A49" s="1" t="str">
        <f t="shared" si="1"/>
        <v/>
      </c>
      <c r="B49" s="38" t="s">
        <v>268</v>
      </c>
      <c r="C49" s="38" t="s">
        <v>6</v>
      </c>
      <c r="D49" s="38" t="s">
        <v>10</v>
      </c>
      <c r="E49" s="37">
        <v>2001</v>
      </c>
      <c r="F49" s="1" t="str">
        <f>IF('Qualifying Scores'!$B$1-E49&gt;21,"Not Age Eligible",IF('Qualifying Scores'!$B$1-E49&gt;16,"17-21",IF('Qualifying Scores'!$B$1-E49&gt;14,"15-16",IF('Qualifying Scores'!$B$1-E49&gt;12,"13-14",IF('Qualifying Scores'!$B$1-E49&gt;10,"11-12,""Not Age Eligible")))))</f>
        <v>17-21</v>
      </c>
      <c r="H49" s="4">
        <f>SUM(N49:O49)</f>
        <v>62.855000000000004</v>
      </c>
      <c r="I49" s="3" t="str">
        <f>IF(MAX(T49-Q49,AA49-X49)&gt;=LOOKUP(F49,'Qualifying Scores'!$A$4:$A$7,'Qualifying Scores'!$C$4:$C$7),"P","")</f>
        <v/>
      </c>
      <c r="J49" s="3" t="str">
        <f>IF(MAX(S49,Z49)&gt;=LOOKUP(F49,'Qualifying Scores'!$A$10:$A$13,'Qualifying Scores'!$C$10:$C$13),"P","")</f>
        <v/>
      </c>
      <c r="K49" s="3" t="str">
        <f>IF(OR(AND(T49-Q49&gt;=LOOKUP(F49,'Qualifying Scores'!$A$4:$A$7,'Qualifying Scores'!$C$4:$C$7),S49&gt;=LOOKUP(F49,'Qualifying Scores'!$A$10:$A$13,'Qualifying Scores'!$C$10:$C$13)),AND(AA49-X49&gt;=LOOKUP(F49,'Qualifying Scores'!$A$4:$A$7,'Qualifying Scores'!$C$4:$C$7),Z49&gt;=LOOKUP(F49,'Qualifying Scores'!$A$10:$A$13,'Qualifying Scores'!$C$10:$C$13))),"P","")</f>
        <v/>
      </c>
      <c r="N49" s="4">
        <f>MAX(T49,AA49)</f>
        <v>62.855000000000004</v>
      </c>
      <c r="O49" s="4">
        <f>IF(N49=T49,MAX(U49,Y49,AB49),MAX(R49,U49,AB49))</f>
        <v>0</v>
      </c>
      <c r="P49" s="33"/>
      <c r="Q49" s="34"/>
      <c r="R49" s="34"/>
      <c r="S49" s="34"/>
      <c r="T49" s="4">
        <f>SUM(P49,R49)</f>
        <v>0</v>
      </c>
      <c r="U49" s="34"/>
      <c r="V49" s="34"/>
      <c r="W49" s="33">
        <v>39.645000000000003</v>
      </c>
      <c r="X49" s="34">
        <v>1.4</v>
      </c>
      <c r="Y49" s="34">
        <v>23.21</v>
      </c>
      <c r="Z49" s="34">
        <v>4.5999999999999996</v>
      </c>
      <c r="AA49" s="4">
        <f>SUM(W49,Y49)</f>
        <v>62.855000000000004</v>
      </c>
      <c r="AB49" s="34"/>
      <c r="AC49" s="39"/>
    </row>
    <row r="50" spans="1:29" x14ac:dyDescent="0.2">
      <c r="A50" s="1" t="str">
        <f t="shared" si="1"/>
        <v/>
      </c>
      <c r="B50" s="38" t="s">
        <v>269</v>
      </c>
      <c r="C50" s="38" t="s">
        <v>4</v>
      </c>
      <c r="E50" s="37">
        <v>2000</v>
      </c>
      <c r="F50" s="1" t="str">
        <f>IF('Qualifying Scores'!$B$1-E50&gt;21,"Not Age Eligible",IF('Qualifying Scores'!$B$1-E50&gt;16,"17-21",IF('Qualifying Scores'!$B$1-E50&gt;14,"15-16",IF('Qualifying Scores'!$B$1-E50&gt;12,"13-14",IF('Qualifying Scores'!$B$1-E50&gt;10,"11-12,""Not Age Eligible")))))</f>
        <v>17-21</v>
      </c>
      <c r="H50" s="4">
        <f>SUM(N50:O50)</f>
        <v>51.62</v>
      </c>
      <c r="I50" s="3" t="str">
        <f>IF(MAX(T50-Q50,AA50-X50)&gt;=LOOKUP(F50,'Qualifying Scores'!$A$4:$A$7,'Qualifying Scores'!$C$4:$C$7),"P","")</f>
        <v/>
      </c>
      <c r="J50" s="3" t="str">
        <f>IF(MAX(S50,Z50)&gt;=LOOKUP(F50,'Qualifying Scores'!$A$10:$A$13,'Qualifying Scores'!$C$10:$C$13),"P","")</f>
        <v/>
      </c>
      <c r="K50" s="3" t="str">
        <f>IF(OR(AND(T50-Q50&gt;=LOOKUP(F50,'Qualifying Scores'!$A$4:$A$7,'Qualifying Scores'!$C$4:$C$7),S50&gt;=LOOKUP(F50,'Qualifying Scores'!$A$10:$A$13,'Qualifying Scores'!$C$10:$C$13)),AND(AA50-X50&gt;=LOOKUP(F50,'Qualifying Scores'!$A$4:$A$7,'Qualifying Scores'!$C$4:$C$7),Z50&gt;=LOOKUP(F50,'Qualifying Scores'!$A$10:$A$13,'Qualifying Scores'!$C$10:$C$13))),"P","")</f>
        <v/>
      </c>
      <c r="N50" s="4">
        <f>MAX(T50,AA50)</f>
        <v>51.62</v>
      </c>
      <c r="O50" s="4">
        <f>IF(N50=T50,MAX(U50,Y50,AB50),MAX(R50,U50,AB50))</f>
        <v>0</v>
      </c>
      <c r="P50" s="33"/>
      <c r="Q50" s="34"/>
      <c r="R50" s="34"/>
      <c r="S50" s="34"/>
      <c r="T50" s="4">
        <f>SUM(P50,R50)</f>
        <v>0</v>
      </c>
      <c r="U50" s="34"/>
      <c r="V50" s="34"/>
      <c r="W50" s="33">
        <v>38.65</v>
      </c>
      <c r="X50" s="34">
        <v>2.2000000000000002</v>
      </c>
      <c r="Y50" s="34">
        <v>12.97</v>
      </c>
      <c r="Z50" s="34">
        <v>3.4</v>
      </c>
      <c r="AA50" s="4">
        <f>SUM(W50,Y50)</f>
        <v>51.62</v>
      </c>
      <c r="AB50" s="34"/>
      <c r="AC50" s="39"/>
    </row>
    <row r="51" spans="1:29" x14ac:dyDescent="0.2">
      <c r="A51" s="1" t="str">
        <f t="shared" si="1"/>
        <v/>
      </c>
      <c r="B51" s="38" t="s">
        <v>258</v>
      </c>
      <c r="C51" s="38" t="s">
        <v>28</v>
      </c>
      <c r="E51" s="37">
        <v>2002</v>
      </c>
      <c r="F51" s="1" t="str">
        <f>IF('Qualifying Scores'!$B$1-E51&gt;21,"Not Age Eligible",IF('Qualifying Scores'!$B$1-E51&gt;16,"17-21",IF('Qualifying Scores'!$B$1-E51&gt;14,"15-16",IF('Qualifying Scores'!$B$1-E51&gt;12,"13-14",IF('Qualifying Scores'!$B$1-E51&gt;10,"11-12,""Not Age Eligible")))))</f>
        <v>17-21</v>
      </c>
      <c r="H51" s="4">
        <f>SUM(N51:O51)</f>
        <v>50.29</v>
      </c>
      <c r="I51" s="3" t="str">
        <f>IF(MAX(T51-Q51,AA51-X51)&gt;=LOOKUP(F51,'Qualifying Scores'!$A$4:$A$7,'Qualifying Scores'!$C$4:$C$7),"P","")</f>
        <v/>
      </c>
      <c r="J51" s="3" t="str">
        <f>IF(MAX(S51,Z51)&gt;=LOOKUP(F51,'Qualifying Scores'!$A$10:$A$13,'Qualifying Scores'!$C$10:$C$13),"P","")</f>
        <v/>
      </c>
      <c r="K51" s="3" t="str">
        <f>IF(OR(AND(T51-Q51&gt;=LOOKUP(F51,'Qualifying Scores'!$A$4:$A$7,'Qualifying Scores'!$C$4:$C$7),S51&gt;=LOOKUP(F51,'Qualifying Scores'!$A$10:$A$13,'Qualifying Scores'!$C$10:$C$13)),AND(AA51-X51&gt;=LOOKUP(F51,'Qualifying Scores'!$A$4:$A$7,'Qualifying Scores'!$C$4:$C$7),Z51&gt;=LOOKUP(F51,'Qualifying Scores'!$A$10:$A$13,'Qualifying Scores'!$C$10:$C$13))),"P","")</f>
        <v/>
      </c>
      <c r="N51" s="4">
        <f>MAX(T51,AA51)</f>
        <v>50.29</v>
      </c>
      <c r="O51" s="4">
        <f>IF(N51=T51,MAX(U51,Y51,AB51),MAX(R51,U51,AB51))</f>
        <v>0</v>
      </c>
      <c r="P51" s="33"/>
      <c r="Q51" s="34"/>
      <c r="R51" s="34"/>
      <c r="S51" s="34"/>
      <c r="T51" s="4">
        <f>SUM(P51,R51)</f>
        <v>0</v>
      </c>
      <c r="U51" s="34"/>
      <c r="V51" s="34"/>
      <c r="W51" s="33">
        <v>40.744999999999997</v>
      </c>
      <c r="X51" s="34">
        <v>1.8</v>
      </c>
      <c r="Y51" s="34">
        <v>9.5449999999999999</v>
      </c>
      <c r="Z51" s="34">
        <v>1.9</v>
      </c>
      <c r="AA51" s="4">
        <f>SUM(W51,Y51)</f>
        <v>50.29</v>
      </c>
      <c r="AB51" s="34"/>
      <c r="AC51" s="39"/>
    </row>
    <row r="52" spans="1:29" x14ac:dyDescent="0.2">
      <c r="K52" s="3"/>
      <c r="N52" s="5"/>
      <c r="O52" s="5"/>
      <c r="P52" s="35"/>
      <c r="Q52" s="36"/>
      <c r="R52" s="36"/>
      <c r="S52" s="36"/>
      <c r="T52" s="5"/>
      <c r="U52" s="36"/>
      <c r="V52" s="36"/>
      <c r="W52" s="35"/>
      <c r="X52" s="36"/>
      <c r="Y52" s="36"/>
      <c r="Z52" s="36"/>
      <c r="AA52" s="5"/>
      <c r="AC52" s="40"/>
    </row>
    <row r="53" spans="1:29" x14ac:dyDescent="0.2">
      <c r="K53" s="3"/>
      <c r="N53" s="5"/>
      <c r="O53" s="5"/>
      <c r="P53" s="35"/>
      <c r="Q53" s="36"/>
      <c r="R53" s="36"/>
      <c r="S53" s="36"/>
      <c r="T53" s="5"/>
      <c r="U53" s="36"/>
      <c r="V53" s="36"/>
      <c r="W53" s="35"/>
      <c r="X53" s="36"/>
      <c r="Y53" s="36"/>
      <c r="Z53" s="36"/>
      <c r="AA53" s="5"/>
      <c r="AC53" s="40"/>
    </row>
    <row r="54" spans="1:29" x14ac:dyDescent="0.2">
      <c r="K54" s="3"/>
      <c r="N54" s="5"/>
      <c r="O54" s="5"/>
      <c r="P54" s="35"/>
      <c r="Q54" s="36"/>
      <c r="R54" s="36"/>
      <c r="S54" s="36"/>
      <c r="T54" s="5"/>
      <c r="U54" s="36"/>
      <c r="V54" s="36"/>
      <c r="W54" s="35"/>
      <c r="X54" s="36"/>
      <c r="Y54" s="36"/>
      <c r="Z54" s="36"/>
      <c r="AA54" s="5"/>
      <c r="AC54" s="40"/>
    </row>
    <row r="55" spans="1:29" x14ac:dyDescent="0.2">
      <c r="K55" s="3"/>
      <c r="N55" s="5"/>
      <c r="O55" s="5"/>
      <c r="P55" s="35"/>
      <c r="Q55" s="36"/>
      <c r="R55" s="36"/>
      <c r="S55" s="36"/>
      <c r="T55" s="5"/>
      <c r="U55" s="36"/>
      <c r="V55" s="36"/>
      <c r="W55" s="35"/>
      <c r="X55" s="36"/>
      <c r="Y55" s="36"/>
      <c r="Z55" s="36"/>
      <c r="AA55" s="5"/>
      <c r="AC55" s="40"/>
    </row>
    <row r="56" spans="1:29" x14ac:dyDescent="0.2">
      <c r="K56" s="3"/>
      <c r="N56" s="5"/>
      <c r="O56" s="5"/>
      <c r="P56" s="35"/>
      <c r="Q56" s="36"/>
      <c r="R56" s="36"/>
      <c r="S56" s="36"/>
      <c r="T56" s="5"/>
      <c r="U56" s="36"/>
      <c r="V56" s="36"/>
      <c r="W56" s="35"/>
      <c r="X56" s="36"/>
      <c r="Y56" s="36"/>
      <c r="Z56" s="36"/>
      <c r="AA56" s="5"/>
      <c r="AC56" s="40"/>
    </row>
    <row r="57" spans="1:29" x14ac:dyDescent="0.2">
      <c r="K57" s="3"/>
      <c r="N57" s="5"/>
      <c r="O57" s="5"/>
      <c r="P57" s="35"/>
      <c r="Q57" s="36"/>
      <c r="R57" s="36"/>
      <c r="S57" s="36"/>
      <c r="T57" s="5"/>
      <c r="U57" s="36"/>
      <c r="V57" s="36"/>
      <c r="W57" s="35"/>
      <c r="X57" s="36"/>
      <c r="Y57" s="36"/>
      <c r="Z57" s="36"/>
      <c r="AA57" s="5"/>
      <c r="AC57" s="40"/>
    </row>
    <row r="58" spans="1:29" x14ac:dyDescent="0.2">
      <c r="K58" s="3"/>
      <c r="N58" s="5"/>
      <c r="O58" s="5"/>
      <c r="P58" s="35"/>
      <c r="Q58" s="36"/>
      <c r="R58" s="36"/>
      <c r="S58" s="36"/>
      <c r="T58" s="5"/>
      <c r="U58" s="36"/>
      <c r="V58" s="36"/>
      <c r="W58" s="35"/>
      <c r="X58" s="36"/>
      <c r="Y58" s="36"/>
      <c r="Z58" s="36"/>
      <c r="AA58" s="5"/>
      <c r="AC58" s="40"/>
    </row>
    <row r="59" spans="1:29" x14ac:dyDescent="0.2">
      <c r="K59" s="3"/>
      <c r="N59" s="5"/>
      <c r="O59" s="5"/>
      <c r="P59" s="35"/>
      <c r="Q59" s="36"/>
      <c r="R59" s="36"/>
      <c r="S59" s="36"/>
      <c r="T59" s="5"/>
      <c r="U59" s="36"/>
      <c r="V59" s="36"/>
      <c r="W59" s="35"/>
      <c r="X59" s="36"/>
      <c r="Y59" s="36"/>
      <c r="Z59" s="36"/>
      <c r="AA59" s="5"/>
      <c r="AC59" s="40"/>
    </row>
    <row r="60" spans="1:29" x14ac:dyDescent="0.2">
      <c r="K60" s="3"/>
      <c r="N60" s="5"/>
      <c r="O60" s="5"/>
      <c r="P60" s="35"/>
      <c r="Q60" s="36"/>
      <c r="R60" s="36"/>
      <c r="S60" s="36"/>
      <c r="T60" s="5"/>
      <c r="U60" s="36"/>
      <c r="V60" s="36"/>
      <c r="W60" s="35"/>
      <c r="X60" s="36"/>
      <c r="Y60" s="36"/>
      <c r="Z60" s="36"/>
      <c r="AA60" s="5"/>
      <c r="AC60" s="40"/>
    </row>
    <row r="61" spans="1:29" x14ac:dyDescent="0.2">
      <c r="K61" s="3"/>
      <c r="N61" s="5"/>
      <c r="O61" s="5"/>
      <c r="P61" s="35"/>
      <c r="Q61" s="36"/>
      <c r="R61" s="36"/>
      <c r="S61" s="36"/>
      <c r="T61" s="5"/>
      <c r="U61" s="36"/>
      <c r="V61" s="36"/>
      <c r="W61" s="35"/>
      <c r="X61" s="36"/>
      <c r="Y61" s="36"/>
      <c r="Z61" s="36"/>
      <c r="AA61" s="5"/>
      <c r="AC61" s="40"/>
    </row>
    <row r="62" spans="1:29" x14ac:dyDescent="0.2">
      <c r="K62" s="3"/>
      <c r="N62" s="5"/>
      <c r="O62" s="5"/>
      <c r="P62" s="35"/>
      <c r="Q62" s="36"/>
      <c r="R62" s="36"/>
      <c r="S62" s="36"/>
      <c r="T62" s="5"/>
      <c r="U62" s="36"/>
      <c r="V62" s="36"/>
      <c r="W62" s="35"/>
      <c r="X62" s="36"/>
      <c r="Y62" s="36"/>
      <c r="Z62" s="36"/>
      <c r="AA62" s="5"/>
      <c r="AC62" s="40"/>
    </row>
    <row r="63" spans="1:29" x14ac:dyDescent="0.2">
      <c r="K63" s="3"/>
      <c r="N63" s="5"/>
      <c r="O63" s="5"/>
      <c r="P63" s="35"/>
      <c r="Q63" s="36"/>
      <c r="R63" s="36"/>
      <c r="S63" s="36"/>
      <c r="T63" s="5"/>
      <c r="U63" s="36"/>
      <c r="V63" s="36"/>
      <c r="W63" s="35"/>
      <c r="X63" s="36"/>
      <c r="Y63" s="36"/>
      <c r="Z63" s="36"/>
      <c r="AA63" s="5"/>
      <c r="AC63" s="40"/>
    </row>
    <row r="64" spans="1:29" x14ac:dyDescent="0.2">
      <c r="K64" s="3"/>
      <c r="N64" s="5"/>
      <c r="O64" s="5"/>
      <c r="P64" s="35"/>
      <c r="Q64" s="36"/>
      <c r="R64" s="36"/>
      <c r="S64" s="36"/>
      <c r="T64" s="5"/>
      <c r="U64" s="36"/>
      <c r="V64" s="36"/>
      <c r="W64" s="35"/>
      <c r="X64" s="36"/>
      <c r="Y64" s="36"/>
      <c r="Z64" s="36"/>
      <c r="AA64" s="5"/>
      <c r="AC64" s="40"/>
    </row>
    <row r="65" spans="11:29" x14ac:dyDescent="0.2">
      <c r="K65" s="3"/>
      <c r="N65" s="5"/>
      <c r="O65" s="5"/>
      <c r="P65" s="35"/>
      <c r="Q65" s="36"/>
      <c r="R65" s="36"/>
      <c r="S65" s="36"/>
      <c r="T65" s="5"/>
      <c r="U65" s="36"/>
      <c r="V65" s="36"/>
      <c r="W65" s="35"/>
      <c r="X65" s="36"/>
      <c r="Y65" s="36"/>
      <c r="Z65" s="36"/>
      <c r="AA65" s="5"/>
      <c r="AC65" s="40"/>
    </row>
    <row r="66" spans="11:29" x14ac:dyDescent="0.2">
      <c r="K66" s="3"/>
      <c r="N66" s="5"/>
      <c r="O66" s="5"/>
      <c r="P66" s="35"/>
      <c r="Q66" s="36"/>
      <c r="R66" s="36"/>
      <c r="S66" s="36"/>
      <c r="T66" s="5"/>
      <c r="U66" s="36"/>
      <c r="V66" s="36"/>
      <c r="W66" s="35"/>
      <c r="X66" s="36"/>
      <c r="Y66" s="36"/>
      <c r="Z66" s="36"/>
      <c r="AA66" s="5"/>
      <c r="AC66" s="40"/>
    </row>
    <row r="67" spans="11:29" x14ac:dyDescent="0.2">
      <c r="K67" s="3"/>
      <c r="N67" s="5"/>
      <c r="O67" s="5"/>
      <c r="P67" s="35"/>
      <c r="Q67" s="36"/>
      <c r="R67" s="36"/>
      <c r="S67" s="36"/>
      <c r="T67" s="5"/>
      <c r="U67" s="36"/>
      <c r="V67" s="36"/>
      <c r="W67" s="35"/>
      <c r="X67" s="36"/>
      <c r="Y67" s="36"/>
      <c r="Z67" s="36"/>
      <c r="AA67" s="5"/>
      <c r="AC67" s="40"/>
    </row>
    <row r="68" spans="11:29" x14ac:dyDescent="0.2">
      <c r="K68" s="3"/>
      <c r="N68" s="5"/>
      <c r="O68" s="5"/>
      <c r="P68" s="35"/>
      <c r="Q68" s="36"/>
      <c r="R68" s="36"/>
      <c r="S68" s="36"/>
      <c r="T68" s="5"/>
      <c r="U68" s="36"/>
      <c r="V68" s="36"/>
      <c r="W68" s="35"/>
      <c r="X68" s="36"/>
      <c r="Y68" s="36"/>
      <c r="Z68" s="36"/>
      <c r="AA68" s="5"/>
      <c r="AC68" s="40"/>
    </row>
    <row r="69" spans="11:29" x14ac:dyDescent="0.2">
      <c r="K69" s="3"/>
      <c r="N69" s="5"/>
      <c r="O69" s="5"/>
      <c r="P69" s="35"/>
      <c r="Q69" s="36"/>
      <c r="R69" s="36"/>
      <c r="S69" s="36"/>
      <c r="T69" s="5"/>
      <c r="U69" s="36"/>
      <c r="V69" s="36"/>
      <c r="W69" s="35"/>
      <c r="X69" s="36"/>
      <c r="Y69" s="36"/>
      <c r="Z69" s="36"/>
      <c r="AA69" s="5"/>
      <c r="AC69" s="40"/>
    </row>
    <row r="70" spans="11:29" x14ac:dyDescent="0.2">
      <c r="K70" s="3"/>
      <c r="N70" s="5"/>
      <c r="O70" s="5"/>
      <c r="P70" s="35"/>
      <c r="Q70" s="36"/>
      <c r="R70" s="36"/>
      <c r="S70" s="36"/>
      <c r="T70" s="5"/>
      <c r="U70" s="36"/>
      <c r="V70" s="36"/>
      <c r="W70" s="35"/>
      <c r="X70" s="36"/>
      <c r="Y70" s="36"/>
      <c r="Z70" s="36"/>
      <c r="AA70" s="5"/>
      <c r="AC70" s="40"/>
    </row>
    <row r="71" spans="11:29" x14ac:dyDescent="0.2">
      <c r="K71" s="3"/>
      <c r="N71" s="5"/>
      <c r="O71" s="5"/>
      <c r="P71" s="35"/>
      <c r="Q71" s="36"/>
      <c r="R71" s="36"/>
      <c r="S71" s="36"/>
      <c r="T71" s="5"/>
      <c r="U71" s="36"/>
      <c r="V71" s="36"/>
      <c r="W71" s="35"/>
      <c r="X71" s="36"/>
      <c r="Y71" s="36"/>
      <c r="Z71" s="36"/>
      <c r="AA71" s="5"/>
      <c r="AC71" s="40"/>
    </row>
    <row r="72" spans="11:29" x14ac:dyDescent="0.2">
      <c r="N72" s="5"/>
      <c r="O72" s="5"/>
      <c r="P72" s="35"/>
      <c r="Q72" s="36"/>
      <c r="R72" s="36"/>
      <c r="S72" s="36"/>
      <c r="T72" s="5"/>
      <c r="U72" s="36"/>
      <c r="V72" s="36"/>
      <c r="W72" s="35"/>
      <c r="X72" s="36"/>
      <c r="Y72" s="36"/>
      <c r="Z72" s="36"/>
      <c r="AA72" s="5"/>
      <c r="AC72" s="40"/>
    </row>
    <row r="73" spans="11:29" x14ac:dyDescent="0.2">
      <c r="N73" s="5"/>
      <c r="O73" s="5"/>
      <c r="P73" s="35"/>
      <c r="Q73" s="36"/>
      <c r="R73" s="36"/>
      <c r="S73" s="36"/>
      <c r="T73" s="5"/>
      <c r="U73" s="36"/>
      <c r="V73" s="36"/>
      <c r="W73" s="35"/>
      <c r="X73" s="36"/>
      <c r="Y73" s="36"/>
      <c r="Z73" s="36"/>
      <c r="AA73" s="5"/>
      <c r="AC73" s="40"/>
    </row>
    <row r="74" spans="11:29" x14ac:dyDescent="0.2">
      <c r="N74" s="5"/>
      <c r="O74" s="5"/>
      <c r="P74" s="35"/>
      <c r="Q74" s="36"/>
      <c r="R74" s="36"/>
      <c r="S74" s="36"/>
      <c r="T74" s="5"/>
      <c r="U74" s="36"/>
      <c r="V74" s="36"/>
      <c r="W74" s="35"/>
      <c r="X74" s="36"/>
      <c r="Y74" s="36"/>
      <c r="Z74" s="36"/>
      <c r="AA74" s="5"/>
      <c r="AC74" s="40"/>
    </row>
    <row r="75" spans="11:29" x14ac:dyDescent="0.2">
      <c r="N75" s="5"/>
      <c r="O75" s="5"/>
      <c r="P75" s="35"/>
      <c r="Q75" s="36"/>
      <c r="R75" s="36"/>
      <c r="S75" s="36"/>
      <c r="T75" s="5"/>
      <c r="U75" s="36"/>
      <c r="V75" s="36"/>
      <c r="W75" s="35"/>
      <c r="X75" s="36"/>
      <c r="Y75" s="36"/>
      <c r="Z75" s="36"/>
      <c r="AA75" s="5"/>
      <c r="AC75" s="40"/>
    </row>
    <row r="76" spans="11:29" x14ac:dyDescent="0.2">
      <c r="N76" s="5"/>
      <c r="O76" s="5"/>
      <c r="P76" s="35"/>
      <c r="Q76" s="36"/>
      <c r="R76" s="36"/>
      <c r="S76" s="36"/>
      <c r="T76" s="5"/>
      <c r="U76" s="36"/>
      <c r="V76" s="36"/>
      <c r="W76" s="35"/>
      <c r="X76" s="36"/>
      <c r="Y76" s="36"/>
      <c r="Z76" s="36"/>
      <c r="AA76" s="5"/>
      <c r="AC76" s="40"/>
    </row>
    <row r="77" spans="11:29" x14ac:dyDescent="0.2">
      <c r="N77" s="5"/>
      <c r="O77" s="5"/>
      <c r="P77" s="35"/>
      <c r="Q77" s="36"/>
      <c r="R77" s="36"/>
      <c r="S77" s="36"/>
      <c r="T77" s="5"/>
      <c r="U77" s="36"/>
      <c r="V77" s="36"/>
      <c r="W77" s="35"/>
      <c r="X77" s="36"/>
      <c r="Y77" s="36"/>
      <c r="Z77" s="36"/>
      <c r="AA77" s="5"/>
      <c r="AC77" s="40"/>
    </row>
    <row r="78" spans="11:29" x14ac:dyDescent="0.2">
      <c r="N78" s="5"/>
      <c r="O78" s="5"/>
      <c r="P78" s="35"/>
      <c r="Q78" s="36"/>
      <c r="R78" s="36"/>
      <c r="S78" s="36"/>
      <c r="T78" s="5"/>
      <c r="U78" s="36"/>
      <c r="V78" s="36"/>
      <c r="W78" s="35"/>
      <c r="X78" s="36"/>
      <c r="Y78" s="36"/>
      <c r="Z78" s="36"/>
      <c r="AA78" s="5"/>
      <c r="AC78" s="40"/>
    </row>
    <row r="79" spans="11:29" x14ac:dyDescent="0.2">
      <c r="N79" s="5"/>
      <c r="O79" s="5"/>
      <c r="P79" s="35"/>
      <c r="Q79" s="36"/>
      <c r="R79" s="36"/>
      <c r="S79" s="36"/>
      <c r="T79" s="5"/>
      <c r="U79" s="36"/>
      <c r="V79" s="36"/>
      <c r="W79" s="35"/>
      <c r="X79" s="36"/>
      <c r="Y79" s="36"/>
      <c r="Z79" s="36"/>
      <c r="AA79" s="5"/>
      <c r="AC79" s="40"/>
    </row>
    <row r="80" spans="11:29" x14ac:dyDescent="0.2">
      <c r="N80" s="5"/>
      <c r="O80" s="5"/>
      <c r="P80" s="35"/>
      <c r="Q80" s="36"/>
      <c r="R80" s="36"/>
      <c r="S80" s="36"/>
      <c r="T80" s="5"/>
      <c r="U80" s="36"/>
      <c r="V80" s="36"/>
      <c r="W80" s="35"/>
      <c r="X80" s="36"/>
      <c r="Y80" s="36"/>
      <c r="Z80" s="36"/>
      <c r="AA80" s="5"/>
      <c r="AC80" s="40"/>
    </row>
    <row r="81" spans="14:29" x14ac:dyDescent="0.2">
      <c r="N81" s="5"/>
      <c r="O81" s="5"/>
      <c r="P81" s="35"/>
      <c r="Q81" s="36"/>
      <c r="R81" s="36"/>
      <c r="S81" s="36"/>
      <c r="T81" s="5"/>
      <c r="U81" s="36"/>
      <c r="V81" s="36"/>
      <c r="W81" s="35"/>
      <c r="X81" s="36"/>
      <c r="Y81" s="36"/>
      <c r="Z81" s="36"/>
      <c r="AA81" s="5"/>
      <c r="AC81" s="40"/>
    </row>
    <row r="82" spans="14:29" x14ac:dyDescent="0.2">
      <c r="N82" s="5"/>
      <c r="O82" s="5"/>
      <c r="P82" s="35"/>
      <c r="Q82" s="36"/>
      <c r="R82" s="36"/>
      <c r="S82" s="36"/>
      <c r="T82" s="5"/>
      <c r="U82" s="36"/>
      <c r="V82" s="36"/>
      <c r="W82" s="35"/>
      <c r="X82" s="36"/>
      <c r="Y82" s="36"/>
      <c r="Z82" s="36"/>
      <c r="AA82" s="5"/>
      <c r="AC82" s="40"/>
    </row>
    <row r="83" spans="14:29" x14ac:dyDescent="0.2">
      <c r="N83" s="5"/>
      <c r="O83" s="5"/>
      <c r="P83" s="35"/>
      <c r="Q83" s="36"/>
      <c r="R83" s="36"/>
      <c r="S83" s="36"/>
      <c r="T83" s="5"/>
      <c r="U83" s="36"/>
      <c r="V83" s="36"/>
      <c r="W83" s="35"/>
      <c r="X83" s="36"/>
      <c r="Y83" s="36"/>
      <c r="Z83" s="36"/>
      <c r="AA83" s="5"/>
      <c r="AC83" s="40"/>
    </row>
    <row r="84" spans="14:29" x14ac:dyDescent="0.2">
      <c r="N84" s="5"/>
      <c r="O84" s="5"/>
      <c r="P84" s="35"/>
      <c r="Q84" s="36"/>
      <c r="R84" s="36"/>
      <c r="S84" s="36"/>
      <c r="T84" s="5"/>
      <c r="U84" s="36"/>
      <c r="V84" s="36"/>
      <c r="W84" s="35"/>
      <c r="X84" s="36"/>
      <c r="Y84" s="36"/>
      <c r="Z84" s="36"/>
      <c r="AA84" s="5"/>
      <c r="AC84" s="40"/>
    </row>
    <row r="85" spans="14:29" x14ac:dyDescent="0.2">
      <c r="N85" s="5"/>
      <c r="O85" s="5"/>
      <c r="P85" s="35"/>
      <c r="Q85" s="36"/>
      <c r="R85" s="36"/>
      <c r="S85" s="36"/>
      <c r="T85" s="5"/>
      <c r="U85" s="36"/>
      <c r="V85" s="36"/>
      <c r="W85" s="35"/>
      <c r="X85" s="36"/>
      <c r="Y85" s="36"/>
      <c r="Z85" s="36"/>
      <c r="AA85" s="5"/>
      <c r="AC85" s="40"/>
    </row>
    <row r="86" spans="14:29" x14ac:dyDescent="0.2">
      <c r="N86" s="5"/>
      <c r="O86" s="5"/>
      <c r="P86" s="35"/>
      <c r="Q86" s="36"/>
      <c r="R86" s="36"/>
      <c r="S86" s="36"/>
      <c r="T86" s="5"/>
      <c r="U86" s="36"/>
      <c r="V86" s="36"/>
      <c r="W86" s="35"/>
      <c r="X86" s="36"/>
      <c r="Y86" s="36"/>
      <c r="Z86" s="36"/>
      <c r="AA86" s="5"/>
      <c r="AC86" s="40"/>
    </row>
    <row r="87" spans="14:29" x14ac:dyDescent="0.2">
      <c r="N87" s="5"/>
      <c r="O87" s="5"/>
      <c r="P87" s="35"/>
      <c r="Q87" s="36"/>
      <c r="R87" s="36"/>
      <c r="S87" s="36"/>
      <c r="T87" s="5"/>
      <c r="U87" s="36"/>
      <c r="V87" s="36"/>
      <c r="W87" s="35"/>
      <c r="X87" s="36"/>
      <c r="Y87" s="36"/>
      <c r="Z87" s="36"/>
      <c r="AA87" s="5"/>
      <c r="AC87" s="40"/>
    </row>
    <row r="88" spans="14:29" x14ac:dyDescent="0.2">
      <c r="N88" s="5"/>
      <c r="O88" s="5"/>
      <c r="P88" s="35"/>
      <c r="Q88" s="36"/>
      <c r="R88" s="36"/>
      <c r="S88" s="36"/>
      <c r="T88" s="5"/>
      <c r="U88" s="36"/>
      <c r="V88" s="36"/>
      <c r="W88" s="35"/>
      <c r="X88" s="36"/>
      <c r="Y88" s="36"/>
      <c r="Z88" s="36"/>
      <c r="AA88" s="5"/>
      <c r="AC88" s="40"/>
    </row>
    <row r="89" spans="14:29" x14ac:dyDescent="0.2">
      <c r="N89" s="5"/>
      <c r="O89" s="5"/>
      <c r="P89" s="35"/>
      <c r="Q89" s="36"/>
      <c r="R89" s="36"/>
      <c r="S89" s="36"/>
      <c r="T89" s="5"/>
      <c r="U89" s="36"/>
      <c r="V89" s="36"/>
      <c r="W89" s="35"/>
      <c r="X89" s="36"/>
      <c r="Y89" s="36"/>
      <c r="Z89" s="36"/>
      <c r="AA89" s="5"/>
      <c r="AC89" s="40"/>
    </row>
    <row r="90" spans="14:29" x14ac:dyDescent="0.2">
      <c r="N90" s="5"/>
      <c r="O90" s="5"/>
      <c r="P90" s="35"/>
      <c r="Q90" s="36"/>
      <c r="R90" s="36"/>
      <c r="S90" s="36"/>
      <c r="T90" s="5"/>
      <c r="U90" s="36"/>
      <c r="V90" s="36"/>
      <c r="W90" s="35"/>
      <c r="X90" s="36"/>
      <c r="Y90" s="36"/>
      <c r="Z90" s="36"/>
      <c r="AA90" s="5"/>
      <c r="AC90" s="40"/>
    </row>
    <row r="91" spans="14:29" x14ac:dyDescent="0.2">
      <c r="N91" s="5"/>
      <c r="O91" s="5"/>
      <c r="P91" s="35"/>
      <c r="Q91" s="36"/>
      <c r="R91" s="36"/>
      <c r="S91" s="36"/>
      <c r="T91" s="5"/>
      <c r="U91" s="36"/>
      <c r="V91" s="36"/>
      <c r="W91" s="35"/>
      <c r="X91" s="36"/>
      <c r="Y91" s="36"/>
      <c r="Z91" s="36"/>
      <c r="AA91" s="5"/>
      <c r="AC91" s="40"/>
    </row>
    <row r="92" spans="14:29" x14ac:dyDescent="0.2">
      <c r="N92" s="5"/>
      <c r="O92" s="5"/>
      <c r="P92" s="35"/>
      <c r="Q92" s="36"/>
      <c r="R92" s="36"/>
      <c r="S92" s="36"/>
      <c r="T92" s="5"/>
      <c r="U92" s="36"/>
      <c r="V92" s="36"/>
      <c r="W92" s="35"/>
      <c r="X92" s="36"/>
      <c r="Y92" s="36"/>
      <c r="Z92" s="36"/>
      <c r="AA92" s="5"/>
      <c r="AC92" s="40"/>
    </row>
    <row r="93" spans="14:29" x14ac:dyDescent="0.2">
      <c r="N93" s="5"/>
      <c r="O93" s="5"/>
      <c r="P93" s="35"/>
      <c r="Q93" s="36"/>
      <c r="R93" s="36"/>
      <c r="S93" s="36"/>
      <c r="T93" s="5"/>
      <c r="U93" s="36"/>
      <c r="V93" s="36"/>
      <c r="W93" s="35"/>
      <c r="X93" s="36"/>
      <c r="Y93" s="36"/>
      <c r="Z93" s="36"/>
      <c r="AA93" s="5"/>
      <c r="AC93" s="40"/>
    </row>
    <row r="94" spans="14:29" x14ac:dyDescent="0.2">
      <c r="N94" s="5"/>
      <c r="O94" s="5"/>
      <c r="P94" s="35"/>
      <c r="Q94" s="36"/>
      <c r="R94" s="36"/>
      <c r="S94" s="36"/>
      <c r="T94" s="5"/>
      <c r="U94" s="36"/>
      <c r="V94" s="36"/>
      <c r="W94" s="35"/>
      <c r="X94" s="36"/>
      <c r="Y94" s="36"/>
      <c r="Z94" s="36"/>
      <c r="AA94" s="5"/>
      <c r="AC94" s="40"/>
    </row>
    <row r="95" spans="14:29" x14ac:dyDescent="0.2">
      <c r="N95" s="5"/>
      <c r="O95" s="5"/>
      <c r="P95" s="35"/>
      <c r="Q95" s="36"/>
      <c r="R95" s="36"/>
      <c r="S95" s="36"/>
      <c r="T95" s="5"/>
      <c r="U95" s="36"/>
      <c r="V95" s="36"/>
      <c r="W95" s="35"/>
      <c r="X95" s="36"/>
      <c r="Y95" s="36"/>
      <c r="Z95" s="36"/>
      <c r="AA95" s="5"/>
      <c r="AC95" s="40"/>
    </row>
    <row r="96" spans="14:29" x14ac:dyDescent="0.2">
      <c r="N96" s="5"/>
      <c r="O96" s="5"/>
      <c r="P96" s="35"/>
      <c r="Q96" s="36"/>
      <c r="R96" s="36"/>
      <c r="S96" s="36"/>
      <c r="T96" s="5"/>
      <c r="U96" s="36"/>
      <c r="V96" s="36"/>
      <c r="W96" s="35"/>
      <c r="X96" s="36"/>
      <c r="Y96" s="36"/>
      <c r="Z96" s="36"/>
      <c r="AA96" s="5"/>
      <c r="AC96" s="40"/>
    </row>
    <row r="97" spans="14:29" x14ac:dyDescent="0.2">
      <c r="N97" s="5"/>
      <c r="O97" s="5"/>
      <c r="P97" s="35"/>
      <c r="Q97" s="36"/>
      <c r="R97" s="36"/>
      <c r="S97" s="36"/>
      <c r="T97" s="5"/>
      <c r="U97" s="36"/>
      <c r="V97" s="36"/>
      <c r="W97" s="35"/>
      <c r="X97" s="36"/>
      <c r="Y97" s="36"/>
      <c r="Z97" s="36"/>
      <c r="AA97" s="5"/>
      <c r="AC97" s="40"/>
    </row>
    <row r="98" spans="14:29" x14ac:dyDescent="0.2">
      <c r="N98" s="5"/>
      <c r="O98" s="5"/>
      <c r="P98" s="35"/>
      <c r="Q98" s="36"/>
      <c r="R98" s="36"/>
      <c r="S98" s="36"/>
      <c r="T98" s="5"/>
      <c r="U98" s="36"/>
      <c r="V98" s="36"/>
      <c r="W98" s="35"/>
      <c r="X98" s="36"/>
      <c r="Y98" s="36"/>
      <c r="Z98" s="36"/>
      <c r="AA98" s="5"/>
      <c r="AC98" s="40"/>
    </row>
    <row r="99" spans="14:29" x14ac:dyDescent="0.2">
      <c r="N99" s="5"/>
      <c r="O99" s="5"/>
      <c r="P99" s="35"/>
      <c r="Q99" s="36"/>
      <c r="R99" s="36"/>
      <c r="S99" s="36"/>
      <c r="T99" s="5"/>
      <c r="U99" s="36"/>
      <c r="V99" s="36"/>
      <c r="W99" s="35"/>
      <c r="X99" s="36"/>
      <c r="Y99" s="36"/>
      <c r="Z99" s="36"/>
      <c r="AA99" s="5"/>
      <c r="AC99" s="40"/>
    </row>
    <row r="100" spans="14:29" x14ac:dyDescent="0.2">
      <c r="N100" s="5"/>
      <c r="O100" s="5"/>
      <c r="P100" s="35"/>
      <c r="Q100" s="36"/>
      <c r="R100" s="36"/>
      <c r="S100" s="36"/>
      <c r="T100" s="5"/>
      <c r="U100" s="36"/>
      <c r="V100" s="36"/>
      <c r="W100" s="35"/>
      <c r="X100" s="36"/>
      <c r="Y100" s="36"/>
      <c r="Z100" s="36"/>
      <c r="AA100" s="5"/>
      <c r="AC100" s="40"/>
    </row>
    <row r="101" spans="14:29" x14ac:dyDescent="0.2">
      <c r="N101" s="5"/>
      <c r="O101" s="5"/>
      <c r="P101" s="35"/>
      <c r="Q101" s="36"/>
      <c r="R101" s="36"/>
      <c r="S101" s="36"/>
      <c r="T101" s="5"/>
      <c r="U101" s="36"/>
      <c r="V101" s="36"/>
      <c r="W101" s="35"/>
      <c r="X101" s="36"/>
      <c r="Y101" s="36"/>
      <c r="Z101" s="36"/>
      <c r="AA101" s="5"/>
      <c r="AC101" s="40"/>
    </row>
    <row r="102" spans="14:29" x14ac:dyDescent="0.2">
      <c r="N102" s="5"/>
      <c r="O102" s="5"/>
      <c r="P102" s="35"/>
      <c r="Q102" s="36"/>
      <c r="R102" s="36"/>
      <c r="S102" s="36"/>
      <c r="T102" s="5"/>
      <c r="U102" s="36"/>
      <c r="V102" s="36"/>
      <c r="W102" s="35"/>
      <c r="X102" s="36"/>
      <c r="Y102" s="36"/>
      <c r="Z102" s="36"/>
      <c r="AA102" s="5"/>
      <c r="AC102" s="40"/>
    </row>
    <row r="103" spans="14:29" x14ac:dyDescent="0.2">
      <c r="N103" s="5"/>
      <c r="O103" s="5"/>
      <c r="P103" s="35"/>
      <c r="Q103" s="36"/>
      <c r="R103" s="36"/>
      <c r="S103" s="36"/>
      <c r="T103" s="5"/>
      <c r="U103" s="36"/>
      <c r="V103" s="36"/>
      <c r="W103" s="35"/>
      <c r="X103" s="36"/>
      <c r="Y103" s="36"/>
      <c r="Z103" s="36"/>
      <c r="AA103" s="5"/>
      <c r="AC103" s="40"/>
    </row>
    <row r="104" spans="14:29" x14ac:dyDescent="0.2">
      <c r="N104" s="5"/>
      <c r="O104" s="5"/>
      <c r="P104" s="35"/>
      <c r="Q104" s="36"/>
      <c r="R104" s="36"/>
      <c r="S104" s="36"/>
      <c r="T104" s="5"/>
      <c r="U104" s="36"/>
      <c r="V104" s="36"/>
      <c r="W104" s="35"/>
      <c r="X104" s="36"/>
      <c r="Y104" s="36"/>
      <c r="Z104" s="36"/>
      <c r="AA104" s="5"/>
      <c r="AC104" s="40"/>
    </row>
    <row r="105" spans="14:29" x14ac:dyDescent="0.2">
      <c r="N105" s="5"/>
      <c r="O105" s="5"/>
      <c r="P105" s="35"/>
      <c r="Q105" s="36"/>
      <c r="R105" s="36"/>
      <c r="S105" s="36"/>
      <c r="T105" s="5"/>
      <c r="U105" s="36"/>
      <c r="V105" s="36"/>
      <c r="W105" s="35"/>
      <c r="X105" s="36"/>
      <c r="Y105" s="36"/>
      <c r="Z105" s="36"/>
      <c r="AA105" s="5"/>
      <c r="AC105" s="40"/>
    </row>
    <row r="106" spans="14:29" x14ac:dyDescent="0.2">
      <c r="N106" s="5"/>
      <c r="O106" s="5"/>
      <c r="P106" s="35"/>
      <c r="Q106" s="36"/>
      <c r="R106" s="36"/>
      <c r="S106" s="36"/>
      <c r="T106" s="5"/>
      <c r="U106" s="36"/>
      <c r="V106" s="36"/>
      <c r="W106" s="35"/>
      <c r="X106" s="36"/>
      <c r="Y106" s="36"/>
      <c r="Z106" s="36"/>
      <c r="AA106" s="5"/>
      <c r="AC106" s="40"/>
    </row>
    <row r="107" spans="14:29" x14ac:dyDescent="0.2">
      <c r="N107" s="5"/>
      <c r="O107" s="5"/>
      <c r="P107" s="35"/>
      <c r="Q107" s="36"/>
      <c r="R107" s="36"/>
      <c r="S107" s="36"/>
      <c r="T107" s="5"/>
      <c r="U107" s="36"/>
      <c r="V107" s="36"/>
      <c r="W107" s="35"/>
      <c r="X107" s="36"/>
      <c r="Y107" s="36"/>
      <c r="Z107" s="36"/>
      <c r="AA107" s="5"/>
      <c r="AC107" s="40"/>
    </row>
    <row r="108" spans="14:29" x14ac:dyDescent="0.2">
      <c r="N108" s="5"/>
      <c r="O108" s="5"/>
      <c r="P108" s="35"/>
      <c r="Q108" s="36"/>
      <c r="R108" s="36"/>
      <c r="S108" s="36"/>
      <c r="T108" s="5"/>
      <c r="U108" s="36"/>
      <c r="V108" s="36"/>
      <c r="W108" s="35"/>
      <c r="X108" s="36"/>
      <c r="Y108" s="36"/>
      <c r="Z108" s="36"/>
      <c r="AA108" s="5"/>
      <c r="AC108" s="40"/>
    </row>
    <row r="109" spans="14:29" x14ac:dyDescent="0.2">
      <c r="N109" s="5"/>
      <c r="O109" s="5"/>
      <c r="P109" s="35"/>
      <c r="Q109" s="36"/>
      <c r="R109" s="36"/>
      <c r="S109" s="36"/>
      <c r="T109" s="5"/>
      <c r="U109" s="36"/>
      <c r="V109" s="36"/>
      <c r="W109" s="35"/>
      <c r="X109" s="36"/>
      <c r="Y109" s="36"/>
      <c r="Z109" s="36"/>
      <c r="AA109" s="5"/>
      <c r="AC109" s="40"/>
    </row>
    <row r="110" spans="14:29" x14ac:dyDescent="0.2">
      <c r="N110" s="5"/>
      <c r="O110" s="5"/>
      <c r="P110" s="35"/>
      <c r="Q110" s="36"/>
      <c r="R110" s="36"/>
      <c r="S110" s="36"/>
      <c r="T110" s="5"/>
      <c r="U110" s="36"/>
      <c r="V110" s="36"/>
      <c r="W110" s="35"/>
      <c r="X110" s="36"/>
      <c r="Y110" s="36"/>
      <c r="Z110" s="36"/>
      <c r="AA110" s="5"/>
      <c r="AC110" s="40"/>
    </row>
    <row r="111" spans="14:29" x14ac:dyDescent="0.2">
      <c r="N111" s="5"/>
      <c r="O111" s="5"/>
      <c r="P111" s="35"/>
      <c r="Q111" s="36"/>
      <c r="R111" s="36"/>
      <c r="S111" s="36"/>
      <c r="T111" s="5"/>
      <c r="U111" s="36"/>
      <c r="V111" s="36"/>
      <c r="W111" s="35"/>
      <c r="X111" s="36"/>
      <c r="Y111" s="36"/>
      <c r="Z111" s="36"/>
      <c r="AA111" s="5"/>
      <c r="AC111" s="40"/>
    </row>
    <row r="112" spans="14:29" x14ac:dyDescent="0.2">
      <c r="N112" s="5"/>
      <c r="O112" s="5"/>
      <c r="P112" s="35"/>
      <c r="Q112" s="36"/>
      <c r="R112" s="36"/>
      <c r="S112" s="36"/>
      <c r="T112" s="5"/>
      <c r="U112" s="36"/>
      <c r="V112" s="36"/>
      <c r="W112" s="35"/>
      <c r="X112" s="36"/>
      <c r="Y112" s="36"/>
      <c r="Z112" s="36"/>
      <c r="AA112" s="5"/>
      <c r="AC112" s="40"/>
    </row>
    <row r="113" spans="14:29" x14ac:dyDescent="0.2">
      <c r="N113" s="5"/>
      <c r="O113" s="5"/>
      <c r="P113" s="35"/>
      <c r="Q113" s="36"/>
      <c r="R113" s="36"/>
      <c r="S113" s="36"/>
      <c r="T113" s="5"/>
      <c r="U113" s="36"/>
      <c r="V113" s="36"/>
      <c r="W113" s="35"/>
      <c r="X113" s="36"/>
      <c r="Y113" s="36"/>
      <c r="Z113" s="36"/>
      <c r="AA113" s="5"/>
      <c r="AC113" s="40"/>
    </row>
    <row r="114" spans="14:29" x14ac:dyDescent="0.2">
      <c r="N114" s="5"/>
      <c r="O114" s="5"/>
      <c r="P114" s="35"/>
      <c r="Q114" s="36"/>
      <c r="R114" s="36"/>
      <c r="S114" s="36"/>
      <c r="T114" s="5"/>
      <c r="U114" s="36"/>
      <c r="V114" s="36"/>
      <c r="W114" s="35"/>
      <c r="X114" s="36"/>
      <c r="Y114" s="36"/>
      <c r="Z114" s="36"/>
      <c r="AA114" s="5"/>
      <c r="AC114" s="40"/>
    </row>
  </sheetData>
  <sheetProtection sheet="1" formatCells="0" formatColumns="0" formatRows="0"/>
  <autoFilter ref="B1:AC2" xr:uid="{00000000-0009-0000-0000-000003000000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sortState xmlns:xlrd2="http://schemas.microsoft.com/office/spreadsheetml/2017/richdata2" ref="B3:AC51">
      <sortCondition ref="F1:F37"/>
    </sortState>
  </autoFilter>
  <mergeCells count="17">
    <mergeCell ref="A1:A2"/>
    <mergeCell ref="N1:N2"/>
    <mergeCell ref="O1:O2"/>
    <mergeCell ref="P1:V1"/>
    <mergeCell ref="W1:AC1"/>
    <mergeCell ref="B1:B2"/>
    <mergeCell ref="C1:C2"/>
    <mergeCell ref="D1:D2"/>
    <mergeCell ref="E1:E2"/>
    <mergeCell ref="F1:F2"/>
    <mergeCell ref="H1:H2"/>
    <mergeCell ref="I1:I2"/>
    <mergeCell ref="J1:J2"/>
    <mergeCell ref="L1:L2"/>
    <mergeCell ref="M1:M2"/>
    <mergeCell ref="K1:K2"/>
    <mergeCell ref="G1:G2"/>
  </mergeCells>
  <conditionalFormatting sqref="A1:XFD1048576">
    <cfRule type="expression" dxfId="71" priority="5">
      <formula>IF($F1="17-21",1,0)</formula>
    </cfRule>
    <cfRule type="expression" dxfId="70" priority="6">
      <formula>IF($F1="15-16",1,0)</formula>
    </cfRule>
    <cfRule type="expression" dxfId="69" priority="7">
      <formula>IF($F1="13-14",1,0)</formula>
    </cfRule>
    <cfRule type="expression" dxfId="68" priority="8">
      <formula>IF($F1="11-12",1,0)</formula>
    </cfRule>
  </conditionalFormatting>
  <conditionalFormatting sqref="G1:G1048576">
    <cfRule type="expression" dxfId="67" priority="1">
      <formula>IF($F1="17-21",1,0)</formula>
    </cfRule>
    <cfRule type="expression" dxfId="66" priority="2">
      <formula>IF($F1="15-16",1,0)</formula>
    </cfRule>
    <cfRule type="expression" dxfId="65" priority="3">
      <formula>IF($F1="13-14",1,0)</formula>
    </cfRule>
    <cfRule type="expression" dxfId="64" priority="4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103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43" style="38" bestFit="1" customWidth="1"/>
    <col min="3" max="3" width="8.6640625" style="38" bestFit="1" customWidth="1"/>
    <col min="4" max="4" width="39.16406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18.83203125" style="3" customWidth="1"/>
    <col min="12" max="12" width="18.33203125" style="42" bestFit="1" customWidth="1"/>
    <col min="13" max="13" width="18.6640625" style="42" bestFit="1" customWidth="1"/>
    <col min="14" max="14" width="15.6640625" bestFit="1" customWidth="1"/>
    <col min="15" max="15" width="18.6640625" bestFit="1" customWidth="1"/>
    <col min="16" max="16" width="8.33203125" style="37" bestFit="1" customWidth="1"/>
    <col min="17" max="17" width="11.1640625" style="38" bestFit="1" customWidth="1"/>
    <col min="18" max="18" width="6.6640625" style="38" bestFit="1" customWidth="1"/>
    <col min="19" max="19" width="11" style="38" bestFit="1" customWidth="1"/>
    <col min="20" max="20" width="8.33203125" style="37" bestFit="1" customWidth="1"/>
    <col min="21" max="21" width="11.1640625" style="38" bestFit="1" customWidth="1"/>
    <col min="22" max="22" width="6.6640625" style="38" bestFit="1" customWidth="1"/>
    <col min="23" max="23" width="9" style="41" bestFit="1" customWidth="1"/>
  </cols>
  <sheetData>
    <row r="1" spans="1:23" s="6" customFormat="1" x14ac:dyDescent="0.2">
      <c r="A1" s="65" t="s">
        <v>56</v>
      </c>
      <c r="B1" s="65" t="s">
        <v>0</v>
      </c>
      <c r="C1" s="65" t="s">
        <v>1</v>
      </c>
      <c r="D1" s="70" t="s">
        <v>2</v>
      </c>
      <c r="E1" s="72" t="s">
        <v>31</v>
      </c>
      <c r="F1" s="65" t="s">
        <v>32</v>
      </c>
      <c r="G1" s="65" t="s">
        <v>304</v>
      </c>
      <c r="H1" s="68" t="s">
        <v>44</v>
      </c>
      <c r="I1" s="65" t="s">
        <v>40</v>
      </c>
      <c r="J1" s="65" t="s">
        <v>41</v>
      </c>
      <c r="K1" s="65" t="s">
        <v>70</v>
      </c>
      <c r="L1" s="65" t="s">
        <v>43</v>
      </c>
      <c r="M1" s="65" t="s">
        <v>42</v>
      </c>
      <c r="N1" s="65" t="s">
        <v>114</v>
      </c>
      <c r="O1" s="65" t="s">
        <v>55</v>
      </c>
      <c r="P1" s="67" t="s">
        <v>121</v>
      </c>
      <c r="Q1" s="67"/>
      <c r="R1" s="67"/>
      <c r="S1" s="67"/>
      <c r="T1" s="67" t="s">
        <v>122</v>
      </c>
      <c r="U1" s="67"/>
      <c r="V1" s="67"/>
      <c r="W1" s="67"/>
    </row>
    <row r="2" spans="1:23" s="7" customFormat="1" ht="17" thickBot="1" x14ac:dyDescent="0.25">
      <c r="A2" s="66"/>
      <c r="B2" s="66"/>
      <c r="C2" s="66"/>
      <c r="D2" s="71"/>
      <c r="E2" s="73"/>
      <c r="F2" s="66"/>
      <c r="G2" s="66"/>
      <c r="H2" s="69"/>
      <c r="I2" s="66"/>
      <c r="J2" s="66"/>
      <c r="K2" s="66"/>
      <c r="L2" s="66"/>
      <c r="M2" s="66"/>
      <c r="N2" s="66"/>
      <c r="O2" s="66"/>
      <c r="P2" s="8" t="s">
        <v>35</v>
      </c>
      <c r="Q2" s="7" t="s">
        <v>36</v>
      </c>
      <c r="R2" s="7" t="s">
        <v>37</v>
      </c>
      <c r="S2" s="7" t="s">
        <v>39</v>
      </c>
      <c r="T2" s="8" t="s">
        <v>35</v>
      </c>
      <c r="U2" s="7" t="s">
        <v>36</v>
      </c>
      <c r="V2" s="7" t="s">
        <v>37</v>
      </c>
      <c r="W2" s="9" t="s">
        <v>39</v>
      </c>
    </row>
    <row r="3" spans="1:23" ht="17" thickTop="1" x14ac:dyDescent="0.2">
      <c r="A3" s="1" t="str">
        <f>IF(M3&lt;&gt;"",SUMPRODUCT((M$3:M$15&lt;&gt;"")*(F$3:F$15=F3)*(M$3:M$15&lt;M3))+1,IF(L3&lt;&gt;"",SUMPRODUCT((M$3:M$15&lt;&gt;"")*(F$3:F$15=F3))+SUMPRODUCT((L$3:L$15&lt;&gt;"")*(F$3:F$15=F3)*(L$3:L$15&lt;L3))+1,IF(K3="P",SUMPRODUCT((L$3:L$15&lt;&gt;"")*(F$3:F$15=F3))+SUMPRODUCT((M$3:M$15&lt;&gt;"")*(F$3:F$15=F3))+1+SUMPRODUCT((K$3:K$15="P")*(F$3:F$15=F3)*(H$3:H$15&gt;H3)*(L$3:L$15="")*(M$3:M$15="")),"")))</f>
        <v/>
      </c>
      <c r="B3" s="38" t="s">
        <v>145</v>
      </c>
      <c r="C3" s="38" t="s">
        <v>12</v>
      </c>
      <c r="D3" s="38" t="s">
        <v>15</v>
      </c>
      <c r="E3" s="37">
        <v>2004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15-16</v>
      </c>
      <c r="G3" s="56"/>
      <c r="H3" s="4">
        <f>SUM(N3:O3)</f>
        <v>89.525000000000006</v>
      </c>
      <c r="I3" s="3" t="str">
        <f>IF(MAX(P3,R3,T3,V3)&gt;=LOOKUP(F3,'Qualifying Scores'!$A$4:$A$7,'Qualifying Scores'!$D$4:$D$7),"P","")</f>
        <v>P</v>
      </c>
      <c r="J3" s="3" t="str">
        <f>IF(MAX(Q3,R3,U3,W3)&gt;=LOOKUP(F3,'Qualifying Scores'!$A$10:$A$13,'Qualifying Scores'!$D$10:$D$13),"P","")</f>
        <v>P</v>
      </c>
      <c r="K3" s="3" t="str">
        <f>IF(OR(AND(P3&gt;=LOOKUP(F3,'Qualifying Scores'!$A$4:$A$7,'Qualifying Scores'!$D$4:$D$7),Q3&gt;=LOOKUP(F3,'Qualifying Scores'!$A$10:$A$13,'Qualifying Scores'!$D$10:$D$13)),AND(R3&gt;=LOOKUP(F3,'Qualifying Scores'!$A$4:$A$7,'Qualifying Scores'!$D$4:$D$7),S3&gt;=LOOKUP(F3,'Qualifying Scores'!$A$10:$A$13,'Qualifying Scores'!$D$10:$D$13)),AND(T3&gt;=LOOKUP(F3,'Qualifying Scores'!$A$4:$A$7,'Qualifying Scores'!$D$4:$D$7),U3&gt;=LOOKUP(F3,'Qualifying Scores'!$A$10:$A$13,'Qualifying Scores'!$D$10:$D$13)),AND(V3&gt;=LOOKUP(F3,'Qualifying Scores'!$A$4:$A$7,'Qualifying Scores'!$D$4:$D$7),W3&gt;=LOOKUP(F3,'Qualifying Scores'!$A$10:$A$13,'Qualifying Scores'!$D$10:$D$13))),"P","")</f>
        <v/>
      </c>
      <c r="N3" s="4">
        <f>MAX(P3,T3)</f>
        <v>45.36</v>
      </c>
      <c r="O3" s="4">
        <f>IF(N3=P3,MAX(R3,T3,V3),MAX(P3,R3,V3))</f>
        <v>44.164999999999999</v>
      </c>
      <c r="P3" s="33">
        <v>43.454999999999998</v>
      </c>
      <c r="Q3" s="44">
        <v>8.6999999999999993</v>
      </c>
      <c r="R3" s="34">
        <v>44.164999999999999</v>
      </c>
      <c r="S3" s="44">
        <v>8.6999999999999993</v>
      </c>
      <c r="T3" s="33">
        <v>45.36</v>
      </c>
      <c r="U3" s="44">
        <v>9.6</v>
      </c>
      <c r="V3" s="34">
        <v>42.88</v>
      </c>
      <c r="W3" s="39">
        <v>9.6</v>
      </c>
    </row>
    <row r="4" spans="1:23" x14ac:dyDescent="0.2">
      <c r="A4" s="1" t="str">
        <f t="shared" ref="A4:A9" si="0">IF(M4&lt;&gt;"",SUMPRODUCT((M$3:M$15&lt;&gt;"")*(F$3:F$15=F4)*(M$3:M$15&lt;M4))+1,IF(L4&lt;&gt;"",SUMPRODUCT((M$3:M$15&lt;&gt;"")*(F$3:F$15=F4))+SUMPRODUCT((L$3:L$15&lt;&gt;"")*(F$3:F$15=F4)*(L$3:L$15&lt;L4))+1,IF(K4="P",SUMPRODUCT((L$3:L$15&lt;&gt;"")*(F$3:F$15=F4))+SUMPRODUCT((M$3:M$15&lt;&gt;"")*(F$3:F$15=F4))+1+SUMPRODUCT((K$3:K$15="P")*(F$3:F$15=F4)*(H$3:H$15&gt;H4)*(L$3:L$15="")*(M$3:M$15="")),"")))</f>
        <v/>
      </c>
      <c r="B4" s="38" t="s">
        <v>150</v>
      </c>
      <c r="C4" s="38" t="s">
        <v>8</v>
      </c>
      <c r="D4" s="38" t="s">
        <v>149</v>
      </c>
      <c r="E4" s="37">
        <v>2003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15-16</v>
      </c>
      <c r="G4" s="56"/>
      <c r="H4" s="4">
        <f>SUM(N4:O4)</f>
        <v>68.495000000000005</v>
      </c>
      <c r="I4" s="3" t="str">
        <f>IF(MAX(P4,R4,T4,V4)&gt;=LOOKUP(F4,'Qualifying Scores'!$A$4:$A$7,'Qualifying Scores'!$D$4:$D$7),"P","")</f>
        <v/>
      </c>
      <c r="J4" s="3" t="str">
        <f>IF(MAX(Q4,R4,U4,W4)&gt;=LOOKUP(F4,'Qualifying Scores'!$A$10:$A$13,'Qualifying Scores'!$D$10:$D$13),"P","")</f>
        <v>P</v>
      </c>
      <c r="K4" s="3" t="str">
        <f>IF(OR(AND(P4&gt;=LOOKUP(F4,'Qualifying Scores'!$A$4:$A$7,'Qualifying Scores'!$D$4:$D$7),Q4&gt;=LOOKUP(F4,'Qualifying Scores'!$A$10:$A$13,'Qualifying Scores'!$D$10:$D$13)),AND(R4&gt;=LOOKUP(F4,'Qualifying Scores'!$A$4:$A$7,'Qualifying Scores'!$D$4:$D$7),S4&gt;=LOOKUP(F4,'Qualifying Scores'!$A$10:$A$13,'Qualifying Scores'!$D$10:$D$13)),AND(T4&gt;=LOOKUP(F4,'Qualifying Scores'!$A$4:$A$7,'Qualifying Scores'!$D$4:$D$7),U4&gt;=LOOKUP(F4,'Qualifying Scores'!$A$10:$A$13,'Qualifying Scores'!$D$10:$D$13)),AND(V4&gt;=LOOKUP(F4,'Qualifying Scores'!$A$4:$A$7,'Qualifying Scores'!$D$4:$D$7),W4&gt;=LOOKUP(F4,'Qualifying Scores'!$A$10:$A$13,'Qualifying Scores'!$D$10:$D$13))),"P","")</f>
        <v/>
      </c>
      <c r="N4" s="4">
        <f>MAX(P4,T4)</f>
        <v>41.95</v>
      </c>
      <c r="O4" s="4">
        <f>IF(N4=P4,MAX(R4,T4,V4),MAX(P4,R4,V4))</f>
        <v>26.545000000000002</v>
      </c>
      <c r="P4" s="33">
        <v>41.95</v>
      </c>
      <c r="Q4" s="44">
        <v>9.1999999999999993</v>
      </c>
      <c r="R4" s="34">
        <v>26.545000000000002</v>
      </c>
      <c r="S4" s="44">
        <v>6.1</v>
      </c>
      <c r="T4" s="33"/>
      <c r="U4" s="44"/>
      <c r="V4" s="34"/>
      <c r="W4" s="39"/>
    </row>
    <row r="5" spans="1:23" x14ac:dyDescent="0.2">
      <c r="A5" s="1" t="str">
        <f t="shared" si="0"/>
        <v/>
      </c>
      <c r="B5" s="38" t="s">
        <v>144</v>
      </c>
      <c r="C5" s="38" t="s">
        <v>6</v>
      </c>
      <c r="D5" s="38" t="s">
        <v>143</v>
      </c>
      <c r="E5" s="37">
        <v>2001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17-21</v>
      </c>
      <c r="G5" s="56"/>
      <c r="H5" s="4">
        <f>SUM(N5:O5)</f>
        <v>89.564999999999998</v>
      </c>
      <c r="I5" s="3" t="str">
        <f>IF(MAX(P5,R5,T5,V5)&gt;=LOOKUP(F5,'Qualifying Scores'!$A$4:$A$7,'Qualifying Scores'!$D$4:$D$7),"P","")</f>
        <v/>
      </c>
      <c r="J5" s="3" t="str">
        <f>IF(MAX(Q5,R5,U5,W5)&gt;=LOOKUP(F5,'Qualifying Scores'!$A$10:$A$13,'Qualifying Scores'!$D$10:$D$13),"P","")</f>
        <v>P</v>
      </c>
      <c r="K5" s="3" t="str">
        <f>IF(OR(AND(P5&gt;=LOOKUP(F5,'Qualifying Scores'!$A$4:$A$7,'Qualifying Scores'!$D$4:$D$7),Q5&gt;=LOOKUP(F5,'Qualifying Scores'!$A$10:$A$13,'Qualifying Scores'!$D$10:$D$13)),AND(R5&gt;=LOOKUP(F5,'Qualifying Scores'!$A$4:$A$7,'Qualifying Scores'!$D$4:$D$7),S5&gt;=LOOKUP(F5,'Qualifying Scores'!$A$10:$A$13,'Qualifying Scores'!$D$10:$D$13)),AND(T5&gt;=LOOKUP(F5,'Qualifying Scores'!$A$4:$A$7,'Qualifying Scores'!$D$4:$D$7),U5&gt;=LOOKUP(F5,'Qualifying Scores'!$A$10:$A$13,'Qualifying Scores'!$D$10:$D$13)),AND(V5&gt;=LOOKUP(F5,'Qualifying Scores'!$A$4:$A$7,'Qualifying Scores'!$D$4:$D$7),W5&gt;=LOOKUP(F5,'Qualifying Scores'!$A$10:$A$13,'Qualifying Scores'!$D$10:$D$13))),"P","")</f>
        <v/>
      </c>
      <c r="N5" s="4">
        <f>MAX(P5,T5)</f>
        <v>44.74</v>
      </c>
      <c r="O5" s="4">
        <f>IF(N5=P5,MAX(R5,T5,V5),MAX(P5,R5,V5))</f>
        <v>44.825000000000003</v>
      </c>
      <c r="P5" s="33">
        <v>44.74</v>
      </c>
      <c r="Q5" s="44">
        <v>10.6</v>
      </c>
      <c r="R5" s="34">
        <v>44.825000000000003</v>
      </c>
      <c r="S5" s="44">
        <v>10.6</v>
      </c>
      <c r="T5" s="33">
        <v>41.69</v>
      </c>
      <c r="U5" s="44">
        <v>10.4</v>
      </c>
      <c r="V5" s="34">
        <v>43.02</v>
      </c>
      <c r="W5" s="39">
        <v>10.6</v>
      </c>
    </row>
    <row r="6" spans="1:23" x14ac:dyDescent="0.2">
      <c r="A6" s="1" t="str">
        <f t="shared" si="0"/>
        <v/>
      </c>
      <c r="B6" s="38" t="s">
        <v>151</v>
      </c>
      <c r="C6" s="38" t="s">
        <v>4</v>
      </c>
      <c r="D6" s="38" t="s">
        <v>140</v>
      </c>
      <c r="E6" s="37">
        <v>2002</v>
      </c>
      <c r="F6" s="1" t="str">
        <f>IF('Qualifying Scores'!$B$1-E6&gt;21,"Not Age Eligible",IF('Qualifying Scores'!$B$1-E6&gt;16,"17-21",IF('Qualifying Scores'!$B$1-E6&gt;14,"15-16",IF('Qualifying Scores'!$B$1-E6&gt;12,"13-14",IF('Qualifying Scores'!$B$1-E6&gt;10,"11-12,""Not Age Eligible")))))</f>
        <v>17-21</v>
      </c>
      <c r="G6" s="56"/>
      <c r="H6" s="4">
        <f>SUM(N6:O6)</f>
        <v>89.449999999999989</v>
      </c>
      <c r="I6" s="3" t="str">
        <f>IF(MAX(P6,R6,T6,V6)&gt;=LOOKUP(F6,'Qualifying Scores'!$A$4:$A$7,'Qualifying Scores'!$D$4:$D$7),"P","")</f>
        <v/>
      </c>
      <c r="J6" s="3" t="str">
        <f>IF(MAX(Q6,R6,U6,W6)&gt;=LOOKUP(F6,'Qualifying Scores'!$A$10:$A$13,'Qualifying Scores'!$D$10:$D$13),"P","")</f>
        <v>P</v>
      </c>
      <c r="K6" s="3" t="str">
        <f>IF(OR(AND(P6&gt;=LOOKUP(F6,'Qualifying Scores'!$A$4:$A$7,'Qualifying Scores'!$D$4:$D$7),Q6&gt;=LOOKUP(F6,'Qualifying Scores'!$A$10:$A$13,'Qualifying Scores'!$D$10:$D$13)),AND(R6&gt;=LOOKUP(F6,'Qualifying Scores'!$A$4:$A$7,'Qualifying Scores'!$D$4:$D$7),S6&gt;=LOOKUP(F6,'Qualifying Scores'!$A$10:$A$13,'Qualifying Scores'!$D$10:$D$13)),AND(T6&gt;=LOOKUP(F6,'Qualifying Scores'!$A$4:$A$7,'Qualifying Scores'!$D$4:$D$7),U6&gt;=LOOKUP(F6,'Qualifying Scores'!$A$10:$A$13,'Qualifying Scores'!$D$10:$D$13)),AND(V6&gt;=LOOKUP(F6,'Qualifying Scores'!$A$4:$A$7,'Qualifying Scores'!$D$4:$D$7),W6&gt;=LOOKUP(F6,'Qualifying Scores'!$A$10:$A$13,'Qualifying Scores'!$D$10:$D$13))),"P","")</f>
        <v/>
      </c>
      <c r="N6" s="4">
        <f>MAX(P6,T6)</f>
        <v>45.26</v>
      </c>
      <c r="O6" s="4">
        <f>IF(N6=P6,MAX(R6,T6,V6),MAX(P6,R6,V6))</f>
        <v>44.19</v>
      </c>
      <c r="P6" s="33">
        <v>39.284999999999997</v>
      </c>
      <c r="Q6" s="44">
        <v>10</v>
      </c>
      <c r="R6" s="34">
        <v>33.255000000000003</v>
      </c>
      <c r="S6" s="44">
        <v>9.4</v>
      </c>
      <c r="T6" s="33">
        <v>45.26</v>
      </c>
      <c r="U6" s="44">
        <v>11.6</v>
      </c>
      <c r="V6" s="34">
        <v>44.19</v>
      </c>
      <c r="W6" s="39">
        <v>10.6</v>
      </c>
    </row>
    <row r="7" spans="1:23" x14ac:dyDescent="0.2">
      <c r="A7" s="1" t="str">
        <f t="shared" si="0"/>
        <v/>
      </c>
      <c r="B7" s="38" t="s">
        <v>306</v>
      </c>
      <c r="C7" s="38" t="s">
        <v>12</v>
      </c>
      <c r="D7" s="38" t="s">
        <v>15</v>
      </c>
      <c r="E7" s="37">
        <v>2000</v>
      </c>
      <c r="F7" s="1" t="str">
        <f>IF('Qualifying Scores'!$B$1-E7&gt;21,"Not Age Eligible",IF('Qualifying Scores'!$B$1-E7&gt;16,"17-21",IF('Qualifying Scores'!$B$1-E7&gt;14,"15-16",IF('Qualifying Scores'!$B$1-E7&gt;12,"13-14",IF('Qualifying Scores'!$B$1-E7&gt;10,"11-12,""Not Age Eligible")))))</f>
        <v>17-21</v>
      </c>
      <c r="G7" s="56"/>
      <c r="H7" s="4">
        <f>SUM(N7:O7)</f>
        <v>86.62</v>
      </c>
      <c r="I7" s="3" t="str">
        <f>IF(MAX(P7,R7,T7,V7)&gt;=LOOKUP(F7,'Qualifying Scores'!$A$4:$A$7,'Qualifying Scores'!$D$4:$D$7),"P","")</f>
        <v/>
      </c>
      <c r="J7" s="3" t="str">
        <f>IF(MAX(Q7,R7,U7,W7)&gt;=LOOKUP(F7,'Qualifying Scores'!$A$10:$A$13,'Qualifying Scores'!$D$10:$D$13),"P","")</f>
        <v/>
      </c>
      <c r="K7" s="3" t="str">
        <f>IF(OR(AND(P7&gt;=LOOKUP(F7,'Qualifying Scores'!$A$4:$A$7,'Qualifying Scores'!$D$4:$D$7),Q7&gt;=LOOKUP(F7,'Qualifying Scores'!$A$10:$A$13,'Qualifying Scores'!$D$10:$D$13)),AND(R7&gt;=LOOKUP(F7,'Qualifying Scores'!$A$4:$A$7,'Qualifying Scores'!$D$4:$D$7),S7&gt;=LOOKUP(F7,'Qualifying Scores'!$A$10:$A$13,'Qualifying Scores'!$D$10:$D$13)),AND(T7&gt;=LOOKUP(F7,'Qualifying Scores'!$A$4:$A$7,'Qualifying Scores'!$D$4:$D$7),U7&gt;=LOOKUP(F7,'Qualifying Scores'!$A$10:$A$13,'Qualifying Scores'!$D$10:$D$13)),AND(V7&gt;=LOOKUP(F7,'Qualifying Scores'!$A$4:$A$7,'Qualifying Scores'!$D$4:$D$7),W7&gt;=LOOKUP(F7,'Qualifying Scores'!$A$10:$A$13,'Qualifying Scores'!$D$10:$D$13))),"P","")</f>
        <v/>
      </c>
      <c r="N7" s="4">
        <f>MAX(P7,T7)</f>
        <v>43.4</v>
      </c>
      <c r="O7" s="4">
        <f>IF(N7=P7,MAX(R7,T7,V7),MAX(P7,R7,V7))</f>
        <v>43.22</v>
      </c>
      <c r="P7" s="33"/>
      <c r="Q7" s="44"/>
      <c r="R7" s="34"/>
      <c r="S7" s="44"/>
      <c r="T7" s="33">
        <v>43.4</v>
      </c>
      <c r="U7" s="44">
        <v>8.1</v>
      </c>
      <c r="V7" s="34">
        <v>43.22</v>
      </c>
      <c r="W7" s="39">
        <v>7.6</v>
      </c>
    </row>
    <row r="8" spans="1:23" x14ac:dyDescent="0.2">
      <c r="A8" s="1" t="str">
        <f t="shared" si="0"/>
        <v/>
      </c>
      <c r="B8" s="38" t="s">
        <v>147</v>
      </c>
      <c r="C8" s="38" t="s">
        <v>4</v>
      </c>
      <c r="D8" s="38" t="s">
        <v>146</v>
      </c>
      <c r="E8" s="37">
        <v>1998</v>
      </c>
      <c r="F8" s="1" t="str">
        <f>IF('Qualifying Scores'!$B$1-E8&gt;21,"Not Age Eligible",IF('Qualifying Scores'!$B$1-E8&gt;16,"17-21",IF('Qualifying Scores'!$B$1-E8&gt;14,"15-16",IF('Qualifying Scores'!$B$1-E8&gt;12,"13-14",IF('Qualifying Scores'!$B$1-E8&gt;10,"11-12,""Not Age Eligible")))))</f>
        <v>17-21</v>
      </c>
      <c r="G8" s="56"/>
      <c r="H8" s="4">
        <f>SUM(N8:O8)</f>
        <v>84.405000000000001</v>
      </c>
      <c r="I8" s="3" t="str">
        <f>IF(MAX(P8,R8,T8,V8)&gt;=LOOKUP(F8,'Qualifying Scores'!$A$4:$A$7,'Qualifying Scores'!$D$4:$D$7),"P","")</f>
        <v/>
      </c>
      <c r="J8" s="3" t="str">
        <f>IF(MAX(Q8,R8,U8,W8)&gt;=LOOKUP(F8,'Qualifying Scores'!$A$10:$A$13,'Qualifying Scores'!$D$10:$D$13),"P","")</f>
        <v>P</v>
      </c>
      <c r="K8" s="3" t="str">
        <f>IF(OR(AND(P8&gt;=LOOKUP(F8,'Qualifying Scores'!$A$4:$A$7,'Qualifying Scores'!$D$4:$D$7),Q8&gt;=LOOKUP(F8,'Qualifying Scores'!$A$10:$A$13,'Qualifying Scores'!$D$10:$D$13)),AND(R8&gt;=LOOKUP(F8,'Qualifying Scores'!$A$4:$A$7,'Qualifying Scores'!$D$4:$D$7),S8&gt;=LOOKUP(F8,'Qualifying Scores'!$A$10:$A$13,'Qualifying Scores'!$D$10:$D$13)),AND(T8&gt;=LOOKUP(F8,'Qualifying Scores'!$A$4:$A$7,'Qualifying Scores'!$D$4:$D$7),U8&gt;=LOOKUP(F8,'Qualifying Scores'!$A$10:$A$13,'Qualifying Scores'!$D$10:$D$13)),AND(V8&gt;=LOOKUP(F8,'Qualifying Scores'!$A$4:$A$7,'Qualifying Scores'!$D$4:$D$7),W8&gt;=LOOKUP(F8,'Qualifying Scores'!$A$10:$A$13,'Qualifying Scores'!$D$10:$D$13))),"P","")</f>
        <v/>
      </c>
      <c r="N8" s="4">
        <f>MAX(P8,T8)</f>
        <v>41.4</v>
      </c>
      <c r="O8" s="4">
        <f>IF(N8=P8,MAX(R8,T8,V8),MAX(P8,R8,V8))</f>
        <v>43.005000000000003</v>
      </c>
      <c r="P8" s="33">
        <v>41.4</v>
      </c>
      <c r="Q8" s="44">
        <v>9.4</v>
      </c>
      <c r="R8" s="34">
        <v>43.005000000000003</v>
      </c>
      <c r="S8" s="44">
        <v>9.4</v>
      </c>
      <c r="T8" s="33"/>
      <c r="U8" s="44"/>
      <c r="V8" s="34"/>
      <c r="W8" s="39"/>
    </row>
    <row r="9" spans="1:23" x14ac:dyDescent="0.2">
      <c r="A9" s="1" t="str">
        <f t="shared" si="0"/>
        <v/>
      </c>
      <c r="B9" s="38" t="s">
        <v>307</v>
      </c>
      <c r="C9" s="38" t="s">
        <v>4</v>
      </c>
      <c r="D9" s="38" t="s">
        <v>92</v>
      </c>
      <c r="E9" s="37">
        <v>2001</v>
      </c>
      <c r="F9" s="1" t="str">
        <f>IF('Qualifying Scores'!$B$1-E9&gt;21,"Not Age Eligible",IF('Qualifying Scores'!$B$1-E9&gt;16,"17-21",IF('Qualifying Scores'!$B$1-E9&gt;14,"15-16",IF('Qualifying Scores'!$B$1-E9&gt;12,"13-14",IF('Qualifying Scores'!$B$1-E9&gt;10,"11-12,""Not Age Eligible")))))</f>
        <v>17-21</v>
      </c>
      <c r="G9" s="56"/>
      <c r="H9" s="4">
        <f>SUM(N9:O9)</f>
        <v>81.11</v>
      </c>
      <c r="I9" s="3" t="str">
        <f>IF(MAX(P9,R9,T9,V9)&gt;=LOOKUP(F9,'Qualifying Scores'!$A$4:$A$7,'Qualifying Scores'!$D$4:$D$7),"P","")</f>
        <v/>
      </c>
      <c r="J9" s="3" t="str">
        <f>IF(MAX(Q9,R9,U9,W9)&gt;=LOOKUP(F9,'Qualifying Scores'!$A$10:$A$13,'Qualifying Scores'!$D$10:$D$13),"P","")</f>
        <v/>
      </c>
      <c r="K9" s="3" t="str">
        <f>IF(OR(AND(P9&gt;=LOOKUP(F9,'Qualifying Scores'!$A$4:$A$7,'Qualifying Scores'!$D$4:$D$7),Q9&gt;=LOOKUP(F9,'Qualifying Scores'!$A$10:$A$13,'Qualifying Scores'!$D$10:$D$13)),AND(R9&gt;=LOOKUP(F9,'Qualifying Scores'!$A$4:$A$7,'Qualifying Scores'!$D$4:$D$7),S9&gt;=LOOKUP(F9,'Qualifying Scores'!$A$10:$A$13,'Qualifying Scores'!$D$10:$D$13)),AND(T9&gt;=LOOKUP(F9,'Qualifying Scores'!$A$4:$A$7,'Qualifying Scores'!$D$4:$D$7),U9&gt;=LOOKUP(F9,'Qualifying Scores'!$A$10:$A$13,'Qualifying Scores'!$D$10:$D$13)),AND(V9&gt;=LOOKUP(F9,'Qualifying Scores'!$A$4:$A$7,'Qualifying Scores'!$D$4:$D$7),W9&gt;=LOOKUP(F9,'Qualifying Scores'!$A$10:$A$13,'Qualifying Scores'!$D$10:$D$13))),"P","")</f>
        <v/>
      </c>
      <c r="N9" s="4">
        <f>MAX(P9,T9)</f>
        <v>41.87</v>
      </c>
      <c r="O9" s="4">
        <f>IF(N9=P9,MAX(R9,T9,V9),MAX(P9,R9,V9))</f>
        <v>39.24</v>
      </c>
      <c r="P9" s="33"/>
      <c r="Q9" s="44"/>
      <c r="R9" s="34"/>
      <c r="S9" s="44"/>
      <c r="T9" s="33">
        <v>41.87</v>
      </c>
      <c r="U9" s="44">
        <v>7.1</v>
      </c>
      <c r="V9" s="34">
        <v>39.24</v>
      </c>
      <c r="W9" s="39">
        <v>7.1</v>
      </c>
    </row>
    <row r="10" spans="1:23" x14ac:dyDescent="0.2">
      <c r="A10" s="1" t="str">
        <f t="shared" ref="A10" si="1">IF(M10&lt;&gt;"",SUMPRODUCT((M$3:M$15&lt;&gt;"")*(F$3:F$15=F10)*(M$3:M$15&lt;M10))+1,IF(L10&lt;&gt;"",SUMPRODUCT((M$3:M$15&lt;&gt;"")*(F$3:F$15=F10))+SUMPRODUCT((L$3:L$15&lt;&gt;"")*(F$3:F$15=F10)*(L$3:L$15&lt;L10))+1,IF(K10="P",SUMPRODUCT((L$3:L$15&lt;&gt;"")*(F$3:F$15=F10))+SUMPRODUCT((M$3:M$15&lt;&gt;"")*(F$3:F$15=F10))+1+SUMPRODUCT((K$3:K$15="P")*(F$3:F$15=F10)*(H$3:H$15&gt;H10)*(L$3:L$15="")*(M$3:M$15="")),"")))</f>
        <v/>
      </c>
      <c r="B10" s="38" t="s">
        <v>308</v>
      </c>
      <c r="C10" s="38" t="s">
        <v>6</v>
      </c>
      <c r="D10" s="38" t="s">
        <v>78</v>
      </c>
      <c r="E10" s="37">
        <v>2001</v>
      </c>
      <c r="F10" s="1" t="str">
        <f>IF('Qualifying Scores'!$B$1-E10&gt;21,"Not Age Eligible",IF('Qualifying Scores'!$B$1-E10&gt;16,"17-21",IF('Qualifying Scores'!$B$1-E10&gt;14,"15-16",IF('Qualifying Scores'!$B$1-E10&gt;12,"13-14",IF('Qualifying Scores'!$B$1-E10&gt;10,"11-12,""Not Age Eligible")))))</f>
        <v>17-21</v>
      </c>
      <c r="G10" s="56"/>
      <c r="H10" s="4">
        <f>SUM(N10:O10)</f>
        <v>79.63</v>
      </c>
      <c r="I10" s="3" t="str">
        <f>IF(MAX(P10,R10,T10,V10)&gt;=LOOKUP(F10,'Qualifying Scores'!$A$4:$A$7,'Qualifying Scores'!$D$4:$D$7),"P","")</f>
        <v/>
      </c>
      <c r="J10" s="3" t="str">
        <f>IF(MAX(Q10,R10,U10,W10)&gt;=LOOKUP(F10,'Qualifying Scores'!$A$10:$A$13,'Qualifying Scores'!$D$10:$D$13),"P","")</f>
        <v/>
      </c>
      <c r="K10" s="3" t="str">
        <f>IF(OR(AND(P10&gt;=LOOKUP(F10,'Qualifying Scores'!$A$4:$A$7,'Qualifying Scores'!$D$4:$D$7),Q10&gt;=LOOKUP(F10,'Qualifying Scores'!$A$10:$A$13,'Qualifying Scores'!$D$10:$D$13)),AND(R10&gt;=LOOKUP(F10,'Qualifying Scores'!$A$4:$A$7,'Qualifying Scores'!$D$4:$D$7),S10&gt;=LOOKUP(F10,'Qualifying Scores'!$A$10:$A$13,'Qualifying Scores'!$D$10:$D$13)),AND(T10&gt;=LOOKUP(F10,'Qualifying Scores'!$A$4:$A$7,'Qualifying Scores'!$D$4:$D$7),U10&gt;=LOOKUP(F10,'Qualifying Scores'!$A$10:$A$13,'Qualifying Scores'!$D$10:$D$13)),AND(V10&gt;=LOOKUP(F10,'Qualifying Scores'!$A$4:$A$7,'Qualifying Scores'!$D$4:$D$7),W10&gt;=LOOKUP(F10,'Qualifying Scores'!$A$10:$A$13,'Qualifying Scores'!$D$10:$D$13))),"P","")</f>
        <v/>
      </c>
      <c r="N10" s="4">
        <f>MAX(P10,T10)</f>
        <v>40.619999999999997</v>
      </c>
      <c r="O10" s="4">
        <f>IF(N10=P10,MAX(R10,T10,V10),MAX(P10,R10,V10))</f>
        <v>39.01</v>
      </c>
      <c r="P10" s="33"/>
      <c r="Q10" s="44"/>
      <c r="R10" s="34"/>
      <c r="S10" s="44"/>
      <c r="T10" s="33">
        <v>40.619999999999997</v>
      </c>
      <c r="U10" s="44">
        <v>8.4</v>
      </c>
      <c r="V10" s="34">
        <v>39.01</v>
      </c>
      <c r="W10" s="39">
        <v>9.3000000000000007</v>
      </c>
    </row>
    <row r="11" spans="1:23" x14ac:dyDescent="0.2">
      <c r="A11" s="1" t="str">
        <f t="shared" ref="A11" si="2">IF(M11&lt;&gt;"",SUMPRODUCT((M$3:M$15&lt;&gt;"")*(F$3:F$15=F11)*(M$3:M$15&lt;M11))+1,IF(L11&lt;&gt;"",SUMPRODUCT((M$3:M$15&lt;&gt;"")*(F$3:F$15=F11))+SUMPRODUCT((L$3:L$15&lt;&gt;"")*(F$3:F$15=F11)*(L$3:L$15&lt;L11))+1,IF(K11="P",SUMPRODUCT((L$3:L$15&lt;&gt;"")*(F$3:F$15=F11))+SUMPRODUCT((M$3:M$15&lt;&gt;"")*(F$3:F$15=F11))+1+SUMPRODUCT((K$3:K$15="P")*(F$3:F$15=F11)*(H$3:H$15&gt;H11)*(L$3:L$15="")*(M$3:M$15="")),"")))</f>
        <v/>
      </c>
      <c r="B11" s="38" t="s">
        <v>98</v>
      </c>
      <c r="C11" s="38" t="s">
        <v>12</v>
      </c>
      <c r="D11" s="38" t="s">
        <v>15</v>
      </c>
      <c r="E11" s="37">
        <v>1998</v>
      </c>
      <c r="F11" s="1" t="str">
        <f>IF('Qualifying Scores'!$B$1-E11&gt;21,"Not Age Eligible",IF('Qualifying Scores'!$B$1-E11&gt;16,"17-21",IF('Qualifying Scores'!$B$1-E11&gt;14,"15-16",IF('Qualifying Scores'!$B$1-E11&gt;12,"13-14",IF('Qualifying Scores'!$B$1-E11&gt;10,"11-12,""Not Age Eligible")))))</f>
        <v>17-21</v>
      </c>
      <c r="G11" s="56"/>
      <c r="H11" s="4">
        <f>SUM(N11:O11)</f>
        <v>77.760000000000005</v>
      </c>
      <c r="I11" s="3" t="str">
        <f>IF(MAX(P11,R11,T11,V11)&gt;=LOOKUP(F11,'Qualifying Scores'!$A$4:$A$7,'Qualifying Scores'!$D$4:$D$7),"P","")</f>
        <v/>
      </c>
      <c r="J11" s="3" t="str">
        <f>IF(MAX(Q11,R11,U11,W11)&gt;=LOOKUP(F11,'Qualifying Scores'!$A$10:$A$13,'Qualifying Scores'!$D$10:$D$13),"P","")</f>
        <v>P</v>
      </c>
      <c r="K11" s="3" t="str">
        <f>IF(OR(AND(P11&gt;=LOOKUP(F11,'Qualifying Scores'!$A$4:$A$7,'Qualifying Scores'!$D$4:$D$7),Q11&gt;=LOOKUP(F11,'Qualifying Scores'!$A$10:$A$13,'Qualifying Scores'!$D$10:$D$13)),AND(R11&gt;=LOOKUP(F11,'Qualifying Scores'!$A$4:$A$7,'Qualifying Scores'!$D$4:$D$7),S11&gt;=LOOKUP(F11,'Qualifying Scores'!$A$10:$A$13,'Qualifying Scores'!$D$10:$D$13)),AND(T11&gt;=LOOKUP(F11,'Qualifying Scores'!$A$4:$A$7,'Qualifying Scores'!$D$4:$D$7),U11&gt;=LOOKUP(F11,'Qualifying Scores'!$A$10:$A$13,'Qualifying Scores'!$D$10:$D$13)),AND(V11&gt;=LOOKUP(F11,'Qualifying Scores'!$A$4:$A$7,'Qualifying Scores'!$D$4:$D$7),W11&gt;=LOOKUP(F11,'Qualifying Scores'!$A$10:$A$13,'Qualifying Scores'!$D$10:$D$13))),"P","")</f>
        <v/>
      </c>
      <c r="N11" s="4">
        <f>MAX(P11,T11)</f>
        <v>46.34</v>
      </c>
      <c r="O11" s="4">
        <f>IF(N11=P11,MAX(R11,T11,V11),MAX(P11,R11,V11))</f>
        <v>31.42</v>
      </c>
      <c r="P11" s="33">
        <v>46.34</v>
      </c>
      <c r="Q11" s="44">
        <v>12</v>
      </c>
      <c r="R11" s="34">
        <v>31.42</v>
      </c>
      <c r="S11" s="44">
        <v>8.3000000000000007</v>
      </c>
      <c r="T11" s="33">
        <v>9.26</v>
      </c>
      <c r="U11" s="44">
        <v>2.7</v>
      </c>
      <c r="V11" s="34"/>
      <c r="W11" s="39"/>
    </row>
    <row r="12" spans="1:23" x14ac:dyDescent="0.2">
      <c r="A12" s="1" t="str">
        <f t="shared" ref="A12" si="3">IF(M12&lt;&gt;"",SUMPRODUCT((M$3:M$15&lt;&gt;"")*(F$3:F$15=F12)*(M$3:M$15&lt;M12))+1,IF(L12&lt;&gt;"",SUMPRODUCT((M$3:M$15&lt;&gt;"")*(F$3:F$15=F12))+SUMPRODUCT((L$3:L$15&lt;&gt;"")*(F$3:F$15=F12)*(L$3:L$15&lt;L12))+1,IF(K12="P",SUMPRODUCT((L$3:L$15&lt;&gt;"")*(F$3:F$15=F12))+SUMPRODUCT((M$3:M$15&lt;&gt;"")*(F$3:F$15=F12))+1+SUMPRODUCT((K$3:K$15="P")*(F$3:F$15=F12)*(H$3:H$15&gt;H12)*(L$3:L$15="")*(M$3:M$15="")),"")))</f>
        <v/>
      </c>
      <c r="B12" s="38" t="s">
        <v>97</v>
      </c>
      <c r="C12" s="38" t="s">
        <v>4</v>
      </c>
      <c r="D12" s="38" t="s">
        <v>148</v>
      </c>
      <c r="E12" s="37">
        <v>2001</v>
      </c>
      <c r="F12" s="1" t="str">
        <f>IF('Qualifying Scores'!$B$1-E12&gt;21,"Not Age Eligible",IF('Qualifying Scores'!$B$1-E12&gt;16,"17-21",IF('Qualifying Scores'!$B$1-E12&gt;14,"15-16",IF('Qualifying Scores'!$B$1-E12&gt;12,"13-14",IF('Qualifying Scores'!$B$1-E12&gt;10,"11-12,""Not Age Eligible")))))</f>
        <v>17-21</v>
      </c>
      <c r="G12" s="56"/>
      <c r="H12" s="4">
        <f>SUM(N12:O12)</f>
        <v>69.650000000000006</v>
      </c>
      <c r="I12" s="3" t="str">
        <f>IF(MAX(P12,R12,T12,V12)&gt;=LOOKUP(F12,'Qualifying Scores'!$A$4:$A$7,'Qualifying Scores'!$D$4:$D$7),"P","")</f>
        <v/>
      </c>
      <c r="J12" s="3" t="str">
        <f>IF(MAX(Q12,R12,U12,W12)&gt;=LOOKUP(F12,'Qualifying Scores'!$A$10:$A$13,'Qualifying Scores'!$D$10:$D$13),"P","")</f>
        <v>P</v>
      </c>
      <c r="K12" s="3" t="str">
        <f>IF(OR(AND(P12&gt;=LOOKUP(F12,'Qualifying Scores'!$A$4:$A$7,'Qualifying Scores'!$D$4:$D$7),Q12&gt;=LOOKUP(F12,'Qualifying Scores'!$A$10:$A$13,'Qualifying Scores'!$D$10:$D$13)),AND(R12&gt;=LOOKUP(F12,'Qualifying Scores'!$A$4:$A$7,'Qualifying Scores'!$D$4:$D$7),S12&gt;=LOOKUP(F12,'Qualifying Scores'!$A$10:$A$13,'Qualifying Scores'!$D$10:$D$13)),AND(T12&gt;=LOOKUP(F12,'Qualifying Scores'!$A$4:$A$7,'Qualifying Scores'!$D$4:$D$7),U12&gt;=LOOKUP(F12,'Qualifying Scores'!$A$10:$A$13,'Qualifying Scores'!$D$10:$D$13)),AND(V12&gt;=LOOKUP(F12,'Qualifying Scores'!$A$4:$A$7,'Qualifying Scores'!$D$4:$D$7),W12&gt;=LOOKUP(F12,'Qualifying Scores'!$A$10:$A$13,'Qualifying Scores'!$D$10:$D$13))),"P","")</f>
        <v/>
      </c>
      <c r="N12" s="4">
        <f>MAX(P12,T12)</f>
        <v>39.950000000000003</v>
      </c>
      <c r="O12" s="4">
        <f>IF(N12=P12,MAX(R12,T12,V12),MAX(P12,R12,V12))</f>
        <v>29.7</v>
      </c>
      <c r="P12" s="33">
        <v>39.950000000000003</v>
      </c>
      <c r="Q12" s="44">
        <v>10.8</v>
      </c>
      <c r="R12" s="34">
        <v>29.7</v>
      </c>
      <c r="S12" s="44">
        <v>7.9</v>
      </c>
      <c r="T12" s="33"/>
      <c r="U12" s="44"/>
      <c r="V12" s="34"/>
      <c r="W12" s="39"/>
    </row>
    <row r="13" spans="1:23" x14ac:dyDescent="0.2">
      <c r="A13" s="1">
        <f t="shared" ref="A13" si="4">IF(M13&lt;&gt;"",SUMPRODUCT((M$3:M$15&lt;&gt;"")*(F$3:F$15=F13)*(M$3:M$15&lt;M13))+1,IF(L13&lt;&gt;"",SUMPRODUCT((M$3:M$15&lt;&gt;"")*(F$3:F$15=F13))+SUMPRODUCT((L$3:L$15&lt;&gt;"")*(F$3:F$15=F13)*(L$3:L$15&lt;L13))+1,IF(K13="P",SUMPRODUCT((L$3:L$15&lt;&gt;"")*(F$3:F$15=F13))+SUMPRODUCT((M$3:M$15&lt;&gt;"")*(F$3:F$15=F13))+1+SUMPRODUCT((K$3:K$15="P")*(F$3:F$15=F13)*(H$3:H$15&gt;H13)*(L$3:L$15="")*(M$3:M$15="")),"")))</f>
        <v>1</v>
      </c>
      <c r="B13" s="38" t="s">
        <v>297</v>
      </c>
      <c r="C13" s="38" t="s">
        <v>12</v>
      </c>
      <c r="D13" s="38" t="s">
        <v>316</v>
      </c>
      <c r="E13" s="37">
        <v>1999</v>
      </c>
      <c r="F13" s="1" t="str">
        <f>IF('Qualifying Scores'!$B$1-E13&gt;21,"Not Age Eligible",IF('Qualifying Scores'!$B$1-E13&gt;16,"17-21",IF('Qualifying Scores'!$B$1-E13&gt;14,"15-16",IF('Qualifying Scores'!$B$1-E13&gt;12,"13-14",IF('Qualifying Scores'!$B$1-E13&gt;10,"11-12,""Not Age Eligible")))))</f>
        <v>17-21</v>
      </c>
      <c r="G13" s="56"/>
      <c r="H13" s="4">
        <f>SUM(N13:O13)</f>
        <v>53.68</v>
      </c>
      <c r="I13" s="3" t="str">
        <f>IF(MAX(P13,R13,T13,V13)&gt;=LOOKUP(F13,'Qualifying Scores'!$A$4:$A$7,'Qualifying Scores'!$D$4:$D$7),"P","")</f>
        <v>P</v>
      </c>
      <c r="J13" s="3" t="str">
        <f>IF(MAX(Q13,R13,U13,W13)&gt;=LOOKUP(F13,'Qualifying Scores'!$A$10:$A$13,'Qualifying Scores'!$D$10:$D$13),"P","")</f>
        <v>P</v>
      </c>
      <c r="K13" s="3" t="str">
        <f>IF(OR(AND(P13&gt;=LOOKUP(F13,'Qualifying Scores'!$A$4:$A$7,'Qualifying Scores'!$D$4:$D$7),Q13&gt;=LOOKUP(F13,'Qualifying Scores'!$A$10:$A$13,'Qualifying Scores'!$D$10:$D$13)),AND(R13&gt;=LOOKUP(F13,'Qualifying Scores'!$A$4:$A$7,'Qualifying Scores'!$D$4:$D$7),S13&gt;=LOOKUP(F13,'Qualifying Scores'!$A$10:$A$13,'Qualifying Scores'!$D$10:$D$13)),AND(T13&gt;=LOOKUP(F13,'Qualifying Scores'!$A$4:$A$7,'Qualifying Scores'!$D$4:$D$7),U13&gt;=LOOKUP(F13,'Qualifying Scores'!$A$10:$A$13,'Qualifying Scores'!$D$10:$D$13)),AND(V13&gt;=LOOKUP(F13,'Qualifying Scores'!$A$4:$A$7,'Qualifying Scores'!$D$4:$D$7),W13&gt;=LOOKUP(F13,'Qualifying Scores'!$A$10:$A$13,'Qualifying Scores'!$D$10:$D$13))),"P","")</f>
        <v>P</v>
      </c>
      <c r="N13" s="4">
        <f>MAX(P13,T13)</f>
        <v>48.54</v>
      </c>
      <c r="O13" s="4">
        <f>IF(N13=P13,MAX(R13,T13,V13),MAX(P13,R13,V13))</f>
        <v>5.14</v>
      </c>
      <c r="P13" s="33"/>
      <c r="Q13" s="44"/>
      <c r="R13" s="34"/>
      <c r="S13" s="44"/>
      <c r="T13" s="33">
        <v>48.54</v>
      </c>
      <c r="U13" s="44">
        <v>13.4</v>
      </c>
      <c r="V13" s="34">
        <v>5.14</v>
      </c>
      <c r="W13" s="39">
        <v>2</v>
      </c>
    </row>
    <row r="14" spans="1:23" x14ac:dyDescent="0.2">
      <c r="A14" s="1" t="str">
        <f t="shared" ref="A14" si="5">IF(M14&lt;&gt;"",SUMPRODUCT((M$3:M$15&lt;&gt;"")*(F$3:F$15=F14)*(M$3:M$15&lt;M14))+1,IF(L14&lt;&gt;"",SUMPRODUCT((M$3:M$15&lt;&gt;"")*(F$3:F$15=F14))+SUMPRODUCT((L$3:L$15&lt;&gt;"")*(F$3:F$15=F14)*(L$3:L$15&lt;L14))+1,IF(K14="P",SUMPRODUCT((L$3:L$15&lt;&gt;"")*(F$3:F$15=F14))+SUMPRODUCT((M$3:M$15&lt;&gt;"")*(F$3:F$15=F14))+1+SUMPRODUCT((K$3:K$15="P")*(F$3:F$15=F14)*(H$3:H$15&gt;H14)*(L$3:L$15="")*(M$3:M$15="")),"")))</f>
        <v/>
      </c>
      <c r="B14" s="38" t="s">
        <v>299</v>
      </c>
      <c r="C14" s="38" t="s">
        <v>8</v>
      </c>
      <c r="D14" s="38" t="s">
        <v>298</v>
      </c>
      <c r="E14" s="37">
        <v>1999</v>
      </c>
      <c r="F14" s="1" t="str">
        <f>IF('Qualifying Scores'!$B$1-E14&gt;21,"Not Age Eligible",IF('Qualifying Scores'!$B$1-E14&gt;16,"17-21",IF('Qualifying Scores'!$B$1-E14&gt;14,"15-16",IF('Qualifying Scores'!$B$1-E14&gt;12,"13-14",IF('Qualifying Scores'!$B$1-E14&gt;10,"11-12,""Not Age Eligible")))))</f>
        <v>17-21</v>
      </c>
      <c r="G14" s="56"/>
      <c r="H14" s="4">
        <f>SUM(N14:O14)</f>
        <v>51.959999999999994</v>
      </c>
      <c r="I14" s="3" t="str">
        <f>IF(MAX(P14,R14,T14,V14)&gt;=LOOKUP(F14,'Qualifying Scores'!$A$4:$A$7,'Qualifying Scores'!$D$4:$D$7),"P","")</f>
        <v/>
      </c>
      <c r="J14" s="3" t="str">
        <f>IF(MAX(Q14,R14,U14,W14)&gt;=LOOKUP(F14,'Qualifying Scores'!$A$10:$A$13,'Qualifying Scores'!$D$10:$D$13),"P","")</f>
        <v/>
      </c>
      <c r="K14" s="3" t="str">
        <f>IF(OR(AND(P14&gt;=LOOKUP(F14,'Qualifying Scores'!$A$4:$A$7,'Qualifying Scores'!$D$4:$D$7),Q14&gt;=LOOKUP(F14,'Qualifying Scores'!$A$10:$A$13,'Qualifying Scores'!$D$10:$D$13)),AND(R14&gt;=LOOKUP(F14,'Qualifying Scores'!$A$4:$A$7,'Qualifying Scores'!$D$4:$D$7),S14&gt;=LOOKUP(F14,'Qualifying Scores'!$A$10:$A$13,'Qualifying Scores'!$D$10:$D$13)),AND(T14&gt;=LOOKUP(F14,'Qualifying Scores'!$A$4:$A$7,'Qualifying Scores'!$D$4:$D$7),U14&gt;=LOOKUP(F14,'Qualifying Scores'!$A$10:$A$13,'Qualifying Scores'!$D$10:$D$13)),AND(V14&gt;=LOOKUP(F14,'Qualifying Scores'!$A$4:$A$7,'Qualifying Scores'!$D$4:$D$7),W14&gt;=LOOKUP(F14,'Qualifying Scores'!$A$10:$A$13,'Qualifying Scores'!$D$10:$D$13))),"P","")</f>
        <v/>
      </c>
      <c r="N14" s="4">
        <f>MAX(P14,T14)</f>
        <v>23.13</v>
      </c>
      <c r="O14" s="4">
        <f>IF(N14=P14,MAX(R14,T14,V14),MAX(P14,R14,V14))</f>
        <v>28.83</v>
      </c>
      <c r="P14" s="33"/>
      <c r="Q14" s="44"/>
      <c r="R14" s="34"/>
      <c r="S14" s="44"/>
      <c r="T14" s="33">
        <v>23.13</v>
      </c>
      <c r="U14" s="44">
        <v>5.9</v>
      </c>
      <c r="V14" s="34">
        <v>28.83</v>
      </c>
      <c r="W14" s="39">
        <v>7.3</v>
      </c>
    </row>
    <row r="15" spans="1:23" x14ac:dyDescent="0.2">
      <c r="A15" s="1"/>
      <c r="F15" s="1"/>
      <c r="G15" s="56"/>
      <c r="H15" s="4"/>
      <c r="I15" s="3"/>
      <c r="J15" s="3"/>
      <c r="N15" s="4"/>
      <c r="O15" s="4"/>
      <c r="P15" s="33"/>
      <c r="Q15" s="44"/>
      <c r="R15" s="34"/>
      <c r="S15" s="44"/>
      <c r="T15" s="33"/>
      <c r="U15" s="44"/>
      <c r="V15" s="34"/>
      <c r="W15" s="39"/>
    </row>
    <row r="16" spans="1:23" x14ac:dyDescent="0.2">
      <c r="A16" s="1"/>
      <c r="F16" s="1"/>
      <c r="G16" s="56"/>
      <c r="H16" s="4"/>
      <c r="I16" s="3"/>
      <c r="J16" s="3"/>
      <c r="N16" s="4"/>
      <c r="O16" s="4"/>
      <c r="P16" s="33"/>
      <c r="Q16" s="44"/>
      <c r="R16" s="34"/>
      <c r="S16" s="44"/>
      <c r="T16" s="33"/>
      <c r="U16" s="44"/>
      <c r="V16" s="34"/>
      <c r="W16" s="39"/>
    </row>
    <row r="17" spans="1:23" x14ac:dyDescent="0.2">
      <c r="A17" s="1"/>
      <c r="F17" s="1"/>
      <c r="G17" s="56"/>
      <c r="H17" s="4"/>
      <c r="I17" s="3"/>
      <c r="J17" s="3"/>
      <c r="N17" s="4"/>
      <c r="O17" s="4"/>
      <c r="P17" s="33"/>
      <c r="Q17" s="44"/>
      <c r="R17" s="34"/>
      <c r="S17" s="44"/>
      <c r="T17" s="33"/>
      <c r="U17" s="44"/>
      <c r="V17" s="34"/>
      <c r="W17" s="39"/>
    </row>
    <row r="18" spans="1:23" x14ac:dyDescent="0.2">
      <c r="A18" s="1"/>
      <c r="F18" s="1"/>
      <c r="G18" s="56"/>
      <c r="H18" s="4"/>
      <c r="I18" s="3"/>
      <c r="J18" s="3"/>
      <c r="N18" s="4"/>
      <c r="O18" s="4"/>
      <c r="P18" s="33"/>
      <c r="Q18" s="44"/>
      <c r="R18" s="34"/>
      <c r="S18" s="44"/>
      <c r="T18" s="33"/>
      <c r="U18" s="44"/>
      <c r="V18" s="34"/>
      <c r="W18" s="39"/>
    </row>
    <row r="19" spans="1:23" x14ac:dyDescent="0.2">
      <c r="A19" s="1"/>
      <c r="F19" s="1"/>
      <c r="G19" s="56"/>
      <c r="H19" s="4"/>
      <c r="I19" s="3"/>
      <c r="J19" s="3"/>
      <c r="N19" s="4"/>
      <c r="O19" s="4"/>
      <c r="P19" s="33"/>
      <c r="Q19" s="44"/>
      <c r="R19" s="34"/>
      <c r="S19" s="45"/>
      <c r="T19" s="33"/>
      <c r="U19" s="44"/>
      <c r="V19" s="34"/>
      <c r="W19" s="39"/>
    </row>
    <row r="20" spans="1:23" x14ac:dyDescent="0.2">
      <c r="A20" s="1"/>
      <c r="F20" s="1"/>
      <c r="G20" s="56"/>
      <c r="H20" s="4"/>
      <c r="I20" s="3"/>
      <c r="J20" s="3"/>
      <c r="N20" s="4"/>
      <c r="O20" s="4"/>
      <c r="P20" s="33"/>
      <c r="Q20" s="44"/>
      <c r="R20" s="34"/>
      <c r="S20" s="44"/>
      <c r="T20" s="33"/>
      <c r="U20" s="44"/>
      <c r="V20" s="34"/>
      <c r="W20" s="39"/>
    </row>
    <row r="21" spans="1:23" x14ac:dyDescent="0.2">
      <c r="A21" s="1"/>
      <c r="F21" s="1"/>
      <c r="G21" s="56"/>
      <c r="H21" s="4"/>
      <c r="I21" s="3"/>
      <c r="J21" s="3"/>
      <c r="N21" s="4"/>
      <c r="O21" s="4"/>
      <c r="P21" s="33"/>
      <c r="Q21" s="44"/>
      <c r="R21" s="34"/>
      <c r="S21" s="44"/>
      <c r="T21" s="33"/>
      <c r="U21" s="44"/>
      <c r="V21" s="34"/>
      <c r="W21" s="39"/>
    </row>
    <row r="22" spans="1:23" x14ac:dyDescent="0.2">
      <c r="A22" s="1"/>
      <c r="F22" s="1"/>
      <c r="G22" s="56"/>
      <c r="H22" s="4"/>
      <c r="I22" s="3"/>
      <c r="J22" s="3"/>
      <c r="N22" s="4"/>
      <c r="O22" s="4"/>
      <c r="P22" s="33"/>
      <c r="Q22" s="44"/>
      <c r="R22" s="34"/>
      <c r="S22" s="44"/>
      <c r="T22" s="33"/>
      <c r="U22" s="44"/>
      <c r="V22" s="34"/>
      <c r="W22" s="39"/>
    </row>
    <row r="23" spans="1:23" x14ac:dyDescent="0.2">
      <c r="A23" s="1"/>
      <c r="F23" s="1"/>
      <c r="G23" s="56"/>
      <c r="H23" s="4"/>
      <c r="I23" s="3"/>
      <c r="J23" s="3"/>
      <c r="N23" s="4"/>
      <c r="O23" s="4"/>
      <c r="P23" s="33"/>
      <c r="Q23" s="44"/>
      <c r="R23" s="34"/>
      <c r="S23" s="44"/>
      <c r="T23" s="33"/>
      <c r="U23" s="44"/>
      <c r="V23" s="34"/>
      <c r="W23" s="39"/>
    </row>
    <row r="24" spans="1:23" x14ac:dyDescent="0.2">
      <c r="A24" s="1"/>
      <c r="F24" s="1"/>
      <c r="G24" s="56"/>
      <c r="H24" s="4"/>
      <c r="I24" s="3"/>
      <c r="J24" s="3"/>
      <c r="N24" s="4"/>
      <c r="O24" s="4"/>
      <c r="P24" s="33"/>
      <c r="Q24" s="44"/>
      <c r="R24" s="34"/>
      <c r="S24" s="44"/>
      <c r="T24" s="33"/>
      <c r="U24" s="44"/>
      <c r="V24" s="34"/>
      <c r="W24" s="39"/>
    </row>
    <row r="25" spans="1:23" x14ac:dyDescent="0.2">
      <c r="A25" s="1"/>
      <c r="F25" s="1"/>
      <c r="G25" s="56"/>
      <c r="H25" s="4"/>
      <c r="I25" s="3"/>
      <c r="J25" s="3"/>
      <c r="N25" s="4"/>
      <c r="O25" s="4"/>
      <c r="P25" s="33"/>
      <c r="Q25" s="44"/>
      <c r="R25" s="34"/>
      <c r="S25" s="44"/>
      <c r="T25" s="33"/>
      <c r="U25" s="44"/>
      <c r="V25" s="34"/>
      <c r="W25" s="39"/>
    </row>
    <row r="26" spans="1:23" x14ac:dyDescent="0.2">
      <c r="A26" s="1"/>
      <c r="F26" s="1"/>
      <c r="G26" s="56"/>
      <c r="H26" s="4"/>
      <c r="I26" s="3"/>
      <c r="J26" s="3"/>
      <c r="N26" s="4"/>
      <c r="O26" s="4"/>
      <c r="P26" s="33"/>
      <c r="Q26" s="44"/>
      <c r="R26" s="34"/>
      <c r="S26" s="44"/>
      <c r="T26" s="33"/>
      <c r="U26" s="44"/>
      <c r="V26" s="34"/>
      <c r="W26" s="39"/>
    </row>
    <row r="27" spans="1:23" x14ac:dyDescent="0.2">
      <c r="A27" s="1"/>
      <c r="F27" s="1"/>
      <c r="G27" s="56"/>
      <c r="H27" s="4"/>
      <c r="I27" s="3"/>
      <c r="J27" s="3"/>
      <c r="N27" s="4"/>
      <c r="O27" s="4"/>
      <c r="P27" s="33"/>
      <c r="Q27" s="44"/>
      <c r="R27" s="34"/>
      <c r="S27" s="44"/>
      <c r="T27" s="33"/>
      <c r="U27" s="44"/>
      <c r="V27" s="34"/>
      <c r="W27" s="39"/>
    </row>
    <row r="28" spans="1:23" x14ac:dyDescent="0.2">
      <c r="A28" s="1"/>
      <c r="F28" s="1"/>
      <c r="G28" s="56"/>
      <c r="H28" s="4"/>
      <c r="I28" s="3"/>
      <c r="J28" s="3"/>
      <c r="N28" s="4"/>
      <c r="O28" s="4"/>
      <c r="P28" s="33"/>
      <c r="Q28" s="44"/>
      <c r="R28" s="34"/>
      <c r="S28" s="44"/>
      <c r="T28" s="33"/>
      <c r="U28" s="44"/>
      <c r="V28" s="34"/>
      <c r="W28" s="39"/>
    </row>
    <row r="29" spans="1:23" x14ac:dyDescent="0.2">
      <c r="A29" s="1"/>
      <c r="F29" s="1"/>
      <c r="G29" s="56"/>
      <c r="H29" s="4"/>
      <c r="I29" s="3"/>
      <c r="J29" s="3"/>
      <c r="N29" s="4"/>
      <c r="O29" s="4"/>
      <c r="P29" s="33"/>
      <c r="Q29" s="44"/>
      <c r="R29" s="34"/>
      <c r="S29" s="44"/>
      <c r="T29" s="33"/>
      <c r="U29" s="44"/>
      <c r="V29" s="34"/>
      <c r="W29" s="39"/>
    </row>
    <row r="30" spans="1:23" x14ac:dyDescent="0.2">
      <c r="A30" s="1"/>
      <c r="F30" s="1"/>
      <c r="G30" s="56"/>
      <c r="H30" s="4"/>
      <c r="I30" s="3"/>
      <c r="J30" s="3"/>
      <c r="N30" s="4"/>
      <c r="O30" s="4"/>
      <c r="P30" s="33"/>
      <c r="Q30" s="44"/>
      <c r="R30" s="34"/>
      <c r="S30" s="44"/>
      <c r="T30" s="33"/>
      <c r="U30" s="44"/>
      <c r="V30" s="34"/>
      <c r="W30" s="39"/>
    </row>
    <row r="31" spans="1:23" x14ac:dyDescent="0.2">
      <c r="A31" s="1"/>
      <c r="F31" s="1"/>
      <c r="G31" s="56"/>
      <c r="H31" s="4"/>
      <c r="I31" s="3"/>
      <c r="J31" s="3"/>
      <c r="N31" s="4"/>
      <c r="O31" s="4"/>
      <c r="P31" s="33"/>
      <c r="Q31" s="44"/>
      <c r="R31" s="34"/>
      <c r="S31" s="44"/>
      <c r="T31" s="33"/>
      <c r="U31" s="44"/>
      <c r="V31" s="34"/>
      <c r="W31" s="39"/>
    </row>
    <row r="32" spans="1:23" x14ac:dyDescent="0.2">
      <c r="A32" s="1"/>
      <c r="F32" s="1"/>
      <c r="G32" s="56"/>
      <c r="H32" s="4"/>
      <c r="I32" s="3"/>
      <c r="J32" s="3"/>
      <c r="N32" s="4"/>
      <c r="O32" s="4"/>
      <c r="P32" s="33"/>
      <c r="Q32" s="44"/>
      <c r="R32" s="34"/>
      <c r="S32" s="44"/>
      <c r="T32" s="33"/>
      <c r="U32" s="44"/>
      <c r="V32" s="34"/>
      <c r="W32" s="39"/>
    </row>
    <row r="33" spans="1:23" x14ac:dyDescent="0.2">
      <c r="A33" s="1"/>
      <c r="F33" s="1"/>
      <c r="G33" s="56"/>
      <c r="H33" s="4"/>
      <c r="I33" s="3"/>
      <c r="J33" s="3"/>
      <c r="N33" s="4"/>
      <c r="O33" s="4"/>
      <c r="P33" s="33"/>
      <c r="Q33" s="44"/>
      <c r="R33" s="34"/>
      <c r="S33" s="44"/>
      <c r="T33" s="33"/>
      <c r="U33" s="44"/>
      <c r="V33" s="34"/>
      <c r="W33" s="39"/>
    </row>
    <row r="34" spans="1:23" x14ac:dyDescent="0.2">
      <c r="A34" s="1"/>
      <c r="F34" s="1"/>
      <c r="G34" s="56"/>
      <c r="H34" s="4"/>
      <c r="I34" s="3"/>
      <c r="J34" s="3"/>
      <c r="N34" s="4"/>
      <c r="O34" s="4"/>
      <c r="P34" s="33"/>
      <c r="Q34" s="44"/>
      <c r="R34" s="34"/>
      <c r="S34" s="44"/>
      <c r="T34" s="33"/>
      <c r="U34" s="44"/>
      <c r="V34" s="34"/>
      <c r="W34" s="39"/>
    </row>
    <row r="35" spans="1:23" x14ac:dyDescent="0.2">
      <c r="A35" s="1"/>
      <c r="F35" s="1"/>
      <c r="G35" s="56"/>
      <c r="H35" s="4"/>
      <c r="I35" s="3"/>
      <c r="J35" s="3"/>
      <c r="N35" s="4"/>
      <c r="O35" s="4"/>
      <c r="P35" s="33"/>
      <c r="Q35" s="44"/>
      <c r="R35" s="34"/>
      <c r="S35" s="44"/>
      <c r="T35" s="33"/>
      <c r="U35" s="44"/>
      <c r="V35" s="34"/>
      <c r="W35" s="39"/>
    </row>
    <row r="36" spans="1:23" x14ac:dyDescent="0.2">
      <c r="A36" s="1"/>
      <c r="F36" s="1"/>
      <c r="G36" s="56"/>
      <c r="H36" s="4"/>
      <c r="I36" s="3"/>
      <c r="J36" s="3"/>
      <c r="N36" s="4"/>
      <c r="O36" s="4"/>
      <c r="P36" s="33"/>
      <c r="Q36" s="44"/>
      <c r="R36" s="34"/>
      <c r="S36" s="44"/>
      <c r="T36" s="33"/>
      <c r="U36" s="44"/>
      <c r="V36" s="34"/>
      <c r="W36" s="39"/>
    </row>
    <row r="37" spans="1:23" x14ac:dyDescent="0.2">
      <c r="A37" s="1"/>
      <c r="F37" s="1"/>
      <c r="G37" s="56"/>
      <c r="H37" s="4"/>
      <c r="I37" s="3"/>
      <c r="J37" s="3"/>
      <c r="N37" s="4"/>
      <c r="O37" s="4"/>
      <c r="P37" s="33"/>
      <c r="Q37" s="44"/>
      <c r="R37" s="34"/>
      <c r="S37" s="44"/>
      <c r="T37" s="33"/>
      <c r="U37" s="44"/>
      <c r="V37" s="34"/>
      <c r="W37" s="39"/>
    </row>
    <row r="38" spans="1:23" x14ac:dyDescent="0.2">
      <c r="A38" s="1"/>
      <c r="F38" s="1"/>
      <c r="G38" s="56"/>
      <c r="H38" s="4"/>
      <c r="I38" s="3"/>
      <c r="J38" s="3"/>
      <c r="N38" s="4"/>
      <c r="O38" s="4"/>
      <c r="P38" s="33"/>
      <c r="Q38" s="44"/>
      <c r="R38" s="34"/>
      <c r="S38" s="44"/>
      <c r="T38" s="33"/>
      <c r="U38" s="44"/>
      <c r="V38" s="34"/>
      <c r="W38" s="39"/>
    </row>
    <row r="39" spans="1:23" x14ac:dyDescent="0.2">
      <c r="A39" s="1"/>
      <c r="F39" s="1"/>
      <c r="G39" s="56"/>
      <c r="H39" s="4"/>
      <c r="I39" s="3"/>
      <c r="J39" s="3"/>
      <c r="N39" s="4"/>
      <c r="O39" s="4"/>
      <c r="P39" s="33"/>
      <c r="Q39" s="44"/>
      <c r="R39" s="34"/>
      <c r="S39" s="44"/>
      <c r="T39" s="33"/>
      <c r="U39" s="44"/>
      <c r="V39" s="34"/>
      <c r="W39" s="39"/>
    </row>
    <row r="40" spans="1:23" x14ac:dyDescent="0.2">
      <c r="A40" s="1"/>
      <c r="F40" s="1"/>
      <c r="G40" s="56"/>
      <c r="H40" s="4"/>
      <c r="I40" s="3"/>
      <c r="J40" s="3"/>
      <c r="N40" s="4"/>
      <c r="O40" s="4"/>
      <c r="P40" s="33"/>
      <c r="Q40" s="44"/>
      <c r="R40" s="34"/>
      <c r="S40" s="44"/>
      <c r="T40" s="33"/>
      <c r="U40" s="44"/>
      <c r="V40" s="34"/>
      <c r="W40" s="39"/>
    </row>
    <row r="41" spans="1:23" x14ac:dyDescent="0.2">
      <c r="F41" s="1"/>
      <c r="G41" s="56"/>
      <c r="H41" s="4"/>
      <c r="I41" s="3"/>
      <c r="J41" s="3"/>
      <c r="N41" s="4"/>
      <c r="O41" s="4"/>
      <c r="P41" s="33"/>
      <c r="Q41" s="44"/>
      <c r="R41" s="34"/>
      <c r="S41" s="44"/>
      <c r="T41" s="33"/>
      <c r="U41" s="44"/>
      <c r="V41" s="34"/>
      <c r="W41" s="39"/>
    </row>
    <row r="42" spans="1:23" x14ac:dyDescent="0.2">
      <c r="F42" s="1"/>
      <c r="G42" s="56"/>
      <c r="H42" s="4"/>
      <c r="I42" s="3"/>
      <c r="J42" s="3"/>
      <c r="N42" s="4"/>
      <c r="O42" s="4"/>
      <c r="P42" s="33"/>
      <c r="Q42" s="44"/>
      <c r="R42" s="34"/>
      <c r="S42" s="44"/>
      <c r="T42" s="33"/>
      <c r="U42" s="44"/>
      <c r="V42" s="34"/>
      <c r="W42" s="39"/>
    </row>
    <row r="43" spans="1:23" x14ac:dyDescent="0.2">
      <c r="F43" s="1"/>
      <c r="G43" s="56"/>
      <c r="H43" s="4"/>
      <c r="I43" s="3"/>
      <c r="J43" s="3"/>
      <c r="N43" s="4"/>
      <c r="O43" s="4"/>
      <c r="P43" s="33"/>
      <c r="Q43" s="44"/>
      <c r="R43" s="34"/>
      <c r="S43" s="44"/>
      <c r="T43" s="33"/>
      <c r="U43" s="44"/>
      <c r="V43" s="34"/>
      <c r="W43" s="39"/>
    </row>
    <row r="44" spans="1:23" x14ac:dyDescent="0.2">
      <c r="F44" s="1"/>
      <c r="G44" s="56"/>
      <c r="H44" s="4"/>
      <c r="I44" s="3"/>
      <c r="J44" s="3"/>
      <c r="N44" s="4"/>
      <c r="O44" s="4"/>
      <c r="P44" s="33"/>
      <c r="Q44" s="44"/>
      <c r="R44" s="34"/>
      <c r="S44" s="44"/>
      <c r="T44" s="33"/>
      <c r="U44" s="44"/>
      <c r="V44" s="34"/>
      <c r="W44" s="39"/>
    </row>
    <row r="45" spans="1:23" x14ac:dyDescent="0.2">
      <c r="F45" s="1"/>
      <c r="G45" s="56"/>
      <c r="H45" s="4"/>
      <c r="I45" s="3"/>
      <c r="J45" s="3"/>
      <c r="N45" s="4"/>
      <c r="O45" s="4"/>
      <c r="P45" s="33"/>
      <c r="Q45" s="44"/>
      <c r="R45" s="34"/>
      <c r="S45" s="44"/>
      <c r="T45" s="33"/>
      <c r="U45" s="44"/>
      <c r="V45" s="34"/>
      <c r="W45" s="39"/>
    </row>
    <row r="46" spans="1:23" x14ac:dyDescent="0.2">
      <c r="F46" s="1"/>
      <c r="G46" s="56"/>
      <c r="H46" s="4"/>
      <c r="I46" s="3"/>
      <c r="J46" s="3"/>
      <c r="N46" s="4"/>
      <c r="O46" s="4"/>
      <c r="P46" s="33"/>
      <c r="Q46" s="44"/>
      <c r="R46" s="34"/>
      <c r="S46" s="44"/>
      <c r="T46" s="33"/>
      <c r="U46" s="44"/>
      <c r="V46" s="34"/>
      <c r="W46" s="39"/>
    </row>
    <row r="47" spans="1:23" x14ac:dyDescent="0.2">
      <c r="F47" s="1"/>
      <c r="G47" s="56"/>
      <c r="H47" s="4"/>
      <c r="I47" s="3"/>
      <c r="J47" s="3"/>
      <c r="N47" s="4"/>
      <c r="O47" s="4"/>
      <c r="P47" s="33"/>
      <c r="Q47" s="44"/>
      <c r="R47" s="34"/>
      <c r="S47" s="44"/>
      <c r="T47" s="33"/>
      <c r="U47" s="44"/>
      <c r="V47" s="34"/>
      <c r="W47" s="39"/>
    </row>
    <row r="48" spans="1:23" x14ac:dyDescent="0.2">
      <c r="F48" s="1"/>
      <c r="G48" s="56"/>
      <c r="H48" s="4"/>
      <c r="I48" s="3"/>
      <c r="J48" s="3"/>
      <c r="N48" s="4"/>
      <c r="O48" s="4"/>
      <c r="P48" s="33"/>
      <c r="Q48" s="44"/>
      <c r="R48" s="34"/>
      <c r="S48" s="44"/>
      <c r="T48" s="33"/>
      <c r="U48" s="44"/>
      <c r="V48" s="34"/>
      <c r="W48" s="39"/>
    </row>
    <row r="49" spans="6:23" x14ac:dyDescent="0.2">
      <c r="F49" s="1"/>
      <c r="G49" s="56"/>
      <c r="H49" s="4"/>
      <c r="I49" s="3"/>
      <c r="J49" s="3"/>
      <c r="N49" s="4"/>
      <c r="O49" s="4"/>
      <c r="P49" s="33"/>
      <c r="Q49" s="44"/>
      <c r="R49" s="34"/>
      <c r="S49" s="44"/>
      <c r="T49" s="33"/>
      <c r="U49" s="44"/>
      <c r="V49" s="34"/>
      <c r="W49" s="39"/>
    </row>
    <row r="50" spans="6:23" x14ac:dyDescent="0.2">
      <c r="F50" s="1"/>
      <c r="G50" s="56"/>
      <c r="H50" s="4"/>
      <c r="I50" s="3"/>
      <c r="J50" s="3"/>
      <c r="N50" s="4"/>
      <c r="O50" s="4"/>
      <c r="P50" s="33"/>
      <c r="Q50" s="44"/>
      <c r="R50" s="34"/>
      <c r="S50" s="44"/>
      <c r="T50" s="33"/>
      <c r="U50" s="44"/>
      <c r="V50" s="34"/>
      <c r="W50" s="39"/>
    </row>
    <row r="51" spans="6:23" x14ac:dyDescent="0.2">
      <c r="F51" s="1"/>
      <c r="G51" s="56"/>
      <c r="H51" s="4"/>
      <c r="I51" s="3"/>
      <c r="J51" s="3"/>
      <c r="N51" s="4"/>
      <c r="O51" s="4"/>
      <c r="P51" s="33"/>
      <c r="Q51" s="44"/>
      <c r="R51" s="34"/>
      <c r="S51" s="44"/>
      <c r="T51" s="33"/>
      <c r="U51" s="44"/>
      <c r="V51" s="34"/>
      <c r="W51" s="39"/>
    </row>
    <row r="52" spans="6:23" x14ac:dyDescent="0.2">
      <c r="F52" s="1"/>
      <c r="H52" s="4"/>
      <c r="I52" s="3"/>
      <c r="J52" s="3"/>
      <c r="N52" s="4"/>
      <c r="O52" s="4"/>
      <c r="P52" s="33"/>
      <c r="Q52" s="44"/>
      <c r="R52" s="34"/>
      <c r="S52" s="44"/>
      <c r="T52" s="48"/>
      <c r="U52" s="46"/>
      <c r="V52" s="43"/>
      <c r="W52" s="39"/>
    </row>
    <row r="53" spans="6:23" x14ac:dyDescent="0.2">
      <c r="F53" s="1"/>
      <c r="H53" s="4"/>
      <c r="I53" s="3"/>
      <c r="J53" s="3"/>
      <c r="N53" s="4"/>
      <c r="O53" s="4"/>
      <c r="P53" s="33"/>
      <c r="Q53" s="45"/>
      <c r="R53" s="47"/>
      <c r="S53" s="45"/>
      <c r="T53" s="33"/>
      <c r="U53" s="44"/>
      <c r="V53" s="34"/>
      <c r="W53" s="39"/>
    </row>
    <row r="54" spans="6:23" x14ac:dyDescent="0.2">
      <c r="F54" s="1"/>
      <c r="H54" s="4"/>
      <c r="I54" s="3"/>
      <c r="J54" s="3"/>
      <c r="N54" s="4"/>
      <c r="O54" s="4"/>
      <c r="P54" s="33"/>
      <c r="Q54" s="45"/>
      <c r="R54" s="47"/>
      <c r="S54" s="45"/>
      <c r="T54" s="33"/>
      <c r="U54" s="44"/>
      <c r="V54" s="34"/>
      <c r="W54" s="39"/>
    </row>
    <row r="55" spans="6:23" x14ac:dyDescent="0.2">
      <c r="F55" s="1"/>
      <c r="H55" s="4"/>
      <c r="I55" s="3"/>
      <c r="J55" s="3"/>
      <c r="N55" s="4"/>
      <c r="O55" s="4"/>
      <c r="P55" s="33"/>
      <c r="Q55" s="45"/>
      <c r="R55" s="47"/>
      <c r="S55" s="45"/>
      <c r="T55" s="33"/>
      <c r="U55" s="44"/>
      <c r="V55" s="34"/>
      <c r="W55" s="39"/>
    </row>
    <row r="56" spans="6:23" x14ac:dyDescent="0.2">
      <c r="F56" s="1"/>
      <c r="H56" s="4"/>
      <c r="I56" s="3"/>
      <c r="J56" s="3"/>
      <c r="N56" s="4"/>
      <c r="O56" s="4"/>
      <c r="P56" s="33"/>
      <c r="Q56" s="45"/>
      <c r="R56" s="47"/>
      <c r="S56" s="45"/>
      <c r="T56" s="33"/>
      <c r="U56" s="44"/>
      <c r="V56" s="34"/>
      <c r="W56" s="39"/>
    </row>
    <row r="57" spans="6:23" x14ac:dyDescent="0.2">
      <c r="F57" s="1"/>
      <c r="H57" s="4"/>
      <c r="I57" s="3"/>
      <c r="J57" s="3"/>
      <c r="N57" s="4"/>
      <c r="O57" s="4"/>
      <c r="P57" s="33"/>
      <c r="Q57" s="45"/>
      <c r="R57" s="47"/>
      <c r="S57" s="45"/>
      <c r="T57" s="33"/>
      <c r="U57" s="44"/>
      <c r="V57" s="34"/>
      <c r="W57" s="39"/>
    </row>
    <row r="58" spans="6:23" x14ac:dyDescent="0.2">
      <c r="F58" s="1"/>
      <c r="H58" s="4"/>
      <c r="I58" s="3"/>
      <c r="J58" s="3"/>
      <c r="N58" s="4"/>
      <c r="O58" s="4"/>
      <c r="P58" s="33"/>
      <c r="Q58" s="44"/>
      <c r="R58" s="34"/>
      <c r="S58" s="45"/>
      <c r="T58" s="48"/>
      <c r="U58" s="46"/>
      <c r="V58" s="43"/>
      <c r="W58" s="39"/>
    </row>
    <row r="59" spans="6:23" x14ac:dyDescent="0.2">
      <c r="F59" s="1"/>
      <c r="H59" s="4"/>
      <c r="I59" s="3"/>
      <c r="J59" s="3"/>
      <c r="N59" s="4"/>
      <c r="O59" s="4"/>
      <c r="P59" s="33"/>
      <c r="Q59" s="44"/>
      <c r="R59" s="34"/>
      <c r="S59" s="45"/>
      <c r="T59" s="33"/>
      <c r="U59" s="44"/>
      <c r="V59" s="34"/>
      <c r="W59" s="39"/>
    </row>
    <row r="60" spans="6:23" x14ac:dyDescent="0.2">
      <c r="N60" s="4"/>
      <c r="O60" s="4"/>
      <c r="P60" s="33"/>
      <c r="Q60" s="44"/>
      <c r="R60" s="34"/>
      <c r="S60" s="44"/>
      <c r="T60" s="33"/>
      <c r="U60" s="44"/>
      <c r="V60" s="34"/>
      <c r="W60" s="39"/>
    </row>
    <row r="61" spans="6:23" x14ac:dyDescent="0.2">
      <c r="N61" s="4"/>
      <c r="O61" s="4"/>
      <c r="P61" s="33"/>
      <c r="Q61" s="44"/>
      <c r="R61" s="34"/>
      <c r="S61" s="44"/>
      <c r="T61" s="33"/>
      <c r="U61" s="44"/>
      <c r="V61" s="34"/>
      <c r="W61" s="39"/>
    </row>
    <row r="62" spans="6:23" x14ac:dyDescent="0.2">
      <c r="N62" s="4"/>
      <c r="O62" s="4"/>
      <c r="P62" s="33"/>
      <c r="Q62" s="44"/>
      <c r="R62" s="34"/>
      <c r="S62" s="44"/>
      <c r="T62" s="33"/>
      <c r="U62" s="44"/>
      <c r="V62" s="34"/>
      <c r="W62" s="39"/>
    </row>
    <row r="63" spans="6:23" x14ac:dyDescent="0.2">
      <c r="N63" s="4"/>
      <c r="O63" s="4"/>
      <c r="P63" s="33"/>
      <c r="Q63" s="44"/>
      <c r="R63" s="34"/>
      <c r="S63" s="44"/>
      <c r="T63" s="33"/>
      <c r="U63" s="44"/>
      <c r="V63" s="34"/>
      <c r="W63" s="39"/>
    </row>
    <row r="64" spans="6:23" x14ac:dyDescent="0.2">
      <c r="N64" s="4"/>
      <c r="O64" s="4"/>
      <c r="P64" s="33"/>
      <c r="Q64" s="44"/>
      <c r="R64" s="34"/>
      <c r="S64" s="44"/>
      <c r="T64" s="33"/>
      <c r="U64" s="44"/>
      <c r="V64" s="34"/>
      <c r="W64" s="39"/>
    </row>
    <row r="65" spans="14:23" x14ac:dyDescent="0.2">
      <c r="N65" s="4"/>
      <c r="O65" s="4"/>
      <c r="P65" s="33"/>
      <c r="Q65" s="44"/>
      <c r="R65" s="34"/>
      <c r="S65" s="44"/>
      <c r="T65" s="33"/>
      <c r="U65" s="44"/>
      <c r="V65" s="34"/>
      <c r="W65" s="39"/>
    </row>
    <row r="66" spans="14:23" x14ac:dyDescent="0.2">
      <c r="N66" s="4"/>
      <c r="O66" s="4"/>
      <c r="P66" s="33"/>
      <c r="Q66" s="44"/>
      <c r="R66" s="34"/>
      <c r="S66" s="44"/>
      <c r="T66" s="33"/>
      <c r="U66" s="44"/>
      <c r="V66" s="34"/>
      <c r="W66" s="39"/>
    </row>
    <row r="67" spans="14:23" x14ac:dyDescent="0.2">
      <c r="N67" s="4"/>
      <c r="O67" s="4"/>
      <c r="P67" s="33"/>
      <c r="Q67" s="44"/>
      <c r="R67" s="34"/>
      <c r="S67" s="44"/>
      <c r="T67" s="33"/>
      <c r="U67" s="44"/>
      <c r="V67" s="34"/>
      <c r="W67" s="39"/>
    </row>
    <row r="68" spans="14:23" x14ac:dyDescent="0.2">
      <c r="N68" s="4"/>
      <c r="O68" s="4"/>
      <c r="P68" s="33"/>
      <c r="Q68" s="44"/>
      <c r="R68" s="34"/>
      <c r="S68" s="44"/>
      <c r="T68" s="33"/>
      <c r="U68" s="44"/>
      <c r="V68" s="34"/>
      <c r="W68" s="39"/>
    </row>
    <row r="69" spans="14:23" x14ac:dyDescent="0.2">
      <c r="N69" s="4"/>
      <c r="O69" s="4"/>
      <c r="P69" s="33"/>
      <c r="Q69" s="44"/>
      <c r="R69" s="34"/>
      <c r="S69" s="44"/>
      <c r="T69" s="33"/>
      <c r="U69" s="44"/>
      <c r="V69" s="34"/>
      <c r="W69" s="39"/>
    </row>
    <row r="70" spans="14:23" x14ac:dyDescent="0.2">
      <c r="N70" s="4"/>
      <c r="O70" s="4"/>
      <c r="P70" s="33"/>
      <c r="Q70" s="44"/>
      <c r="R70" s="34"/>
      <c r="S70" s="44"/>
      <c r="T70" s="33"/>
      <c r="U70" s="44"/>
      <c r="V70" s="34"/>
      <c r="W70" s="39"/>
    </row>
    <row r="71" spans="14:23" x14ac:dyDescent="0.2">
      <c r="N71" s="4"/>
      <c r="O71" s="4"/>
      <c r="P71" s="33"/>
      <c r="Q71" s="44"/>
      <c r="R71" s="34"/>
      <c r="S71" s="44"/>
      <c r="T71" s="33"/>
      <c r="U71" s="44"/>
      <c r="V71" s="34"/>
      <c r="W71" s="39"/>
    </row>
    <row r="72" spans="14:23" x14ac:dyDescent="0.2">
      <c r="N72" s="4"/>
      <c r="O72" s="4"/>
      <c r="P72" s="33"/>
      <c r="Q72" s="44"/>
      <c r="R72" s="34"/>
      <c r="S72" s="44"/>
      <c r="T72" s="33"/>
      <c r="U72" s="44"/>
      <c r="V72" s="34"/>
      <c r="W72" s="39"/>
    </row>
    <row r="73" spans="14:23" x14ac:dyDescent="0.2">
      <c r="N73" s="4"/>
      <c r="O73" s="4"/>
      <c r="P73" s="33"/>
      <c r="Q73" s="44"/>
      <c r="R73" s="34"/>
      <c r="S73" s="44"/>
      <c r="T73" s="33"/>
      <c r="U73" s="44"/>
      <c r="V73" s="34"/>
      <c r="W73" s="39"/>
    </row>
    <row r="74" spans="14:23" x14ac:dyDescent="0.2">
      <c r="N74" s="4"/>
      <c r="O74" s="4"/>
      <c r="P74" s="33"/>
      <c r="Q74" s="44"/>
      <c r="R74" s="34"/>
      <c r="S74" s="44"/>
      <c r="T74" s="33"/>
      <c r="U74" s="44"/>
      <c r="V74" s="34"/>
      <c r="W74" s="39"/>
    </row>
    <row r="75" spans="14:23" x14ac:dyDescent="0.2">
      <c r="N75" s="4"/>
      <c r="O75" s="4"/>
      <c r="P75" s="33"/>
      <c r="Q75" s="44"/>
      <c r="R75" s="34"/>
      <c r="S75" s="44"/>
      <c r="T75" s="33"/>
      <c r="U75" s="44"/>
      <c r="V75" s="34"/>
      <c r="W75" s="39"/>
    </row>
    <row r="76" spans="14:23" x14ac:dyDescent="0.2">
      <c r="N76" s="4"/>
      <c r="O76" s="4"/>
      <c r="P76" s="33"/>
      <c r="Q76" s="44"/>
      <c r="R76" s="34"/>
      <c r="S76" s="44"/>
      <c r="T76" s="33"/>
      <c r="U76" s="44"/>
      <c r="V76" s="34"/>
      <c r="W76" s="39"/>
    </row>
    <row r="77" spans="14:23" x14ac:dyDescent="0.2">
      <c r="N77" s="4"/>
      <c r="O77" s="4"/>
      <c r="P77" s="33"/>
      <c r="Q77" s="44"/>
      <c r="R77" s="34"/>
      <c r="S77" s="44"/>
      <c r="T77" s="33"/>
      <c r="U77" s="44"/>
      <c r="V77" s="34"/>
      <c r="W77" s="39"/>
    </row>
    <row r="78" spans="14:23" x14ac:dyDescent="0.2">
      <c r="N78" s="4"/>
      <c r="O78" s="4"/>
      <c r="P78" s="33"/>
      <c r="Q78" s="44"/>
      <c r="R78" s="34"/>
      <c r="S78" s="44"/>
      <c r="T78" s="33"/>
      <c r="U78" s="44"/>
      <c r="V78" s="34"/>
      <c r="W78" s="39"/>
    </row>
    <row r="79" spans="14:23" x14ac:dyDescent="0.2">
      <c r="N79" s="4"/>
      <c r="O79" s="4"/>
      <c r="P79" s="33"/>
      <c r="Q79" s="44"/>
      <c r="R79" s="34"/>
      <c r="S79" s="44"/>
      <c r="T79" s="33"/>
      <c r="U79" s="44"/>
      <c r="V79" s="34"/>
      <c r="W79" s="39"/>
    </row>
    <row r="80" spans="14:23" x14ac:dyDescent="0.2">
      <c r="N80" s="4"/>
      <c r="O80" s="4"/>
      <c r="P80" s="33"/>
      <c r="Q80" s="44"/>
      <c r="R80" s="34"/>
      <c r="S80" s="44"/>
      <c r="T80" s="33"/>
      <c r="U80" s="44"/>
      <c r="V80" s="34"/>
      <c r="W80" s="39"/>
    </row>
    <row r="81" spans="14:23" x14ac:dyDescent="0.2">
      <c r="N81" s="4"/>
      <c r="O81" s="4"/>
      <c r="P81" s="33"/>
      <c r="Q81" s="44"/>
      <c r="R81" s="34"/>
      <c r="S81" s="44"/>
      <c r="T81" s="33"/>
      <c r="U81" s="44"/>
      <c r="V81" s="34"/>
      <c r="W81" s="39"/>
    </row>
    <row r="82" spans="14:23" x14ac:dyDescent="0.2">
      <c r="N82" s="4"/>
      <c r="O82" s="4"/>
      <c r="P82" s="33"/>
      <c r="Q82" s="44"/>
      <c r="R82" s="34"/>
      <c r="S82" s="44"/>
      <c r="T82" s="33"/>
      <c r="U82" s="44"/>
      <c r="V82" s="34"/>
      <c r="W82" s="39"/>
    </row>
    <row r="83" spans="14:23" x14ac:dyDescent="0.2">
      <c r="N83" s="4"/>
      <c r="O83" s="4"/>
      <c r="P83" s="33"/>
      <c r="Q83" s="44"/>
      <c r="R83" s="34"/>
      <c r="S83" s="44"/>
      <c r="T83" s="33"/>
      <c r="U83" s="44"/>
      <c r="V83" s="34"/>
      <c r="W83" s="39"/>
    </row>
    <row r="84" spans="14:23" x14ac:dyDescent="0.2">
      <c r="N84" s="4"/>
      <c r="O84" s="4"/>
      <c r="P84" s="33"/>
      <c r="Q84" s="44"/>
      <c r="R84" s="34"/>
      <c r="S84" s="44"/>
      <c r="T84" s="33"/>
      <c r="U84" s="44"/>
      <c r="V84" s="34"/>
      <c r="W84" s="39"/>
    </row>
    <row r="85" spans="14:23" x14ac:dyDescent="0.2">
      <c r="N85" s="4"/>
      <c r="O85" s="4"/>
      <c r="P85" s="33"/>
      <c r="Q85" s="44"/>
      <c r="R85" s="34"/>
      <c r="S85" s="44"/>
      <c r="T85" s="33"/>
      <c r="U85" s="44"/>
      <c r="V85" s="34"/>
      <c r="W85" s="39"/>
    </row>
    <row r="86" spans="14:23" x14ac:dyDescent="0.2">
      <c r="N86" s="4"/>
      <c r="O86" s="4"/>
      <c r="P86" s="33"/>
      <c r="Q86" s="44"/>
      <c r="R86" s="34"/>
      <c r="S86" s="44"/>
      <c r="T86" s="33"/>
      <c r="U86" s="44"/>
      <c r="V86" s="34"/>
      <c r="W86" s="39"/>
    </row>
    <row r="87" spans="14:23" x14ac:dyDescent="0.2">
      <c r="N87" s="4"/>
      <c r="O87" s="4"/>
      <c r="P87" s="33"/>
      <c r="Q87" s="44"/>
      <c r="R87" s="34"/>
      <c r="S87" s="44"/>
      <c r="T87" s="33"/>
      <c r="U87" s="44"/>
      <c r="V87" s="34"/>
      <c r="W87" s="39"/>
    </row>
    <row r="88" spans="14:23" x14ac:dyDescent="0.2">
      <c r="N88" s="4"/>
      <c r="O88" s="4"/>
      <c r="P88" s="33"/>
      <c r="Q88" s="44"/>
      <c r="R88" s="34"/>
      <c r="S88" s="44"/>
      <c r="T88" s="33"/>
      <c r="U88" s="44"/>
      <c r="V88" s="34"/>
      <c r="W88" s="39"/>
    </row>
    <row r="89" spans="14:23" x14ac:dyDescent="0.2">
      <c r="N89" s="4"/>
      <c r="O89" s="4"/>
      <c r="P89" s="33"/>
      <c r="Q89" s="44"/>
      <c r="R89" s="34"/>
      <c r="S89" s="44"/>
      <c r="T89" s="33"/>
      <c r="U89" s="44"/>
      <c r="V89" s="34"/>
      <c r="W89" s="39"/>
    </row>
    <row r="90" spans="14:23" x14ac:dyDescent="0.2">
      <c r="N90" s="4"/>
      <c r="O90" s="4"/>
      <c r="P90" s="33"/>
      <c r="Q90" s="44"/>
      <c r="R90" s="34"/>
      <c r="S90" s="44"/>
      <c r="T90" s="33"/>
      <c r="U90" s="44"/>
      <c r="V90" s="34"/>
      <c r="W90" s="39"/>
    </row>
    <row r="91" spans="14:23" x14ac:dyDescent="0.2">
      <c r="N91" s="4"/>
      <c r="O91" s="4"/>
      <c r="P91" s="33"/>
      <c r="Q91" s="44"/>
      <c r="R91" s="34"/>
      <c r="S91" s="44"/>
      <c r="T91" s="33"/>
      <c r="U91" s="44"/>
      <c r="V91" s="34"/>
      <c r="W91" s="39"/>
    </row>
    <row r="92" spans="14:23" x14ac:dyDescent="0.2">
      <c r="N92" s="4"/>
      <c r="O92" s="4"/>
      <c r="P92" s="33"/>
      <c r="Q92" s="44"/>
      <c r="R92" s="34"/>
      <c r="S92" s="44"/>
      <c r="T92" s="33"/>
      <c r="U92" s="44"/>
      <c r="V92" s="34"/>
      <c r="W92" s="39"/>
    </row>
    <row r="93" spans="14:23" x14ac:dyDescent="0.2">
      <c r="N93" s="4"/>
      <c r="O93" s="4"/>
      <c r="P93" s="33"/>
      <c r="Q93" s="44"/>
      <c r="R93" s="34"/>
      <c r="S93" s="44"/>
      <c r="T93" s="33"/>
      <c r="U93" s="44"/>
      <c r="V93" s="34"/>
      <c r="W93" s="39"/>
    </row>
    <row r="94" spans="14:23" x14ac:dyDescent="0.2">
      <c r="N94" s="4"/>
      <c r="O94" s="4"/>
      <c r="P94" s="33"/>
      <c r="Q94" s="44"/>
      <c r="R94" s="34"/>
      <c r="S94" s="44"/>
      <c r="T94" s="33"/>
      <c r="U94" s="44"/>
      <c r="V94" s="34"/>
      <c r="W94" s="39"/>
    </row>
    <row r="95" spans="14:23" x14ac:dyDescent="0.2">
      <c r="N95" s="4"/>
      <c r="O95" s="4"/>
      <c r="P95" s="33"/>
      <c r="Q95" s="44"/>
      <c r="R95" s="34"/>
      <c r="S95" s="44"/>
      <c r="T95" s="33"/>
      <c r="U95" s="44"/>
      <c r="V95" s="34"/>
      <c r="W95" s="39"/>
    </row>
    <row r="96" spans="14:23" x14ac:dyDescent="0.2">
      <c r="N96" s="4"/>
      <c r="O96" s="4"/>
      <c r="P96" s="33"/>
      <c r="Q96" s="44"/>
      <c r="R96" s="34"/>
      <c r="S96" s="44"/>
      <c r="T96" s="33"/>
      <c r="U96" s="44"/>
      <c r="V96" s="34"/>
      <c r="W96" s="39"/>
    </row>
    <row r="97" spans="14:23" x14ac:dyDescent="0.2">
      <c r="N97" s="4"/>
      <c r="O97" s="4"/>
      <c r="P97" s="33"/>
      <c r="Q97" s="44"/>
      <c r="R97" s="34"/>
      <c r="S97" s="44"/>
      <c r="T97" s="33"/>
      <c r="U97" s="44"/>
      <c r="V97" s="34"/>
      <c r="W97" s="39"/>
    </row>
    <row r="98" spans="14:23" x14ac:dyDescent="0.2">
      <c r="N98" s="4"/>
      <c r="O98" s="4"/>
      <c r="P98" s="33"/>
      <c r="Q98" s="44"/>
      <c r="R98" s="34"/>
      <c r="S98" s="44"/>
      <c r="T98" s="33"/>
      <c r="U98" s="44"/>
      <c r="V98" s="34"/>
      <c r="W98" s="39"/>
    </row>
    <row r="99" spans="14:23" x14ac:dyDescent="0.2">
      <c r="N99" s="4"/>
      <c r="O99" s="4"/>
      <c r="P99" s="33"/>
      <c r="Q99" s="44"/>
      <c r="R99" s="34"/>
      <c r="S99" s="44"/>
      <c r="T99" s="33"/>
      <c r="U99" s="44"/>
      <c r="V99" s="34"/>
      <c r="W99" s="39"/>
    </row>
    <row r="100" spans="14:23" x14ac:dyDescent="0.2">
      <c r="N100" s="4"/>
      <c r="O100" s="4"/>
      <c r="P100" s="33"/>
      <c r="Q100" s="44"/>
      <c r="R100" s="34"/>
      <c r="S100" s="44"/>
      <c r="T100" s="33"/>
      <c r="U100" s="44"/>
      <c r="V100" s="34"/>
      <c r="W100" s="39"/>
    </row>
    <row r="101" spans="14:23" x14ac:dyDescent="0.2">
      <c r="N101" s="4"/>
      <c r="O101" s="4"/>
      <c r="P101" s="33"/>
      <c r="Q101" s="44"/>
      <c r="R101" s="34"/>
      <c r="S101" s="44"/>
      <c r="T101" s="33"/>
      <c r="U101" s="44"/>
      <c r="V101" s="34"/>
      <c r="W101" s="39"/>
    </row>
    <row r="102" spans="14:23" x14ac:dyDescent="0.2">
      <c r="N102" s="4"/>
      <c r="O102" s="4"/>
      <c r="P102" s="33"/>
      <c r="Q102" s="44"/>
      <c r="R102" s="34"/>
      <c r="S102" s="44"/>
      <c r="T102" s="33"/>
      <c r="U102" s="44"/>
      <c r="V102" s="34"/>
      <c r="W102" s="39"/>
    </row>
    <row r="103" spans="14:23" x14ac:dyDescent="0.2">
      <c r="N103" s="4"/>
      <c r="O103" s="4"/>
      <c r="P103" s="33"/>
      <c r="Q103" s="44"/>
      <c r="R103" s="34"/>
      <c r="S103" s="44"/>
      <c r="T103" s="33"/>
      <c r="U103" s="44"/>
      <c r="V103" s="34"/>
      <c r="W103" s="39"/>
    </row>
  </sheetData>
  <sheetProtection sheet="1" formatCells="0" formatColumns="0" formatRows="0"/>
  <autoFilter ref="B1:W2" xr:uid="{00000000-0009-0000-0000-000004000000}"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sortState xmlns:xlrd2="http://schemas.microsoft.com/office/spreadsheetml/2017/richdata2" ref="B3:W14">
      <sortCondition ref="F1:F37"/>
    </sortState>
  </autoFilter>
  <mergeCells count="17">
    <mergeCell ref="L1:L2"/>
    <mergeCell ref="F1:F2"/>
    <mergeCell ref="H1:H2"/>
    <mergeCell ref="I1:I2"/>
    <mergeCell ref="J1:J2"/>
    <mergeCell ref="K1:K2"/>
    <mergeCell ref="G1:G2"/>
    <mergeCell ref="A1:A2"/>
    <mergeCell ref="B1:B2"/>
    <mergeCell ref="C1:C2"/>
    <mergeCell ref="D1:D2"/>
    <mergeCell ref="E1:E2"/>
    <mergeCell ref="N1:N2"/>
    <mergeCell ref="O1:O2"/>
    <mergeCell ref="P1:S1"/>
    <mergeCell ref="T1:W1"/>
    <mergeCell ref="M1:M2"/>
  </mergeCells>
  <conditionalFormatting sqref="A1:XFD1048576">
    <cfRule type="expression" dxfId="63" priority="5">
      <formula>IF($F1="17-21",1,0)</formula>
    </cfRule>
    <cfRule type="expression" dxfId="62" priority="6">
      <formula>IF($F1="15-16",1,0)</formula>
    </cfRule>
    <cfRule type="expression" dxfId="61" priority="7">
      <formula>IF($F1="13-14",1,0)</formula>
    </cfRule>
    <cfRule type="expression" dxfId="60" priority="8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W102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43" style="38" bestFit="1" customWidth="1"/>
    <col min="3" max="3" width="8.6640625" style="38" bestFit="1" customWidth="1"/>
    <col min="4" max="4" width="23.332031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18.83203125" style="3" customWidth="1"/>
    <col min="12" max="12" width="18.33203125" style="42" bestFit="1" customWidth="1"/>
    <col min="13" max="13" width="18.6640625" style="42" bestFit="1" customWidth="1"/>
    <col min="14" max="14" width="15.6640625" bestFit="1" customWidth="1"/>
    <col min="15" max="15" width="18.6640625" bestFit="1" customWidth="1"/>
    <col min="16" max="16" width="8.33203125" style="37" bestFit="1" customWidth="1"/>
    <col min="17" max="17" width="11.1640625" style="38" bestFit="1" customWidth="1"/>
    <col min="18" max="18" width="6.6640625" style="38" bestFit="1" customWidth="1"/>
    <col min="19" max="19" width="11" style="38" bestFit="1" customWidth="1"/>
    <col min="20" max="20" width="8.33203125" style="37" bestFit="1" customWidth="1"/>
    <col min="21" max="21" width="11.1640625" style="38" bestFit="1" customWidth="1"/>
    <col min="22" max="22" width="6.6640625" style="38" bestFit="1" customWidth="1"/>
    <col min="23" max="23" width="9" style="41" bestFit="1" customWidth="1"/>
  </cols>
  <sheetData>
    <row r="1" spans="1:23" s="6" customFormat="1" x14ac:dyDescent="0.2">
      <c r="A1" s="65" t="s">
        <v>56</v>
      </c>
      <c r="B1" s="65" t="s">
        <v>0</v>
      </c>
      <c r="C1" s="65" t="s">
        <v>1</v>
      </c>
      <c r="D1" s="70" t="s">
        <v>2</v>
      </c>
      <c r="E1" s="72" t="s">
        <v>31</v>
      </c>
      <c r="F1" s="65" t="s">
        <v>32</v>
      </c>
      <c r="G1" s="65" t="s">
        <v>304</v>
      </c>
      <c r="H1" s="68" t="s">
        <v>44</v>
      </c>
      <c r="I1" s="65" t="s">
        <v>40</v>
      </c>
      <c r="J1" s="65" t="s">
        <v>41</v>
      </c>
      <c r="K1" s="65" t="s">
        <v>70</v>
      </c>
      <c r="L1" s="65" t="s">
        <v>43</v>
      </c>
      <c r="M1" s="65" t="s">
        <v>42</v>
      </c>
      <c r="N1" s="65" t="s">
        <v>114</v>
      </c>
      <c r="O1" s="65" t="s">
        <v>55</v>
      </c>
      <c r="P1" s="67" t="s">
        <v>121</v>
      </c>
      <c r="Q1" s="67"/>
      <c r="R1" s="67"/>
      <c r="S1" s="67"/>
      <c r="T1" s="67" t="s">
        <v>122</v>
      </c>
      <c r="U1" s="67"/>
      <c r="V1" s="67"/>
      <c r="W1" s="67"/>
    </row>
    <row r="2" spans="1:23" s="7" customFormat="1" ht="17" thickBot="1" x14ac:dyDescent="0.25">
      <c r="A2" s="66"/>
      <c r="B2" s="66"/>
      <c r="C2" s="66"/>
      <c r="D2" s="71"/>
      <c r="E2" s="73"/>
      <c r="F2" s="66"/>
      <c r="G2" s="66"/>
      <c r="H2" s="69"/>
      <c r="I2" s="66"/>
      <c r="J2" s="66"/>
      <c r="K2" s="66"/>
      <c r="L2" s="66"/>
      <c r="M2" s="66"/>
      <c r="N2" s="66"/>
      <c r="O2" s="66"/>
      <c r="P2" s="8" t="s">
        <v>35</v>
      </c>
      <c r="Q2" s="7" t="s">
        <v>36</v>
      </c>
      <c r="R2" s="7" t="s">
        <v>37</v>
      </c>
      <c r="S2" s="7" t="s">
        <v>39</v>
      </c>
      <c r="T2" s="8" t="s">
        <v>35</v>
      </c>
      <c r="U2" s="7" t="s">
        <v>36</v>
      </c>
      <c r="V2" s="7" t="s">
        <v>37</v>
      </c>
      <c r="W2" s="9" t="s">
        <v>39</v>
      </c>
    </row>
    <row r="3" spans="1:23" ht="17" thickTop="1" x14ac:dyDescent="0.2">
      <c r="A3" s="1">
        <f t="shared" ref="A3:A9" si="0">IF(M3&lt;&gt;"",SUMPRODUCT((M$3:M$14&lt;&gt;"")*(F$3:F$14=F3)*(M$3:M$14&lt;M3))+1,IF(L3&lt;&gt;"",SUMPRODUCT((M$3:M$14&lt;&gt;"")*(F$3:F$14=F3))+SUMPRODUCT((L$3:L$14&lt;&gt;"")*(F$3:F$14=F3)*(L$3:L$14&lt;L3))+1,IF(K3="P",SUMPRODUCT((L$3:L$14&lt;&gt;"")*(F$3:F$14=F3))+SUMPRODUCT((M$3:M$14&lt;&gt;"")*(F$3:F$14=F3))+1+SUMPRODUCT((K$3:K$14="P")*(F$3:F$14=F3)*(H$3:H$14&gt;H3)*(L$3:L$14="")*(M$3:M$14="")),"")))</f>
        <v>1</v>
      </c>
      <c r="B3" s="38" t="s">
        <v>309</v>
      </c>
      <c r="C3" s="38" t="s">
        <v>6</v>
      </c>
      <c r="D3" s="38" t="s">
        <v>128</v>
      </c>
      <c r="E3" s="37">
        <v>2005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13-14</v>
      </c>
      <c r="G3" s="56"/>
      <c r="H3" s="4">
        <f>SUM(N3:O3)</f>
        <v>85.55</v>
      </c>
      <c r="I3" s="3" t="str">
        <f>IF(MAX(P3,R3,T3,V3)&gt;=LOOKUP(F3,'Qualifying Scores'!$A$4:$A$7,'Qualifying Scores'!$E$4:$E$7),"P","")</f>
        <v>P</v>
      </c>
      <c r="J3" s="3" t="str">
        <f>IF(MAX(Q3,R3,U3,W3)&gt;=LOOKUP(F3,'Qualifying Scores'!$A$10:$A$13,'Qualifying Scores'!$E$10:$E$13),"P","")</f>
        <v>P</v>
      </c>
      <c r="K3" s="3" t="str">
        <f>IF(OR(AND(P3&gt;=LOOKUP(F3,'Qualifying Scores'!$A$4:$A$7,'Qualifying Scores'!$E$4:$E$7),Q3&gt;=LOOKUP(F3,'Qualifying Scores'!$A$10:$A$13,'Qualifying Scores'!$E$10:$E$13)),AND(R3&gt;=LOOKUP(F3,'Qualifying Scores'!$A$4:$A$7,'Qualifying Scores'!$E$4:$E$7),S3&gt;=LOOKUP(F3,'Qualifying Scores'!$A$10:$A$13,'Qualifying Scores'!$E$10:$E$13)),AND(T3&gt;=LOOKUP(F3,'Qualifying Scores'!$A$4:$A$7,'Qualifying Scores'!$E$4:$E$7),U3&gt;=LOOKUP(F3,'Qualifying Scores'!$A$10:$A$13,'Qualifying Scores'!$E$10:$E$13)),AND(V3&gt;=LOOKUP(F3,'Qualifying Scores'!$A$4:$A$7,'Qualifying Scores'!$E$4:$E$7),W3&gt;=LOOKUP(F3,'Qualifying Scores'!$A$10:$A$13,'Qualifying Scores'!$E$10:$E$13))),"P","")</f>
        <v>P</v>
      </c>
      <c r="N3" s="4">
        <f>MAX(P3,T3)</f>
        <v>43.73</v>
      </c>
      <c r="O3" s="4">
        <f>IF(N3=P3,MAX(R3,T3,V3),MAX(P3,R3,V3))</f>
        <v>41.82</v>
      </c>
      <c r="P3" s="33"/>
      <c r="Q3" s="44"/>
      <c r="R3" s="34"/>
      <c r="S3" s="44"/>
      <c r="T3" s="33">
        <v>43.73</v>
      </c>
      <c r="U3" s="44">
        <v>8.3000000000000007</v>
      </c>
      <c r="V3" s="34">
        <v>41.82</v>
      </c>
      <c r="W3" s="39">
        <v>8.3000000000000007</v>
      </c>
    </row>
    <row r="4" spans="1:23" x14ac:dyDescent="0.2">
      <c r="A4" s="1" t="str">
        <f t="shared" si="0"/>
        <v/>
      </c>
      <c r="B4" s="38" t="s">
        <v>204</v>
      </c>
      <c r="C4" s="38" t="s">
        <v>6</v>
      </c>
      <c r="D4" s="38" t="s">
        <v>128</v>
      </c>
      <c r="E4" s="37">
        <v>2003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15-16</v>
      </c>
      <c r="G4" s="56"/>
      <c r="H4" s="4">
        <f>SUM(N4:O4)</f>
        <v>61.83</v>
      </c>
      <c r="I4" s="3" t="str">
        <f>IF(MAX(P4,R4,T4,V4)&gt;=LOOKUP(F4,'Qualifying Scores'!$A$4:$A$7,'Qualifying Scores'!$E$4:$E$7),"P","")</f>
        <v>P</v>
      </c>
      <c r="J4" s="3" t="str">
        <f>IF(MAX(Q4,R4,U4,W4)&gt;=LOOKUP(F4,'Qualifying Scores'!$A$10:$A$13,'Qualifying Scores'!$E$10:$E$13),"P","")</f>
        <v/>
      </c>
      <c r="K4" s="3" t="str">
        <f>IF(OR(AND(P4&gt;=LOOKUP(F4,'Qualifying Scores'!$A$4:$A$7,'Qualifying Scores'!$E$4:$E$7),Q4&gt;=LOOKUP(F4,'Qualifying Scores'!$A$10:$A$13,'Qualifying Scores'!$E$10:$E$13)),AND(R4&gt;=LOOKUP(F4,'Qualifying Scores'!$A$4:$A$7,'Qualifying Scores'!$E$4:$E$7),S4&gt;=LOOKUP(F4,'Qualifying Scores'!$A$10:$A$13,'Qualifying Scores'!$E$10:$E$13)),AND(T4&gt;=LOOKUP(F4,'Qualifying Scores'!$A$4:$A$7,'Qualifying Scores'!$E$4:$E$7),U4&gt;=LOOKUP(F4,'Qualifying Scores'!$A$10:$A$13,'Qualifying Scores'!$E$10:$E$13)),AND(V4&gt;=LOOKUP(F4,'Qualifying Scores'!$A$4:$A$7,'Qualifying Scores'!$E$4:$E$7),W4&gt;=LOOKUP(F4,'Qualifying Scores'!$A$10:$A$13,'Qualifying Scores'!$E$10:$E$13))),"P","")</f>
        <v/>
      </c>
      <c r="N4" s="4">
        <f>MAX(P4,T4)</f>
        <v>44.42</v>
      </c>
      <c r="O4" s="4">
        <f>IF(N4=P4,MAX(R4,T4,V4),MAX(P4,R4,V4))</f>
        <v>17.41</v>
      </c>
      <c r="P4" s="33">
        <v>17.41</v>
      </c>
      <c r="Q4" s="44">
        <v>3.4</v>
      </c>
      <c r="R4" s="34"/>
      <c r="S4" s="44"/>
      <c r="T4" s="33">
        <v>44.42</v>
      </c>
      <c r="U4" s="44">
        <v>8.4</v>
      </c>
      <c r="V4" s="34">
        <v>8.5299999999999994</v>
      </c>
      <c r="W4" s="39">
        <v>1.1000000000000001</v>
      </c>
    </row>
    <row r="5" spans="1:23" x14ac:dyDescent="0.2">
      <c r="A5" s="1">
        <f t="shared" si="0"/>
        <v>1</v>
      </c>
      <c r="B5" s="38" t="s">
        <v>142</v>
      </c>
      <c r="C5" s="38" t="s">
        <v>6</v>
      </c>
      <c r="D5" s="38" t="s">
        <v>128</v>
      </c>
      <c r="E5" s="37">
        <v>2001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17-21</v>
      </c>
      <c r="G5" s="56" t="s">
        <v>305</v>
      </c>
      <c r="H5" s="4">
        <f>SUM(N5:O5)</f>
        <v>111.485</v>
      </c>
      <c r="I5" s="3" t="str">
        <f>IF(MAX(P5,R5,T5,V5)&gt;=LOOKUP(F5,'Qualifying Scores'!$A$4:$A$7,'Qualifying Scores'!$E$4:$E$7),"P","")</f>
        <v>P</v>
      </c>
      <c r="J5" s="3" t="str">
        <f>IF(MAX(Q5,R5,U5,W5)&gt;=LOOKUP(F5,'Qualifying Scores'!$A$10:$A$13,'Qualifying Scores'!$E$10:$E$13),"P","")</f>
        <v>P</v>
      </c>
      <c r="K5" s="3" t="str">
        <f>IF(OR(AND(P5&gt;=LOOKUP(F5,'Qualifying Scores'!$A$4:$A$7,'Qualifying Scores'!$E$4:$E$7),Q5&gt;=LOOKUP(F5,'Qualifying Scores'!$A$10:$A$13,'Qualifying Scores'!$E$10:$E$13)),AND(R5&gt;=LOOKUP(F5,'Qualifying Scores'!$A$4:$A$7,'Qualifying Scores'!$E$4:$E$7),S5&gt;=LOOKUP(F5,'Qualifying Scores'!$A$10:$A$13,'Qualifying Scores'!$E$10:$E$13)),AND(T5&gt;=LOOKUP(F5,'Qualifying Scores'!$A$4:$A$7,'Qualifying Scores'!$E$4:$E$7),U5&gt;=LOOKUP(F5,'Qualifying Scores'!$A$10:$A$13,'Qualifying Scores'!$E$10:$E$13)),AND(V5&gt;=LOOKUP(F5,'Qualifying Scores'!$A$4:$A$7,'Qualifying Scores'!$E$4:$E$7),W5&gt;=LOOKUP(F5,'Qualifying Scores'!$A$10:$A$13,'Qualifying Scores'!$E$10:$E$13))),"P","")</f>
        <v>P</v>
      </c>
      <c r="N5" s="4">
        <f>MAX(P5,T5)</f>
        <v>66.594999999999999</v>
      </c>
      <c r="O5" s="4">
        <f>IF(N5=P5,MAX(R5,T5,V5),MAX(P5,R5,V5))</f>
        <v>44.89</v>
      </c>
      <c r="P5" s="33">
        <v>66.594999999999999</v>
      </c>
      <c r="Q5" s="44">
        <v>6.8</v>
      </c>
      <c r="R5" s="34"/>
      <c r="S5" s="44"/>
      <c r="T5" s="33">
        <v>44.89</v>
      </c>
      <c r="U5" s="44">
        <v>10.5</v>
      </c>
      <c r="V5" s="34">
        <v>7.32</v>
      </c>
      <c r="W5" s="39">
        <v>2.2999999999999998</v>
      </c>
    </row>
    <row r="6" spans="1:23" x14ac:dyDescent="0.2">
      <c r="A6" s="1">
        <f t="shared" si="0"/>
        <v>2</v>
      </c>
      <c r="B6" s="38" t="s">
        <v>311</v>
      </c>
      <c r="C6" s="38" t="s">
        <v>12</v>
      </c>
      <c r="D6" s="38" t="s">
        <v>310</v>
      </c>
      <c r="E6" s="37">
        <v>1998</v>
      </c>
      <c r="F6" s="1" t="str">
        <f>IF('Qualifying Scores'!$B$1-E6&gt;21,"Not Age Eligible",IF('Qualifying Scores'!$B$1-E6&gt;16,"17-21",IF('Qualifying Scores'!$B$1-E6&gt;14,"15-16",IF('Qualifying Scores'!$B$1-E6&gt;12,"13-14",IF('Qualifying Scores'!$B$1-E6&gt;10,"11-12,""Not Age Eligible")))))</f>
        <v>17-21</v>
      </c>
      <c r="G6" s="56"/>
      <c r="H6" s="4">
        <f>SUM(N6:O6)</f>
        <v>87.38</v>
      </c>
      <c r="I6" s="3" t="str">
        <f>IF(MAX(P6,R6,T6,V6)&gt;=LOOKUP(F6,'Qualifying Scores'!$A$4:$A$7,'Qualifying Scores'!$E$4:$E$7),"P","")</f>
        <v>P</v>
      </c>
      <c r="J6" s="3" t="str">
        <f>IF(MAX(Q6,R6,U6,W6)&gt;=LOOKUP(F6,'Qualifying Scores'!$A$10:$A$13,'Qualifying Scores'!$E$10:$E$13),"P","")</f>
        <v>P</v>
      </c>
      <c r="K6" s="3" t="str">
        <f>IF(OR(AND(P6&gt;=LOOKUP(F6,'Qualifying Scores'!$A$4:$A$7,'Qualifying Scores'!$E$4:$E$7),Q6&gt;=LOOKUP(F6,'Qualifying Scores'!$A$10:$A$13,'Qualifying Scores'!$E$10:$E$13)),AND(R6&gt;=LOOKUP(F6,'Qualifying Scores'!$A$4:$A$7,'Qualifying Scores'!$E$4:$E$7),S6&gt;=LOOKUP(F6,'Qualifying Scores'!$A$10:$A$13,'Qualifying Scores'!$E$10:$E$13)),AND(T6&gt;=LOOKUP(F6,'Qualifying Scores'!$A$4:$A$7,'Qualifying Scores'!$E$4:$E$7),U6&gt;=LOOKUP(F6,'Qualifying Scores'!$A$10:$A$13,'Qualifying Scores'!$E$10:$E$13)),AND(V6&gt;=LOOKUP(F6,'Qualifying Scores'!$A$4:$A$7,'Qualifying Scores'!$E$4:$E$7),W6&gt;=LOOKUP(F6,'Qualifying Scores'!$A$10:$A$13,'Qualifying Scores'!$E$10:$E$13))),"P","")</f>
        <v>P</v>
      </c>
      <c r="N6" s="4">
        <f>MAX(P6,T6)</f>
        <v>44.35</v>
      </c>
      <c r="O6" s="4">
        <f>IF(N6=P6,MAX(R6,T6,V6),MAX(P6,R6,V6))</f>
        <v>43.03</v>
      </c>
      <c r="P6" s="33"/>
      <c r="Q6" s="44"/>
      <c r="R6" s="34"/>
      <c r="S6" s="44"/>
      <c r="T6" s="33">
        <v>44.35</v>
      </c>
      <c r="U6" s="44">
        <v>9.1999999999999993</v>
      </c>
      <c r="V6" s="34">
        <v>43.03</v>
      </c>
      <c r="W6" s="39">
        <v>9.1999999999999993</v>
      </c>
    </row>
    <row r="7" spans="1:23" x14ac:dyDescent="0.2">
      <c r="A7" s="1" t="str">
        <f t="shared" si="0"/>
        <v/>
      </c>
      <c r="B7" s="38" t="s">
        <v>206</v>
      </c>
      <c r="C7" s="38" t="s">
        <v>4</v>
      </c>
      <c r="D7" s="38" t="s">
        <v>140</v>
      </c>
      <c r="E7" s="37">
        <v>1999</v>
      </c>
      <c r="F7" s="1" t="str">
        <f>IF('Qualifying Scores'!$B$1-E7&gt;21,"Not Age Eligible",IF('Qualifying Scores'!$B$1-E7&gt;16,"17-21",IF('Qualifying Scores'!$B$1-E7&gt;14,"15-16",IF('Qualifying Scores'!$B$1-E7&gt;12,"13-14",IF('Qualifying Scores'!$B$1-E7&gt;10,"11-12,""Not Age Eligible")))))</f>
        <v>17-21</v>
      </c>
      <c r="G7" s="56"/>
      <c r="H7" s="4">
        <f>SUM(N7:O7)</f>
        <v>85.47999999999999</v>
      </c>
      <c r="I7" s="3" t="str">
        <f>IF(MAX(P7,R7,T7,V7)&gt;=LOOKUP(F7,'Qualifying Scores'!$A$4:$A$7,'Qualifying Scores'!$E$4:$E$7),"P","")</f>
        <v>P</v>
      </c>
      <c r="J7" s="3" t="str">
        <f>IF(MAX(Q7,R7,U7,W7)&gt;=LOOKUP(F7,'Qualifying Scores'!$A$10:$A$13,'Qualifying Scores'!$E$10:$E$13),"P","")</f>
        <v/>
      </c>
      <c r="K7" s="3" t="str">
        <f>IF(OR(AND(P7&gt;=LOOKUP(F7,'Qualifying Scores'!$A$4:$A$7,'Qualifying Scores'!$E$4:$E$7),Q7&gt;=LOOKUP(F7,'Qualifying Scores'!$A$10:$A$13,'Qualifying Scores'!$E$10:$E$13)),AND(R7&gt;=LOOKUP(F7,'Qualifying Scores'!$A$4:$A$7,'Qualifying Scores'!$E$4:$E$7),S7&gt;=LOOKUP(F7,'Qualifying Scores'!$A$10:$A$13,'Qualifying Scores'!$E$10:$E$13)),AND(T7&gt;=LOOKUP(F7,'Qualifying Scores'!$A$4:$A$7,'Qualifying Scores'!$E$4:$E$7),U7&gt;=LOOKUP(F7,'Qualifying Scores'!$A$10:$A$13,'Qualifying Scores'!$E$10:$E$13)),AND(V7&gt;=LOOKUP(F7,'Qualifying Scores'!$A$4:$A$7,'Qualifying Scores'!$E$4:$E$7),W7&gt;=LOOKUP(F7,'Qualifying Scores'!$A$10:$A$13,'Qualifying Scores'!$E$10:$E$13))),"P","")</f>
        <v/>
      </c>
      <c r="N7" s="4">
        <f>MAX(P7,T7)</f>
        <v>44.01</v>
      </c>
      <c r="O7" s="4">
        <f>IF(N7=P7,MAX(R7,T7,V7),MAX(P7,R7,V7))</f>
        <v>41.47</v>
      </c>
      <c r="P7" s="33">
        <v>13.785</v>
      </c>
      <c r="Q7" s="44">
        <v>2.8</v>
      </c>
      <c r="R7" s="34"/>
      <c r="S7" s="44"/>
      <c r="T7" s="33">
        <v>44.01</v>
      </c>
      <c r="U7" s="44">
        <v>7.6</v>
      </c>
      <c r="V7" s="34">
        <v>41.47</v>
      </c>
      <c r="W7" s="39">
        <v>7.6</v>
      </c>
    </row>
    <row r="8" spans="1:23" x14ac:dyDescent="0.2">
      <c r="A8" s="1" t="str">
        <f t="shared" si="0"/>
        <v/>
      </c>
      <c r="B8" s="38" t="s">
        <v>312</v>
      </c>
      <c r="C8" s="38" t="s">
        <v>4</v>
      </c>
      <c r="E8" s="37">
        <v>2002</v>
      </c>
      <c r="F8" s="1" t="str">
        <f>IF('Qualifying Scores'!$B$1-E8&gt;21,"Not Age Eligible",IF('Qualifying Scores'!$B$1-E8&gt;16,"17-21",IF('Qualifying Scores'!$B$1-E8&gt;14,"15-16",IF('Qualifying Scores'!$B$1-E8&gt;12,"13-14",IF('Qualifying Scores'!$B$1-E8&gt;10,"11-12,""Not Age Eligible")))))</f>
        <v>17-21</v>
      </c>
      <c r="G8" s="56"/>
      <c r="H8" s="4">
        <f>SUM(N8:O8)</f>
        <v>76.69</v>
      </c>
      <c r="I8" s="3" t="str">
        <f>IF(MAX(P8,R8,T8,V8)&gt;=LOOKUP(F8,'Qualifying Scores'!$A$4:$A$7,'Qualifying Scores'!$E$4:$E$7),"P","")</f>
        <v/>
      </c>
      <c r="J8" s="3" t="str">
        <f>IF(MAX(Q8,R8,U8,W8)&gt;=LOOKUP(F8,'Qualifying Scores'!$A$10:$A$13,'Qualifying Scores'!$E$10:$E$13),"P","")</f>
        <v/>
      </c>
      <c r="K8" s="3" t="str">
        <f>IF(OR(AND(P8&gt;=LOOKUP(F8,'Qualifying Scores'!$A$4:$A$7,'Qualifying Scores'!$E$4:$E$7),Q8&gt;=LOOKUP(F8,'Qualifying Scores'!$A$10:$A$13,'Qualifying Scores'!$E$10:$E$13)),AND(R8&gt;=LOOKUP(F8,'Qualifying Scores'!$A$4:$A$7,'Qualifying Scores'!$E$4:$E$7),S8&gt;=LOOKUP(F8,'Qualifying Scores'!$A$10:$A$13,'Qualifying Scores'!$E$10:$E$13)),AND(T8&gt;=LOOKUP(F8,'Qualifying Scores'!$A$4:$A$7,'Qualifying Scores'!$E$4:$E$7),U8&gt;=LOOKUP(F8,'Qualifying Scores'!$A$10:$A$13,'Qualifying Scores'!$E$10:$E$13)),AND(V8&gt;=LOOKUP(F8,'Qualifying Scores'!$A$4:$A$7,'Qualifying Scores'!$E$4:$E$7),W8&gt;=LOOKUP(F8,'Qualifying Scores'!$A$10:$A$13,'Qualifying Scores'!$E$10:$E$13))),"P","")</f>
        <v/>
      </c>
      <c r="N8" s="4">
        <f>MAX(P8,T8)</f>
        <v>41.27</v>
      </c>
      <c r="O8" s="4">
        <f>IF(N8=P8,MAX(R8,T8,V8),MAX(P8,R8,V8))</f>
        <v>35.42</v>
      </c>
      <c r="P8" s="33"/>
      <c r="Q8" s="44"/>
      <c r="R8" s="34"/>
      <c r="S8" s="44"/>
      <c r="T8" s="33">
        <v>41.27</v>
      </c>
      <c r="U8" s="44">
        <v>8.4</v>
      </c>
      <c r="V8" s="34">
        <v>35.42</v>
      </c>
      <c r="W8" s="39">
        <v>7.2</v>
      </c>
    </row>
    <row r="9" spans="1:23" x14ac:dyDescent="0.2">
      <c r="A9" s="1">
        <f t="shared" si="0"/>
        <v>3</v>
      </c>
      <c r="B9" s="38" t="s">
        <v>96</v>
      </c>
      <c r="C9" s="38" t="s">
        <v>4</v>
      </c>
      <c r="D9" s="38" t="s">
        <v>5</v>
      </c>
      <c r="E9" s="37">
        <v>1998</v>
      </c>
      <c r="F9" s="1" t="str">
        <f>IF('Qualifying Scores'!$B$1-E9&gt;21,"Not Age Eligible",IF('Qualifying Scores'!$B$1-E9&gt;16,"17-21",IF('Qualifying Scores'!$B$1-E9&gt;14,"15-16",IF('Qualifying Scores'!$B$1-E9&gt;12,"13-14",IF('Qualifying Scores'!$B$1-E9&gt;10,"11-12,""Not Age Eligible")))))</f>
        <v>17-21</v>
      </c>
      <c r="G9" s="56" t="s">
        <v>305</v>
      </c>
      <c r="H9" s="4">
        <f>SUM(N9:O9)</f>
        <v>60.775000000000006</v>
      </c>
      <c r="I9" s="3" t="str">
        <f>IF(MAX(P9,R9,T9,V9)&gt;=LOOKUP(F9,'Qualifying Scores'!$A$4:$A$7,'Qualifying Scores'!$E$4:$E$7),"P","")</f>
        <v>P</v>
      </c>
      <c r="J9" s="3" t="str">
        <f>IF(MAX(Q9,R9,U9,W9)&gt;=LOOKUP(F9,'Qualifying Scores'!$A$10:$A$13,'Qualifying Scores'!$E$10:$E$13),"P","")</f>
        <v>P</v>
      </c>
      <c r="K9" s="3" t="str">
        <f>IF(OR(AND(P9&gt;=LOOKUP(F9,'Qualifying Scores'!$A$4:$A$7,'Qualifying Scores'!$E$4:$E$7),Q9&gt;=LOOKUP(F9,'Qualifying Scores'!$A$10:$A$13,'Qualifying Scores'!$E$10:$E$13)),AND(R9&gt;=LOOKUP(F9,'Qualifying Scores'!$A$4:$A$7,'Qualifying Scores'!$E$4:$E$7),S9&gt;=LOOKUP(F9,'Qualifying Scores'!$A$10:$A$13,'Qualifying Scores'!$E$10:$E$13)),AND(T9&gt;=LOOKUP(F9,'Qualifying Scores'!$A$4:$A$7,'Qualifying Scores'!$E$4:$E$7),U9&gt;=LOOKUP(F9,'Qualifying Scores'!$A$10:$A$13,'Qualifying Scores'!$E$10:$E$13)),AND(V9&gt;=LOOKUP(F9,'Qualifying Scores'!$A$4:$A$7,'Qualifying Scores'!$E$4:$E$7),W9&gt;=LOOKUP(F9,'Qualifying Scores'!$A$10:$A$13,'Qualifying Scores'!$E$10:$E$13))),"P","")</f>
        <v>P</v>
      </c>
      <c r="N9" s="4">
        <f>MAX(P9,T9)</f>
        <v>43.365000000000002</v>
      </c>
      <c r="O9" s="4">
        <f>IF(N9=P9,MAX(R9,T9,V9),MAX(P9,R9,V9))</f>
        <v>17.41</v>
      </c>
      <c r="P9" s="33">
        <v>43.365000000000002</v>
      </c>
      <c r="Q9" s="44">
        <v>9.4</v>
      </c>
      <c r="R9" s="34">
        <v>16.86</v>
      </c>
      <c r="S9" s="44">
        <v>4.4000000000000004</v>
      </c>
      <c r="T9" s="33">
        <v>17.41</v>
      </c>
      <c r="U9" s="44">
        <v>4.4000000000000004</v>
      </c>
      <c r="V9" s="34"/>
      <c r="W9" s="39"/>
    </row>
    <row r="10" spans="1:23" x14ac:dyDescent="0.2">
      <c r="A10" s="1">
        <f t="shared" ref="A10" si="1">IF(M10&lt;&gt;"",SUMPRODUCT((M$3:M$14&lt;&gt;"")*(F$3:F$14=F10)*(M$3:M$14&lt;M10))+1,IF(L10&lt;&gt;"",SUMPRODUCT((M$3:M$14&lt;&gt;"")*(F$3:F$14=F10))+SUMPRODUCT((L$3:L$14&lt;&gt;"")*(F$3:F$14=F10)*(L$3:L$14&lt;L10))+1,IF(K10="P",SUMPRODUCT((L$3:L$14&lt;&gt;"")*(F$3:F$14=F10))+SUMPRODUCT((M$3:M$14&lt;&gt;"")*(F$3:F$14=F10))+1+SUMPRODUCT((K$3:K$14="P")*(F$3:F$14=F10)*(H$3:H$14&gt;H10)*(L$3:L$14="")*(M$3:M$14="")),"")))</f>
        <v>4</v>
      </c>
      <c r="B10" s="38" t="s">
        <v>315</v>
      </c>
      <c r="C10" s="38" t="s">
        <v>314</v>
      </c>
      <c r="D10" s="38" t="s">
        <v>313</v>
      </c>
      <c r="E10" s="37">
        <v>1998</v>
      </c>
      <c r="F10" s="1" t="str">
        <f>IF('Qualifying Scores'!$B$1-E10&gt;21,"Not Age Eligible",IF('Qualifying Scores'!$B$1-E10&gt;16,"17-21",IF('Qualifying Scores'!$B$1-E10&gt;14,"15-16",IF('Qualifying Scores'!$B$1-E10&gt;12,"13-14",IF('Qualifying Scores'!$B$1-E10&gt;10,"11-12,""Not Age Eligible")))))</f>
        <v>17-21</v>
      </c>
      <c r="G10" s="56"/>
      <c r="H10" s="4">
        <f>SUM(N10:O10)</f>
        <v>58.28</v>
      </c>
      <c r="I10" s="3" t="str">
        <f>IF(MAX(P10,R10,T10,V10)&gt;=LOOKUP(F10,'Qualifying Scores'!$A$4:$A$7,'Qualifying Scores'!$E$4:$E$7),"P","")</f>
        <v>P</v>
      </c>
      <c r="J10" s="3" t="str">
        <f>IF(MAX(Q10,R10,U10,W10)&gt;=LOOKUP(F10,'Qualifying Scores'!$A$10:$A$13,'Qualifying Scores'!$E$10:$E$13),"P","")</f>
        <v>P</v>
      </c>
      <c r="K10" s="3" t="str">
        <f>IF(OR(AND(P10&gt;=LOOKUP(F10,'Qualifying Scores'!$A$4:$A$7,'Qualifying Scores'!$E$4:$E$7),Q10&gt;=LOOKUP(F10,'Qualifying Scores'!$A$10:$A$13,'Qualifying Scores'!$E$10:$E$13)),AND(R10&gt;=LOOKUP(F10,'Qualifying Scores'!$A$4:$A$7,'Qualifying Scores'!$E$4:$E$7),S10&gt;=LOOKUP(F10,'Qualifying Scores'!$A$10:$A$13,'Qualifying Scores'!$E$10:$E$13)),AND(T10&gt;=LOOKUP(F10,'Qualifying Scores'!$A$4:$A$7,'Qualifying Scores'!$E$4:$E$7),U10&gt;=LOOKUP(F10,'Qualifying Scores'!$A$10:$A$13,'Qualifying Scores'!$E$10:$E$13)),AND(V10&gt;=LOOKUP(F10,'Qualifying Scores'!$A$4:$A$7,'Qualifying Scores'!$E$4:$E$7),W10&gt;=LOOKUP(F10,'Qualifying Scores'!$A$10:$A$13,'Qualifying Scores'!$E$10:$E$13))),"P","")</f>
        <v>P</v>
      </c>
      <c r="N10" s="4">
        <f>MAX(P10,T10)</f>
        <v>13.25</v>
      </c>
      <c r="O10" s="4">
        <f>IF(N10=P10,MAX(R10,T10,V10),MAX(P10,R10,V10))</f>
        <v>45.03</v>
      </c>
      <c r="P10" s="33"/>
      <c r="Q10" s="44"/>
      <c r="R10" s="34"/>
      <c r="S10" s="44"/>
      <c r="T10" s="33">
        <v>13.25</v>
      </c>
      <c r="U10" s="44">
        <v>3.4</v>
      </c>
      <c r="V10" s="34">
        <v>45.03</v>
      </c>
      <c r="W10" s="39">
        <v>10.5</v>
      </c>
    </row>
    <row r="11" spans="1:23" x14ac:dyDescent="0.2">
      <c r="A11" s="1" t="str">
        <f t="shared" ref="A11" si="2">IF(M11&lt;&gt;"",SUMPRODUCT((M$3:M$14&lt;&gt;"")*(F$3:F$14=F11)*(M$3:M$14&lt;M11))+1,IF(L11&lt;&gt;"",SUMPRODUCT((M$3:M$14&lt;&gt;"")*(F$3:F$14=F11))+SUMPRODUCT((L$3:L$14&lt;&gt;"")*(F$3:F$14=F11)*(L$3:L$14&lt;L11))+1,IF(K11="P",SUMPRODUCT((L$3:L$14&lt;&gt;"")*(F$3:F$14=F11))+SUMPRODUCT((M$3:M$14&lt;&gt;"")*(F$3:F$14=F11))+1+SUMPRODUCT((K$3:K$14="P")*(F$3:F$14=F11)*(H$3:H$14&gt;H11)*(L$3:L$14="")*(M$3:M$14="")),"")))</f>
        <v/>
      </c>
      <c r="B11" s="38" t="s">
        <v>95</v>
      </c>
      <c r="C11" s="38" t="s">
        <v>8</v>
      </c>
      <c r="D11" s="38" t="s">
        <v>9</v>
      </c>
      <c r="E11" s="37">
        <v>2001</v>
      </c>
      <c r="F11" s="1" t="str">
        <f>IF('Qualifying Scores'!$B$1-E11&gt;21,"Not Age Eligible",IF('Qualifying Scores'!$B$1-E11&gt;16,"17-21",IF('Qualifying Scores'!$B$1-E11&gt;14,"15-16",IF('Qualifying Scores'!$B$1-E11&gt;12,"13-14",IF('Qualifying Scores'!$B$1-E11&gt;10,"11-12,""Not Age Eligible")))))</f>
        <v>17-21</v>
      </c>
      <c r="G11" s="56" t="s">
        <v>305</v>
      </c>
      <c r="H11" s="4">
        <f>SUM(N11:O11)</f>
        <v>32.08</v>
      </c>
      <c r="I11" s="3" t="str">
        <f>IF(MAX(P11,R11,T11,V11)&gt;=LOOKUP(F11,'Qualifying Scores'!$A$4:$A$7,'Qualifying Scores'!$E$4:$E$7),"P","")</f>
        <v/>
      </c>
      <c r="J11" s="3" t="str">
        <f>IF(MAX(Q11,R11,U11,W11)&gt;=LOOKUP(F11,'Qualifying Scores'!$A$10:$A$13,'Qualifying Scores'!$E$10:$E$13),"P","")</f>
        <v/>
      </c>
      <c r="K11" s="3" t="str">
        <f>IF(OR(AND(P11&gt;=LOOKUP(F11,'Qualifying Scores'!$A$4:$A$7,'Qualifying Scores'!$E$4:$E$7),Q11&gt;=LOOKUP(F11,'Qualifying Scores'!$A$10:$A$13,'Qualifying Scores'!$E$10:$E$13)),AND(R11&gt;=LOOKUP(F11,'Qualifying Scores'!$A$4:$A$7,'Qualifying Scores'!$E$4:$E$7),S11&gt;=LOOKUP(F11,'Qualifying Scores'!$A$10:$A$13,'Qualifying Scores'!$E$10:$E$13)),AND(T11&gt;=LOOKUP(F11,'Qualifying Scores'!$A$4:$A$7,'Qualifying Scores'!$E$4:$E$7),U11&gt;=LOOKUP(F11,'Qualifying Scores'!$A$10:$A$13,'Qualifying Scores'!$E$10:$E$13)),AND(V11&gt;=LOOKUP(F11,'Qualifying Scores'!$A$4:$A$7,'Qualifying Scores'!$E$4:$E$7),W11&gt;=LOOKUP(F11,'Qualifying Scores'!$A$10:$A$13,'Qualifying Scores'!$E$10:$E$13))),"P","")</f>
        <v/>
      </c>
      <c r="N11" s="4">
        <f>MAX(P11,T11)</f>
        <v>18.64</v>
      </c>
      <c r="O11" s="4">
        <f>IF(N11=P11,MAX(R11,T11,V11),MAX(P11,R11,V11))</f>
        <v>13.44</v>
      </c>
      <c r="P11" s="33">
        <v>18.64</v>
      </c>
      <c r="Q11" s="44">
        <v>4.5999999999999996</v>
      </c>
      <c r="R11" s="34"/>
      <c r="S11" s="44"/>
      <c r="T11" s="33">
        <v>13.44</v>
      </c>
      <c r="U11" s="44">
        <v>3.4</v>
      </c>
      <c r="V11" s="34"/>
      <c r="W11" s="39"/>
    </row>
    <row r="12" spans="1:23" x14ac:dyDescent="0.2">
      <c r="A12" s="1" t="str">
        <f t="shared" ref="A12" si="3">IF(M12&lt;&gt;"",SUMPRODUCT((M$3:M$14&lt;&gt;"")*(F$3:F$14=F12)*(M$3:M$14&lt;M12))+1,IF(L12&lt;&gt;"",SUMPRODUCT((M$3:M$14&lt;&gt;"")*(F$3:F$14=F12))+SUMPRODUCT((L$3:L$14&lt;&gt;"")*(F$3:F$14=F12)*(L$3:L$14&lt;L12))+1,IF(K12="P",SUMPRODUCT((L$3:L$14&lt;&gt;"")*(F$3:F$14=F12))+SUMPRODUCT((M$3:M$14&lt;&gt;"")*(F$3:F$14=F12))+1+SUMPRODUCT((K$3:K$14="P")*(F$3:F$14=F12)*(H$3:H$14&gt;H12)*(L$3:L$14="")*(M$3:M$14="")),"")))</f>
        <v/>
      </c>
      <c r="B12" s="38" t="s">
        <v>205</v>
      </c>
      <c r="C12" s="38" t="s">
        <v>4</v>
      </c>
      <c r="D12" s="38" t="s">
        <v>140</v>
      </c>
      <c r="E12" s="37">
        <v>2002</v>
      </c>
      <c r="F12" s="1" t="str">
        <f>IF('Qualifying Scores'!$B$1-E12&gt;21,"Not Age Eligible",IF('Qualifying Scores'!$B$1-E12&gt;16,"17-21",IF('Qualifying Scores'!$B$1-E12&gt;14,"15-16",IF('Qualifying Scores'!$B$1-E12&gt;12,"13-14",IF('Qualifying Scores'!$B$1-E12&gt;10,"11-12,""Not Age Eligible")))))</f>
        <v>17-21</v>
      </c>
      <c r="G12" s="56"/>
      <c r="H12" s="4">
        <f>SUM(N12:O12)</f>
        <v>17.899999999999999</v>
      </c>
      <c r="I12" s="3" t="str">
        <f>IF(MAX(P12,R12,T12,V12)&gt;=LOOKUP(F12,'Qualifying Scores'!$A$4:$A$7,'Qualifying Scores'!$E$4:$E$7),"P","")</f>
        <v/>
      </c>
      <c r="J12" s="3" t="str">
        <f>IF(MAX(Q12,R12,U12,W12)&gt;=LOOKUP(F12,'Qualifying Scores'!$A$10:$A$13,'Qualifying Scores'!$E$10:$E$13),"P","")</f>
        <v/>
      </c>
      <c r="K12" s="3" t="str">
        <f>IF(OR(AND(P12&gt;=LOOKUP(F12,'Qualifying Scores'!$A$4:$A$7,'Qualifying Scores'!$E$4:$E$7),Q12&gt;=LOOKUP(F12,'Qualifying Scores'!$A$10:$A$13,'Qualifying Scores'!$E$10:$E$13)),AND(R12&gt;=LOOKUP(F12,'Qualifying Scores'!$A$4:$A$7,'Qualifying Scores'!$E$4:$E$7),S12&gt;=LOOKUP(F12,'Qualifying Scores'!$A$10:$A$13,'Qualifying Scores'!$E$10:$E$13)),AND(T12&gt;=LOOKUP(F12,'Qualifying Scores'!$A$4:$A$7,'Qualifying Scores'!$E$4:$E$7),U12&gt;=LOOKUP(F12,'Qualifying Scores'!$A$10:$A$13,'Qualifying Scores'!$E$10:$E$13)),AND(V12&gt;=LOOKUP(F12,'Qualifying Scores'!$A$4:$A$7,'Qualifying Scores'!$E$4:$E$7),W12&gt;=LOOKUP(F12,'Qualifying Scores'!$A$10:$A$13,'Qualifying Scores'!$E$10:$E$13))),"P","")</f>
        <v/>
      </c>
      <c r="N12" s="4">
        <f>MAX(P12,T12)</f>
        <v>17.899999999999999</v>
      </c>
      <c r="O12" s="4">
        <f>IF(N12=P12,MAX(R12,T12,V12),MAX(P12,R12,V12))</f>
        <v>0</v>
      </c>
      <c r="P12" s="33">
        <v>17.899999999999999</v>
      </c>
      <c r="Q12" s="44">
        <v>4.2</v>
      </c>
      <c r="R12" s="34"/>
      <c r="S12" s="44"/>
      <c r="T12" s="33"/>
      <c r="U12" s="44"/>
      <c r="V12" s="34"/>
      <c r="W12" s="39"/>
    </row>
    <row r="13" spans="1:23" x14ac:dyDescent="0.2">
      <c r="A13" s="1" t="str">
        <f t="shared" ref="A13" si="4">IF(M13&lt;&gt;"",SUMPRODUCT((M$3:M$14&lt;&gt;"")*(F$3:F$14=F13)*(M$3:M$14&lt;M13))+1,IF(L13&lt;&gt;"",SUMPRODUCT((M$3:M$14&lt;&gt;"")*(F$3:F$14=F13))+SUMPRODUCT((L$3:L$14&lt;&gt;"")*(F$3:F$14=F13)*(L$3:L$14&lt;L13))+1,IF(K13="P",SUMPRODUCT((L$3:L$14&lt;&gt;"")*(F$3:F$14=F13))+SUMPRODUCT((M$3:M$14&lt;&gt;"")*(F$3:F$14=F13))+1+SUMPRODUCT((K$3:K$14="P")*(F$3:F$14=F13)*(H$3:H$14&gt;H13)*(L$3:L$14="")*(M$3:M$14="")),"")))</f>
        <v/>
      </c>
      <c r="B13" s="38" t="s">
        <v>207</v>
      </c>
      <c r="C13" s="38" t="s">
        <v>4</v>
      </c>
      <c r="D13" s="38" t="s">
        <v>141</v>
      </c>
      <c r="E13" s="37">
        <v>1998</v>
      </c>
      <c r="F13" s="1" t="str">
        <f>IF('Qualifying Scores'!$B$1-E13&gt;21,"Not Age Eligible",IF('Qualifying Scores'!$B$1-E13&gt;16,"17-21",IF('Qualifying Scores'!$B$1-E13&gt;14,"15-16",IF('Qualifying Scores'!$B$1-E13&gt;12,"13-14",IF('Qualifying Scores'!$B$1-E13&gt;10,"11-12,""Not Age Eligible")))))</f>
        <v>17-21</v>
      </c>
      <c r="G13" s="56"/>
      <c r="H13" s="4">
        <f>SUM(N13:O13)</f>
        <v>14.09</v>
      </c>
      <c r="I13" s="3" t="str">
        <f>IF(MAX(P13,R13,T13,V13)&gt;=LOOKUP(F13,'Qualifying Scores'!$A$4:$A$7,'Qualifying Scores'!$E$4:$E$7),"P","")</f>
        <v/>
      </c>
      <c r="J13" s="3" t="str">
        <f>IF(MAX(Q13,R13,U13,W13)&gt;=LOOKUP(F13,'Qualifying Scores'!$A$10:$A$13,'Qualifying Scores'!$E$10:$E$13),"P","")</f>
        <v>P</v>
      </c>
      <c r="K13" s="3" t="str">
        <f>IF(OR(AND(P13&gt;=LOOKUP(F13,'Qualifying Scores'!$A$4:$A$7,'Qualifying Scores'!$E$4:$E$7),Q13&gt;=LOOKUP(F13,'Qualifying Scores'!$A$10:$A$13,'Qualifying Scores'!$E$10:$E$13)),AND(R13&gt;=LOOKUP(F13,'Qualifying Scores'!$A$4:$A$7,'Qualifying Scores'!$E$4:$E$7),S13&gt;=LOOKUP(F13,'Qualifying Scores'!$A$10:$A$13,'Qualifying Scores'!$E$10:$E$13)),AND(T13&gt;=LOOKUP(F13,'Qualifying Scores'!$A$4:$A$7,'Qualifying Scores'!$E$4:$E$7),U13&gt;=LOOKUP(F13,'Qualifying Scores'!$A$10:$A$13,'Qualifying Scores'!$E$10:$E$13)),AND(V13&gt;=LOOKUP(F13,'Qualifying Scores'!$A$4:$A$7,'Qualifying Scores'!$E$4:$E$7),W13&gt;=LOOKUP(F13,'Qualifying Scores'!$A$10:$A$13,'Qualifying Scores'!$E$10:$E$13))),"P","")</f>
        <v/>
      </c>
      <c r="N13" s="4">
        <f>MAX(P13,T13)</f>
        <v>9.1300000000000008</v>
      </c>
      <c r="O13" s="4">
        <f>IF(N13=P13,MAX(R13,T13,V13),MAX(P13,R13,V13))</f>
        <v>4.96</v>
      </c>
      <c r="P13" s="33">
        <v>9.1300000000000008</v>
      </c>
      <c r="Q13" s="44">
        <v>2.2999999999999998</v>
      </c>
      <c r="R13" s="34"/>
      <c r="S13" s="44"/>
      <c r="T13" s="33">
        <v>4.96</v>
      </c>
      <c r="U13" s="44">
        <v>13</v>
      </c>
      <c r="V13" s="34"/>
      <c r="W13" s="39"/>
    </row>
    <row r="14" spans="1:23" x14ac:dyDescent="0.2">
      <c r="A14" s="1"/>
      <c r="F14" s="1"/>
      <c r="G14" s="56"/>
      <c r="H14" s="4"/>
      <c r="I14" s="3"/>
      <c r="J14" s="3"/>
      <c r="N14" s="4"/>
      <c r="O14" s="4"/>
      <c r="P14" s="33"/>
      <c r="Q14" s="44"/>
      <c r="R14" s="34"/>
      <c r="S14" s="44"/>
      <c r="T14" s="33"/>
      <c r="U14" s="44"/>
      <c r="V14" s="34"/>
      <c r="W14" s="39"/>
    </row>
    <row r="15" spans="1:23" x14ac:dyDescent="0.2">
      <c r="A15" s="1"/>
      <c r="F15" s="1"/>
      <c r="G15" s="56"/>
      <c r="H15" s="4"/>
      <c r="I15" s="3"/>
      <c r="J15" s="3"/>
      <c r="N15" s="4"/>
      <c r="O15" s="4"/>
      <c r="P15" s="33"/>
      <c r="Q15" s="44"/>
      <c r="R15" s="34"/>
      <c r="S15" s="44"/>
      <c r="T15" s="33"/>
      <c r="U15" s="44"/>
      <c r="V15" s="34"/>
      <c r="W15" s="39"/>
    </row>
    <row r="16" spans="1:23" x14ac:dyDescent="0.2">
      <c r="A16" s="1"/>
      <c r="F16" s="1"/>
      <c r="G16" s="56"/>
      <c r="H16" s="4"/>
      <c r="I16" s="3"/>
      <c r="J16" s="3"/>
      <c r="N16" s="4"/>
      <c r="O16" s="4"/>
      <c r="P16" s="33"/>
      <c r="Q16" s="44"/>
      <c r="R16" s="34"/>
      <c r="S16" s="44"/>
      <c r="T16" s="33"/>
      <c r="U16" s="44"/>
      <c r="V16" s="34"/>
      <c r="W16" s="39"/>
    </row>
    <row r="17" spans="1:23" x14ac:dyDescent="0.2">
      <c r="A17" s="1"/>
      <c r="F17" s="1"/>
      <c r="G17" s="56"/>
      <c r="H17" s="4"/>
      <c r="I17" s="3"/>
      <c r="J17" s="3"/>
      <c r="N17" s="4"/>
      <c r="O17" s="4"/>
      <c r="P17" s="33"/>
      <c r="Q17" s="44"/>
      <c r="R17" s="34"/>
      <c r="S17" s="44"/>
      <c r="T17" s="33"/>
      <c r="U17" s="44"/>
      <c r="V17" s="34"/>
      <c r="W17" s="39"/>
    </row>
    <row r="18" spans="1:23" x14ac:dyDescent="0.2">
      <c r="A18" s="1"/>
      <c r="F18" s="1"/>
      <c r="G18" s="56"/>
      <c r="H18" s="4"/>
      <c r="I18" s="3"/>
      <c r="J18" s="3"/>
      <c r="N18" s="4"/>
      <c r="O18" s="4"/>
      <c r="P18" s="33"/>
      <c r="Q18" s="44"/>
      <c r="R18" s="34"/>
      <c r="S18" s="45"/>
      <c r="T18" s="33"/>
      <c r="U18" s="44"/>
      <c r="V18" s="34"/>
      <c r="W18" s="39"/>
    </row>
    <row r="19" spans="1:23" x14ac:dyDescent="0.2">
      <c r="A19" s="1"/>
      <c r="F19" s="1"/>
      <c r="G19" s="56"/>
      <c r="H19" s="4"/>
      <c r="I19" s="3"/>
      <c r="J19" s="3"/>
      <c r="N19" s="4"/>
      <c r="O19" s="4"/>
      <c r="P19" s="33"/>
      <c r="Q19" s="44"/>
      <c r="R19" s="34"/>
      <c r="S19" s="44"/>
      <c r="T19" s="33"/>
      <c r="U19" s="44"/>
      <c r="V19" s="34"/>
      <c r="W19" s="39"/>
    </row>
    <row r="20" spans="1:23" x14ac:dyDescent="0.2">
      <c r="A20" s="1"/>
      <c r="F20" s="1"/>
      <c r="G20" s="56"/>
      <c r="H20" s="4"/>
      <c r="I20" s="3"/>
      <c r="J20" s="3"/>
      <c r="N20" s="4"/>
      <c r="O20" s="4"/>
      <c r="P20" s="33"/>
      <c r="Q20" s="44"/>
      <c r="R20" s="34"/>
      <c r="S20" s="44"/>
      <c r="T20" s="33"/>
      <c r="U20" s="44"/>
      <c r="V20" s="34"/>
      <c r="W20" s="39"/>
    </row>
    <row r="21" spans="1:23" x14ac:dyDescent="0.2">
      <c r="A21" s="1"/>
      <c r="F21" s="1"/>
      <c r="G21" s="56"/>
      <c r="H21" s="4"/>
      <c r="I21" s="3"/>
      <c r="J21" s="3"/>
      <c r="N21" s="4"/>
      <c r="O21" s="4"/>
      <c r="P21" s="33"/>
      <c r="Q21" s="44"/>
      <c r="R21" s="34"/>
      <c r="S21" s="44"/>
      <c r="T21" s="33"/>
      <c r="U21" s="44"/>
      <c r="V21" s="34"/>
      <c r="W21" s="39"/>
    </row>
    <row r="22" spans="1:23" x14ac:dyDescent="0.2">
      <c r="A22" s="1"/>
      <c r="F22" s="1"/>
      <c r="G22" s="56"/>
      <c r="H22" s="4"/>
      <c r="I22" s="3"/>
      <c r="J22" s="3"/>
      <c r="N22" s="4"/>
      <c r="O22" s="4"/>
      <c r="P22" s="33"/>
      <c r="Q22" s="44"/>
      <c r="R22" s="34"/>
      <c r="S22" s="44"/>
      <c r="T22" s="33"/>
      <c r="U22" s="44"/>
      <c r="V22" s="34"/>
      <c r="W22" s="39"/>
    </row>
    <row r="23" spans="1:23" x14ac:dyDescent="0.2">
      <c r="A23" s="1"/>
      <c r="F23" s="1"/>
      <c r="G23" s="56"/>
      <c r="H23" s="4"/>
      <c r="I23" s="3"/>
      <c r="J23" s="3"/>
      <c r="N23" s="4"/>
      <c r="O23" s="4"/>
      <c r="P23" s="33"/>
      <c r="Q23" s="44"/>
      <c r="R23" s="34"/>
      <c r="S23" s="44"/>
      <c r="T23" s="33"/>
      <c r="U23" s="44"/>
      <c r="V23" s="34"/>
      <c r="W23" s="39"/>
    </row>
    <row r="24" spans="1:23" x14ac:dyDescent="0.2">
      <c r="A24" s="1"/>
      <c r="F24" s="1"/>
      <c r="G24" s="56"/>
      <c r="H24" s="4"/>
      <c r="I24" s="3"/>
      <c r="J24" s="3"/>
      <c r="N24" s="4"/>
      <c r="O24" s="4"/>
      <c r="P24" s="33"/>
      <c r="Q24" s="44"/>
      <c r="R24" s="34"/>
      <c r="S24" s="44"/>
      <c r="T24" s="33"/>
      <c r="U24" s="44"/>
      <c r="V24" s="34"/>
      <c r="W24" s="39"/>
    </row>
    <row r="25" spans="1:23" x14ac:dyDescent="0.2">
      <c r="A25" s="1"/>
      <c r="F25" s="1"/>
      <c r="G25" s="56"/>
      <c r="H25" s="4"/>
      <c r="I25" s="3"/>
      <c r="J25" s="3"/>
      <c r="N25" s="4"/>
      <c r="O25" s="4"/>
      <c r="P25" s="33"/>
      <c r="Q25" s="44"/>
      <c r="R25" s="34"/>
      <c r="S25" s="44"/>
      <c r="T25" s="33"/>
      <c r="U25" s="44"/>
      <c r="V25" s="34"/>
      <c r="W25" s="39"/>
    </row>
    <row r="26" spans="1:23" x14ac:dyDescent="0.2">
      <c r="A26" s="1"/>
      <c r="F26" s="1"/>
      <c r="G26" s="56"/>
      <c r="H26" s="4"/>
      <c r="I26" s="3"/>
      <c r="J26" s="3"/>
      <c r="N26" s="4"/>
      <c r="O26" s="4"/>
      <c r="P26" s="33"/>
      <c r="Q26" s="44"/>
      <c r="R26" s="34"/>
      <c r="S26" s="44"/>
      <c r="T26" s="33"/>
      <c r="U26" s="44"/>
      <c r="V26" s="34"/>
      <c r="W26" s="39"/>
    </row>
    <row r="27" spans="1:23" x14ac:dyDescent="0.2">
      <c r="A27" s="1"/>
      <c r="F27" s="1"/>
      <c r="G27" s="56"/>
      <c r="H27" s="4"/>
      <c r="I27" s="3"/>
      <c r="J27" s="3"/>
      <c r="N27" s="4"/>
      <c r="O27" s="4"/>
      <c r="P27" s="33"/>
      <c r="Q27" s="44"/>
      <c r="R27" s="34"/>
      <c r="S27" s="44"/>
      <c r="T27" s="33"/>
      <c r="U27" s="44"/>
      <c r="V27" s="34"/>
      <c r="W27" s="39"/>
    </row>
    <row r="28" spans="1:23" x14ac:dyDescent="0.2">
      <c r="A28" s="1"/>
      <c r="F28" s="1"/>
      <c r="G28" s="56"/>
      <c r="H28" s="4"/>
      <c r="I28" s="3"/>
      <c r="J28" s="3"/>
      <c r="N28" s="4"/>
      <c r="O28" s="4"/>
      <c r="P28" s="33"/>
      <c r="Q28" s="44"/>
      <c r="R28" s="34"/>
      <c r="S28" s="44"/>
      <c r="T28" s="33"/>
      <c r="U28" s="44"/>
      <c r="V28" s="34"/>
      <c r="W28" s="39"/>
    </row>
    <row r="29" spans="1:23" x14ac:dyDescent="0.2">
      <c r="A29" s="1"/>
      <c r="F29" s="1"/>
      <c r="G29" s="56"/>
      <c r="H29" s="4"/>
      <c r="I29" s="3"/>
      <c r="J29" s="3"/>
      <c r="N29" s="4"/>
      <c r="O29" s="4"/>
      <c r="P29" s="33"/>
      <c r="Q29" s="44"/>
      <c r="R29" s="34"/>
      <c r="S29" s="44"/>
      <c r="T29" s="33"/>
      <c r="U29" s="44"/>
      <c r="V29" s="34"/>
      <c r="W29" s="39"/>
    </row>
    <row r="30" spans="1:23" x14ac:dyDescent="0.2">
      <c r="A30" s="1"/>
      <c r="F30" s="1"/>
      <c r="G30" s="56"/>
      <c r="H30" s="4"/>
      <c r="I30" s="3"/>
      <c r="J30" s="3"/>
      <c r="N30" s="4"/>
      <c r="O30" s="4"/>
      <c r="P30" s="33"/>
      <c r="Q30" s="44"/>
      <c r="R30" s="34"/>
      <c r="S30" s="44"/>
      <c r="T30" s="33"/>
      <c r="U30" s="44"/>
      <c r="V30" s="34"/>
      <c r="W30" s="39"/>
    </row>
    <row r="31" spans="1:23" x14ac:dyDescent="0.2">
      <c r="A31" s="1"/>
      <c r="F31" s="1"/>
      <c r="G31" s="56"/>
      <c r="H31" s="4"/>
      <c r="I31" s="3"/>
      <c r="J31" s="3"/>
      <c r="N31" s="4"/>
      <c r="O31" s="4"/>
      <c r="P31" s="33"/>
      <c r="Q31" s="44"/>
      <c r="R31" s="34"/>
      <c r="S31" s="44"/>
      <c r="T31" s="33"/>
      <c r="U31" s="44"/>
      <c r="V31" s="34"/>
      <c r="W31" s="39"/>
    </row>
    <row r="32" spans="1:23" x14ac:dyDescent="0.2">
      <c r="A32" s="1"/>
      <c r="F32" s="1"/>
      <c r="G32" s="56"/>
      <c r="H32" s="4"/>
      <c r="I32" s="3"/>
      <c r="J32" s="3"/>
      <c r="N32" s="4"/>
      <c r="O32" s="4"/>
      <c r="P32" s="33"/>
      <c r="Q32" s="44"/>
      <c r="R32" s="34"/>
      <c r="S32" s="44"/>
      <c r="T32" s="33"/>
      <c r="U32" s="44"/>
      <c r="V32" s="34"/>
      <c r="W32" s="39"/>
    </row>
    <row r="33" spans="1:23" x14ac:dyDescent="0.2">
      <c r="A33" s="1"/>
      <c r="F33" s="1"/>
      <c r="G33" s="56"/>
      <c r="H33" s="4"/>
      <c r="I33" s="3"/>
      <c r="J33" s="3"/>
      <c r="N33" s="4"/>
      <c r="O33" s="4"/>
      <c r="P33" s="33"/>
      <c r="Q33" s="44"/>
      <c r="R33" s="34"/>
      <c r="S33" s="44"/>
      <c r="T33" s="33"/>
      <c r="U33" s="44"/>
      <c r="V33" s="34"/>
      <c r="W33" s="39"/>
    </row>
    <row r="34" spans="1:23" x14ac:dyDescent="0.2">
      <c r="A34" s="1"/>
      <c r="F34" s="1"/>
      <c r="G34" s="56"/>
      <c r="H34" s="4"/>
      <c r="I34" s="3"/>
      <c r="J34" s="3"/>
      <c r="N34" s="4"/>
      <c r="O34" s="4"/>
      <c r="P34" s="33"/>
      <c r="Q34" s="44"/>
      <c r="R34" s="34"/>
      <c r="S34" s="44"/>
      <c r="T34" s="33"/>
      <c r="U34" s="44"/>
      <c r="V34" s="34"/>
      <c r="W34" s="39"/>
    </row>
    <row r="35" spans="1:23" x14ac:dyDescent="0.2">
      <c r="A35" s="1"/>
      <c r="F35" s="1"/>
      <c r="G35" s="56"/>
      <c r="H35" s="4"/>
      <c r="I35" s="3"/>
      <c r="J35" s="3"/>
      <c r="N35" s="4"/>
      <c r="O35" s="4"/>
      <c r="P35" s="33"/>
      <c r="Q35" s="44"/>
      <c r="R35" s="34"/>
      <c r="S35" s="44"/>
      <c r="T35" s="33"/>
      <c r="U35" s="44"/>
      <c r="V35" s="34"/>
      <c r="W35" s="39"/>
    </row>
    <row r="36" spans="1:23" x14ac:dyDescent="0.2">
      <c r="A36" s="1"/>
      <c r="F36" s="1"/>
      <c r="G36" s="56"/>
      <c r="H36" s="4"/>
      <c r="I36" s="3"/>
      <c r="J36" s="3"/>
      <c r="N36" s="4"/>
      <c r="O36" s="4"/>
      <c r="P36" s="33"/>
      <c r="Q36" s="44"/>
      <c r="R36" s="34"/>
      <c r="S36" s="44"/>
      <c r="T36" s="33"/>
      <c r="U36" s="44"/>
      <c r="V36" s="34"/>
      <c r="W36" s="39"/>
    </row>
    <row r="37" spans="1:23" x14ac:dyDescent="0.2">
      <c r="A37" s="1"/>
      <c r="F37" s="1"/>
      <c r="G37" s="56"/>
      <c r="H37" s="4"/>
      <c r="I37" s="3"/>
      <c r="J37" s="3"/>
      <c r="N37" s="4"/>
      <c r="O37" s="4"/>
      <c r="P37" s="33"/>
      <c r="Q37" s="44"/>
      <c r="R37" s="34"/>
      <c r="S37" s="44"/>
      <c r="T37" s="33"/>
      <c r="U37" s="44"/>
      <c r="V37" s="34"/>
      <c r="W37" s="39"/>
    </row>
    <row r="38" spans="1:23" x14ac:dyDescent="0.2">
      <c r="A38" s="1"/>
      <c r="F38" s="1"/>
      <c r="G38" s="56"/>
      <c r="H38" s="4"/>
      <c r="I38" s="3"/>
      <c r="J38" s="3"/>
      <c r="N38" s="4"/>
      <c r="O38" s="4"/>
      <c r="P38" s="33"/>
      <c r="Q38" s="44"/>
      <c r="R38" s="34"/>
      <c r="S38" s="44"/>
      <c r="T38" s="33"/>
      <c r="U38" s="44"/>
      <c r="V38" s="34"/>
      <c r="W38" s="39"/>
    </row>
    <row r="39" spans="1:23" x14ac:dyDescent="0.2">
      <c r="A39" s="1"/>
      <c r="F39" s="1"/>
      <c r="G39" s="56"/>
      <c r="H39" s="4"/>
      <c r="I39" s="3"/>
      <c r="J39" s="3"/>
      <c r="N39" s="4"/>
      <c r="O39" s="4"/>
      <c r="P39" s="33"/>
      <c r="Q39" s="44"/>
      <c r="R39" s="34"/>
      <c r="S39" s="44"/>
      <c r="T39" s="33"/>
      <c r="U39" s="44"/>
      <c r="V39" s="34"/>
      <c r="W39" s="39"/>
    </row>
    <row r="40" spans="1:23" x14ac:dyDescent="0.2">
      <c r="F40" s="1"/>
      <c r="G40" s="56"/>
      <c r="H40" s="4"/>
      <c r="I40" s="3"/>
      <c r="J40" s="3"/>
      <c r="N40" s="4"/>
      <c r="O40" s="4"/>
      <c r="P40" s="33"/>
      <c r="Q40" s="44"/>
      <c r="R40" s="34"/>
      <c r="S40" s="44"/>
      <c r="T40" s="33"/>
      <c r="U40" s="44"/>
      <c r="V40" s="34"/>
      <c r="W40" s="39"/>
    </row>
    <row r="41" spans="1:23" x14ac:dyDescent="0.2">
      <c r="F41" s="1"/>
      <c r="G41" s="56"/>
      <c r="H41" s="4"/>
      <c r="I41" s="3"/>
      <c r="J41" s="3"/>
      <c r="N41" s="4"/>
      <c r="O41" s="4"/>
      <c r="P41" s="33"/>
      <c r="Q41" s="44"/>
      <c r="R41" s="34"/>
      <c r="S41" s="44"/>
      <c r="T41" s="33"/>
      <c r="U41" s="44"/>
      <c r="V41" s="34"/>
      <c r="W41" s="39"/>
    </row>
    <row r="42" spans="1:23" x14ac:dyDescent="0.2">
      <c r="F42" s="1"/>
      <c r="G42" s="56"/>
      <c r="H42" s="4"/>
      <c r="I42" s="3"/>
      <c r="J42" s="3"/>
      <c r="N42" s="4"/>
      <c r="O42" s="4"/>
      <c r="P42" s="33"/>
      <c r="Q42" s="44"/>
      <c r="R42" s="34"/>
      <c r="S42" s="44"/>
      <c r="T42" s="33"/>
      <c r="U42" s="44"/>
      <c r="V42" s="34"/>
      <c r="W42" s="39"/>
    </row>
    <row r="43" spans="1:23" x14ac:dyDescent="0.2">
      <c r="F43" s="1"/>
      <c r="G43" s="56"/>
      <c r="H43" s="4"/>
      <c r="I43" s="3"/>
      <c r="J43" s="3"/>
      <c r="N43" s="4"/>
      <c r="O43" s="4"/>
      <c r="P43" s="33"/>
      <c r="Q43" s="44"/>
      <c r="R43" s="34"/>
      <c r="S43" s="44"/>
      <c r="T43" s="33"/>
      <c r="U43" s="44"/>
      <c r="V43" s="34"/>
      <c r="W43" s="39"/>
    </row>
    <row r="44" spans="1:23" x14ac:dyDescent="0.2">
      <c r="F44" s="1"/>
      <c r="G44" s="56"/>
      <c r="H44" s="4"/>
      <c r="I44" s="3"/>
      <c r="J44" s="3"/>
      <c r="N44" s="4"/>
      <c r="O44" s="4"/>
      <c r="P44" s="33"/>
      <c r="Q44" s="44"/>
      <c r="R44" s="34"/>
      <c r="S44" s="44"/>
      <c r="T44" s="33"/>
      <c r="U44" s="44"/>
      <c r="V44" s="34"/>
      <c r="W44" s="39"/>
    </row>
    <row r="45" spans="1:23" x14ac:dyDescent="0.2">
      <c r="F45" s="1"/>
      <c r="G45" s="56"/>
      <c r="H45" s="4"/>
      <c r="I45" s="3"/>
      <c r="J45" s="3"/>
      <c r="N45" s="4"/>
      <c r="O45" s="4"/>
      <c r="P45" s="33"/>
      <c r="Q45" s="44"/>
      <c r="R45" s="34"/>
      <c r="S45" s="44"/>
      <c r="T45" s="33"/>
      <c r="U45" s="44"/>
      <c r="V45" s="34"/>
      <c r="W45" s="39"/>
    </row>
    <row r="46" spans="1:23" x14ac:dyDescent="0.2">
      <c r="F46" s="1"/>
      <c r="G46" s="56"/>
      <c r="H46" s="4"/>
      <c r="I46" s="3"/>
      <c r="J46" s="3"/>
      <c r="N46" s="4"/>
      <c r="O46" s="4"/>
      <c r="P46" s="33"/>
      <c r="Q46" s="44"/>
      <c r="R46" s="34"/>
      <c r="S46" s="44"/>
      <c r="T46" s="33"/>
      <c r="U46" s="44"/>
      <c r="V46" s="34"/>
      <c r="W46" s="39"/>
    </row>
    <row r="47" spans="1:23" x14ac:dyDescent="0.2">
      <c r="F47" s="1"/>
      <c r="G47" s="56"/>
      <c r="H47" s="4"/>
      <c r="I47" s="3"/>
      <c r="J47" s="3"/>
      <c r="N47" s="4"/>
      <c r="O47" s="4"/>
      <c r="P47" s="33"/>
      <c r="Q47" s="44"/>
      <c r="R47" s="34"/>
      <c r="S47" s="44"/>
      <c r="T47" s="33"/>
      <c r="U47" s="44"/>
      <c r="V47" s="34"/>
      <c r="W47" s="39"/>
    </row>
    <row r="48" spans="1:23" x14ac:dyDescent="0.2">
      <c r="F48" s="1"/>
      <c r="G48" s="56"/>
      <c r="H48" s="4"/>
      <c r="I48" s="3"/>
      <c r="J48" s="3"/>
      <c r="N48" s="4"/>
      <c r="O48" s="4"/>
      <c r="P48" s="33"/>
      <c r="Q48" s="44"/>
      <c r="R48" s="34"/>
      <c r="S48" s="44"/>
      <c r="T48" s="33"/>
      <c r="U48" s="44"/>
      <c r="V48" s="34"/>
      <c r="W48" s="39"/>
    </row>
    <row r="49" spans="6:23" x14ac:dyDescent="0.2">
      <c r="F49" s="1"/>
      <c r="G49" s="56"/>
      <c r="H49" s="4"/>
      <c r="I49" s="3"/>
      <c r="J49" s="3"/>
      <c r="N49" s="4"/>
      <c r="O49" s="4"/>
      <c r="P49" s="33"/>
      <c r="Q49" s="44"/>
      <c r="R49" s="34"/>
      <c r="S49" s="44"/>
      <c r="T49" s="33"/>
      <c r="U49" s="44"/>
      <c r="V49" s="34"/>
      <c r="W49" s="39"/>
    </row>
    <row r="50" spans="6:23" x14ac:dyDescent="0.2">
      <c r="F50" s="1"/>
      <c r="G50" s="56"/>
      <c r="H50" s="4"/>
      <c r="I50" s="3"/>
      <c r="J50" s="3"/>
      <c r="N50" s="4"/>
      <c r="O50" s="4"/>
      <c r="P50" s="33"/>
      <c r="Q50" s="44"/>
      <c r="R50" s="34"/>
      <c r="S50" s="44"/>
      <c r="T50" s="33"/>
      <c r="U50" s="44"/>
      <c r="V50" s="34"/>
      <c r="W50" s="39"/>
    </row>
    <row r="51" spans="6:23" x14ac:dyDescent="0.2">
      <c r="F51" s="1"/>
      <c r="G51" s="56"/>
      <c r="H51" s="4"/>
      <c r="I51" s="3"/>
      <c r="J51" s="3"/>
      <c r="N51" s="4"/>
      <c r="O51" s="4"/>
      <c r="P51" s="33"/>
      <c r="Q51" s="44"/>
      <c r="R51" s="34"/>
      <c r="S51" s="44"/>
      <c r="T51" s="48"/>
      <c r="U51" s="46"/>
      <c r="V51" s="43"/>
      <c r="W51" s="39"/>
    </row>
    <row r="52" spans="6:23" x14ac:dyDescent="0.2">
      <c r="F52" s="1"/>
      <c r="G52" s="56"/>
      <c r="H52" s="4"/>
      <c r="I52" s="3"/>
      <c r="J52" s="3"/>
      <c r="N52" s="4"/>
      <c r="O52" s="4"/>
      <c r="P52" s="33"/>
      <c r="Q52" s="45"/>
      <c r="R52" s="47"/>
      <c r="S52" s="45"/>
      <c r="T52" s="33"/>
      <c r="U52" s="44"/>
      <c r="V52" s="34"/>
      <c r="W52" s="39"/>
    </row>
    <row r="53" spans="6:23" x14ac:dyDescent="0.2">
      <c r="F53" s="1"/>
      <c r="H53" s="4"/>
      <c r="I53" s="3"/>
      <c r="J53" s="3"/>
      <c r="N53" s="4"/>
      <c r="O53" s="4"/>
      <c r="P53" s="33"/>
      <c r="Q53" s="45"/>
      <c r="R53" s="47"/>
      <c r="S53" s="45"/>
      <c r="T53" s="33"/>
      <c r="U53" s="44"/>
      <c r="V53" s="34"/>
      <c r="W53" s="39"/>
    </row>
    <row r="54" spans="6:23" x14ac:dyDescent="0.2">
      <c r="F54" s="1"/>
      <c r="H54" s="4"/>
      <c r="I54" s="3"/>
      <c r="J54" s="3"/>
      <c r="N54" s="4"/>
      <c r="O54" s="4"/>
      <c r="P54" s="33"/>
      <c r="Q54" s="45"/>
      <c r="R54" s="47"/>
      <c r="S54" s="45"/>
      <c r="T54" s="33"/>
      <c r="U54" s="44"/>
      <c r="V54" s="34"/>
      <c r="W54" s="39"/>
    </row>
    <row r="55" spans="6:23" x14ac:dyDescent="0.2">
      <c r="F55" s="1"/>
      <c r="H55" s="4"/>
      <c r="I55" s="3"/>
      <c r="J55" s="3"/>
      <c r="N55" s="4"/>
      <c r="O55" s="4"/>
      <c r="P55" s="33"/>
      <c r="Q55" s="45"/>
      <c r="R55" s="47"/>
      <c r="S55" s="45"/>
      <c r="T55" s="33"/>
      <c r="U55" s="44"/>
      <c r="V55" s="34"/>
      <c r="W55" s="39"/>
    </row>
    <row r="56" spans="6:23" x14ac:dyDescent="0.2">
      <c r="F56" s="1"/>
      <c r="H56" s="4"/>
      <c r="I56" s="3"/>
      <c r="J56" s="3"/>
      <c r="N56" s="4"/>
      <c r="O56" s="4"/>
      <c r="P56" s="33"/>
      <c r="Q56" s="45"/>
      <c r="R56" s="47"/>
      <c r="S56" s="45"/>
      <c r="T56" s="33"/>
      <c r="U56" s="44"/>
      <c r="V56" s="34"/>
      <c r="W56" s="39"/>
    </row>
    <row r="57" spans="6:23" x14ac:dyDescent="0.2">
      <c r="F57" s="1"/>
      <c r="H57" s="4"/>
      <c r="I57" s="3"/>
      <c r="J57" s="3"/>
      <c r="N57" s="4"/>
      <c r="O57" s="4"/>
      <c r="P57" s="33"/>
      <c r="Q57" s="44"/>
      <c r="R57" s="34"/>
      <c r="S57" s="45"/>
      <c r="T57" s="48"/>
      <c r="U57" s="46"/>
      <c r="V57" s="43"/>
      <c r="W57" s="39"/>
    </row>
    <row r="58" spans="6:23" x14ac:dyDescent="0.2">
      <c r="F58" s="1"/>
      <c r="H58" s="4"/>
      <c r="I58" s="3"/>
      <c r="J58" s="3"/>
      <c r="N58" s="4"/>
      <c r="O58" s="4"/>
      <c r="P58" s="33"/>
      <c r="Q58" s="44"/>
      <c r="R58" s="34"/>
      <c r="S58" s="45"/>
      <c r="T58" s="33"/>
      <c r="U58" s="44"/>
      <c r="V58" s="34"/>
      <c r="W58" s="39"/>
    </row>
    <row r="59" spans="6:23" x14ac:dyDescent="0.2">
      <c r="N59" s="4"/>
      <c r="O59" s="4"/>
      <c r="P59" s="33"/>
      <c r="Q59" s="44"/>
      <c r="R59" s="34"/>
      <c r="S59" s="44"/>
      <c r="T59" s="33"/>
      <c r="U59" s="44"/>
      <c r="V59" s="34"/>
      <c r="W59" s="39"/>
    </row>
    <row r="60" spans="6:23" x14ac:dyDescent="0.2">
      <c r="N60" s="4"/>
      <c r="O60" s="4"/>
      <c r="P60" s="33"/>
      <c r="Q60" s="44"/>
      <c r="R60" s="34"/>
      <c r="S60" s="44"/>
      <c r="T60" s="33"/>
      <c r="U60" s="44"/>
      <c r="V60" s="34"/>
      <c r="W60" s="39"/>
    </row>
    <row r="61" spans="6:23" x14ac:dyDescent="0.2">
      <c r="N61" s="4"/>
      <c r="O61" s="4"/>
      <c r="P61" s="33"/>
      <c r="Q61" s="44"/>
      <c r="R61" s="34"/>
      <c r="S61" s="44"/>
      <c r="T61" s="33"/>
      <c r="U61" s="44"/>
      <c r="V61" s="34"/>
      <c r="W61" s="39"/>
    </row>
    <row r="62" spans="6:23" x14ac:dyDescent="0.2">
      <c r="N62" s="4"/>
      <c r="O62" s="4"/>
      <c r="P62" s="33"/>
      <c r="Q62" s="44"/>
      <c r="R62" s="34"/>
      <c r="S62" s="44"/>
      <c r="T62" s="33"/>
      <c r="U62" s="44"/>
      <c r="V62" s="34"/>
      <c r="W62" s="39"/>
    </row>
    <row r="63" spans="6:23" x14ac:dyDescent="0.2">
      <c r="N63" s="4"/>
      <c r="O63" s="4"/>
      <c r="P63" s="33"/>
      <c r="Q63" s="44"/>
      <c r="R63" s="34"/>
      <c r="S63" s="44"/>
      <c r="T63" s="33"/>
      <c r="U63" s="44"/>
      <c r="V63" s="34"/>
      <c r="W63" s="39"/>
    </row>
    <row r="64" spans="6:23" x14ac:dyDescent="0.2">
      <c r="N64" s="4"/>
      <c r="O64" s="4"/>
      <c r="P64" s="33"/>
      <c r="Q64" s="44"/>
      <c r="R64" s="34"/>
      <c r="S64" s="44"/>
      <c r="T64" s="33"/>
      <c r="U64" s="44"/>
      <c r="V64" s="34"/>
      <c r="W64" s="39"/>
    </row>
    <row r="65" spans="14:23" x14ac:dyDescent="0.2">
      <c r="N65" s="4"/>
      <c r="O65" s="4"/>
      <c r="P65" s="33"/>
      <c r="Q65" s="44"/>
      <c r="R65" s="34"/>
      <c r="S65" s="44"/>
      <c r="T65" s="33"/>
      <c r="U65" s="44"/>
      <c r="V65" s="34"/>
      <c r="W65" s="39"/>
    </row>
    <row r="66" spans="14:23" x14ac:dyDescent="0.2">
      <c r="N66" s="4"/>
      <c r="O66" s="4"/>
      <c r="P66" s="33"/>
      <c r="Q66" s="44"/>
      <c r="R66" s="34"/>
      <c r="S66" s="44"/>
      <c r="T66" s="33"/>
      <c r="U66" s="44"/>
      <c r="V66" s="34"/>
      <c r="W66" s="39"/>
    </row>
    <row r="67" spans="14:23" x14ac:dyDescent="0.2">
      <c r="N67" s="4"/>
      <c r="O67" s="4"/>
      <c r="P67" s="33"/>
      <c r="Q67" s="44"/>
      <c r="R67" s="34"/>
      <c r="S67" s="44"/>
      <c r="T67" s="33"/>
      <c r="U67" s="44"/>
      <c r="V67" s="34"/>
      <c r="W67" s="39"/>
    </row>
    <row r="68" spans="14:23" x14ac:dyDescent="0.2">
      <c r="N68" s="4"/>
      <c r="O68" s="4"/>
      <c r="P68" s="33"/>
      <c r="Q68" s="44"/>
      <c r="R68" s="34"/>
      <c r="S68" s="44"/>
      <c r="T68" s="33"/>
      <c r="U68" s="44"/>
      <c r="V68" s="34"/>
      <c r="W68" s="39"/>
    </row>
    <row r="69" spans="14:23" x14ac:dyDescent="0.2">
      <c r="N69" s="4"/>
      <c r="O69" s="4"/>
      <c r="P69" s="33"/>
      <c r="Q69" s="44"/>
      <c r="R69" s="34"/>
      <c r="S69" s="44"/>
      <c r="T69" s="33"/>
      <c r="U69" s="44"/>
      <c r="V69" s="34"/>
      <c r="W69" s="39"/>
    </row>
    <row r="70" spans="14:23" x14ac:dyDescent="0.2">
      <c r="N70" s="4"/>
      <c r="O70" s="4"/>
      <c r="P70" s="33"/>
      <c r="Q70" s="44"/>
      <c r="R70" s="34"/>
      <c r="S70" s="44"/>
      <c r="T70" s="33"/>
      <c r="U70" s="44"/>
      <c r="V70" s="34"/>
      <c r="W70" s="39"/>
    </row>
    <row r="71" spans="14:23" x14ac:dyDescent="0.2">
      <c r="N71" s="4"/>
      <c r="O71" s="4"/>
      <c r="P71" s="33"/>
      <c r="Q71" s="44"/>
      <c r="R71" s="34"/>
      <c r="S71" s="44"/>
      <c r="T71" s="33"/>
      <c r="U71" s="44"/>
      <c r="V71" s="34"/>
      <c r="W71" s="39"/>
    </row>
    <row r="72" spans="14:23" x14ac:dyDescent="0.2">
      <c r="N72" s="4"/>
      <c r="O72" s="4"/>
      <c r="P72" s="33"/>
      <c r="Q72" s="44"/>
      <c r="R72" s="34"/>
      <c r="S72" s="44"/>
      <c r="T72" s="33"/>
      <c r="U72" s="44"/>
      <c r="V72" s="34"/>
      <c r="W72" s="39"/>
    </row>
    <row r="73" spans="14:23" x14ac:dyDescent="0.2">
      <c r="N73" s="4"/>
      <c r="O73" s="4"/>
      <c r="P73" s="33"/>
      <c r="Q73" s="44"/>
      <c r="R73" s="34"/>
      <c r="S73" s="44"/>
      <c r="T73" s="33"/>
      <c r="U73" s="44"/>
      <c r="V73" s="34"/>
      <c r="W73" s="39"/>
    </row>
    <row r="74" spans="14:23" x14ac:dyDescent="0.2">
      <c r="N74" s="4"/>
      <c r="O74" s="4"/>
      <c r="P74" s="33"/>
      <c r="Q74" s="44"/>
      <c r="R74" s="34"/>
      <c r="S74" s="44"/>
      <c r="T74" s="33"/>
      <c r="U74" s="44"/>
      <c r="V74" s="34"/>
      <c r="W74" s="39"/>
    </row>
    <row r="75" spans="14:23" x14ac:dyDescent="0.2">
      <c r="N75" s="4"/>
      <c r="O75" s="4"/>
      <c r="P75" s="33"/>
      <c r="Q75" s="44"/>
      <c r="R75" s="34"/>
      <c r="S75" s="44"/>
      <c r="T75" s="33"/>
      <c r="U75" s="44"/>
      <c r="V75" s="34"/>
      <c r="W75" s="39"/>
    </row>
    <row r="76" spans="14:23" x14ac:dyDescent="0.2">
      <c r="N76" s="4"/>
      <c r="O76" s="4"/>
      <c r="P76" s="33"/>
      <c r="Q76" s="44"/>
      <c r="R76" s="34"/>
      <c r="S76" s="44"/>
      <c r="T76" s="33"/>
      <c r="U76" s="44"/>
      <c r="V76" s="34"/>
      <c r="W76" s="39"/>
    </row>
    <row r="77" spans="14:23" x14ac:dyDescent="0.2">
      <c r="N77" s="4"/>
      <c r="O77" s="4"/>
      <c r="P77" s="33"/>
      <c r="Q77" s="44"/>
      <c r="R77" s="34"/>
      <c r="S77" s="44"/>
      <c r="T77" s="33"/>
      <c r="U77" s="44"/>
      <c r="V77" s="34"/>
      <c r="W77" s="39"/>
    </row>
    <row r="78" spans="14:23" x14ac:dyDescent="0.2">
      <c r="N78" s="4"/>
      <c r="O78" s="4"/>
      <c r="P78" s="33"/>
      <c r="Q78" s="44"/>
      <c r="R78" s="34"/>
      <c r="S78" s="44"/>
      <c r="T78" s="33"/>
      <c r="U78" s="44"/>
      <c r="V78" s="34"/>
      <c r="W78" s="39"/>
    </row>
    <row r="79" spans="14:23" x14ac:dyDescent="0.2">
      <c r="N79" s="4"/>
      <c r="O79" s="4"/>
      <c r="P79" s="33"/>
      <c r="Q79" s="44"/>
      <c r="R79" s="34"/>
      <c r="S79" s="44"/>
      <c r="T79" s="33"/>
      <c r="U79" s="44"/>
      <c r="V79" s="34"/>
      <c r="W79" s="39"/>
    </row>
    <row r="80" spans="14:23" x14ac:dyDescent="0.2">
      <c r="N80" s="4"/>
      <c r="O80" s="4"/>
      <c r="P80" s="33"/>
      <c r="Q80" s="44"/>
      <c r="R80" s="34"/>
      <c r="S80" s="44"/>
      <c r="T80" s="33"/>
      <c r="U80" s="44"/>
      <c r="V80" s="34"/>
      <c r="W80" s="39"/>
    </row>
    <row r="81" spans="14:23" x14ac:dyDescent="0.2">
      <c r="N81" s="4"/>
      <c r="O81" s="4"/>
      <c r="P81" s="33"/>
      <c r="Q81" s="44"/>
      <c r="R81" s="34"/>
      <c r="S81" s="44"/>
      <c r="T81" s="33"/>
      <c r="U81" s="44"/>
      <c r="V81" s="34"/>
      <c r="W81" s="39"/>
    </row>
    <row r="82" spans="14:23" x14ac:dyDescent="0.2">
      <c r="N82" s="4"/>
      <c r="O82" s="4"/>
      <c r="P82" s="33"/>
      <c r="Q82" s="44"/>
      <c r="R82" s="34"/>
      <c r="S82" s="44"/>
      <c r="T82" s="33"/>
      <c r="U82" s="44"/>
      <c r="V82" s="34"/>
      <c r="W82" s="39"/>
    </row>
    <row r="83" spans="14:23" x14ac:dyDescent="0.2">
      <c r="N83" s="4"/>
      <c r="O83" s="4"/>
      <c r="P83" s="33"/>
      <c r="Q83" s="44"/>
      <c r="R83" s="34"/>
      <c r="S83" s="44"/>
      <c r="T83" s="33"/>
      <c r="U83" s="44"/>
      <c r="V83" s="34"/>
      <c r="W83" s="39"/>
    </row>
    <row r="84" spans="14:23" x14ac:dyDescent="0.2">
      <c r="N84" s="4"/>
      <c r="O84" s="4"/>
      <c r="P84" s="33"/>
      <c r="Q84" s="44"/>
      <c r="R84" s="34"/>
      <c r="S84" s="44"/>
      <c r="T84" s="33"/>
      <c r="U84" s="44"/>
      <c r="V84" s="34"/>
      <c r="W84" s="39"/>
    </row>
    <row r="85" spans="14:23" x14ac:dyDescent="0.2">
      <c r="N85" s="4"/>
      <c r="O85" s="4"/>
      <c r="P85" s="33"/>
      <c r="Q85" s="44"/>
      <c r="R85" s="34"/>
      <c r="S85" s="44"/>
      <c r="T85" s="33"/>
      <c r="U85" s="44"/>
      <c r="V85" s="34"/>
      <c r="W85" s="39"/>
    </row>
    <row r="86" spans="14:23" x14ac:dyDescent="0.2">
      <c r="N86" s="4"/>
      <c r="O86" s="4"/>
      <c r="P86" s="33"/>
      <c r="Q86" s="44"/>
      <c r="R86" s="34"/>
      <c r="S86" s="44"/>
      <c r="T86" s="33"/>
      <c r="U86" s="44"/>
      <c r="V86" s="34"/>
      <c r="W86" s="39"/>
    </row>
    <row r="87" spans="14:23" x14ac:dyDescent="0.2">
      <c r="N87" s="4"/>
      <c r="O87" s="4"/>
      <c r="P87" s="33"/>
      <c r="Q87" s="44"/>
      <c r="R87" s="34"/>
      <c r="S87" s="44"/>
      <c r="T87" s="33"/>
      <c r="U87" s="44"/>
      <c r="V87" s="34"/>
      <c r="W87" s="39"/>
    </row>
    <row r="88" spans="14:23" x14ac:dyDescent="0.2">
      <c r="N88" s="4"/>
      <c r="O88" s="4"/>
      <c r="P88" s="33"/>
      <c r="Q88" s="44"/>
      <c r="R88" s="34"/>
      <c r="S88" s="44"/>
      <c r="T88" s="33"/>
      <c r="U88" s="44"/>
      <c r="V88" s="34"/>
      <c r="W88" s="39"/>
    </row>
    <row r="89" spans="14:23" x14ac:dyDescent="0.2">
      <c r="N89" s="4"/>
      <c r="O89" s="4"/>
      <c r="P89" s="33"/>
      <c r="Q89" s="44"/>
      <c r="R89" s="34"/>
      <c r="S89" s="44"/>
      <c r="T89" s="33"/>
      <c r="U89" s="44"/>
      <c r="V89" s="34"/>
      <c r="W89" s="39"/>
    </row>
    <row r="90" spans="14:23" x14ac:dyDescent="0.2">
      <c r="N90" s="4"/>
      <c r="O90" s="4"/>
      <c r="P90" s="33"/>
      <c r="Q90" s="44"/>
      <c r="R90" s="34"/>
      <c r="S90" s="44"/>
      <c r="T90" s="33"/>
      <c r="U90" s="44"/>
      <c r="V90" s="34"/>
      <c r="W90" s="39"/>
    </row>
    <row r="91" spans="14:23" x14ac:dyDescent="0.2">
      <c r="N91" s="4"/>
      <c r="O91" s="4"/>
      <c r="P91" s="33"/>
      <c r="Q91" s="44"/>
      <c r="R91" s="34"/>
      <c r="S91" s="44"/>
      <c r="T91" s="33"/>
      <c r="U91" s="44"/>
      <c r="V91" s="34"/>
      <c r="W91" s="39"/>
    </row>
    <row r="92" spans="14:23" x14ac:dyDescent="0.2">
      <c r="N92" s="4"/>
      <c r="O92" s="4"/>
      <c r="P92" s="33"/>
      <c r="Q92" s="44"/>
      <c r="R92" s="34"/>
      <c r="S92" s="44"/>
      <c r="T92" s="33"/>
      <c r="U92" s="44"/>
      <c r="V92" s="34"/>
      <c r="W92" s="39"/>
    </row>
    <row r="93" spans="14:23" x14ac:dyDescent="0.2">
      <c r="N93" s="4"/>
      <c r="O93" s="4"/>
      <c r="P93" s="33"/>
      <c r="Q93" s="44"/>
      <c r="R93" s="34"/>
      <c r="S93" s="44"/>
      <c r="T93" s="33"/>
      <c r="U93" s="44"/>
      <c r="V93" s="34"/>
      <c r="W93" s="39"/>
    </row>
    <row r="94" spans="14:23" x14ac:dyDescent="0.2">
      <c r="N94" s="4"/>
      <c r="O94" s="4"/>
      <c r="P94" s="33"/>
      <c r="Q94" s="44"/>
      <c r="R94" s="34"/>
      <c r="S94" s="44"/>
      <c r="T94" s="33"/>
      <c r="U94" s="44"/>
      <c r="V94" s="34"/>
      <c r="W94" s="39"/>
    </row>
    <row r="95" spans="14:23" x14ac:dyDescent="0.2">
      <c r="N95" s="4"/>
      <c r="O95" s="4"/>
      <c r="P95" s="33"/>
      <c r="Q95" s="44"/>
      <c r="R95" s="34"/>
      <c r="S95" s="44"/>
      <c r="T95" s="33"/>
      <c r="U95" s="44"/>
      <c r="V95" s="34"/>
      <c r="W95" s="39"/>
    </row>
    <row r="96" spans="14:23" x14ac:dyDescent="0.2">
      <c r="N96" s="4"/>
      <c r="O96" s="4"/>
      <c r="P96" s="33"/>
      <c r="Q96" s="44"/>
      <c r="R96" s="34"/>
      <c r="S96" s="44"/>
      <c r="T96" s="33"/>
      <c r="U96" s="44"/>
      <c r="V96" s="34"/>
      <c r="W96" s="39"/>
    </row>
    <row r="97" spans="14:23" x14ac:dyDescent="0.2">
      <c r="N97" s="4"/>
      <c r="O97" s="4"/>
      <c r="P97" s="33"/>
      <c r="Q97" s="44"/>
      <c r="R97" s="34"/>
      <c r="S97" s="44"/>
      <c r="T97" s="33"/>
      <c r="U97" s="44"/>
      <c r="V97" s="34"/>
      <c r="W97" s="39"/>
    </row>
    <row r="98" spans="14:23" x14ac:dyDescent="0.2">
      <c r="N98" s="4"/>
      <c r="O98" s="4"/>
      <c r="P98" s="33"/>
      <c r="Q98" s="44"/>
      <c r="R98" s="34"/>
      <c r="S98" s="44"/>
      <c r="T98" s="33"/>
      <c r="U98" s="44"/>
      <c r="V98" s="34"/>
      <c r="W98" s="39"/>
    </row>
    <row r="99" spans="14:23" x14ac:dyDescent="0.2">
      <c r="N99" s="4"/>
      <c r="O99" s="4"/>
      <c r="P99" s="33"/>
      <c r="Q99" s="44"/>
      <c r="R99" s="34"/>
      <c r="S99" s="44"/>
      <c r="T99" s="33"/>
      <c r="U99" s="44"/>
      <c r="V99" s="34"/>
      <c r="W99" s="39"/>
    </row>
    <row r="100" spans="14:23" x14ac:dyDescent="0.2">
      <c r="N100" s="4"/>
      <c r="O100" s="4"/>
      <c r="P100" s="33"/>
      <c r="Q100" s="44"/>
      <c r="R100" s="34"/>
      <c r="S100" s="44"/>
      <c r="T100" s="33"/>
      <c r="U100" s="44"/>
      <c r="V100" s="34"/>
      <c r="W100" s="39"/>
    </row>
    <row r="101" spans="14:23" x14ac:dyDescent="0.2">
      <c r="N101" s="4"/>
      <c r="O101" s="4"/>
      <c r="P101" s="33"/>
      <c r="Q101" s="44"/>
      <c r="R101" s="34"/>
      <c r="S101" s="44"/>
      <c r="T101" s="33"/>
      <c r="U101" s="44"/>
      <c r="V101" s="34"/>
      <c r="W101" s="39"/>
    </row>
    <row r="102" spans="14:23" x14ac:dyDescent="0.2">
      <c r="N102" s="4"/>
      <c r="O102" s="4"/>
      <c r="P102" s="33"/>
      <c r="Q102" s="44"/>
      <c r="R102" s="34"/>
      <c r="S102" s="44"/>
      <c r="T102" s="33"/>
      <c r="U102" s="44"/>
      <c r="V102" s="34"/>
      <c r="W102" s="39"/>
    </row>
  </sheetData>
  <sheetProtection sheet="1" formatCells="0" formatColumns="0" formatRows="0"/>
  <autoFilter ref="B1:W2" xr:uid="{00000000-0009-0000-0000-000005000000}"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sortState xmlns:xlrd2="http://schemas.microsoft.com/office/spreadsheetml/2017/richdata2" ref="B3:W13">
      <sortCondition ref="F1:F37"/>
    </sortState>
  </autoFilter>
  <mergeCells count="17">
    <mergeCell ref="L1:L2"/>
    <mergeCell ref="F1:F2"/>
    <mergeCell ref="H1:H2"/>
    <mergeCell ref="I1:I2"/>
    <mergeCell ref="J1:J2"/>
    <mergeCell ref="K1:K2"/>
    <mergeCell ref="G1:G2"/>
    <mergeCell ref="A1:A2"/>
    <mergeCell ref="B1:B2"/>
    <mergeCell ref="C1:C2"/>
    <mergeCell ref="D1:D2"/>
    <mergeCell ref="E1:E2"/>
    <mergeCell ref="N1:N2"/>
    <mergeCell ref="O1:O2"/>
    <mergeCell ref="P1:S1"/>
    <mergeCell ref="T1:W1"/>
    <mergeCell ref="M1:M2"/>
  </mergeCells>
  <conditionalFormatting sqref="A1:XFD1048576">
    <cfRule type="expression" dxfId="59" priority="9">
      <formula>IF($F1="17-21",1,0)</formula>
    </cfRule>
    <cfRule type="expression" dxfId="58" priority="10">
      <formula>IF($F1="15-16",1,0)</formula>
    </cfRule>
    <cfRule type="expression" dxfId="57" priority="11">
      <formula>IF($F1="13-14",1,0)</formula>
    </cfRule>
    <cfRule type="expression" dxfId="56" priority="12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9"/>
  <sheetViews>
    <sheetView zoomScaleNormal="110"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43" style="38" bestFit="1" customWidth="1"/>
    <col min="3" max="3" width="8.6640625" style="38" bestFit="1" customWidth="1"/>
    <col min="4" max="4" width="39.16406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18.83203125" style="3" customWidth="1"/>
    <col min="12" max="12" width="18.33203125" style="42" bestFit="1" customWidth="1"/>
    <col min="13" max="13" width="18.6640625" style="42" bestFit="1" customWidth="1"/>
    <col min="14" max="14" width="15.6640625" bestFit="1" customWidth="1"/>
    <col min="15" max="15" width="18.6640625" bestFit="1" customWidth="1"/>
    <col min="16" max="16" width="10.83203125" style="37" bestFit="1" customWidth="1"/>
    <col min="17" max="17" width="11.1640625" style="38" bestFit="1" customWidth="1"/>
    <col min="18" max="18" width="6.6640625" style="38" bestFit="1" customWidth="1"/>
    <col min="19" max="19" width="11" style="38" bestFit="1" customWidth="1"/>
    <col min="20" max="20" width="10.83203125" style="37" bestFit="1" customWidth="1"/>
    <col min="21" max="21" width="11.1640625" style="38" bestFit="1" customWidth="1"/>
    <col min="22" max="22" width="6.6640625" style="38" bestFit="1" customWidth="1"/>
    <col min="23" max="23" width="9" style="41" bestFit="1" customWidth="1"/>
  </cols>
  <sheetData>
    <row r="1" spans="1:23" s="6" customFormat="1" x14ac:dyDescent="0.2">
      <c r="A1" s="65" t="s">
        <v>56</v>
      </c>
      <c r="B1" s="65" t="s">
        <v>0</v>
      </c>
      <c r="C1" s="65" t="s">
        <v>1</v>
      </c>
      <c r="D1" s="70" t="s">
        <v>2</v>
      </c>
      <c r="E1" s="72" t="s">
        <v>31</v>
      </c>
      <c r="F1" s="65" t="s">
        <v>32</v>
      </c>
      <c r="G1" s="65" t="s">
        <v>304</v>
      </c>
      <c r="H1" s="68" t="s">
        <v>44</v>
      </c>
      <c r="I1" s="65" t="s">
        <v>40</v>
      </c>
      <c r="J1" s="65" t="s">
        <v>41</v>
      </c>
      <c r="K1" s="65" t="s">
        <v>70</v>
      </c>
      <c r="L1" s="65" t="s">
        <v>43</v>
      </c>
      <c r="M1" s="65" t="s">
        <v>42</v>
      </c>
      <c r="N1" s="65" t="s">
        <v>114</v>
      </c>
      <c r="O1" s="65" t="s">
        <v>115</v>
      </c>
      <c r="P1" s="67" t="s">
        <v>121</v>
      </c>
      <c r="Q1" s="67"/>
      <c r="R1" s="67"/>
      <c r="S1" s="67"/>
      <c r="T1" s="67" t="s">
        <v>122</v>
      </c>
      <c r="U1" s="67"/>
      <c r="V1" s="67"/>
      <c r="W1" s="67"/>
    </row>
    <row r="2" spans="1:23" s="7" customFormat="1" ht="17" thickBot="1" x14ac:dyDescent="0.25">
      <c r="A2" s="66"/>
      <c r="B2" s="66"/>
      <c r="C2" s="66"/>
      <c r="D2" s="71"/>
      <c r="E2" s="73"/>
      <c r="F2" s="66"/>
      <c r="G2" s="66"/>
      <c r="H2" s="69"/>
      <c r="I2" s="66"/>
      <c r="J2" s="66"/>
      <c r="K2" s="66"/>
      <c r="L2" s="66"/>
      <c r="M2" s="66"/>
      <c r="N2" s="66"/>
      <c r="O2" s="66"/>
      <c r="P2" s="8" t="s">
        <v>57</v>
      </c>
      <c r="Q2" s="7" t="s">
        <v>116</v>
      </c>
      <c r="R2" s="7" t="s">
        <v>37</v>
      </c>
      <c r="S2" s="7" t="s">
        <v>39</v>
      </c>
      <c r="T2" s="8" t="s">
        <v>57</v>
      </c>
      <c r="U2" s="7" t="s">
        <v>116</v>
      </c>
      <c r="V2" s="7" t="s">
        <v>37</v>
      </c>
      <c r="W2" s="9" t="s">
        <v>39</v>
      </c>
    </row>
    <row r="3" spans="1:23" ht="17" thickTop="1" x14ac:dyDescent="0.2">
      <c r="A3" s="1" t="str">
        <f>IF(M3&lt;&gt;"",SUMPRODUCT((M$3:M$45&lt;&gt;"")*(F$3:F$45=F3)*(M$3:M$45&lt;M3))+1,IF(L3&lt;&gt;"",SUMPRODUCT((M$3:M$45&lt;&gt;"")*(F$3:F$45=F3))+SUMPRODUCT((L$3:L$45&lt;&gt;"")*(F$3:F$45=F3)*(L$3:L$45&lt;L3))+1,IF(K3="P",SUMPRODUCT((L$3:L$45&lt;&gt;"")*(F$3:F$45=F3))+SUMPRODUCT((M$3:M$45&lt;&gt;"")*(F$3:F$45=F3))+1+SUMPRODUCT((K$3:K$45="P")*(F$3:F$45=F3)*(H$3:H$45&gt;H3)*(L$3:L$45="")*(M$3:M$45="")),"")))</f>
        <v/>
      </c>
      <c r="B3" s="38" t="s">
        <v>208</v>
      </c>
      <c r="C3" s="38" t="s">
        <v>6</v>
      </c>
      <c r="D3" s="38" t="s">
        <v>137</v>
      </c>
      <c r="E3" s="37">
        <v>2005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13-14</v>
      </c>
      <c r="G3" s="56"/>
      <c r="H3" s="4">
        <f>SUM(N3:O3)</f>
        <v>115.7</v>
      </c>
      <c r="I3" s="3" t="str">
        <f>IF(MAX(P3,R3,T3,V3)&gt;=LOOKUP(F3,'Qualifying Scores'!$A$4:$A$7,'Qualifying Scores'!$F$4:$F$7),"P","")</f>
        <v/>
      </c>
      <c r="J3" s="3" t="str">
        <f>IF(MAX(Q3,S3,U3,W3)&gt;=LOOKUP(F3,'Qualifying Scores'!$A$10:$A$13,'Qualifying Scores'!$F$10:$F$13),"P","")</f>
        <v>P</v>
      </c>
      <c r="K3" s="3" t="str">
        <f>IF(OR(AND(P3&gt;=LOOKUP(F3,'Qualifying Scores'!$A$4:$A$7,'Qualifying Scores'!$F$4:$F$7),Q3&gt;=LOOKUP(F3,'Qualifying Scores'!$A$10:$A$13,'Qualifying Scores'!$F$10:$F$13)),AND(T3&gt;=LOOKUP(F3,'Qualifying Scores'!$A$4:$A$7,'Qualifying Scores'!$F$4:$F$7),U3&gt;=LOOKUP(F3,'Qualifying Scores'!$A$10:$A$13,'Qualifying Scores'!$F$10:$F$13)),AND(R3&gt;=LOOKUP(F3,'Qualifying Scores'!$A$4:$A$7,'Qualifying Scores'!$F$4:$F$7),S3&gt;=LOOKUP(F3,'Qualifying Scores'!$A$10:$A$13,'Qualifying Scores'!$F$10:$F$13)),AND(V3&gt;=LOOKUP(F3,'Qualifying Scores'!$A$4:$A$7,'Qualifying Scores'!$F$4:$F$7),W3&gt;=LOOKUP(F3,'Qualifying Scores'!$A$10:$A$13,'Qualifying Scores'!$F$10:$F$13))),"P","")</f>
        <v/>
      </c>
      <c r="N3" s="4">
        <f>MAX(P3,T3)</f>
        <v>60.7</v>
      </c>
      <c r="O3" s="4">
        <f>IF(N3=P3,MAX(R3,T3,V3),MAX(P3,R3,V3))</f>
        <v>55</v>
      </c>
      <c r="P3" s="33">
        <v>60.7</v>
      </c>
      <c r="Q3" s="44">
        <v>9.6</v>
      </c>
      <c r="R3" s="34"/>
      <c r="S3" s="44"/>
      <c r="T3" s="33">
        <v>55</v>
      </c>
      <c r="U3" s="44">
        <v>6.6</v>
      </c>
      <c r="V3" s="34">
        <v>53.2</v>
      </c>
      <c r="W3" s="39">
        <v>7.2</v>
      </c>
    </row>
    <row r="4" spans="1:23" x14ac:dyDescent="0.2">
      <c r="A4" s="1">
        <f t="shared" ref="A4:A36" si="0">IF(M4&lt;&gt;"",SUMPRODUCT((M$3:M$45&lt;&gt;"")*(F$3:F$45=F4)*(M$3:M$45&lt;M4))+1,IF(L4&lt;&gt;"",SUMPRODUCT((M$3:M$45&lt;&gt;"")*(F$3:F$45=F4))+SUMPRODUCT((L$3:L$45&lt;&gt;"")*(F$3:F$45=F4)*(L$3:L$45&lt;L4))+1,IF(K4="P",SUMPRODUCT((L$3:L$45&lt;&gt;"")*(F$3:F$45=F4))+SUMPRODUCT((M$3:M$45&lt;&gt;"")*(F$3:F$45=F4))+1+SUMPRODUCT((K$3:K$45="P")*(F$3:F$45=F4)*(H$3:H$45&gt;H4)*(L$3:L$45="")*(M$3:M$45="")),"")))</f>
        <v>1</v>
      </c>
      <c r="B4" s="38" t="s">
        <v>191</v>
      </c>
      <c r="C4" s="38" t="s">
        <v>4</v>
      </c>
      <c r="D4" s="38" t="s">
        <v>73</v>
      </c>
      <c r="E4" s="37">
        <v>2003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15-16</v>
      </c>
      <c r="G4" s="56" t="s">
        <v>305</v>
      </c>
      <c r="H4" s="4">
        <f>SUM(N4:O4)</f>
        <v>143.30000000000001</v>
      </c>
      <c r="I4" s="3" t="str">
        <f>IF(MAX(P4,R4,T4,V4)&gt;=LOOKUP(F4,'Qualifying Scores'!$A$4:$A$7,'Qualifying Scores'!$F$4:$F$7),"P","")</f>
        <v>P</v>
      </c>
      <c r="J4" s="3" t="str">
        <f>IF(MAX(Q4,S4,U4,W4)&gt;=LOOKUP(F4,'Qualifying Scores'!$A$10:$A$13,'Qualifying Scores'!$F$10:$F$13),"P","")</f>
        <v>P</v>
      </c>
      <c r="K4" s="3" t="str">
        <f>IF(OR(AND(P4&gt;=LOOKUP(F4,'Qualifying Scores'!$A$4:$A$7,'Qualifying Scores'!$F$4:$F$7),Q4&gt;=LOOKUP(F4,'Qualifying Scores'!$A$10:$A$13,'Qualifying Scores'!$F$10:$F$13)),AND(T4&gt;=LOOKUP(F4,'Qualifying Scores'!$A$4:$A$7,'Qualifying Scores'!$F$4:$F$7),U4&gt;=LOOKUP(F4,'Qualifying Scores'!$A$10:$A$13,'Qualifying Scores'!$F$10:$F$13)),AND(R4&gt;=LOOKUP(F4,'Qualifying Scores'!$A$4:$A$7,'Qualifying Scores'!$F$4:$F$7),S4&gt;=LOOKUP(F4,'Qualifying Scores'!$A$10:$A$13,'Qualifying Scores'!$F$10:$F$13)),AND(V4&gt;=LOOKUP(F4,'Qualifying Scores'!$A$4:$A$7,'Qualifying Scores'!$F$4:$F$7),W4&gt;=LOOKUP(F4,'Qualifying Scores'!$A$10:$A$13,'Qualifying Scores'!$F$10:$F$13))),"P","")</f>
        <v>P</v>
      </c>
      <c r="L4" s="42">
        <v>1</v>
      </c>
      <c r="N4" s="4">
        <f>MAX(P4,T4)</f>
        <v>71.3</v>
      </c>
      <c r="O4" s="4">
        <f>IF(N4=P4,MAX(R4,T4,V4),MAX(P4,R4,V4))</f>
        <v>72</v>
      </c>
      <c r="P4" s="33">
        <v>71.3</v>
      </c>
      <c r="Q4" s="44">
        <v>14.4</v>
      </c>
      <c r="R4" s="34">
        <v>68.900000000000006</v>
      </c>
      <c r="S4" s="44">
        <v>15.2</v>
      </c>
      <c r="T4" s="33">
        <v>66.599999999999994</v>
      </c>
      <c r="U4" s="44">
        <v>15.7</v>
      </c>
      <c r="V4" s="34">
        <v>72</v>
      </c>
      <c r="W4" s="39">
        <v>15.6</v>
      </c>
    </row>
    <row r="5" spans="1:23" x14ac:dyDescent="0.2">
      <c r="A5" s="1">
        <f t="shared" si="0"/>
        <v>2</v>
      </c>
      <c r="B5" s="38" t="s">
        <v>188</v>
      </c>
      <c r="C5" s="38" t="s">
        <v>6</v>
      </c>
      <c r="D5" s="38" t="s">
        <v>25</v>
      </c>
      <c r="E5" s="37">
        <v>2003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15-16</v>
      </c>
      <c r="G5" s="56" t="s">
        <v>305</v>
      </c>
      <c r="H5" s="4">
        <f>SUM(N5:O5)</f>
        <v>140.5</v>
      </c>
      <c r="I5" s="3" t="str">
        <f>IF(MAX(P5,R5,T5,V5)&gt;=LOOKUP(F5,'Qualifying Scores'!$A$4:$A$7,'Qualifying Scores'!$F$4:$F$7),"P","")</f>
        <v>P</v>
      </c>
      <c r="J5" s="3" t="str">
        <f>IF(MAX(Q5,S5,U5,W5)&gt;=LOOKUP(F5,'Qualifying Scores'!$A$10:$A$13,'Qualifying Scores'!$F$10:$F$13),"P","")</f>
        <v>P</v>
      </c>
      <c r="K5" s="3" t="str">
        <f>IF(OR(AND(P5&gt;=LOOKUP(F5,'Qualifying Scores'!$A$4:$A$7,'Qualifying Scores'!$F$4:$F$7),Q5&gt;=LOOKUP(F5,'Qualifying Scores'!$A$10:$A$13,'Qualifying Scores'!$F$10:$F$13)),AND(T5&gt;=LOOKUP(F5,'Qualifying Scores'!$A$4:$A$7,'Qualifying Scores'!$F$4:$F$7),U5&gt;=LOOKUP(F5,'Qualifying Scores'!$A$10:$A$13,'Qualifying Scores'!$F$10:$F$13)),AND(R5&gt;=LOOKUP(F5,'Qualifying Scores'!$A$4:$A$7,'Qualifying Scores'!$F$4:$F$7),S5&gt;=LOOKUP(F5,'Qualifying Scores'!$A$10:$A$13,'Qualifying Scores'!$F$10:$F$13)),AND(V5&gt;=LOOKUP(F5,'Qualifying Scores'!$A$4:$A$7,'Qualifying Scores'!$F$4:$F$7),W5&gt;=LOOKUP(F5,'Qualifying Scores'!$A$10:$A$13,'Qualifying Scores'!$F$10:$F$13))),"P","")</f>
        <v>P</v>
      </c>
      <c r="L5" s="42">
        <v>2</v>
      </c>
      <c r="N5" s="4">
        <f>MAX(P5,T5)</f>
        <v>71.099999999999994</v>
      </c>
      <c r="O5" s="4">
        <f>IF(N5=P5,MAX(R5,T5,V5),MAX(P5,R5,V5))</f>
        <v>69.400000000000006</v>
      </c>
      <c r="P5" s="33">
        <v>71.099999999999994</v>
      </c>
      <c r="Q5" s="44">
        <v>14.8</v>
      </c>
      <c r="R5" s="34">
        <v>69.400000000000006</v>
      </c>
      <c r="S5" s="44">
        <f>7.6+6.8</f>
        <v>14.399999999999999</v>
      </c>
      <c r="T5" s="33">
        <v>69.099999999999994</v>
      </c>
      <c r="U5" s="44">
        <v>14.4</v>
      </c>
      <c r="V5" s="34">
        <v>68.900000000000006</v>
      </c>
      <c r="W5" s="39">
        <v>15.2</v>
      </c>
    </row>
    <row r="6" spans="1:23" x14ac:dyDescent="0.2">
      <c r="A6" s="1">
        <f t="shared" si="0"/>
        <v>3</v>
      </c>
      <c r="B6" s="38" t="s">
        <v>189</v>
      </c>
      <c r="C6" s="38" t="s">
        <v>8</v>
      </c>
      <c r="D6" s="38" t="s">
        <v>75</v>
      </c>
      <c r="E6" s="37">
        <v>2003</v>
      </c>
      <c r="F6" s="1" t="str">
        <f>IF('Qualifying Scores'!$B$1-E6&gt;21,"Not Age Eligible",IF('Qualifying Scores'!$B$1-E6&gt;16,"17-21",IF('Qualifying Scores'!$B$1-E6&gt;14,"15-16",IF('Qualifying Scores'!$B$1-E6&gt;12,"13-14",IF('Qualifying Scores'!$B$1-E6&gt;10,"11-12,""Not Age Eligible")))))</f>
        <v>15-16</v>
      </c>
      <c r="G6" s="56" t="s">
        <v>305</v>
      </c>
      <c r="H6" s="4">
        <f>SUM(N6:O6)</f>
        <v>135.9</v>
      </c>
      <c r="I6" s="3" t="str">
        <f>IF(MAX(P6,R6,T6,V6)&gt;=LOOKUP(F6,'Qualifying Scores'!$A$4:$A$7,'Qualifying Scores'!$F$4:$F$7),"P","")</f>
        <v>P</v>
      </c>
      <c r="J6" s="3" t="str">
        <f>IF(MAX(Q6,S6,U6,W6)&gt;=LOOKUP(F6,'Qualifying Scores'!$A$10:$A$13,'Qualifying Scores'!$F$10:$F$13),"P","")</f>
        <v>P</v>
      </c>
      <c r="K6" s="3" t="str">
        <f>IF(OR(AND(P6&gt;=LOOKUP(F6,'Qualifying Scores'!$A$4:$A$7,'Qualifying Scores'!$F$4:$F$7),Q6&gt;=LOOKUP(F6,'Qualifying Scores'!$A$10:$A$13,'Qualifying Scores'!$F$10:$F$13)),AND(T6&gt;=LOOKUP(F6,'Qualifying Scores'!$A$4:$A$7,'Qualifying Scores'!$F$4:$F$7),U6&gt;=LOOKUP(F6,'Qualifying Scores'!$A$10:$A$13,'Qualifying Scores'!$F$10:$F$13)),AND(R6&gt;=LOOKUP(F6,'Qualifying Scores'!$A$4:$A$7,'Qualifying Scores'!$F$4:$F$7),S6&gt;=LOOKUP(F6,'Qualifying Scores'!$A$10:$A$13,'Qualifying Scores'!$F$10:$F$13)),AND(V6&gt;=LOOKUP(F6,'Qualifying Scores'!$A$4:$A$7,'Qualifying Scores'!$F$4:$F$7),W6&gt;=LOOKUP(F6,'Qualifying Scores'!$A$10:$A$13,'Qualifying Scores'!$F$10:$F$13))),"P","")</f>
        <v>P</v>
      </c>
      <c r="N6" s="4">
        <f>MAX(P6,T6)</f>
        <v>69.2</v>
      </c>
      <c r="O6" s="4">
        <f>IF(N6=P6,MAX(R6,T6,V6),MAX(P6,R6,V6))</f>
        <v>66.7</v>
      </c>
      <c r="P6" s="33">
        <v>66.099999999999994</v>
      </c>
      <c r="Q6" s="44">
        <v>13.2</v>
      </c>
      <c r="R6" s="34">
        <v>65.400000000000006</v>
      </c>
      <c r="S6" s="44">
        <v>12.8</v>
      </c>
      <c r="T6" s="33">
        <v>69.2</v>
      </c>
      <c r="U6" s="44">
        <v>13.2</v>
      </c>
      <c r="V6" s="34">
        <v>66.7</v>
      </c>
      <c r="W6" s="39">
        <v>12.8</v>
      </c>
    </row>
    <row r="7" spans="1:23" x14ac:dyDescent="0.2">
      <c r="A7" s="1">
        <f t="shared" si="0"/>
        <v>4</v>
      </c>
      <c r="B7" s="38" t="s">
        <v>190</v>
      </c>
      <c r="C7" s="38" t="s">
        <v>8</v>
      </c>
      <c r="D7" s="38" t="s">
        <v>110</v>
      </c>
      <c r="E7" s="37">
        <v>2004</v>
      </c>
      <c r="F7" s="1" t="str">
        <f>IF('Qualifying Scores'!$B$1-E7&gt;21,"Not Age Eligible",IF('Qualifying Scores'!$B$1-E7&gt;16,"17-21",IF('Qualifying Scores'!$B$1-E7&gt;14,"15-16",IF('Qualifying Scores'!$B$1-E7&gt;12,"13-14",IF('Qualifying Scores'!$B$1-E7&gt;10,"11-12,""Not Age Eligible")))))</f>
        <v>15-16</v>
      </c>
      <c r="G7" s="56"/>
      <c r="H7" s="4">
        <f>SUM(N7:O7)</f>
        <v>134.6</v>
      </c>
      <c r="I7" s="3" t="str">
        <f>IF(MAX(P7,R7,T7,V7)&gt;=LOOKUP(F7,'Qualifying Scores'!$A$4:$A$7,'Qualifying Scores'!$F$4:$F$7),"P","")</f>
        <v>P</v>
      </c>
      <c r="J7" s="3" t="str">
        <f>IF(MAX(Q7,S7,U7,W7)&gt;=LOOKUP(F7,'Qualifying Scores'!$A$10:$A$13,'Qualifying Scores'!$F$10:$F$13),"P","")</f>
        <v>P</v>
      </c>
      <c r="K7" s="3" t="str">
        <f>IF(OR(AND(P7&gt;=LOOKUP(F7,'Qualifying Scores'!$A$4:$A$7,'Qualifying Scores'!$F$4:$F$7),Q7&gt;=LOOKUP(F7,'Qualifying Scores'!$A$10:$A$13,'Qualifying Scores'!$F$10:$F$13)),AND(T7&gt;=LOOKUP(F7,'Qualifying Scores'!$A$4:$A$7,'Qualifying Scores'!$F$4:$F$7),U7&gt;=LOOKUP(F7,'Qualifying Scores'!$A$10:$A$13,'Qualifying Scores'!$F$10:$F$13)),AND(R7&gt;=LOOKUP(F7,'Qualifying Scores'!$A$4:$A$7,'Qualifying Scores'!$F$4:$F$7),S7&gt;=LOOKUP(F7,'Qualifying Scores'!$A$10:$A$13,'Qualifying Scores'!$F$10:$F$13)),AND(V7&gt;=LOOKUP(F7,'Qualifying Scores'!$A$4:$A$7,'Qualifying Scores'!$F$4:$F$7),W7&gt;=LOOKUP(F7,'Qualifying Scores'!$A$10:$A$13,'Qualifying Scores'!$F$10:$F$13))),"P","")</f>
        <v>P</v>
      </c>
      <c r="N7" s="4">
        <f>MAX(P7,T7)</f>
        <v>66.8</v>
      </c>
      <c r="O7" s="4">
        <f>IF(N7=P7,MAX(R7,T7,V7),MAX(P7,R7,V7))</f>
        <v>67.8</v>
      </c>
      <c r="P7" s="33">
        <v>66.8</v>
      </c>
      <c r="Q7" s="44">
        <v>10.4</v>
      </c>
      <c r="R7" s="34">
        <v>67.8</v>
      </c>
      <c r="S7" s="44">
        <v>12.8</v>
      </c>
      <c r="T7" s="33"/>
      <c r="U7" s="44"/>
      <c r="V7" s="34"/>
      <c r="W7" s="39"/>
    </row>
    <row r="8" spans="1:23" x14ac:dyDescent="0.2">
      <c r="A8" s="1">
        <f t="shared" si="0"/>
        <v>5</v>
      </c>
      <c r="B8" s="38" t="s">
        <v>209</v>
      </c>
      <c r="C8" s="38" t="s">
        <v>8</v>
      </c>
      <c r="D8" s="38" t="s">
        <v>75</v>
      </c>
      <c r="E8" s="37">
        <v>2003</v>
      </c>
      <c r="F8" s="1" t="str">
        <f>IF('Qualifying Scores'!$B$1-E8&gt;21,"Not Age Eligible",IF('Qualifying Scores'!$B$1-E8&gt;16,"17-21",IF('Qualifying Scores'!$B$1-E8&gt;14,"15-16",IF('Qualifying Scores'!$B$1-E8&gt;12,"13-14",IF('Qualifying Scores'!$B$1-E8&gt;10,"11-12,""Not Age Eligible")))))</f>
        <v>15-16</v>
      </c>
      <c r="G8" s="56" t="s">
        <v>305</v>
      </c>
      <c r="H8" s="4">
        <f>SUM(N8:O8)</f>
        <v>134</v>
      </c>
      <c r="I8" s="3" t="str">
        <f>IF(MAX(P8,R8,T8,V8)&gt;=LOOKUP(F8,'Qualifying Scores'!$A$4:$A$7,'Qualifying Scores'!$F$4:$F$7),"P","")</f>
        <v>P</v>
      </c>
      <c r="J8" s="3" t="str">
        <f>IF(MAX(Q8,S8,U8,W8)&gt;=LOOKUP(F8,'Qualifying Scores'!$A$10:$A$13,'Qualifying Scores'!$F$10:$F$13),"P","")</f>
        <v>P</v>
      </c>
      <c r="K8" s="3" t="str">
        <f>IF(OR(AND(P8&gt;=LOOKUP(F8,'Qualifying Scores'!$A$4:$A$7,'Qualifying Scores'!$F$4:$F$7),Q8&gt;=LOOKUP(F8,'Qualifying Scores'!$A$10:$A$13,'Qualifying Scores'!$F$10:$F$13)),AND(T8&gt;=LOOKUP(F8,'Qualifying Scores'!$A$4:$A$7,'Qualifying Scores'!$F$4:$F$7),U8&gt;=LOOKUP(F8,'Qualifying Scores'!$A$10:$A$13,'Qualifying Scores'!$F$10:$F$13)),AND(R8&gt;=LOOKUP(F8,'Qualifying Scores'!$A$4:$A$7,'Qualifying Scores'!$F$4:$F$7),S8&gt;=LOOKUP(F8,'Qualifying Scores'!$A$10:$A$13,'Qualifying Scores'!$F$10:$F$13)),AND(V8&gt;=LOOKUP(F8,'Qualifying Scores'!$A$4:$A$7,'Qualifying Scores'!$F$4:$F$7),W8&gt;=LOOKUP(F8,'Qualifying Scores'!$A$10:$A$13,'Qualifying Scores'!$F$10:$F$13))),"P","")</f>
        <v>P</v>
      </c>
      <c r="N8" s="4">
        <f>MAX(P8,T8)</f>
        <v>67.400000000000006</v>
      </c>
      <c r="O8" s="4">
        <f>IF(N8=P8,MAX(R8,T8,V8),MAX(P8,R8,V8))</f>
        <v>66.599999999999994</v>
      </c>
      <c r="P8" s="33">
        <v>60.7</v>
      </c>
      <c r="Q8" s="44">
        <f>2.9+5.2</f>
        <v>8.1</v>
      </c>
      <c r="R8" s="34">
        <v>66.599999999999994</v>
      </c>
      <c r="S8" s="44">
        <v>13.2</v>
      </c>
      <c r="T8" s="33">
        <v>67.400000000000006</v>
      </c>
      <c r="U8" s="44">
        <v>13.2</v>
      </c>
      <c r="V8" s="34"/>
      <c r="W8" s="39"/>
    </row>
    <row r="9" spans="1:23" x14ac:dyDescent="0.2">
      <c r="A9" s="1" t="str">
        <f t="shared" si="0"/>
        <v/>
      </c>
      <c r="B9" s="38" t="s">
        <v>288</v>
      </c>
      <c r="C9" s="38" t="s">
        <v>8</v>
      </c>
      <c r="D9" s="38" t="s">
        <v>149</v>
      </c>
      <c r="E9" s="37">
        <v>2004</v>
      </c>
      <c r="F9" s="1" t="str">
        <f>IF('Qualifying Scores'!$B$1-E9&gt;21,"Not Age Eligible",IF('Qualifying Scores'!$B$1-E9&gt;16,"17-21",IF('Qualifying Scores'!$B$1-E9&gt;14,"15-16",IF('Qualifying Scores'!$B$1-E9&gt;12,"13-14",IF('Qualifying Scores'!$B$1-E9&gt;10,"11-12,""Not Age Eligible")))))</f>
        <v>15-16</v>
      </c>
      <c r="G9" s="56"/>
      <c r="H9" s="4">
        <f>SUM(N9:O9)</f>
        <v>130.30000000000001</v>
      </c>
      <c r="I9" s="3" t="str">
        <f>IF(MAX(P9,R9,T9,V9)&gt;=LOOKUP(F9,'Qualifying Scores'!$A$4:$A$7,'Qualifying Scores'!$F$4:$F$7),"P","")</f>
        <v/>
      </c>
      <c r="J9" s="3" t="str">
        <f>IF(MAX(Q9,S9,U9,W9)&gt;=LOOKUP(F9,'Qualifying Scores'!$A$10:$A$13,'Qualifying Scores'!$F$10:$F$13),"P","")</f>
        <v/>
      </c>
      <c r="K9" s="3" t="str">
        <f>IF(OR(AND(P9&gt;=LOOKUP(F9,'Qualifying Scores'!$A$4:$A$7,'Qualifying Scores'!$F$4:$F$7),Q9&gt;=LOOKUP(F9,'Qualifying Scores'!$A$10:$A$13,'Qualifying Scores'!$F$10:$F$13)),AND(T9&gt;=LOOKUP(F9,'Qualifying Scores'!$A$4:$A$7,'Qualifying Scores'!$F$4:$F$7),U9&gt;=LOOKUP(F9,'Qualifying Scores'!$A$10:$A$13,'Qualifying Scores'!$F$10:$F$13)),AND(R9&gt;=LOOKUP(F9,'Qualifying Scores'!$A$4:$A$7,'Qualifying Scores'!$F$4:$F$7),S9&gt;=LOOKUP(F9,'Qualifying Scores'!$A$10:$A$13,'Qualifying Scores'!$F$10:$F$13)),AND(V9&gt;=LOOKUP(F9,'Qualifying Scores'!$A$4:$A$7,'Qualifying Scores'!$F$4:$F$7),W9&gt;=LOOKUP(F9,'Qualifying Scores'!$A$10:$A$13,'Qualifying Scores'!$F$10:$F$13))),"P","")</f>
        <v/>
      </c>
      <c r="N9" s="4">
        <f>MAX(P9,T9)</f>
        <v>66.400000000000006</v>
      </c>
      <c r="O9" s="4">
        <f>IF(N9=P9,MAX(R9,T9,V9),MAX(P9,R9,V9))</f>
        <v>63.9</v>
      </c>
      <c r="P9" s="33"/>
      <c r="Q9" s="44"/>
      <c r="R9" s="34"/>
      <c r="S9" s="44"/>
      <c r="T9" s="33">
        <v>66.400000000000006</v>
      </c>
      <c r="U9" s="44">
        <v>11.6</v>
      </c>
      <c r="V9" s="34">
        <v>63.9</v>
      </c>
      <c r="W9" s="39">
        <v>10.8</v>
      </c>
    </row>
    <row r="10" spans="1:23" x14ac:dyDescent="0.2">
      <c r="A10" s="1">
        <f t="shared" si="0"/>
        <v>6</v>
      </c>
      <c r="B10" s="38" t="s">
        <v>186</v>
      </c>
      <c r="C10" s="38" t="s">
        <v>4</v>
      </c>
      <c r="D10" s="38" t="s">
        <v>73</v>
      </c>
      <c r="E10" s="37">
        <v>2004</v>
      </c>
      <c r="F10" s="1" t="str">
        <f>IF('Qualifying Scores'!$B$1-E10&gt;21,"Not Age Eligible",IF('Qualifying Scores'!$B$1-E10&gt;16,"17-21",IF('Qualifying Scores'!$B$1-E10&gt;14,"15-16",IF('Qualifying Scores'!$B$1-E10&gt;12,"13-14",IF('Qualifying Scores'!$B$1-E10&gt;10,"11-12,""Not Age Eligible")))))</f>
        <v>15-16</v>
      </c>
      <c r="G10" s="56" t="s">
        <v>305</v>
      </c>
      <c r="H10" s="4">
        <f>SUM(N10:O10)</f>
        <v>125.2</v>
      </c>
      <c r="I10" s="3" t="str">
        <f>IF(MAX(P10,R10,T10,V10)&gt;=LOOKUP(F10,'Qualifying Scores'!$A$4:$A$7,'Qualifying Scores'!$F$4:$F$7),"P","")</f>
        <v>P</v>
      </c>
      <c r="J10" s="3" t="str">
        <f>IF(MAX(Q10,S10,U10,W10)&gt;=LOOKUP(F10,'Qualifying Scores'!$A$10:$A$13,'Qualifying Scores'!$F$10:$F$13),"P","")</f>
        <v>P</v>
      </c>
      <c r="K10" s="3" t="str">
        <f>IF(OR(AND(P10&gt;=LOOKUP(F10,'Qualifying Scores'!$A$4:$A$7,'Qualifying Scores'!$F$4:$F$7),Q10&gt;=LOOKUP(F10,'Qualifying Scores'!$A$10:$A$13,'Qualifying Scores'!$F$10:$F$13)),AND(T10&gt;=LOOKUP(F10,'Qualifying Scores'!$A$4:$A$7,'Qualifying Scores'!$F$4:$F$7),U10&gt;=LOOKUP(F10,'Qualifying Scores'!$A$10:$A$13,'Qualifying Scores'!$F$10:$F$13)),AND(R10&gt;=LOOKUP(F10,'Qualifying Scores'!$A$4:$A$7,'Qualifying Scores'!$F$4:$F$7),S10&gt;=LOOKUP(F10,'Qualifying Scores'!$A$10:$A$13,'Qualifying Scores'!$F$10:$F$13)),AND(V10&gt;=LOOKUP(F10,'Qualifying Scores'!$A$4:$A$7,'Qualifying Scores'!$F$4:$F$7),W10&gt;=LOOKUP(F10,'Qualifying Scores'!$A$10:$A$13,'Qualifying Scores'!$F$10:$F$13))),"P","")</f>
        <v>P</v>
      </c>
      <c r="N10" s="4">
        <f>MAX(P10,T10)</f>
        <v>68.900000000000006</v>
      </c>
      <c r="O10" s="4">
        <f>IF(N10=P10,MAX(R10,T10,V10),MAX(P10,R10,V10))</f>
        <v>56.3</v>
      </c>
      <c r="P10" s="33">
        <v>68.900000000000006</v>
      </c>
      <c r="Q10" s="44">
        <v>13.2</v>
      </c>
      <c r="R10" s="34">
        <v>56.3</v>
      </c>
      <c r="S10" s="44">
        <v>8.8000000000000007</v>
      </c>
      <c r="T10" s="33">
        <v>28.5</v>
      </c>
      <c r="U10" s="44">
        <v>8.4</v>
      </c>
      <c r="V10" s="34"/>
      <c r="W10" s="39"/>
    </row>
    <row r="11" spans="1:23" x14ac:dyDescent="0.2">
      <c r="A11" s="1" t="str">
        <f t="shared" si="0"/>
        <v/>
      </c>
      <c r="B11" s="38" t="s">
        <v>210</v>
      </c>
      <c r="C11" s="38" t="s">
        <v>8</v>
      </c>
      <c r="D11" s="38" t="s">
        <v>110</v>
      </c>
      <c r="E11" s="37">
        <v>2004</v>
      </c>
      <c r="F11" s="1" t="str">
        <f>IF('Qualifying Scores'!$B$1-E11&gt;21,"Not Age Eligible",IF('Qualifying Scores'!$B$1-E11&gt;16,"17-21",IF('Qualifying Scores'!$B$1-E11&gt;14,"15-16",IF('Qualifying Scores'!$B$1-E11&gt;12,"13-14",IF('Qualifying Scores'!$B$1-E11&gt;10,"11-12,""Not Age Eligible")))))</f>
        <v>15-16</v>
      </c>
      <c r="G11" s="56"/>
      <c r="H11" s="4">
        <f>SUM(N11:O11)</f>
        <v>117.9</v>
      </c>
      <c r="I11" s="3" t="str">
        <f>IF(MAX(P11,R11,T11,V11)&gt;=LOOKUP(F11,'Qualifying Scores'!$A$4:$A$7,'Qualifying Scores'!$F$4:$F$7),"P","")</f>
        <v/>
      </c>
      <c r="J11" s="3" t="str">
        <f>IF(MAX(Q11,S11,U11,W11)&gt;=LOOKUP(F11,'Qualifying Scores'!$A$10:$A$13,'Qualifying Scores'!$F$10:$F$13),"P","")</f>
        <v/>
      </c>
      <c r="K11" s="3" t="str">
        <f>IF(OR(AND(P11&gt;=LOOKUP(F11,'Qualifying Scores'!$A$4:$A$7,'Qualifying Scores'!$F$4:$F$7),Q11&gt;=LOOKUP(F11,'Qualifying Scores'!$A$10:$A$13,'Qualifying Scores'!$F$10:$F$13)),AND(T11&gt;=LOOKUP(F11,'Qualifying Scores'!$A$4:$A$7,'Qualifying Scores'!$F$4:$F$7),U11&gt;=LOOKUP(F11,'Qualifying Scores'!$A$10:$A$13,'Qualifying Scores'!$F$10:$F$13)),AND(R11&gt;=LOOKUP(F11,'Qualifying Scores'!$A$4:$A$7,'Qualifying Scores'!$F$4:$F$7),S11&gt;=LOOKUP(F11,'Qualifying Scores'!$A$10:$A$13,'Qualifying Scores'!$F$10:$F$13)),AND(V11&gt;=LOOKUP(F11,'Qualifying Scores'!$A$4:$A$7,'Qualifying Scores'!$F$4:$F$7),W11&gt;=LOOKUP(F11,'Qualifying Scores'!$A$10:$A$13,'Qualifying Scores'!$F$10:$F$13))),"P","")</f>
        <v/>
      </c>
      <c r="N11" s="4">
        <f>MAX(P11,T11)</f>
        <v>62.2</v>
      </c>
      <c r="O11" s="4">
        <f>IF(N11=P11,MAX(R11,T11,V11),MAX(P11,R11,V11))</f>
        <v>55.7</v>
      </c>
      <c r="P11" s="33">
        <v>62.2</v>
      </c>
      <c r="Q11" s="44">
        <v>8.6999999999999993</v>
      </c>
      <c r="R11" s="34">
        <v>55.7</v>
      </c>
      <c r="S11" s="44">
        <v>8</v>
      </c>
      <c r="T11" s="33"/>
      <c r="U11" s="44"/>
      <c r="V11" s="34"/>
      <c r="W11" s="39"/>
    </row>
    <row r="12" spans="1:23" x14ac:dyDescent="0.2">
      <c r="A12" s="1" t="str">
        <f t="shared" si="0"/>
        <v/>
      </c>
      <c r="B12" s="38" t="s">
        <v>282</v>
      </c>
      <c r="C12" s="38" t="s">
        <v>6</v>
      </c>
      <c r="D12" s="38" t="s">
        <v>281</v>
      </c>
      <c r="E12" s="37">
        <v>2003</v>
      </c>
      <c r="F12" s="1" t="str">
        <f>IF('Qualifying Scores'!$B$1-E12&gt;21,"Not Age Eligible",IF('Qualifying Scores'!$B$1-E12&gt;16,"17-21",IF('Qualifying Scores'!$B$1-E12&gt;14,"15-16",IF('Qualifying Scores'!$B$1-E12&gt;12,"13-14",IF('Qualifying Scores'!$B$1-E12&gt;10,"11-12,""Not Age Eligible")))))</f>
        <v>15-16</v>
      </c>
      <c r="G12" s="56"/>
      <c r="H12" s="4">
        <f>SUM(N12:O12)</f>
        <v>98.699999999999989</v>
      </c>
      <c r="I12" s="3" t="str">
        <f>IF(MAX(P12,R12,T12,V12)&gt;=LOOKUP(F12,'Qualifying Scores'!$A$4:$A$7,'Qualifying Scores'!$F$4:$F$7),"P","")</f>
        <v>P</v>
      </c>
      <c r="J12" s="3" t="str">
        <f>IF(MAX(Q12,S12,U12,W12)&gt;=LOOKUP(F12,'Qualifying Scores'!$A$10:$A$13,'Qualifying Scores'!$F$10:$F$13),"P","")</f>
        <v/>
      </c>
      <c r="K12" s="3" t="str">
        <f>IF(OR(AND(P12&gt;=LOOKUP(F12,'Qualifying Scores'!$A$4:$A$7,'Qualifying Scores'!$F$4:$F$7),Q12&gt;=LOOKUP(F12,'Qualifying Scores'!$A$10:$A$13,'Qualifying Scores'!$F$10:$F$13)),AND(T12&gt;=LOOKUP(F12,'Qualifying Scores'!$A$4:$A$7,'Qualifying Scores'!$F$4:$F$7),U12&gt;=LOOKUP(F12,'Qualifying Scores'!$A$10:$A$13,'Qualifying Scores'!$F$10:$F$13)),AND(R12&gt;=LOOKUP(F12,'Qualifying Scores'!$A$4:$A$7,'Qualifying Scores'!$F$4:$F$7),S12&gt;=LOOKUP(F12,'Qualifying Scores'!$A$10:$A$13,'Qualifying Scores'!$F$10:$F$13)),AND(V12&gt;=LOOKUP(F12,'Qualifying Scores'!$A$4:$A$7,'Qualifying Scores'!$F$4:$F$7),W12&gt;=LOOKUP(F12,'Qualifying Scores'!$A$10:$A$13,'Qualifying Scores'!$F$10:$F$13))),"P","")</f>
        <v/>
      </c>
      <c r="N12" s="4">
        <f>MAX(P12,T12)</f>
        <v>67.3</v>
      </c>
      <c r="O12" s="4">
        <f>IF(N12=P12,MAX(R12,T12,V12),MAX(P12,R12,V12))</f>
        <v>31.4</v>
      </c>
      <c r="P12" s="33"/>
      <c r="Q12" s="44"/>
      <c r="R12" s="34"/>
      <c r="S12" s="44"/>
      <c r="T12" s="33">
        <v>67.3</v>
      </c>
      <c r="U12" s="44">
        <v>12.4</v>
      </c>
      <c r="V12" s="34">
        <v>31.4</v>
      </c>
      <c r="W12" s="39">
        <v>6.9</v>
      </c>
    </row>
    <row r="13" spans="1:23" x14ac:dyDescent="0.2">
      <c r="A13" s="1">
        <f t="shared" si="0"/>
        <v>1</v>
      </c>
      <c r="B13" s="38" t="s">
        <v>218</v>
      </c>
      <c r="C13" s="38" t="s">
        <v>12</v>
      </c>
      <c r="D13" s="38" t="s">
        <v>106</v>
      </c>
      <c r="E13" s="37">
        <v>2000</v>
      </c>
      <c r="F13" s="1" t="str">
        <f>IF('Qualifying Scores'!$B$1-E13&gt;21,"Not Age Eligible",IF('Qualifying Scores'!$B$1-E13&gt;16,"17-21",IF('Qualifying Scores'!$B$1-E13&gt;14,"15-16",IF('Qualifying Scores'!$B$1-E13&gt;12,"13-14",IF('Qualifying Scores'!$B$1-E13&gt;10,"11-12,""Not Age Eligible")))))</f>
        <v>17-21</v>
      </c>
      <c r="G13" s="56"/>
      <c r="H13" s="4">
        <f>SUM(N13:O13)</f>
        <v>136.9</v>
      </c>
      <c r="I13" s="3" t="str">
        <f>IF(MAX(P13,R13,T13,V13)&gt;=LOOKUP(F13,'Qualifying Scores'!$A$4:$A$7,'Qualifying Scores'!$F$4:$F$7),"P","")</f>
        <v>P</v>
      </c>
      <c r="J13" s="3" t="str">
        <f>IF(MAX(Q13,S13,U13,W13)&gt;=LOOKUP(F13,'Qualifying Scores'!$A$10:$A$13,'Qualifying Scores'!$F$10:$F$13),"P","")</f>
        <v>P</v>
      </c>
      <c r="K13" s="3" t="str">
        <f>IF(OR(AND(P13&gt;=LOOKUP(F13,'Qualifying Scores'!$A$4:$A$7,'Qualifying Scores'!$F$4:$F$7),Q13&gt;=LOOKUP(F13,'Qualifying Scores'!$A$10:$A$13,'Qualifying Scores'!$F$10:$F$13)),AND(T13&gt;=LOOKUP(F13,'Qualifying Scores'!$A$4:$A$7,'Qualifying Scores'!$F$4:$F$7),U13&gt;=LOOKUP(F13,'Qualifying Scores'!$A$10:$A$13,'Qualifying Scores'!$F$10:$F$13)),AND(R13&gt;=LOOKUP(F13,'Qualifying Scores'!$A$4:$A$7,'Qualifying Scores'!$F$4:$F$7),S13&gt;=LOOKUP(F13,'Qualifying Scores'!$A$10:$A$13,'Qualifying Scores'!$F$10:$F$13)),AND(V13&gt;=LOOKUP(F13,'Qualifying Scores'!$A$4:$A$7,'Qualifying Scores'!$F$4:$F$7),W13&gt;=LOOKUP(F13,'Qualifying Scores'!$A$10:$A$13,'Qualifying Scores'!$F$10:$F$13))),"P","")</f>
        <v>P</v>
      </c>
      <c r="M13" s="42">
        <v>5</v>
      </c>
      <c r="N13" s="4">
        <f>MAX(P13,T13)</f>
        <v>71</v>
      </c>
      <c r="O13" s="4">
        <f>IF(N13=P13,MAX(R13,T13,V13),MAX(P13,R13,V13))</f>
        <v>65.900000000000006</v>
      </c>
      <c r="P13" s="33">
        <v>50.7</v>
      </c>
      <c r="Q13" s="44">
        <v>7.8</v>
      </c>
      <c r="R13" s="34"/>
      <c r="S13" s="44"/>
      <c r="T13" s="33">
        <v>71</v>
      </c>
      <c r="U13" s="44">
        <v>15.6</v>
      </c>
      <c r="V13" s="34">
        <v>65.900000000000006</v>
      </c>
      <c r="W13" s="39">
        <v>15.4</v>
      </c>
    </row>
    <row r="14" spans="1:23" x14ac:dyDescent="0.2">
      <c r="A14" s="1">
        <f t="shared" si="0"/>
        <v>2</v>
      </c>
      <c r="B14" s="38" t="s">
        <v>219</v>
      </c>
      <c r="C14" s="38" t="s">
        <v>8</v>
      </c>
      <c r="D14" s="38" t="s">
        <v>9</v>
      </c>
      <c r="E14" s="37">
        <v>2001</v>
      </c>
      <c r="F14" s="1" t="str">
        <f>IF('Qualifying Scores'!$B$1-E14&gt;21,"Not Age Eligible",IF('Qualifying Scores'!$B$1-E14&gt;16,"17-21",IF('Qualifying Scores'!$B$1-E14&gt;14,"15-16",IF('Qualifying Scores'!$B$1-E14&gt;12,"13-14",IF('Qualifying Scores'!$B$1-E14&gt;10,"11-12,""Not Age Eligible")))))</f>
        <v>17-21</v>
      </c>
      <c r="G14" s="56" t="s">
        <v>305</v>
      </c>
      <c r="H14" s="4">
        <f>SUM(N14:O14)</f>
        <v>142.80000000000001</v>
      </c>
      <c r="I14" s="3" t="str">
        <f>IF(MAX(P14,R14,T14,V14)&gt;=LOOKUP(F14,'Qualifying Scores'!$A$4:$A$7,'Qualifying Scores'!$F$4:$F$7),"P","")</f>
        <v>P</v>
      </c>
      <c r="J14" s="3" t="str">
        <f>IF(MAX(Q14,S14,U14,W14)&gt;=LOOKUP(F14,'Qualifying Scores'!$A$10:$A$13,'Qualifying Scores'!$F$10:$F$13),"P","")</f>
        <v>P</v>
      </c>
      <c r="K14" s="3" t="str">
        <f>IF(OR(AND(P14&gt;=LOOKUP(F14,'Qualifying Scores'!$A$4:$A$7,'Qualifying Scores'!$F$4:$F$7),Q14&gt;=LOOKUP(F14,'Qualifying Scores'!$A$10:$A$13,'Qualifying Scores'!$F$10:$F$13)),AND(T14&gt;=LOOKUP(F14,'Qualifying Scores'!$A$4:$A$7,'Qualifying Scores'!$F$4:$F$7),U14&gt;=LOOKUP(F14,'Qualifying Scores'!$A$10:$A$13,'Qualifying Scores'!$F$10:$F$13)),AND(R14&gt;=LOOKUP(F14,'Qualifying Scores'!$A$4:$A$7,'Qualifying Scores'!$F$4:$F$7),S14&gt;=LOOKUP(F14,'Qualifying Scores'!$A$10:$A$13,'Qualifying Scores'!$F$10:$F$13)),AND(V14&gt;=LOOKUP(F14,'Qualifying Scores'!$A$4:$A$7,'Qualifying Scores'!$F$4:$F$7),W14&gt;=LOOKUP(F14,'Qualifying Scores'!$A$10:$A$13,'Qualifying Scores'!$F$10:$F$13))),"P","")</f>
        <v>P</v>
      </c>
      <c r="L14" s="42">
        <v>3</v>
      </c>
      <c r="N14" s="4">
        <f>MAX(P14,T14)</f>
        <v>72.3</v>
      </c>
      <c r="O14" s="4">
        <f>IF(N14=P14,MAX(R14,T14,V14),MAX(P14,R14,V14))</f>
        <v>70.5</v>
      </c>
      <c r="P14" s="33">
        <v>35.299999999999997</v>
      </c>
      <c r="Q14" s="44">
        <v>8</v>
      </c>
      <c r="R14" s="34"/>
      <c r="S14" s="44"/>
      <c r="T14" s="33">
        <v>72.3</v>
      </c>
      <c r="U14" s="44">
        <v>16.399999999999999</v>
      </c>
      <c r="V14" s="34">
        <v>70.5</v>
      </c>
      <c r="W14" s="39">
        <v>14.8</v>
      </c>
    </row>
    <row r="15" spans="1:23" x14ac:dyDescent="0.2">
      <c r="A15" s="1">
        <f t="shared" si="0"/>
        <v>3</v>
      </c>
      <c r="B15" s="38" t="s">
        <v>195</v>
      </c>
      <c r="C15" s="38" t="s">
        <v>6</v>
      </c>
      <c r="D15" s="38" t="s">
        <v>78</v>
      </c>
      <c r="E15" s="37">
        <v>2001</v>
      </c>
      <c r="F15" s="1" t="str">
        <f>IF('Qualifying Scores'!$B$1-E15&gt;21,"Not Age Eligible",IF('Qualifying Scores'!$B$1-E15&gt;16,"17-21",IF('Qualifying Scores'!$B$1-E15&gt;14,"15-16",IF('Qualifying Scores'!$B$1-E15&gt;12,"13-14",IF('Qualifying Scores'!$B$1-E15&gt;10,"11-12,""Not Age Eligible")))))</f>
        <v>17-21</v>
      </c>
      <c r="G15" s="56"/>
      <c r="H15" s="4">
        <f>SUM(N15:O15)</f>
        <v>139.4</v>
      </c>
      <c r="I15" s="3" t="str">
        <f>IF(MAX(P15,R15,T15,V15)&gt;=LOOKUP(F15,'Qualifying Scores'!$A$4:$A$7,'Qualifying Scores'!$F$4:$F$7),"P","")</f>
        <v>P</v>
      </c>
      <c r="J15" s="3" t="str">
        <f>IF(MAX(Q15,S15,U15,W15)&gt;=LOOKUP(F15,'Qualifying Scores'!$A$10:$A$13,'Qualifying Scores'!$F$10:$F$13),"P","")</f>
        <v>P</v>
      </c>
      <c r="K15" s="3" t="str">
        <f>IF(OR(AND(P15&gt;=LOOKUP(F15,'Qualifying Scores'!$A$4:$A$7,'Qualifying Scores'!$F$4:$F$7),Q15&gt;=LOOKUP(F15,'Qualifying Scores'!$A$10:$A$13,'Qualifying Scores'!$F$10:$F$13)),AND(T15&gt;=LOOKUP(F15,'Qualifying Scores'!$A$4:$A$7,'Qualifying Scores'!$F$4:$F$7),U15&gt;=LOOKUP(F15,'Qualifying Scores'!$A$10:$A$13,'Qualifying Scores'!$F$10:$F$13)),AND(R15&gt;=LOOKUP(F15,'Qualifying Scores'!$A$4:$A$7,'Qualifying Scores'!$F$4:$F$7),S15&gt;=LOOKUP(F15,'Qualifying Scores'!$A$10:$A$13,'Qualifying Scores'!$F$10:$F$13)),AND(V15&gt;=LOOKUP(F15,'Qualifying Scores'!$A$4:$A$7,'Qualifying Scores'!$F$4:$F$7),W15&gt;=LOOKUP(F15,'Qualifying Scores'!$A$10:$A$13,'Qualifying Scores'!$F$10:$F$13))),"P","")</f>
        <v>P</v>
      </c>
      <c r="N15" s="4">
        <f>MAX(P15,T15)</f>
        <v>69.900000000000006</v>
      </c>
      <c r="O15" s="4">
        <f>IF(N15=P15,MAX(R15,T15,V15),MAX(P15,R15,V15))</f>
        <v>69.5</v>
      </c>
      <c r="P15" s="33">
        <v>69.5</v>
      </c>
      <c r="Q15" s="44">
        <v>12.8</v>
      </c>
      <c r="R15" s="34">
        <v>67.3</v>
      </c>
      <c r="S15" s="44">
        <v>12</v>
      </c>
      <c r="T15" s="33">
        <v>69.900000000000006</v>
      </c>
      <c r="U15" s="44">
        <v>13.6</v>
      </c>
      <c r="V15" s="34">
        <v>69.2</v>
      </c>
      <c r="W15" s="39">
        <v>14</v>
      </c>
    </row>
    <row r="16" spans="1:23" x14ac:dyDescent="0.2">
      <c r="A16" s="1">
        <f t="shared" si="0"/>
        <v>4</v>
      </c>
      <c r="B16" s="38" t="s">
        <v>193</v>
      </c>
      <c r="C16" s="38" t="s">
        <v>8</v>
      </c>
      <c r="D16" s="38" t="s">
        <v>18</v>
      </c>
      <c r="E16" s="37">
        <v>1999</v>
      </c>
      <c r="F16" s="1" t="str">
        <f>IF('Qualifying Scores'!$B$1-E16&gt;21,"Not Age Eligible",IF('Qualifying Scores'!$B$1-E16&gt;16,"17-21",IF('Qualifying Scores'!$B$1-E16&gt;14,"15-16",IF('Qualifying Scores'!$B$1-E16&gt;12,"13-14",IF('Qualifying Scores'!$B$1-E16&gt;10,"11-12,""Not Age Eligible")))))</f>
        <v>17-21</v>
      </c>
      <c r="G16" s="56" t="s">
        <v>305</v>
      </c>
      <c r="H16" s="4">
        <f>SUM(N16:O16)</f>
        <v>139</v>
      </c>
      <c r="I16" s="3" t="str">
        <f>IF(MAX(P16,R16,T16,V16)&gt;=LOOKUP(F16,'Qualifying Scores'!$A$4:$A$7,'Qualifying Scores'!$F$4:$F$7),"P","")</f>
        <v>P</v>
      </c>
      <c r="J16" s="3" t="str">
        <f>IF(MAX(Q16,S16,U16,W16)&gt;=LOOKUP(F16,'Qualifying Scores'!$A$10:$A$13,'Qualifying Scores'!$F$10:$F$13),"P","")</f>
        <v>P</v>
      </c>
      <c r="K16" s="3" t="str">
        <f>IF(OR(AND(P16&gt;=LOOKUP(F16,'Qualifying Scores'!$A$4:$A$7,'Qualifying Scores'!$F$4:$F$7),Q16&gt;=LOOKUP(F16,'Qualifying Scores'!$A$10:$A$13,'Qualifying Scores'!$F$10:$F$13)),AND(T16&gt;=LOOKUP(F16,'Qualifying Scores'!$A$4:$A$7,'Qualifying Scores'!$F$4:$F$7),U16&gt;=LOOKUP(F16,'Qualifying Scores'!$A$10:$A$13,'Qualifying Scores'!$F$10:$F$13)),AND(R16&gt;=LOOKUP(F16,'Qualifying Scores'!$A$4:$A$7,'Qualifying Scores'!$F$4:$F$7),S16&gt;=LOOKUP(F16,'Qualifying Scores'!$A$10:$A$13,'Qualifying Scores'!$F$10:$F$13)),AND(V16&gt;=LOOKUP(F16,'Qualifying Scores'!$A$4:$A$7,'Qualifying Scores'!$F$4:$F$7),W16&gt;=LOOKUP(F16,'Qualifying Scores'!$A$10:$A$13,'Qualifying Scores'!$F$10:$F$13))),"P","")</f>
        <v>P</v>
      </c>
      <c r="N16" s="4">
        <f>MAX(P16,T16)</f>
        <v>69.2</v>
      </c>
      <c r="O16" s="4">
        <f>IF(N16=P16,MAX(R16,T16,V16),MAX(P16,R16,V16))</f>
        <v>69.8</v>
      </c>
      <c r="P16" s="33">
        <v>69.2</v>
      </c>
      <c r="Q16" s="44">
        <v>14.4</v>
      </c>
      <c r="R16" s="34">
        <v>62.8</v>
      </c>
      <c r="S16" s="44">
        <v>10.8</v>
      </c>
      <c r="T16" s="33">
        <v>58.2</v>
      </c>
      <c r="U16" s="44">
        <v>10.8</v>
      </c>
      <c r="V16" s="34">
        <v>69.8</v>
      </c>
      <c r="W16" s="39">
        <v>14.4</v>
      </c>
    </row>
    <row r="17" spans="1:23" x14ac:dyDescent="0.2">
      <c r="A17" s="1">
        <f t="shared" si="0"/>
        <v>5</v>
      </c>
      <c r="B17" s="38" t="s">
        <v>83</v>
      </c>
      <c r="C17" s="38" t="s">
        <v>4</v>
      </c>
      <c r="D17" s="38" t="s">
        <v>74</v>
      </c>
      <c r="E17" s="37">
        <v>2000</v>
      </c>
      <c r="F17" s="1" t="str">
        <f>IF('Qualifying Scores'!$B$1-E17&gt;21,"Not Age Eligible",IF('Qualifying Scores'!$B$1-E17&gt;16,"17-21",IF('Qualifying Scores'!$B$1-E17&gt;14,"15-16",IF('Qualifying Scores'!$B$1-E17&gt;12,"13-14",IF('Qualifying Scores'!$B$1-E17&gt;10,"11-12,""Not Age Eligible")))))</f>
        <v>17-21</v>
      </c>
      <c r="G17" s="56" t="s">
        <v>305</v>
      </c>
      <c r="H17" s="4">
        <f>SUM(N17:O17)</f>
        <v>138.6001</v>
      </c>
      <c r="I17" s="3" t="str">
        <f>IF(MAX(P17,R17,T17,V17)&gt;=LOOKUP(F17,'Qualifying Scores'!$A$4:$A$7,'Qualifying Scores'!$F$4:$F$7),"P","")</f>
        <v>P</v>
      </c>
      <c r="J17" s="3" t="str">
        <f>IF(MAX(Q17,S17,U17,W17)&gt;=LOOKUP(F17,'Qualifying Scores'!$A$10:$A$13,'Qualifying Scores'!$F$10:$F$13),"P","")</f>
        <v>P</v>
      </c>
      <c r="K17" s="3" t="str">
        <f>IF(OR(AND(P17&gt;=LOOKUP(F17,'Qualifying Scores'!$A$4:$A$7,'Qualifying Scores'!$F$4:$F$7),Q17&gt;=LOOKUP(F17,'Qualifying Scores'!$A$10:$A$13,'Qualifying Scores'!$F$10:$F$13)),AND(T17&gt;=LOOKUP(F17,'Qualifying Scores'!$A$4:$A$7,'Qualifying Scores'!$F$4:$F$7),U17&gt;=LOOKUP(F17,'Qualifying Scores'!$A$10:$A$13,'Qualifying Scores'!$F$10:$F$13)),AND(R17&gt;=LOOKUP(F17,'Qualifying Scores'!$A$4:$A$7,'Qualifying Scores'!$F$4:$F$7),S17&gt;=LOOKUP(F17,'Qualifying Scores'!$A$10:$A$13,'Qualifying Scores'!$F$10:$F$13)),AND(V17&gt;=LOOKUP(F17,'Qualifying Scores'!$A$4:$A$7,'Qualifying Scores'!$F$4:$F$7),W17&gt;=LOOKUP(F17,'Qualifying Scores'!$A$10:$A$13,'Qualifying Scores'!$F$10:$F$13))),"P","")</f>
        <v>P</v>
      </c>
      <c r="N17" s="4">
        <f>MAX(P17,T17)</f>
        <v>69.900099999999995</v>
      </c>
      <c r="O17" s="4">
        <f>IF(N17=P17,MAX(R17,T17,V17),MAX(P17,R17,V17))</f>
        <v>68.7</v>
      </c>
      <c r="P17" s="33">
        <v>68.7</v>
      </c>
      <c r="Q17" s="44">
        <v>13.2</v>
      </c>
      <c r="R17" s="34">
        <v>67</v>
      </c>
      <c r="S17" s="44">
        <v>14</v>
      </c>
      <c r="T17" s="33">
        <v>69.900099999999995</v>
      </c>
      <c r="U17" s="44">
        <v>14.4</v>
      </c>
      <c r="V17" s="34">
        <v>68.5</v>
      </c>
      <c r="W17" s="39">
        <v>14.4</v>
      </c>
    </row>
    <row r="18" spans="1:23" x14ac:dyDescent="0.2">
      <c r="A18" s="1">
        <f t="shared" si="0"/>
        <v>6</v>
      </c>
      <c r="B18" s="38" t="s">
        <v>185</v>
      </c>
      <c r="C18" s="38" t="s">
        <v>134</v>
      </c>
      <c r="D18" s="38" t="s">
        <v>133</v>
      </c>
      <c r="E18" s="37">
        <v>2002</v>
      </c>
      <c r="F18" s="1" t="str">
        <f>IF('Qualifying Scores'!$B$1-E18&gt;21,"Not Age Eligible",IF('Qualifying Scores'!$B$1-E18&gt;16,"17-21",IF('Qualifying Scores'!$B$1-E18&gt;14,"15-16",IF('Qualifying Scores'!$B$1-E18&gt;12,"13-14",IF('Qualifying Scores'!$B$1-E18&gt;10,"11-12,""Not Age Eligible")))))</f>
        <v>17-21</v>
      </c>
      <c r="G18" s="56" t="s">
        <v>305</v>
      </c>
      <c r="H18" s="4">
        <f>SUM(N18:O18)</f>
        <v>138.60000000000002</v>
      </c>
      <c r="I18" s="3" t="str">
        <f>IF(MAX(P18,R18,T18,V18)&gt;=LOOKUP(F18,'Qualifying Scores'!$A$4:$A$7,'Qualifying Scores'!$F$4:$F$7),"P","")</f>
        <v>P</v>
      </c>
      <c r="J18" s="3" t="str">
        <f>IF(MAX(Q18,S18,U18,W18)&gt;=LOOKUP(F18,'Qualifying Scores'!$A$10:$A$13,'Qualifying Scores'!$F$10:$F$13),"P","")</f>
        <v>P</v>
      </c>
      <c r="K18" s="3" t="str">
        <f>IF(OR(AND(P18&gt;=LOOKUP(F18,'Qualifying Scores'!$A$4:$A$7,'Qualifying Scores'!$F$4:$F$7),Q18&gt;=LOOKUP(F18,'Qualifying Scores'!$A$10:$A$13,'Qualifying Scores'!$F$10:$F$13)),AND(T18&gt;=LOOKUP(F18,'Qualifying Scores'!$A$4:$A$7,'Qualifying Scores'!$F$4:$F$7),U18&gt;=LOOKUP(F18,'Qualifying Scores'!$A$10:$A$13,'Qualifying Scores'!$F$10:$F$13)),AND(R18&gt;=LOOKUP(F18,'Qualifying Scores'!$A$4:$A$7,'Qualifying Scores'!$F$4:$F$7),S18&gt;=LOOKUP(F18,'Qualifying Scores'!$A$10:$A$13,'Qualifying Scores'!$F$10:$F$13)),AND(V18&gt;=LOOKUP(F18,'Qualifying Scores'!$A$4:$A$7,'Qualifying Scores'!$F$4:$F$7),W18&gt;=LOOKUP(F18,'Qualifying Scores'!$A$10:$A$13,'Qualifying Scores'!$F$10:$F$13))),"P","")</f>
        <v>P</v>
      </c>
      <c r="N18" s="4">
        <f>MAX(P18,T18)</f>
        <v>69.7</v>
      </c>
      <c r="O18" s="4">
        <f>IF(N18=P18,MAX(R18,T18,V18),MAX(P18,R18,V18))</f>
        <v>68.900000000000006</v>
      </c>
      <c r="P18" s="33">
        <v>68.900000000000006</v>
      </c>
      <c r="Q18" s="44">
        <v>12.8</v>
      </c>
      <c r="R18" s="34">
        <v>66.599999999999994</v>
      </c>
      <c r="S18" s="44">
        <v>11.2</v>
      </c>
      <c r="T18" s="33">
        <v>69.7</v>
      </c>
      <c r="U18" s="44">
        <v>13.6</v>
      </c>
      <c r="V18" s="34">
        <v>67.400000000000006</v>
      </c>
      <c r="W18" s="39">
        <v>12</v>
      </c>
    </row>
    <row r="19" spans="1:23" x14ac:dyDescent="0.2">
      <c r="A19" s="1">
        <f t="shared" si="0"/>
        <v>7</v>
      </c>
      <c r="B19" s="38" t="s">
        <v>199</v>
      </c>
      <c r="C19" s="38" t="s">
        <v>8</v>
      </c>
      <c r="D19" s="38" t="s">
        <v>9</v>
      </c>
      <c r="E19" s="37">
        <v>1999</v>
      </c>
      <c r="F19" s="1" t="str">
        <f>IF('Qualifying Scores'!$B$1-E19&gt;21,"Not Age Eligible",IF('Qualifying Scores'!$B$1-E19&gt;16,"17-21",IF('Qualifying Scores'!$B$1-E19&gt;14,"15-16",IF('Qualifying Scores'!$B$1-E19&gt;12,"13-14",IF('Qualifying Scores'!$B$1-E19&gt;10,"11-12,""Not Age Eligible")))))</f>
        <v>17-21</v>
      </c>
      <c r="G19" s="56" t="s">
        <v>305</v>
      </c>
      <c r="H19" s="4">
        <f>SUM(N19:O19)</f>
        <v>137.69999999999999</v>
      </c>
      <c r="I19" s="3" t="str">
        <f>IF(MAX(P19,R19,T19,V19)&gt;=LOOKUP(F19,'Qualifying Scores'!$A$4:$A$7,'Qualifying Scores'!$F$4:$F$7),"P","")</f>
        <v>P</v>
      </c>
      <c r="J19" s="3" t="str">
        <f>IF(MAX(Q19,S19,U19,W19)&gt;=LOOKUP(F19,'Qualifying Scores'!$A$10:$A$13,'Qualifying Scores'!$F$10:$F$13),"P","")</f>
        <v>P</v>
      </c>
      <c r="K19" s="3" t="str">
        <f>IF(OR(AND(P19&gt;=LOOKUP(F19,'Qualifying Scores'!$A$4:$A$7,'Qualifying Scores'!$F$4:$F$7),Q19&gt;=LOOKUP(F19,'Qualifying Scores'!$A$10:$A$13,'Qualifying Scores'!$F$10:$F$13)),AND(T19&gt;=LOOKUP(F19,'Qualifying Scores'!$A$4:$A$7,'Qualifying Scores'!$F$4:$F$7),U19&gt;=LOOKUP(F19,'Qualifying Scores'!$A$10:$A$13,'Qualifying Scores'!$F$10:$F$13)),AND(R19&gt;=LOOKUP(F19,'Qualifying Scores'!$A$4:$A$7,'Qualifying Scores'!$F$4:$F$7),S19&gt;=LOOKUP(F19,'Qualifying Scores'!$A$10:$A$13,'Qualifying Scores'!$F$10:$F$13)),AND(V19&gt;=LOOKUP(F19,'Qualifying Scores'!$A$4:$A$7,'Qualifying Scores'!$F$4:$F$7),W19&gt;=LOOKUP(F19,'Qualifying Scores'!$A$10:$A$13,'Qualifying Scores'!$F$10:$F$13))),"P","")</f>
        <v>P</v>
      </c>
      <c r="N19" s="4">
        <f>MAX(P19,T19)</f>
        <v>70.8</v>
      </c>
      <c r="O19" s="4">
        <f>IF(N19=P19,MAX(R19,T19,V19),MAX(P19,R19,V19))</f>
        <v>66.900000000000006</v>
      </c>
      <c r="P19" s="33">
        <v>58.2</v>
      </c>
      <c r="Q19" s="44">
        <v>10.4</v>
      </c>
      <c r="R19" s="34">
        <v>66.900000000000006</v>
      </c>
      <c r="S19" s="44">
        <v>13.2</v>
      </c>
      <c r="T19" s="33">
        <v>70.8</v>
      </c>
      <c r="U19" s="44">
        <v>14.8</v>
      </c>
      <c r="V19" s="34">
        <v>57.5</v>
      </c>
      <c r="W19" s="39">
        <v>8.8000000000000007</v>
      </c>
    </row>
    <row r="20" spans="1:23" x14ac:dyDescent="0.2">
      <c r="A20" s="1">
        <f t="shared" si="0"/>
        <v>8</v>
      </c>
      <c r="B20" s="38" t="s">
        <v>211</v>
      </c>
      <c r="C20" s="38" t="s">
        <v>12</v>
      </c>
      <c r="D20" s="38" t="s">
        <v>15</v>
      </c>
      <c r="E20" s="37">
        <v>1998</v>
      </c>
      <c r="F20" s="1" t="str">
        <f>IF('Qualifying Scores'!$B$1-E20&gt;21,"Not Age Eligible",IF('Qualifying Scores'!$B$1-E20&gt;16,"17-21",IF('Qualifying Scores'!$B$1-E20&gt;14,"15-16",IF('Qualifying Scores'!$B$1-E20&gt;12,"13-14",IF('Qualifying Scores'!$B$1-E20&gt;10,"11-12,""Not Age Eligible")))))</f>
        <v>17-21</v>
      </c>
      <c r="G20" s="56"/>
      <c r="H20" s="4">
        <f>SUM(N20:O20)</f>
        <v>136.80000000000001</v>
      </c>
      <c r="I20" s="3" t="str">
        <f>IF(MAX(P20,R20,T20,V20)&gt;=LOOKUP(F20,'Qualifying Scores'!$A$4:$A$7,'Qualifying Scores'!$F$4:$F$7),"P","")</f>
        <v>P</v>
      </c>
      <c r="J20" s="3" t="str">
        <f>IF(MAX(Q20,S20,U20,W20)&gt;=LOOKUP(F20,'Qualifying Scores'!$A$10:$A$13,'Qualifying Scores'!$F$10:$F$13),"P","")</f>
        <v>P</v>
      </c>
      <c r="K20" s="3" t="str">
        <f>IF(OR(AND(P20&gt;=LOOKUP(F20,'Qualifying Scores'!$A$4:$A$7,'Qualifying Scores'!$F$4:$F$7),Q20&gt;=LOOKUP(F20,'Qualifying Scores'!$A$10:$A$13,'Qualifying Scores'!$F$10:$F$13)),AND(T20&gt;=LOOKUP(F20,'Qualifying Scores'!$A$4:$A$7,'Qualifying Scores'!$F$4:$F$7),U20&gt;=LOOKUP(F20,'Qualifying Scores'!$A$10:$A$13,'Qualifying Scores'!$F$10:$F$13)),AND(R20&gt;=LOOKUP(F20,'Qualifying Scores'!$A$4:$A$7,'Qualifying Scores'!$F$4:$F$7),S20&gt;=LOOKUP(F20,'Qualifying Scores'!$A$10:$A$13,'Qualifying Scores'!$F$10:$F$13)),AND(V20&gt;=LOOKUP(F20,'Qualifying Scores'!$A$4:$A$7,'Qualifying Scores'!$F$4:$F$7),W20&gt;=LOOKUP(F20,'Qualifying Scores'!$A$10:$A$13,'Qualifying Scores'!$F$10:$F$13))),"P","")</f>
        <v>P</v>
      </c>
      <c r="N20" s="4">
        <f>MAX(P20,T20)</f>
        <v>69.900000000000006</v>
      </c>
      <c r="O20" s="4">
        <f>IF(N20=P20,MAX(R20,T20,V20),MAX(P20,R20,V20))</f>
        <v>66.900000000000006</v>
      </c>
      <c r="P20" s="33">
        <v>69.900000000000006</v>
      </c>
      <c r="Q20" s="44">
        <v>13.2</v>
      </c>
      <c r="R20" s="34">
        <v>66.900000000000006</v>
      </c>
      <c r="S20" s="44">
        <v>13.4</v>
      </c>
      <c r="T20" s="33">
        <v>51.6</v>
      </c>
      <c r="U20" s="44">
        <v>6.5</v>
      </c>
      <c r="V20" s="34"/>
      <c r="W20" s="39"/>
    </row>
    <row r="21" spans="1:23" x14ac:dyDescent="0.2">
      <c r="A21" s="1">
        <f t="shared" si="0"/>
        <v>9</v>
      </c>
      <c r="B21" s="38" t="s">
        <v>79</v>
      </c>
      <c r="C21" s="38" t="s">
        <v>80</v>
      </c>
      <c r="D21" s="38" t="s">
        <v>81</v>
      </c>
      <c r="E21" s="37">
        <v>2000</v>
      </c>
      <c r="F21" s="1" t="str">
        <f>IF('Qualifying Scores'!$B$1-E21&gt;21,"Not Age Eligible",IF('Qualifying Scores'!$B$1-E21&gt;16,"17-21",IF('Qualifying Scores'!$B$1-E21&gt;14,"15-16",IF('Qualifying Scores'!$B$1-E21&gt;12,"13-14",IF('Qualifying Scores'!$B$1-E21&gt;10,"11-12,""Not Age Eligible")))))</f>
        <v>17-21</v>
      </c>
      <c r="G21" s="56"/>
      <c r="H21" s="4">
        <f>SUM(N21:O21)</f>
        <v>136.5</v>
      </c>
      <c r="I21" s="3" t="str">
        <f>IF(MAX(P21,R21,T21,V21)&gt;=LOOKUP(F21,'Qualifying Scores'!$A$4:$A$7,'Qualifying Scores'!$F$4:$F$7),"P","")</f>
        <v>P</v>
      </c>
      <c r="J21" s="3" t="str">
        <f>IF(MAX(Q21,S21,U21,W21)&gt;=LOOKUP(F21,'Qualifying Scores'!$A$10:$A$13,'Qualifying Scores'!$F$10:$F$13),"P","")</f>
        <v>P</v>
      </c>
      <c r="K21" s="3" t="str">
        <f>IF(OR(AND(P21&gt;=LOOKUP(F21,'Qualifying Scores'!$A$4:$A$7,'Qualifying Scores'!$F$4:$F$7),Q21&gt;=LOOKUP(F21,'Qualifying Scores'!$A$10:$A$13,'Qualifying Scores'!$F$10:$F$13)),AND(T21&gt;=LOOKUP(F21,'Qualifying Scores'!$A$4:$A$7,'Qualifying Scores'!$F$4:$F$7),U21&gt;=LOOKUP(F21,'Qualifying Scores'!$A$10:$A$13,'Qualifying Scores'!$F$10:$F$13)),AND(R21&gt;=LOOKUP(F21,'Qualifying Scores'!$A$4:$A$7,'Qualifying Scores'!$F$4:$F$7),S21&gt;=LOOKUP(F21,'Qualifying Scores'!$A$10:$A$13,'Qualifying Scores'!$F$10:$F$13)),AND(V21&gt;=LOOKUP(F21,'Qualifying Scores'!$A$4:$A$7,'Qualifying Scores'!$F$4:$F$7),W21&gt;=LOOKUP(F21,'Qualifying Scores'!$A$10:$A$13,'Qualifying Scores'!$F$10:$F$13))),"P","")</f>
        <v>P</v>
      </c>
      <c r="N21" s="4">
        <f>MAX(P21,T21)</f>
        <v>68.599999999999994</v>
      </c>
      <c r="O21" s="4">
        <f>IF(N21=P21,MAX(R21,T21,V21),MAX(P21,R21,V21))</f>
        <v>67.900000000000006</v>
      </c>
      <c r="P21" s="33">
        <v>67.900000000000006</v>
      </c>
      <c r="Q21" s="44">
        <v>12.8</v>
      </c>
      <c r="R21" s="34">
        <v>64.599999999999994</v>
      </c>
      <c r="S21" s="44">
        <v>8.1999999999999993</v>
      </c>
      <c r="T21" s="33">
        <v>68.599999999999994</v>
      </c>
      <c r="U21" s="44">
        <v>12.8</v>
      </c>
      <c r="V21" s="34">
        <v>67.3</v>
      </c>
      <c r="W21" s="39">
        <v>12</v>
      </c>
    </row>
    <row r="22" spans="1:23" x14ac:dyDescent="0.2">
      <c r="A22" s="1" t="str">
        <f t="shared" si="0"/>
        <v/>
      </c>
      <c r="B22" s="38" t="s">
        <v>94</v>
      </c>
      <c r="C22" s="38" t="s">
        <v>6</v>
      </c>
      <c r="D22" s="38" t="s">
        <v>78</v>
      </c>
      <c r="E22" s="37">
        <v>2001</v>
      </c>
      <c r="F22" s="1" t="str">
        <f>IF('Qualifying Scores'!$B$1-E22&gt;21,"Not Age Eligible",IF('Qualifying Scores'!$B$1-E22&gt;16,"17-21",IF('Qualifying Scores'!$B$1-E22&gt;14,"15-16",IF('Qualifying Scores'!$B$1-E22&gt;12,"13-14",IF('Qualifying Scores'!$B$1-E22&gt;10,"11-12,""Not Age Eligible")))))</f>
        <v>17-21</v>
      </c>
      <c r="G22" s="56"/>
      <c r="H22" s="4">
        <f>SUM(N22:O22)</f>
        <v>133.80000000000001</v>
      </c>
      <c r="I22" s="3" t="str">
        <f>IF(MAX(P22,R22,T22,V22)&gt;=LOOKUP(F22,'Qualifying Scores'!$A$4:$A$7,'Qualifying Scores'!$F$4:$F$7),"P","")</f>
        <v/>
      </c>
      <c r="J22" s="3" t="str">
        <f>IF(MAX(Q22,S22,U22,W22)&gt;=LOOKUP(F22,'Qualifying Scores'!$A$10:$A$13,'Qualifying Scores'!$F$10:$F$13),"P","")</f>
        <v>P</v>
      </c>
      <c r="K22" s="3" t="str">
        <f>IF(OR(AND(P22&gt;=LOOKUP(F22,'Qualifying Scores'!$A$4:$A$7,'Qualifying Scores'!$F$4:$F$7),Q22&gt;=LOOKUP(F22,'Qualifying Scores'!$A$10:$A$13,'Qualifying Scores'!$F$10:$F$13)),AND(T22&gt;=LOOKUP(F22,'Qualifying Scores'!$A$4:$A$7,'Qualifying Scores'!$F$4:$F$7),U22&gt;=LOOKUP(F22,'Qualifying Scores'!$A$10:$A$13,'Qualifying Scores'!$F$10:$F$13)),AND(R22&gt;=LOOKUP(F22,'Qualifying Scores'!$A$4:$A$7,'Qualifying Scores'!$F$4:$F$7),S22&gt;=LOOKUP(F22,'Qualifying Scores'!$A$10:$A$13,'Qualifying Scores'!$F$10:$F$13)),AND(V22&gt;=LOOKUP(F22,'Qualifying Scores'!$A$4:$A$7,'Qualifying Scores'!$F$4:$F$7),W22&gt;=LOOKUP(F22,'Qualifying Scores'!$A$10:$A$13,'Qualifying Scores'!$F$10:$F$13))),"P","")</f>
        <v/>
      </c>
      <c r="N22" s="4">
        <f>MAX(P22,T22)</f>
        <v>66.400000000000006</v>
      </c>
      <c r="O22" s="4">
        <f>IF(N22=P22,MAX(R22,T22,V22),MAX(P22,R22,V22))</f>
        <v>67.400000000000006</v>
      </c>
      <c r="P22" s="33">
        <v>64</v>
      </c>
      <c r="Q22" s="44">
        <v>10</v>
      </c>
      <c r="R22" s="34">
        <v>67.400000000000006</v>
      </c>
      <c r="S22" s="44">
        <v>12.4</v>
      </c>
      <c r="T22" s="33">
        <v>66.400000000000006</v>
      </c>
      <c r="U22" s="44">
        <v>12.8</v>
      </c>
      <c r="V22" s="34">
        <v>65.900000000000006</v>
      </c>
      <c r="W22" s="39">
        <v>12.8</v>
      </c>
    </row>
    <row r="23" spans="1:23" x14ac:dyDescent="0.2">
      <c r="A23" s="1" t="str">
        <f t="shared" si="0"/>
        <v/>
      </c>
      <c r="B23" s="38" t="s">
        <v>201</v>
      </c>
      <c r="C23" s="38" t="s">
        <v>8</v>
      </c>
      <c r="D23" s="38" t="s">
        <v>9</v>
      </c>
      <c r="E23" s="37">
        <v>2002</v>
      </c>
      <c r="F23" s="1" t="str">
        <f>IF('Qualifying Scores'!$B$1-E23&gt;21,"Not Age Eligible",IF('Qualifying Scores'!$B$1-E23&gt;16,"17-21",IF('Qualifying Scores'!$B$1-E23&gt;14,"15-16",IF('Qualifying Scores'!$B$1-E23&gt;12,"13-14",IF('Qualifying Scores'!$B$1-E23&gt;10,"11-12,""Not Age Eligible")))))</f>
        <v>17-21</v>
      </c>
      <c r="G23" s="56"/>
      <c r="H23" s="4">
        <f>SUM(N23:O23)</f>
        <v>132.60000000000002</v>
      </c>
      <c r="I23" s="3" t="str">
        <f>IF(MAX(P23,R23,T23,V23)&gt;=LOOKUP(F23,'Qualifying Scores'!$A$4:$A$7,'Qualifying Scores'!$F$4:$F$7),"P","")</f>
        <v>P</v>
      </c>
      <c r="J23" s="3" t="str">
        <f>IF(MAX(Q23,S23,U23,W23)&gt;=LOOKUP(F23,'Qualifying Scores'!$A$10:$A$13,'Qualifying Scores'!$F$10:$F$13),"P","")</f>
        <v/>
      </c>
      <c r="K23" s="3" t="str">
        <f>IF(OR(AND(P23&gt;=LOOKUP(F23,'Qualifying Scores'!$A$4:$A$7,'Qualifying Scores'!$F$4:$F$7),Q23&gt;=LOOKUP(F23,'Qualifying Scores'!$A$10:$A$13,'Qualifying Scores'!$F$10:$F$13)),AND(T23&gt;=LOOKUP(F23,'Qualifying Scores'!$A$4:$A$7,'Qualifying Scores'!$F$4:$F$7),U23&gt;=LOOKUP(F23,'Qualifying Scores'!$A$10:$A$13,'Qualifying Scores'!$F$10:$F$13)),AND(R23&gt;=LOOKUP(F23,'Qualifying Scores'!$A$4:$A$7,'Qualifying Scores'!$F$4:$F$7),S23&gt;=LOOKUP(F23,'Qualifying Scores'!$A$10:$A$13,'Qualifying Scores'!$F$10:$F$13)),AND(V23&gt;=LOOKUP(F23,'Qualifying Scores'!$A$4:$A$7,'Qualifying Scores'!$F$4:$F$7),W23&gt;=LOOKUP(F23,'Qualifying Scores'!$A$10:$A$13,'Qualifying Scores'!$F$10:$F$13))),"P","")</f>
        <v/>
      </c>
      <c r="N23" s="4">
        <f>MAX(P23,T23)</f>
        <v>64.7</v>
      </c>
      <c r="O23" s="4">
        <f>IF(N23=P23,MAX(R23,T23,V23),MAX(P23,R23,V23))</f>
        <v>67.900000000000006</v>
      </c>
      <c r="P23" s="33">
        <v>64.7</v>
      </c>
      <c r="Q23" s="44">
        <v>12.4</v>
      </c>
      <c r="R23" s="34">
        <v>67.900000000000006</v>
      </c>
      <c r="S23" s="44">
        <v>10.4</v>
      </c>
      <c r="T23" s="33">
        <v>23.1</v>
      </c>
      <c r="U23" s="44">
        <v>3.2</v>
      </c>
      <c r="V23" s="34"/>
      <c r="W23" s="39"/>
    </row>
    <row r="24" spans="1:23" x14ac:dyDescent="0.2">
      <c r="A24" s="1" t="str">
        <f t="shared" si="0"/>
        <v/>
      </c>
      <c r="B24" s="38" t="s">
        <v>213</v>
      </c>
      <c r="C24" s="38" t="s">
        <v>6</v>
      </c>
      <c r="D24" s="38" t="s">
        <v>126</v>
      </c>
      <c r="E24" s="37">
        <v>1998</v>
      </c>
      <c r="F24" s="1" t="str">
        <f>IF('Qualifying Scores'!$B$1-E24&gt;21,"Not Age Eligible",IF('Qualifying Scores'!$B$1-E24&gt;16,"17-21",IF('Qualifying Scores'!$B$1-E24&gt;14,"15-16",IF('Qualifying Scores'!$B$1-E24&gt;12,"13-14",IF('Qualifying Scores'!$B$1-E24&gt;10,"11-12,""Not Age Eligible")))))</f>
        <v>17-21</v>
      </c>
      <c r="G24" s="56"/>
      <c r="H24" s="4">
        <f>SUM(N24:O24)</f>
        <v>131.80000000000001</v>
      </c>
      <c r="I24" s="3" t="str">
        <f>IF(MAX(P24,R24,T24,V24)&gt;=LOOKUP(F24,'Qualifying Scores'!$A$4:$A$7,'Qualifying Scores'!$F$4:$F$7),"P","")</f>
        <v/>
      </c>
      <c r="J24" s="3" t="str">
        <f>IF(MAX(Q24,S24,U24,W24)&gt;=LOOKUP(F24,'Qualifying Scores'!$A$10:$A$13,'Qualifying Scores'!$F$10:$F$13),"P","")</f>
        <v/>
      </c>
      <c r="K24" s="3" t="str">
        <f>IF(OR(AND(P24&gt;=LOOKUP(F24,'Qualifying Scores'!$A$4:$A$7,'Qualifying Scores'!$F$4:$F$7),Q24&gt;=LOOKUP(F24,'Qualifying Scores'!$A$10:$A$13,'Qualifying Scores'!$F$10:$F$13)),AND(T24&gt;=LOOKUP(F24,'Qualifying Scores'!$A$4:$A$7,'Qualifying Scores'!$F$4:$F$7),U24&gt;=LOOKUP(F24,'Qualifying Scores'!$A$10:$A$13,'Qualifying Scores'!$F$10:$F$13)),AND(R24&gt;=LOOKUP(F24,'Qualifying Scores'!$A$4:$A$7,'Qualifying Scores'!$F$4:$F$7),S24&gt;=LOOKUP(F24,'Qualifying Scores'!$A$10:$A$13,'Qualifying Scores'!$F$10:$F$13)),AND(V24&gt;=LOOKUP(F24,'Qualifying Scores'!$A$4:$A$7,'Qualifying Scores'!$F$4:$F$7),W24&gt;=LOOKUP(F24,'Qualifying Scores'!$A$10:$A$13,'Qualifying Scores'!$F$10:$F$13))),"P","")</f>
        <v/>
      </c>
      <c r="N24" s="4">
        <f>MAX(P24,T24)</f>
        <v>66.599999999999994</v>
      </c>
      <c r="O24" s="4">
        <f>IF(N24=P24,MAX(R24,T24,V24),MAX(P24,R24,V24))</f>
        <v>65.2</v>
      </c>
      <c r="P24" s="33">
        <v>66.599999999999994</v>
      </c>
      <c r="Q24" s="44">
        <v>12</v>
      </c>
      <c r="R24" s="34">
        <v>63.8</v>
      </c>
      <c r="S24" s="44">
        <v>10.4</v>
      </c>
      <c r="T24" s="33">
        <v>65.2</v>
      </c>
      <c r="U24" s="44">
        <v>11.6</v>
      </c>
      <c r="V24" s="34">
        <v>33.1</v>
      </c>
      <c r="W24" s="39">
        <v>5.2</v>
      </c>
    </row>
    <row r="25" spans="1:23" x14ac:dyDescent="0.2">
      <c r="A25" s="1" t="str">
        <f t="shared" si="0"/>
        <v/>
      </c>
      <c r="B25" s="38" t="s">
        <v>82</v>
      </c>
      <c r="C25" s="38" t="s">
        <v>8</v>
      </c>
      <c r="D25" s="38" t="s">
        <v>18</v>
      </c>
      <c r="E25" s="37">
        <v>2001</v>
      </c>
      <c r="F25" s="1" t="str">
        <f>IF('Qualifying Scores'!$B$1-E25&gt;21,"Not Age Eligible",IF('Qualifying Scores'!$B$1-E25&gt;16,"17-21",IF('Qualifying Scores'!$B$1-E25&gt;14,"15-16",IF('Qualifying Scores'!$B$1-E25&gt;12,"13-14",IF('Qualifying Scores'!$B$1-E25&gt;10,"11-12,""Not Age Eligible")))))</f>
        <v>17-21</v>
      </c>
      <c r="G25" s="56"/>
      <c r="H25" s="4">
        <f>SUM(N25:O25)</f>
        <v>131.80000000000001</v>
      </c>
      <c r="I25" s="3" t="str">
        <f>IF(MAX(P25,R25,T25,V25)&gt;=LOOKUP(F25,'Qualifying Scores'!$A$4:$A$7,'Qualifying Scores'!$F$4:$F$7),"P","")</f>
        <v/>
      </c>
      <c r="J25" s="3" t="str">
        <f>IF(MAX(Q25,S25,U25,W25)&gt;=LOOKUP(F25,'Qualifying Scores'!$A$10:$A$13,'Qualifying Scores'!$F$10:$F$13),"P","")</f>
        <v/>
      </c>
      <c r="K25" s="3" t="str">
        <f>IF(OR(AND(P25&gt;=LOOKUP(F25,'Qualifying Scores'!$A$4:$A$7,'Qualifying Scores'!$F$4:$F$7),Q25&gt;=LOOKUP(F25,'Qualifying Scores'!$A$10:$A$13,'Qualifying Scores'!$F$10:$F$13)),AND(T25&gt;=LOOKUP(F25,'Qualifying Scores'!$A$4:$A$7,'Qualifying Scores'!$F$4:$F$7),U25&gt;=LOOKUP(F25,'Qualifying Scores'!$A$10:$A$13,'Qualifying Scores'!$F$10:$F$13)),AND(R25&gt;=LOOKUP(F25,'Qualifying Scores'!$A$4:$A$7,'Qualifying Scores'!$F$4:$F$7),S25&gt;=LOOKUP(F25,'Qualifying Scores'!$A$10:$A$13,'Qualifying Scores'!$F$10:$F$13)),AND(V25&gt;=LOOKUP(F25,'Qualifying Scores'!$A$4:$A$7,'Qualifying Scores'!$F$4:$F$7),W25&gt;=LOOKUP(F25,'Qualifying Scores'!$A$10:$A$13,'Qualifying Scores'!$F$10:$F$13))),"P","")</f>
        <v/>
      </c>
      <c r="N25" s="4">
        <f>MAX(P25,T25)</f>
        <v>65.3</v>
      </c>
      <c r="O25" s="4">
        <f>IF(N25=P25,MAX(R25,T25,V25),MAX(P25,R25,V25))</f>
        <v>66.5</v>
      </c>
      <c r="P25" s="33">
        <v>63.1</v>
      </c>
      <c r="Q25" s="44">
        <v>7.1</v>
      </c>
      <c r="R25" s="34">
        <v>62</v>
      </c>
      <c r="S25" s="44">
        <v>7.1</v>
      </c>
      <c r="T25" s="33">
        <v>65.3</v>
      </c>
      <c r="U25" s="44">
        <v>7.9</v>
      </c>
      <c r="V25" s="34">
        <v>66.5</v>
      </c>
      <c r="W25" s="39">
        <v>9.6</v>
      </c>
    </row>
    <row r="26" spans="1:23" x14ac:dyDescent="0.2">
      <c r="A26" s="1" t="str">
        <f t="shared" si="0"/>
        <v/>
      </c>
      <c r="B26" s="38" t="s">
        <v>170</v>
      </c>
      <c r="C26" s="38" t="s">
        <v>6</v>
      </c>
      <c r="D26" s="38" t="s">
        <v>136</v>
      </c>
      <c r="E26" s="37">
        <v>2002</v>
      </c>
      <c r="F26" s="1" t="str">
        <f>IF('Qualifying Scores'!$B$1-E26&gt;21,"Not Age Eligible",IF('Qualifying Scores'!$B$1-E26&gt;16,"17-21",IF('Qualifying Scores'!$B$1-E26&gt;14,"15-16",IF('Qualifying Scores'!$B$1-E26&gt;12,"13-14",IF('Qualifying Scores'!$B$1-E26&gt;10,"11-12,""Not Age Eligible")))))</f>
        <v>17-21</v>
      </c>
      <c r="G26" s="56"/>
      <c r="H26" s="4">
        <f>SUM(N26:O26)</f>
        <v>131.5</v>
      </c>
      <c r="I26" s="3" t="str">
        <f>IF(MAX(P26,R26,T26,V26)&gt;=LOOKUP(F26,'Qualifying Scores'!$A$4:$A$7,'Qualifying Scores'!$F$4:$F$7),"P","")</f>
        <v/>
      </c>
      <c r="J26" s="3" t="str">
        <f>IF(MAX(Q26,S26,U26,W26)&gt;=LOOKUP(F26,'Qualifying Scores'!$A$10:$A$13,'Qualifying Scores'!$F$10:$F$13),"P","")</f>
        <v/>
      </c>
      <c r="K26" s="3" t="str">
        <f>IF(OR(AND(P26&gt;=LOOKUP(F26,'Qualifying Scores'!$A$4:$A$7,'Qualifying Scores'!$F$4:$F$7),Q26&gt;=LOOKUP(F26,'Qualifying Scores'!$A$10:$A$13,'Qualifying Scores'!$F$10:$F$13)),AND(T26&gt;=LOOKUP(F26,'Qualifying Scores'!$A$4:$A$7,'Qualifying Scores'!$F$4:$F$7),U26&gt;=LOOKUP(F26,'Qualifying Scores'!$A$10:$A$13,'Qualifying Scores'!$F$10:$F$13)),AND(R26&gt;=LOOKUP(F26,'Qualifying Scores'!$A$4:$A$7,'Qualifying Scores'!$F$4:$F$7),S26&gt;=LOOKUP(F26,'Qualifying Scores'!$A$10:$A$13,'Qualifying Scores'!$F$10:$F$13)),AND(V26&gt;=LOOKUP(F26,'Qualifying Scores'!$A$4:$A$7,'Qualifying Scores'!$F$4:$F$7),W26&gt;=LOOKUP(F26,'Qualifying Scores'!$A$10:$A$13,'Qualifying Scores'!$F$10:$F$13))),"P","")</f>
        <v/>
      </c>
      <c r="N26" s="4">
        <f>MAX(P26,T26)</f>
        <v>66.5</v>
      </c>
      <c r="O26" s="4">
        <f>IF(N26=P26,MAX(R26,T26,V26),MAX(P26,R26,V26))</f>
        <v>65</v>
      </c>
      <c r="P26" s="33">
        <v>64</v>
      </c>
      <c r="Q26" s="44">
        <v>7.9</v>
      </c>
      <c r="R26" s="34">
        <v>64.099999999999994</v>
      </c>
      <c r="S26" s="44">
        <v>11.2</v>
      </c>
      <c r="T26" s="33">
        <v>66.5</v>
      </c>
      <c r="U26" s="44">
        <v>12</v>
      </c>
      <c r="V26" s="34">
        <v>65</v>
      </c>
      <c r="W26" s="39">
        <v>9.6</v>
      </c>
    </row>
    <row r="27" spans="1:23" x14ac:dyDescent="0.2">
      <c r="A27" s="1" t="str">
        <f t="shared" si="0"/>
        <v/>
      </c>
      <c r="B27" s="38" t="s">
        <v>212</v>
      </c>
      <c r="C27" s="38" t="s">
        <v>134</v>
      </c>
      <c r="D27" s="38" t="s">
        <v>133</v>
      </c>
      <c r="E27" s="37">
        <v>2001</v>
      </c>
      <c r="F27" s="1" t="str">
        <f>IF('Qualifying Scores'!$B$1-E27&gt;21,"Not Age Eligible",IF('Qualifying Scores'!$B$1-E27&gt;16,"17-21",IF('Qualifying Scores'!$B$1-E27&gt;14,"15-16",IF('Qualifying Scores'!$B$1-E27&gt;12,"13-14",IF('Qualifying Scores'!$B$1-E27&gt;10,"11-12,""Not Age Eligible")))))</f>
        <v>17-21</v>
      </c>
      <c r="G27" s="56"/>
      <c r="H27" s="4">
        <f>SUM(N27:O27)</f>
        <v>131.19999999999999</v>
      </c>
      <c r="I27" s="3" t="str">
        <f>IF(MAX(P27,R27,T27,V27)&gt;=LOOKUP(F27,'Qualifying Scores'!$A$4:$A$7,'Qualifying Scores'!$F$4:$F$7),"P","")</f>
        <v/>
      </c>
      <c r="J27" s="3" t="str">
        <f>IF(MAX(Q27,S27,U27,W27)&gt;=LOOKUP(F27,'Qualifying Scores'!$A$10:$A$13,'Qualifying Scores'!$F$10:$F$13),"P","")</f>
        <v/>
      </c>
      <c r="K27" s="3" t="str">
        <f>IF(OR(AND(P27&gt;=LOOKUP(F27,'Qualifying Scores'!$A$4:$A$7,'Qualifying Scores'!$F$4:$F$7),Q27&gt;=LOOKUP(F27,'Qualifying Scores'!$A$10:$A$13,'Qualifying Scores'!$F$10:$F$13)),AND(T27&gt;=LOOKUP(F27,'Qualifying Scores'!$A$4:$A$7,'Qualifying Scores'!$F$4:$F$7),U27&gt;=LOOKUP(F27,'Qualifying Scores'!$A$10:$A$13,'Qualifying Scores'!$F$10:$F$13)),AND(R27&gt;=LOOKUP(F27,'Qualifying Scores'!$A$4:$A$7,'Qualifying Scores'!$F$4:$F$7),S27&gt;=LOOKUP(F27,'Qualifying Scores'!$A$10:$A$13,'Qualifying Scores'!$F$10:$F$13)),AND(V27&gt;=LOOKUP(F27,'Qualifying Scores'!$A$4:$A$7,'Qualifying Scores'!$F$4:$F$7),W27&gt;=LOOKUP(F27,'Qualifying Scores'!$A$10:$A$13,'Qualifying Scores'!$F$10:$F$13))),"P","")</f>
        <v/>
      </c>
      <c r="N27" s="4">
        <f>MAX(P27,T27)</f>
        <v>66.3</v>
      </c>
      <c r="O27" s="4">
        <f>IF(N27=P27,MAX(R27,T27,V27),MAX(P27,R27,V27))</f>
        <v>64.900000000000006</v>
      </c>
      <c r="P27" s="33">
        <v>66.3</v>
      </c>
      <c r="Q27" s="44">
        <v>12.4</v>
      </c>
      <c r="R27" s="34">
        <v>64.900000000000006</v>
      </c>
      <c r="S27" s="44">
        <v>10.4</v>
      </c>
      <c r="T27" s="33">
        <v>45.7</v>
      </c>
      <c r="U27" s="44">
        <v>5.2</v>
      </c>
      <c r="V27" s="34"/>
      <c r="W27" s="39"/>
    </row>
    <row r="28" spans="1:23" x14ac:dyDescent="0.2">
      <c r="A28" s="1" t="str">
        <f t="shared" si="0"/>
        <v/>
      </c>
      <c r="B28" s="38" t="s">
        <v>197</v>
      </c>
      <c r="C28" s="38" t="s">
        <v>4</v>
      </c>
      <c r="D28" s="38" t="s">
        <v>74</v>
      </c>
      <c r="E28" s="37">
        <v>2002</v>
      </c>
      <c r="F28" s="1" t="str">
        <f>IF('Qualifying Scores'!$B$1-E28&gt;21,"Not Age Eligible",IF('Qualifying Scores'!$B$1-E28&gt;16,"17-21",IF('Qualifying Scores'!$B$1-E28&gt;14,"15-16",IF('Qualifying Scores'!$B$1-E28&gt;12,"13-14",IF('Qualifying Scores'!$B$1-E28&gt;10,"11-12,""Not Age Eligible")))))</f>
        <v>17-21</v>
      </c>
      <c r="G28" s="56"/>
      <c r="H28" s="4">
        <f>SUM(N28:O28)</f>
        <v>131.1</v>
      </c>
      <c r="I28" s="3" t="str">
        <f>IF(MAX(P28,R28,T28,V28)&gt;=LOOKUP(F28,'Qualifying Scores'!$A$4:$A$7,'Qualifying Scores'!$F$4:$F$7),"P","")</f>
        <v/>
      </c>
      <c r="J28" s="3" t="str">
        <f>IF(MAX(Q28,S28,U28,W28)&gt;=LOOKUP(F28,'Qualifying Scores'!$A$10:$A$13,'Qualifying Scores'!$F$10:$F$13),"P","")</f>
        <v>P</v>
      </c>
      <c r="K28" s="3" t="str">
        <f>IF(OR(AND(P28&gt;=LOOKUP(F28,'Qualifying Scores'!$A$4:$A$7,'Qualifying Scores'!$F$4:$F$7),Q28&gt;=LOOKUP(F28,'Qualifying Scores'!$A$10:$A$13,'Qualifying Scores'!$F$10:$F$13)),AND(T28&gt;=LOOKUP(F28,'Qualifying Scores'!$A$4:$A$7,'Qualifying Scores'!$F$4:$F$7),U28&gt;=LOOKUP(F28,'Qualifying Scores'!$A$10:$A$13,'Qualifying Scores'!$F$10:$F$13)),AND(R28&gt;=LOOKUP(F28,'Qualifying Scores'!$A$4:$A$7,'Qualifying Scores'!$F$4:$F$7),S28&gt;=LOOKUP(F28,'Qualifying Scores'!$A$10:$A$13,'Qualifying Scores'!$F$10:$F$13)),AND(V28&gt;=LOOKUP(F28,'Qualifying Scores'!$A$4:$A$7,'Qualifying Scores'!$F$4:$F$7),W28&gt;=LOOKUP(F28,'Qualifying Scores'!$A$10:$A$13,'Qualifying Scores'!$F$10:$F$13))),"P","")</f>
        <v/>
      </c>
      <c r="N28" s="4">
        <f>MAX(P28,T28)</f>
        <v>66</v>
      </c>
      <c r="O28" s="4">
        <f>IF(N28=P28,MAX(R28,T28,V28),MAX(P28,R28,V28))</f>
        <v>65.099999999999994</v>
      </c>
      <c r="P28" s="33">
        <v>66</v>
      </c>
      <c r="Q28" s="44">
        <v>12.8</v>
      </c>
      <c r="R28" s="34">
        <v>65.099999999999994</v>
      </c>
      <c r="S28" s="44">
        <v>11.1</v>
      </c>
      <c r="T28" s="33"/>
      <c r="U28" s="44"/>
      <c r="V28" s="34"/>
      <c r="W28" s="39"/>
    </row>
    <row r="29" spans="1:23" x14ac:dyDescent="0.2">
      <c r="A29" s="1" t="str">
        <f t="shared" si="0"/>
        <v/>
      </c>
      <c r="B29" s="38" t="s">
        <v>93</v>
      </c>
      <c r="C29" s="38" t="s">
        <v>80</v>
      </c>
      <c r="D29" s="38" t="s">
        <v>81</v>
      </c>
      <c r="E29" s="37">
        <v>2001</v>
      </c>
      <c r="F29" s="1" t="str">
        <f>IF('Qualifying Scores'!$B$1-E29&gt;21,"Not Age Eligible",IF('Qualifying Scores'!$B$1-E29&gt;16,"17-21",IF('Qualifying Scores'!$B$1-E29&gt;14,"15-16",IF('Qualifying Scores'!$B$1-E29&gt;12,"13-14",IF('Qualifying Scores'!$B$1-E29&gt;10,"11-12,""Not Age Eligible")))))</f>
        <v>17-21</v>
      </c>
      <c r="G29" s="56"/>
      <c r="H29" s="4">
        <f>SUM(N29:O29)</f>
        <v>130.9</v>
      </c>
      <c r="I29" s="3" t="str">
        <f>IF(MAX(P29,R29,T29,V29)&gt;=LOOKUP(F29,'Qualifying Scores'!$A$4:$A$7,'Qualifying Scores'!$F$4:$F$7),"P","")</f>
        <v/>
      </c>
      <c r="J29" s="3" t="str">
        <f>IF(MAX(Q29,S29,U29,W29)&gt;=LOOKUP(F29,'Qualifying Scores'!$A$10:$A$13,'Qualifying Scores'!$F$10:$F$13),"P","")</f>
        <v/>
      </c>
      <c r="K29" s="3" t="str">
        <f>IF(OR(AND(P29&gt;=LOOKUP(F29,'Qualifying Scores'!$A$4:$A$7,'Qualifying Scores'!$F$4:$F$7),Q29&gt;=LOOKUP(F29,'Qualifying Scores'!$A$10:$A$13,'Qualifying Scores'!$F$10:$F$13)),AND(T29&gt;=LOOKUP(F29,'Qualifying Scores'!$A$4:$A$7,'Qualifying Scores'!$F$4:$F$7),U29&gt;=LOOKUP(F29,'Qualifying Scores'!$A$10:$A$13,'Qualifying Scores'!$F$10:$F$13)),AND(R29&gt;=LOOKUP(F29,'Qualifying Scores'!$A$4:$A$7,'Qualifying Scores'!$F$4:$F$7),S29&gt;=LOOKUP(F29,'Qualifying Scores'!$A$10:$A$13,'Qualifying Scores'!$F$10:$F$13)),AND(V29&gt;=LOOKUP(F29,'Qualifying Scores'!$A$4:$A$7,'Qualifying Scores'!$F$4:$F$7),W29&gt;=LOOKUP(F29,'Qualifying Scores'!$A$10:$A$13,'Qualifying Scores'!$F$10:$F$13))),"P","")</f>
        <v/>
      </c>
      <c r="N29" s="4">
        <f>MAX(P29,T29)</f>
        <v>64</v>
      </c>
      <c r="O29" s="4">
        <f>IF(N29=P29,MAX(R29,T29,V29),MAX(P29,R29,V29))</f>
        <v>66.900000000000006</v>
      </c>
      <c r="P29" s="33">
        <v>63.4</v>
      </c>
      <c r="Q29" s="44">
        <v>9.5</v>
      </c>
      <c r="R29" s="34">
        <v>65.2</v>
      </c>
      <c r="S29" s="44">
        <v>10.3</v>
      </c>
      <c r="T29" s="33">
        <v>64</v>
      </c>
      <c r="U29" s="44">
        <v>9.1</v>
      </c>
      <c r="V29" s="34">
        <v>66.900000000000006</v>
      </c>
      <c r="W29" s="39">
        <v>10.3</v>
      </c>
    </row>
    <row r="30" spans="1:23" x14ac:dyDescent="0.2">
      <c r="A30" s="1" t="str">
        <f t="shared" si="0"/>
        <v/>
      </c>
      <c r="B30" s="38" t="s">
        <v>87</v>
      </c>
      <c r="C30" s="38" t="s">
        <v>4</v>
      </c>
      <c r="D30" s="38" t="s">
        <v>88</v>
      </c>
      <c r="E30" s="37">
        <v>2000</v>
      </c>
      <c r="F30" s="1" t="str">
        <f>IF('Qualifying Scores'!$B$1-E30&gt;21,"Not Age Eligible",IF('Qualifying Scores'!$B$1-E30&gt;16,"17-21",IF('Qualifying Scores'!$B$1-E30&gt;14,"15-16",IF('Qualifying Scores'!$B$1-E30&gt;12,"13-14",IF('Qualifying Scores'!$B$1-E30&gt;10,"11-12,""Not Age Eligible")))))</f>
        <v>17-21</v>
      </c>
      <c r="G30" s="56"/>
      <c r="H30" s="4">
        <f>SUM(N30:O30)</f>
        <v>130.89999999999998</v>
      </c>
      <c r="I30" s="3" t="str">
        <f>IF(MAX(P30,R30,T30,V30)&gt;=LOOKUP(F30,'Qualifying Scores'!$A$4:$A$7,'Qualifying Scores'!$F$4:$F$7),"P","")</f>
        <v/>
      </c>
      <c r="J30" s="3" t="str">
        <f>IF(MAX(Q30,S30,U30,W30)&gt;=LOOKUP(F30,'Qualifying Scores'!$A$10:$A$13,'Qualifying Scores'!$F$10:$F$13),"P","")</f>
        <v/>
      </c>
      <c r="K30" s="3" t="str">
        <f>IF(OR(AND(P30&gt;=LOOKUP(F30,'Qualifying Scores'!$A$4:$A$7,'Qualifying Scores'!$F$4:$F$7),Q30&gt;=LOOKUP(F30,'Qualifying Scores'!$A$10:$A$13,'Qualifying Scores'!$F$10:$F$13)),AND(T30&gt;=LOOKUP(F30,'Qualifying Scores'!$A$4:$A$7,'Qualifying Scores'!$F$4:$F$7),U30&gt;=LOOKUP(F30,'Qualifying Scores'!$A$10:$A$13,'Qualifying Scores'!$F$10:$F$13)),AND(R30&gt;=LOOKUP(F30,'Qualifying Scores'!$A$4:$A$7,'Qualifying Scores'!$F$4:$F$7),S30&gt;=LOOKUP(F30,'Qualifying Scores'!$A$10:$A$13,'Qualifying Scores'!$F$10:$F$13)),AND(V30&gt;=LOOKUP(F30,'Qualifying Scores'!$A$4:$A$7,'Qualifying Scores'!$F$4:$F$7),W30&gt;=LOOKUP(F30,'Qualifying Scores'!$A$10:$A$13,'Qualifying Scores'!$F$10:$F$13))),"P","")</f>
        <v/>
      </c>
      <c r="N30" s="4">
        <f>MAX(P30,T30)</f>
        <v>64.8</v>
      </c>
      <c r="O30" s="4">
        <f>IF(N30=P30,MAX(R30,T30,V30),MAX(P30,R30,V30))</f>
        <v>66.099999999999994</v>
      </c>
      <c r="P30" s="33">
        <v>64.8</v>
      </c>
      <c r="Q30" s="44">
        <v>9.6</v>
      </c>
      <c r="R30" s="34">
        <v>56.8</v>
      </c>
      <c r="S30" s="44">
        <v>5.9</v>
      </c>
      <c r="T30" s="33">
        <v>62</v>
      </c>
      <c r="U30" s="44">
        <v>8</v>
      </c>
      <c r="V30" s="34">
        <v>66.099999999999994</v>
      </c>
      <c r="W30" s="39">
        <v>11.6</v>
      </c>
    </row>
    <row r="31" spans="1:23" x14ac:dyDescent="0.2">
      <c r="A31" s="1" t="str">
        <f t="shared" si="0"/>
        <v/>
      </c>
      <c r="B31" s="38" t="s">
        <v>214</v>
      </c>
      <c r="C31" s="38" t="s">
        <v>6</v>
      </c>
      <c r="D31" s="38" t="s">
        <v>135</v>
      </c>
      <c r="E31" s="37">
        <v>2002</v>
      </c>
      <c r="F31" s="1" t="str">
        <f>IF('Qualifying Scores'!$B$1-E31&gt;21,"Not Age Eligible",IF('Qualifying Scores'!$B$1-E31&gt;16,"17-21",IF('Qualifying Scores'!$B$1-E31&gt;14,"15-16",IF('Qualifying Scores'!$B$1-E31&gt;12,"13-14",IF('Qualifying Scores'!$B$1-E31&gt;10,"11-12,""Not Age Eligible")))))</f>
        <v>17-21</v>
      </c>
      <c r="G31" s="56"/>
      <c r="H31" s="4">
        <f>SUM(N31:O31)</f>
        <v>130.60000000000002</v>
      </c>
      <c r="I31" s="3" t="str">
        <f>IF(MAX(P31,R31,T31,V31)&gt;=LOOKUP(F31,'Qualifying Scores'!$A$4:$A$7,'Qualifying Scores'!$F$4:$F$7),"P","")</f>
        <v/>
      </c>
      <c r="J31" s="3" t="str">
        <f>IF(MAX(Q31,S31,U31,W31)&gt;=LOOKUP(F31,'Qualifying Scores'!$A$10:$A$13,'Qualifying Scores'!$F$10:$F$13),"P","")</f>
        <v/>
      </c>
      <c r="K31" s="3" t="str">
        <f>IF(OR(AND(P31&gt;=LOOKUP(F31,'Qualifying Scores'!$A$4:$A$7,'Qualifying Scores'!$F$4:$F$7),Q31&gt;=LOOKUP(F31,'Qualifying Scores'!$A$10:$A$13,'Qualifying Scores'!$F$10:$F$13)),AND(T31&gt;=LOOKUP(F31,'Qualifying Scores'!$A$4:$A$7,'Qualifying Scores'!$F$4:$F$7),U31&gt;=LOOKUP(F31,'Qualifying Scores'!$A$10:$A$13,'Qualifying Scores'!$F$10:$F$13)),AND(R31&gt;=LOOKUP(F31,'Qualifying Scores'!$A$4:$A$7,'Qualifying Scores'!$F$4:$F$7),S31&gt;=LOOKUP(F31,'Qualifying Scores'!$A$10:$A$13,'Qualifying Scores'!$F$10:$F$13)),AND(V31&gt;=LOOKUP(F31,'Qualifying Scores'!$A$4:$A$7,'Qualifying Scores'!$F$4:$F$7),W31&gt;=LOOKUP(F31,'Qualifying Scores'!$A$10:$A$13,'Qualifying Scores'!$F$10:$F$13))),"P","")</f>
        <v/>
      </c>
      <c r="N31" s="4">
        <f>MAX(P31,T31)</f>
        <v>65.900000000000006</v>
      </c>
      <c r="O31" s="4">
        <f>IF(N31=P31,MAX(R31,T31,V31),MAX(P31,R31,V31))</f>
        <v>64.7</v>
      </c>
      <c r="P31" s="33">
        <v>63.4</v>
      </c>
      <c r="Q31" s="44">
        <v>8.3000000000000007</v>
      </c>
      <c r="R31" s="34">
        <v>64.7</v>
      </c>
      <c r="S31" s="44">
        <v>8.4</v>
      </c>
      <c r="T31" s="33">
        <v>65.900000000000006</v>
      </c>
      <c r="U31" s="44">
        <v>10.4</v>
      </c>
      <c r="V31" s="34">
        <v>54.7</v>
      </c>
      <c r="W31" s="39">
        <v>6.7</v>
      </c>
    </row>
    <row r="32" spans="1:23" x14ac:dyDescent="0.2">
      <c r="A32" s="1" t="str">
        <f t="shared" si="0"/>
        <v/>
      </c>
      <c r="B32" s="38" t="s">
        <v>290</v>
      </c>
      <c r="C32" s="38" t="s">
        <v>4</v>
      </c>
      <c r="D32" s="38" t="s">
        <v>92</v>
      </c>
      <c r="E32" s="37">
        <v>2001</v>
      </c>
      <c r="F32" s="1" t="str">
        <f>IF('Qualifying Scores'!$B$1-E32&gt;21,"Not Age Eligible",IF('Qualifying Scores'!$B$1-E32&gt;16,"17-21",IF('Qualifying Scores'!$B$1-E32&gt;14,"15-16",IF('Qualifying Scores'!$B$1-E32&gt;12,"13-14",IF('Qualifying Scores'!$B$1-E32&gt;10,"11-12,""Not Age Eligible")))))</f>
        <v>17-21</v>
      </c>
      <c r="G32" s="56"/>
      <c r="H32" s="4">
        <f>SUM(N32:O32)</f>
        <v>129.80000000000001</v>
      </c>
      <c r="I32" s="3" t="str">
        <f>IF(MAX(P32,R32,T32,V32)&gt;=LOOKUP(F32,'Qualifying Scores'!$A$4:$A$7,'Qualifying Scores'!$F$4:$F$7),"P","")</f>
        <v/>
      </c>
      <c r="J32" s="3" t="str">
        <f>IF(MAX(Q32,S32,U32,W32)&gt;=LOOKUP(F32,'Qualifying Scores'!$A$10:$A$13,'Qualifying Scores'!$F$10:$F$13),"P","")</f>
        <v/>
      </c>
      <c r="K32" s="3" t="str">
        <f>IF(OR(AND(P32&gt;=LOOKUP(F32,'Qualifying Scores'!$A$4:$A$7,'Qualifying Scores'!$F$4:$F$7),Q32&gt;=LOOKUP(F32,'Qualifying Scores'!$A$10:$A$13,'Qualifying Scores'!$F$10:$F$13)),AND(T32&gt;=LOOKUP(F32,'Qualifying Scores'!$A$4:$A$7,'Qualifying Scores'!$F$4:$F$7),U32&gt;=LOOKUP(F32,'Qualifying Scores'!$A$10:$A$13,'Qualifying Scores'!$F$10:$F$13)),AND(R32&gt;=LOOKUP(F32,'Qualifying Scores'!$A$4:$A$7,'Qualifying Scores'!$F$4:$F$7),S32&gt;=LOOKUP(F32,'Qualifying Scores'!$A$10:$A$13,'Qualifying Scores'!$F$10:$F$13)),AND(V32&gt;=LOOKUP(F32,'Qualifying Scores'!$A$4:$A$7,'Qualifying Scores'!$F$4:$F$7),W32&gt;=LOOKUP(F32,'Qualifying Scores'!$A$10:$A$13,'Qualifying Scores'!$F$10:$F$13))),"P","")</f>
        <v/>
      </c>
      <c r="N32" s="4">
        <f>MAX(P32,T32)</f>
        <v>63.8</v>
      </c>
      <c r="O32" s="4">
        <f>IF(N32=P32,MAX(R32,T32,V32),MAX(P32,R32,V32))</f>
        <v>66</v>
      </c>
      <c r="P32" s="33"/>
      <c r="Q32" s="44"/>
      <c r="R32" s="34"/>
      <c r="S32" s="44"/>
      <c r="T32" s="33">
        <v>63.8</v>
      </c>
      <c r="U32" s="44">
        <v>7.3</v>
      </c>
      <c r="V32" s="34">
        <v>66</v>
      </c>
      <c r="W32" s="39">
        <v>9.6</v>
      </c>
    </row>
    <row r="33" spans="1:23" x14ac:dyDescent="0.2">
      <c r="A33" s="1" t="str">
        <f t="shared" si="0"/>
        <v/>
      </c>
      <c r="B33" s="38" t="s">
        <v>291</v>
      </c>
      <c r="C33" s="38" t="s">
        <v>12</v>
      </c>
      <c r="E33" s="37">
        <v>2000</v>
      </c>
      <c r="F33" s="1" t="str">
        <f>IF('Qualifying Scores'!$B$1-E33&gt;21,"Not Age Eligible",IF('Qualifying Scores'!$B$1-E33&gt;16,"17-21",IF('Qualifying Scores'!$B$1-E33&gt;14,"15-16",IF('Qualifying Scores'!$B$1-E33&gt;12,"13-14",IF('Qualifying Scores'!$B$1-E33&gt;10,"11-12,""Not Age Eligible")))))</f>
        <v>17-21</v>
      </c>
      <c r="G33" s="56"/>
      <c r="H33" s="4">
        <f>SUM(N33:O33)</f>
        <v>128.1</v>
      </c>
      <c r="I33" s="3" t="str">
        <f>IF(MAX(P33,R33,T33,V33)&gt;=LOOKUP(F33,'Qualifying Scores'!$A$4:$A$7,'Qualifying Scores'!$F$4:$F$7),"P","")</f>
        <v/>
      </c>
      <c r="J33" s="3" t="str">
        <f>IF(MAX(Q33,S33,U33,W33)&gt;=LOOKUP(F33,'Qualifying Scores'!$A$10:$A$13,'Qualifying Scores'!$F$10:$F$13),"P","")</f>
        <v/>
      </c>
      <c r="K33" s="3" t="str">
        <f>IF(OR(AND(P33&gt;=LOOKUP(F33,'Qualifying Scores'!$A$4:$A$7,'Qualifying Scores'!$F$4:$F$7),Q33&gt;=LOOKUP(F33,'Qualifying Scores'!$A$10:$A$13,'Qualifying Scores'!$F$10:$F$13)),AND(T33&gt;=LOOKUP(F33,'Qualifying Scores'!$A$4:$A$7,'Qualifying Scores'!$F$4:$F$7),U33&gt;=LOOKUP(F33,'Qualifying Scores'!$A$10:$A$13,'Qualifying Scores'!$F$10:$F$13)),AND(R33&gt;=LOOKUP(F33,'Qualifying Scores'!$A$4:$A$7,'Qualifying Scores'!$F$4:$F$7),S33&gt;=LOOKUP(F33,'Qualifying Scores'!$A$10:$A$13,'Qualifying Scores'!$F$10:$F$13)),AND(V33&gt;=LOOKUP(F33,'Qualifying Scores'!$A$4:$A$7,'Qualifying Scores'!$F$4:$F$7),W33&gt;=LOOKUP(F33,'Qualifying Scores'!$A$10:$A$13,'Qualifying Scores'!$F$10:$F$13))),"P","")</f>
        <v/>
      </c>
      <c r="N33" s="4">
        <f>MAX(P33,T33)</f>
        <v>64.8</v>
      </c>
      <c r="O33" s="4">
        <f>IF(N33=P33,MAX(R33,T33,V33),MAX(P33,R33,V33))</f>
        <v>63.3</v>
      </c>
      <c r="P33" s="33"/>
      <c r="Q33" s="44"/>
      <c r="R33" s="34"/>
      <c r="S33" s="44"/>
      <c r="T33" s="33">
        <v>64.8</v>
      </c>
      <c r="U33" s="44">
        <v>9.6</v>
      </c>
      <c r="V33" s="34">
        <v>63.3</v>
      </c>
      <c r="W33" s="39">
        <v>7.2</v>
      </c>
    </row>
    <row r="34" spans="1:23" x14ac:dyDescent="0.2">
      <c r="A34" s="1" t="str">
        <f t="shared" si="0"/>
        <v/>
      </c>
      <c r="B34" s="38" t="s">
        <v>171</v>
      </c>
      <c r="C34" s="38" t="s">
        <v>6</v>
      </c>
      <c r="D34" s="38" t="s">
        <v>128</v>
      </c>
      <c r="E34" s="37">
        <v>2002</v>
      </c>
      <c r="F34" s="1" t="str">
        <f>IF('Qualifying Scores'!$B$1-E34&gt;21,"Not Age Eligible",IF('Qualifying Scores'!$B$1-E34&gt;16,"17-21",IF('Qualifying Scores'!$B$1-E34&gt;14,"15-16",IF('Qualifying Scores'!$B$1-E34&gt;12,"13-14",IF('Qualifying Scores'!$B$1-E34&gt;10,"11-12,""Not Age Eligible")))))</f>
        <v>17-21</v>
      </c>
      <c r="G34" s="56"/>
      <c r="H34" s="4">
        <f>SUM(N34:O34)</f>
        <v>127.7</v>
      </c>
      <c r="I34" s="3" t="str">
        <f>IF(MAX(P34,R34,T34,V34)&gt;=LOOKUP(F34,'Qualifying Scores'!$A$4:$A$7,'Qualifying Scores'!$F$4:$F$7),"P","")</f>
        <v/>
      </c>
      <c r="J34" s="3" t="str">
        <f>IF(MAX(Q34,S34,U34,W34)&gt;=LOOKUP(F34,'Qualifying Scores'!$A$10:$A$13,'Qualifying Scores'!$F$10:$F$13),"P","")</f>
        <v/>
      </c>
      <c r="K34" s="3" t="str">
        <f>IF(OR(AND(P34&gt;=LOOKUP(F34,'Qualifying Scores'!$A$4:$A$7,'Qualifying Scores'!$F$4:$F$7),Q34&gt;=LOOKUP(F34,'Qualifying Scores'!$A$10:$A$13,'Qualifying Scores'!$F$10:$F$13)),AND(T34&gt;=LOOKUP(F34,'Qualifying Scores'!$A$4:$A$7,'Qualifying Scores'!$F$4:$F$7),U34&gt;=LOOKUP(F34,'Qualifying Scores'!$A$10:$A$13,'Qualifying Scores'!$F$10:$F$13)),AND(R34&gt;=LOOKUP(F34,'Qualifying Scores'!$A$4:$A$7,'Qualifying Scores'!$F$4:$F$7),S34&gt;=LOOKUP(F34,'Qualifying Scores'!$A$10:$A$13,'Qualifying Scores'!$F$10:$F$13)),AND(V34&gt;=LOOKUP(F34,'Qualifying Scores'!$A$4:$A$7,'Qualifying Scores'!$F$4:$F$7),W34&gt;=LOOKUP(F34,'Qualifying Scores'!$A$10:$A$13,'Qualifying Scores'!$F$10:$F$13))),"P","")</f>
        <v/>
      </c>
      <c r="N34" s="4">
        <f>MAX(P34,T34)</f>
        <v>64.5</v>
      </c>
      <c r="O34" s="4">
        <f>IF(N34=P34,MAX(R34,T34,V34),MAX(P34,R34,V34))</f>
        <v>63.2</v>
      </c>
      <c r="P34" s="33">
        <v>64.5</v>
      </c>
      <c r="Q34" s="44">
        <v>10.4</v>
      </c>
      <c r="R34" s="34">
        <v>63.2</v>
      </c>
      <c r="S34" s="44">
        <v>8.4</v>
      </c>
      <c r="T34" s="33">
        <v>33</v>
      </c>
      <c r="U34" s="44">
        <v>6</v>
      </c>
      <c r="V34" s="34"/>
      <c r="W34" s="39"/>
    </row>
    <row r="35" spans="1:23" x14ac:dyDescent="0.2">
      <c r="A35" s="1" t="str">
        <f t="shared" si="0"/>
        <v/>
      </c>
      <c r="B35" s="38" t="s">
        <v>272</v>
      </c>
      <c r="C35" s="38" t="s">
        <v>12</v>
      </c>
      <c r="E35" s="37">
        <v>2001</v>
      </c>
      <c r="F35" s="1" t="str">
        <f>IF('Qualifying Scores'!$B$1-E35&gt;21,"Not Age Eligible",IF('Qualifying Scores'!$B$1-E35&gt;16,"17-21",IF('Qualifying Scores'!$B$1-E35&gt;14,"15-16",IF('Qualifying Scores'!$B$1-E35&gt;12,"13-14",IF('Qualifying Scores'!$B$1-E35&gt;10,"11-12,""Not Age Eligible")))))</f>
        <v>17-21</v>
      </c>
      <c r="G35" s="56"/>
      <c r="H35" s="4">
        <f>SUM(N35:O35)</f>
        <v>127.3</v>
      </c>
      <c r="I35" s="3" t="str">
        <f>IF(MAX(P35,R35,T35,V35)&gt;=LOOKUP(F35,'Qualifying Scores'!$A$4:$A$7,'Qualifying Scores'!$F$4:$F$7),"P","")</f>
        <v/>
      </c>
      <c r="J35" s="3" t="str">
        <f>IF(MAX(Q35,S35,U35,W35)&gt;=LOOKUP(F35,'Qualifying Scores'!$A$10:$A$13,'Qualifying Scores'!$F$10:$F$13),"P","")</f>
        <v/>
      </c>
      <c r="K35" s="3" t="str">
        <f>IF(OR(AND(P35&gt;=LOOKUP(F35,'Qualifying Scores'!$A$4:$A$7,'Qualifying Scores'!$F$4:$F$7),Q35&gt;=LOOKUP(F35,'Qualifying Scores'!$A$10:$A$13,'Qualifying Scores'!$F$10:$F$13)),AND(T35&gt;=LOOKUP(F35,'Qualifying Scores'!$A$4:$A$7,'Qualifying Scores'!$F$4:$F$7),U35&gt;=LOOKUP(F35,'Qualifying Scores'!$A$10:$A$13,'Qualifying Scores'!$F$10:$F$13)),AND(R35&gt;=LOOKUP(F35,'Qualifying Scores'!$A$4:$A$7,'Qualifying Scores'!$F$4:$F$7),S35&gt;=LOOKUP(F35,'Qualifying Scores'!$A$10:$A$13,'Qualifying Scores'!$F$10:$F$13)),AND(V35&gt;=LOOKUP(F35,'Qualifying Scores'!$A$4:$A$7,'Qualifying Scores'!$F$4:$F$7),W35&gt;=LOOKUP(F35,'Qualifying Scores'!$A$10:$A$13,'Qualifying Scores'!$F$10:$F$13))),"P","")</f>
        <v/>
      </c>
      <c r="N35" s="4">
        <f>MAX(P35,T35)</f>
        <v>65.8</v>
      </c>
      <c r="O35" s="4">
        <f>IF(N35=P35,MAX(R35,T35,V35),MAX(P35,R35,V35))</f>
        <v>61.5</v>
      </c>
      <c r="P35" s="33"/>
      <c r="Q35" s="44"/>
      <c r="R35" s="34"/>
      <c r="S35" s="44"/>
      <c r="T35" s="33">
        <v>65.8</v>
      </c>
      <c r="U35" s="44">
        <v>11.6</v>
      </c>
      <c r="V35" s="34">
        <v>61.5</v>
      </c>
      <c r="W35" s="39">
        <v>8.6999999999999993</v>
      </c>
    </row>
    <row r="36" spans="1:23" x14ac:dyDescent="0.2">
      <c r="A36" s="1" t="str">
        <f t="shared" si="0"/>
        <v/>
      </c>
      <c r="B36" s="38" t="s">
        <v>289</v>
      </c>
      <c r="C36" s="38" t="s">
        <v>6</v>
      </c>
      <c r="D36" s="38" t="s">
        <v>281</v>
      </c>
      <c r="E36" s="37">
        <v>2002</v>
      </c>
      <c r="F36" s="1" t="str">
        <f>IF('Qualifying Scores'!$B$1-E36&gt;21,"Not Age Eligible",IF('Qualifying Scores'!$B$1-E36&gt;16,"17-21",IF('Qualifying Scores'!$B$1-E36&gt;14,"15-16",IF('Qualifying Scores'!$B$1-E36&gt;12,"13-14",IF('Qualifying Scores'!$B$1-E36&gt;10,"11-12,""Not Age Eligible")))))</f>
        <v>17-21</v>
      </c>
      <c r="G36" s="56"/>
      <c r="H36" s="4">
        <f>SUM(N36:O36)</f>
        <v>126.4</v>
      </c>
      <c r="I36" s="3" t="str">
        <f>IF(MAX(P36,R36,T36,V36)&gt;=LOOKUP(F36,'Qualifying Scores'!$A$4:$A$7,'Qualifying Scores'!$F$4:$F$7),"P","")</f>
        <v/>
      </c>
      <c r="J36" s="3" t="str">
        <f>IF(MAX(Q36,S36,U36,W36)&gt;=LOOKUP(F36,'Qualifying Scores'!$A$10:$A$13,'Qualifying Scores'!$F$10:$F$13),"P","")</f>
        <v/>
      </c>
      <c r="K36" s="3" t="str">
        <f>IF(OR(AND(P36&gt;=LOOKUP(F36,'Qualifying Scores'!$A$4:$A$7,'Qualifying Scores'!$F$4:$F$7),Q36&gt;=LOOKUP(F36,'Qualifying Scores'!$A$10:$A$13,'Qualifying Scores'!$F$10:$F$13)),AND(T36&gt;=LOOKUP(F36,'Qualifying Scores'!$A$4:$A$7,'Qualifying Scores'!$F$4:$F$7),U36&gt;=LOOKUP(F36,'Qualifying Scores'!$A$10:$A$13,'Qualifying Scores'!$F$10:$F$13)),AND(R36&gt;=LOOKUP(F36,'Qualifying Scores'!$A$4:$A$7,'Qualifying Scores'!$F$4:$F$7),S36&gt;=LOOKUP(F36,'Qualifying Scores'!$A$10:$A$13,'Qualifying Scores'!$F$10:$F$13)),AND(V36&gt;=LOOKUP(F36,'Qualifying Scores'!$A$4:$A$7,'Qualifying Scores'!$F$4:$F$7),W36&gt;=LOOKUP(F36,'Qualifying Scores'!$A$10:$A$13,'Qualifying Scores'!$F$10:$F$13))),"P","")</f>
        <v/>
      </c>
      <c r="N36" s="4">
        <f>MAX(P36,T36)</f>
        <v>63</v>
      </c>
      <c r="O36" s="4">
        <f>IF(N36=P36,MAX(R36,T36,V36),MAX(P36,R36,V36))</f>
        <v>63.4</v>
      </c>
      <c r="P36" s="33"/>
      <c r="Q36" s="44"/>
      <c r="R36" s="34"/>
      <c r="S36" s="44"/>
      <c r="T36" s="33">
        <v>63</v>
      </c>
      <c r="U36" s="44">
        <v>10</v>
      </c>
      <c r="V36" s="34">
        <v>63.4</v>
      </c>
      <c r="W36" s="39">
        <v>7.6</v>
      </c>
    </row>
    <row r="37" spans="1:23" x14ac:dyDescent="0.2">
      <c r="A37" s="1" t="str">
        <f t="shared" ref="A37" si="1">IF(M37&lt;&gt;"",SUMPRODUCT((M$3:M$45&lt;&gt;"")*(F$3:F$45=F37)*(M$3:M$45&lt;M37))+1,IF(L37&lt;&gt;"",SUMPRODUCT((M$3:M$45&lt;&gt;"")*(F$3:F$45=F37))+SUMPRODUCT((L$3:L$45&lt;&gt;"")*(F$3:F$45=F37)*(L$3:L$45&lt;L37))+1,IF(K37="P",SUMPRODUCT((L$3:L$45&lt;&gt;"")*(F$3:F$45=F37))+SUMPRODUCT((M$3:M$45&lt;&gt;"")*(F$3:F$45=F37))+1+SUMPRODUCT((K$3:K$45="P")*(F$3:F$45=F37)*(H$3:H$45&gt;H37)*(L$3:L$45="")*(M$3:M$45="")),"")))</f>
        <v/>
      </c>
      <c r="B37" s="38" t="s">
        <v>215</v>
      </c>
      <c r="C37" s="38" t="s">
        <v>6</v>
      </c>
      <c r="D37" s="38" t="s">
        <v>128</v>
      </c>
      <c r="E37" s="37">
        <v>2002</v>
      </c>
      <c r="F37" s="1" t="str">
        <f>IF('Qualifying Scores'!$B$1-E37&gt;21,"Not Age Eligible",IF('Qualifying Scores'!$B$1-E37&gt;16,"17-21",IF('Qualifying Scores'!$B$1-E37&gt;14,"15-16",IF('Qualifying Scores'!$B$1-E37&gt;12,"13-14",IF('Qualifying Scores'!$B$1-E37&gt;10,"11-12,""Not Age Eligible")))))</f>
        <v>17-21</v>
      </c>
      <c r="G37" s="56"/>
      <c r="H37" s="4">
        <f>SUM(N37:O37)</f>
        <v>125.7</v>
      </c>
      <c r="I37" s="3" t="str">
        <f>IF(MAX(P37,R37,T37,V37)&gt;=LOOKUP(F37,'Qualifying Scores'!$A$4:$A$7,'Qualifying Scores'!$F$4:$F$7),"P","")</f>
        <v/>
      </c>
      <c r="J37" s="3" t="str">
        <f>IF(MAX(Q37,S37,U37,W37)&gt;=LOOKUP(F37,'Qualifying Scores'!$A$10:$A$13,'Qualifying Scores'!$F$10:$F$13),"P","")</f>
        <v/>
      </c>
      <c r="K37" s="3" t="str">
        <f>IF(OR(AND(P37&gt;=LOOKUP(F37,'Qualifying Scores'!$A$4:$A$7,'Qualifying Scores'!$F$4:$F$7),Q37&gt;=LOOKUP(F37,'Qualifying Scores'!$A$10:$A$13,'Qualifying Scores'!$F$10:$F$13)),AND(T37&gt;=LOOKUP(F37,'Qualifying Scores'!$A$4:$A$7,'Qualifying Scores'!$F$4:$F$7),U37&gt;=LOOKUP(F37,'Qualifying Scores'!$A$10:$A$13,'Qualifying Scores'!$F$10:$F$13)),AND(R37&gt;=LOOKUP(F37,'Qualifying Scores'!$A$4:$A$7,'Qualifying Scores'!$F$4:$F$7),S37&gt;=LOOKUP(F37,'Qualifying Scores'!$A$10:$A$13,'Qualifying Scores'!$F$10:$F$13)),AND(V37&gt;=LOOKUP(F37,'Qualifying Scores'!$A$4:$A$7,'Qualifying Scores'!$F$4:$F$7),W37&gt;=LOOKUP(F37,'Qualifying Scores'!$A$10:$A$13,'Qualifying Scores'!$F$10:$F$13))),"P","")</f>
        <v/>
      </c>
      <c r="N37" s="4">
        <f>MAX(P37,T37)</f>
        <v>62.5</v>
      </c>
      <c r="O37" s="4">
        <f>IF(N37=P37,MAX(R37,T37,V37),MAX(P37,R37,V37))</f>
        <v>63.2</v>
      </c>
      <c r="P37" s="33">
        <v>62.5</v>
      </c>
      <c r="Q37" s="44">
        <v>9.6</v>
      </c>
      <c r="R37" s="34">
        <v>63.2</v>
      </c>
      <c r="S37" s="44">
        <v>9.5</v>
      </c>
      <c r="T37" s="33">
        <v>18.899999999999999</v>
      </c>
      <c r="U37" s="44">
        <v>0</v>
      </c>
      <c r="V37" s="34"/>
      <c r="W37" s="39"/>
    </row>
    <row r="38" spans="1:23" x14ac:dyDescent="0.2">
      <c r="A38" s="1" t="str">
        <f t="shared" ref="A38" si="2">IF(M38&lt;&gt;"",SUMPRODUCT((M$3:M$45&lt;&gt;"")*(F$3:F$45=F38)*(M$3:M$45&lt;M38))+1,IF(L38&lt;&gt;"",SUMPRODUCT((M$3:M$45&lt;&gt;"")*(F$3:F$45=F38))+SUMPRODUCT((L$3:L$45&lt;&gt;"")*(F$3:F$45=F38)*(L$3:L$45&lt;L38))+1,IF(K38="P",SUMPRODUCT((L$3:L$45&lt;&gt;"")*(F$3:F$45=F38))+SUMPRODUCT((M$3:M$45&lt;&gt;"")*(F$3:F$45=F38))+1+SUMPRODUCT((K$3:K$45="P")*(F$3:F$45=F38)*(H$3:H$45&gt;H38)*(L$3:L$45="")*(M$3:M$45="")),"")))</f>
        <v/>
      </c>
      <c r="B38" s="38" t="s">
        <v>216</v>
      </c>
      <c r="C38" s="38" t="s">
        <v>8</v>
      </c>
      <c r="D38" s="38" t="s">
        <v>130</v>
      </c>
      <c r="E38" s="37">
        <v>2002</v>
      </c>
      <c r="F38" s="1" t="str">
        <f>IF('Qualifying Scores'!$B$1-E38&gt;21,"Not Age Eligible",IF('Qualifying Scores'!$B$1-E38&gt;16,"17-21",IF('Qualifying Scores'!$B$1-E38&gt;14,"15-16",IF('Qualifying Scores'!$B$1-E38&gt;12,"13-14",IF('Qualifying Scores'!$B$1-E38&gt;10,"11-12,""Not Age Eligible")))))</f>
        <v>17-21</v>
      </c>
      <c r="G38" s="56"/>
      <c r="H38" s="4">
        <f>SUM(N38:O38)</f>
        <v>125.7</v>
      </c>
      <c r="I38" s="3" t="str">
        <f>IF(MAX(P38,R38,T38,V38)&gt;=LOOKUP(F38,'Qualifying Scores'!$A$4:$A$7,'Qualifying Scores'!$F$4:$F$7),"P","")</f>
        <v/>
      </c>
      <c r="J38" s="3" t="str">
        <f>IF(MAX(Q38,S38,U38,W38)&gt;=LOOKUP(F38,'Qualifying Scores'!$A$10:$A$13,'Qualifying Scores'!$F$10:$F$13),"P","")</f>
        <v/>
      </c>
      <c r="K38" s="3" t="str">
        <f>IF(OR(AND(P38&gt;=LOOKUP(F38,'Qualifying Scores'!$A$4:$A$7,'Qualifying Scores'!$F$4:$F$7),Q38&gt;=LOOKUP(F38,'Qualifying Scores'!$A$10:$A$13,'Qualifying Scores'!$F$10:$F$13)),AND(T38&gt;=LOOKUP(F38,'Qualifying Scores'!$A$4:$A$7,'Qualifying Scores'!$F$4:$F$7),U38&gt;=LOOKUP(F38,'Qualifying Scores'!$A$10:$A$13,'Qualifying Scores'!$F$10:$F$13)),AND(R38&gt;=LOOKUP(F38,'Qualifying Scores'!$A$4:$A$7,'Qualifying Scores'!$F$4:$F$7),S38&gt;=LOOKUP(F38,'Qualifying Scores'!$A$10:$A$13,'Qualifying Scores'!$F$10:$F$13)),AND(V38&gt;=LOOKUP(F38,'Qualifying Scores'!$A$4:$A$7,'Qualifying Scores'!$F$4:$F$7),W38&gt;=LOOKUP(F38,'Qualifying Scores'!$A$10:$A$13,'Qualifying Scores'!$F$10:$F$13))),"P","")</f>
        <v/>
      </c>
      <c r="N38" s="4">
        <f>MAX(P38,T38)</f>
        <v>63</v>
      </c>
      <c r="O38" s="4">
        <f>IF(N38=P38,MAX(R38,T38,V38),MAX(P38,R38,V38))</f>
        <v>62.7</v>
      </c>
      <c r="P38" s="33">
        <v>61.1</v>
      </c>
      <c r="Q38" s="44">
        <v>8.5</v>
      </c>
      <c r="R38" s="34">
        <v>62.7</v>
      </c>
      <c r="S38" s="44">
        <v>9.6</v>
      </c>
      <c r="T38" s="33">
        <v>63</v>
      </c>
      <c r="U38" s="44">
        <v>8.5</v>
      </c>
      <c r="V38" s="34">
        <v>62.5</v>
      </c>
      <c r="W38" s="39">
        <v>9.6</v>
      </c>
    </row>
    <row r="39" spans="1:23" x14ac:dyDescent="0.2">
      <c r="A39" s="1" t="str">
        <f t="shared" ref="A39" si="3">IF(M39&lt;&gt;"",SUMPRODUCT((M$3:M$45&lt;&gt;"")*(F$3:F$45=F39)*(M$3:M$45&lt;M39))+1,IF(L39&lt;&gt;"",SUMPRODUCT((M$3:M$45&lt;&gt;"")*(F$3:F$45=F39))+SUMPRODUCT((L$3:L$45&lt;&gt;"")*(F$3:F$45=F39)*(L$3:L$45&lt;L39))+1,IF(K39="P",SUMPRODUCT((L$3:L$45&lt;&gt;"")*(F$3:F$45=F39))+SUMPRODUCT((M$3:M$45&lt;&gt;"")*(F$3:F$45=F39))+1+SUMPRODUCT((K$3:K$45="P")*(F$3:F$45=F39)*(H$3:H$45&gt;H39)*(L$3:L$45="")*(M$3:M$45="")),"")))</f>
        <v/>
      </c>
      <c r="B39" s="38" t="s">
        <v>217</v>
      </c>
      <c r="C39" s="38" t="s">
        <v>8</v>
      </c>
      <c r="D39" s="38" t="s">
        <v>131</v>
      </c>
      <c r="E39" s="37">
        <v>1999</v>
      </c>
      <c r="F39" s="1" t="str">
        <f>IF('Qualifying Scores'!$B$1-E39&gt;21,"Not Age Eligible",IF('Qualifying Scores'!$B$1-E39&gt;16,"17-21",IF('Qualifying Scores'!$B$1-E39&gt;14,"15-16",IF('Qualifying Scores'!$B$1-E39&gt;12,"13-14",IF('Qualifying Scores'!$B$1-E39&gt;10,"11-12,""Not Age Eligible")))))</f>
        <v>17-21</v>
      </c>
      <c r="G39" s="56"/>
      <c r="H39" s="4">
        <f>SUM(N39:O39)</f>
        <v>122.4</v>
      </c>
      <c r="I39" s="3" t="str">
        <f>IF(MAX(P39,R39,T39,V39)&gt;=LOOKUP(F39,'Qualifying Scores'!$A$4:$A$7,'Qualifying Scores'!$F$4:$F$7),"P","")</f>
        <v/>
      </c>
      <c r="J39" s="3" t="str">
        <f>IF(MAX(Q39,S39,U39,W39)&gt;=LOOKUP(F39,'Qualifying Scores'!$A$10:$A$13,'Qualifying Scores'!$F$10:$F$13),"P","")</f>
        <v/>
      </c>
      <c r="K39" s="3" t="str">
        <f>IF(OR(AND(P39&gt;=LOOKUP(F39,'Qualifying Scores'!$A$4:$A$7,'Qualifying Scores'!$F$4:$F$7),Q39&gt;=LOOKUP(F39,'Qualifying Scores'!$A$10:$A$13,'Qualifying Scores'!$F$10:$F$13)),AND(T39&gt;=LOOKUP(F39,'Qualifying Scores'!$A$4:$A$7,'Qualifying Scores'!$F$4:$F$7),U39&gt;=LOOKUP(F39,'Qualifying Scores'!$A$10:$A$13,'Qualifying Scores'!$F$10:$F$13)),AND(R39&gt;=LOOKUP(F39,'Qualifying Scores'!$A$4:$A$7,'Qualifying Scores'!$F$4:$F$7),S39&gt;=LOOKUP(F39,'Qualifying Scores'!$A$10:$A$13,'Qualifying Scores'!$F$10:$F$13)),AND(V39&gt;=LOOKUP(F39,'Qualifying Scores'!$A$4:$A$7,'Qualifying Scores'!$F$4:$F$7),W39&gt;=LOOKUP(F39,'Qualifying Scores'!$A$10:$A$13,'Qualifying Scores'!$F$10:$F$13))),"P","")</f>
        <v/>
      </c>
      <c r="N39" s="4">
        <f>MAX(P39,T39)</f>
        <v>62.3</v>
      </c>
      <c r="O39" s="4">
        <f>IF(N39=P39,MAX(R39,T39,V39),MAX(P39,R39,V39))</f>
        <v>60.1</v>
      </c>
      <c r="P39" s="33">
        <v>62.3</v>
      </c>
      <c r="Q39" s="44">
        <v>9.1999999999999993</v>
      </c>
      <c r="R39" s="34">
        <v>60.1</v>
      </c>
      <c r="S39" s="44">
        <v>7.7</v>
      </c>
      <c r="T39" s="33"/>
      <c r="U39" s="44"/>
      <c r="V39" s="34"/>
      <c r="W39" s="39"/>
    </row>
    <row r="40" spans="1:23" x14ac:dyDescent="0.2">
      <c r="A40" s="1" t="str">
        <f t="shared" ref="A40" si="4">IF(M40&lt;&gt;"",SUMPRODUCT((M$3:M$45&lt;&gt;"")*(F$3:F$45=F40)*(M$3:M$45&lt;M40))+1,IF(L40&lt;&gt;"",SUMPRODUCT((M$3:M$45&lt;&gt;"")*(F$3:F$45=F40))+SUMPRODUCT((L$3:L$45&lt;&gt;"")*(F$3:F$45=F40)*(L$3:L$45&lt;L40))+1,IF(K40="P",SUMPRODUCT((L$3:L$45&lt;&gt;"")*(F$3:F$45=F40))+SUMPRODUCT((M$3:M$45&lt;&gt;"")*(F$3:F$45=F40))+1+SUMPRODUCT((K$3:K$45="P")*(F$3:F$45=F40)*(H$3:H$45&gt;H40)*(L$3:L$45="")*(M$3:M$45="")),"")))</f>
        <v/>
      </c>
      <c r="B40" s="38" t="s">
        <v>194</v>
      </c>
      <c r="C40" s="38" t="s">
        <v>6</v>
      </c>
      <c r="D40" s="38" t="s">
        <v>85</v>
      </c>
      <c r="E40" s="37">
        <v>2001</v>
      </c>
      <c r="F40" s="1" t="str">
        <f>IF('Qualifying Scores'!$B$1-E40&gt;21,"Not Age Eligible",IF('Qualifying Scores'!$B$1-E40&gt;16,"17-21",IF('Qualifying Scores'!$B$1-E40&gt;14,"15-16",IF('Qualifying Scores'!$B$1-E40&gt;12,"13-14",IF('Qualifying Scores'!$B$1-E40&gt;10,"11-12,""Not Age Eligible")))))</f>
        <v>17-21</v>
      </c>
      <c r="G40" s="56"/>
      <c r="H40" s="4">
        <f>SUM(N40:O40)</f>
        <v>121.3</v>
      </c>
      <c r="I40" s="3" t="str">
        <f>IF(MAX(P40,R40,T40,V40)&gt;=LOOKUP(F40,'Qualifying Scores'!$A$4:$A$7,'Qualifying Scores'!$F$4:$F$7),"P","")</f>
        <v/>
      </c>
      <c r="J40" s="3" t="str">
        <f>IF(MAX(Q40,S40,U40,W40)&gt;=LOOKUP(F40,'Qualifying Scores'!$A$10:$A$13,'Qualifying Scores'!$F$10:$F$13),"P","")</f>
        <v>P</v>
      </c>
      <c r="K40" s="3" t="str">
        <f>IF(OR(AND(P40&gt;=LOOKUP(F40,'Qualifying Scores'!$A$4:$A$7,'Qualifying Scores'!$F$4:$F$7),Q40&gt;=LOOKUP(F40,'Qualifying Scores'!$A$10:$A$13,'Qualifying Scores'!$F$10:$F$13)),AND(T40&gt;=LOOKUP(F40,'Qualifying Scores'!$A$4:$A$7,'Qualifying Scores'!$F$4:$F$7),U40&gt;=LOOKUP(F40,'Qualifying Scores'!$A$10:$A$13,'Qualifying Scores'!$F$10:$F$13)),AND(R40&gt;=LOOKUP(F40,'Qualifying Scores'!$A$4:$A$7,'Qualifying Scores'!$F$4:$F$7),S40&gt;=LOOKUP(F40,'Qualifying Scores'!$A$10:$A$13,'Qualifying Scores'!$F$10:$F$13)),AND(V40&gt;=LOOKUP(F40,'Qualifying Scores'!$A$4:$A$7,'Qualifying Scores'!$F$4:$F$7),W40&gt;=LOOKUP(F40,'Qualifying Scores'!$A$10:$A$13,'Qualifying Scores'!$F$10:$F$13))),"P","")</f>
        <v/>
      </c>
      <c r="N40" s="4">
        <f>MAX(P40,T40)</f>
        <v>67.3</v>
      </c>
      <c r="O40" s="4">
        <f>IF(N40=P40,MAX(R40,T40,V40),MAX(P40,R40,V40))</f>
        <v>54</v>
      </c>
      <c r="P40" s="33">
        <v>24.1</v>
      </c>
      <c r="Q40" s="44">
        <v>4</v>
      </c>
      <c r="R40" s="34"/>
      <c r="S40" s="44"/>
      <c r="T40" s="33">
        <v>67.3</v>
      </c>
      <c r="U40" s="44">
        <v>16.399999999999999</v>
      </c>
      <c r="V40" s="34">
        <v>54</v>
      </c>
      <c r="W40" s="39">
        <v>10.1</v>
      </c>
    </row>
    <row r="41" spans="1:23" x14ac:dyDescent="0.2">
      <c r="A41" s="1" t="str">
        <f t="shared" ref="A41" si="5">IF(M41&lt;&gt;"",SUMPRODUCT((M$3:M$45&lt;&gt;"")*(F$3:F$45=F41)*(M$3:M$45&lt;M41))+1,IF(L41&lt;&gt;"",SUMPRODUCT((M$3:M$45&lt;&gt;"")*(F$3:F$45=F41))+SUMPRODUCT((L$3:L$45&lt;&gt;"")*(F$3:F$45=F41)*(L$3:L$45&lt;L41))+1,IF(K41="P",SUMPRODUCT((L$3:L$45&lt;&gt;"")*(F$3:F$45=F41))+SUMPRODUCT((M$3:M$45&lt;&gt;"")*(F$3:F$45=F41))+1+SUMPRODUCT((K$3:K$45="P")*(F$3:F$45=F41)*(H$3:H$45&gt;H41)*(L$3:L$45="")*(M$3:M$45="")),"")))</f>
        <v/>
      </c>
      <c r="B41" s="38" t="s">
        <v>86</v>
      </c>
      <c r="C41" s="38" t="s">
        <v>8</v>
      </c>
      <c r="D41" s="38" t="s">
        <v>75</v>
      </c>
      <c r="E41" s="37">
        <v>2000</v>
      </c>
      <c r="F41" s="1" t="str">
        <f>IF('Qualifying Scores'!$B$1-E41&gt;21,"Not Age Eligible",IF('Qualifying Scores'!$B$1-E41&gt;16,"17-21",IF('Qualifying Scores'!$B$1-E41&gt;14,"15-16",IF('Qualifying Scores'!$B$1-E41&gt;12,"13-14",IF('Qualifying Scores'!$B$1-E41&gt;10,"11-12,""Not Age Eligible")))))</f>
        <v>17-21</v>
      </c>
      <c r="G41" s="56"/>
      <c r="H41" s="4">
        <f>SUM(N41:O41)</f>
        <v>113</v>
      </c>
      <c r="I41" s="3" t="str">
        <f>IF(MAX(P41,R41,T41,V41)&gt;=LOOKUP(F41,'Qualifying Scores'!$A$4:$A$7,'Qualifying Scores'!$F$4:$F$7),"P","")</f>
        <v/>
      </c>
      <c r="J41" s="3" t="str">
        <f>IF(MAX(Q41,S41,U41,W41)&gt;=LOOKUP(F41,'Qualifying Scores'!$A$10:$A$13,'Qualifying Scores'!$F$10:$F$13),"P","")</f>
        <v/>
      </c>
      <c r="K41" s="3" t="str">
        <f>IF(OR(AND(P41&gt;=LOOKUP(F41,'Qualifying Scores'!$A$4:$A$7,'Qualifying Scores'!$F$4:$F$7),Q41&gt;=LOOKUP(F41,'Qualifying Scores'!$A$10:$A$13,'Qualifying Scores'!$F$10:$F$13)),AND(T41&gt;=LOOKUP(F41,'Qualifying Scores'!$A$4:$A$7,'Qualifying Scores'!$F$4:$F$7),U41&gt;=LOOKUP(F41,'Qualifying Scores'!$A$10:$A$13,'Qualifying Scores'!$F$10:$F$13)),AND(R41&gt;=LOOKUP(F41,'Qualifying Scores'!$A$4:$A$7,'Qualifying Scores'!$F$4:$F$7),S41&gt;=LOOKUP(F41,'Qualifying Scores'!$A$10:$A$13,'Qualifying Scores'!$F$10:$F$13)),AND(V41&gt;=LOOKUP(F41,'Qualifying Scores'!$A$4:$A$7,'Qualifying Scores'!$F$4:$F$7),W41&gt;=LOOKUP(F41,'Qualifying Scores'!$A$10:$A$13,'Qualifying Scores'!$F$10:$F$13))),"P","")</f>
        <v/>
      </c>
      <c r="N41" s="4">
        <f>MAX(P41,T41)</f>
        <v>56.6</v>
      </c>
      <c r="O41" s="4">
        <f>IF(N41=P41,MAX(R41,T41,V41),MAX(P41,R41,V41))</f>
        <v>56.4</v>
      </c>
      <c r="P41" s="33">
        <v>56.4</v>
      </c>
      <c r="Q41" s="44">
        <v>8.8000000000000007</v>
      </c>
      <c r="R41" s="34">
        <v>32.200000000000003</v>
      </c>
      <c r="S41" s="44">
        <v>6</v>
      </c>
      <c r="T41" s="33">
        <v>56.6</v>
      </c>
      <c r="U41" s="44">
        <v>9.1999999999999993</v>
      </c>
      <c r="V41" s="34">
        <v>55.3</v>
      </c>
      <c r="W41" s="39">
        <v>8</v>
      </c>
    </row>
    <row r="42" spans="1:23" x14ac:dyDescent="0.2">
      <c r="A42" s="1" t="str">
        <f t="shared" ref="A42" si="6">IF(M42&lt;&gt;"",SUMPRODUCT((M$3:M$45&lt;&gt;"")*(F$3:F$45=F42)*(M$3:M$45&lt;M42))+1,IF(L42&lt;&gt;"",SUMPRODUCT((M$3:M$45&lt;&gt;"")*(F$3:F$45=F42))+SUMPRODUCT((L$3:L$45&lt;&gt;"")*(F$3:F$45=F42)*(L$3:L$45&lt;L42))+1,IF(K42="P",SUMPRODUCT((L$3:L$45&lt;&gt;"")*(F$3:F$45=F42))+SUMPRODUCT((M$3:M$45&lt;&gt;"")*(F$3:F$45=F42))+1+SUMPRODUCT((K$3:K$45="P")*(F$3:F$45=F42)*(H$3:H$45&gt;H42)*(L$3:L$45="")*(M$3:M$45="")),"")))</f>
        <v/>
      </c>
      <c r="B42" s="38" t="s">
        <v>220</v>
      </c>
      <c r="C42" s="38" t="s">
        <v>8</v>
      </c>
      <c r="D42" s="38" t="s">
        <v>9</v>
      </c>
      <c r="E42" s="37">
        <v>2002</v>
      </c>
      <c r="F42" s="1" t="str">
        <f>IF('Qualifying Scores'!$B$1-E42&gt;21,"Not Age Eligible",IF('Qualifying Scores'!$B$1-E42&gt;16,"17-21",IF('Qualifying Scores'!$B$1-E42&gt;14,"15-16",IF('Qualifying Scores'!$B$1-E42&gt;12,"13-14",IF('Qualifying Scores'!$B$1-E42&gt;10,"11-12,""Not Age Eligible")))))</f>
        <v>17-21</v>
      </c>
      <c r="G42" s="56"/>
      <c r="H42" s="4">
        <f>SUM(N42:O42)</f>
        <v>112.19999999999999</v>
      </c>
      <c r="I42" s="3" t="str">
        <f>IF(MAX(P42,R42,T42,V42)&gt;=LOOKUP(F42,'Qualifying Scores'!$A$4:$A$7,'Qualifying Scores'!$F$4:$F$7),"P","")</f>
        <v/>
      </c>
      <c r="J42" s="3" t="str">
        <f>IF(MAX(Q42,S42,U42,W42)&gt;=LOOKUP(F42,'Qualifying Scores'!$A$10:$A$13,'Qualifying Scores'!$F$10:$F$13),"P","")</f>
        <v/>
      </c>
      <c r="K42" s="3" t="str">
        <f>IF(OR(AND(P42&gt;=LOOKUP(F42,'Qualifying Scores'!$A$4:$A$7,'Qualifying Scores'!$F$4:$F$7),Q42&gt;=LOOKUP(F42,'Qualifying Scores'!$A$10:$A$13,'Qualifying Scores'!$F$10:$F$13)),AND(T42&gt;=LOOKUP(F42,'Qualifying Scores'!$A$4:$A$7,'Qualifying Scores'!$F$4:$F$7),U42&gt;=LOOKUP(F42,'Qualifying Scores'!$A$10:$A$13,'Qualifying Scores'!$F$10:$F$13)),AND(R42&gt;=LOOKUP(F42,'Qualifying Scores'!$A$4:$A$7,'Qualifying Scores'!$F$4:$F$7),S42&gt;=LOOKUP(F42,'Qualifying Scores'!$A$10:$A$13,'Qualifying Scores'!$F$10:$F$13)),AND(V42&gt;=LOOKUP(F42,'Qualifying Scores'!$A$4:$A$7,'Qualifying Scores'!$F$4:$F$7),W42&gt;=LOOKUP(F42,'Qualifying Scores'!$A$10:$A$13,'Qualifying Scores'!$F$10:$F$13))),"P","")</f>
        <v/>
      </c>
      <c r="N42" s="4">
        <f>MAX(P42,T42)</f>
        <v>54.4</v>
      </c>
      <c r="O42" s="4">
        <f>IF(N42=P42,MAX(R42,T42,V42),MAX(P42,R42,V42))</f>
        <v>57.8</v>
      </c>
      <c r="P42" s="33">
        <v>33</v>
      </c>
      <c r="Q42" s="44">
        <v>6.8</v>
      </c>
      <c r="R42" s="34"/>
      <c r="S42" s="44"/>
      <c r="T42" s="33">
        <v>54.4</v>
      </c>
      <c r="U42" s="44">
        <v>10.4</v>
      </c>
      <c r="V42" s="34">
        <v>57.8</v>
      </c>
      <c r="W42" s="39">
        <v>10</v>
      </c>
    </row>
    <row r="43" spans="1:23" x14ac:dyDescent="0.2">
      <c r="A43" s="1" t="str">
        <f t="shared" ref="A43" si="7">IF(M43&lt;&gt;"",SUMPRODUCT((M$3:M$45&lt;&gt;"")*(F$3:F$45=F43)*(M$3:M$45&lt;M43))+1,IF(L43&lt;&gt;"",SUMPRODUCT((M$3:M$45&lt;&gt;"")*(F$3:F$45=F43))+SUMPRODUCT((L$3:L$45&lt;&gt;"")*(F$3:F$45=F43)*(L$3:L$45&lt;L43))+1,IF(K43="P",SUMPRODUCT((L$3:L$45&lt;&gt;"")*(F$3:F$45=F43))+SUMPRODUCT((M$3:M$45&lt;&gt;"")*(F$3:F$45=F43))+1+SUMPRODUCT((K$3:K$45="P")*(F$3:F$45=F43)*(H$3:H$45&gt;H43)*(L$3:L$45="")*(M$3:M$45="")),"")))</f>
        <v/>
      </c>
      <c r="B43" s="38" t="s">
        <v>293</v>
      </c>
      <c r="C43" s="38" t="s">
        <v>80</v>
      </c>
      <c r="D43" s="38" t="s">
        <v>292</v>
      </c>
      <c r="E43" s="37">
        <v>1998</v>
      </c>
      <c r="F43" s="1" t="str">
        <f>IF('Qualifying Scores'!$B$1-E43&gt;21,"Not Age Eligible",IF('Qualifying Scores'!$B$1-E43&gt;16,"17-21",IF('Qualifying Scores'!$B$1-E43&gt;14,"15-16",IF('Qualifying Scores'!$B$1-E43&gt;12,"13-14",IF('Qualifying Scores'!$B$1-E43&gt;10,"11-12,""Not Age Eligible")))))</f>
        <v>17-21</v>
      </c>
      <c r="G43" s="56"/>
      <c r="H43" s="4">
        <f>SUM(N43:O43)</f>
        <v>52.6</v>
      </c>
      <c r="I43" s="3" t="str">
        <f>IF(MAX(P43,R43,T43,V43)&gt;=LOOKUP(F43,'Qualifying Scores'!$A$4:$A$7,'Qualifying Scores'!$F$4:$F$7),"P","")</f>
        <v/>
      </c>
      <c r="J43" s="3" t="str">
        <f>IF(MAX(Q43,S43,U43,W43)&gt;=LOOKUP(F43,'Qualifying Scores'!$A$10:$A$13,'Qualifying Scores'!$F$10:$F$13),"P","")</f>
        <v/>
      </c>
      <c r="K43" s="3" t="str">
        <f>IF(OR(AND(P43&gt;=LOOKUP(F43,'Qualifying Scores'!$A$4:$A$7,'Qualifying Scores'!$F$4:$F$7),Q43&gt;=LOOKUP(F43,'Qualifying Scores'!$A$10:$A$13,'Qualifying Scores'!$F$10:$F$13)),AND(T43&gt;=LOOKUP(F43,'Qualifying Scores'!$A$4:$A$7,'Qualifying Scores'!$F$4:$F$7),U43&gt;=LOOKUP(F43,'Qualifying Scores'!$A$10:$A$13,'Qualifying Scores'!$F$10:$F$13)),AND(R43&gt;=LOOKUP(F43,'Qualifying Scores'!$A$4:$A$7,'Qualifying Scores'!$F$4:$F$7),S43&gt;=LOOKUP(F43,'Qualifying Scores'!$A$10:$A$13,'Qualifying Scores'!$F$10:$F$13)),AND(V43&gt;=LOOKUP(F43,'Qualifying Scores'!$A$4:$A$7,'Qualifying Scores'!$F$4:$F$7),W43&gt;=LOOKUP(F43,'Qualifying Scores'!$A$10:$A$13,'Qualifying Scores'!$F$10:$F$13))),"P","")</f>
        <v/>
      </c>
      <c r="N43" s="4">
        <f>MAX(P43,T43)</f>
        <v>52.6</v>
      </c>
      <c r="O43" s="4">
        <f>IF(N43=P43,MAX(R43,T43,V43),MAX(P43,R43,V43))</f>
        <v>0</v>
      </c>
      <c r="P43" s="33"/>
      <c r="Q43" s="44"/>
      <c r="R43" s="34"/>
      <c r="S43" s="44"/>
      <c r="T43" s="33">
        <v>52.6</v>
      </c>
      <c r="U43" s="44">
        <v>4.2</v>
      </c>
      <c r="V43" s="34"/>
      <c r="W43" s="39"/>
    </row>
    <row r="44" spans="1:23" x14ac:dyDescent="0.2">
      <c r="A44" s="1" t="str">
        <f t="shared" ref="A44" si="8">IF(M44&lt;&gt;"",SUMPRODUCT((M$3:M$45&lt;&gt;"")*(F$3:F$45=F44)*(M$3:M$45&lt;M44))+1,IF(L44&lt;&gt;"",SUMPRODUCT((M$3:M$45&lt;&gt;"")*(F$3:F$45=F44))+SUMPRODUCT((L$3:L$45&lt;&gt;"")*(F$3:F$45=F44)*(L$3:L$45&lt;L44))+1,IF(K44="P",SUMPRODUCT((L$3:L$45&lt;&gt;"")*(F$3:F$45=F44))+SUMPRODUCT((M$3:M$45&lt;&gt;"")*(F$3:F$45=F44))+1+SUMPRODUCT((K$3:K$45="P")*(F$3:F$45=F44)*(H$3:H$45&gt;H44)*(L$3:L$45="")*(M$3:M$45="")),"")))</f>
        <v/>
      </c>
      <c r="B44" s="38" t="s">
        <v>196</v>
      </c>
      <c r="C44" s="38" t="s">
        <v>12</v>
      </c>
      <c r="D44" s="38" t="s">
        <v>15</v>
      </c>
      <c r="E44" s="37">
        <v>2000</v>
      </c>
      <c r="F44" s="1" t="str">
        <f>IF('Qualifying Scores'!$B$1-E44&gt;21,"Not Age Eligible",IF('Qualifying Scores'!$B$1-E44&gt;16,"17-21",IF('Qualifying Scores'!$B$1-E44&gt;14,"15-16",IF('Qualifying Scores'!$B$1-E44&gt;12,"13-14",IF('Qualifying Scores'!$B$1-E44&gt;10,"11-12,""Not Age Eligible")))))</f>
        <v>17-21</v>
      </c>
      <c r="G44" s="56"/>
      <c r="H44" s="4">
        <f>SUM(N44:O44)</f>
        <v>33</v>
      </c>
      <c r="I44" s="3" t="str">
        <f>IF(MAX(P44,R44,T44,V44)&gt;=LOOKUP(F44,'Qualifying Scores'!$A$4:$A$7,'Qualifying Scores'!$F$4:$F$7),"P","")</f>
        <v/>
      </c>
      <c r="J44" s="3" t="str">
        <f>IF(MAX(Q44,S44,U44,W44)&gt;=LOOKUP(F44,'Qualifying Scores'!$A$10:$A$13,'Qualifying Scores'!$F$10:$F$13),"P","")</f>
        <v/>
      </c>
      <c r="K44" s="3" t="str">
        <f>IF(OR(AND(P44&gt;=LOOKUP(F44,'Qualifying Scores'!$A$4:$A$7,'Qualifying Scores'!$F$4:$F$7),Q44&gt;=LOOKUP(F44,'Qualifying Scores'!$A$10:$A$13,'Qualifying Scores'!$F$10:$F$13)),AND(T44&gt;=LOOKUP(F44,'Qualifying Scores'!$A$4:$A$7,'Qualifying Scores'!$F$4:$F$7),U44&gt;=LOOKUP(F44,'Qualifying Scores'!$A$10:$A$13,'Qualifying Scores'!$F$10:$F$13)),AND(R44&gt;=LOOKUP(F44,'Qualifying Scores'!$A$4:$A$7,'Qualifying Scores'!$F$4:$F$7),S44&gt;=LOOKUP(F44,'Qualifying Scores'!$A$10:$A$13,'Qualifying Scores'!$F$10:$F$13)),AND(V44&gt;=LOOKUP(F44,'Qualifying Scores'!$A$4:$A$7,'Qualifying Scores'!$F$4:$F$7),W44&gt;=LOOKUP(F44,'Qualifying Scores'!$A$10:$A$13,'Qualifying Scores'!$F$10:$F$13))),"P","")</f>
        <v/>
      </c>
      <c r="N44" s="4">
        <f>MAX(P44,T44)</f>
        <v>33</v>
      </c>
      <c r="O44" s="4">
        <f>IF(N44=P44,MAX(R44,T44,V44),MAX(P44,R44,V44))</f>
        <v>0</v>
      </c>
      <c r="P44" s="33"/>
      <c r="Q44" s="44"/>
      <c r="R44" s="34"/>
      <c r="S44" s="44"/>
      <c r="T44" s="33">
        <v>33</v>
      </c>
      <c r="U44" s="44">
        <v>5.6</v>
      </c>
      <c r="V44" s="34"/>
      <c r="W44" s="39"/>
    </row>
    <row r="45" spans="1:23" x14ac:dyDescent="0.2">
      <c r="A45" s="1"/>
      <c r="F45" s="1"/>
      <c r="G45" s="56"/>
      <c r="H45" s="4"/>
      <c r="I45" s="3"/>
      <c r="J45" s="3"/>
      <c r="N45" s="4"/>
      <c r="O45" s="4"/>
      <c r="P45" s="33"/>
      <c r="Q45" s="44"/>
      <c r="R45" s="34"/>
      <c r="S45" s="44"/>
      <c r="T45" s="33"/>
      <c r="U45" s="44"/>
      <c r="V45" s="34"/>
      <c r="W45" s="39"/>
    </row>
    <row r="46" spans="1:23" x14ac:dyDescent="0.2">
      <c r="A46" s="1"/>
      <c r="F46" s="1"/>
      <c r="G46" s="56"/>
      <c r="H46" s="4"/>
      <c r="I46" s="3"/>
      <c r="J46" s="3"/>
      <c r="N46" s="4"/>
      <c r="O46" s="4"/>
      <c r="P46" s="33"/>
      <c r="Q46" s="44"/>
      <c r="R46" s="34"/>
      <c r="S46" s="44"/>
      <c r="T46" s="33"/>
      <c r="U46" s="44"/>
      <c r="V46" s="34"/>
      <c r="W46" s="39"/>
    </row>
    <row r="47" spans="1:23" x14ac:dyDescent="0.2">
      <c r="F47" s="1"/>
      <c r="G47" s="56"/>
      <c r="H47" s="4"/>
      <c r="I47" s="3"/>
      <c r="J47" s="3"/>
      <c r="N47" s="4"/>
      <c r="O47" s="4"/>
      <c r="P47" s="33"/>
      <c r="Q47" s="44"/>
      <c r="R47" s="34"/>
      <c r="S47" s="44"/>
      <c r="T47" s="33"/>
      <c r="U47" s="44"/>
      <c r="V47" s="34"/>
      <c r="W47" s="39"/>
    </row>
    <row r="48" spans="1:23" x14ac:dyDescent="0.2">
      <c r="F48" s="1"/>
      <c r="G48" s="56"/>
      <c r="H48" s="4"/>
      <c r="I48" s="3"/>
      <c r="J48" s="3"/>
      <c r="N48" s="4"/>
      <c r="O48" s="4"/>
      <c r="P48" s="33"/>
      <c r="Q48" s="44"/>
      <c r="R48" s="34"/>
      <c r="S48" s="44"/>
      <c r="T48" s="33"/>
      <c r="U48" s="44"/>
      <c r="V48" s="34"/>
      <c r="W48" s="39"/>
    </row>
    <row r="49" spans="6:23" x14ac:dyDescent="0.2">
      <c r="F49" s="1"/>
      <c r="H49" s="4"/>
      <c r="I49" s="3"/>
      <c r="J49" s="3"/>
      <c r="N49" s="4"/>
      <c r="O49" s="4"/>
      <c r="P49" s="33"/>
      <c r="Q49" s="44"/>
      <c r="R49" s="34"/>
      <c r="S49" s="44"/>
      <c r="T49" s="33"/>
      <c r="U49" s="44"/>
      <c r="V49" s="34"/>
      <c r="W49" s="39"/>
    </row>
    <row r="50" spans="6:23" x14ac:dyDescent="0.2">
      <c r="F50" s="1"/>
      <c r="H50" s="4"/>
      <c r="I50" s="3"/>
      <c r="J50" s="3"/>
      <c r="N50" s="4"/>
      <c r="O50" s="4"/>
      <c r="P50" s="33"/>
      <c r="Q50" s="44"/>
      <c r="R50" s="34"/>
      <c r="S50" s="44"/>
      <c r="T50" s="33"/>
      <c r="U50" s="44"/>
      <c r="V50" s="34"/>
      <c r="W50" s="39"/>
    </row>
    <row r="51" spans="6:23" x14ac:dyDescent="0.2">
      <c r="F51" s="1"/>
      <c r="H51" s="4"/>
      <c r="I51" s="3"/>
      <c r="J51" s="3"/>
      <c r="N51" s="4"/>
      <c r="O51" s="4"/>
      <c r="P51" s="33"/>
      <c r="Q51" s="44"/>
      <c r="R51" s="34"/>
      <c r="S51" s="44"/>
      <c r="T51" s="33"/>
      <c r="U51" s="44"/>
      <c r="V51" s="34"/>
      <c r="W51" s="39"/>
    </row>
    <row r="52" spans="6:23" x14ac:dyDescent="0.2">
      <c r="F52" s="1"/>
      <c r="H52" s="4"/>
      <c r="I52" s="3"/>
      <c r="J52" s="3"/>
      <c r="N52" s="4"/>
      <c r="O52" s="4"/>
      <c r="P52" s="33"/>
      <c r="Q52" s="44"/>
      <c r="R52" s="34"/>
      <c r="S52" s="44"/>
      <c r="T52" s="33"/>
      <c r="U52" s="44"/>
      <c r="V52" s="34"/>
      <c r="W52" s="39"/>
    </row>
    <row r="53" spans="6:23" x14ac:dyDescent="0.2">
      <c r="F53" s="1"/>
      <c r="H53" s="4"/>
      <c r="I53" s="3"/>
      <c r="J53" s="3"/>
      <c r="N53" s="4"/>
      <c r="O53" s="4"/>
      <c r="P53" s="33"/>
      <c r="Q53" s="44"/>
      <c r="R53" s="34"/>
      <c r="S53" s="44"/>
      <c r="T53" s="33"/>
      <c r="U53" s="44"/>
      <c r="V53" s="34"/>
      <c r="W53" s="39"/>
    </row>
    <row r="54" spans="6:23" x14ac:dyDescent="0.2">
      <c r="F54" s="1"/>
      <c r="H54" s="4"/>
      <c r="I54" s="3"/>
      <c r="J54" s="3"/>
      <c r="N54" s="4"/>
      <c r="O54" s="4"/>
      <c r="P54" s="33"/>
      <c r="Q54" s="44"/>
      <c r="R54" s="34"/>
      <c r="S54" s="44"/>
      <c r="T54" s="33"/>
      <c r="U54" s="44"/>
      <c r="V54" s="34"/>
      <c r="W54" s="39"/>
    </row>
    <row r="55" spans="6:23" x14ac:dyDescent="0.2">
      <c r="F55" s="1"/>
      <c r="H55" s="4"/>
      <c r="I55" s="3"/>
      <c r="J55" s="3"/>
      <c r="N55" s="4"/>
      <c r="O55" s="4"/>
      <c r="P55" s="33"/>
      <c r="Q55" s="44"/>
      <c r="R55" s="34"/>
      <c r="S55" s="44"/>
      <c r="T55" s="33"/>
      <c r="U55" s="44"/>
      <c r="V55" s="34"/>
      <c r="W55" s="39"/>
    </row>
    <row r="56" spans="6:23" x14ac:dyDescent="0.2">
      <c r="F56" s="1"/>
      <c r="H56" s="4"/>
      <c r="I56" s="3"/>
      <c r="J56" s="3"/>
      <c r="N56" s="4"/>
      <c r="O56" s="4"/>
      <c r="P56" s="33"/>
      <c r="Q56" s="44"/>
      <c r="R56" s="34"/>
      <c r="S56" s="44"/>
      <c r="T56" s="33"/>
      <c r="U56" s="44"/>
      <c r="V56" s="34"/>
      <c r="W56" s="39"/>
    </row>
    <row r="57" spans="6:23" x14ac:dyDescent="0.2">
      <c r="F57" s="1"/>
      <c r="H57" s="4"/>
      <c r="I57" s="3"/>
      <c r="J57" s="3"/>
      <c r="N57" s="4"/>
      <c r="O57" s="4"/>
      <c r="P57" s="33"/>
      <c r="Q57" s="44"/>
      <c r="R57" s="34"/>
      <c r="S57" s="44"/>
      <c r="T57" s="33"/>
      <c r="U57" s="44"/>
      <c r="V57" s="34"/>
      <c r="W57" s="39"/>
    </row>
    <row r="58" spans="6:23" x14ac:dyDescent="0.2">
      <c r="F58" s="1"/>
      <c r="H58" s="4"/>
      <c r="I58" s="3"/>
      <c r="J58" s="3"/>
      <c r="N58" s="4"/>
      <c r="O58" s="4"/>
      <c r="P58" s="33"/>
      <c r="Q58" s="44"/>
      <c r="R58" s="34"/>
      <c r="S58" s="44"/>
      <c r="T58" s="33"/>
      <c r="U58" s="46"/>
      <c r="V58" s="43"/>
      <c r="W58" s="39"/>
    </row>
    <row r="59" spans="6:23" x14ac:dyDescent="0.2">
      <c r="F59" s="1"/>
      <c r="H59" s="4"/>
      <c r="I59" s="3"/>
      <c r="J59" s="3"/>
      <c r="N59" s="4"/>
      <c r="O59" s="4"/>
      <c r="P59" s="33"/>
      <c r="Q59" s="45"/>
      <c r="R59" s="47"/>
      <c r="S59" s="39"/>
      <c r="T59" s="33"/>
      <c r="U59" s="44"/>
      <c r="V59" s="34"/>
      <c r="W59" s="39"/>
    </row>
    <row r="60" spans="6:23" x14ac:dyDescent="0.2">
      <c r="F60" s="1"/>
      <c r="H60" s="4"/>
      <c r="I60" s="3"/>
      <c r="J60" s="3"/>
      <c r="N60" s="4"/>
      <c r="O60" s="4"/>
      <c r="P60" s="33"/>
      <c r="Q60" s="45"/>
      <c r="R60" s="47"/>
      <c r="S60" s="39"/>
      <c r="T60" s="33"/>
      <c r="U60" s="44"/>
      <c r="V60" s="34"/>
      <c r="W60" s="39"/>
    </row>
    <row r="61" spans="6:23" x14ac:dyDescent="0.2">
      <c r="F61" s="1"/>
      <c r="H61" s="4"/>
      <c r="I61" s="3"/>
      <c r="J61" s="3"/>
      <c r="N61" s="4"/>
      <c r="O61" s="4"/>
      <c r="P61" s="33"/>
      <c r="Q61" s="45"/>
      <c r="R61" s="47"/>
      <c r="S61" s="39"/>
      <c r="T61" s="33"/>
      <c r="U61" s="44"/>
      <c r="V61" s="34"/>
      <c r="W61" s="39"/>
    </row>
    <row r="62" spans="6:23" x14ac:dyDescent="0.2">
      <c r="F62" s="1"/>
      <c r="H62" s="4"/>
      <c r="I62" s="3"/>
      <c r="J62" s="3"/>
      <c r="N62" s="4"/>
      <c r="O62" s="4"/>
      <c r="P62" s="33"/>
      <c r="Q62" s="45"/>
      <c r="R62" s="47"/>
      <c r="S62" s="39"/>
      <c r="T62" s="33"/>
      <c r="U62" s="44"/>
      <c r="V62" s="34"/>
      <c r="W62" s="39"/>
    </row>
    <row r="63" spans="6:23" x14ac:dyDescent="0.2">
      <c r="F63" s="1"/>
      <c r="H63" s="4"/>
      <c r="I63" s="3"/>
      <c r="J63" s="3"/>
      <c r="N63" s="4"/>
      <c r="O63" s="4"/>
      <c r="P63" s="33"/>
      <c r="Q63" s="45"/>
      <c r="R63" s="47"/>
      <c r="S63" s="39"/>
      <c r="T63" s="33"/>
      <c r="U63" s="44"/>
      <c r="V63" s="34"/>
      <c r="W63" s="39"/>
    </row>
    <row r="64" spans="6:23" x14ac:dyDescent="0.2">
      <c r="F64" s="1"/>
      <c r="H64" s="4"/>
      <c r="I64" s="3"/>
      <c r="J64" s="3"/>
      <c r="N64" s="4"/>
      <c r="O64" s="4"/>
      <c r="P64" s="33"/>
      <c r="Q64" s="44"/>
      <c r="R64" s="34"/>
      <c r="S64" s="45"/>
      <c r="T64" s="33"/>
      <c r="U64" s="46"/>
      <c r="V64" s="43"/>
      <c r="W64" s="39"/>
    </row>
    <row r="65" spans="6:23" x14ac:dyDescent="0.2">
      <c r="F65" s="1"/>
      <c r="H65" s="4"/>
      <c r="I65" s="3"/>
      <c r="J65" s="3"/>
      <c r="N65" s="4"/>
      <c r="O65" s="4"/>
      <c r="P65" s="33"/>
      <c r="Q65" s="44"/>
      <c r="R65" s="34"/>
      <c r="S65" s="45"/>
      <c r="T65" s="33"/>
      <c r="U65" s="44"/>
      <c r="V65" s="34"/>
      <c r="W65" s="39"/>
    </row>
    <row r="66" spans="6:23" x14ac:dyDescent="0.2">
      <c r="N66" s="4"/>
      <c r="O66" s="4"/>
      <c r="P66" s="33"/>
      <c r="Q66" s="44"/>
      <c r="R66" s="34"/>
      <c r="S66" s="44"/>
      <c r="T66" s="33"/>
      <c r="U66" s="44"/>
      <c r="V66" s="34"/>
      <c r="W66" s="39"/>
    </row>
    <row r="67" spans="6:23" x14ac:dyDescent="0.2">
      <c r="N67" s="4"/>
      <c r="O67" s="4"/>
      <c r="P67" s="33"/>
      <c r="Q67" s="44"/>
      <c r="R67" s="34"/>
      <c r="S67" s="44"/>
      <c r="T67" s="33"/>
      <c r="U67" s="44"/>
      <c r="V67" s="34"/>
      <c r="W67" s="39"/>
    </row>
    <row r="68" spans="6:23" x14ac:dyDescent="0.2">
      <c r="N68" s="4"/>
      <c r="O68" s="4"/>
      <c r="P68" s="33"/>
      <c r="Q68" s="44"/>
      <c r="R68" s="34"/>
      <c r="S68" s="44"/>
      <c r="T68" s="33"/>
      <c r="U68" s="44"/>
      <c r="V68" s="34"/>
      <c r="W68" s="39"/>
    </row>
    <row r="69" spans="6:23" x14ac:dyDescent="0.2">
      <c r="N69" s="4"/>
      <c r="O69" s="4"/>
      <c r="P69" s="33"/>
      <c r="Q69" s="44"/>
      <c r="R69" s="34"/>
      <c r="S69" s="44"/>
      <c r="T69" s="33"/>
      <c r="U69" s="44"/>
      <c r="V69" s="34"/>
      <c r="W69" s="39"/>
    </row>
    <row r="70" spans="6:23" x14ac:dyDescent="0.2">
      <c r="N70" s="4"/>
      <c r="O70" s="4"/>
      <c r="P70" s="33"/>
      <c r="Q70" s="44"/>
      <c r="R70" s="34"/>
      <c r="S70" s="44"/>
      <c r="T70" s="33"/>
      <c r="U70" s="44"/>
      <c r="V70" s="34"/>
      <c r="W70" s="39"/>
    </row>
    <row r="71" spans="6:23" x14ac:dyDescent="0.2">
      <c r="N71" s="4"/>
      <c r="O71" s="4"/>
      <c r="P71" s="33"/>
      <c r="Q71" s="44"/>
      <c r="R71" s="34"/>
      <c r="S71" s="44"/>
      <c r="T71" s="33"/>
      <c r="U71" s="44"/>
      <c r="V71" s="34"/>
      <c r="W71" s="39"/>
    </row>
    <row r="72" spans="6:23" x14ac:dyDescent="0.2">
      <c r="N72" s="4"/>
      <c r="O72" s="4"/>
      <c r="P72" s="33"/>
      <c r="Q72" s="44"/>
      <c r="R72" s="34"/>
      <c r="S72" s="44"/>
      <c r="T72" s="33"/>
      <c r="U72" s="44"/>
      <c r="V72" s="34"/>
      <c r="W72" s="39"/>
    </row>
    <row r="73" spans="6:23" x14ac:dyDescent="0.2">
      <c r="N73" s="4"/>
      <c r="O73" s="4"/>
      <c r="P73" s="33"/>
      <c r="Q73" s="44"/>
      <c r="R73" s="34"/>
      <c r="S73" s="44"/>
      <c r="T73" s="33"/>
      <c r="U73" s="44"/>
      <c r="V73" s="34"/>
      <c r="W73" s="39"/>
    </row>
    <row r="74" spans="6:23" x14ac:dyDescent="0.2">
      <c r="N74" s="4"/>
      <c r="O74" s="4"/>
      <c r="P74" s="33"/>
      <c r="Q74" s="44"/>
      <c r="R74" s="34"/>
      <c r="S74" s="44"/>
      <c r="T74" s="33"/>
      <c r="U74" s="44"/>
      <c r="V74" s="34"/>
      <c r="W74" s="39"/>
    </row>
    <row r="75" spans="6:23" x14ac:dyDescent="0.2">
      <c r="N75" s="4"/>
      <c r="O75" s="4"/>
      <c r="P75" s="33"/>
      <c r="Q75" s="44"/>
      <c r="R75" s="34"/>
      <c r="S75" s="44"/>
      <c r="T75" s="33"/>
      <c r="U75" s="44"/>
      <c r="V75" s="34"/>
      <c r="W75" s="39"/>
    </row>
    <row r="76" spans="6:23" x14ac:dyDescent="0.2">
      <c r="N76" s="4"/>
      <c r="O76" s="4"/>
      <c r="P76" s="33"/>
      <c r="Q76" s="44"/>
      <c r="R76" s="34"/>
      <c r="S76" s="44"/>
      <c r="T76" s="33"/>
      <c r="U76" s="44"/>
      <c r="V76" s="34"/>
      <c r="W76" s="39"/>
    </row>
    <row r="77" spans="6:23" x14ac:dyDescent="0.2">
      <c r="N77" s="4"/>
      <c r="O77" s="4"/>
      <c r="P77" s="33"/>
      <c r="Q77" s="44"/>
      <c r="R77" s="34"/>
      <c r="S77" s="44"/>
      <c r="T77" s="33"/>
      <c r="U77" s="44"/>
      <c r="V77" s="34"/>
      <c r="W77" s="39"/>
    </row>
    <row r="78" spans="6:23" x14ac:dyDescent="0.2">
      <c r="N78" s="4"/>
      <c r="O78" s="4"/>
      <c r="P78" s="33"/>
      <c r="Q78" s="44"/>
      <c r="R78" s="34"/>
      <c r="S78" s="44"/>
      <c r="T78" s="33"/>
      <c r="U78" s="44"/>
      <c r="V78" s="34"/>
      <c r="W78" s="39"/>
    </row>
    <row r="79" spans="6:23" x14ac:dyDescent="0.2">
      <c r="N79" s="4"/>
      <c r="O79" s="4"/>
      <c r="P79" s="33"/>
      <c r="Q79" s="44"/>
      <c r="R79" s="34"/>
      <c r="S79" s="44"/>
      <c r="T79" s="33"/>
      <c r="U79" s="44"/>
      <c r="V79" s="34"/>
      <c r="W79" s="39"/>
    </row>
    <row r="80" spans="6:23" x14ac:dyDescent="0.2">
      <c r="N80" s="4"/>
      <c r="O80" s="4"/>
      <c r="P80" s="33"/>
      <c r="Q80" s="44"/>
      <c r="R80" s="34"/>
      <c r="S80" s="44"/>
      <c r="T80" s="33"/>
      <c r="U80" s="44"/>
      <c r="V80" s="34"/>
      <c r="W80" s="39"/>
    </row>
    <row r="81" spans="14:23" x14ac:dyDescent="0.2">
      <c r="N81" s="4"/>
      <c r="O81" s="4"/>
      <c r="P81" s="33"/>
      <c r="Q81" s="44"/>
      <c r="R81" s="34"/>
      <c r="S81" s="44"/>
      <c r="T81" s="33"/>
      <c r="U81" s="44"/>
      <c r="V81" s="34"/>
      <c r="W81" s="39"/>
    </row>
    <row r="82" spans="14:23" x14ac:dyDescent="0.2">
      <c r="N82" s="4"/>
      <c r="O82" s="4"/>
      <c r="P82" s="33"/>
      <c r="Q82" s="44"/>
      <c r="R82" s="34"/>
      <c r="S82" s="44"/>
      <c r="T82" s="33"/>
      <c r="U82" s="44"/>
      <c r="V82" s="34"/>
      <c r="W82" s="39"/>
    </row>
    <row r="83" spans="14:23" x14ac:dyDescent="0.2">
      <c r="N83" s="4"/>
      <c r="O83" s="4"/>
      <c r="P83" s="33"/>
      <c r="Q83" s="44"/>
      <c r="R83" s="34"/>
      <c r="S83" s="44"/>
      <c r="T83" s="33"/>
      <c r="U83" s="44"/>
      <c r="V83" s="34"/>
      <c r="W83" s="39"/>
    </row>
    <row r="84" spans="14:23" x14ac:dyDescent="0.2">
      <c r="N84" s="4"/>
      <c r="O84" s="4"/>
      <c r="P84" s="33"/>
      <c r="Q84" s="44"/>
      <c r="R84" s="34"/>
      <c r="S84" s="44"/>
      <c r="T84" s="33"/>
      <c r="U84" s="44"/>
      <c r="V84" s="34"/>
      <c r="W84" s="39"/>
    </row>
    <row r="85" spans="14:23" x14ac:dyDescent="0.2">
      <c r="N85" s="4"/>
      <c r="O85" s="4"/>
      <c r="P85" s="33"/>
      <c r="Q85" s="44"/>
      <c r="R85" s="34"/>
      <c r="S85" s="44"/>
      <c r="T85" s="33"/>
      <c r="U85" s="44"/>
      <c r="V85" s="34"/>
      <c r="W85" s="39"/>
    </row>
    <row r="86" spans="14:23" x14ac:dyDescent="0.2">
      <c r="N86" s="4"/>
      <c r="O86" s="4"/>
      <c r="P86" s="33"/>
      <c r="Q86" s="44"/>
      <c r="R86" s="34"/>
      <c r="S86" s="44"/>
      <c r="T86" s="33"/>
      <c r="U86" s="44"/>
      <c r="V86" s="34"/>
      <c r="W86" s="39"/>
    </row>
    <row r="87" spans="14:23" x14ac:dyDescent="0.2">
      <c r="N87" s="4"/>
      <c r="O87" s="4"/>
      <c r="P87" s="33"/>
      <c r="Q87" s="44"/>
      <c r="R87" s="34"/>
      <c r="S87" s="44"/>
      <c r="T87" s="33"/>
      <c r="U87" s="44"/>
      <c r="V87" s="34"/>
      <c r="W87" s="39"/>
    </row>
    <row r="88" spans="14:23" x14ac:dyDescent="0.2">
      <c r="N88" s="4"/>
      <c r="O88" s="4"/>
      <c r="P88" s="33"/>
      <c r="Q88" s="44"/>
      <c r="R88" s="34"/>
      <c r="S88" s="44"/>
      <c r="T88" s="33"/>
      <c r="U88" s="44"/>
      <c r="V88" s="34"/>
      <c r="W88" s="39"/>
    </row>
    <row r="89" spans="14:23" x14ac:dyDescent="0.2">
      <c r="N89" s="4"/>
      <c r="O89" s="4"/>
      <c r="P89" s="33"/>
      <c r="Q89" s="44"/>
      <c r="R89" s="34"/>
      <c r="S89" s="44"/>
      <c r="T89" s="33"/>
      <c r="U89" s="44"/>
      <c r="V89" s="34"/>
      <c r="W89" s="39"/>
    </row>
    <row r="90" spans="14:23" x14ac:dyDescent="0.2">
      <c r="N90" s="4"/>
      <c r="O90" s="4"/>
      <c r="P90" s="33"/>
      <c r="Q90" s="44"/>
      <c r="R90" s="34"/>
      <c r="S90" s="44"/>
      <c r="T90" s="33"/>
      <c r="U90" s="44"/>
      <c r="V90" s="34"/>
      <c r="W90" s="39"/>
    </row>
    <row r="91" spans="14:23" x14ac:dyDescent="0.2">
      <c r="N91" s="4"/>
      <c r="O91" s="4"/>
      <c r="P91" s="33"/>
      <c r="Q91" s="44"/>
      <c r="R91" s="34"/>
      <c r="S91" s="44"/>
      <c r="T91" s="33"/>
      <c r="U91" s="44"/>
      <c r="V91" s="34"/>
      <c r="W91" s="39"/>
    </row>
    <row r="92" spans="14:23" x14ac:dyDescent="0.2">
      <c r="N92" s="4"/>
      <c r="O92" s="4"/>
      <c r="P92" s="33"/>
      <c r="Q92" s="44"/>
      <c r="R92" s="34"/>
      <c r="S92" s="44"/>
      <c r="T92" s="33"/>
      <c r="U92" s="44"/>
      <c r="V92" s="34"/>
      <c r="W92" s="39"/>
    </row>
    <row r="93" spans="14:23" x14ac:dyDescent="0.2">
      <c r="N93" s="4"/>
      <c r="O93" s="4"/>
      <c r="P93" s="33"/>
      <c r="Q93" s="44"/>
      <c r="R93" s="34"/>
      <c r="S93" s="44"/>
      <c r="T93" s="33"/>
      <c r="U93" s="44"/>
      <c r="V93" s="34"/>
      <c r="W93" s="39"/>
    </row>
    <row r="94" spans="14:23" x14ac:dyDescent="0.2">
      <c r="N94" s="4"/>
      <c r="O94" s="4"/>
      <c r="P94" s="33"/>
      <c r="Q94" s="44"/>
      <c r="R94" s="34"/>
      <c r="S94" s="44"/>
      <c r="T94" s="33"/>
      <c r="U94" s="44"/>
      <c r="V94" s="34"/>
      <c r="W94" s="39"/>
    </row>
    <row r="95" spans="14:23" x14ac:dyDescent="0.2">
      <c r="N95" s="4"/>
      <c r="O95" s="4"/>
      <c r="P95" s="33"/>
      <c r="Q95" s="44"/>
      <c r="R95" s="34"/>
      <c r="S95" s="44"/>
      <c r="T95" s="33"/>
      <c r="U95" s="44"/>
      <c r="V95" s="34"/>
      <c r="W95" s="39"/>
    </row>
    <row r="96" spans="14:23" x14ac:dyDescent="0.2">
      <c r="N96" s="4"/>
      <c r="O96" s="4"/>
      <c r="P96" s="33"/>
      <c r="Q96" s="44"/>
      <c r="R96" s="34"/>
      <c r="S96" s="44"/>
      <c r="T96" s="33"/>
      <c r="U96" s="44"/>
      <c r="V96" s="34"/>
      <c r="W96" s="39"/>
    </row>
    <row r="97" spans="14:23" x14ac:dyDescent="0.2">
      <c r="N97" s="4"/>
      <c r="O97" s="4"/>
      <c r="P97" s="33"/>
      <c r="Q97" s="44"/>
      <c r="R97" s="34"/>
      <c r="S97" s="44"/>
      <c r="T97" s="33"/>
      <c r="U97" s="44"/>
      <c r="V97" s="34"/>
      <c r="W97" s="39"/>
    </row>
    <row r="98" spans="14:23" x14ac:dyDescent="0.2">
      <c r="N98" s="4"/>
      <c r="O98" s="4"/>
      <c r="P98" s="33"/>
      <c r="Q98" s="44"/>
      <c r="R98" s="34"/>
      <c r="S98" s="44"/>
      <c r="T98" s="33"/>
      <c r="U98" s="44"/>
      <c r="V98" s="34"/>
      <c r="W98" s="39"/>
    </row>
    <row r="99" spans="14:23" x14ac:dyDescent="0.2">
      <c r="N99" s="4"/>
      <c r="O99" s="4"/>
      <c r="P99" s="33"/>
      <c r="Q99" s="44"/>
      <c r="R99" s="34"/>
      <c r="S99" s="44"/>
      <c r="T99" s="33"/>
      <c r="U99" s="44"/>
      <c r="V99" s="34"/>
      <c r="W99" s="39"/>
    </row>
    <row r="100" spans="14:23" x14ac:dyDescent="0.2">
      <c r="N100" s="4"/>
      <c r="O100" s="4"/>
      <c r="P100" s="33"/>
      <c r="Q100" s="44"/>
      <c r="R100" s="34"/>
      <c r="S100" s="44"/>
      <c r="T100" s="33"/>
      <c r="U100" s="44"/>
      <c r="V100" s="34"/>
      <c r="W100" s="39"/>
    </row>
    <row r="101" spans="14:23" x14ac:dyDescent="0.2">
      <c r="N101" s="4"/>
      <c r="O101" s="4"/>
      <c r="P101" s="33"/>
      <c r="Q101" s="44"/>
      <c r="R101" s="34"/>
      <c r="S101" s="44"/>
      <c r="T101" s="33"/>
      <c r="U101" s="44"/>
      <c r="V101" s="34"/>
      <c r="W101" s="39"/>
    </row>
    <row r="102" spans="14:23" x14ac:dyDescent="0.2">
      <c r="N102" s="4"/>
      <c r="O102" s="4"/>
      <c r="P102" s="33"/>
      <c r="Q102" s="44"/>
      <c r="R102" s="34"/>
      <c r="S102" s="44"/>
      <c r="T102" s="33"/>
      <c r="U102" s="44"/>
      <c r="V102" s="34"/>
      <c r="W102" s="39"/>
    </row>
    <row r="103" spans="14:23" x14ac:dyDescent="0.2">
      <c r="N103" s="4"/>
      <c r="O103" s="4"/>
      <c r="P103" s="33"/>
      <c r="Q103" s="44"/>
      <c r="R103" s="34"/>
      <c r="S103" s="44"/>
      <c r="T103" s="33"/>
      <c r="U103" s="44"/>
      <c r="V103" s="34"/>
      <c r="W103" s="39"/>
    </row>
    <row r="104" spans="14:23" x14ac:dyDescent="0.2">
      <c r="N104" s="4"/>
      <c r="O104" s="4"/>
      <c r="P104" s="33"/>
      <c r="Q104" s="44"/>
      <c r="R104" s="34"/>
      <c r="S104" s="44"/>
      <c r="T104" s="33"/>
      <c r="U104" s="44"/>
      <c r="V104" s="34"/>
      <c r="W104" s="39"/>
    </row>
    <row r="105" spans="14:23" x14ac:dyDescent="0.2">
      <c r="N105" s="4"/>
      <c r="O105" s="4"/>
      <c r="P105" s="33"/>
      <c r="Q105" s="44"/>
      <c r="R105" s="34"/>
      <c r="S105" s="44"/>
      <c r="T105" s="33"/>
      <c r="U105" s="44"/>
      <c r="V105" s="34"/>
      <c r="W105" s="39"/>
    </row>
    <row r="106" spans="14:23" x14ac:dyDescent="0.2">
      <c r="N106" s="4"/>
      <c r="O106" s="4"/>
      <c r="P106" s="33"/>
      <c r="Q106" s="44"/>
      <c r="R106" s="34"/>
      <c r="S106" s="44"/>
      <c r="T106" s="33"/>
      <c r="U106" s="44"/>
      <c r="V106" s="34"/>
      <c r="W106" s="39"/>
    </row>
    <row r="107" spans="14:23" x14ac:dyDescent="0.2">
      <c r="N107" s="4"/>
      <c r="O107" s="4"/>
      <c r="P107" s="33"/>
      <c r="Q107" s="44"/>
      <c r="R107" s="34"/>
      <c r="S107" s="44"/>
      <c r="T107" s="33"/>
      <c r="U107" s="44"/>
      <c r="V107" s="34"/>
      <c r="W107" s="39"/>
    </row>
    <row r="108" spans="14:23" x14ac:dyDescent="0.2">
      <c r="N108" s="4"/>
      <c r="O108" s="4"/>
      <c r="P108" s="33"/>
      <c r="Q108" s="44"/>
      <c r="R108" s="34"/>
      <c r="S108" s="44"/>
      <c r="T108" s="33"/>
      <c r="U108" s="44"/>
      <c r="V108" s="34"/>
      <c r="W108" s="39"/>
    </row>
    <row r="109" spans="14:23" x14ac:dyDescent="0.2">
      <c r="N109" s="4"/>
      <c r="O109" s="4"/>
      <c r="P109" s="33"/>
      <c r="Q109" s="44"/>
      <c r="R109" s="34"/>
      <c r="S109" s="44"/>
      <c r="T109" s="33"/>
      <c r="U109" s="44"/>
      <c r="V109" s="34"/>
      <c r="W109" s="39"/>
    </row>
  </sheetData>
  <sheetProtection sheet="1" formatCells="0" formatColumns="0" formatRows="0"/>
  <autoFilter ref="B1:W2" xr:uid="{00000000-0009-0000-0000-000006000000}"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sortState xmlns:xlrd2="http://schemas.microsoft.com/office/spreadsheetml/2017/richdata2" ref="B3:W44">
      <sortCondition ref="F1:F37"/>
    </sortState>
  </autoFilter>
  <mergeCells count="17">
    <mergeCell ref="L1:L2"/>
    <mergeCell ref="F1:F2"/>
    <mergeCell ref="H1:H2"/>
    <mergeCell ref="I1:I2"/>
    <mergeCell ref="J1:J2"/>
    <mergeCell ref="K1:K2"/>
    <mergeCell ref="G1:G2"/>
    <mergeCell ref="A1:A2"/>
    <mergeCell ref="B1:B2"/>
    <mergeCell ref="C1:C2"/>
    <mergeCell ref="D1:D2"/>
    <mergeCell ref="E1:E2"/>
    <mergeCell ref="N1:N2"/>
    <mergeCell ref="O1:O2"/>
    <mergeCell ref="P1:S1"/>
    <mergeCell ref="T1:W1"/>
    <mergeCell ref="M1:M2"/>
  </mergeCells>
  <conditionalFormatting sqref="P14:XFD34 X1:XFD13 P4:W13 L4:O34 L35:XFD36 A1:F1048576 H37:XFD1048576 H4:K36 H1:M3">
    <cfRule type="expression" dxfId="55" priority="9">
      <formula>IF($F1="17-21",1,0)</formula>
    </cfRule>
    <cfRule type="expression" dxfId="54" priority="10">
      <formula>IF($F1="15-16",1,0)</formula>
    </cfRule>
    <cfRule type="expression" dxfId="53" priority="11">
      <formula>IF($F1="13-14",1,0)</formula>
    </cfRule>
    <cfRule type="expression" dxfId="52" priority="12">
      <formula>IF($F1="11-12",1,0)</formula>
    </cfRule>
  </conditionalFormatting>
  <conditionalFormatting sqref="N1:P1 T1 N2:W3">
    <cfRule type="expression" dxfId="51" priority="5">
      <formula>IF($F1="17-21",1,0)</formula>
    </cfRule>
    <cfRule type="expression" dxfId="50" priority="6">
      <formula>IF($F1="15-16",1,0)</formula>
    </cfRule>
    <cfRule type="expression" dxfId="49" priority="7">
      <formula>IF($F1="13-14",1,0)</formula>
    </cfRule>
    <cfRule type="expression" dxfId="48" priority="8">
      <formula>IF($F1="11-12",1,0)</formula>
    </cfRule>
  </conditionalFormatting>
  <conditionalFormatting sqref="G1:G1048576">
    <cfRule type="expression" dxfId="47" priority="1">
      <formula>IF($F1="17-21",1,0)</formula>
    </cfRule>
    <cfRule type="expression" dxfId="46" priority="2">
      <formula>IF($F1="15-16",1,0)</formula>
    </cfRule>
    <cfRule type="expression" dxfId="45" priority="3">
      <formula>IF($F1="13-14",1,0)</formula>
    </cfRule>
    <cfRule type="expression" dxfId="44" priority="4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110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43" style="38" bestFit="1" customWidth="1"/>
    <col min="3" max="3" width="8.6640625" style="38" bestFit="1" customWidth="1"/>
    <col min="4" max="4" width="39.16406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18.83203125" style="3" customWidth="1"/>
    <col min="12" max="12" width="18.33203125" style="42" customWidth="1"/>
    <col min="13" max="13" width="18.6640625" style="42" customWidth="1"/>
    <col min="14" max="14" width="15.6640625" customWidth="1"/>
    <col min="15" max="15" width="18.6640625" customWidth="1"/>
    <col min="16" max="16" width="10.83203125" style="37" bestFit="1" customWidth="1"/>
    <col min="17" max="17" width="11.1640625" style="38" bestFit="1" customWidth="1"/>
    <col min="18" max="18" width="6.6640625" style="38" bestFit="1" customWidth="1"/>
    <col min="19" max="19" width="11" style="38" bestFit="1" customWidth="1"/>
    <col min="20" max="20" width="10.83203125" style="37" bestFit="1" customWidth="1"/>
    <col min="21" max="21" width="11.1640625" style="38" bestFit="1" customWidth="1"/>
    <col min="22" max="22" width="6.6640625" style="38" bestFit="1" customWidth="1"/>
    <col min="23" max="23" width="9" style="41" bestFit="1" customWidth="1"/>
  </cols>
  <sheetData>
    <row r="1" spans="1:23" s="6" customFormat="1" x14ac:dyDescent="0.2">
      <c r="A1" s="65" t="s">
        <v>56</v>
      </c>
      <c r="B1" s="65" t="s">
        <v>0</v>
      </c>
      <c r="C1" s="65" t="s">
        <v>1</v>
      </c>
      <c r="D1" s="70" t="s">
        <v>2</v>
      </c>
      <c r="E1" s="72" t="s">
        <v>31</v>
      </c>
      <c r="F1" s="65" t="s">
        <v>32</v>
      </c>
      <c r="G1" s="65" t="s">
        <v>304</v>
      </c>
      <c r="H1" s="68" t="s">
        <v>44</v>
      </c>
      <c r="I1" s="65" t="s">
        <v>40</v>
      </c>
      <c r="J1" s="65" t="s">
        <v>41</v>
      </c>
      <c r="K1" s="65" t="s">
        <v>70</v>
      </c>
      <c r="L1" s="65" t="s">
        <v>43</v>
      </c>
      <c r="M1" s="65" t="s">
        <v>42</v>
      </c>
      <c r="N1" s="65" t="s">
        <v>114</v>
      </c>
      <c r="O1" s="65" t="s">
        <v>115</v>
      </c>
      <c r="P1" s="67" t="s">
        <v>121</v>
      </c>
      <c r="Q1" s="67"/>
      <c r="R1" s="67"/>
      <c r="S1" s="67"/>
      <c r="T1" s="67" t="s">
        <v>122</v>
      </c>
      <c r="U1" s="67"/>
      <c r="V1" s="67"/>
      <c r="W1" s="67"/>
    </row>
    <row r="2" spans="1:23" s="7" customFormat="1" ht="17" thickBot="1" x14ac:dyDescent="0.25">
      <c r="A2" s="66"/>
      <c r="B2" s="66"/>
      <c r="C2" s="66"/>
      <c r="D2" s="71"/>
      <c r="E2" s="73"/>
      <c r="F2" s="66"/>
      <c r="G2" s="66"/>
      <c r="H2" s="69"/>
      <c r="I2" s="66"/>
      <c r="J2" s="66"/>
      <c r="K2" s="66"/>
      <c r="L2" s="66"/>
      <c r="M2" s="66"/>
      <c r="N2" s="66"/>
      <c r="O2" s="66"/>
      <c r="P2" s="8" t="s">
        <v>57</v>
      </c>
      <c r="Q2" s="7" t="s">
        <v>116</v>
      </c>
      <c r="R2" s="7" t="s">
        <v>37</v>
      </c>
      <c r="S2" s="7" t="s">
        <v>39</v>
      </c>
      <c r="T2" s="8" t="s">
        <v>57</v>
      </c>
      <c r="U2" s="7" t="s">
        <v>116</v>
      </c>
      <c r="V2" s="7" t="s">
        <v>37</v>
      </c>
      <c r="W2" s="9" t="s">
        <v>39</v>
      </c>
    </row>
    <row r="3" spans="1:23" ht="17" thickTop="1" x14ac:dyDescent="0.2">
      <c r="A3" s="1" t="str">
        <f t="shared" ref="A3:A46" si="0">IF(M3&lt;&gt;"",SUMPRODUCT((M$3:M$47&lt;&gt;"")*(F$3:F$47=F3)*(M$3:M$47&lt;M3))+1,IF(L3&lt;&gt;"",SUMPRODUCT((M$3:M$47&lt;&gt;"")*(F$3:F$47=F3))+SUMPRODUCT((L$3:L$47&lt;&gt;"")*(F$3:F$47=F3)*(L$3:L$47&lt;L3))+1,IF(K3="P",SUMPRODUCT((L$3:L$47&lt;&gt;"")*(F$3:F$47=F3))+SUMPRODUCT((M$3:M$47&lt;&gt;"")*(F$3:F$47=F3))+1+SUMPRODUCT((K$3:K$47="P")*(F$3:F$47=F3)*(H$3:H$47&gt;H3)*(L$3:L$47="")*(M$3:M$47="")),"")))</f>
        <v/>
      </c>
      <c r="B3" s="38" t="s">
        <v>257</v>
      </c>
      <c r="C3" s="38" t="s">
        <v>8</v>
      </c>
      <c r="E3" s="37">
        <v>2005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13-14</v>
      </c>
      <c r="G3" s="56"/>
      <c r="H3" s="4">
        <f>SUM(N3:O3)</f>
        <v>62</v>
      </c>
      <c r="I3" s="3" t="str">
        <f>IF(MAX(P3,R3,T3,V3)&gt;=LOOKUP(F3,'Qualifying Scores'!$A$4:$A$7,'Qualifying Scores'!$G$4:$G$7),"P","")</f>
        <v/>
      </c>
      <c r="J3" s="3" t="str">
        <f>IF(MAX(Q3,S3,U3,W3)&gt;=LOOKUP(F3,'Qualifying Scores'!$A$10:$A$13,'Qualifying Scores'!$G$10:$G$13),"P","")</f>
        <v/>
      </c>
      <c r="K3" s="3" t="str">
        <f>IF(OR(AND(P3&gt;=LOOKUP(F3,'Qualifying Scores'!$A$4:$A$7,'Qualifying Scores'!$G$4:$G$7),Q3&gt;=LOOKUP(F3,'Qualifying Scores'!$A$10:$A$13,'Qualifying Scores'!$G$10:$G$13)),AND(T3&gt;=LOOKUP(F3,'Qualifying Scores'!$A$4:$A$7,'Qualifying Scores'!$G$4:$G$7),U3&gt;=LOOKUP(F3,'Qualifying Scores'!$A$10:$A$13,'Qualifying Scores'!$G$10:$G$13)),AND(R3&gt;=LOOKUP(F3,'Qualifying Scores'!$A$4:$A$7,'Qualifying Scores'!$G$4:$G$7),S3&gt;=LOOKUP(F3,'Qualifying Scores'!$A$10:$A$13,'Qualifying Scores'!$G$10:$G$13)),AND(V3&gt;=LOOKUP(F3,'Qualifying Scores'!$A$4:$A$7,'Qualifying Scores'!$G$4:$G$7),W3&gt;=LOOKUP(F3,'Qualifying Scores'!$A$10:$A$13,'Qualifying Scores'!$G$10:$G$13))),"P","")</f>
        <v/>
      </c>
      <c r="N3" s="4">
        <f>MAX(P3,T3)</f>
        <v>62</v>
      </c>
      <c r="O3" s="4">
        <f>IF(N3=P3,MAX(R3,T3,V3),MAX(P3,R3,V3))</f>
        <v>0</v>
      </c>
      <c r="P3" s="33"/>
      <c r="Q3" s="44"/>
      <c r="R3" s="34"/>
      <c r="S3" s="44"/>
      <c r="T3" s="33">
        <v>62</v>
      </c>
      <c r="U3" s="44">
        <v>6.3000000000000007</v>
      </c>
      <c r="V3" s="34"/>
      <c r="W3" s="39"/>
    </row>
    <row r="4" spans="1:23" x14ac:dyDescent="0.2">
      <c r="A4" s="1">
        <f t="shared" si="0"/>
        <v>1</v>
      </c>
      <c r="B4" s="38" t="s">
        <v>16</v>
      </c>
      <c r="C4" s="38" t="s">
        <v>8</v>
      </c>
      <c r="D4" s="38" t="s">
        <v>9</v>
      </c>
      <c r="E4" s="37">
        <v>2003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15-16</v>
      </c>
      <c r="G4" s="56" t="s">
        <v>305</v>
      </c>
      <c r="H4" s="4">
        <f>SUM(N4:O4)</f>
        <v>130.39999999999998</v>
      </c>
      <c r="I4" s="3" t="str">
        <f>IF(MAX(P4,R4,T4,V4)&gt;=LOOKUP(F4,'Qualifying Scores'!$A$4:$A$7,'Qualifying Scores'!$G$4:$G$7),"P","")</f>
        <v>P</v>
      </c>
      <c r="J4" s="3" t="str">
        <f>IF(MAX(Q4,S4,U4,W4)&gt;=LOOKUP(F4,'Qualifying Scores'!$A$10:$A$13,'Qualifying Scores'!$G$10:$G$13),"P","")</f>
        <v>P</v>
      </c>
      <c r="K4" s="3" t="str">
        <f>IF(OR(AND(P4&gt;=LOOKUP(F4,'Qualifying Scores'!$A$4:$A$7,'Qualifying Scores'!$G$4:$G$7),Q4&gt;=LOOKUP(F4,'Qualifying Scores'!$A$10:$A$13,'Qualifying Scores'!$G$10:$G$13)),AND(T4&gt;=LOOKUP(F4,'Qualifying Scores'!$A$4:$A$7,'Qualifying Scores'!$G$4:$G$7),U4&gt;=LOOKUP(F4,'Qualifying Scores'!$A$10:$A$13,'Qualifying Scores'!$G$10:$G$13)),AND(R4&gt;=LOOKUP(F4,'Qualifying Scores'!$A$4:$A$7,'Qualifying Scores'!$G$4:$G$7),S4&gt;=LOOKUP(F4,'Qualifying Scores'!$A$10:$A$13,'Qualifying Scores'!$G$10:$G$13)),AND(V4&gt;=LOOKUP(F4,'Qualifying Scores'!$A$4:$A$7,'Qualifying Scores'!$G$4:$G$7),W4&gt;=LOOKUP(F4,'Qualifying Scores'!$A$10:$A$13,'Qualifying Scores'!$G$10:$G$13))),"P","")</f>
        <v>P</v>
      </c>
      <c r="L4" s="42">
        <v>5</v>
      </c>
      <c r="N4" s="4">
        <f>MAX(P4,T4)</f>
        <v>65.599999999999994</v>
      </c>
      <c r="O4" s="4">
        <f>IF(N4=P4,MAX(R4,T4,V4),MAX(P4,R4,V4))</f>
        <v>64.8</v>
      </c>
      <c r="P4" s="33">
        <v>65.599999999999994</v>
      </c>
      <c r="Q4" s="44">
        <v>10.8</v>
      </c>
      <c r="R4" s="34">
        <v>53.4</v>
      </c>
      <c r="S4" s="44">
        <v>5.8</v>
      </c>
      <c r="T4" s="33">
        <v>55.7</v>
      </c>
      <c r="U4" s="44">
        <v>8</v>
      </c>
      <c r="V4" s="34">
        <v>64.8</v>
      </c>
      <c r="W4" s="39">
        <v>10.4</v>
      </c>
    </row>
    <row r="5" spans="1:23" x14ac:dyDescent="0.2">
      <c r="A5" s="1">
        <f t="shared" si="0"/>
        <v>2</v>
      </c>
      <c r="B5" s="38" t="s">
        <v>226</v>
      </c>
      <c r="C5" s="38" t="s">
        <v>8</v>
      </c>
      <c r="D5" s="38" t="s">
        <v>110</v>
      </c>
      <c r="E5" s="37">
        <v>2003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15-16</v>
      </c>
      <c r="G5" s="56" t="s">
        <v>305</v>
      </c>
      <c r="H5" s="4">
        <f>SUM(N5:O5)</f>
        <v>130.80000000000001</v>
      </c>
      <c r="I5" s="3" t="str">
        <f>IF(MAX(P5,R5,T5,V5)&gt;=LOOKUP(F5,'Qualifying Scores'!$A$4:$A$7,'Qualifying Scores'!$G$4:$G$7),"P","")</f>
        <v>P</v>
      </c>
      <c r="J5" s="3" t="str">
        <f>IF(MAX(Q5,S5,U5,W5)&gt;=LOOKUP(F5,'Qualifying Scores'!$A$10:$A$13,'Qualifying Scores'!$G$10:$G$13),"P","")</f>
        <v>P</v>
      </c>
      <c r="K5" s="3" t="str">
        <f>IF(OR(AND(P5&gt;=LOOKUP(F5,'Qualifying Scores'!$A$4:$A$7,'Qualifying Scores'!$G$4:$G$7),Q5&gt;=LOOKUP(F5,'Qualifying Scores'!$A$10:$A$13,'Qualifying Scores'!$G$10:$G$13)),AND(T5&gt;=LOOKUP(F5,'Qualifying Scores'!$A$4:$A$7,'Qualifying Scores'!$G$4:$G$7),U5&gt;=LOOKUP(F5,'Qualifying Scores'!$A$10:$A$13,'Qualifying Scores'!$G$10:$G$13)),AND(R5&gt;=LOOKUP(F5,'Qualifying Scores'!$A$4:$A$7,'Qualifying Scores'!$G$4:$G$7),S5&gt;=LOOKUP(F5,'Qualifying Scores'!$A$10:$A$13,'Qualifying Scores'!$G$10:$G$13)),AND(V5&gt;=LOOKUP(F5,'Qualifying Scores'!$A$4:$A$7,'Qualifying Scores'!$G$4:$G$7),W5&gt;=LOOKUP(F5,'Qualifying Scores'!$A$10:$A$13,'Qualifying Scores'!$G$10:$G$13))),"P","")</f>
        <v>P</v>
      </c>
      <c r="N5" s="4">
        <f>MAX(P5,T5)</f>
        <v>66.2</v>
      </c>
      <c r="O5" s="4">
        <f>IF(N5=P5,MAX(R5,T5,V5),MAX(P5,R5,V5))</f>
        <v>64.599999999999994</v>
      </c>
      <c r="P5" s="33">
        <v>66.2</v>
      </c>
      <c r="Q5" s="44">
        <v>10</v>
      </c>
      <c r="R5" s="34">
        <v>53.7</v>
      </c>
      <c r="S5" s="44">
        <v>5.9</v>
      </c>
      <c r="T5" s="33">
        <v>64.599999999999994</v>
      </c>
      <c r="U5" s="44">
        <v>10</v>
      </c>
      <c r="V5" s="34">
        <v>64.5</v>
      </c>
      <c r="W5" s="39">
        <v>8.8000000000000007</v>
      </c>
    </row>
    <row r="6" spans="1:23" x14ac:dyDescent="0.2">
      <c r="A6" s="1">
        <f t="shared" si="0"/>
        <v>3</v>
      </c>
      <c r="B6" s="38" t="s">
        <v>223</v>
      </c>
      <c r="C6" s="38" t="s">
        <v>6</v>
      </c>
      <c r="D6" s="38" t="s">
        <v>84</v>
      </c>
      <c r="E6" s="37">
        <v>2003</v>
      </c>
      <c r="F6" s="1" t="str">
        <f>IF('Qualifying Scores'!$B$1-E6&gt;21,"Not Age Eligible",IF('Qualifying Scores'!$B$1-E6&gt;16,"17-21",IF('Qualifying Scores'!$B$1-E6&gt;14,"15-16",IF('Qualifying Scores'!$B$1-E6&gt;12,"13-14",IF('Qualifying Scores'!$B$1-E6&gt;10,"11-12,""Not Age Eligible")))))</f>
        <v>15-16</v>
      </c>
      <c r="G6" s="56" t="s">
        <v>305</v>
      </c>
      <c r="H6" s="4">
        <f>SUM(N6:O6)</f>
        <v>130</v>
      </c>
      <c r="I6" s="3" t="str">
        <f>IF(MAX(P6,R6,T6,V6)&gt;=LOOKUP(F6,'Qualifying Scores'!$A$4:$A$7,'Qualifying Scores'!$G$4:$G$7),"P","")</f>
        <v>P</v>
      </c>
      <c r="J6" s="3" t="str">
        <f>IF(MAX(Q6,S6,U6,W6)&gt;=LOOKUP(F6,'Qualifying Scores'!$A$10:$A$13,'Qualifying Scores'!$G$10:$G$13),"P","")</f>
        <v>P</v>
      </c>
      <c r="K6" s="3" t="str">
        <f>IF(OR(AND(P6&gt;=LOOKUP(F6,'Qualifying Scores'!$A$4:$A$7,'Qualifying Scores'!$G$4:$G$7),Q6&gt;=LOOKUP(F6,'Qualifying Scores'!$A$10:$A$13,'Qualifying Scores'!$G$10:$G$13)),AND(T6&gt;=LOOKUP(F6,'Qualifying Scores'!$A$4:$A$7,'Qualifying Scores'!$G$4:$G$7),U6&gt;=LOOKUP(F6,'Qualifying Scores'!$A$10:$A$13,'Qualifying Scores'!$G$10:$G$13)),AND(R6&gt;=LOOKUP(F6,'Qualifying Scores'!$A$4:$A$7,'Qualifying Scores'!$G$4:$G$7),S6&gt;=LOOKUP(F6,'Qualifying Scores'!$A$10:$A$13,'Qualifying Scores'!$G$10:$G$13)),AND(V6&gt;=LOOKUP(F6,'Qualifying Scores'!$A$4:$A$7,'Qualifying Scores'!$G$4:$G$7),W6&gt;=LOOKUP(F6,'Qualifying Scores'!$A$10:$A$13,'Qualifying Scores'!$G$10:$G$13))),"P","")</f>
        <v>P</v>
      </c>
      <c r="N6" s="4">
        <f>MAX(P6,T6)</f>
        <v>64.8</v>
      </c>
      <c r="O6" s="4">
        <f>IF(N6=P6,MAX(R6,T6,V6),MAX(P6,R6,V6))</f>
        <v>65.2</v>
      </c>
      <c r="P6" s="33">
        <v>64.8</v>
      </c>
      <c r="Q6" s="44">
        <v>10.4</v>
      </c>
      <c r="R6" s="34">
        <v>62.1</v>
      </c>
      <c r="S6" s="44">
        <v>6.7</v>
      </c>
      <c r="T6" s="33">
        <v>62.4</v>
      </c>
      <c r="U6" s="44">
        <v>6.6999999999999993</v>
      </c>
      <c r="V6" s="34">
        <v>65.2</v>
      </c>
      <c r="W6" s="39">
        <v>8.3000000000000007</v>
      </c>
    </row>
    <row r="7" spans="1:23" x14ac:dyDescent="0.2">
      <c r="A7" s="1" t="str">
        <f t="shared" si="0"/>
        <v/>
      </c>
      <c r="B7" s="38" t="s">
        <v>222</v>
      </c>
      <c r="C7" s="38" t="s">
        <v>6</v>
      </c>
      <c r="D7" s="38" t="s">
        <v>100</v>
      </c>
      <c r="E7" s="37">
        <v>2003</v>
      </c>
      <c r="F7" s="1" t="str">
        <f>IF('Qualifying Scores'!$B$1-E7&gt;21,"Not Age Eligible",IF('Qualifying Scores'!$B$1-E7&gt;16,"17-21",IF('Qualifying Scores'!$B$1-E7&gt;14,"15-16",IF('Qualifying Scores'!$B$1-E7&gt;12,"13-14",IF('Qualifying Scores'!$B$1-E7&gt;10,"11-12,""Not Age Eligible")))))</f>
        <v>15-16</v>
      </c>
      <c r="G7" s="56"/>
      <c r="H7" s="4">
        <f>SUM(N7:O7)</f>
        <v>127.8</v>
      </c>
      <c r="I7" s="3" t="str">
        <f>IF(MAX(P7,R7,T7,V7)&gt;=LOOKUP(F7,'Qualifying Scores'!$A$4:$A$7,'Qualifying Scores'!$G$4:$G$7),"P","")</f>
        <v/>
      </c>
      <c r="J7" s="3" t="str">
        <f>IF(MAX(Q7,S7,U7,W7)&gt;=LOOKUP(F7,'Qualifying Scores'!$A$10:$A$13,'Qualifying Scores'!$G$10:$G$13),"P","")</f>
        <v>P</v>
      </c>
      <c r="K7" s="3" t="str">
        <f>IF(OR(AND(P7&gt;=LOOKUP(F7,'Qualifying Scores'!$A$4:$A$7,'Qualifying Scores'!$G$4:$G$7),Q7&gt;=LOOKUP(F7,'Qualifying Scores'!$A$10:$A$13,'Qualifying Scores'!$G$10:$G$13)),AND(T7&gt;=LOOKUP(F7,'Qualifying Scores'!$A$4:$A$7,'Qualifying Scores'!$G$4:$G$7),U7&gt;=LOOKUP(F7,'Qualifying Scores'!$A$10:$A$13,'Qualifying Scores'!$G$10:$G$13)),AND(R7&gt;=LOOKUP(F7,'Qualifying Scores'!$A$4:$A$7,'Qualifying Scores'!$G$4:$G$7),S7&gt;=LOOKUP(F7,'Qualifying Scores'!$A$10:$A$13,'Qualifying Scores'!$G$10:$G$13)),AND(V7&gt;=LOOKUP(F7,'Qualifying Scores'!$A$4:$A$7,'Qualifying Scores'!$G$4:$G$7),W7&gt;=LOOKUP(F7,'Qualifying Scores'!$A$10:$A$13,'Qualifying Scores'!$G$10:$G$13))),"P","")</f>
        <v/>
      </c>
      <c r="N7" s="4">
        <f>MAX(P7,T7)</f>
        <v>64</v>
      </c>
      <c r="O7" s="4">
        <f>IF(N7=P7,MAX(R7,T7,V7),MAX(P7,R7,V7))</f>
        <v>63.8</v>
      </c>
      <c r="P7" s="33">
        <v>63.8</v>
      </c>
      <c r="Q7" s="44">
        <v>10.4</v>
      </c>
      <c r="R7" s="34">
        <v>63.1</v>
      </c>
      <c r="S7" s="44">
        <v>7.4</v>
      </c>
      <c r="T7" s="33">
        <v>64</v>
      </c>
      <c r="U7" s="44">
        <v>10.4</v>
      </c>
      <c r="V7" s="34">
        <v>62.4</v>
      </c>
      <c r="W7" s="39">
        <v>7.9</v>
      </c>
    </row>
    <row r="8" spans="1:23" x14ac:dyDescent="0.2">
      <c r="A8" s="1" t="str">
        <f t="shared" si="0"/>
        <v/>
      </c>
      <c r="B8" s="38" t="s">
        <v>227</v>
      </c>
      <c r="C8" s="38" t="s">
        <v>4</v>
      </c>
      <c r="D8" s="38" t="s">
        <v>101</v>
      </c>
      <c r="E8" s="37">
        <v>2003</v>
      </c>
      <c r="F8" s="1" t="str">
        <f>IF('Qualifying Scores'!$B$1-E8&gt;21,"Not Age Eligible",IF('Qualifying Scores'!$B$1-E8&gt;16,"17-21",IF('Qualifying Scores'!$B$1-E8&gt;14,"15-16",IF('Qualifying Scores'!$B$1-E8&gt;12,"13-14",IF('Qualifying Scores'!$B$1-E8&gt;10,"11-12,""Not Age Eligible")))))</f>
        <v>15-16</v>
      </c>
      <c r="G8" s="56"/>
      <c r="H8" s="4">
        <f>SUM(N8:O8)</f>
        <v>127.8</v>
      </c>
      <c r="I8" s="3" t="str">
        <f>IF(MAX(P8,R8,T8,V8)&gt;=LOOKUP(F8,'Qualifying Scores'!$A$4:$A$7,'Qualifying Scores'!$G$4:$G$7),"P","")</f>
        <v/>
      </c>
      <c r="J8" s="3" t="str">
        <f>IF(MAX(Q8,S8,U8,W8)&gt;=LOOKUP(F8,'Qualifying Scores'!$A$10:$A$13,'Qualifying Scores'!$G$10:$G$13),"P","")</f>
        <v/>
      </c>
      <c r="K8" s="3" t="str">
        <f>IF(OR(AND(P8&gt;=LOOKUP(F8,'Qualifying Scores'!$A$4:$A$7,'Qualifying Scores'!$G$4:$G$7),Q8&gt;=LOOKUP(F8,'Qualifying Scores'!$A$10:$A$13,'Qualifying Scores'!$G$10:$G$13)),AND(T8&gt;=LOOKUP(F8,'Qualifying Scores'!$A$4:$A$7,'Qualifying Scores'!$G$4:$G$7),U8&gt;=LOOKUP(F8,'Qualifying Scores'!$A$10:$A$13,'Qualifying Scores'!$G$10:$G$13)),AND(R8&gt;=LOOKUP(F8,'Qualifying Scores'!$A$4:$A$7,'Qualifying Scores'!$G$4:$G$7),S8&gt;=LOOKUP(F8,'Qualifying Scores'!$A$10:$A$13,'Qualifying Scores'!$G$10:$G$13)),AND(V8&gt;=LOOKUP(F8,'Qualifying Scores'!$A$4:$A$7,'Qualifying Scores'!$G$4:$G$7),W8&gt;=LOOKUP(F8,'Qualifying Scores'!$A$10:$A$13,'Qualifying Scores'!$G$10:$G$13))),"P","")</f>
        <v/>
      </c>
      <c r="N8" s="4">
        <f>MAX(P8,T8)</f>
        <v>64.099999999999994</v>
      </c>
      <c r="O8" s="4">
        <f>IF(N8=P8,MAX(R8,T8,V8),MAX(P8,R8,V8))</f>
        <v>63.7</v>
      </c>
      <c r="P8" s="33">
        <v>60.9</v>
      </c>
      <c r="Q8" s="44">
        <v>6.7</v>
      </c>
      <c r="R8" s="34"/>
      <c r="S8" s="44"/>
      <c r="T8" s="33">
        <v>64.099999999999994</v>
      </c>
      <c r="U8" s="44">
        <v>9.6</v>
      </c>
      <c r="V8" s="34">
        <v>63.7</v>
      </c>
      <c r="W8" s="39">
        <v>7.9</v>
      </c>
    </row>
    <row r="9" spans="1:23" x14ac:dyDescent="0.2">
      <c r="A9" s="1" t="str">
        <f t="shared" si="0"/>
        <v/>
      </c>
      <c r="B9" s="38" t="s">
        <v>221</v>
      </c>
      <c r="C9" s="38" t="s">
        <v>6</v>
      </c>
      <c r="E9" s="37">
        <v>2004</v>
      </c>
      <c r="F9" s="1" t="str">
        <f>IF('Qualifying Scores'!$B$1-E9&gt;21,"Not Age Eligible",IF('Qualifying Scores'!$B$1-E9&gt;16,"17-21",IF('Qualifying Scores'!$B$1-E9&gt;14,"15-16",IF('Qualifying Scores'!$B$1-E9&gt;12,"13-14",IF('Qualifying Scores'!$B$1-E9&gt;10,"11-12,""Not Age Eligible")))))</f>
        <v>15-16</v>
      </c>
      <c r="G9" s="56"/>
      <c r="H9" s="4">
        <f>SUM(N9:O9)</f>
        <v>127.1</v>
      </c>
      <c r="I9" s="3" t="str">
        <f>IF(MAX(P9,R9,T9,V9)&gt;=LOOKUP(F9,'Qualifying Scores'!$A$4:$A$7,'Qualifying Scores'!$G$4:$G$7),"P","")</f>
        <v/>
      </c>
      <c r="J9" s="3" t="str">
        <f>IF(MAX(Q9,S9,U9,W9)&gt;=LOOKUP(F9,'Qualifying Scores'!$A$10:$A$13,'Qualifying Scores'!$G$10:$G$13),"P","")</f>
        <v>P</v>
      </c>
      <c r="K9" s="3" t="str">
        <f>IF(OR(AND(P9&gt;=LOOKUP(F9,'Qualifying Scores'!$A$4:$A$7,'Qualifying Scores'!$G$4:$G$7),Q9&gt;=LOOKUP(F9,'Qualifying Scores'!$A$10:$A$13,'Qualifying Scores'!$G$10:$G$13)),AND(T9&gt;=LOOKUP(F9,'Qualifying Scores'!$A$4:$A$7,'Qualifying Scores'!$G$4:$G$7),U9&gt;=LOOKUP(F9,'Qualifying Scores'!$A$10:$A$13,'Qualifying Scores'!$G$10:$G$13)),AND(R9&gt;=LOOKUP(F9,'Qualifying Scores'!$A$4:$A$7,'Qualifying Scores'!$G$4:$G$7),S9&gt;=LOOKUP(F9,'Qualifying Scores'!$A$10:$A$13,'Qualifying Scores'!$G$10:$G$13)),AND(V9&gt;=LOOKUP(F9,'Qualifying Scores'!$A$4:$A$7,'Qualifying Scores'!$G$4:$G$7),W9&gt;=LOOKUP(F9,'Qualifying Scores'!$A$10:$A$13,'Qualifying Scores'!$G$10:$G$13))),"P","")</f>
        <v/>
      </c>
      <c r="N9" s="4">
        <f>MAX(P9,T9)</f>
        <v>63.7</v>
      </c>
      <c r="O9" s="4">
        <f>IF(N9=P9,MAX(R9,T9,V9),MAX(P9,R9,V9))</f>
        <v>63.4</v>
      </c>
      <c r="P9" s="33">
        <v>63.7</v>
      </c>
      <c r="Q9" s="44">
        <v>9.6</v>
      </c>
      <c r="R9" s="34">
        <v>63.4</v>
      </c>
      <c r="S9" s="44">
        <v>6.7</v>
      </c>
      <c r="T9" s="33">
        <v>62.5</v>
      </c>
      <c r="U9" s="44">
        <v>10</v>
      </c>
      <c r="V9" s="34">
        <v>62.7</v>
      </c>
      <c r="W9" s="39">
        <v>6.7</v>
      </c>
    </row>
    <row r="10" spans="1:23" x14ac:dyDescent="0.2">
      <c r="A10" s="1" t="str">
        <f t="shared" si="0"/>
        <v/>
      </c>
      <c r="B10" s="38" t="s">
        <v>164</v>
      </c>
      <c r="C10" s="38" t="s">
        <v>6</v>
      </c>
      <c r="D10" s="38" t="s">
        <v>280</v>
      </c>
      <c r="E10" s="37">
        <v>2003</v>
      </c>
      <c r="F10" s="1" t="str">
        <f>IF('Qualifying Scores'!$B$1-E10&gt;21,"Not Age Eligible",IF('Qualifying Scores'!$B$1-E10&gt;16,"17-21",IF('Qualifying Scores'!$B$1-E10&gt;14,"15-16",IF('Qualifying Scores'!$B$1-E10&gt;12,"13-14",IF('Qualifying Scores'!$B$1-E10&gt;10,"11-12,""Not Age Eligible")))))</f>
        <v>15-16</v>
      </c>
      <c r="G10" s="56"/>
      <c r="H10" s="4">
        <f>SUM(N10:O10)</f>
        <v>125.8</v>
      </c>
      <c r="I10" s="3" t="str">
        <f>IF(MAX(P10,R10,T10,V10)&gt;=LOOKUP(F10,'Qualifying Scores'!$A$4:$A$7,'Qualifying Scores'!$G$4:$G$7),"P","")</f>
        <v/>
      </c>
      <c r="J10" s="3" t="str">
        <f>IF(MAX(Q10,S10,U10,W10)&gt;=LOOKUP(F10,'Qualifying Scores'!$A$10:$A$13,'Qualifying Scores'!$G$10:$G$13),"P","")</f>
        <v/>
      </c>
      <c r="K10" s="3" t="str">
        <f>IF(OR(AND(P10&gt;=LOOKUP(F10,'Qualifying Scores'!$A$4:$A$7,'Qualifying Scores'!$G$4:$G$7),Q10&gt;=LOOKUP(F10,'Qualifying Scores'!$A$10:$A$13,'Qualifying Scores'!$G$10:$G$13)),AND(T10&gt;=LOOKUP(F10,'Qualifying Scores'!$A$4:$A$7,'Qualifying Scores'!$G$4:$G$7),U10&gt;=LOOKUP(F10,'Qualifying Scores'!$A$10:$A$13,'Qualifying Scores'!$G$10:$G$13)),AND(R10&gt;=LOOKUP(F10,'Qualifying Scores'!$A$4:$A$7,'Qualifying Scores'!$G$4:$G$7),S10&gt;=LOOKUP(F10,'Qualifying Scores'!$A$10:$A$13,'Qualifying Scores'!$G$10:$G$13)),AND(V10&gt;=LOOKUP(F10,'Qualifying Scores'!$A$4:$A$7,'Qualifying Scores'!$G$4:$G$7),W10&gt;=LOOKUP(F10,'Qualifying Scores'!$A$10:$A$13,'Qualifying Scores'!$G$10:$G$13))),"P","")</f>
        <v/>
      </c>
      <c r="N10" s="4">
        <f>MAX(P10,T10)</f>
        <v>63</v>
      </c>
      <c r="O10" s="4">
        <f>IF(N10=P10,MAX(R10,T10,V10),MAX(P10,R10,V10))</f>
        <v>62.8</v>
      </c>
      <c r="P10" s="33"/>
      <c r="Q10" s="44"/>
      <c r="R10" s="34"/>
      <c r="S10" s="44"/>
      <c r="T10" s="33">
        <v>63</v>
      </c>
      <c r="U10" s="44">
        <v>7.9</v>
      </c>
      <c r="V10" s="34">
        <v>62.8</v>
      </c>
      <c r="W10" s="39">
        <v>7.2</v>
      </c>
    </row>
    <row r="11" spans="1:23" x14ac:dyDescent="0.2">
      <c r="A11" s="1" t="str">
        <f t="shared" si="0"/>
        <v/>
      </c>
      <c r="B11" s="38" t="s">
        <v>224</v>
      </c>
      <c r="C11" s="38" t="s">
        <v>6</v>
      </c>
      <c r="D11" s="38" t="s">
        <v>128</v>
      </c>
      <c r="E11" s="37">
        <v>2004</v>
      </c>
      <c r="F11" s="1" t="str">
        <f>IF('Qualifying Scores'!$B$1-E11&gt;21,"Not Age Eligible",IF('Qualifying Scores'!$B$1-E11&gt;16,"17-21",IF('Qualifying Scores'!$B$1-E11&gt;14,"15-16",IF('Qualifying Scores'!$B$1-E11&gt;12,"13-14",IF('Qualifying Scores'!$B$1-E11&gt;10,"11-12,""Not Age Eligible")))))</f>
        <v>15-16</v>
      </c>
      <c r="G11" s="56"/>
      <c r="H11" s="4">
        <f>SUM(N11:O11)</f>
        <v>125.6</v>
      </c>
      <c r="I11" s="3" t="str">
        <f>IF(MAX(P11,R11,T11,V11)&gt;=LOOKUP(F11,'Qualifying Scores'!$A$4:$A$7,'Qualifying Scores'!$G$4:$G$7),"P","")</f>
        <v/>
      </c>
      <c r="J11" s="3" t="str">
        <f>IF(MAX(Q11,S11,U11,W11)&gt;=LOOKUP(F11,'Qualifying Scores'!$A$10:$A$13,'Qualifying Scores'!$G$10:$G$13),"P","")</f>
        <v/>
      </c>
      <c r="K11" s="3" t="str">
        <f>IF(OR(AND(P11&gt;=LOOKUP(F11,'Qualifying Scores'!$A$4:$A$7,'Qualifying Scores'!$G$4:$G$7),Q11&gt;=LOOKUP(F11,'Qualifying Scores'!$A$10:$A$13,'Qualifying Scores'!$G$10:$G$13)),AND(T11&gt;=LOOKUP(F11,'Qualifying Scores'!$A$4:$A$7,'Qualifying Scores'!$G$4:$G$7),U11&gt;=LOOKUP(F11,'Qualifying Scores'!$A$10:$A$13,'Qualifying Scores'!$G$10:$G$13)),AND(R11&gt;=LOOKUP(F11,'Qualifying Scores'!$A$4:$A$7,'Qualifying Scores'!$G$4:$G$7),S11&gt;=LOOKUP(F11,'Qualifying Scores'!$A$10:$A$13,'Qualifying Scores'!$G$10:$G$13)),AND(V11&gt;=LOOKUP(F11,'Qualifying Scores'!$A$4:$A$7,'Qualifying Scores'!$G$4:$G$7),W11&gt;=LOOKUP(F11,'Qualifying Scores'!$A$10:$A$13,'Qualifying Scores'!$G$10:$G$13))),"P","")</f>
        <v/>
      </c>
      <c r="N11" s="4">
        <f>MAX(P11,T11)</f>
        <v>63.6</v>
      </c>
      <c r="O11" s="4">
        <f>IF(N11=P11,MAX(R11,T11,V11),MAX(P11,R11,V11))</f>
        <v>62</v>
      </c>
      <c r="P11" s="33">
        <v>62</v>
      </c>
      <c r="Q11" s="44">
        <v>7.2</v>
      </c>
      <c r="R11" s="34">
        <v>61.4</v>
      </c>
      <c r="S11" s="44">
        <v>6.3</v>
      </c>
      <c r="T11" s="33">
        <v>63.6</v>
      </c>
      <c r="U11" s="44">
        <v>7.1</v>
      </c>
      <c r="V11" s="34">
        <v>51.8</v>
      </c>
      <c r="W11" s="39">
        <v>5.6</v>
      </c>
    </row>
    <row r="12" spans="1:23" x14ac:dyDescent="0.2">
      <c r="A12" s="1" t="str">
        <f t="shared" si="0"/>
        <v/>
      </c>
      <c r="B12" s="38" t="s">
        <v>225</v>
      </c>
      <c r="C12" s="38" t="s">
        <v>6</v>
      </c>
      <c r="D12" s="38" t="s">
        <v>84</v>
      </c>
      <c r="E12" s="37">
        <v>2004</v>
      </c>
      <c r="F12" s="1" t="str">
        <f>IF('Qualifying Scores'!$B$1-E12&gt;21,"Not Age Eligible",IF('Qualifying Scores'!$B$1-E12&gt;16,"17-21",IF('Qualifying Scores'!$B$1-E12&gt;14,"15-16",IF('Qualifying Scores'!$B$1-E12&gt;12,"13-14",IF('Qualifying Scores'!$B$1-E12&gt;10,"11-12,""Not Age Eligible")))))</f>
        <v>15-16</v>
      </c>
      <c r="G12" s="56"/>
      <c r="H12" s="4">
        <f>SUM(N12:O12)</f>
        <v>123.9</v>
      </c>
      <c r="I12" s="3" t="str">
        <f>IF(MAX(P12,R12,T12,V12)&gt;=LOOKUP(F12,'Qualifying Scores'!$A$4:$A$7,'Qualifying Scores'!$G$4:$G$7),"P","")</f>
        <v/>
      </c>
      <c r="J12" s="3" t="str">
        <f>IF(MAX(Q12,S12,U12,W12)&gt;=LOOKUP(F12,'Qualifying Scores'!$A$10:$A$13,'Qualifying Scores'!$G$10:$G$13),"P","")</f>
        <v/>
      </c>
      <c r="K12" s="3" t="str">
        <f>IF(OR(AND(P12&gt;=LOOKUP(F12,'Qualifying Scores'!$A$4:$A$7,'Qualifying Scores'!$G$4:$G$7),Q12&gt;=LOOKUP(F12,'Qualifying Scores'!$A$10:$A$13,'Qualifying Scores'!$G$10:$G$13)),AND(T12&gt;=LOOKUP(F12,'Qualifying Scores'!$A$4:$A$7,'Qualifying Scores'!$G$4:$G$7),U12&gt;=LOOKUP(F12,'Qualifying Scores'!$A$10:$A$13,'Qualifying Scores'!$G$10:$G$13)),AND(R12&gt;=LOOKUP(F12,'Qualifying Scores'!$A$4:$A$7,'Qualifying Scores'!$G$4:$G$7),S12&gt;=LOOKUP(F12,'Qualifying Scores'!$A$10:$A$13,'Qualifying Scores'!$G$10:$G$13)),AND(V12&gt;=LOOKUP(F12,'Qualifying Scores'!$A$4:$A$7,'Qualifying Scores'!$G$4:$G$7),W12&gt;=LOOKUP(F12,'Qualifying Scores'!$A$10:$A$13,'Qualifying Scores'!$G$10:$G$13))),"P","")</f>
        <v/>
      </c>
      <c r="N12" s="4">
        <f>MAX(P12,T12)</f>
        <v>62</v>
      </c>
      <c r="O12" s="4">
        <f>IF(N12=P12,MAX(R12,T12,V12),MAX(P12,R12,V12))</f>
        <v>61.9</v>
      </c>
      <c r="P12" s="33">
        <v>61.9</v>
      </c>
      <c r="Q12" s="44">
        <v>6.3</v>
      </c>
      <c r="R12" s="34">
        <v>60.9</v>
      </c>
      <c r="S12" s="44">
        <v>5.6</v>
      </c>
      <c r="T12" s="33">
        <v>62</v>
      </c>
      <c r="U12" s="44">
        <v>6.3</v>
      </c>
      <c r="V12" s="34"/>
      <c r="W12" s="39"/>
    </row>
    <row r="13" spans="1:23" x14ac:dyDescent="0.2">
      <c r="A13" s="1" t="str">
        <f t="shared" si="0"/>
        <v/>
      </c>
      <c r="B13" s="38" t="s">
        <v>279</v>
      </c>
      <c r="C13" s="38" t="s">
        <v>12</v>
      </c>
      <c r="E13" s="37">
        <v>2003</v>
      </c>
      <c r="F13" s="1" t="str">
        <f>IF('Qualifying Scores'!$B$1-E13&gt;21,"Not Age Eligible",IF('Qualifying Scores'!$B$1-E13&gt;16,"17-21",IF('Qualifying Scores'!$B$1-E13&gt;14,"15-16",IF('Qualifying Scores'!$B$1-E13&gt;12,"13-14",IF('Qualifying Scores'!$B$1-E13&gt;10,"11-12,""Not Age Eligible")))))</f>
        <v>15-16</v>
      </c>
      <c r="G13" s="56"/>
      <c r="H13" s="4">
        <f>SUM(N13:O13)</f>
        <v>119</v>
      </c>
      <c r="I13" s="3" t="str">
        <f>IF(MAX(P13,R13,T13,V13)&gt;=LOOKUP(F13,'Qualifying Scores'!$A$4:$A$7,'Qualifying Scores'!$G$4:$G$7),"P","")</f>
        <v>P</v>
      </c>
      <c r="J13" s="3" t="str">
        <f>IF(MAX(Q13,S13,U13,W13)&gt;=LOOKUP(F13,'Qualifying Scores'!$A$10:$A$13,'Qualifying Scores'!$G$10:$G$13),"P","")</f>
        <v/>
      </c>
      <c r="K13" s="3" t="str">
        <f>IF(OR(AND(P13&gt;=LOOKUP(F13,'Qualifying Scores'!$A$4:$A$7,'Qualifying Scores'!$G$4:$G$7),Q13&gt;=LOOKUP(F13,'Qualifying Scores'!$A$10:$A$13,'Qualifying Scores'!$G$10:$G$13)),AND(T13&gt;=LOOKUP(F13,'Qualifying Scores'!$A$4:$A$7,'Qualifying Scores'!$G$4:$G$7),U13&gt;=LOOKUP(F13,'Qualifying Scores'!$A$10:$A$13,'Qualifying Scores'!$G$10:$G$13)),AND(R13&gt;=LOOKUP(F13,'Qualifying Scores'!$A$4:$A$7,'Qualifying Scores'!$G$4:$G$7),S13&gt;=LOOKUP(F13,'Qualifying Scores'!$A$10:$A$13,'Qualifying Scores'!$G$10:$G$13)),AND(V13&gt;=LOOKUP(F13,'Qualifying Scores'!$A$4:$A$7,'Qualifying Scores'!$G$4:$G$7),W13&gt;=LOOKUP(F13,'Qualifying Scores'!$A$10:$A$13,'Qualifying Scores'!$G$10:$G$13))),"P","")</f>
        <v/>
      </c>
      <c r="N13" s="4">
        <f>MAX(P13,T13)</f>
        <v>64.8</v>
      </c>
      <c r="O13" s="4">
        <f>IF(N13=P13,MAX(R13,T13,V13),MAX(P13,R13,V13))</f>
        <v>54.2</v>
      </c>
      <c r="P13" s="33"/>
      <c r="Q13" s="44"/>
      <c r="R13" s="34"/>
      <c r="S13" s="44"/>
      <c r="T13" s="33">
        <v>64.8</v>
      </c>
      <c r="U13" s="44">
        <v>8.1000000000000014</v>
      </c>
      <c r="V13" s="34">
        <v>54.2</v>
      </c>
      <c r="W13" s="39">
        <v>5.5</v>
      </c>
    </row>
    <row r="14" spans="1:23" x14ac:dyDescent="0.2">
      <c r="A14" s="1" t="str">
        <f t="shared" si="0"/>
        <v/>
      </c>
      <c r="B14" s="38" t="s">
        <v>230</v>
      </c>
      <c r="C14" s="38" t="s">
        <v>6</v>
      </c>
      <c r="D14" s="38" t="s">
        <v>127</v>
      </c>
      <c r="E14" s="37">
        <v>2003</v>
      </c>
      <c r="F14" s="1" t="str">
        <f>IF('Qualifying Scores'!$B$1-E14&gt;21,"Not Age Eligible",IF('Qualifying Scores'!$B$1-E14&gt;16,"17-21",IF('Qualifying Scores'!$B$1-E14&gt;14,"15-16",IF('Qualifying Scores'!$B$1-E14&gt;12,"13-14",IF('Qualifying Scores'!$B$1-E14&gt;10,"11-12,""Not Age Eligible")))))</f>
        <v>15-16</v>
      </c>
      <c r="G14" s="56"/>
      <c r="H14" s="4">
        <f>SUM(N14:O14)</f>
        <v>114.7</v>
      </c>
      <c r="I14" s="3" t="str">
        <f>IF(MAX(P14,R14,T14,V14)&gt;=LOOKUP(F14,'Qualifying Scores'!$A$4:$A$7,'Qualifying Scores'!$G$4:$G$7),"P","")</f>
        <v/>
      </c>
      <c r="J14" s="3" t="str">
        <f>IF(MAX(Q14,S14,U14,W14)&gt;=LOOKUP(F14,'Qualifying Scores'!$A$10:$A$13,'Qualifying Scores'!$G$10:$G$13),"P","")</f>
        <v/>
      </c>
      <c r="K14" s="3" t="str">
        <f>IF(OR(AND(P14&gt;=LOOKUP(F14,'Qualifying Scores'!$A$4:$A$7,'Qualifying Scores'!$G$4:$G$7),Q14&gt;=LOOKUP(F14,'Qualifying Scores'!$A$10:$A$13,'Qualifying Scores'!$G$10:$G$13)),AND(T14&gt;=LOOKUP(F14,'Qualifying Scores'!$A$4:$A$7,'Qualifying Scores'!$G$4:$G$7),U14&gt;=LOOKUP(F14,'Qualifying Scores'!$A$10:$A$13,'Qualifying Scores'!$G$10:$G$13)),AND(R14&gt;=LOOKUP(F14,'Qualifying Scores'!$A$4:$A$7,'Qualifying Scores'!$G$4:$G$7),S14&gt;=LOOKUP(F14,'Qualifying Scores'!$A$10:$A$13,'Qualifying Scores'!$G$10:$G$13)),AND(V14&gt;=LOOKUP(F14,'Qualifying Scores'!$A$4:$A$7,'Qualifying Scores'!$G$4:$G$7),W14&gt;=LOOKUP(F14,'Qualifying Scores'!$A$10:$A$13,'Qualifying Scores'!$G$10:$G$13))),"P","")</f>
        <v/>
      </c>
      <c r="N14" s="4">
        <f>MAX(P14,T14)</f>
        <v>62.2</v>
      </c>
      <c r="O14" s="4">
        <f>IF(N14=P14,MAX(R14,T14,V14),MAX(P14,R14,V14))</f>
        <v>52.5</v>
      </c>
      <c r="P14" s="33">
        <v>52.5</v>
      </c>
      <c r="Q14" s="44">
        <v>6.8</v>
      </c>
      <c r="R14" s="34"/>
      <c r="S14" s="44"/>
      <c r="T14" s="33">
        <v>62.2</v>
      </c>
      <c r="U14" s="44">
        <v>8.3000000000000007</v>
      </c>
      <c r="V14" s="34"/>
      <c r="W14" s="39"/>
    </row>
    <row r="15" spans="1:23" x14ac:dyDescent="0.2">
      <c r="A15" s="1" t="str">
        <f t="shared" si="0"/>
        <v/>
      </c>
      <c r="B15" s="38" t="s">
        <v>156</v>
      </c>
      <c r="C15" s="38" t="s">
        <v>8</v>
      </c>
      <c r="D15" s="38" t="s">
        <v>130</v>
      </c>
      <c r="E15" s="37">
        <v>2004</v>
      </c>
      <c r="F15" s="1" t="str">
        <f>IF('Qualifying Scores'!$B$1-E15&gt;21,"Not Age Eligible",IF('Qualifying Scores'!$B$1-E15&gt;16,"17-21",IF('Qualifying Scores'!$B$1-E15&gt;14,"15-16",IF('Qualifying Scores'!$B$1-E15&gt;12,"13-14",IF('Qualifying Scores'!$B$1-E15&gt;10,"11-12,""Not Age Eligible")))))</f>
        <v>15-16</v>
      </c>
      <c r="G15" s="56"/>
      <c r="H15" s="4">
        <f>SUM(N15:O15)</f>
        <v>114.19999999999999</v>
      </c>
      <c r="I15" s="3" t="str">
        <f>IF(MAX(P15,R15,T15,V15)&gt;=LOOKUP(F15,'Qualifying Scores'!$A$4:$A$7,'Qualifying Scores'!$G$4:$G$7),"P","")</f>
        <v/>
      </c>
      <c r="J15" s="3" t="str">
        <f>IF(MAX(Q15,S15,U15,W15)&gt;=LOOKUP(F15,'Qualifying Scores'!$A$10:$A$13,'Qualifying Scores'!$G$10:$G$13),"P","")</f>
        <v/>
      </c>
      <c r="K15" s="3" t="str">
        <f>IF(OR(AND(P15&gt;=LOOKUP(F15,'Qualifying Scores'!$A$4:$A$7,'Qualifying Scores'!$G$4:$G$7),Q15&gt;=LOOKUP(F15,'Qualifying Scores'!$A$10:$A$13,'Qualifying Scores'!$G$10:$G$13)),AND(T15&gt;=LOOKUP(F15,'Qualifying Scores'!$A$4:$A$7,'Qualifying Scores'!$G$4:$G$7),U15&gt;=LOOKUP(F15,'Qualifying Scores'!$A$10:$A$13,'Qualifying Scores'!$G$10:$G$13)),AND(R15&gt;=LOOKUP(F15,'Qualifying Scores'!$A$4:$A$7,'Qualifying Scores'!$G$4:$G$7),S15&gt;=LOOKUP(F15,'Qualifying Scores'!$A$10:$A$13,'Qualifying Scores'!$G$10:$G$13)),AND(V15&gt;=LOOKUP(F15,'Qualifying Scores'!$A$4:$A$7,'Qualifying Scores'!$G$4:$G$7),W15&gt;=LOOKUP(F15,'Qualifying Scores'!$A$10:$A$13,'Qualifying Scores'!$G$10:$G$13))),"P","")</f>
        <v/>
      </c>
      <c r="N15" s="4">
        <f>MAX(P15,T15)</f>
        <v>62.3</v>
      </c>
      <c r="O15" s="4">
        <f>IF(N15=P15,MAX(R15,T15,V15),MAX(P15,R15,V15))</f>
        <v>51.9</v>
      </c>
      <c r="P15" s="33">
        <v>62.3</v>
      </c>
      <c r="Q15" s="44">
        <v>8.1</v>
      </c>
      <c r="R15" s="34">
        <v>51.9</v>
      </c>
      <c r="S15" s="44">
        <v>7.6</v>
      </c>
      <c r="T15" s="33">
        <v>32.200000000000003</v>
      </c>
      <c r="U15" s="44">
        <v>3.7</v>
      </c>
      <c r="V15" s="34"/>
      <c r="W15" s="39"/>
    </row>
    <row r="16" spans="1:23" x14ac:dyDescent="0.2">
      <c r="A16" s="1" t="str">
        <f t="shared" si="0"/>
        <v/>
      </c>
      <c r="B16" s="38" t="s">
        <v>162</v>
      </c>
      <c r="C16" s="38" t="s">
        <v>6</v>
      </c>
      <c r="D16" s="38" t="s">
        <v>128</v>
      </c>
      <c r="E16" s="37">
        <v>2003</v>
      </c>
      <c r="F16" s="1" t="str">
        <f>IF('Qualifying Scores'!$B$1-E16&gt;21,"Not Age Eligible",IF('Qualifying Scores'!$B$1-E16&gt;16,"17-21",IF('Qualifying Scores'!$B$1-E16&gt;14,"15-16",IF('Qualifying Scores'!$B$1-E16&gt;12,"13-14",IF('Qualifying Scores'!$B$1-E16&gt;10,"11-12,""Not Age Eligible")))))</f>
        <v>15-16</v>
      </c>
      <c r="G16" s="56"/>
      <c r="H16" s="4">
        <f>SUM(N16:O16)</f>
        <v>82.5</v>
      </c>
      <c r="I16" s="3" t="str">
        <f>IF(MAX(P16,R16,T16,V16)&gt;=LOOKUP(F16,'Qualifying Scores'!$A$4:$A$7,'Qualifying Scores'!$G$4:$G$7),"P","")</f>
        <v/>
      </c>
      <c r="J16" s="3" t="str">
        <f>IF(MAX(Q16,S16,U16,W16)&gt;=LOOKUP(F16,'Qualifying Scores'!$A$10:$A$13,'Qualifying Scores'!$G$10:$G$13),"P","")</f>
        <v/>
      </c>
      <c r="K16" s="3" t="str">
        <f>IF(OR(AND(P16&gt;=LOOKUP(F16,'Qualifying Scores'!$A$4:$A$7,'Qualifying Scores'!$G$4:$G$7),Q16&gt;=LOOKUP(F16,'Qualifying Scores'!$A$10:$A$13,'Qualifying Scores'!$G$10:$G$13)),AND(T16&gt;=LOOKUP(F16,'Qualifying Scores'!$A$4:$A$7,'Qualifying Scores'!$G$4:$G$7),U16&gt;=LOOKUP(F16,'Qualifying Scores'!$A$10:$A$13,'Qualifying Scores'!$G$10:$G$13)),AND(R16&gt;=LOOKUP(F16,'Qualifying Scores'!$A$4:$A$7,'Qualifying Scores'!$G$4:$G$7),S16&gt;=LOOKUP(F16,'Qualifying Scores'!$A$10:$A$13,'Qualifying Scores'!$G$10:$G$13)),AND(V16&gt;=LOOKUP(F16,'Qualifying Scores'!$A$4:$A$7,'Qualifying Scores'!$G$4:$G$7),W16&gt;=LOOKUP(F16,'Qualifying Scores'!$A$10:$A$13,'Qualifying Scores'!$G$10:$G$13))),"P","")</f>
        <v/>
      </c>
      <c r="N16" s="4">
        <f>MAX(P16,T16)</f>
        <v>61.8</v>
      </c>
      <c r="O16" s="4">
        <f>IF(N16=P16,MAX(R16,T16,V16),MAX(P16,R16,V16))</f>
        <v>20.7</v>
      </c>
      <c r="P16" s="33">
        <v>20.7</v>
      </c>
      <c r="Q16" s="44">
        <v>0.9</v>
      </c>
      <c r="R16" s="34"/>
      <c r="S16" s="44"/>
      <c r="T16" s="33">
        <v>61.8</v>
      </c>
      <c r="U16" s="44">
        <v>6.5</v>
      </c>
      <c r="V16" s="34"/>
      <c r="W16" s="39"/>
    </row>
    <row r="17" spans="1:23" x14ac:dyDescent="0.2">
      <c r="A17" s="1" t="str">
        <f t="shared" si="0"/>
        <v/>
      </c>
      <c r="B17" s="38" t="s">
        <v>228</v>
      </c>
      <c r="C17" s="38" t="s">
        <v>8</v>
      </c>
      <c r="D17" s="38" t="s">
        <v>104</v>
      </c>
      <c r="E17" s="37">
        <v>2004</v>
      </c>
      <c r="F17" s="1" t="str">
        <f>IF('Qualifying Scores'!$B$1-E17&gt;21,"Not Age Eligible",IF('Qualifying Scores'!$B$1-E17&gt;16,"17-21",IF('Qualifying Scores'!$B$1-E17&gt;14,"15-16",IF('Qualifying Scores'!$B$1-E17&gt;12,"13-14",IF('Qualifying Scores'!$B$1-E17&gt;10,"11-12,""Not Age Eligible")))))</f>
        <v>15-16</v>
      </c>
      <c r="G17" s="56"/>
      <c r="H17" s="4">
        <f>SUM(N17:O17)</f>
        <v>60.1</v>
      </c>
      <c r="I17" s="3" t="str">
        <f>IF(MAX(P17,R17,T17,V17)&gt;=LOOKUP(F17,'Qualifying Scores'!$A$4:$A$7,'Qualifying Scores'!$G$4:$G$7),"P","")</f>
        <v/>
      </c>
      <c r="J17" s="3" t="str">
        <f>IF(MAX(Q17,S17,U17,W17)&gt;=LOOKUP(F17,'Qualifying Scores'!$A$10:$A$13,'Qualifying Scores'!$G$10:$G$13),"P","")</f>
        <v/>
      </c>
      <c r="K17" s="3" t="str">
        <f>IF(OR(AND(P17&gt;=LOOKUP(F17,'Qualifying Scores'!$A$4:$A$7,'Qualifying Scores'!$G$4:$G$7),Q17&gt;=LOOKUP(F17,'Qualifying Scores'!$A$10:$A$13,'Qualifying Scores'!$G$10:$G$13)),AND(T17&gt;=LOOKUP(F17,'Qualifying Scores'!$A$4:$A$7,'Qualifying Scores'!$G$4:$G$7),U17&gt;=LOOKUP(F17,'Qualifying Scores'!$A$10:$A$13,'Qualifying Scores'!$G$10:$G$13)),AND(R17&gt;=LOOKUP(F17,'Qualifying Scores'!$A$4:$A$7,'Qualifying Scores'!$G$4:$G$7),S17&gt;=LOOKUP(F17,'Qualifying Scores'!$A$10:$A$13,'Qualifying Scores'!$G$10:$G$13)),AND(V17&gt;=LOOKUP(F17,'Qualifying Scores'!$A$4:$A$7,'Qualifying Scores'!$G$4:$G$7),W17&gt;=LOOKUP(F17,'Qualifying Scores'!$A$10:$A$13,'Qualifying Scores'!$G$10:$G$13))),"P","")</f>
        <v/>
      </c>
      <c r="N17" s="4">
        <f>MAX(P17,T17)</f>
        <v>60.1</v>
      </c>
      <c r="O17" s="4">
        <f>IF(N17=P17,MAX(R17,T17,V17),MAX(P17,R17,V17))</f>
        <v>0</v>
      </c>
      <c r="P17" s="33">
        <v>60.1</v>
      </c>
      <c r="Q17" s="44">
        <v>7.9</v>
      </c>
      <c r="R17" s="34"/>
      <c r="S17" s="44"/>
      <c r="T17" s="33"/>
      <c r="U17" s="44"/>
      <c r="V17" s="34"/>
      <c r="W17" s="39"/>
    </row>
    <row r="18" spans="1:23" x14ac:dyDescent="0.2">
      <c r="A18" s="1" t="str">
        <f t="shared" si="0"/>
        <v/>
      </c>
      <c r="B18" s="38" t="s">
        <v>229</v>
      </c>
      <c r="C18" s="38" t="s">
        <v>6</v>
      </c>
      <c r="D18" s="38" t="s">
        <v>100</v>
      </c>
      <c r="E18" s="37">
        <v>2003</v>
      </c>
      <c r="F18" s="1" t="str">
        <f>IF('Qualifying Scores'!$B$1-E18&gt;21,"Not Age Eligible",IF('Qualifying Scores'!$B$1-E18&gt;16,"17-21",IF('Qualifying Scores'!$B$1-E18&gt;14,"15-16",IF('Qualifying Scores'!$B$1-E18&gt;12,"13-14",IF('Qualifying Scores'!$B$1-E18&gt;10,"11-12,""Not Age Eligible")))))</f>
        <v>15-16</v>
      </c>
      <c r="G18" s="56"/>
      <c r="H18" s="4">
        <f>SUM(N18:O18)</f>
        <v>52.5</v>
      </c>
      <c r="I18" s="3" t="str">
        <f>IF(MAX(P18,R18,T18,V18)&gt;=LOOKUP(F18,'Qualifying Scores'!$A$4:$A$7,'Qualifying Scores'!$G$4:$G$7),"P","")</f>
        <v/>
      </c>
      <c r="J18" s="3" t="str">
        <f>IF(MAX(Q18,S18,U18,W18)&gt;=LOOKUP(F18,'Qualifying Scores'!$A$10:$A$13,'Qualifying Scores'!$G$10:$G$13),"P","")</f>
        <v/>
      </c>
      <c r="K18" s="3" t="str">
        <f>IF(OR(AND(P18&gt;=LOOKUP(F18,'Qualifying Scores'!$A$4:$A$7,'Qualifying Scores'!$G$4:$G$7),Q18&gt;=LOOKUP(F18,'Qualifying Scores'!$A$10:$A$13,'Qualifying Scores'!$G$10:$G$13)),AND(T18&gt;=LOOKUP(F18,'Qualifying Scores'!$A$4:$A$7,'Qualifying Scores'!$G$4:$G$7),U18&gt;=LOOKUP(F18,'Qualifying Scores'!$A$10:$A$13,'Qualifying Scores'!$G$10:$G$13)),AND(R18&gt;=LOOKUP(F18,'Qualifying Scores'!$A$4:$A$7,'Qualifying Scores'!$G$4:$G$7),S18&gt;=LOOKUP(F18,'Qualifying Scores'!$A$10:$A$13,'Qualifying Scores'!$G$10:$G$13)),AND(V18&gt;=LOOKUP(F18,'Qualifying Scores'!$A$4:$A$7,'Qualifying Scores'!$G$4:$G$7),W18&gt;=LOOKUP(F18,'Qualifying Scores'!$A$10:$A$13,'Qualifying Scores'!$G$10:$G$13))),"P","")</f>
        <v/>
      </c>
      <c r="N18" s="4">
        <f>MAX(P18,T18)</f>
        <v>52.5</v>
      </c>
      <c r="O18" s="4">
        <f>IF(N18=P18,MAX(R18,T18,V18),MAX(P18,R18,V18))</f>
        <v>0</v>
      </c>
      <c r="P18" s="33">
        <v>52.5</v>
      </c>
      <c r="Q18" s="44">
        <v>6.8</v>
      </c>
      <c r="R18" s="34"/>
      <c r="S18" s="44"/>
      <c r="T18" s="33"/>
      <c r="U18" s="44"/>
      <c r="V18" s="34"/>
      <c r="W18" s="39"/>
    </row>
    <row r="19" spans="1:23" x14ac:dyDescent="0.2">
      <c r="A19" s="1">
        <f t="shared" si="0"/>
        <v>1</v>
      </c>
      <c r="B19" s="38" t="s">
        <v>231</v>
      </c>
      <c r="C19" s="38" t="s">
        <v>28</v>
      </c>
      <c r="D19" s="38" t="s">
        <v>102</v>
      </c>
      <c r="E19" s="37">
        <v>1999</v>
      </c>
      <c r="F19" s="1" t="str">
        <f>IF('Qualifying Scores'!$B$1-E19&gt;21,"Not Age Eligible",IF('Qualifying Scores'!$B$1-E19&gt;16,"17-21",IF('Qualifying Scores'!$B$1-E19&gt;14,"15-16",IF('Qualifying Scores'!$B$1-E19&gt;12,"13-14",IF('Qualifying Scores'!$B$1-E19&gt;10,"11-12,""Not Age Eligible")))))</f>
        <v>17-21</v>
      </c>
      <c r="G19" s="56" t="s">
        <v>305</v>
      </c>
      <c r="H19" s="4">
        <f>SUM(N19:O19)</f>
        <v>134.30000000000001</v>
      </c>
      <c r="I19" s="3" t="str">
        <f>IF(MAX(P19,R19,T19,V19)&gt;=LOOKUP(F19,'Qualifying Scores'!$A$4:$A$7,'Qualifying Scores'!$G$4:$G$7),"P","")</f>
        <v>P</v>
      </c>
      <c r="J19" s="3" t="str">
        <f>IF(MAX(Q19,S19,U19,W19)&gt;=LOOKUP(F19,'Qualifying Scores'!$A$10:$A$13,'Qualifying Scores'!$G$10:$G$13),"P","")</f>
        <v>P</v>
      </c>
      <c r="K19" s="3" t="str">
        <f>IF(OR(AND(P19&gt;=LOOKUP(F19,'Qualifying Scores'!$A$4:$A$7,'Qualifying Scores'!$G$4:$G$7),Q19&gt;=LOOKUP(F19,'Qualifying Scores'!$A$10:$A$13,'Qualifying Scores'!$G$10:$G$13)),AND(T19&gt;=LOOKUP(F19,'Qualifying Scores'!$A$4:$A$7,'Qualifying Scores'!$G$4:$G$7),U19&gt;=LOOKUP(F19,'Qualifying Scores'!$A$10:$A$13,'Qualifying Scores'!$G$10:$G$13)),AND(R19&gt;=LOOKUP(F19,'Qualifying Scores'!$A$4:$A$7,'Qualifying Scores'!$G$4:$G$7),S19&gt;=LOOKUP(F19,'Qualifying Scores'!$A$10:$A$13,'Qualifying Scores'!$G$10:$G$13)),AND(V19&gt;=LOOKUP(F19,'Qualifying Scores'!$A$4:$A$7,'Qualifying Scores'!$G$4:$G$7),W19&gt;=LOOKUP(F19,'Qualifying Scores'!$A$10:$A$13,'Qualifying Scores'!$G$10:$G$13))),"P","")</f>
        <v>P</v>
      </c>
      <c r="M19" s="42">
        <v>5</v>
      </c>
      <c r="N19" s="4">
        <f>MAX(P19,T19)</f>
        <v>68.099999999999994</v>
      </c>
      <c r="O19" s="4">
        <f>IF(N19=P19,MAX(R19,T19,V19),MAX(P19,R19,V19))</f>
        <v>66.2</v>
      </c>
      <c r="P19" s="33">
        <v>68.099999999999994</v>
      </c>
      <c r="Q19" s="44">
        <v>11.6</v>
      </c>
      <c r="R19" s="34">
        <v>66.2</v>
      </c>
      <c r="S19" s="44">
        <v>10.4</v>
      </c>
      <c r="T19" s="33">
        <v>65.7</v>
      </c>
      <c r="U19" s="44">
        <v>12.4</v>
      </c>
      <c r="V19" s="34">
        <v>64.900000000000006</v>
      </c>
      <c r="W19" s="39">
        <v>10.4</v>
      </c>
    </row>
    <row r="20" spans="1:23" x14ac:dyDescent="0.2">
      <c r="A20" s="1">
        <f t="shared" si="0"/>
        <v>2</v>
      </c>
      <c r="B20" s="38" t="s">
        <v>53</v>
      </c>
      <c r="C20" s="38" t="s">
        <v>6</v>
      </c>
      <c r="D20" s="38" t="s">
        <v>22</v>
      </c>
      <c r="E20" s="37">
        <v>2001</v>
      </c>
      <c r="F20" s="1" t="str">
        <f>IF('Qualifying Scores'!$B$1-E20&gt;21,"Not Age Eligible",IF('Qualifying Scores'!$B$1-E20&gt;16,"17-21",IF('Qualifying Scores'!$B$1-E20&gt;14,"15-16",IF('Qualifying Scores'!$B$1-E20&gt;12,"13-14",IF('Qualifying Scores'!$B$1-E20&gt;10,"11-12,""Not Age Eligible")))))</f>
        <v>17-21</v>
      </c>
      <c r="G20" s="56" t="s">
        <v>305</v>
      </c>
      <c r="H20" s="4">
        <f>SUM(N20:O20)</f>
        <v>135.39999999999998</v>
      </c>
      <c r="I20" s="3" t="str">
        <f>IF(MAX(P20,R20,T20,V20)&gt;=LOOKUP(F20,'Qualifying Scores'!$A$4:$A$7,'Qualifying Scores'!$G$4:$G$7),"P","")</f>
        <v>P</v>
      </c>
      <c r="J20" s="3" t="str">
        <f>IF(MAX(Q20,S20,U20,W20)&gt;=LOOKUP(F20,'Qualifying Scores'!$A$10:$A$13,'Qualifying Scores'!$G$10:$G$13),"P","")</f>
        <v>P</v>
      </c>
      <c r="K20" s="3" t="str">
        <f>IF(OR(AND(P20&gt;=LOOKUP(F20,'Qualifying Scores'!$A$4:$A$7,'Qualifying Scores'!$G$4:$G$7),Q20&gt;=LOOKUP(F20,'Qualifying Scores'!$A$10:$A$13,'Qualifying Scores'!$G$10:$G$13)),AND(T20&gt;=LOOKUP(F20,'Qualifying Scores'!$A$4:$A$7,'Qualifying Scores'!$G$4:$G$7),U20&gt;=LOOKUP(F20,'Qualifying Scores'!$A$10:$A$13,'Qualifying Scores'!$G$10:$G$13)),AND(R20&gt;=LOOKUP(F20,'Qualifying Scores'!$A$4:$A$7,'Qualifying Scores'!$G$4:$G$7),S20&gt;=LOOKUP(F20,'Qualifying Scores'!$A$10:$A$13,'Qualifying Scores'!$G$10:$G$13)),AND(V20&gt;=LOOKUP(F20,'Qualifying Scores'!$A$4:$A$7,'Qualifying Scores'!$G$4:$G$7),W20&gt;=LOOKUP(F20,'Qualifying Scores'!$A$10:$A$13,'Qualifying Scores'!$G$10:$G$13))),"P","")</f>
        <v>P</v>
      </c>
      <c r="L20" s="42">
        <v>1</v>
      </c>
      <c r="N20" s="4">
        <f>MAX(P20,T20)</f>
        <v>68.099999999999994</v>
      </c>
      <c r="O20" s="4">
        <f>IF(N20=P20,MAX(R20,T20,V20),MAX(P20,R20,V20))</f>
        <v>67.3</v>
      </c>
      <c r="P20" s="33">
        <v>67.3</v>
      </c>
      <c r="Q20" s="44">
        <v>10.4</v>
      </c>
      <c r="R20" s="34">
        <v>65</v>
      </c>
      <c r="S20" s="44">
        <v>10.4</v>
      </c>
      <c r="T20" s="33">
        <v>68.099999999999994</v>
      </c>
      <c r="U20" s="44">
        <v>13.2</v>
      </c>
      <c r="V20" s="34">
        <v>64.099999999999994</v>
      </c>
      <c r="W20" s="39">
        <v>10.8</v>
      </c>
    </row>
    <row r="21" spans="1:23" x14ac:dyDescent="0.2">
      <c r="A21" s="1">
        <f t="shared" si="0"/>
        <v>3</v>
      </c>
      <c r="B21" s="38" t="s">
        <v>233</v>
      </c>
      <c r="C21" s="38" t="s">
        <v>6</v>
      </c>
      <c r="D21" s="38" t="s">
        <v>7</v>
      </c>
      <c r="E21" s="37">
        <v>2002</v>
      </c>
      <c r="F21" s="1" t="str">
        <f>IF('Qualifying Scores'!$B$1-E21&gt;21,"Not Age Eligible",IF('Qualifying Scores'!$B$1-E21&gt;16,"17-21",IF('Qualifying Scores'!$B$1-E21&gt;14,"15-16",IF('Qualifying Scores'!$B$1-E21&gt;12,"13-14",IF('Qualifying Scores'!$B$1-E21&gt;10,"11-12,""Not Age Eligible")))))</f>
        <v>17-21</v>
      </c>
      <c r="G21" s="56" t="s">
        <v>305</v>
      </c>
      <c r="H21" s="4">
        <f>SUM(N21:O21)</f>
        <v>128.5</v>
      </c>
      <c r="I21" s="3" t="str">
        <f>IF(MAX(P21,R21,T21,V21)&gt;=LOOKUP(F21,'Qualifying Scores'!$A$4:$A$7,'Qualifying Scores'!$G$4:$G$7),"P","")</f>
        <v>P</v>
      </c>
      <c r="J21" s="3" t="str">
        <f>IF(MAX(Q21,S21,U21,W21)&gt;=LOOKUP(F21,'Qualifying Scores'!$A$10:$A$13,'Qualifying Scores'!$G$10:$G$13),"P","")</f>
        <v>P</v>
      </c>
      <c r="K21" s="3" t="str">
        <f>IF(OR(AND(P21&gt;=LOOKUP(F21,'Qualifying Scores'!$A$4:$A$7,'Qualifying Scores'!$G$4:$G$7),Q21&gt;=LOOKUP(F21,'Qualifying Scores'!$A$10:$A$13,'Qualifying Scores'!$G$10:$G$13)),AND(T21&gt;=LOOKUP(F21,'Qualifying Scores'!$A$4:$A$7,'Qualifying Scores'!$G$4:$G$7),U21&gt;=LOOKUP(F21,'Qualifying Scores'!$A$10:$A$13,'Qualifying Scores'!$G$10:$G$13)),AND(R21&gt;=LOOKUP(F21,'Qualifying Scores'!$A$4:$A$7,'Qualifying Scores'!$G$4:$G$7),S21&gt;=LOOKUP(F21,'Qualifying Scores'!$A$10:$A$13,'Qualifying Scores'!$G$10:$G$13)),AND(V21&gt;=LOOKUP(F21,'Qualifying Scores'!$A$4:$A$7,'Qualifying Scores'!$G$4:$G$7),W21&gt;=LOOKUP(F21,'Qualifying Scores'!$A$10:$A$13,'Qualifying Scores'!$G$10:$G$13))),"P","")</f>
        <v>P</v>
      </c>
      <c r="L21" s="42">
        <v>2</v>
      </c>
      <c r="N21" s="4">
        <f>MAX(P21,T21)</f>
        <v>66.400000000000006</v>
      </c>
      <c r="O21" s="4">
        <f>IF(N21=P21,MAX(R21,T21,V21),MAX(P21,R21,V21))</f>
        <v>62.1</v>
      </c>
      <c r="P21" s="33">
        <v>66.400000000000006</v>
      </c>
      <c r="Q21" s="44">
        <v>11.6</v>
      </c>
      <c r="R21" s="34">
        <v>33.299999999999997</v>
      </c>
      <c r="S21" s="44">
        <v>4.8</v>
      </c>
      <c r="T21" s="33">
        <v>62.1</v>
      </c>
      <c r="U21" s="44">
        <v>7.8</v>
      </c>
      <c r="V21" s="34">
        <v>54.3</v>
      </c>
      <c r="W21" s="39">
        <v>6.1</v>
      </c>
    </row>
    <row r="22" spans="1:23" x14ac:dyDescent="0.2">
      <c r="A22" s="1">
        <f t="shared" si="0"/>
        <v>4</v>
      </c>
      <c r="B22" s="38" t="s">
        <v>51</v>
      </c>
      <c r="C22" s="38" t="s">
        <v>8</v>
      </c>
      <c r="D22" s="38" t="s">
        <v>9</v>
      </c>
      <c r="E22" s="37">
        <v>2001</v>
      </c>
      <c r="F22" s="1" t="str">
        <f>IF('Qualifying Scores'!$B$1-E22&gt;21,"Not Age Eligible",IF('Qualifying Scores'!$B$1-E22&gt;16,"17-21",IF('Qualifying Scores'!$B$1-E22&gt;14,"15-16",IF('Qualifying Scores'!$B$1-E22&gt;12,"13-14",IF('Qualifying Scores'!$B$1-E22&gt;10,"11-12,""Not Age Eligible")))))</f>
        <v>17-21</v>
      </c>
      <c r="G22" s="56" t="s">
        <v>305</v>
      </c>
      <c r="H22" s="4">
        <f>SUM(N22:O22)</f>
        <v>133.69999999999999</v>
      </c>
      <c r="I22" s="3" t="str">
        <f>IF(MAX(P22,R22,T22,V22)&gt;=LOOKUP(F22,'Qualifying Scores'!$A$4:$A$7,'Qualifying Scores'!$G$4:$G$7),"P","")</f>
        <v>P</v>
      </c>
      <c r="J22" s="3" t="str">
        <f>IF(MAX(Q22,S22,U22,W22)&gt;=LOOKUP(F22,'Qualifying Scores'!$A$10:$A$13,'Qualifying Scores'!$G$10:$G$13),"P","")</f>
        <v>P</v>
      </c>
      <c r="K22" s="3" t="str">
        <f>IF(OR(AND(P22&gt;=LOOKUP(F22,'Qualifying Scores'!$A$4:$A$7,'Qualifying Scores'!$G$4:$G$7),Q22&gt;=LOOKUP(F22,'Qualifying Scores'!$A$10:$A$13,'Qualifying Scores'!$G$10:$G$13)),AND(T22&gt;=LOOKUP(F22,'Qualifying Scores'!$A$4:$A$7,'Qualifying Scores'!$G$4:$G$7),U22&gt;=LOOKUP(F22,'Qualifying Scores'!$A$10:$A$13,'Qualifying Scores'!$G$10:$G$13)),AND(R22&gt;=LOOKUP(F22,'Qualifying Scores'!$A$4:$A$7,'Qualifying Scores'!$G$4:$G$7),S22&gt;=LOOKUP(F22,'Qualifying Scores'!$A$10:$A$13,'Qualifying Scores'!$G$10:$G$13)),AND(V22&gt;=LOOKUP(F22,'Qualifying Scores'!$A$4:$A$7,'Qualifying Scores'!$G$4:$G$7),W22&gt;=LOOKUP(F22,'Qualifying Scores'!$A$10:$A$13,'Qualifying Scores'!$G$10:$G$13))),"P","")</f>
        <v>P</v>
      </c>
      <c r="L22" s="42">
        <v>3</v>
      </c>
      <c r="N22" s="4">
        <f>MAX(P22,T22)</f>
        <v>67.7</v>
      </c>
      <c r="O22" s="4">
        <f>IF(N22=P22,MAX(R22,T22,V22),MAX(P22,R22,V22))</f>
        <v>66</v>
      </c>
      <c r="P22" s="33">
        <v>67.7</v>
      </c>
      <c r="Q22" s="44">
        <v>11.6</v>
      </c>
      <c r="R22" s="34">
        <v>54</v>
      </c>
      <c r="S22" s="44">
        <v>7</v>
      </c>
      <c r="T22" s="33">
        <v>66</v>
      </c>
      <c r="U22" s="44">
        <v>10</v>
      </c>
      <c r="V22" s="34">
        <v>64.400000000000006</v>
      </c>
      <c r="W22" s="39">
        <v>8.8000000000000007</v>
      </c>
    </row>
    <row r="23" spans="1:23" x14ac:dyDescent="0.2">
      <c r="A23" s="1">
        <f t="shared" si="0"/>
        <v>5</v>
      </c>
      <c r="B23" s="38" t="s">
        <v>232</v>
      </c>
      <c r="C23" s="38" t="s">
        <v>6</v>
      </c>
      <c r="D23" s="38" t="s">
        <v>103</v>
      </c>
      <c r="E23" s="37">
        <v>2001</v>
      </c>
      <c r="F23" s="1" t="str">
        <f>IF('Qualifying Scores'!$B$1-E23&gt;21,"Not Age Eligible",IF('Qualifying Scores'!$B$1-E23&gt;16,"17-21",IF('Qualifying Scores'!$B$1-E23&gt;14,"15-16",IF('Qualifying Scores'!$B$1-E23&gt;12,"13-14",IF('Qualifying Scores'!$B$1-E23&gt;10,"11-12,""Not Age Eligible")))))</f>
        <v>17-21</v>
      </c>
      <c r="G23" s="56" t="s">
        <v>305</v>
      </c>
      <c r="H23" s="4">
        <f>SUM(N23:O23)</f>
        <v>129.6</v>
      </c>
      <c r="I23" s="3" t="str">
        <f>IF(MAX(P23,R23,T23,V23)&gt;=LOOKUP(F23,'Qualifying Scores'!$A$4:$A$7,'Qualifying Scores'!$G$4:$G$7),"P","")</f>
        <v>P</v>
      </c>
      <c r="J23" s="3" t="str">
        <f>IF(MAX(Q23,S23,U23,W23)&gt;=LOOKUP(F23,'Qualifying Scores'!$A$10:$A$13,'Qualifying Scores'!$G$10:$G$13),"P","")</f>
        <v>P</v>
      </c>
      <c r="K23" s="3" t="str">
        <f>IF(OR(AND(P23&gt;=LOOKUP(F23,'Qualifying Scores'!$A$4:$A$7,'Qualifying Scores'!$G$4:$G$7),Q23&gt;=LOOKUP(F23,'Qualifying Scores'!$A$10:$A$13,'Qualifying Scores'!$G$10:$G$13)),AND(T23&gt;=LOOKUP(F23,'Qualifying Scores'!$A$4:$A$7,'Qualifying Scores'!$G$4:$G$7),U23&gt;=LOOKUP(F23,'Qualifying Scores'!$A$10:$A$13,'Qualifying Scores'!$G$10:$G$13)),AND(R23&gt;=LOOKUP(F23,'Qualifying Scores'!$A$4:$A$7,'Qualifying Scores'!$G$4:$G$7),S23&gt;=LOOKUP(F23,'Qualifying Scores'!$A$10:$A$13,'Qualifying Scores'!$G$10:$G$13)),AND(V23&gt;=LOOKUP(F23,'Qualifying Scores'!$A$4:$A$7,'Qualifying Scores'!$G$4:$G$7),W23&gt;=LOOKUP(F23,'Qualifying Scores'!$A$10:$A$13,'Qualifying Scores'!$G$10:$G$13))),"P","")</f>
        <v>P</v>
      </c>
      <c r="L23" s="42">
        <v>4</v>
      </c>
      <c r="N23" s="4">
        <f>MAX(P23,T23)</f>
        <v>66.2</v>
      </c>
      <c r="O23" s="4">
        <f>IF(N23=P23,MAX(R23,T23,V23),MAX(P23,R23,V23))</f>
        <v>63.4</v>
      </c>
      <c r="P23" s="33">
        <v>63.4</v>
      </c>
      <c r="Q23" s="44">
        <v>10.4</v>
      </c>
      <c r="R23" s="34">
        <v>62</v>
      </c>
      <c r="S23" s="44">
        <f>3.7+4.8</f>
        <v>8.5</v>
      </c>
      <c r="T23" s="33">
        <v>66.2</v>
      </c>
      <c r="U23" s="44">
        <v>10.4</v>
      </c>
      <c r="V23" s="34">
        <v>63.1</v>
      </c>
      <c r="W23" s="39">
        <v>10</v>
      </c>
    </row>
    <row r="24" spans="1:23" x14ac:dyDescent="0.2">
      <c r="A24" s="1">
        <f t="shared" si="0"/>
        <v>6</v>
      </c>
      <c r="B24" s="38" t="s">
        <v>239</v>
      </c>
      <c r="C24" s="38" t="s">
        <v>8</v>
      </c>
      <c r="D24" s="38" t="s">
        <v>110</v>
      </c>
      <c r="E24" s="37">
        <v>2002</v>
      </c>
      <c r="F24" s="1" t="str">
        <f>IF('Qualifying Scores'!$B$1-E24&gt;21,"Not Age Eligible",IF('Qualifying Scores'!$B$1-E24&gt;16,"17-21",IF('Qualifying Scores'!$B$1-E24&gt;14,"15-16",IF('Qualifying Scores'!$B$1-E24&gt;12,"13-14",IF('Qualifying Scores'!$B$1-E24&gt;10,"11-12,""Not Age Eligible")))))</f>
        <v>17-21</v>
      </c>
      <c r="G24" s="56" t="s">
        <v>305</v>
      </c>
      <c r="H24" s="4">
        <f>SUM(N24:O24)</f>
        <v>120.4</v>
      </c>
      <c r="I24" s="3" t="str">
        <f>IF(MAX(P24,R24,T24,V24)&gt;=LOOKUP(F24,'Qualifying Scores'!$A$4:$A$7,'Qualifying Scores'!$G$4:$G$7),"P","")</f>
        <v>P</v>
      </c>
      <c r="J24" s="3" t="str">
        <f>IF(MAX(Q24,S24,U24,W24)&gt;=LOOKUP(F24,'Qualifying Scores'!$A$10:$A$13,'Qualifying Scores'!$G$10:$G$13),"P","")</f>
        <v>P</v>
      </c>
      <c r="K24" s="3" t="str">
        <f>IF(OR(AND(P24&gt;=LOOKUP(F24,'Qualifying Scores'!$A$4:$A$7,'Qualifying Scores'!$G$4:$G$7),Q24&gt;=LOOKUP(F24,'Qualifying Scores'!$A$10:$A$13,'Qualifying Scores'!$G$10:$G$13)),AND(T24&gt;=LOOKUP(F24,'Qualifying Scores'!$A$4:$A$7,'Qualifying Scores'!$G$4:$G$7),U24&gt;=LOOKUP(F24,'Qualifying Scores'!$A$10:$A$13,'Qualifying Scores'!$G$10:$G$13)),AND(R24&gt;=LOOKUP(F24,'Qualifying Scores'!$A$4:$A$7,'Qualifying Scores'!$G$4:$G$7),S24&gt;=LOOKUP(F24,'Qualifying Scores'!$A$10:$A$13,'Qualifying Scores'!$G$10:$G$13)),AND(V24&gt;=LOOKUP(F24,'Qualifying Scores'!$A$4:$A$7,'Qualifying Scores'!$G$4:$G$7),W24&gt;=LOOKUP(F24,'Qualifying Scores'!$A$10:$A$13,'Qualifying Scores'!$G$10:$G$13))),"P","")</f>
        <v>P</v>
      </c>
      <c r="L24" s="42">
        <v>6</v>
      </c>
      <c r="N24" s="4">
        <f>MAX(P24,T24)</f>
        <v>67</v>
      </c>
      <c r="O24" s="4">
        <f>IF(N24=P24,MAX(R24,T24,V24),MAX(P24,R24,V24))</f>
        <v>53.4</v>
      </c>
      <c r="P24" s="33">
        <v>67</v>
      </c>
      <c r="Q24" s="44">
        <v>10.8</v>
      </c>
      <c r="R24" s="34">
        <v>53.1</v>
      </c>
      <c r="S24" s="44">
        <v>6.2</v>
      </c>
      <c r="T24" s="33">
        <v>53.4</v>
      </c>
      <c r="U24" s="44">
        <v>5.8</v>
      </c>
      <c r="V24" s="34"/>
      <c r="W24" s="39"/>
    </row>
    <row r="25" spans="1:23" x14ac:dyDescent="0.2">
      <c r="A25" s="1">
        <f t="shared" si="0"/>
        <v>7</v>
      </c>
      <c r="B25" s="38" t="s">
        <v>262</v>
      </c>
      <c r="C25" s="38" t="s">
        <v>8</v>
      </c>
      <c r="D25" s="38" t="s">
        <v>287</v>
      </c>
      <c r="E25" s="37">
        <v>2001</v>
      </c>
      <c r="F25" s="1" t="str">
        <f>IF('Qualifying Scores'!$B$1-E25&gt;21,"Not Age Eligible",IF('Qualifying Scores'!$B$1-E25&gt;16,"17-21",IF('Qualifying Scores'!$B$1-E25&gt;14,"15-16",IF('Qualifying Scores'!$B$1-E25&gt;12,"13-14",IF('Qualifying Scores'!$B$1-E25&gt;10,"11-12,""Not Age Eligible")))))</f>
        <v>17-21</v>
      </c>
      <c r="G25" s="56" t="s">
        <v>305</v>
      </c>
      <c r="H25" s="4">
        <f>SUM(N25:O25)</f>
        <v>131.69999999999999</v>
      </c>
      <c r="I25" s="3" t="str">
        <f>IF(MAX(P25,R25,T25,V25)&gt;=LOOKUP(F25,'Qualifying Scores'!$A$4:$A$7,'Qualifying Scores'!$G$4:$G$7),"P","")</f>
        <v>P</v>
      </c>
      <c r="J25" s="3" t="str">
        <f>IF(MAX(Q25,S25,U25,W25)&gt;=LOOKUP(F25,'Qualifying Scores'!$A$10:$A$13,'Qualifying Scores'!$G$10:$G$13),"P","")</f>
        <v>P</v>
      </c>
      <c r="K25" s="3" t="str">
        <f>IF(OR(AND(P25&gt;=LOOKUP(F25,'Qualifying Scores'!$A$4:$A$7,'Qualifying Scores'!$G$4:$G$7),Q25&gt;=LOOKUP(F25,'Qualifying Scores'!$A$10:$A$13,'Qualifying Scores'!$G$10:$G$13)),AND(T25&gt;=LOOKUP(F25,'Qualifying Scores'!$A$4:$A$7,'Qualifying Scores'!$G$4:$G$7),U25&gt;=LOOKUP(F25,'Qualifying Scores'!$A$10:$A$13,'Qualifying Scores'!$G$10:$G$13)),AND(R25&gt;=LOOKUP(F25,'Qualifying Scores'!$A$4:$A$7,'Qualifying Scores'!$G$4:$G$7),S25&gt;=LOOKUP(F25,'Qualifying Scores'!$A$10:$A$13,'Qualifying Scores'!$G$10:$G$13)),AND(V25&gt;=LOOKUP(F25,'Qualifying Scores'!$A$4:$A$7,'Qualifying Scores'!$G$4:$G$7),W25&gt;=LOOKUP(F25,'Qualifying Scores'!$A$10:$A$13,'Qualifying Scores'!$G$10:$G$13))),"P","")</f>
        <v>P</v>
      </c>
      <c r="N25" s="4">
        <f>MAX(P25,T25)</f>
        <v>64.099999999999994</v>
      </c>
      <c r="O25" s="4">
        <f>IF(N25=P25,MAX(R25,T25,V25),MAX(P25,R25,V25))</f>
        <v>67.599999999999994</v>
      </c>
      <c r="P25" s="33"/>
      <c r="Q25" s="44"/>
      <c r="R25" s="34"/>
      <c r="S25" s="44"/>
      <c r="T25" s="33">
        <v>64.099999999999994</v>
      </c>
      <c r="U25" s="44">
        <v>10.4</v>
      </c>
      <c r="V25" s="34">
        <v>67.599999999999994</v>
      </c>
      <c r="W25" s="39">
        <v>11.2</v>
      </c>
    </row>
    <row r="26" spans="1:23" x14ac:dyDescent="0.2">
      <c r="A26" s="1" t="str">
        <f t="shared" si="0"/>
        <v/>
      </c>
      <c r="B26" s="38" t="s">
        <v>234</v>
      </c>
      <c r="C26" s="38" t="s">
        <v>8</v>
      </c>
      <c r="D26" s="38" t="s">
        <v>75</v>
      </c>
      <c r="E26" s="37">
        <v>1999</v>
      </c>
      <c r="F26" s="1" t="str">
        <f>IF('Qualifying Scores'!$B$1-E26&gt;21,"Not Age Eligible",IF('Qualifying Scores'!$B$1-E26&gt;16,"17-21",IF('Qualifying Scores'!$B$1-E26&gt;14,"15-16",IF('Qualifying Scores'!$B$1-E26&gt;12,"13-14",IF('Qualifying Scores'!$B$1-E26&gt;10,"11-12,""Not Age Eligible")))))</f>
        <v>17-21</v>
      </c>
      <c r="G26" s="56"/>
      <c r="H26" s="4">
        <f>SUM(N26:O26)</f>
        <v>129.5</v>
      </c>
      <c r="I26" s="3" t="str">
        <f>IF(MAX(P26,R26,T26,V26)&gt;=LOOKUP(F26,'Qualifying Scores'!$A$4:$A$7,'Qualifying Scores'!$G$4:$G$7),"P","")</f>
        <v/>
      </c>
      <c r="J26" s="3" t="str">
        <f>IF(MAX(Q26,S26,U26,W26)&gt;=LOOKUP(F26,'Qualifying Scores'!$A$10:$A$13,'Qualifying Scores'!$G$10:$G$13),"P","")</f>
        <v/>
      </c>
      <c r="K26" s="3" t="str">
        <f>IF(OR(AND(P26&gt;=LOOKUP(F26,'Qualifying Scores'!$A$4:$A$7,'Qualifying Scores'!$G$4:$G$7),Q26&gt;=LOOKUP(F26,'Qualifying Scores'!$A$10:$A$13,'Qualifying Scores'!$G$10:$G$13)),AND(T26&gt;=LOOKUP(F26,'Qualifying Scores'!$A$4:$A$7,'Qualifying Scores'!$G$4:$G$7),U26&gt;=LOOKUP(F26,'Qualifying Scores'!$A$10:$A$13,'Qualifying Scores'!$G$10:$G$13)),AND(R26&gt;=LOOKUP(F26,'Qualifying Scores'!$A$4:$A$7,'Qualifying Scores'!$G$4:$G$7),S26&gt;=LOOKUP(F26,'Qualifying Scores'!$A$10:$A$13,'Qualifying Scores'!$G$10:$G$13)),AND(V26&gt;=LOOKUP(F26,'Qualifying Scores'!$A$4:$A$7,'Qualifying Scores'!$G$4:$G$7),W26&gt;=LOOKUP(F26,'Qualifying Scores'!$A$10:$A$13,'Qualifying Scores'!$G$10:$G$13))),"P","")</f>
        <v/>
      </c>
      <c r="N26" s="4">
        <f>MAX(P26,T26)</f>
        <v>64.2</v>
      </c>
      <c r="O26" s="4">
        <f>IF(N26=P26,MAX(R26,T26,V26),MAX(P26,R26,V26))</f>
        <v>65.3</v>
      </c>
      <c r="P26" s="33">
        <v>62.6</v>
      </c>
      <c r="Q26" s="44">
        <v>10</v>
      </c>
      <c r="R26" s="34">
        <v>65.3</v>
      </c>
      <c r="S26" s="44">
        <v>8.1999999999999993</v>
      </c>
      <c r="T26" s="33">
        <v>64.2</v>
      </c>
      <c r="U26" s="44">
        <v>10</v>
      </c>
      <c r="V26" s="34">
        <v>52.5</v>
      </c>
      <c r="W26" s="39">
        <v>5.2</v>
      </c>
    </row>
    <row r="27" spans="1:23" x14ac:dyDescent="0.2">
      <c r="A27" s="1" t="str">
        <f t="shared" si="0"/>
        <v/>
      </c>
      <c r="B27" s="38" t="s">
        <v>30</v>
      </c>
      <c r="C27" s="38" t="s">
        <v>6</v>
      </c>
      <c r="D27" s="38" t="s">
        <v>126</v>
      </c>
      <c r="E27" s="37">
        <v>2000</v>
      </c>
      <c r="F27" s="1" t="str">
        <f>IF('Qualifying Scores'!$B$1-E27&gt;21,"Not Age Eligible",IF('Qualifying Scores'!$B$1-E27&gt;16,"17-21",IF('Qualifying Scores'!$B$1-E27&gt;14,"15-16",IF('Qualifying Scores'!$B$1-E27&gt;12,"13-14",IF('Qualifying Scores'!$B$1-E27&gt;10,"11-12,""Not Age Eligible")))))</f>
        <v>17-21</v>
      </c>
      <c r="G27" s="56"/>
      <c r="H27" s="4">
        <f>SUM(N27:O27)</f>
        <v>126.9</v>
      </c>
      <c r="I27" s="3" t="str">
        <f>IF(MAX(P27,R27,T27,V27)&gt;=LOOKUP(F27,'Qualifying Scores'!$A$4:$A$7,'Qualifying Scores'!$G$4:$G$7),"P","")</f>
        <v/>
      </c>
      <c r="J27" s="3" t="str">
        <f>IF(MAX(Q27,S27,U27,W27)&gt;=LOOKUP(F27,'Qualifying Scores'!$A$10:$A$13,'Qualifying Scores'!$G$10:$G$13),"P","")</f>
        <v/>
      </c>
      <c r="K27" s="3" t="str">
        <f>IF(OR(AND(P27&gt;=LOOKUP(F27,'Qualifying Scores'!$A$4:$A$7,'Qualifying Scores'!$G$4:$G$7),Q27&gt;=LOOKUP(F27,'Qualifying Scores'!$A$10:$A$13,'Qualifying Scores'!$G$10:$G$13)),AND(T27&gt;=LOOKUP(F27,'Qualifying Scores'!$A$4:$A$7,'Qualifying Scores'!$G$4:$G$7),U27&gt;=LOOKUP(F27,'Qualifying Scores'!$A$10:$A$13,'Qualifying Scores'!$G$10:$G$13)),AND(R27&gt;=LOOKUP(F27,'Qualifying Scores'!$A$4:$A$7,'Qualifying Scores'!$G$4:$G$7),S27&gt;=LOOKUP(F27,'Qualifying Scores'!$A$10:$A$13,'Qualifying Scores'!$G$10:$G$13)),AND(V27&gt;=LOOKUP(F27,'Qualifying Scores'!$A$4:$A$7,'Qualifying Scores'!$G$4:$G$7),W27&gt;=LOOKUP(F27,'Qualifying Scores'!$A$10:$A$13,'Qualifying Scores'!$G$10:$G$13))),"P","")</f>
        <v/>
      </c>
      <c r="N27" s="4">
        <f>MAX(P27,T27)</f>
        <v>62.9</v>
      </c>
      <c r="O27" s="4">
        <f>IF(N27=P27,MAX(R27,T27,V27),MAX(P27,R27,V27))</f>
        <v>64</v>
      </c>
      <c r="P27" s="33">
        <v>61.1</v>
      </c>
      <c r="Q27" s="44">
        <v>8</v>
      </c>
      <c r="R27" s="34">
        <v>31.2</v>
      </c>
      <c r="S27" s="44">
        <v>3.3</v>
      </c>
      <c r="T27" s="33">
        <v>62.9</v>
      </c>
      <c r="U27" s="44">
        <v>7.7</v>
      </c>
      <c r="V27" s="34">
        <v>64</v>
      </c>
      <c r="W27" s="39">
        <v>7.1</v>
      </c>
    </row>
    <row r="28" spans="1:23" x14ac:dyDescent="0.2">
      <c r="A28" s="1" t="str">
        <f t="shared" si="0"/>
        <v/>
      </c>
      <c r="B28" s="38" t="s">
        <v>258</v>
      </c>
      <c r="C28" s="38" t="s">
        <v>28</v>
      </c>
      <c r="E28" s="37">
        <v>2002</v>
      </c>
      <c r="F28" s="1" t="str">
        <f>IF('Qualifying Scores'!$B$1-E28&gt;21,"Not Age Eligible",IF('Qualifying Scores'!$B$1-E28&gt;16,"17-21",IF('Qualifying Scores'!$B$1-E28&gt;14,"15-16",IF('Qualifying Scores'!$B$1-E28&gt;12,"13-14",IF('Qualifying Scores'!$B$1-E28&gt;10,"11-12,""Not Age Eligible")))))</f>
        <v>17-21</v>
      </c>
      <c r="G28" s="56"/>
      <c r="H28" s="4">
        <f>SUM(N28:O28)</f>
        <v>126.9</v>
      </c>
      <c r="I28" s="3" t="str">
        <f>IF(MAX(P28,R28,T28,V28)&gt;=LOOKUP(F28,'Qualifying Scores'!$A$4:$A$7,'Qualifying Scores'!$G$4:$G$7),"P","")</f>
        <v/>
      </c>
      <c r="J28" s="3" t="str">
        <f>IF(MAX(Q28,S28,U28,W28)&gt;=LOOKUP(F28,'Qualifying Scores'!$A$10:$A$13,'Qualifying Scores'!$G$10:$G$13),"P","")</f>
        <v/>
      </c>
      <c r="K28" s="3" t="str">
        <f>IF(OR(AND(P28&gt;=LOOKUP(F28,'Qualifying Scores'!$A$4:$A$7,'Qualifying Scores'!$G$4:$G$7),Q28&gt;=LOOKUP(F28,'Qualifying Scores'!$A$10:$A$13,'Qualifying Scores'!$G$10:$G$13)),AND(T28&gt;=LOOKUP(F28,'Qualifying Scores'!$A$4:$A$7,'Qualifying Scores'!$G$4:$G$7),U28&gt;=LOOKUP(F28,'Qualifying Scores'!$A$10:$A$13,'Qualifying Scores'!$G$10:$G$13)),AND(R28&gt;=LOOKUP(F28,'Qualifying Scores'!$A$4:$A$7,'Qualifying Scores'!$G$4:$G$7),S28&gt;=LOOKUP(F28,'Qualifying Scores'!$A$10:$A$13,'Qualifying Scores'!$G$10:$G$13)),AND(V28&gt;=LOOKUP(F28,'Qualifying Scores'!$A$4:$A$7,'Qualifying Scores'!$G$4:$G$7),W28&gt;=LOOKUP(F28,'Qualifying Scores'!$A$10:$A$13,'Qualifying Scores'!$G$10:$G$13))),"P","")</f>
        <v/>
      </c>
      <c r="N28" s="4">
        <f>MAX(P28,T28)</f>
        <v>63.8</v>
      </c>
      <c r="O28" s="4">
        <f>IF(N28=P28,MAX(R28,T28,V28),MAX(P28,R28,V28))</f>
        <v>63.1</v>
      </c>
      <c r="P28" s="33"/>
      <c r="Q28" s="44"/>
      <c r="R28" s="34"/>
      <c r="S28" s="44"/>
      <c r="T28" s="33">
        <v>63.8</v>
      </c>
      <c r="U28" s="44">
        <v>7.5</v>
      </c>
      <c r="V28" s="34">
        <v>63.1</v>
      </c>
      <c r="W28" s="39">
        <v>7.6</v>
      </c>
    </row>
    <row r="29" spans="1:23" x14ac:dyDescent="0.2">
      <c r="A29" s="1" t="str">
        <f t="shared" si="0"/>
        <v/>
      </c>
      <c r="B29" s="38" t="s">
        <v>235</v>
      </c>
      <c r="C29" s="38" t="s">
        <v>4</v>
      </c>
      <c r="D29" s="38" t="s">
        <v>73</v>
      </c>
      <c r="E29" s="37">
        <v>2002</v>
      </c>
      <c r="F29" s="1" t="str">
        <f>IF('Qualifying Scores'!$B$1-E29&gt;21,"Not Age Eligible",IF('Qualifying Scores'!$B$1-E29&gt;16,"17-21",IF('Qualifying Scores'!$B$1-E29&gt;14,"15-16",IF('Qualifying Scores'!$B$1-E29&gt;12,"13-14",IF('Qualifying Scores'!$B$1-E29&gt;10,"11-12,""Not Age Eligible")))))</f>
        <v>17-21</v>
      </c>
      <c r="G29" s="56"/>
      <c r="H29" s="4">
        <f>SUM(N29:O29)</f>
        <v>126.5</v>
      </c>
      <c r="I29" s="3" t="str">
        <f>IF(MAX(P29,R29,T29,V29)&gt;=LOOKUP(F29,'Qualifying Scores'!$A$4:$A$7,'Qualifying Scores'!$G$4:$G$7),"P","")</f>
        <v/>
      </c>
      <c r="J29" s="3" t="str">
        <f>IF(MAX(Q29,S29,U29,W29)&gt;=LOOKUP(F29,'Qualifying Scores'!$A$10:$A$13,'Qualifying Scores'!$G$10:$G$13),"P","")</f>
        <v/>
      </c>
      <c r="K29" s="3" t="str">
        <f>IF(OR(AND(P29&gt;=LOOKUP(F29,'Qualifying Scores'!$A$4:$A$7,'Qualifying Scores'!$G$4:$G$7),Q29&gt;=LOOKUP(F29,'Qualifying Scores'!$A$10:$A$13,'Qualifying Scores'!$G$10:$G$13)),AND(T29&gt;=LOOKUP(F29,'Qualifying Scores'!$A$4:$A$7,'Qualifying Scores'!$G$4:$G$7),U29&gt;=LOOKUP(F29,'Qualifying Scores'!$A$10:$A$13,'Qualifying Scores'!$G$10:$G$13)),AND(R29&gt;=LOOKUP(F29,'Qualifying Scores'!$A$4:$A$7,'Qualifying Scores'!$G$4:$G$7),S29&gt;=LOOKUP(F29,'Qualifying Scores'!$A$10:$A$13,'Qualifying Scores'!$G$10:$G$13)),AND(V29&gt;=LOOKUP(F29,'Qualifying Scores'!$A$4:$A$7,'Qualifying Scores'!$G$4:$G$7),W29&gt;=LOOKUP(F29,'Qualifying Scores'!$A$10:$A$13,'Qualifying Scores'!$G$10:$G$13))),"P","")</f>
        <v/>
      </c>
      <c r="N29" s="4">
        <f>MAX(P29,T29)</f>
        <v>63.4</v>
      </c>
      <c r="O29" s="4">
        <f>IF(N29=P29,MAX(R29,T29,V29),MAX(P29,R29,V29))</f>
        <v>63.1</v>
      </c>
      <c r="P29" s="33">
        <v>63.4</v>
      </c>
      <c r="Q29" s="44">
        <v>8</v>
      </c>
      <c r="R29" s="34">
        <v>63.1</v>
      </c>
      <c r="S29" s="44">
        <v>6.8</v>
      </c>
      <c r="T29" s="33">
        <v>62.5</v>
      </c>
      <c r="U29" s="44">
        <v>8.8000000000000007</v>
      </c>
      <c r="V29" s="34">
        <v>52.9</v>
      </c>
      <c r="W29" s="39">
        <v>6.1</v>
      </c>
    </row>
    <row r="30" spans="1:23" x14ac:dyDescent="0.2">
      <c r="A30" s="1" t="str">
        <f t="shared" si="0"/>
        <v/>
      </c>
      <c r="B30" s="38" t="s">
        <v>27</v>
      </c>
      <c r="C30" s="38" t="s">
        <v>28</v>
      </c>
      <c r="D30" s="38" t="s">
        <v>108</v>
      </c>
      <c r="E30" s="37">
        <v>2000</v>
      </c>
      <c r="F30" s="1" t="str">
        <f>IF('Qualifying Scores'!$B$1-E30&gt;21,"Not Age Eligible",IF('Qualifying Scores'!$B$1-E30&gt;16,"17-21",IF('Qualifying Scores'!$B$1-E30&gt;14,"15-16",IF('Qualifying Scores'!$B$1-E30&gt;12,"13-14",IF('Qualifying Scores'!$B$1-E30&gt;10,"11-12,""Not Age Eligible")))))</f>
        <v>17-21</v>
      </c>
      <c r="G30" s="56"/>
      <c r="H30" s="4">
        <f>SUM(N30:O30)</f>
        <v>126</v>
      </c>
      <c r="I30" s="3" t="str">
        <f>IF(MAX(P30,R30,T30,V30)&gt;=LOOKUP(F30,'Qualifying Scores'!$A$4:$A$7,'Qualifying Scores'!$G$4:$G$7),"P","")</f>
        <v/>
      </c>
      <c r="J30" s="3" t="str">
        <f>IF(MAX(Q30,S30,U30,W30)&gt;=LOOKUP(F30,'Qualifying Scores'!$A$10:$A$13,'Qualifying Scores'!$G$10:$G$13),"P","")</f>
        <v/>
      </c>
      <c r="K30" s="3" t="str">
        <f>IF(OR(AND(P30&gt;=LOOKUP(F30,'Qualifying Scores'!$A$4:$A$7,'Qualifying Scores'!$G$4:$G$7),Q30&gt;=LOOKUP(F30,'Qualifying Scores'!$A$10:$A$13,'Qualifying Scores'!$G$10:$G$13)),AND(T30&gt;=LOOKUP(F30,'Qualifying Scores'!$A$4:$A$7,'Qualifying Scores'!$G$4:$G$7),U30&gt;=LOOKUP(F30,'Qualifying Scores'!$A$10:$A$13,'Qualifying Scores'!$G$10:$G$13)),AND(R30&gt;=LOOKUP(F30,'Qualifying Scores'!$A$4:$A$7,'Qualifying Scores'!$G$4:$G$7),S30&gt;=LOOKUP(F30,'Qualifying Scores'!$A$10:$A$13,'Qualifying Scores'!$G$10:$G$13)),AND(V30&gt;=LOOKUP(F30,'Qualifying Scores'!$A$4:$A$7,'Qualifying Scores'!$G$4:$G$7),W30&gt;=LOOKUP(F30,'Qualifying Scores'!$A$10:$A$13,'Qualifying Scores'!$G$10:$G$13))),"P","")</f>
        <v/>
      </c>
      <c r="N30" s="4">
        <f>MAX(P30,T30)</f>
        <v>62.1</v>
      </c>
      <c r="O30" s="4">
        <f>IF(N30=P30,MAX(R30,T30,V30),MAX(P30,R30,V30))</f>
        <v>63.9</v>
      </c>
      <c r="P30" s="33">
        <v>61.7</v>
      </c>
      <c r="Q30" s="44">
        <v>6.6</v>
      </c>
      <c r="R30" s="34">
        <v>63.2</v>
      </c>
      <c r="S30" s="44">
        <v>6.3</v>
      </c>
      <c r="T30" s="33">
        <v>62.1</v>
      </c>
      <c r="U30" s="44">
        <v>6.3</v>
      </c>
      <c r="V30" s="34">
        <v>63.9</v>
      </c>
      <c r="W30" s="39">
        <v>6.6</v>
      </c>
    </row>
    <row r="31" spans="1:23" x14ac:dyDescent="0.2">
      <c r="A31" s="1" t="str">
        <f t="shared" si="0"/>
        <v/>
      </c>
      <c r="B31" s="38" t="s">
        <v>236</v>
      </c>
      <c r="C31" s="38" t="s">
        <v>6</v>
      </c>
      <c r="D31" s="38" t="s">
        <v>105</v>
      </c>
      <c r="E31" s="37">
        <v>1999</v>
      </c>
      <c r="F31" s="1" t="str">
        <f>IF('Qualifying Scores'!$B$1-E31&gt;21,"Not Age Eligible",IF('Qualifying Scores'!$B$1-E31&gt;16,"17-21",IF('Qualifying Scores'!$B$1-E31&gt;14,"15-16",IF('Qualifying Scores'!$B$1-E31&gt;12,"13-14",IF('Qualifying Scores'!$B$1-E31&gt;10,"11-12,""Not Age Eligible")))))</f>
        <v>17-21</v>
      </c>
      <c r="G31" s="56"/>
      <c r="H31" s="4">
        <f>SUM(N31:O31)</f>
        <v>125.8</v>
      </c>
      <c r="I31" s="3" t="str">
        <f>IF(MAX(P31,R31,T31,V31)&gt;=LOOKUP(F31,'Qualifying Scores'!$A$4:$A$7,'Qualifying Scores'!$G$4:$G$7),"P","")</f>
        <v/>
      </c>
      <c r="J31" s="3" t="str">
        <f>IF(MAX(Q31,S31,U31,W31)&gt;=LOOKUP(F31,'Qualifying Scores'!$A$10:$A$13,'Qualifying Scores'!$G$10:$G$13),"P","")</f>
        <v/>
      </c>
      <c r="K31" s="3" t="str">
        <f>IF(OR(AND(P31&gt;=LOOKUP(F31,'Qualifying Scores'!$A$4:$A$7,'Qualifying Scores'!$G$4:$G$7),Q31&gt;=LOOKUP(F31,'Qualifying Scores'!$A$10:$A$13,'Qualifying Scores'!$G$10:$G$13)),AND(T31&gt;=LOOKUP(F31,'Qualifying Scores'!$A$4:$A$7,'Qualifying Scores'!$G$4:$G$7),U31&gt;=LOOKUP(F31,'Qualifying Scores'!$A$10:$A$13,'Qualifying Scores'!$G$10:$G$13)),AND(R31&gt;=LOOKUP(F31,'Qualifying Scores'!$A$4:$A$7,'Qualifying Scores'!$G$4:$G$7),S31&gt;=LOOKUP(F31,'Qualifying Scores'!$A$10:$A$13,'Qualifying Scores'!$G$10:$G$13)),AND(V31&gt;=LOOKUP(F31,'Qualifying Scores'!$A$4:$A$7,'Qualifying Scores'!$G$4:$G$7),W31&gt;=LOOKUP(F31,'Qualifying Scores'!$A$10:$A$13,'Qualifying Scores'!$G$10:$G$13))),"P","")</f>
        <v/>
      </c>
      <c r="N31" s="4">
        <f>MAX(P31,T31)</f>
        <v>61.8</v>
      </c>
      <c r="O31" s="4">
        <f>IF(N31=P31,MAX(R31,T31,V31),MAX(P31,R31,V31))</f>
        <v>64</v>
      </c>
      <c r="P31" s="33">
        <v>61.8</v>
      </c>
      <c r="Q31" s="44">
        <v>10</v>
      </c>
      <c r="R31" s="34">
        <v>64</v>
      </c>
      <c r="S31" s="44">
        <v>8.5</v>
      </c>
      <c r="T31" s="33">
        <v>56.5</v>
      </c>
      <c r="U31" s="44">
        <v>8</v>
      </c>
      <c r="V31" s="34">
        <v>62.8</v>
      </c>
      <c r="W31" s="39">
        <v>8.1</v>
      </c>
    </row>
    <row r="32" spans="1:23" x14ac:dyDescent="0.2">
      <c r="A32" s="1" t="str">
        <f t="shared" si="0"/>
        <v/>
      </c>
      <c r="B32" s="38" t="s">
        <v>237</v>
      </c>
      <c r="C32" s="38" t="s">
        <v>4</v>
      </c>
      <c r="D32" s="38" t="s">
        <v>129</v>
      </c>
      <c r="E32" s="37">
        <v>2002</v>
      </c>
      <c r="F32" s="1" t="str">
        <f>IF('Qualifying Scores'!$B$1-E32&gt;21,"Not Age Eligible",IF('Qualifying Scores'!$B$1-E32&gt;16,"17-21",IF('Qualifying Scores'!$B$1-E32&gt;14,"15-16",IF('Qualifying Scores'!$B$1-E32&gt;12,"13-14",IF('Qualifying Scores'!$B$1-E32&gt;10,"11-12,""Not Age Eligible")))))</f>
        <v>17-21</v>
      </c>
      <c r="G32" s="56"/>
      <c r="H32" s="4">
        <f>SUM(N32:O32)</f>
        <v>125.3</v>
      </c>
      <c r="I32" s="3" t="str">
        <f>IF(MAX(P32,R32,T32,V32)&gt;=LOOKUP(F32,'Qualifying Scores'!$A$4:$A$7,'Qualifying Scores'!$G$4:$G$7),"P","")</f>
        <v/>
      </c>
      <c r="J32" s="3" t="str">
        <f>IF(MAX(Q32,S32,U32,W32)&gt;=LOOKUP(F32,'Qualifying Scores'!$A$10:$A$13,'Qualifying Scores'!$G$10:$G$13),"P","")</f>
        <v/>
      </c>
      <c r="K32" s="3" t="str">
        <f>IF(OR(AND(P32&gt;=LOOKUP(F32,'Qualifying Scores'!$A$4:$A$7,'Qualifying Scores'!$G$4:$G$7),Q32&gt;=LOOKUP(F32,'Qualifying Scores'!$A$10:$A$13,'Qualifying Scores'!$G$10:$G$13)),AND(T32&gt;=LOOKUP(F32,'Qualifying Scores'!$A$4:$A$7,'Qualifying Scores'!$G$4:$G$7),U32&gt;=LOOKUP(F32,'Qualifying Scores'!$A$10:$A$13,'Qualifying Scores'!$G$10:$G$13)),AND(R32&gt;=LOOKUP(F32,'Qualifying Scores'!$A$4:$A$7,'Qualifying Scores'!$G$4:$G$7),S32&gt;=LOOKUP(F32,'Qualifying Scores'!$A$10:$A$13,'Qualifying Scores'!$G$10:$G$13)),AND(V32&gt;=LOOKUP(F32,'Qualifying Scores'!$A$4:$A$7,'Qualifying Scores'!$G$4:$G$7),W32&gt;=LOOKUP(F32,'Qualifying Scores'!$A$10:$A$13,'Qualifying Scores'!$G$10:$G$13))),"P","")</f>
        <v/>
      </c>
      <c r="N32" s="4">
        <f>MAX(P32,T32)</f>
        <v>63.3</v>
      </c>
      <c r="O32" s="4">
        <f>IF(N32=P32,MAX(R32,T32,V32),MAX(P32,R32,V32))</f>
        <v>62</v>
      </c>
      <c r="P32" s="33">
        <v>63.3</v>
      </c>
      <c r="Q32" s="44">
        <v>6.9</v>
      </c>
      <c r="R32" s="34">
        <v>62</v>
      </c>
      <c r="S32" s="44">
        <v>8</v>
      </c>
      <c r="T32" s="33">
        <v>54.4</v>
      </c>
      <c r="U32" s="44">
        <v>7.6</v>
      </c>
      <c r="V32" s="34"/>
      <c r="W32" s="39"/>
    </row>
    <row r="33" spans="1:23" x14ac:dyDescent="0.2">
      <c r="A33" s="1" t="str">
        <f t="shared" si="0"/>
        <v/>
      </c>
      <c r="B33" s="38" t="s">
        <v>238</v>
      </c>
      <c r="C33" s="38" t="s">
        <v>4</v>
      </c>
      <c r="D33" s="38" t="s">
        <v>92</v>
      </c>
      <c r="E33" s="37">
        <v>2002</v>
      </c>
      <c r="F33" s="1" t="str">
        <f>IF('Qualifying Scores'!$B$1-E33&gt;21,"Not Age Eligible",IF('Qualifying Scores'!$B$1-E33&gt;16,"17-21",IF('Qualifying Scores'!$B$1-E33&gt;14,"15-16",IF('Qualifying Scores'!$B$1-E33&gt;12,"13-14",IF('Qualifying Scores'!$B$1-E33&gt;10,"11-12,""Not Age Eligible")))))</f>
        <v>17-21</v>
      </c>
      <c r="G33" s="56"/>
      <c r="H33" s="4">
        <f>SUM(N33:O33)</f>
        <v>125.1</v>
      </c>
      <c r="I33" s="3" t="str">
        <f>IF(MAX(P33,R33,T33,V33)&gt;=LOOKUP(F33,'Qualifying Scores'!$A$4:$A$7,'Qualifying Scores'!$G$4:$G$7),"P","")</f>
        <v/>
      </c>
      <c r="J33" s="3" t="str">
        <f>IF(MAX(Q33,S33,U33,W33)&gt;=LOOKUP(F33,'Qualifying Scores'!$A$10:$A$13,'Qualifying Scores'!$G$10:$G$13),"P","")</f>
        <v/>
      </c>
      <c r="K33" s="3" t="str">
        <f>IF(OR(AND(P33&gt;=LOOKUP(F33,'Qualifying Scores'!$A$4:$A$7,'Qualifying Scores'!$G$4:$G$7),Q33&gt;=LOOKUP(F33,'Qualifying Scores'!$A$10:$A$13,'Qualifying Scores'!$G$10:$G$13)),AND(T33&gt;=LOOKUP(F33,'Qualifying Scores'!$A$4:$A$7,'Qualifying Scores'!$G$4:$G$7),U33&gt;=LOOKUP(F33,'Qualifying Scores'!$A$10:$A$13,'Qualifying Scores'!$G$10:$G$13)),AND(R33&gt;=LOOKUP(F33,'Qualifying Scores'!$A$4:$A$7,'Qualifying Scores'!$G$4:$G$7),S33&gt;=LOOKUP(F33,'Qualifying Scores'!$A$10:$A$13,'Qualifying Scores'!$G$10:$G$13)),AND(V33&gt;=LOOKUP(F33,'Qualifying Scores'!$A$4:$A$7,'Qualifying Scores'!$G$4:$G$7),W33&gt;=LOOKUP(F33,'Qualifying Scores'!$A$10:$A$13,'Qualifying Scores'!$G$10:$G$13))),"P","")</f>
        <v/>
      </c>
      <c r="N33" s="4">
        <f>MAX(P33,T33)</f>
        <v>63.1</v>
      </c>
      <c r="O33" s="4">
        <f>IF(N33=P33,MAX(R33,T33,V33),MAX(P33,R33,V33))</f>
        <v>62</v>
      </c>
      <c r="P33" s="33">
        <v>63.1</v>
      </c>
      <c r="Q33" s="44">
        <v>7.8</v>
      </c>
      <c r="R33" s="34">
        <v>61.6</v>
      </c>
      <c r="S33" s="44">
        <v>6.8</v>
      </c>
      <c r="T33" s="33">
        <v>62</v>
      </c>
      <c r="U33" s="44">
        <v>6.4</v>
      </c>
      <c r="V33" s="34"/>
      <c r="W33" s="39"/>
    </row>
    <row r="34" spans="1:23" x14ac:dyDescent="0.2">
      <c r="A34" s="1" t="str">
        <f t="shared" si="0"/>
        <v/>
      </c>
      <c r="B34" s="38" t="s">
        <v>268</v>
      </c>
      <c r="C34" s="38" t="s">
        <v>6</v>
      </c>
      <c r="D34" s="38" t="s">
        <v>128</v>
      </c>
      <c r="E34" s="37">
        <v>2001</v>
      </c>
      <c r="F34" s="1" t="str">
        <f>IF('Qualifying Scores'!$B$1-E34&gt;21,"Not Age Eligible",IF('Qualifying Scores'!$B$1-E34&gt;16,"17-21",IF('Qualifying Scores'!$B$1-E34&gt;14,"15-16",IF('Qualifying Scores'!$B$1-E34&gt;12,"13-14",IF('Qualifying Scores'!$B$1-E34&gt;10,"11-12,""Not Age Eligible")))))</f>
        <v>17-21</v>
      </c>
      <c r="G34" s="56"/>
      <c r="H34" s="4">
        <f>SUM(N34:O34)</f>
        <v>124.6</v>
      </c>
      <c r="I34" s="3" t="str">
        <f>IF(MAX(P34,R34,T34,V34)&gt;=LOOKUP(F34,'Qualifying Scores'!$A$4:$A$7,'Qualifying Scores'!$G$4:$G$7),"P","")</f>
        <v/>
      </c>
      <c r="J34" s="3" t="str">
        <f>IF(MAX(Q34,S34,U34,W34)&gt;=LOOKUP(F34,'Qualifying Scores'!$A$10:$A$13,'Qualifying Scores'!$G$10:$G$13),"P","")</f>
        <v/>
      </c>
      <c r="K34" s="3" t="str">
        <f>IF(OR(AND(P34&gt;=LOOKUP(F34,'Qualifying Scores'!$A$4:$A$7,'Qualifying Scores'!$G$4:$G$7),Q34&gt;=LOOKUP(F34,'Qualifying Scores'!$A$10:$A$13,'Qualifying Scores'!$G$10:$G$13)),AND(T34&gt;=LOOKUP(F34,'Qualifying Scores'!$A$4:$A$7,'Qualifying Scores'!$G$4:$G$7),U34&gt;=LOOKUP(F34,'Qualifying Scores'!$A$10:$A$13,'Qualifying Scores'!$G$10:$G$13)),AND(R34&gt;=LOOKUP(F34,'Qualifying Scores'!$A$4:$A$7,'Qualifying Scores'!$G$4:$G$7),S34&gt;=LOOKUP(F34,'Qualifying Scores'!$A$10:$A$13,'Qualifying Scores'!$G$10:$G$13)),AND(V34&gt;=LOOKUP(F34,'Qualifying Scores'!$A$4:$A$7,'Qualifying Scores'!$G$4:$G$7),W34&gt;=LOOKUP(F34,'Qualifying Scores'!$A$10:$A$13,'Qualifying Scores'!$G$10:$G$13))),"P","")</f>
        <v/>
      </c>
      <c r="N34" s="4">
        <f>MAX(P34,T34)</f>
        <v>62.7</v>
      </c>
      <c r="O34" s="4">
        <f>IF(N34=P34,MAX(R34,T34,V34),MAX(P34,R34,V34))</f>
        <v>61.9</v>
      </c>
      <c r="P34" s="33"/>
      <c r="Q34" s="44"/>
      <c r="R34" s="34"/>
      <c r="S34" s="44"/>
      <c r="T34" s="33">
        <v>62.7</v>
      </c>
      <c r="U34" s="44">
        <v>6.9</v>
      </c>
      <c r="V34" s="34">
        <v>61.9</v>
      </c>
      <c r="W34" s="39">
        <v>6.6</v>
      </c>
    </row>
    <row r="35" spans="1:23" x14ac:dyDescent="0.2">
      <c r="A35" s="1" t="str">
        <f t="shared" si="0"/>
        <v/>
      </c>
      <c r="B35" s="38" t="s">
        <v>240</v>
      </c>
      <c r="C35" s="38" t="s">
        <v>8</v>
      </c>
      <c r="D35" s="38" t="s">
        <v>110</v>
      </c>
      <c r="E35" s="37">
        <v>2001</v>
      </c>
      <c r="F35" s="1" t="str">
        <f>IF('Qualifying Scores'!$B$1-E35&gt;21,"Not Age Eligible",IF('Qualifying Scores'!$B$1-E35&gt;16,"17-21",IF('Qualifying Scores'!$B$1-E35&gt;14,"15-16",IF('Qualifying Scores'!$B$1-E35&gt;12,"13-14",IF('Qualifying Scores'!$B$1-E35&gt;10,"11-12,""Not Age Eligible")))))</f>
        <v>17-21</v>
      </c>
      <c r="G35" s="56"/>
      <c r="H35" s="4">
        <f>SUM(N35:O35)</f>
        <v>124.5</v>
      </c>
      <c r="I35" s="3" t="str">
        <f>IF(MAX(P35,R35,T35,V35)&gt;=LOOKUP(F35,'Qualifying Scores'!$A$4:$A$7,'Qualifying Scores'!$G$4:$G$7),"P","")</f>
        <v/>
      </c>
      <c r="J35" s="3" t="str">
        <f>IF(MAX(Q35,S35,U35,W35)&gt;=LOOKUP(F35,'Qualifying Scores'!$A$10:$A$13,'Qualifying Scores'!$G$10:$G$13),"P","")</f>
        <v/>
      </c>
      <c r="K35" s="3" t="str">
        <f>IF(OR(AND(P35&gt;=LOOKUP(F35,'Qualifying Scores'!$A$4:$A$7,'Qualifying Scores'!$G$4:$G$7),Q35&gt;=LOOKUP(F35,'Qualifying Scores'!$A$10:$A$13,'Qualifying Scores'!$G$10:$G$13)),AND(T35&gt;=LOOKUP(F35,'Qualifying Scores'!$A$4:$A$7,'Qualifying Scores'!$G$4:$G$7),U35&gt;=LOOKUP(F35,'Qualifying Scores'!$A$10:$A$13,'Qualifying Scores'!$G$10:$G$13)),AND(R35&gt;=LOOKUP(F35,'Qualifying Scores'!$A$4:$A$7,'Qualifying Scores'!$G$4:$G$7),S35&gt;=LOOKUP(F35,'Qualifying Scores'!$A$10:$A$13,'Qualifying Scores'!$G$10:$G$13)),AND(V35&gt;=LOOKUP(F35,'Qualifying Scores'!$A$4:$A$7,'Qualifying Scores'!$G$4:$G$7),W35&gt;=LOOKUP(F35,'Qualifying Scores'!$A$10:$A$13,'Qualifying Scores'!$G$10:$G$13))),"P","")</f>
        <v/>
      </c>
      <c r="N35" s="4">
        <f>MAX(P35,T35)</f>
        <v>62.2</v>
      </c>
      <c r="O35" s="4">
        <f>IF(N35=P35,MAX(R35,T35,V35),MAX(P35,R35,V35))</f>
        <v>62.3</v>
      </c>
      <c r="P35" s="33">
        <v>53</v>
      </c>
      <c r="Q35" s="44">
        <v>5.9</v>
      </c>
      <c r="R35" s="34">
        <v>61.9</v>
      </c>
      <c r="S35" s="44">
        <v>7.3</v>
      </c>
      <c r="T35" s="33">
        <v>62.2</v>
      </c>
      <c r="U35" s="44">
        <v>7.9</v>
      </c>
      <c r="V35" s="34">
        <v>62.3</v>
      </c>
      <c r="W35" s="39">
        <v>7.7</v>
      </c>
    </row>
    <row r="36" spans="1:23" x14ac:dyDescent="0.2">
      <c r="A36" s="1">
        <f t="shared" si="0"/>
        <v>8</v>
      </c>
      <c r="B36" s="38" t="s">
        <v>243</v>
      </c>
      <c r="C36" s="38" t="s">
        <v>8</v>
      </c>
      <c r="D36" s="38" t="s">
        <v>132</v>
      </c>
      <c r="E36" s="37">
        <v>2000</v>
      </c>
      <c r="F36" s="1" t="str">
        <f>IF('Qualifying Scores'!$B$1-E36&gt;21,"Not Age Eligible",IF('Qualifying Scores'!$B$1-E36&gt;16,"17-21",IF('Qualifying Scores'!$B$1-E36&gt;14,"15-16",IF('Qualifying Scores'!$B$1-E36&gt;12,"13-14",IF('Qualifying Scores'!$B$1-E36&gt;10,"11-12,""Not Age Eligible")))))</f>
        <v>17-21</v>
      </c>
      <c r="G36" s="56"/>
      <c r="H36" s="4">
        <f>SUM(N36:O36)</f>
        <v>123.2</v>
      </c>
      <c r="I36" s="3" t="str">
        <f>IF(MAX(P36,R36,T36,V36)&gt;=LOOKUP(F36,'Qualifying Scores'!$A$4:$A$7,'Qualifying Scores'!$G$4:$G$7),"P","")</f>
        <v>P</v>
      </c>
      <c r="J36" s="3" t="str">
        <f>IF(MAX(Q36,S36,U36,W36)&gt;=LOOKUP(F36,'Qualifying Scores'!$A$10:$A$13,'Qualifying Scores'!$G$10:$G$13),"P","")</f>
        <v>P</v>
      </c>
      <c r="K36" s="3" t="str">
        <f>IF(OR(AND(P36&gt;=LOOKUP(F36,'Qualifying Scores'!$A$4:$A$7,'Qualifying Scores'!$G$4:$G$7),Q36&gt;=LOOKUP(F36,'Qualifying Scores'!$A$10:$A$13,'Qualifying Scores'!$G$10:$G$13)),AND(T36&gt;=LOOKUP(F36,'Qualifying Scores'!$A$4:$A$7,'Qualifying Scores'!$G$4:$G$7),U36&gt;=LOOKUP(F36,'Qualifying Scores'!$A$10:$A$13,'Qualifying Scores'!$G$10:$G$13)),AND(R36&gt;=LOOKUP(F36,'Qualifying Scores'!$A$4:$A$7,'Qualifying Scores'!$G$4:$G$7),S36&gt;=LOOKUP(F36,'Qualifying Scores'!$A$10:$A$13,'Qualifying Scores'!$G$10:$G$13)),AND(V36&gt;=LOOKUP(F36,'Qualifying Scores'!$A$4:$A$7,'Qualifying Scores'!$G$4:$G$7),W36&gt;=LOOKUP(F36,'Qualifying Scores'!$A$10:$A$13,'Qualifying Scores'!$G$10:$G$13))),"P","")</f>
        <v>P</v>
      </c>
      <c r="N36" s="4">
        <f>MAX(P36,T36)</f>
        <v>66.7</v>
      </c>
      <c r="O36" s="4">
        <f>IF(N36=P36,MAX(R36,T36,V36),MAX(P36,R36,V36))</f>
        <v>56.5</v>
      </c>
      <c r="P36" s="33">
        <v>56.5</v>
      </c>
      <c r="Q36" s="44">
        <v>8.8000000000000007</v>
      </c>
      <c r="R36" s="34"/>
      <c r="S36" s="44"/>
      <c r="T36" s="33">
        <v>66.7</v>
      </c>
      <c r="U36" s="44">
        <v>11.6</v>
      </c>
      <c r="V36" s="34">
        <v>47.2</v>
      </c>
      <c r="W36" s="39">
        <v>4.4000000000000004</v>
      </c>
    </row>
    <row r="37" spans="1:23" x14ac:dyDescent="0.2">
      <c r="A37" s="1" t="str">
        <f t="shared" si="0"/>
        <v/>
      </c>
      <c r="B37" s="38" t="s">
        <v>242</v>
      </c>
      <c r="C37" s="38" t="s">
        <v>6</v>
      </c>
      <c r="D37" s="38" t="s">
        <v>126</v>
      </c>
      <c r="E37" s="37">
        <v>2002</v>
      </c>
      <c r="F37" s="1" t="str">
        <f>IF('Qualifying Scores'!$B$1-E37&gt;21,"Not Age Eligible",IF('Qualifying Scores'!$B$1-E37&gt;16,"17-21",IF('Qualifying Scores'!$B$1-E37&gt;14,"15-16",IF('Qualifying Scores'!$B$1-E37&gt;12,"13-14",IF('Qualifying Scores'!$B$1-E37&gt;10,"11-12,""Not Age Eligible")))))</f>
        <v>17-21</v>
      </c>
      <c r="G37" s="56"/>
      <c r="H37" s="4">
        <f>SUM(N37:O37)</f>
        <v>122.4</v>
      </c>
      <c r="I37" s="3" t="str">
        <f>IF(MAX(P37,R37,T37,V37)&gt;=LOOKUP(F37,'Qualifying Scores'!$A$4:$A$7,'Qualifying Scores'!$G$4:$G$7),"P","")</f>
        <v/>
      </c>
      <c r="J37" s="3" t="str">
        <f>IF(MAX(Q37,S37,U37,W37)&gt;=LOOKUP(F37,'Qualifying Scores'!$A$10:$A$13,'Qualifying Scores'!$G$10:$G$13),"P","")</f>
        <v/>
      </c>
      <c r="K37" s="3" t="str">
        <f>IF(OR(AND(P37&gt;=LOOKUP(F37,'Qualifying Scores'!$A$4:$A$7,'Qualifying Scores'!$G$4:$G$7),Q37&gt;=LOOKUP(F37,'Qualifying Scores'!$A$10:$A$13,'Qualifying Scores'!$G$10:$G$13)),AND(T37&gt;=LOOKUP(F37,'Qualifying Scores'!$A$4:$A$7,'Qualifying Scores'!$G$4:$G$7),U37&gt;=LOOKUP(F37,'Qualifying Scores'!$A$10:$A$13,'Qualifying Scores'!$G$10:$G$13)),AND(R37&gt;=LOOKUP(F37,'Qualifying Scores'!$A$4:$A$7,'Qualifying Scores'!$G$4:$G$7),S37&gt;=LOOKUP(F37,'Qualifying Scores'!$A$10:$A$13,'Qualifying Scores'!$G$10:$G$13)),AND(V37&gt;=LOOKUP(F37,'Qualifying Scores'!$A$4:$A$7,'Qualifying Scores'!$G$4:$G$7),W37&gt;=LOOKUP(F37,'Qualifying Scores'!$A$10:$A$13,'Qualifying Scores'!$G$10:$G$13))),"P","")</f>
        <v/>
      </c>
      <c r="N37" s="4">
        <f>MAX(P37,T37)</f>
        <v>62.2</v>
      </c>
      <c r="O37" s="4">
        <f>IF(N37=P37,MAX(R37,T37,V37),MAX(P37,R37,V37))</f>
        <v>60.2</v>
      </c>
      <c r="P37" s="33">
        <v>60.2</v>
      </c>
      <c r="Q37" s="44">
        <v>6.7</v>
      </c>
      <c r="R37" s="34"/>
      <c r="S37" s="44"/>
      <c r="T37" s="33">
        <v>62.2</v>
      </c>
      <c r="U37" s="44">
        <v>6.6999999999999993</v>
      </c>
      <c r="V37" s="34"/>
      <c r="W37" s="39"/>
    </row>
    <row r="38" spans="1:23" x14ac:dyDescent="0.2">
      <c r="A38" s="1" t="str">
        <f t="shared" si="0"/>
        <v/>
      </c>
      <c r="B38" s="38" t="s">
        <v>283</v>
      </c>
      <c r="C38" s="38" t="s">
        <v>4</v>
      </c>
      <c r="E38" s="37">
        <v>2001</v>
      </c>
      <c r="F38" s="1" t="str">
        <f>IF('Qualifying Scores'!$B$1-E38&gt;21,"Not Age Eligible",IF('Qualifying Scores'!$B$1-E38&gt;16,"17-21",IF('Qualifying Scores'!$B$1-E38&gt;14,"15-16",IF('Qualifying Scores'!$B$1-E38&gt;12,"13-14",IF('Qualifying Scores'!$B$1-E38&gt;10,"11-12,""Not Age Eligible")))))</f>
        <v>17-21</v>
      </c>
      <c r="G38" s="56"/>
      <c r="H38" s="4">
        <f>SUM(N38:O38)</f>
        <v>121.6</v>
      </c>
      <c r="I38" s="3" t="str">
        <f>IF(MAX(P38,R38,T38,V38)&gt;=LOOKUP(F38,'Qualifying Scores'!$A$4:$A$7,'Qualifying Scores'!$G$4:$G$7),"P","")</f>
        <v/>
      </c>
      <c r="J38" s="3" t="str">
        <f>IF(MAX(Q38,S38,U38,W38)&gt;=LOOKUP(F38,'Qualifying Scores'!$A$10:$A$13,'Qualifying Scores'!$G$10:$G$13),"P","")</f>
        <v/>
      </c>
      <c r="K38" s="3" t="str">
        <f>IF(OR(AND(P38&gt;=LOOKUP(F38,'Qualifying Scores'!$A$4:$A$7,'Qualifying Scores'!$G$4:$G$7),Q38&gt;=LOOKUP(F38,'Qualifying Scores'!$A$10:$A$13,'Qualifying Scores'!$G$10:$G$13)),AND(T38&gt;=LOOKUP(F38,'Qualifying Scores'!$A$4:$A$7,'Qualifying Scores'!$G$4:$G$7),U38&gt;=LOOKUP(F38,'Qualifying Scores'!$A$10:$A$13,'Qualifying Scores'!$G$10:$G$13)),AND(R38&gt;=LOOKUP(F38,'Qualifying Scores'!$A$4:$A$7,'Qualifying Scores'!$G$4:$G$7),S38&gt;=LOOKUP(F38,'Qualifying Scores'!$A$10:$A$13,'Qualifying Scores'!$G$10:$G$13)),AND(V38&gt;=LOOKUP(F38,'Qualifying Scores'!$A$4:$A$7,'Qualifying Scores'!$G$4:$G$7),W38&gt;=LOOKUP(F38,'Qualifying Scores'!$A$10:$A$13,'Qualifying Scores'!$G$10:$G$13))),"P","")</f>
        <v/>
      </c>
      <c r="N38" s="4">
        <f>MAX(P38,T38)</f>
        <v>61.8</v>
      </c>
      <c r="O38" s="4">
        <f>IF(N38=P38,MAX(R38,T38,V38),MAX(P38,R38,V38))</f>
        <v>59.8</v>
      </c>
      <c r="P38" s="33"/>
      <c r="Q38" s="44"/>
      <c r="R38" s="34"/>
      <c r="S38" s="44"/>
      <c r="T38" s="33">
        <v>61.8</v>
      </c>
      <c r="U38" s="44">
        <v>6.7</v>
      </c>
      <c r="V38" s="34">
        <v>59.8</v>
      </c>
      <c r="W38" s="39">
        <v>6.3</v>
      </c>
    </row>
    <row r="39" spans="1:23" x14ac:dyDescent="0.2">
      <c r="A39" s="1" t="str">
        <f t="shared" si="0"/>
        <v/>
      </c>
      <c r="B39" s="38" t="s">
        <v>284</v>
      </c>
      <c r="C39" s="38" t="s">
        <v>6</v>
      </c>
      <c r="D39" s="38" t="s">
        <v>128</v>
      </c>
      <c r="E39" s="37">
        <v>2000</v>
      </c>
      <c r="F39" s="1" t="str">
        <f>IF('Qualifying Scores'!$B$1-E39&gt;21,"Not Age Eligible",IF('Qualifying Scores'!$B$1-E39&gt;16,"17-21",IF('Qualifying Scores'!$B$1-E39&gt;14,"15-16",IF('Qualifying Scores'!$B$1-E39&gt;12,"13-14",IF('Qualifying Scores'!$B$1-E39&gt;10,"11-12,""Not Age Eligible")))))</f>
        <v>17-21</v>
      </c>
      <c r="G39" s="56"/>
      <c r="H39" s="4">
        <f>SUM(N39:O39)</f>
        <v>113.5</v>
      </c>
      <c r="I39" s="3" t="str">
        <f>IF(MAX(P39,R39,T39,V39)&gt;=LOOKUP(F39,'Qualifying Scores'!$A$4:$A$7,'Qualifying Scores'!$G$4:$G$7),"P","")</f>
        <v/>
      </c>
      <c r="J39" s="3" t="str">
        <f>IF(MAX(Q39,S39,U39,W39)&gt;=LOOKUP(F39,'Qualifying Scores'!$A$10:$A$13,'Qualifying Scores'!$G$10:$G$13),"P","")</f>
        <v/>
      </c>
      <c r="K39" s="3" t="str">
        <f>IF(OR(AND(P39&gt;=LOOKUP(F39,'Qualifying Scores'!$A$4:$A$7,'Qualifying Scores'!$G$4:$G$7),Q39&gt;=LOOKUP(F39,'Qualifying Scores'!$A$10:$A$13,'Qualifying Scores'!$G$10:$G$13)),AND(T39&gt;=LOOKUP(F39,'Qualifying Scores'!$A$4:$A$7,'Qualifying Scores'!$G$4:$G$7),U39&gt;=LOOKUP(F39,'Qualifying Scores'!$A$10:$A$13,'Qualifying Scores'!$G$10:$G$13)),AND(R39&gt;=LOOKUP(F39,'Qualifying Scores'!$A$4:$A$7,'Qualifying Scores'!$G$4:$G$7),S39&gt;=LOOKUP(F39,'Qualifying Scores'!$A$10:$A$13,'Qualifying Scores'!$G$10:$G$13)),AND(V39&gt;=LOOKUP(F39,'Qualifying Scores'!$A$4:$A$7,'Qualifying Scores'!$G$4:$G$7),W39&gt;=LOOKUP(F39,'Qualifying Scores'!$A$10:$A$13,'Qualifying Scores'!$G$10:$G$13))),"P","")</f>
        <v/>
      </c>
      <c r="N39" s="4">
        <f>MAX(P39,T39)</f>
        <v>56.3</v>
      </c>
      <c r="O39" s="4">
        <f>IF(N39=P39,MAX(R39,T39,V39),MAX(P39,R39,V39))</f>
        <v>57.2</v>
      </c>
      <c r="P39" s="33"/>
      <c r="Q39" s="44"/>
      <c r="R39" s="34"/>
      <c r="S39" s="44"/>
      <c r="T39" s="33">
        <v>56.3</v>
      </c>
      <c r="U39" s="44">
        <v>4.5999999999999996</v>
      </c>
      <c r="V39" s="34">
        <v>57.2</v>
      </c>
      <c r="W39" s="39">
        <v>6.1</v>
      </c>
    </row>
    <row r="40" spans="1:23" x14ac:dyDescent="0.2">
      <c r="A40" s="1" t="str">
        <f t="shared" si="0"/>
        <v/>
      </c>
      <c r="B40" s="38" t="s">
        <v>20</v>
      </c>
      <c r="C40" s="38" t="s">
        <v>4</v>
      </c>
      <c r="D40" s="38" t="s">
        <v>74</v>
      </c>
      <c r="E40" s="37">
        <v>1999</v>
      </c>
      <c r="F40" s="1" t="str">
        <f>IF('Qualifying Scores'!$B$1-E40&gt;21,"Not Age Eligible",IF('Qualifying Scores'!$B$1-E40&gt;16,"17-21",IF('Qualifying Scores'!$B$1-E40&gt;14,"15-16",IF('Qualifying Scores'!$B$1-E40&gt;12,"13-14",IF('Qualifying Scores'!$B$1-E40&gt;10,"11-12,""Not Age Eligible")))))</f>
        <v>17-21</v>
      </c>
      <c r="G40" s="56"/>
      <c r="H40" s="4">
        <f>SUM(N40:O40)</f>
        <v>113.4</v>
      </c>
      <c r="I40" s="3" t="str">
        <f>IF(MAX(P40,R40,T40,V40)&gt;=LOOKUP(F40,'Qualifying Scores'!$A$4:$A$7,'Qualifying Scores'!$G$4:$G$7),"P","")</f>
        <v/>
      </c>
      <c r="J40" s="3" t="str">
        <f>IF(MAX(Q40,S40,U40,W40)&gt;=LOOKUP(F40,'Qualifying Scores'!$A$10:$A$13,'Qualifying Scores'!$G$10:$G$13),"P","")</f>
        <v/>
      </c>
      <c r="K40" s="3" t="str">
        <f>IF(OR(AND(P40&gt;=LOOKUP(F40,'Qualifying Scores'!$A$4:$A$7,'Qualifying Scores'!$G$4:$G$7),Q40&gt;=LOOKUP(F40,'Qualifying Scores'!$A$10:$A$13,'Qualifying Scores'!$G$10:$G$13)),AND(T40&gt;=LOOKUP(F40,'Qualifying Scores'!$A$4:$A$7,'Qualifying Scores'!$G$4:$G$7),U40&gt;=LOOKUP(F40,'Qualifying Scores'!$A$10:$A$13,'Qualifying Scores'!$G$10:$G$13)),AND(R40&gt;=LOOKUP(F40,'Qualifying Scores'!$A$4:$A$7,'Qualifying Scores'!$G$4:$G$7),S40&gt;=LOOKUP(F40,'Qualifying Scores'!$A$10:$A$13,'Qualifying Scores'!$G$10:$G$13)),AND(V40&gt;=LOOKUP(F40,'Qualifying Scores'!$A$4:$A$7,'Qualifying Scores'!$G$4:$G$7),W40&gt;=LOOKUP(F40,'Qualifying Scores'!$A$10:$A$13,'Qualifying Scores'!$G$10:$G$13))),"P","")</f>
        <v/>
      </c>
      <c r="N40" s="4">
        <f>MAX(P40,T40)</f>
        <v>62.2</v>
      </c>
      <c r="O40" s="4">
        <f>IF(N40=P40,MAX(R40,T40,V40),MAX(P40,R40,V40))</f>
        <v>51.2</v>
      </c>
      <c r="P40" s="33">
        <v>51.2</v>
      </c>
      <c r="Q40" s="44">
        <v>3.5</v>
      </c>
      <c r="R40" s="34"/>
      <c r="S40" s="44"/>
      <c r="T40" s="33">
        <v>62.2</v>
      </c>
      <c r="U40" s="44">
        <v>8.3000000000000007</v>
      </c>
      <c r="V40" s="34"/>
      <c r="W40" s="39"/>
    </row>
    <row r="41" spans="1:23" x14ac:dyDescent="0.2">
      <c r="A41" s="1" t="str">
        <f t="shared" si="0"/>
        <v/>
      </c>
      <c r="B41" s="38" t="s">
        <v>154</v>
      </c>
      <c r="C41" s="38" t="s">
        <v>4</v>
      </c>
      <c r="D41" s="38" t="s">
        <v>92</v>
      </c>
      <c r="E41" s="37">
        <v>2002</v>
      </c>
      <c r="F41" s="1" t="str">
        <f>IF('Qualifying Scores'!$B$1-E41&gt;21,"Not Age Eligible",IF('Qualifying Scores'!$B$1-E41&gt;16,"17-21",IF('Qualifying Scores'!$B$1-E41&gt;14,"15-16",IF('Qualifying Scores'!$B$1-E41&gt;12,"13-14",IF('Qualifying Scores'!$B$1-E41&gt;10,"11-12,""Not Age Eligible")))))</f>
        <v>17-21</v>
      </c>
      <c r="G41" s="56"/>
      <c r="H41" s="4">
        <f>SUM(N41:O41)</f>
        <v>112.6</v>
      </c>
      <c r="I41" s="3" t="str">
        <f>IF(MAX(P41,R41,T41,V41)&gt;=LOOKUP(F41,'Qualifying Scores'!$A$4:$A$7,'Qualifying Scores'!$G$4:$G$7),"P","")</f>
        <v/>
      </c>
      <c r="J41" s="3" t="str">
        <f>IF(MAX(Q41,S41,U41,W41)&gt;=LOOKUP(F41,'Qualifying Scores'!$A$10:$A$13,'Qualifying Scores'!$G$10:$G$13),"P","")</f>
        <v/>
      </c>
      <c r="K41" s="3" t="str">
        <f>IF(OR(AND(P41&gt;=LOOKUP(F41,'Qualifying Scores'!$A$4:$A$7,'Qualifying Scores'!$G$4:$G$7),Q41&gt;=LOOKUP(F41,'Qualifying Scores'!$A$10:$A$13,'Qualifying Scores'!$G$10:$G$13)),AND(T41&gt;=LOOKUP(F41,'Qualifying Scores'!$A$4:$A$7,'Qualifying Scores'!$G$4:$G$7),U41&gt;=LOOKUP(F41,'Qualifying Scores'!$A$10:$A$13,'Qualifying Scores'!$G$10:$G$13)),AND(R41&gt;=LOOKUP(F41,'Qualifying Scores'!$A$4:$A$7,'Qualifying Scores'!$G$4:$G$7),S41&gt;=LOOKUP(F41,'Qualifying Scores'!$A$10:$A$13,'Qualifying Scores'!$G$10:$G$13)),AND(V41&gt;=LOOKUP(F41,'Qualifying Scores'!$A$4:$A$7,'Qualifying Scores'!$G$4:$G$7),W41&gt;=LOOKUP(F41,'Qualifying Scores'!$A$10:$A$13,'Qualifying Scores'!$G$10:$G$13))),"P","")</f>
        <v/>
      </c>
      <c r="N41" s="4">
        <f>MAX(P41,T41)</f>
        <v>60.1</v>
      </c>
      <c r="O41" s="4">
        <f>IF(N41=P41,MAX(R41,T41,V41),MAX(P41,R41,V41))</f>
        <v>52.5</v>
      </c>
      <c r="P41" s="33">
        <v>60.1</v>
      </c>
      <c r="Q41" s="44">
        <v>6.2</v>
      </c>
      <c r="R41" s="34"/>
      <c r="S41" s="44"/>
      <c r="T41" s="33">
        <v>52.5</v>
      </c>
      <c r="U41" s="44">
        <v>4.5999999999999996</v>
      </c>
      <c r="V41" s="34"/>
      <c r="W41" s="39"/>
    </row>
    <row r="42" spans="1:23" x14ac:dyDescent="0.2">
      <c r="A42" s="1" t="str">
        <f t="shared" si="0"/>
        <v/>
      </c>
      <c r="B42" s="38" t="s">
        <v>241</v>
      </c>
      <c r="C42" s="38" t="s">
        <v>8</v>
      </c>
      <c r="D42" s="38" t="s">
        <v>104</v>
      </c>
      <c r="E42" s="37">
        <v>1999</v>
      </c>
      <c r="F42" s="1" t="str">
        <f>IF('Qualifying Scores'!$B$1-E42&gt;21,"Not Age Eligible",IF('Qualifying Scores'!$B$1-E42&gt;16,"17-21",IF('Qualifying Scores'!$B$1-E42&gt;14,"15-16",IF('Qualifying Scores'!$B$1-E42&gt;12,"13-14",IF('Qualifying Scores'!$B$1-E42&gt;10,"11-12,""Not Age Eligible")))))</f>
        <v>17-21</v>
      </c>
      <c r="G42" s="56"/>
      <c r="H42" s="4">
        <f>SUM(N42:O42)</f>
        <v>111.4</v>
      </c>
      <c r="I42" s="3" t="str">
        <f>IF(MAX(P42,R42,T42,V42)&gt;=LOOKUP(F42,'Qualifying Scores'!$A$4:$A$7,'Qualifying Scores'!$G$4:$G$7),"P","")</f>
        <v/>
      </c>
      <c r="J42" s="3" t="str">
        <f>IF(MAX(Q42,S42,U42,W42)&gt;=LOOKUP(F42,'Qualifying Scores'!$A$10:$A$13,'Qualifying Scores'!$G$10:$G$13),"P","")</f>
        <v/>
      </c>
      <c r="K42" s="3" t="str">
        <f>IF(OR(AND(P42&gt;=LOOKUP(F42,'Qualifying Scores'!$A$4:$A$7,'Qualifying Scores'!$G$4:$G$7),Q42&gt;=LOOKUP(F42,'Qualifying Scores'!$A$10:$A$13,'Qualifying Scores'!$G$10:$G$13)),AND(T42&gt;=LOOKUP(F42,'Qualifying Scores'!$A$4:$A$7,'Qualifying Scores'!$G$4:$G$7),U42&gt;=LOOKUP(F42,'Qualifying Scores'!$A$10:$A$13,'Qualifying Scores'!$G$10:$G$13)),AND(R42&gt;=LOOKUP(F42,'Qualifying Scores'!$A$4:$A$7,'Qualifying Scores'!$G$4:$G$7),S42&gt;=LOOKUP(F42,'Qualifying Scores'!$A$10:$A$13,'Qualifying Scores'!$G$10:$G$13)),AND(V42&gt;=LOOKUP(F42,'Qualifying Scores'!$A$4:$A$7,'Qualifying Scores'!$G$4:$G$7),W42&gt;=LOOKUP(F42,'Qualifying Scores'!$A$10:$A$13,'Qualifying Scores'!$G$10:$G$13))),"P","")</f>
        <v/>
      </c>
      <c r="N42" s="4">
        <f>MAX(P42,T42)</f>
        <v>56</v>
      </c>
      <c r="O42" s="4">
        <f>IF(N42=P42,MAX(R42,T42,V42),MAX(P42,R42,V42))</f>
        <v>55.4</v>
      </c>
      <c r="P42" s="33">
        <v>56</v>
      </c>
      <c r="Q42" s="44">
        <v>7.6</v>
      </c>
      <c r="R42" s="34">
        <v>31.9</v>
      </c>
      <c r="S42" s="44">
        <v>5.2</v>
      </c>
      <c r="T42" s="33">
        <v>55.4</v>
      </c>
      <c r="U42" s="44">
        <v>7.6</v>
      </c>
      <c r="V42" s="34"/>
      <c r="W42" s="39"/>
    </row>
    <row r="43" spans="1:23" x14ac:dyDescent="0.2">
      <c r="A43" s="1" t="str">
        <f t="shared" si="0"/>
        <v/>
      </c>
      <c r="B43" s="38" t="s">
        <v>244</v>
      </c>
      <c r="C43" s="38" t="s">
        <v>8</v>
      </c>
      <c r="D43" s="38" t="s">
        <v>131</v>
      </c>
      <c r="E43" s="37">
        <v>1999</v>
      </c>
      <c r="F43" s="1" t="str">
        <f>IF('Qualifying Scores'!$B$1-E43&gt;21,"Not Age Eligible",IF('Qualifying Scores'!$B$1-E43&gt;16,"17-21",IF('Qualifying Scores'!$B$1-E43&gt;14,"15-16",IF('Qualifying Scores'!$B$1-E43&gt;12,"13-14",IF('Qualifying Scores'!$B$1-E43&gt;10,"11-12,""Not Age Eligible")))))</f>
        <v>17-21</v>
      </c>
      <c r="G43" s="56"/>
      <c r="H43" s="4">
        <f>SUM(N43:O43)</f>
        <v>106.69999999999999</v>
      </c>
      <c r="I43" s="3" t="str">
        <f>IF(MAX(P43,R43,T43,V43)&gt;=LOOKUP(F43,'Qualifying Scores'!$A$4:$A$7,'Qualifying Scores'!$G$4:$G$7),"P","")</f>
        <v/>
      </c>
      <c r="J43" s="3" t="str">
        <f>IF(MAX(Q43,S43,U43,W43)&gt;=LOOKUP(F43,'Qualifying Scores'!$A$10:$A$13,'Qualifying Scores'!$G$10:$G$13),"P","")</f>
        <v/>
      </c>
      <c r="K43" s="3" t="str">
        <f>IF(OR(AND(P43&gt;=LOOKUP(F43,'Qualifying Scores'!$A$4:$A$7,'Qualifying Scores'!$G$4:$G$7),Q43&gt;=LOOKUP(F43,'Qualifying Scores'!$A$10:$A$13,'Qualifying Scores'!$G$10:$G$13)),AND(T43&gt;=LOOKUP(F43,'Qualifying Scores'!$A$4:$A$7,'Qualifying Scores'!$G$4:$G$7),U43&gt;=LOOKUP(F43,'Qualifying Scores'!$A$10:$A$13,'Qualifying Scores'!$G$10:$G$13)),AND(R43&gt;=LOOKUP(F43,'Qualifying Scores'!$A$4:$A$7,'Qualifying Scores'!$G$4:$G$7),S43&gt;=LOOKUP(F43,'Qualifying Scores'!$A$10:$A$13,'Qualifying Scores'!$G$10:$G$13)),AND(V43&gt;=LOOKUP(F43,'Qualifying Scores'!$A$4:$A$7,'Qualifying Scores'!$G$4:$G$7),W43&gt;=LOOKUP(F43,'Qualifying Scores'!$A$10:$A$13,'Qualifying Scores'!$G$10:$G$13))),"P","")</f>
        <v/>
      </c>
      <c r="N43" s="4">
        <f>MAX(P43,T43)</f>
        <v>54.8</v>
      </c>
      <c r="O43" s="4">
        <f>IF(N43=P43,MAX(R43,T43,V43),MAX(P43,R43,V43))</f>
        <v>51.9</v>
      </c>
      <c r="P43" s="33">
        <v>51.9</v>
      </c>
      <c r="Q43" s="44">
        <v>4.3</v>
      </c>
      <c r="R43" s="34"/>
      <c r="S43" s="44"/>
      <c r="T43" s="33">
        <v>54.8</v>
      </c>
      <c r="U43" s="44">
        <v>5.7</v>
      </c>
      <c r="V43" s="34"/>
      <c r="W43" s="39"/>
    </row>
    <row r="44" spans="1:23" x14ac:dyDescent="0.2">
      <c r="A44" s="1" t="str">
        <f t="shared" si="0"/>
        <v/>
      </c>
      <c r="B44" s="38" t="s">
        <v>285</v>
      </c>
      <c r="C44" s="38" t="s">
        <v>4</v>
      </c>
      <c r="D44" s="38" t="s">
        <v>129</v>
      </c>
      <c r="E44" s="37">
        <v>2001</v>
      </c>
      <c r="F44" s="1" t="str">
        <f>IF('Qualifying Scores'!$B$1-E44&gt;21,"Not Age Eligible",IF('Qualifying Scores'!$B$1-E44&gt;16,"17-21",IF('Qualifying Scores'!$B$1-E44&gt;14,"15-16",IF('Qualifying Scores'!$B$1-E44&gt;12,"13-14",IF('Qualifying Scores'!$B$1-E44&gt;10,"11-12,""Not Age Eligible")))))</f>
        <v>17-21</v>
      </c>
      <c r="G44" s="56"/>
      <c r="H44" s="4">
        <f>SUM(N44:O44)</f>
        <v>106.6</v>
      </c>
      <c r="I44" s="3" t="str">
        <f>IF(MAX(P44,R44,T44,V44)&gt;=LOOKUP(F44,'Qualifying Scores'!$A$4:$A$7,'Qualifying Scores'!$G$4:$G$7),"P","")</f>
        <v/>
      </c>
      <c r="J44" s="3" t="str">
        <f>IF(MAX(Q44,S44,U44,W44)&gt;=LOOKUP(F44,'Qualifying Scores'!$A$10:$A$13,'Qualifying Scores'!$G$10:$G$13),"P","")</f>
        <v/>
      </c>
      <c r="K44" s="3" t="str">
        <f>IF(OR(AND(P44&gt;=LOOKUP(F44,'Qualifying Scores'!$A$4:$A$7,'Qualifying Scores'!$G$4:$G$7),Q44&gt;=LOOKUP(F44,'Qualifying Scores'!$A$10:$A$13,'Qualifying Scores'!$G$10:$G$13)),AND(T44&gt;=LOOKUP(F44,'Qualifying Scores'!$A$4:$A$7,'Qualifying Scores'!$G$4:$G$7),U44&gt;=LOOKUP(F44,'Qualifying Scores'!$A$10:$A$13,'Qualifying Scores'!$G$10:$G$13)),AND(R44&gt;=LOOKUP(F44,'Qualifying Scores'!$A$4:$A$7,'Qualifying Scores'!$G$4:$G$7),S44&gt;=LOOKUP(F44,'Qualifying Scores'!$A$10:$A$13,'Qualifying Scores'!$G$10:$G$13)),AND(V44&gt;=LOOKUP(F44,'Qualifying Scores'!$A$4:$A$7,'Qualifying Scores'!$G$4:$G$7),W44&gt;=LOOKUP(F44,'Qualifying Scores'!$A$10:$A$13,'Qualifying Scores'!$G$10:$G$13))),"P","")</f>
        <v/>
      </c>
      <c r="N44" s="4">
        <f>MAX(P44,T44)</f>
        <v>61.5</v>
      </c>
      <c r="O44" s="4">
        <f>IF(N44=P44,MAX(R44,T44,V44),MAX(P44,R44,V44))</f>
        <v>45.1</v>
      </c>
      <c r="P44" s="33"/>
      <c r="Q44" s="44"/>
      <c r="R44" s="34"/>
      <c r="S44" s="44"/>
      <c r="T44" s="33">
        <v>61.5</v>
      </c>
      <c r="U44" s="44">
        <v>6.5</v>
      </c>
      <c r="V44" s="34">
        <v>45.1</v>
      </c>
      <c r="W44" s="39">
        <v>1.3</v>
      </c>
    </row>
    <row r="45" spans="1:23" x14ac:dyDescent="0.2">
      <c r="A45" s="1" t="str">
        <f t="shared" si="0"/>
        <v/>
      </c>
      <c r="B45" s="38" t="s">
        <v>230</v>
      </c>
      <c r="C45" s="38" t="s">
        <v>8</v>
      </c>
      <c r="E45" s="37">
        <v>2002</v>
      </c>
      <c r="F45" s="1" t="str">
        <f>IF('Qualifying Scores'!$B$1-E45&gt;21,"Not Age Eligible",IF('Qualifying Scores'!$B$1-E45&gt;16,"17-21",IF('Qualifying Scores'!$B$1-E45&gt;14,"15-16",IF('Qualifying Scores'!$B$1-E45&gt;12,"13-14",IF('Qualifying Scores'!$B$1-E45&gt;10,"11-12,""Not Age Eligible")))))</f>
        <v>17-21</v>
      </c>
      <c r="G45" s="56"/>
      <c r="H45" s="4">
        <f>SUM(N45:O45)</f>
        <v>62.2</v>
      </c>
      <c r="I45" s="3" t="str">
        <f>IF(MAX(P45,R45,T45,V45)&gt;=LOOKUP(F45,'Qualifying Scores'!$A$4:$A$7,'Qualifying Scores'!$G$4:$G$7),"P","")</f>
        <v/>
      </c>
      <c r="J45" s="3" t="str">
        <f>IF(MAX(Q45,S45,U45,W45)&gt;=LOOKUP(F45,'Qualifying Scores'!$A$10:$A$13,'Qualifying Scores'!$G$10:$G$13),"P","")</f>
        <v/>
      </c>
      <c r="K45" s="3" t="str">
        <f>IF(OR(AND(P45&gt;=LOOKUP(F45,'Qualifying Scores'!$A$4:$A$7,'Qualifying Scores'!$G$4:$G$7),Q45&gt;=LOOKUP(F45,'Qualifying Scores'!$A$10:$A$13,'Qualifying Scores'!$G$10:$G$13)),AND(T45&gt;=LOOKUP(F45,'Qualifying Scores'!$A$4:$A$7,'Qualifying Scores'!$G$4:$G$7),U45&gt;=LOOKUP(F45,'Qualifying Scores'!$A$10:$A$13,'Qualifying Scores'!$G$10:$G$13)),AND(R45&gt;=LOOKUP(F45,'Qualifying Scores'!$A$4:$A$7,'Qualifying Scores'!$G$4:$G$7),S45&gt;=LOOKUP(F45,'Qualifying Scores'!$A$10:$A$13,'Qualifying Scores'!$G$10:$G$13)),AND(V45&gt;=LOOKUP(F45,'Qualifying Scores'!$A$4:$A$7,'Qualifying Scores'!$G$4:$G$7),W45&gt;=LOOKUP(F45,'Qualifying Scores'!$A$10:$A$13,'Qualifying Scores'!$G$10:$G$13))),"P","")</f>
        <v/>
      </c>
      <c r="N45" s="4">
        <f>MAX(P45,T45)</f>
        <v>62.2</v>
      </c>
      <c r="O45" s="4">
        <f>IF(N45=P45,MAX(R45,T45,V45),MAX(P45,R45,V45))</f>
        <v>0</v>
      </c>
      <c r="P45" s="33"/>
      <c r="Q45" s="44"/>
      <c r="R45" s="34"/>
      <c r="S45" s="44"/>
      <c r="T45" s="33">
        <v>62.2</v>
      </c>
      <c r="U45" s="44">
        <v>6.7</v>
      </c>
      <c r="V45" s="34"/>
      <c r="W45" s="39"/>
    </row>
    <row r="46" spans="1:23" x14ac:dyDescent="0.2">
      <c r="A46" s="1" t="str">
        <f t="shared" si="0"/>
        <v/>
      </c>
      <c r="B46" s="38" t="s">
        <v>286</v>
      </c>
      <c r="C46" s="38" t="s">
        <v>8</v>
      </c>
      <c r="D46" s="38" t="s">
        <v>9</v>
      </c>
      <c r="E46" s="37">
        <v>2000</v>
      </c>
      <c r="F46" s="1" t="str">
        <f>IF('Qualifying Scores'!$B$1-E46&gt;21,"Not Age Eligible",IF('Qualifying Scores'!$B$1-E46&gt;16,"17-21",IF('Qualifying Scores'!$B$1-E46&gt;14,"15-16",IF('Qualifying Scores'!$B$1-E46&gt;12,"13-14",IF('Qualifying Scores'!$B$1-E46&gt;10,"11-12,""Not Age Eligible")))))</f>
        <v>17-21</v>
      </c>
      <c r="G46" s="56"/>
      <c r="H46" s="4">
        <f>SUM(N46:O46)</f>
        <v>51.6</v>
      </c>
      <c r="I46" s="3" t="str">
        <f>IF(MAX(P46,R46,T46,V46)&gt;=LOOKUP(F46,'Qualifying Scores'!$A$4:$A$7,'Qualifying Scores'!$G$4:$G$7),"P","")</f>
        <v/>
      </c>
      <c r="J46" s="3" t="str">
        <f>IF(MAX(Q46,S46,U46,W46)&gt;=LOOKUP(F46,'Qualifying Scores'!$A$10:$A$13,'Qualifying Scores'!$G$10:$G$13),"P","")</f>
        <v/>
      </c>
      <c r="K46" s="3" t="str">
        <f>IF(OR(AND(P46&gt;=LOOKUP(F46,'Qualifying Scores'!$A$4:$A$7,'Qualifying Scores'!$G$4:$G$7),Q46&gt;=LOOKUP(F46,'Qualifying Scores'!$A$10:$A$13,'Qualifying Scores'!$G$10:$G$13)),AND(T46&gt;=LOOKUP(F46,'Qualifying Scores'!$A$4:$A$7,'Qualifying Scores'!$G$4:$G$7),U46&gt;=LOOKUP(F46,'Qualifying Scores'!$A$10:$A$13,'Qualifying Scores'!$G$10:$G$13)),AND(R46&gt;=LOOKUP(F46,'Qualifying Scores'!$A$4:$A$7,'Qualifying Scores'!$G$4:$G$7),S46&gt;=LOOKUP(F46,'Qualifying Scores'!$A$10:$A$13,'Qualifying Scores'!$G$10:$G$13)),AND(V46&gt;=LOOKUP(F46,'Qualifying Scores'!$A$4:$A$7,'Qualifying Scores'!$G$4:$G$7),W46&gt;=LOOKUP(F46,'Qualifying Scores'!$A$10:$A$13,'Qualifying Scores'!$G$10:$G$13))),"P","")</f>
        <v/>
      </c>
      <c r="N46" s="4">
        <f>MAX(P46,T46)</f>
        <v>51.6</v>
      </c>
      <c r="O46" s="4">
        <f>IF(N46=P46,MAX(R46,T46,V46),MAX(P46,R46,V46))</f>
        <v>0</v>
      </c>
      <c r="P46" s="33"/>
      <c r="Q46" s="44"/>
      <c r="R46" s="34"/>
      <c r="S46" s="44"/>
      <c r="T46" s="33">
        <v>51.6</v>
      </c>
      <c r="U46" s="44">
        <v>4.0999999999999996</v>
      </c>
      <c r="V46" s="34"/>
      <c r="W46" s="39"/>
    </row>
    <row r="47" spans="1:23" x14ac:dyDescent="0.2">
      <c r="A47" s="1"/>
      <c r="F47" s="1"/>
      <c r="G47" s="56"/>
      <c r="H47" s="4"/>
      <c r="I47" s="3"/>
      <c r="J47" s="3"/>
      <c r="N47" s="4"/>
      <c r="O47" s="4"/>
      <c r="P47" s="33"/>
      <c r="Q47" s="44"/>
      <c r="R47" s="34"/>
      <c r="S47" s="44"/>
      <c r="T47" s="33"/>
      <c r="U47" s="44"/>
      <c r="V47" s="34"/>
      <c r="W47" s="39"/>
    </row>
    <row r="48" spans="1:23" x14ac:dyDescent="0.2">
      <c r="F48" s="1"/>
      <c r="G48" s="56"/>
      <c r="H48" s="4"/>
      <c r="I48" s="3"/>
      <c r="J48" s="3"/>
      <c r="N48" s="4"/>
      <c r="O48" s="4"/>
      <c r="P48" s="33"/>
      <c r="Q48" s="44"/>
      <c r="R48" s="34"/>
      <c r="S48" s="44"/>
      <c r="T48" s="33"/>
      <c r="U48" s="44"/>
      <c r="V48" s="34"/>
      <c r="W48" s="39"/>
    </row>
    <row r="49" spans="6:23" x14ac:dyDescent="0.2">
      <c r="F49" s="1"/>
      <c r="H49" s="4"/>
      <c r="I49" s="3"/>
      <c r="J49" s="3"/>
      <c r="N49" s="4"/>
      <c r="O49" s="4"/>
      <c r="P49" s="33"/>
      <c r="Q49" s="44"/>
      <c r="R49" s="34"/>
      <c r="S49" s="44"/>
      <c r="T49" s="33"/>
      <c r="U49" s="44"/>
      <c r="V49" s="34"/>
      <c r="W49" s="39"/>
    </row>
    <row r="50" spans="6:23" x14ac:dyDescent="0.2">
      <c r="F50" s="1"/>
      <c r="H50" s="4"/>
      <c r="I50" s="3"/>
      <c r="J50" s="3"/>
      <c r="N50" s="4"/>
      <c r="O50" s="4"/>
      <c r="P50" s="33"/>
      <c r="Q50" s="44"/>
      <c r="R50" s="34"/>
      <c r="S50" s="44"/>
      <c r="T50" s="33"/>
      <c r="U50" s="44"/>
      <c r="V50" s="34"/>
      <c r="W50" s="39"/>
    </row>
    <row r="51" spans="6:23" x14ac:dyDescent="0.2">
      <c r="F51" s="1"/>
      <c r="H51" s="4"/>
      <c r="I51" s="3"/>
      <c r="J51" s="3"/>
      <c r="N51" s="4"/>
      <c r="O51" s="4"/>
      <c r="P51" s="33"/>
      <c r="Q51" s="44"/>
      <c r="R51" s="34"/>
      <c r="S51" s="44"/>
      <c r="T51" s="33"/>
      <c r="U51" s="44"/>
      <c r="V51" s="34"/>
      <c r="W51" s="39"/>
    </row>
    <row r="52" spans="6:23" x14ac:dyDescent="0.2">
      <c r="F52" s="1"/>
      <c r="H52" s="4"/>
      <c r="I52" s="3"/>
      <c r="J52" s="3"/>
      <c r="N52" s="4"/>
      <c r="O52" s="4"/>
      <c r="P52" s="33"/>
      <c r="Q52" s="44"/>
      <c r="R52" s="34"/>
      <c r="S52" s="44"/>
      <c r="T52" s="33"/>
      <c r="U52" s="44"/>
      <c r="V52" s="34"/>
      <c r="W52" s="39"/>
    </row>
    <row r="53" spans="6:23" x14ac:dyDescent="0.2">
      <c r="F53" s="1"/>
      <c r="H53" s="4"/>
      <c r="I53" s="3"/>
      <c r="J53" s="3"/>
      <c r="N53" s="4"/>
      <c r="O53" s="4"/>
      <c r="P53" s="33"/>
      <c r="Q53" s="44"/>
      <c r="R53" s="34"/>
      <c r="S53" s="44"/>
      <c r="T53" s="33"/>
      <c r="U53" s="44"/>
      <c r="V53" s="34"/>
      <c r="W53" s="39"/>
    </row>
    <row r="54" spans="6:23" x14ac:dyDescent="0.2">
      <c r="F54" s="1"/>
      <c r="H54" s="4"/>
      <c r="I54" s="3"/>
      <c r="J54" s="3"/>
      <c r="N54" s="4"/>
      <c r="O54" s="4"/>
      <c r="P54" s="33"/>
      <c r="Q54" s="44"/>
      <c r="R54" s="34"/>
      <c r="S54" s="44"/>
      <c r="T54" s="33"/>
      <c r="U54" s="44"/>
      <c r="V54" s="34"/>
      <c r="W54" s="39"/>
    </row>
    <row r="55" spans="6:23" x14ac:dyDescent="0.2">
      <c r="F55" s="1"/>
      <c r="H55" s="4"/>
      <c r="I55" s="3"/>
      <c r="J55" s="3"/>
      <c r="N55" s="4"/>
      <c r="O55" s="4"/>
      <c r="P55" s="33"/>
      <c r="Q55" s="44"/>
      <c r="R55" s="34"/>
      <c r="S55" s="44"/>
      <c r="T55" s="33"/>
      <c r="U55" s="44"/>
      <c r="V55" s="34"/>
      <c r="W55" s="39"/>
    </row>
    <row r="56" spans="6:23" x14ac:dyDescent="0.2">
      <c r="F56" s="1"/>
      <c r="H56" s="4"/>
      <c r="I56" s="3"/>
      <c r="J56" s="3"/>
      <c r="N56" s="4"/>
      <c r="O56" s="4"/>
      <c r="P56" s="33"/>
      <c r="Q56" s="44"/>
      <c r="R56" s="34"/>
      <c r="S56" s="44"/>
      <c r="T56" s="33"/>
      <c r="U56" s="44"/>
      <c r="V56" s="34"/>
      <c r="W56" s="39"/>
    </row>
    <row r="57" spans="6:23" x14ac:dyDescent="0.2">
      <c r="F57" s="1"/>
      <c r="H57" s="4"/>
      <c r="I57" s="3"/>
      <c r="J57" s="3"/>
      <c r="N57" s="4"/>
      <c r="O57" s="4"/>
      <c r="P57" s="33"/>
      <c r="Q57" s="44"/>
      <c r="R57" s="34"/>
      <c r="S57" s="44"/>
      <c r="T57" s="33"/>
      <c r="U57" s="44"/>
      <c r="V57" s="34"/>
      <c r="W57" s="39"/>
    </row>
    <row r="58" spans="6:23" x14ac:dyDescent="0.2">
      <c r="F58" s="1"/>
      <c r="H58" s="4"/>
      <c r="I58" s="3"/>
      <c r="J58" s="3"/>
      <c r="N58" s="4"/>
      <c r="O58" s="4"/>
      <c r="P58" s="33"/>
      <c r="Q58" s="44"/>
      <c r="R58" s="34"/>
      <c r="S58" s="44"/>
      <c r="T58" s="33"/>
      <c r="U58" s="44"/>
      <c r="V58" s="34"/>
      <c r="W58" s="39"/>
    </row>
    <row r="59" spans="6:23" x14ac:dyDescent="0.2">
      <c r="F59" s="1"/>
      <c r="H59" s="4"/>
      <c r="I59" s="3"/>
      <c r="J59" s="3"/>
      <c r="N59" s="4"/>
      <c r="O59" s="4"/>
      <c r="P59" s="33"/>
      <c r="Q59" s="44"/>
      <c r="R59" s="34"/>
      <c r="S59" s="44"/>
      <c r="T59" s="33"/>
      <c r="U59" s="46"/>
      <c r="V59" s="43"/>
      <c r="W59" s="39"/>
    </row>
    <row r="60" spans="6:23" x14ac:dyDescent="0.2">
      <c r="F60" s="1"/>
      <c r="H60" s="4"/>
      <c r="I60" s="3"/>
      <c r="J60" s="3"/>
      <c r="N60" s="4"/>
      <c r="O60" s="4"/>
      <c r="P60" s="33"/>
      <c r="Q60" s="45"/>
      <c r="R60" s="47"/>
      <c r="S60" s="39"/>
      <c r="T60" s="33"/>
      <c r="U60" s="44"/>
      <c r="V60" s="34"/>
      <c r="W60" s="39"/>
    </row>
    <row r="61" spans="6:23" x14ac:dyDescent="0.2">
      <c r="F61" s="1"/>
      <c r="H61" s="4"/>
      <c r="I61" s="3"/>
      <c r="J61" s="3"/>
      <c r="N61" s="4"/>
      <c r="O61" s="4"/>
      <c r="P61" s="33"/>
      <c r="Q61" s="45"/>
      <c r="R61" s="47"/>
      <c r="S61" s="39"/>
      <c r="T61" s="33"/>
      <c r="U61" s="44"/>
      <c r="V61" s="34"/>
      <c r="W61" s="39"/>
    </row>
    <row r="62" spans="6:23" x14ac:dyDescent="0.2">
      <c r="F62" s="1"/>
      <c r="H62" s="4"/>
      <c r="I62" s="3"/>
      <c r="J62" s="3"/>
      <c r="N62" s="4"/>
      <c r="O62" s="4"/>
      <c r="P62" s="33"/>
      <c r="Q62" s="45"/>
      <c r="R62" s="47"/>
      <c r="S62" s="39"/>
      <c r="T62" s="33"/>
      <c r="U62" s="44"/>
      <c r="V62" s="34"/>
      <c r="W62" s="39"/>
    </row>
    <row r="63" spans="6:23" x14ac:dyDescent="0.2">
      <c r="F63" s="1"/>
      <c r="H63" s="4"/>
      <c r="I63" s="3"/>
      <c r="J63" s="3"/>
      <c r="N63" s="4"/>
      <c r="O63" s="4"/>
      <c r="P63" s="33"/>
      <c r="Q63" s="45"/>
      <c r="R63" s="47"/>
      <c r="S63" s="39"/>
      <c r="T63" s="33"/>
      <c r="U63" s="44"/>
      <c r="V63" s="34"/>
      <c r="W63" s="39"/>
    </row>
    <row r="64" spans="6:23" x14ac:dyDescent="0.2">
      <c r="F64" s="1"/>
      <c r="H64" s="4"/>
      <c r="I64" s="3"/>
      <c r="J64" s="3"/>
      <c r="N64" s="4"/>
      <c r="O64" s="4"/>
      <c r="P64" s="33"/>
      <c r="Q64" s="45"/>
      <c r="R64" s="47"/>
      <c r="S64" s="39"/>
      <c r="T64" s="33"/>
      <c r="U64" s="44"/>
      <c r="V64" s="34"/>
      <c r="W64" s="39"/>
    </row>
    <row r="65" spans="6:23" x14ac:dyDescent="0.2">
      <c r="F65" s="1"/>
      <c r="H65" s="4"/>
      <c r="I65" s="3"/>
      <c r="J65" s="3"/>
      <c r="N65" s="4"/>
      <c r="O65" s="4"/>
      <c r="P65" s="33"/>
      <c r="Q65" s="44"/>
      <c r="R65" s="34"/>
      <c r="S65" s="45"/>
      <c r="T65" s="33"/>
      <c r="U65" s="46"/>
      <c r="V65" s="43"/>
      <c r="W65" s="39"/>
    </row>
    <row r="66" spans="6:23" x14ac:dyDescent="0.2">
      <c r="F66" s="1"/>
      <c r="H66" s="4"/>
      <c r="I66" s="3"/>
      <c r="J66" s="3"/>
      <c r="N66" s="4"/>
      <c r="O66" s="4"/>
      <c r="P66" s="33"/>
      <c r="Q66" s="44"/>
      <c r="R66" s="34"/>
      <c r="S66" s="45"/>
      <c r="T66" s="33"/>
      <c r="U66" s="44"/>
      <c r="V66" s="34"/>
      <c r="W66" s="39"/>
    </row>
    <row r="67" spans="6:23" x14ac:dyDescent="0.2">
      <c r="N67" s="4"/>
      <c r="O67" s="4"/>
      <c r="P67" s="33"/>
      <c r="Q67" s="44"/>
      <c r="R67" s="34"/>
      <c r="S67" s="44"/>
      <c r="T67" s="33"/>
      <c r="U67" s="44"/>
      <c r="V67" s="34"/>
      <c r="W67" s="39"/>
    </row>
    <row r="68" spans="6:23" x14ac:dyDescent="0.2">
      <c r="N68" s="4"/>
      <c r="O68" s="4"/>
      <c r="P68" s="33"/>
      <c r="Q68" s="44"/>
      <c r="R68" s="34"/>
      <c r="S68" s="44"/>
      <c r="T68" s="33"/>
      <c r="U68" s="44"/>
      <c r="V68" s="34"/>
      <c r="W68" s="39"/>
    </row>
    <row r="69" spans="6:23" x14ac:dyDescent="0.2">
      <c r="N69" s="4"/>
      <c r="O69" s="4"/>
      <c r="P69" s="33"/>
      <c r="Q69" s="44"/>
      <c r="R69" s="34"/>
      <c r="S69" s="44"/>
      <c r="T69" s="33"/>
      <c r="U69" s="44"/>
      <c r="V69" s="34"/>
      <c r="W69" s="39"/>
    </row>
    <row r="70" spans="6:23" x14ac:dyDescent="0.2">
      <c r="N70" s="4"/>
      <c r="O70" s="4"/>
      <c r="P70" s="33"/>
      <c r="Q70" s="44"/>
      <c r="R70" s="34"/>
      <c r="S70" s="44"/>
      <c r="T70" s="33"/>
      <c r="U70" s="44"/>
      <c r="V70" s="34"/>
      <c r="W70" s="39"/>
    </row>
    <row r="71" spans="6:23" x14ac:dyDescent="0.2">
      <c r="N71" s="4"/>
      <c r="O71" s="4"/>
      <c r="P71" s="33"/>
      <c r="Q71" s="44"/>
      <c r="R71" s="34"/>
      <c r="S71" s="44"/>
      <c r="T71" s="33"/>
      <c r="U71" s="44"/>
      <c r="V71" s="34"/>
      <c r="W71" s="39"/>
    </row>
    <row r="72" spans="6:23" x14ac:dyDescent="0.2">
      <c r="N72" s="4"/>
      <c r="O72" s="4"/>
      <c r="P72" s="33"/>
      <c r="Q72" s="44"/>
      <c r="R72" s="34"/>
      <c r="S72" s="44"/>
      <c r="T72" s="33"/>
      <c r="U72" s="44"/>
      <c r="V72" s="34"/>
      <c r="W72" s="39"/>
    </row>
    <row r="73" spans="6:23" x14ac:dyDescent="0.2">
      <c r="N73" s="4"/>
      <c r="O73" s="4"/>
      <c r="P73" s="33"/>
      <c r="Q73" s="44"/>
      <c r="R73" s="34"/>
      <c r="S73" s="44"/>
      <c r="T73" s="33"/>
      <c r="U73" s="44"/>
      <c r="V73" s="34"/>
      <c r="W73" s="39"/>
    </row>
    <row r="74" spans="6:23" x14ac:dyDescent="0.2">
      <c r="N74" s="4"/>
      <c r="O74" s="4"/>
      <c r="P74" s="33"/>
      <c r="Q74" s="44"/>
      <c r="R74" s="34"/>
      <c r="S74" s="44"/>
      <c r="T74" s="33"/>
      <c r="U74" s="44"/>
      <c r="V74" s="34"/>
      <c r="W74" s="39"/>
    </row>
    <row r="75" spans="6:23" x14ac:dyDescent="0.2">
      <c r="N75" s="4"/>
      <c r="O75" s="4"/>
      <c r="P75" s="33"/>
      <c r="Q75" s="44"/>
      <c r="R75" s="34"/>
      <c r="S75" s="44"/>
      <c r="T75" s="33"/>
      <c r="U75" s="44"/>
      <c r="V75" s="34"/>
      <c r="W75" s="39"/>
    </row>
    <row r="76" spans="6:23" x14ac:dyDescent="0.2">
      <c r="N76" s="4"/>
      <c r="O76" s="4"/>
      <c r="P76" s="33"/>
      <c r="Q76" s="44"/>
      <c r="R76" s="34"/>
      <c r="S76" s="44"/>
      <c r="T76" s="33"/>
      <c r="U76" s="44"/>
      <c r="V76" s="34"/>
      <c r="W76" s="39"/>
    </row>
    <row r="77" spans="6:23" x14ac:dyDescent="0.2">
      <c r="N77" s="4"/>
      <c r="O77" s="4"/>
      <c r="P77" s="33"/>
      <c r="Q77" s="44"/>
      <c r="R77" s="34"/>
      <c r="S77" s="44"/>
      <c r="T77" s="33"/>
      <c r="U77" s="44"/>
      <c r="V77" s="34"/>
      <c r="W77" s="39"/>
    </row>
    <row r="78" spans="6:23" x14ac:dyDescent="0.2">
      <c r="N78" s="4"/>
      <c r="O78" s="4"/>
      <c r="P78" s="33"/>
      <c r="Q78" s="44"/>
      <c r="R78" s="34"/>
      <c r="S78" s="44"/>
      <c r="T78" s="33"/>
      <c r="U78" s="44"/>
      <c r="V78" s="34"/>
      <c r="W78" s="39"/>
    </row>
    <row r="79" spans="6:23" x14ac:dyDescent="0.2">
      <c r="N79" s="4"/>
      <c r="O79" s="4"/>
      <c r="P79" s="33"/>
      <c r="Q79" s="44"/>
      <c r="R79" s="34"/>
      <c r="S79" s="44"/>
      <c r="T79" s="33"/>
      <c r="U79" s="44"/>
      <c r="V79" s="34"/>
      <c r="W79" s="39"/>
    </row>
    <row r="80" spans="6:23" x14ac:dyDescent="0.2">
      <c r="N80" s="4"/>
      <c r="O80" s="4"/>
      <c r="P80" s="33"/>
      <c r="Q80" s="44"/>
      <c r="R80" s="34"/>
      <c r="S80" s="44"/>
      <c r="T80" s="33"/>
      <c r="U80" s="44"/>
      <c r="V80" s="34"/>
      <c r="W80" s="39"/>
    </row>
    <row r="81" spans="14:23" x14ac:dyDescent="0.2">
      <c r="N81" s="4"/>
      <c r="O81" s="4"/>
      <c r="P81" s="33"/>
      <c r="Q81" s="44"/>
      <c r="R81" s="34"/>
      <c r="S81" s="44"/>
      <c r="T81" s="33"/>
      <c r="U81" s="44"/>
      <c r="V81" s="34"/>
      <c r="W81" s="39"/>
    </row>
    <row r="82" spans="14:23" x14ac:dyDescent="0.2">
      <c r="N82" s="4"/>
      <c r="O82" s="4"/>
      <c r="P82" s="33"/>
      <c r="Q82" s="44"/>
      <c r="R82" s="34"/>
      <c r="S82" s="44"/>
      <c r="T82" s="33"/>
      <c r="U82" s="44"/>
      <c r="V82" s="34"/>
      <c r="W82" s="39"/>
    </row>
    <row r="83" spans="14:23" x14ac:dyDescent="0.2">
      <c r="N83" s="4"/>
      <c r="O83" s="4"/>
      <c r="P83" s="33"/>
      <c r="Q83" s="44"/>
      <c r="R83" s="34"/>
      <c r="S83" s="44"/>
      <c r="T83" s="33"/>
      <c r="U83" s="44"/>
      <c r="V83" s="34"/>
      <c r="W83" s="39"/>
    </row>
    <row r="84" spans="14:23" x14ac:dyDescent="0.2">
      <c r="N84" s="4"/>
      <c r="O84" s="4"/>
      <c r="P84" s="33"/>
      <c r="Q84" s="44"/>
      <c r="R84" s="34"/>
      <c r="S84" s="44"/>
      <c r="T84" s="33"/>
      <c r="U84" s="44"/>
      <c r="V84" s="34"/>
      <c r="W84" s="39"/>
    </row>
    <row r="85" spans="14:23" x14ac:dyDescent="0.2">
      <c r="N85" s="4"/>
      <c r="O85" s="4"/>
      <c r="P85" s="33"/>
      <c r="Q85" s="44"/>
      <c r="R85" s="34"/>
      <c r="S85" s="44"/>
      <c r="T85" s="33"/>
      <c r="U85" s="44"/>
      <c r="V85" s="34"/>
      <c r="W85" s="39"/>
    </row>
    <row r="86" spans="14:23" x14ac:dyDescent="0.2">
      <c r="N86" s="4"/>
      <c r="O86" s="4"/>
      <c r="P86" s="33"/>
      <c r="Q86" s="44"/>
      <c r="R86" s="34"/>
      <c r="S86" s="44"/>
      <c r="T86" s="33"/>
      <c r="U86" s="44"/>
      <c r="V86" s="34"/>
      <c r="W86" s="39"/>
    </row>
    <row r="87" spans="14:23" x14ac:dyDescent="0.2">
      <c r="N87" s="4"/>
      <c r="O87" s="4"/>
      <c r="P87" s="33"/>
      <c r="Q87" s="44"/>
      <c r="R87" s="34"/>
      <c r="S87" s="44"/>
      <c r="T87" s="33"/>
      <c r="U87" s="44"/>
      <c r="V87" s="34"/>
      <c r="W87" s="39"/>
    </row>
    <row r="88" spans="14:23" x14ac:dyDescent="0.2">
      <c r="N88" s="4"/>
      <c r="O88" s="4"/>
      <c r="P88" s="33"/>
      <c r="Q88" s="44"/>
      <c r="R88" s="34"/>
      <c r="S88" s="44"/>
      <c r="T88" s="33"/>
      <c r="U88" s="44"/>
      <c r="V88" s="34"/>
      <c r="W88" s="39"/>
    </row>
    <row r="89" spans="14:23" x14ac:dyDescent="0.2">
      <c r="N89" s="4"/>
      <c r="O89" s="4"/>
      <c r="P89" s="33"/>
      <c r="Q89" s="44"/>
      <c r="R89" s="34"/>
      <c r="S89" s="44"/>
      <c r="T89" s="33"/>
      <c r="U89" s="44"/>
      <c r="V89" s="34"/>
      <c r="W89" s="39"/>
    </row>
    <row r="90" spans="14:23" x14ac:dyDescent="0.2">
      <c r="N90" s="4"/>
      <c r="O90" s="4"/>
      <c r="P90" s="33"/>
      <c r="Q90" s="44"/>
      <c r="R90" s="34"/>
      <c r="S90" s="44"/>
      <c r="T90" s="33"/>
      <c r="U90" s="44"/>
      <c r="V90" s="34"/>
      <c r="W90" s="39"/>
    </row>
    <row r="91" spans="14:23" x14ac:dyDescent="0.2">
      <c r="N91" s="4"/>
      <c r="O91" s="4"/>
      <c r="P91" s="33"/>
      <c r="Q91" s="44"/>
      <c r="R91" s="34"/>
      <c r="S91" s="44"/>
      <c r="T91" s="33"/>
      <c r="U91" s="44"/>
      <c r="V91" s="34"/>
      <c r="W91" s="39"/>
    </row>
    <row r="92" spans="14:23" x14ac:dyDescent="0.2">
      <c r="N92" s="4"/>
      <c r="O92" s="4"/>
      <c r="P92" s="33"/>
      <c r="Q92" s="44"/>
      <c r="R92" s="34"/>
      <c r="S92" s="44"/>
      <c r="T92" s="33"/>
      <c r="U92" s="44"/>
      <c r="V92" s="34"/>
      <c r="W92" s="39"/>
    </row>
    <row r="93" spans="14:23" x14ac:dyDescent="0.2">
      <c r="N93" s="4"/>
      <c r="O93" s="4"/>
      <c r="P93" s="33"/>
      <c r="Q93" s="44"/>
      <c r="R93" s="34"/>
      <c r="S93" s="44"/>
      <c r="T93" s="33"/>
      <c r="U93" s="44"/>
      <c r="V93" s="34"/>
      <c r="W93" s="39"/>
    </row>
    <row r="94" spans="14:23" x14ac:dyDescent="0.2">
      <c r="N94" s="4"/>
      <c r="O94" s="4"/>
      <c r="P94" s="33"/>
      <c r="Q94" s="44"/>
      <c r="R94" s="34"/>
      <c r="S94" s="44"/>
      <c r="T94" s="33"/>
      <c r="U94" s="44"/>
      <c r="V94" s="34"/>
      <c r="W94" s="39"/>
    </row>
    <row r="95" spans="14:23" x14ac:dyDescent="0.2">
      <c r="N95" s="4"/>
      <c r="O95" s="4"/>
      <c r="P95" s="33"/>
      <c r="Q95" s="44"/>
      <c r="R95" s="34"/>
      <c r="S95" s="44"/>
      <c r="T95" s="33"/>
      <c r="U95" s="44"/>
      <c r="V95" s="34"/>
      <c r="W95" s="39"/>
    </row>
    <row r="96" spans="14:23" x14ac:dyDescent="0.2">
      <c r="N96" s="4"/>
      <c r="O96" s="4"/>
      <c r="P96" s="33"/>
      <c r="Q96" s="44"/>
      <c r="R96" s="34"/>
      <c r="S96" s="44"/>
      <c r="T96" s="33"/>
      <c r="U96" s="44"/>
      <c r="V96" s="34"/>
      <c r="W96" s="39"/>
    </row>
    <row r="97" spans="14:23" x14ac:dyDescent="0.2">
      <c r="N97" s="4"/>
      <c r="O97" s="4"/>
      <c r="P97" s="33"/>
      <c r="Q97" s="44"/>
      <c r="R97" s="34"/>
      <c r="S97" s="44"/>
      <c r="T97" s="33"/>
      <c r="U97" s="44"/>
      <c r="V97" s="34"/>
      <c r="W97" s="39"/>
    </row>
    <row r="98" spans="14:23" x14ac:dyDescent="0.2">
      <c r="N98" s="4"/>
      <c r="O98" s="4"/>
      <c r="P98" s="33"/>
      <c r="Q98" s="44"/>
      <c r="R98" s="34"/>
      <c r="S98" s="44"/>
      <c r="T98" s="33"/>
      <c r="U98" s="44"/>
      <c r="V98" s="34"/>
      <c r="W98" s="39"/>
    </row>
    <row r="99" spans="14:23" x14ac:dyDescent="0.2">
      <c r="N99" s="4"/>
      <c r="O99" s="4"/>
      <c r="P99" s="33"/>
      <c r="Q99" s="44"/>
      <c r="R99" s="34"/>
      <c r="S99" s="44"/>
      <c r="T99" s="33"/>
      <c r="U99" s="44"/>
      <c r="V99" s="34"/>
      <c r="W99" s="39"/>
    </row>
    <row r="100" spans="14:23" x14ac:dyDescent="0.2">
      <c r="N100" s="4"/>
      <c r="O100" s="4"/>
      <c r="P100" s="33"/>
      <c r="Q100" s="44"/>
      <c r="R100" s="34"/>
      <c r="S100" s="44"/>
      <c r="T100" s="33"/>
      <c r="U100" s="44"/>
      <c r="V100" s="34"/>
      <c r="W100" s="39"/>
    </row>
    <row r="101" spans="14:23" x14ac:dyDescent="0.2">
      <c r="N101" s="4"/>
      <c r="O101" s="4"/>
      <c r="P101" s="33"/>
      <c r="Q101" s="44"/>
      <c r="R101" s="34"/>
      <c r="S101" s="44"/>
      <c r="T101" s="33"/>
      <c r="U101" s="44"/>
      <c r="V101" s="34"/>
      <c r="W101" s="39"/>
    </row>
    <row r="102" spans="14:23" x14ac:dyDescent="0.2">
      <c r="N102" s="4"/>
      <c r="O102" s="4"/>
      <c r="P102" s="33"/>
      <c r="Q102" s="44"/>
      <c r="R102" s="34"/>
      <c r="S102" s="44"/>
      <c r="T102" s="33"/>
      <c r="U102" s="44"/>
      <c r="V102" s="34"/>
      <c r="W102" s="39"/>
    </row>
    <row r="103" spans="14:23" x14ac:dyDescent="0.2">
      <c r="N103" s="4"/>
      <c r="O103" s="4"/>
      <c r="P103" s="33"/>
      <c r="Q103" s="44"/>
      <c r="R103" s="34"/>
      <c r="S103" s="44"/>
      <c r="T103" s="33"/>
      <c r="U103" s="44"/>
      <c r="V103" s="34"/>
      <c r="W103" s="39"/>
    </row>
    <row r="104" spans="14:23" x14ac:dyDescent="0.2">
      <c r="N104" s="4"/>
      <c r="O104" s="4"/>
      <c r="P104" s="33"/>
      <c r="Q104" s="44"/>
      <c r="R104" s="34"/>
      <c r="S104" s="44"/>
      <c r="T104" s="33"/>
      <c r="U104" s="44"/>
      <c r="V104" s="34"/>
      <c r="W104" s="39"/>
    </row>
    <row r="105" spans="14:23" x14ac:dyDescent="0.2">
      <c r="N105" s="4"/>
      <c r="O105" s="4"/>
      <c r="P105" s="33"/>
      <c r="Q105" s="44"/>
      <c r="R105" s="34"/>
      <c r="S105" s="44"/>
      <c r="T105" s="33"/>
      <c r="U105" s="44"/>
      <c r="V105" s="34"/>
      <c r="W105" s="39"/>
    </row>
    <row r="106" spans="14:23" x14ac:dyDescent="0.2">
      <c r="N106" s="4"/>
      <c r="O106" s="4"/>
      <c r="P106" s="33"/>
      <c r="Q106" s="44"/>
      <c r="R106" s="34"/>
      <c r="S106" s="44"/>
      <c r="T106" s="33"/>
      <c r="U106" s="44"/>
      <c r="V106" s="34"/>
      <c r="W106" s="39"/>
    </row>
    <row r="107" spans="14:23" x14ac:dyDescent="0.2">
      <c r="N107" s="4"/>
      <c r="O107" s="4"/>
      <c r="P107" s="33"/>
      <c r="Q107" s="44"/>
      <c r="R107" s="34"/>
      <c r="S107" s="44"/>
      <c r="T107" s="33"/>
      <c r="U107" s="44"/>
      <c r="V107" s="34"/>
      <c r="W107" s="39"/>
    </row>
    <row r="108" spans="14:23" x14ac:dyDescent="0.2">
      <c r="N108" s="4"/>
      <c r="O108" s="4"/>
      <c r="P108" s="33"/>
      <c r="Q108" s="44"/>
      <c r="R108" s="34"/>
      <c r="S108" s="44"/>
      <c r="T108" s="33"/>
      <c r="U108" s="44"/>
      <c r="V108" s="34"/>
      <c r="W108" s="39"/>
    </row>
    <row r="109" spans="14:23" x14ac:dyDescent="0.2">
      <c r="N109" s="4"/>
      <c r="O109" s="4"/>
      <c r="P109" s="33"/>
      <c r="Q109" s="44"/>
      <c r="R109" s="34"/>
      <c r="S109" s="44"/>
      <c r="T109" s="33"/>
      <c r="U109" s="44"/>
      <c r="V109" s="34"/>
      <c r="W109" s="39"/>
    </row>
    <row r="110" spans="14:23" x14ac:dyDescent="0.2">
      <c r="N110" s="4"/>
      <c r="O110" s="4"/>
      <c r="P110" s="33"/>
      <c r="Q110" s="44"/>
      <c r="R110" s="34"/>
      <c r="S110" s="44"/>
      <c r="T110" s="33"/>
      <c r="U110" s="44"/>
      <c r="V110" s="34"/>
      <c r="W110" s="39"/>
    </row>
  </sheetData>
  <sheetProtection sheet="1" formatCells="0" formatColumns="0" formatRows="0"/>
  <autoFilter ref="B1:W2" xr:uid="{00000000-0009-0000-0000-000007000000}"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sortState xmlns:xlrd2="http://schemas.microsoft.com/office/spreadsheetml/2017/richdata2" ref="B3:W46">
      <sortCondition ref="F1:F35"/>
    </sortState>
  </autoFilter>
  <mergeCells count="17">
    <mergeCell ref="L1:L2"/>
    <mergeCell ref="F1:F2"/>
    <mergeCell ref="H1:H2"/>
    <mergeCell ref="I1:I2"/>
    <mergeCell ref="J1:J2"/>
    <mergeCell ref="K1:K2"/>
    <mergeCell ref="G1:G2"/>
    <mergeCell ref="A1:A2"/>
    <mergeCell ref="B1:B2"/>
    <mergeCell ref="C1:C2"/>
    <mergeCell ref="D1:D2"/>
    <mergeCell ref="E1:E2"/>
    <mergeCell ref="N1:N2"/>
    <mergeCell ref="O1:O2"/>
    <mergeCell ref="P1:S1"/>
    <mergeCell ref="T1:W1"/>
    <mergeCell ref="M1:M2"/>
  </mergeCells>
  <conditionalFormatting sqref="X1:XFD3 A1:F1048576 H4:XFD1048576">
    <cfRule type="expression" dxfId="43" priority="25">
      <formula>IF($F1="17-21",1,0)</formula>
    </cfRule>
    <cfRule type="expression" dxfId="42" priority="26">
      <formula>IF($F1="15-16",1,0)</formula>
    </cfRule>
    <cfRule type="expression" dxfId="41" priority="27">
      <formula>IF($F1="13-14",1,0)</formula>
    </cfRule>
    <cfRule type="expression" dxfId="40" priority="28">
      <formula>IF($F1="11-12",1,0)</formula>
    </cfRule>
  </conditionalFormatting>
  <conditionalFormatting sqref="H1:M3">
    <cfRule type="expression" dxfId="39" priority="9">
      <formula>IF($F1="17-21",1,0)</formula>
    </cfRule>
    <cfRule type="expression" dxfId="38" priority="10">
      <formula>IF($F1="15-16",1,0)</formula>
    </cfRule>
    <cfRule type="expression" dxfId="37" priority="11">
      <formula>IF($F1="13-14",1,0)</formula>
    </cfRule>
    <cfRule type="expression" dxfId="36" priority="12">
      <formula>IF($F1="11-12",1,0)</formula>
    </cfRule>
  </conditionalFormatting>
  <conditionalFormatting sqref="N1:P1 T1 N2:W3">
    <cfRule type="expression" dxfId="35" priority="5">
      <formula>IF($F1="17-21",1,0)</formula>
    </cfRule>
    <cfRule type="expression" dxfId="34" priority="6">
      <formula>IF($F1="15-16",1,0)</formula>
    </cfRule>
    <cfRule type="expression" dxfId="33" priority="7">
      <formula>IF($F1="13-14",1,0)</formula>
    </cfRule>
    <cfRule type="expression" dxfId="32" priority="8">
      <formula>IF($F1="11-12",1,0)</formula>
    </cfRule>
  </conditionalFormatting>
  <conditionalFormatting sqref="G1:G1048576">
    <cfRule type="expression" dxfId="31" priority="1">
      <formula>IF($F1="17-21",1,0)</formula>
    </cfRule>
    <cfRule type="expression" dxfId="30" priority="2">
      <formula>IF($F1="15-16",1,0)</formula>
    </cfRule>
    <cfRule type="expression" dxfId="29" priority="3">
      <formula>IF($F1="13-14",1,0)</formula>
    </cfRule>
    <cfRule type="expression" dxfId="28" priority="4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W96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43" style="38" bestFit="1" customWidth="1"/>
    <col min="3" max="3" width="8.6640625" style="38" bestFit="1" customWidth="1"/>
    <col min="4" max="4" width="39.16406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18.83203125" style="3" customWidth="1"/>
    <col min="12" max="12" width="18.33203125" style="42" bestFit="1" customWidth="1"/>
    <col min="13" max="13" width="18.6640625" style="42" bestFit="1" customWidth="1"/>
    <col min="14" max="14" width="15.6640625" bestFit="1" customWidth="1"/>
    <col min="15" max="15" width="18.6640625" bestFit="1" customWidth="1"/>
    <col min="16" max="16" width="7.5" style="37" bestFit="1" customWidth="1"/>
    <col min="17" max="17" width="10.5" style="38" bestFit="1" customWidth="1"/>
    <col min="18" max="18" width="6.6640625" style="38" bestFit="1" customWidth="1"/>
    <col min="19" max="19" width="11" style="38" bestFit="1" customWidth="1"/>
    <col min="20" max="20" width="7.6640625" style="37" bestFit="1" customWidth="1"/>
    <col min="21" max="21" width="10.5" style="38" bestFit="1" customWidth="1"/>
    <col min="22" max="22" width="7.6640625" style="38" bestFit="1" customWidth="1"/>
    <col min="23" max="23" width="9" style="41" bestFit="1" customWidth="1"/>
  </cols>
  <sheetData>
    <row r="1" spans="1:23" s="6" customFormat="1" x14ac:dyDescent="0.2">
      <c r="A1" s="65" t="s">
        <v>56</v>
      </c>
      <c r="B1" s="65" t="s">
        <v>0</v>
      </c>
      <c r="C1" s="65" t="s">
        <v>1</v>
      </c>
      <c r="D1" s="70" t="s">
        <v>2</v>
      </c>
      <c r="E1" s="72" t="s">
        <v>31</v>
      </c>
      <c r="F1" s="65" t="s">
        <v>32</v>
      </c>
      <c r="G1" s="65" t="s">
        <v>304</v>
      </c>
      <c r="H1" s="68" t="s">
        <v>44</v>
      </c>
      <c r="I1" s="65" t="s">
        <v>40</v>
      </c>
      <c r="J1" s="65" t="s">
        <v>41</v>
      </c>
      <c r="K1" s="65" t="s">
        <v>70</v>
      </c>
      <c r="L1" s="65" t="s">
        <v>43</v>
      </c>
      <c r="M1" s="65" t="s">
        <v>42</v>
      </c>
      <c r="N1" s="65" t="s">
        <v>114</v>
      </c>
      <c r="O1" s="65" t="s">
        <v>115</v>
      </c>
      <c r="P1" s="74" t="s">
        <v>121</v>
      </c>
      <c r="Q1" s="67"/>
      <c r="R1" s="67"/>
      <c r="S1" s="75"/>
      <c r="T1" s="74" t="s">
        <v>122</v>
      </c>
      <c r="U1" s="67"/>
      <c r="V1" s="67"/>
      <c r="W1" s="75"/>
    </row>
    <row r="2" spans="1:23" s="7" customFormat="1" ht="17" thickBot="1" x14ac:dyDescent="0.25">
      <c r="A2" s="66"/>
      <c r="B2" s="66"/>
      <c r="C2" s="66"/>
      <c r="D2" s="71"/>
      <c r="E2" s="73"/>
      <c r="F2" s="66"/>
      <c r="G2" s="66"/>
      <c r="H2" s="69"/>
      <c r="I2" s="66"/>
      <c r="J2" s="66"/>
      <c r="K2" s="66"/>
      <c r="L2" s="66"/>
      <c r="M2" s="66"/>
      <c r="N2" s="66"/>
      <c r="O2" s="66"/>
      <c r="P2" s="8" t="s">
        <v>57</v>
      </c>
      <c r="Q2" s="7" t="s">
        <v>116</v>
      </c>
      <c r="R2" s="7" t="s">
        <v>37</v>
      </c>
      <c r="S2" s="7" t="s">
        <v>39</v>
      </c>
      <c r="T2" s="8" t="s">
        <v>57</v>
      </c>
      <c r="U2" s="7" t="s">
        <v>116</v>
      </c>
      <c r="V2" s="7" t="s">
        <v>37</v>
      </c>
      <c r="W2" s="9" t="s">
        <v>39</v>
      </c>
    </row>
    <row r="3" spans="1:23" ht="17" thickTop="1" x14ac:dyDescent="0.2">
      <c r="A3" s="1">
        <f>IF(M3&lt;&gt;"",SUMPRODUCT((M$3:M$14&lt;&gt;"")*(F$3:F$14=F3)*(M$3:M$14&lt;M3))+1,IF(L3&lt;&gt;"",SUMPRODUCT((M$3:M$14&lt;&gt;"")*(F$3:F$14=F3))+SUMPRODUCT((L$3:L$14&lt;&gt;"")*(F$3:F$14=F3)*(L$3:L$14&lt;L3))+1,IF(K3="P",SUMPRODUCT((L$3:L$14&lt;&gt;"")*(F$3:F$14=F3))+SUMPRODUCT((M$3:M$14&lt;&gt;"")*(F$3:F$14=F3))+1+SUMPRODUCT((K$3:K$14="P")*(F$3:F$14=F3)*(H$3:H$14&gt;H3)*(L$3:L$14="")*(M$3:M$14="")),"")))</f>
        <v>1</v>
      </c>
      <c r="B3" s="38" t="s">
        <v>184</v>
      </c>
      <c r="C3" s="38" t="s">
        <v>4</v>
      </c>
      <c r="D3" s="38" t="s">
        <v>183</v>
      </c>
      <c r="E3" s="37">
        <v>2006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13-14</v>
      </c>
      <c r="G3" s="56" t="s">
        <v>305</v>
      </c>
      <c r="H3" s="4">
        <f>SUM(N3:O3)</f>
        <v>126</v>
      </c>
      <c r="I3" s="3" t="str">
        <f>IF(MAX(P3,R3,T3,V3)&gt;=LOOKUP(F3,'Qualifying Scores'!$A$4:$A$7,'Qualifying Scores'!$H$4:$H$7),"P","")</f>
        <v>P</v>
      </c>
      <c r="J3" s="3" t="str">
        <f>IF(MAX(Q3,S3,U3,W3)&gt;=LOOKUP(F3,'Qualifying Scores'!$A$10:$A$13,'Qualifying Scores'!$H$10:$H$13),"P","")</f>
        <v>P</v>
      </c>
      <c r="K3" s="3" t="str">
        <f>IF(OR(AND(P3&gt;=LOOKUP(F3,'Qualifying Scores'!$A$4:$A$7,'Qualifying Scores'!$H$4:$H$7),Q3&gt;=LOOKUP(F3,'Qualifying Scores'!$A$10:$A$13,'Qualifying Scores'!$H$10:$H$13)),AND(S3&gt;=LOOKUP(F3,'Qualifying Scores'!$A$4:$A$7,'Qualifying Scores'!$H$4:$H$7),R3&gt;=LOOKUP(F3,'Qualifying Scores'!$A$10:$A$13,'Qualifying Scores'!$H$10:$H$13)),AND(T3&gt;=LOOKUP(F3,'Qualifying Scores'!$A$4:$A$7,'Qualifying Scores'!$H$4:$H$7),U3&gt;=LOOKUP(F3,'Qualifying Scores'!$A$10:$A$13,'Qualifying Scores'!$H$10:$H$13)),AND(V3&gt;=LOOKUP(F3,'Qualifying Scores'!$A$4:$A$7,'Qualifying Scores'!$H$4:$H$7),W3&gt;=LOOKUP(F3,'Qualifying Scores'!$A$10:$A$13,'Qualifying Scores'!$H$10:$H$13))),"P","")</f>
        <v>P</v>
      </c>
      <c r="N3" s="4">
        <f>MAX(P3,T3)</f>
        <v>63.5</v>
      </c>
      <c r="O3" s="4">
        <f>IF(N3=P3,MAX(R3,T3,V3),MAX(P3,R3,V3))</f>
        <v>62.5</v>
      </c>
      <c r="P3" s="33">
        <v>59.9</v>
      </c>
      <c r="Q3" s="44">
        <v>7.2</v>
      </c>
      <c r="R3" s="34">
        <v>59.2</v>
      </c>
      <c r="S3" s="44">
        <v>7.3</v>
      </c>
      <c r="T3" s="33">
        <v>63.5</v>
      </c>
      <c r="U3" s="44">
        <v>8</v>
      </c>
      <c r="V3" s="34">
        <v>62.5</v>
      </c>
      <c r="W3" s="39">
        <v>9.5</v>
      </c>
    </row>
    <row r="4" spans="1:23" x14ac:dyDescent="0.2">
      <c r="A4" s="1" t="str">
        <f>IF(M4&lt;&gt;"",SUMPRODUCT((M$3:M$14&lt;&gt;"")*(F$3:F$14=F4)*(M$3:M$14&lt;M4))+1,IF(L4&lt;&gt;"",SUMPRODUCT((M$3:M$14&lt;&gt;"")*(F$3:F$14=F4))+SUMPRODUCT((L$3:L$14&lt;&gt;"")*(F$3:F$14=F4)*(L$3:L$14&lt;L4))+1,IF(K4="P",SUMPRODUCT((L$3:L$14&lt;&gt;"")*(F$3:F$14=F4))+SUMPRODUCT((M$3:M$14&lt;&gt;"")*(F$3:F$14=F4))+1+SUMPRODUCT((K$3:K$14="P")*(F$3:F$14=F4)*(H$3:H$14&gt;H4)*(L$3:L$14="")*(M$3:M$14="")),"")))</f>
        <v/>
      </c>
      <c r="B4" s="38" t="s">
        <v>295</v>
      </c>
      <c r="C4" s="38" t="s">
        <v>4</v>
      </c>
      <c r="D4" s="38" t="s">
        <v>180</v>
      </c>
      <c r="E4" s="37">
        <v>2003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15-16</v>
      </c>
      <c r="G4" s="56"/>
      <c r="H4" s="4">
        <f>SUM(N4:O4)</f>
        <v>116.4</v>
      </c>
      <c r="I4" s="3" t="str">
        <f>IF(MAX(P4,R4,T4,V4)&gt;=LOOKUP(F4,'Qualifying Scores'!$A$4:$A$7,'Qualifying Scores'!$H$4:$H$7),"P","")</f>
        <v/>
      </c>
      <c r="J4" s="3" t="str">
        <f>IF(MAX(Q4,S4,U4,W4)&gt;=LOOKUP(F4,'Qualifying Scores'!$A$10:$A$13,'Qualifying Scores'!$H$10:$H$13),"P","")</f>
        <v>P</v>
      </c>
      <c r="K4" s="3" t="str">
        <f>IF(OR(AND(P4&gt;=LOOKUP(F4,'Qualifying Scores'!$A$4:$A$7,'Qualifying Scores'!$H$4:$H$7),Q4&gt;=LOOKUP(F4,'Qualifying Scores'!$A$10:$A$13,'Qualifying Scores'!$H$10:$H$13)),AND(S4&gt;=LOOKUP(F4,'Qualifying Scores'!$A$4:$A$7,'Qualifying Scores'!$H$4:$H$7),R4&gt;=LOOKUP(F4,'Qualifying Scores'!$A$10:$A$13,'Qualifying Scores'!$H$10:$H$13)),AND(T4&gt;=LOOKUP(F4,'Qualifying Scores'!$A$4:$A$7,'Qualifying Scores'!$H$4:$H$7),U4&gt;=LOOKUP(F4,'Qualifying Scores'!$A$10:$A$13,'Qualifying Scores'!$H$10:$H$13)),AND(V4&gt;=LOOKUP(F4,'Qualifying Scores'!$A$4:$A$7,'Qualifying Scores'!$H$4:$H$7),W4&gt;=LOOKUP(F4,'Qualifying Scores'!$A$10:$A$13,'Qualifying Scores'!$H$10:$H$13))),"P","")</f>
        <v/>
      </c>
      <c r="N4" s="4">
        <f>MAX(P4,T4)</f>
        <v>58.6</v>
      </c>
      <c r="O4" s="4">
        <f>IF(N4=P4,MAX(R4,T4,V4),MAX(P4,R4,V4))</f>
        <v>57.8</v>
      </c>
      <c r="P4" s="33"/>
      <c r="Q4" s="44"/>
      <c r="R4" s="34"/>
      <c r="S4" s="44"/>
      <c r="T4" s="33">
        <v>58.6</v>
      </c>
      <c r="U4" s="44">
        <v>7.3</v>
      </c>
      <c r="V4" s="34">
        <v>57.8</v>
      </c>
      <c r="W4" s="39">
        <v>7.3</v>
      </c>
    </row>
    <row r="5" spans="1:23" x14ac:dyDescent="0.2">
      <c r="A5" s="1" t="str">
        <f>IF(M5&lt;&gt;"",SUMPRODUCT((M$3:M$14&lt;&gt;"")*(F$3:F$14=F5)*(M$3:M$14&lt;M5))+1,IF(L5&lt;&gt;"",SUMPRODUCT((M$3:M$14&lt;&gt;"")*(F$3:F$14=F5))+SUMPRODUCT((L$3:L$14&lt;&gt;"")*(F$3:F$14=F5)*(L$3:L$14&lt;L5))+1,IF(K5="P",SUMPRODUCT((L$3:L$14&lt;&gt;"")*(F$3:F$14=F5))+SUMPRODUCT((M$3:M$14&lt;&gt;"")*(F$3:F$14=F5))+1+SUMPRODUCT((K$3:K$14="P")*(F$3:F$14=F5)*(H$3:H$14&gt;H5)*(L$3:L$14="")*(M$3:M$14="")),"")))</f>
        <v/>
      </c>
      <c r="B5" s="38" t="s">
        <v>186</v>
      </c>
      <c r="C5" s="38" t="s">
        <v>4</v>
      </c>
      <c r="D5" s="38" t="s">
        <v>73</v>
      </c>
      <c r="E5" s="37">
        <v>2004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15-16</v>
      </c>
      <c r="G5" s="56" t="s">
        <v>305</v>
      </c>
      <c r="H5" s="4">
        <f>SUM(N5:O5)</f>
        <v>114.69999999999999</v>
      </c>
      <c r="I5" s="3" t="str">
        <f>IF(MAX(P5,R5,T5,V5)&gt;=LOOKUP(F5,'Qualifying Scores'!$A$4:$A$7,'Qualifying Scores'!$H$4:$H$7),"P","")</f>
        <v/>
      </c>
      <c r="J5" s="3" t="str">
        <f>IF(MAX(Q5,S5,U5,W5)&gt;=LOOKUP(F5,'Qualifying Scores'!$A$10:$A$13,'Qualifying Scores'!$H$10:$H$13),"P","")</f>
        <v>P</v>
      </c>
      <c r="K5" s="3" t="str">
        <f>IF(OR(AND(P5&gt;=LOOKUP(F5,'Qualifying Scores'!$A$4:$A$7,'Qualifying Scores'!$H$4:$H$7),Q5&gt;=LOOKUP(F5,'Qualifying Scores'!$A$10:$A$13,'Qualifying Scores'!$H$10:$H$13)),AND(S5&gt;=LOOKUP(F5,'Qualifying Scores'!$A$4:$A$7,'Qualifying Scores'!$H$4:$H$7),R5&gt;=LOOKUP(F5,'Qualifying Scores'!$A$10:$A$13,'Qualifying Scores'!$H$10:$H$13)),AND(T5&gt;=LOOKUP(F5,'Qualifying Scores'!$A$4:$A$7,'Qualifying Scores'!$H$4:$H$7),U5&gt;=LOOKUP(F5,'Qualifying Scores'!$A$10:$A$13,'Qualifying Scores'!$H$10:$H$13)),AND(V5&gt;=LOOKUP(F5,'Qualifying Scores'!$A$4:$A$7,'Qualifying Scores'!$H$4:$H$7),W5&gt;=LOOKUP(F5,'Qualifying Scores'!$A$10:$A$13,'Qualifying Scores'!$H$10:$H$13))),"P","")</f>
        <v/>
      </c>
      <c r="N5" s="4">
        <f>MAX(P5,T5)</f>
        <v>58.3</v>
      </c>
      <c r="O5" s="4">
        <f>IF(N5=P5,MAX(R5,T5,V5),MAX(P5,R5,V5))</f>
        <v>56.4</v>
      </c>
      <c r="P5" s="33">
        <v>58.3</v>
      </c>
      <c r="Q5" s="44">
        <v>8.4</v>
      </c>
      <c r="R5" s="34">
        <v>56.4</v>
      </c>
      <c r="S5" s="44">
        <v>8</v>
      </c>
      <c r="T5" s="33">
        <v>55.8</v>
      </c>
      <c r="U5" s="44">
        <v>9.3000000000000007</v>
      </c>
      <c r="V5" s="34">
        <v>56.4</v>
      </c>
      <c r="W5" s="39">
        <v>8.6</v>
      </c>
    </row>
    <row r="6" spans="1:23" x14ac:dyDescent="0.2">
      <c r="A6" s="1" t="str">
        <f>IF(M6&lt;&gt;"",SUMPRODUCT((M$3:M$14&lt;&gt;"")*(F$3:F$14=F6)*(M$3:M$14&lt;M6))+1,IF(L6&lt;&gt;"",SUMPRODUCT((M$3:M$14&lt;&gt;"")*(F$3:F$14=F6))+SUMPRODUCT((L$3:L$14&lt;&gt;"")*(F$3:F$14=F6)*(L$3:L$14&lt;L6))+1,IF(K6="P",SUMPRODUCT((L$3:L$14&lt;&gt;"")*(F$3:F$14=F6))+SUMPRODUCT((M$3:M$14&lt;&gt;"")*(F$3:F$14=F6))+1+SUMPRODUCT((K$3:K$14="P")*(F$3:F$14=F6)*(H$3:H$14&gt;H6)*(L$3:L$14="")*(M$3:M$14="")),"")))</f>
        <v/>
      </c>
      <c r="B6" s="38" t="s">
        <v>296</v>
      </c>
      <c r="C6" s="38" t="s">
        <v>8</v>
      </c>
      <c r="E6" s="37">
        <v>2004</v>
      </c>
      <c r="F6" s="1" t="str">
        <f>IF('Qualifying Scores'!$B$1-E6&gt;21,"Not Age Eligible",IF('Qualifying Scores'!$B$1-E6&gt;16,"17-21",IF('Qualifying Scores'!$B$1-E6&gt;14,"15-16",IF('Qualifying Scores'!$B$1-E6&gt;12,"13-14",IF('Qualifying Scores'!$B$1-E6&gt;10,"11-12,""Not Age Eligible")))))</f>
        <v>15-16</v>
      </c>
      <c r="G6" s="56"/>
      <c r="H6" s="4">
        <f>SUM(N6:O6)</f>
        <v>109.3</v>
      </c>
      <c r="I6" s="3" t="str">
        <f>IF(MAX(P6,R6,T6,V6)&gt;=LOOKUP(F6,'Qualifying Scores'!$A$4:$A$7,'Qualifying Scores'!$H$4:$H$7),"P","")</f>
        <v/>
      </c>
      <c r="J6" s="3" t="str">
        <f>IF(MAX(Q6,S6,U6,W6)&gt;=LOOKUP(F6,'Qualifying Scores'!$A$10:$A$13,'Qualifying Scores'!$H$10:$H$13),"P","")</f>
        <v>P</v>
      </c>
      <c r="K6" s="3" t="str">
        <f>IF(OR(AND(P6&gt;=LOOKUP(F6,'Qualifying Scores'!$A$4:$A$7,'Qualifying Scores'!$H$4:$H$7),Q6&gt;=LOOKUP(F6,'Qualifying Scores'!$A$10:$A$13,'Qualifying Scores'!$H$10:$H$13)),AND(S6&gt;=LOOKUP(F6,'Qualifying Scores'!$A$4:$A$7,'Qualifying Scores'!$H$4:$H$7),R6&gt;=LOOKUP(F6,'Qualifying Scores'!$A$10:$A$13,'Qualifying Scores'!$H$10:$H$13)),AND(T6&gt;=LOOKUP(F6,'Qualifying Scores'!$A$4:$A$7,'Qualifying Scores'!$H$4:$H$7),U6&gt;=LOOKUP(F6,'Qualifying Scores'!$A$10:$A$13,'Qualifying Scores'!$H$10:$H$13)),AND(V6&gt;=LOOKUP(F6,'Qualifying Scores'!$A$4:$A$7,'Qualifying Scores'!$H$4:$H$7),W6&gt;=LOOKUP(F6,'Qualifying Scores'!$A$10:$A$13,'Qualifying Scores'!$H$10:$H$13))),"P","")</f>
        <v/>
      </c>
      <c r="N6" s="4">
        <f>MAX(P6,T6)</f>
        <v>55.8</v>
      </c>
      <c r="O6" s="4">
        <f>IF(N6=P6,MAX(R6,T6,V6),MAX(P6,R6,V6))</f>
        <v>53.5</v>
      </c>
      <c r="P6" s="33"/>
      <c r="Q6" s="44"/>
      <c r="R6" s="34"/>
      <c r="S6" s="44"/>
      <c r="T6" s="33">
        <v>55.8</v>
      </c>
      <c r="U6" s="44">
        <v>7.1</v>
      </c>
      <c r="V6" s="34">
        <v>53.5</v>
      </c>
      <c r="W6" s="39">
        <v>5.6</v>
      </c>
    </row>
    <row r="7" spans="1:23" x14ac:dyDescent="0.2">
      <c r="A7" s="1" t="str">
        <f>IF(M7&lt;&gt;"",SUMPRODUCT((M$3:M$14&lt;&gt;"")*(F$3:F$14=F7)*(M$3:M$14&lt;M7))+1,IF(L7&lt;&gt;"",SUMPRODUCT((M$3:M$14&lt;&gt;"")*(F$3:F$14=F7))+SUMPRODUCT((L$3:L$14&lt;&gt;"")*(F$3:F$14=F7)*(L$3:L$14&lt;L7))+1,IF(K7="P",SUMPRODUCT((L$3:L$14&lt;&gt;"")*(F$3:F$14=F7))+SUMPRODUCT((M$3:M$14&lt;&gt;"")*(F$3:F$14=F7))+1+SUMPRODUCT((K$3:K$14="P")*(F$3:F$14=F7)*(H$3:H$14&gt;H7)*(L$3:L$14="")*(M$3:M$14="")),"")))</f>
        <v/>
      </c>
      <c r="B7" s="38" t="s">
        <v>209</v>
      </c>
      <c r="C7" s="38" t="s">
        <v>8</v>
      </c>
      <c r="D7" s="38" t="s">
        <v>75</v>
      </c>
      <c r="E7" s="37">
        <v>2003</v>
      </c>
      <c r="F7" s="1" t="str">
        <f>IF('Qualifying Scores'!$B$1-E7&gt;21,"Not Age Eligible",IF('Qualifying Scores'!$B$1-E7&gt;16,"17-21",IF('Qualifying Scores'!$B$1-E7&gt;14,"15-16",IF('Qualifying Scores'!$B$1-E7&gt;12,"13-14",IF('Qualifying Scores'!$B$1-E7&gt;10,"11-12,""Not Age Eligible")))))</f>
        <v>15-16</v>
      </c>
      <c r="G7" s="56" t="s">
        <v>305</v>
      </c>
      <c r="H7" s="4">
        <f>SUM(N7:O7)</f>
        <v>96</v>
      </c>
      <c r="I7" s="3" t="str">
        <f>IF(MAX(P7,R7,T7,V7)&gt;=LOOKUP(F7,'Qualifying Scores'!$A$4:$A$7,'Qualifying Scores'!$H$4:$H$7),"P","")</f>
        <v/>
      </c>
      <c r="J7" s="3" t="str">
        <f>IF(MAX(Q7,S7,U7,W7)&gt;=LOOKUP(F7,'Qualifying Scores'!$A$10:$A$13,'Qualifying Scores'!$H$10:$H$13),"P","")</f>
        <v/>
      </c>
      <c r="K7" s="3" t="str">
        <f>IF(OR(AND(P7&gt;=LOOKUP(F7,'Qualifying Scores'!$A$4:$A$7,'Qualifying Scores'!$H$4:$H$7),Q7&gt;=LOOKUP(F7,'Qualifying Scores'!$A$10:$A$13,'Qualifying Scores'!$H$10:$H$13)),AND(S7&gt;=LOOKUP(F7,'Qualifying Scores'!$A$4:$A$7,'Qualifying Scores'!$H$4:$H$7),R7&gt;=LOOKUP(F7,'Qualifying Scores'!$A$10:$A$13,'Qualifying Scores'!$H$10:$H$13)),AND(T7&gt;=LOOKUP(F7,'Qualifying Scores'!$A$4:$A$7,'Qualifying Scores'!$H$4:$H$7),U7&gt;=LOOKUP(F7,'Qualifying Scores'!$A$10:$A$13,'Qualifying Scores'!$H$10:$H$13)),AND(V7&gt;=LOOKUP(F7,'Qualifying Scores'!$A$4:$A$7,'Qualifying Scores'!$H$4:$H$7),W7&gt;=LOOKUP(F7,'Qualifying Scores'!$A$10:$A$13,'Qualifying Scores'!$H$10:$H$13))),"P","")</f>
        <v/>
      </c>
      <c r="N7" s="4">
        <f>MAX(P7,T7)</f>
        <v>53.2</v>
      </c>
      <c r="O7" s="4">
        <f>IF(N7=P7,MAX(R7,T7,V7),MAX(P7,R7,V7))</f>
        <v>42.8</v>
      </c>
      <c r="P7" s="33">
        <v>53.2</v>
      </c>
      <c r="Q7" s="44">
        <v>6.4</v>
      </c>
      <c r="R7" s="34"/>
      <c r="S7" s="45"/>
      <c r="T7" s="33">
        <v>42.8</v>
      </c>
      <c r="U7" s="44">
        <v>6</v>
      </c>
      <c r="V7" s="34"/>
      <c r="W7" s="39"/>
    </row>
    <row r="8" spans="1:23" x14ac:dyDescent="0.2">
      <c r="A8" s="1" t="str">
        <f>IF(M8&lt;&gt;"",SUMPRODUCT((M$3:M$14&lt;&gt;"")*(F$3:F$14=F8)*(M$3:M$14&lt;M8))+1,IF(L8&lt;&gt;"",SUMPRODUCT((M$3:M$14&lt;&gt;"")*(F$3:F$14=F8))+SUMPRODUCT((L$3:L$14&lt;&gt;"")*(F$3:F$14=F8)*(L$3:L$14&lt;L8))+1,IF(K8="P",SUMPRODUCT((L$3:L$14&lt;&gt;"")*(F$3:F$14=F8))+SUMPRODUCT((M$3:M$14&lt;&gt;"")*(F$3:F$14=F8))+1+SUMPRODUCT((K$3:K$14="P")*(F$3:F$14=F8)*(H$3:H$14&gt;H8)*(L$3:L$14="")*(M$3:M$14="")),"")))</f>
        <v/>
      </c>
      <c r="B8" s="38" t="s">
        <v>189</v>
      </c>
      <c r="C8" s="38" t="s">
        <v>8</v>
      </c>
      <c r="D8" s="38" t="s">
        <v>75</v>
      </c>
      <c r="E8" s="37">
        <v>2003</v>
      </c>
      <c r="F8" s="1" t="str">
        <f>IF('Qualifying Scores'!$B$1-E8&gt;21,"Not Age Eligible",IF('Qualifying Scores'!$B$1-E8&gt;16,"17-21",IF('Qualifying Scores'!$B$1-E8&gt;14,"15-16",IF('Qualifying Scores'!$B$1-E8&gt;12,"13-14",IF('Qualifying Scores'!$B$1-E8&gt;10,"11-12,""Not Age Eligible")))))</f>
        <v>15-16</v>
      </c>
      <c r="G8" s="56" t="s">
        <v>305</v>
      </c>
      <c r="H8" s="4">
        <f>SUM(N8:O8)</f>
        <v>50.1</v>
      </c>
      <c r="I8" s="3" t="str">
        <f>IF(MAX(P8,R8,T8,V8)&gt;=LOOKUP(F8,'Qualifying Scores'!$A$4:$A$7,'Qualifying Scores'!$H$4:$H$7),"P","")</f>
        <v/>
      </c>
      <c r="J8" s="3" t="str">
        <f>IF(MAX(Q8,S8,U8,W8)&gt;=LOOKUP(F8,'Qualifying Scores'!$A$10:$A$13,'Qualifying Scores'!$H$10:$H$13),"P","")</f>
        <v/>
      </c>
      <c r="K8" s="3" t="str">
        <f>IF(OR(AND(P8&gt;=LOOKUP(F8,'Qualifying Scores'!$A$4:$A$7,'Qualifying Scores'!$H$4:$H$7),Q8&gt;=LOOKUP(F8,'Qualifying Scores'!$A$10:$A$13,'Qualifying Scores'!$H$10:$H$13)),AND(S8&gt;=LOOKUP(F8,'Qualifying Scores'!$A$4:$A$7,'Qualifying Scores'!$H$4:$H$7),R8&gt;=LOOKUP(F8,'Qualifying Scores'!$A$10:$A$13,'Qualifying Scores'!$H$10:$H$13)),AND(T8&gt;=LOOKUP(F8,'Qualifying Scores'!$A$4:$A$7,'Qualifying Scores'!$H$4:$H$7),U8&gt;=LOOKUP(F8,'Qualifying Scores'!$A$10:$A$13,'Qualifying Scores'!$H$10:$H$13)),AND(V8&gt;=LOOKUP(F8,'Qualifying Scores'!$A$4:$A$7,'Qualifying Scores'!$H$4:$H$7),W8&gt;=LOOKUP(F8,'Qualifying Scores'!$A$10:$A$13,'Qualifying Scores'!$H$10:$H$13))),"P","")</f>
        <v/>
      </c>
      <c r="N8" s="4">
        <f>MAX(P8,T8)</f>
        <v>50.1</v>
      </c>
      <c r="O8" s="4">
        <f>IF(N8=P8,MAX(R8,T8,V8),MAX(P8,R8,V8))</f>
        <v>0</v>
      </c>
      <c r="P8" s="33"/>
      <c r="Q8" s="44"/>
      <c r="R8" s="34"/>
      <c r="S8" s="44"/>
      <c r="T8" s="33">
        <v>50.1</v>
      </c>
      <c r="U8" s="44">
        <v>5.6</v>
      </c>
      <c r="V8" s="34"/>
      <c r="W8" s="39"/>
    </row>
    <row r="9" spans="1:23" x14ac:dyDescent="0.2">
      <c r="A9" s="1">
        <f>IF(M9&lt;&gt;"",SUMPRODUCT((M$3:M$14&lt;&gt;"")*(F$3:F$14=F9)*(M$3:M$14&lt;M9))+1,IF(L9&lt;&gt;"",SUMPRODUCT((M$3:M$14&lt;&gt;"")*(F$3:F$14=F9))+SUMPRODUCT((L$3:L$14&lt;&gt;"")*(F$3:F$14=F9)*(L$3:L$14&lt;L9))+1,IF(K9="P",SUMPRODUCT((L$3:L$14&lt;&gt;"")*(F$3:F$14=F9))+SUMPRODUCT((M$3:M$14&lt;&gt;"")*(F$3:F$14=F9))+1+SUMPRODUCT((K$3:K$14="P")*(F$3:F$14=F9)*(H$3:H$14&gt;H9)*(L$3:L$14="")*(M$3:M$14="")),"")))</f>
        <v>1</v>
      </c>
      <c r="B9" s="38" t="s">
        <v>219</v>
      </c>
      <c r="C9" s="38" t="s">
        <v>8</v>
      </c>
      <c r="D9" s="38" t="s">
        <v>9</v>
      </c>
      <c r="E9" s="37">
        <v>2001</v>
      </c>
      <c r="F9" s="1" t="str">
        <f>IF('Qualifying Scores'!$B$1-E9&gt;21,"Not Age Eligible",IF('Qualifying Scores'!$B$1-E9&gt;16,"17-21",IF('Qualifying Scores'!$B$1-E9&gt;14,"15-16",IF('Qualifying Scores'!$B$1-E9&gt;12,"13-14",IF('Qualifying Scores'!$B$1-E9&gt;10,"11-12,""Not Age Eligible")))))</f>
        <v>17-21</v>
      </c>
      <c r="G9" s="56" t="s">
        <v>305</v>
      </c>
      <c r="H9" s="4">
        <f>SUM(N9:O9)</f>
        <v>133.80000000000001</v>
      </c>
      <c r="I9" s="3" t="str">
        <f>IF(MAX(P9,R9,T9,V9)&gt;=LOOKUP(F9,'Qualifying Scores'!$A$4:$A$7,'Qualifying Scores'!$H$4:$H$7),"P","")</f>
        <v>P</v>
      </c>
      <c r="J9" s="3" t="str">
        <f>IF(MAX(Q9,S9,U9,W9)&gt;=LOOKUP(F9,'Qualifying Scores'!$A$10:$A$13,'Qualifying Scores'!$H$10:$H$13),"P","")</f>
        <v>P</v>
      </c>
      <c r="K9" s="3" t="str">
        <f>IF(OR(AND(P9&gt;=LOOKUP(F9,'Qualifying Scores'!$A$4:$A$7,'Qualifying Scores'!$H$4:$H$7),Q9&gt;=LOOKUP(F9,'Qualifying Scores'!$A$10:$A$13,'Qualifying Scores'!$H$10:$H$13)),AND(S9&gt;=LOOKUP(F9,'Qualifying Scores'!$A$4:$A$7,'Qualifying Scores'!$H$4:$H$7),R9&gt;=LOOKUP(F9,'Qualifying Scores'!$A$10:$A$13,'Qualifying Scores'!$H$10:$H$13)),AND(T9&gt;=LOOKUP(F9,'Qualifying Scores'!$A$4:$A$7,'Qualifying Scores'!$H$4:$H$7),U9&gt;=LOOKUP(F9,'Qualifying Scores'!$A$10:$A$13,'Qualifying Scores'!$H$10:$H$13)),AND(V9&gt;=LOOKUP(F9,'Qualifying Scores'!$A$4:$A$7,'Qualifying Scores'!$H$4:$H$7),W9&gt;=LOOKUP(F9,'Qualifying Scores'!$A$10:$A$13,'Qualifying Scores'!$H$10:$H$13))),"P","")</f>
        <v>P</v>
      </c>
      <c r="M9" s="42">
        <v>2</v>
      </c>
      <c r="N9" s="4">
        <f>MAX(P9,T9)</f>
        <v>66.3</v>
      </c>
      <c r="O9" s="4">
        <f>IF(N9=P9,MAX(R9,T9,V9),MAX(P9,R9,V9))</f>
        <v>67.5</v>
      </c>
      <c r="P9" s="33">
        <v>63.5</v>
      </c>
      <c r="Q9" s="44">
        <v>11.9</v>
      </c>
      <c r="R9" s="34">
        <v>58.6</v>
      </c>
      <c r="S9" s="44">
        <v>10</v>
      </c>
      <c r="T9" s="33">
        <v>66.3</v>
      </c>
      <c r="U9" s="44">
        <v>11.8</v>
      </c>
      <c r="V9" s="34">
        <v>67.5</v>
      </c>
      <c r="W9" s="39">
        <v>13.4</v>
      </c>
    </row>
    <row r="10" spans="1:23" x14ac:dyDescent="0.2">
      <c r="A10" s="1">
        <f>IF(M10&lt;&gt;"",SUMPRODUCT((M$3:M$14&lt;&gt;"")*(F$3:F$14=F10)*(M$3:M$14&lt;M10))+1,IF(L10&lt;&gt;"",SUMPRODUCT((M$3:M$14&lt;&gt;"")*(F$3:F$14=F10))+SUMPRODUCT((L$3:L$14&lt;&gt;"")*(F$3:F$14=F10)*(L$3:L$14&lt;L10))+1,IF(K10="P",SUMPRODUCT((L$3:L$14&lt;&gt;"")*(F$3:F$14=F10))+SUMPRODUCT((M$3:M$14&lt;&gt;"")*(F$3:F$14=F10))+1+SUMPRODUCT((K$3:K$14="P")*(F$3:F$14=F10)*(H$3:H$14&gt;H10)*(L$3:L$14="")*(M$3:M$14="")),"")))</f>
        <v>2</v>
      </c>
      <c r="B10" s="38" t="s">
        <v>220</v>
      </c>
      <c r="C10" s="38" t="s">
        <v>8</v>
      </c>
      <c r="D10" s="38" t="s">
        <v>9</v>
      </c>
      <c r="E10" s="37">
        <v>2002</v>
      </c>
      <c r="F10" s="1" t="str">
        <f>IF('Qualifying Scores'!$B$1-E10&gt;21,"Not Age Eligible",IF('Qualifying Scores'!$B$1-E10&gt;16,"17-21",IF('Qualifying Scores'!$B$1-E10&gt;14,"15-16",IF('Qualifying Scores'!$B$1-E10&gt;12,"13-14",IF('Qualifying Scores'!$B$1-E10&gt;10,"11-12,""Not Age Eligible")))))</f>
        <v>17-21</v>
      </c>
      <c r="G10" s="56" t="s">
        <v>305</v>
      </c>
      <c r="H10" s="4">
        <f>SUM(N10:O10)</f>
        <v>126.5</v>
      </c>
      <c r="I10" s="3" t="str">
        <f>IF(MAX(P10,R10,T10,V10)&gt;=LOOKUP(F10,'Qualifying Scores'!$A$4:$A$7,'Qualifying Scores'!$H$4:$H$7),"P","")</f>
        <v>P</v>
      </c>
      <c r="J10" s="3" t="str">
        <f>IF(MAX(Q10,S10,U10,W10)&gt;=LOOKUP(F10,'Qualifying Scores'!$A$10:$A$13,'Qualifying Scores'!$H$10:$H$13),"P","")</f>
        <v>P</v>
      </c>
      <c r="K10" s="3" t="str">
        <f>IF(OR(AND(P10&gt;=LOOKUP(F10,'Qualifying Scores'!$A$4:$A$7,'Qualifying Scores'!$H$4:$H$7),Q10&gt;=LOOKUP(F10,'Qualifying Scores'!$A$10:$A$13,'Qualifying Scores'!$H$10:$H$13)),AND(S10&gt;=LOOKUP(F10,'Qualifying Scores'!$A$4:$A$7,'Qualifying Scores'!$H$4:$H$7),R10&gt;=LOOKUP(F10,'Qualifying Scores'!$A$10:$A$13,'Qualifying Scores'!$H$10:$H$13)),AND(T10&gt;=LOOKUP(F10,'Qualifying Scores'!$A$4:$A$7,'Qualifying Scores'!$H$4:$H$7),U10&gt;=LOOKUP(F10,'Qualifying Scores'!$A$10:$A$13,'Qualifying Scores'!$H$10:$H$13)),AND(V10&gt;=LOOKUP(F10,'Qualifying Scores'!$A$4:$A$7,'Qualifying Scores'!$H$4:$H$7),W10&gt;=LOOKUP(F10,'Qualifying Scores'!$A$10:$A$13,'Qualifying Scores'!$H$10:$H$13))),"P","")</f>
        <v>P</v>
      </c>
      <c r="L10" s="42">
        <v>1</v>
      </c>
      <c r="N10" s="4">
        <f>MAX(P10,T10)</f>
        <v>63.2</v>
      </c>
      <c r="O10" s="4">
        <f>IF(N10=P10,MAX(R10,T10,V10),MAX(P10,R10,V10))</f>
        <v>63.3</v>
      </c>
      <c r="P10" s="33">
        <v>58.2</v>
      </c>
      <c r="Q10" s="44">
        <v>9.5</v>
      </c>
      <c r="R10" s="34">
        <v>61.8</v>
      </c>
      <c r="S10" s="44">
        <v>10.4</v>
      </c>
      <c r="T10" s="33">
        <v>63.2</v>
      </c>
      <c r="U10" s="44">
        <v>10.9</v>
      </c>
      <c r="V10" s="34">
        <v>63.3</v>
      </c>
      <c r="W10" s="39">
        <v>11.4</v>
      </c>
    </row>
    <row r="11" spans="1:23" x14ac:dyDescent="0.2">
      <c r="A11" s="1" t="str">
        <f>IF(M11&lt;&gt;"",SUMPRODUCT((M$3:M$14&lt;&gt;"")*(F$3:F$14=F11)*(M$3:M$14&lt;M11))+1,IF(L11&lt;&gt;"",SUMPRODUCT((M$3:M$14&lt;&gt;"")*(F$3:F$14=F11))+SUMPRODUCT((L$3:L$14&lt;&gt;"")*(F$3:F$14=F11)*(L$3:L$14&lt;L11))+1,IF(K11="P",SUMPRODUCT((L$3:L$14&lt;&gt;"")*(F$3:F$14=F11))+SUMPRODUCT((M$3:M$14&lt;&gt;"")*(F$3:F$14=F11))+1+SUMPRODUCT((K$3:K$14="P")*(F$3:F$14=F11)*(H$3:H$14&gt;H11)*(L$3:L$14="")*(M$3:M$14="")),"")))</f>
        <v/>
      </c>
      <c r="B11" s="38" t="s">
        <v>290</v>
      </c>
      <c r="C11" s="38" t="s">
        <v>4</v>
      </c>
      <c r="D11" s="38" t="s">
        <v>92</v>
      </c>
      <c r="E11" s="37">
        <v>2001</v>
      </c>
      <c r="F11" s="1" t="str">
        <f>IF('Qualifying Scores'!$B$1-E11&gt;21,"Not Age Eligible",IF('Qualifying Scores'!$B$1-E11&gt;16,"17-21",IF('Qualifying Scores'!$B$1-E11&gt;14,"15-16",IF('Qualifying Scores'!$B$1-E11&gt;12,"13-14",IF('Qualifying Scores'!$B$1-E11&gt;10,"11-12,""Not Age Eligible")))))</f>
        <v>17-21</v>
      </c>
      <c r="G11" s="56"/>
      <c r="H11" s="4">
        <f>SUM(N11:O11)</f>
        <v>120.2</v>
      </c>
      <c r="I11" s="3" t="str">
        <f>IF(MAX(P11,R11,T11,V11)&gt;=LOOKUP(F11,'Qualifying Scores'!$A$4:$A$7,'Qualifying Scores'!$H$4:$H$7),"P","")</f>
        <v/>
      </c>
      <c r="J11" s="3" t="str">
        <f>IF(MAX(Q11,S11,U11,W11)&gt;=LOOKUP(F11,'Qualifying Scores'!$A$10:$A$13,'Qualifying Scores'!$H$10:$H$13),"P","")</f>
        <v>P</v>
      </c>
      <c r="K11" s="3" t="str">
        <f>IF(OR(AND(P11&gt;=LOOKUP(F11,'Qualifying Scores'!$A$4:$A$7,'Qualifying Scores'!$H$4:$H$7),Q11&gt;=LOOKUP(F11,'Qualifying Scores'!$A$10:$A$13,'Qualifying Scores'!$H$10:$H$13)),AND(S11&gt;=LOOKUP(F11,'Qualifying Scores'!$A$4:$A$7,'Qualifying Scores'!$H$4:$H$7),R11&gt;=LOOKUP(F11,'Qualifying Scores'!$A$10:$A$13,'Qualifying Scores'!$H$10:$H$13)),AND(T11&gt;=LOOKUP(F11,'Qualifying Scores'!$A$4:$A$7,'Qualifying Scores'!$H$4:$H$7),U11&gt;=LOOKUP(F11,'Qualifying Scores'!$A$10:$A$13,'Qualifying Scores'!$H$10:$H$13)),AND(V11&gt;=LOOKUP(F11,'Qualifying Scores'!$A$4:$A$7,'Qualifying Scores'!$H$4:$H$7),W11&gt;=LOOKUP(F11,'Qualifying Scores'!$A$10:$A$13,'Qualifying Scores'!$H$10:$H$13))),"P","")</f>
        <v/>
      </c>
      <c r="N11" s="4">
        <f>MAX(P11,T11)</f>
        <v>59.2</v>
      </c>
      <c r="O11" s="4">
        <f>IF(N11=P11,MAX(R11,T11,V11),MAX(P11,R11,V11))</f>
        <v>61</v>
      </c>
      <c r="P11" s="33"/>
      <c r="Q11" s="44"/>
      <c r="R11" s="34"/>
      <c r="S11" s="44"/>
      <c r="T11" s="33">
        <v>59.2</v>
      </c>
      <c r="U11" s="44">
        <v>9.8000000000000007</v>
      </c>
      <c r="V11" s="34">
        <v>61</v>
      </c>
      <c r="W11" s="39">
        <v>9.8000000000000007</v>
      </c>
    </row>
    <row r="12" spans="1:23" x14ac:dyDescent="0.2">
      <c r="A12" s="1" t="str">
        <f>IF(M12&lt;&gt;"",SUMPRODUCT((M$3:M$14&lt;&gt;"")*(F$3:F$14=F12)*(M$3:M$14&lt;M12))+1,IF(L12&lt;&gt;"",SUMPRODUCT((M$3:M$14&lt;&gt;"")*(F$3:F$14=F12))+SUMPRODUCT((L$3:L$14&lt;&gt;"")*(F$3:F$14=F12)*(L$3:L$14&lt;L12))+1,IF(K12="P",SUMPRODUCT((L$3:L$14&lt;&gt;"")*(F$3:F$14=F12))+SUMPRODUCT((M$3:M$14&lt;&gt;"")*(F$3:F$14=F12))+1+SUMPRODUCT((K$3:K$14="P")*(F$3:F$14=F12)*(H$3:H$14&gt;H12)*(L$3:L$14="")*(M$3:M$14="")),"")))</f>
        <v/>
      </c>
      <c r="B12" s="38" t="s">
        <v>185</v>
      </c>
      <c r="C12" s="38" t="s">
        <v>134</v>
      </c>
      <c r="D12" s="38" t="s">
        <v>133</v>
      </c>
      <c r="E12" s="37">
        <v>2002</v>
      </c>
      <c r="F12" s="1" t="str">
        <f>IF('Qualifying Scores'!$B$1-E12&gt;21,"Not Age Eligible",IF('Qualifying Scores'!$B$1-E12&gt;16,"17-21",IF('Qualifying Scores'!$B$1-E12&gt;14,"15-16",IF('Qualifying Scores'!$B$1-E12&gt;12,"13-14",IF('Qualifying Scores'!$B$1-E12&gt;10,"11-12,""Not Age Eligible")))))</f>
        <v>17-21</v>
      </c>
      <c r="G12" s="56" t="s">
        <v>305</v>
      </c>
      <c r="H12" s="4">
        <f>SUM(N12:O12)</f>
        <v>119.4</v>
      </c>
      <c r="I12" s="3" t="str">
        <f>IF(MAX(P12,R12,T12,V12)&gt;=LOOKUP(F12,'Qualifying Scores'!$A$4:$A$7,'Qualifying Scores'!$H$4:$H$7),"P","")</f>
        <v/>
      </c>
      <c r="J12" s="3" t="str">
        <f>IF(MAX(Q12,S12,U12,W12)&gt;=LOOKUP(F12,'Qualifying Scores'!$A$10:$A$13,'Qualifying Scores'!$H$10:$H$13),"P","")</f>
        <v>P</v>
      </c>
      <c r="K12" s="3" t="str">
        <f>IF(OR(AND(P12&gt;=LOOKUP(F12,'Qualifying Scores'!$A$4:$A$7,'Qualifying Scores'!$H$4:$H$7),Q12&gt;=LOOKUP(F12,'Qualifying Scores'!$A$10:$A$13,'Qualifying Scores'!$H$10:$H$13)),AND(S12&gt;=LOOKUP(F12,'Qualifying Scores'!$A$4:$A$7,'Qualifying Scores'!$H$4:$H$7),R12&gt;=LOOKUP(F12,'Qualifying Scores'!$A$10:$A$13,'Qualifying Scores'!$H$10:$H$13)),AND(T12&gt;=LOOKUP(F12,'Qualifying Scores'!$A$4:$A$7,'Qualifying Scores'!$H$4:$H$7),U12&gt;=LOOKUP(F12,'Qualifying Scores'!$A$10:$A$13,'Qualifying Scores'!$H$10:$H$13)),AND(V12&gt;=LOOKUP(F12,'Qualifying Scores'!$A$4:$A$7,'Qualifying Scores'!$H$4:$H$7),W12&gt;=LOOKUP(F12,'Qualifying Scores'!$A$10:$A$13,'Qualifying Scores'!$H$10:$H$13))),"P","")</f>
        <v/>
      </c>
      <c r="N12" s="4">
        <f>MAX(P12,T12)</f>
        <v>58.2</v>
      </c>
      <c r="O12" s="4">
        <f>IF(N12=P12,MAX(R12,T12,V12),MAX(P12,R12,V12))</f>
        <v>61.2</v>
      </c>
      <c r="P12" s="33">
        <v>58.2</v>
      </c>
      <c r="Q12" s="44">
        <v>9.5</v>
      </c>
      <c r="R12" s="34">
        <v>59</v>
      </c>
      <c r="S12" s="44">
        <v>9.6999999999999993</v>
      </c>
      <c r="T12" s="33">
        <v>55.1</v>
      </c>
      <c r="U12" s="44">
        <v>8</v>
      </c>
      <c r="V12" s="34">
        <v>61.2</v>
      </c>
      <c r="W12" s="39">
        <v>10.199999999999999</v>
      </c>
    </row>
    <row r="13" spans="1:23" x14ac:dyDescent="0.2">
      <c r="A13" s="1" t="str">
        <f>IF(M13&lt;&gt;"",SUMPRODUCT((M$3:M$14&lt;&gt;"")*(F$3:F$14=F13)*(M$3:M$14&lt;M13))+1,IF(L13&lt;&gt;"",SUMPRODUCT((M$3:M$14&lt;&gt;"")*(F$3:F$14=F13))+SUMPRODUCT((L$3:L$14&lt;&gt;"")*(F$3:F$14=F13)*(L$3:L$14&lt;L13))+1,IF(K13="P",SUMPRODUCT((L$3:L$14&lt;&gt;"")*(F$3:F$14=F13))+SUMPRODUCT((M$3:M$14&lt;&gt;"")*(F$3:F$14=F13))+1+SUMPRODUCT((K$3:K$14="P")*(F$3:F$14=F13)*(H$3:H$14&gt;H13)*(L$3:L$14="")*(M$3:M$14="")),"")))</f>
        <v/>
      </c>
      <c r="B13" s="38" t="s">
        <v>213</v>
      </c>
      <c r="C13" s="38" t="s">
        <v>28</v>
      </c>
      <c r="D13" s="38" t="s">
        <v>108</v>
      </c>
      <c r="E13" s="37">
        <v>1998</v>
      </c>
      <c r="F13" s="1" t="str">
        <f>IF('Qualifying Scores'!$B$1-E13&gt;21,"Not Age Eligible",IF('Qualifying Scores'!$B$1-E13&gt;16,"17-21",IF('Qualifying Scores'!$B$1-E13&gt;14,"15-16",IF('Qualifying Scores'!$B$1-E13&gt;12,"13-14",IF('Qualifying Scores'!$B$1-E13&gt;10,"11-12,""Not Age Eligible")))))</f>
        <v>17-21</v>
      </c>
      <c r="G13" s="56"/>
      <c r="H13" s="4">
        <f>SUM(N13:O13)</f>
        <v>111.80000000000001</v>
      </c>
      <c r="I13" s="3" t="str">
        <f>IF(MAX(P13,R13,T13,V13)&gt;=LOOKUP(F13,'Qualifying Scores'!$A$4:$A$7,'Qualifying Scores'!$H$4:$H$7),"P","")</f>
        <v/>
      </c>
      <c r="J13" s="3" t="str">
        <f>IF(MAX(Q13,S13,U13,W13)&gt;=LOOKUP(F13,'Qualifying Scores'!$A$10:$A$13,'Qualifying Scores'!$H$10:$H$13),"P","")</f>
        <v/>
      </c>
      <c r="K13" s="3" t="str">
        <f>IF(OR(AND(P13&gt;=LOOKUP(F13,'Qualifying Scores'!$A$4:$A$7,'Qualifying Scores'!$H$4:$H$7),Q13&gt;=LOOKUP(F13,'Qualifying Scores'!$A$10:$A$13,'Qualifying Scores'!$H$10:$H$13)),AND(S13&gt;=LOOKUP(F13,'Qualifying Scores'!$A$4:$A$7,'Qualifying Scores'!$H$4:$H$7),R13&gt;=LOOKUP(F13,'Qualifying Scores'!$A$10:$A$13,'Qualifying Scores'!$H$10:$H$13)),AND(T13&gt;=LOOKUP(F13,'Qualifying Scores'!$A$4:$A$7,'Qualifying Scores'!$H$4:$H$7),U13&gt;=LOOKUP(F13,'Qualifying Scores'!$A$10:$A$13,'Qualifying Scores'!$H$10:$H$13)),AND(V13&gt;=LOOKUP(F13,'Qualifying Scores'!$A$4:$A$7,'Qualifying Scores'!$H$4:$H$7),W13&gt;=LOOKUP(F13,'Qualifying Scores'!$A$10:$A$13,'Qualifying Scores'!$H$10:$H$13))),"P","")</f>
        <v/>
      </c>
      <c r="N13" s="4">
        <f>MAX(P13,T13)</f>
        <v>55.7</v>
      </c>
      <c r="O13" s="4">
        <f>IF(N13=P13,MAX(R13,T13,V13),MAX(P13,R13,V13))</f>
        <v>56.1</v>
      </c>
      <c r="P13" s="33">
        <v>53.2</v>
      </c>
      <c r="Q13" s="44">
        <v>7.9</v>
      </c>
      <c r="R13" s="34">
        <v>56.1</v>
      </c>
      <c r="S13" s="44">
        <v>7.3</v>
      </c>
      <c r="T13" s="33">
        <v>55.7</v>
      </c>
      <c r="U13" s="44">
        <v>6.3</v>
      </c>
      <c r="V13" s="34">
        <v>53.6</v>
      </c>
      <c r="W13" s="39">
        <v>4.0999999999999996</v>
      </c>
    </row>
    <row r="14" spans="1:23" x14ac:dyDescent="0.2">
      <c r="A14" s="1"/>
      <c r="F14" s="1"/>
      <c r="G14" s="56"/>
      <c r="H14" s="4"/>
      <c r="I14" s="3"/>
      <c r="J14" s="3"/>
      <c r="N14" s="4"/>
      <c r="O14" s="4"/>
      <c r="P14" s="33"/>
      <c r="Q14" s="44"/>
      <c r="R14" s="34"/>
      <c r="S14" s="44"/>
      <c r="T14" s="33"/>
      <c r="U14" s="44"/>
      <c r="V14" s="34"/>
      <c r="W14" s="39"/>
    </row>
    <row r="15" spans="1:23" x14ac:dyDescent="0.2">
      <c r="A15" s="1"/>
      <c r="F15" s="1"/>
      <c r="G15" s="56"/>
      <c r="H15" s="4"/>
      <c r="I15" s="3"/>
      <c r="J15" s="3"/>
      <c r="N15" s="4"/>
      <c r="O15" s="4"/>
      <c r="P15" s="33"/>
      <c r="Q15" s="44"/>
      <c r="R15" s="34"/>
      <c r="S15" s="44"/>
      <c r="T15" s="33"/>
      <c r="U15" s="44"/>
      <c r="V15" s="34"/>
      <c r="W15" s="39"/>
    </row>
    <row r="16" spans="1:23" x14ac:dyDescent="0.2">
      <c r="A16" s="1"/>
      <c r="F16" s="1"/>
      <c r="G16" s="56"/>
      <c r="H16" s="4"/>
      <c r="I16" s="3"/>
      <c r="J16" s="3"/>
      <c r="N16" s="4"/>
      <c r="O16" s="4"/>
      <c r="P16" s="33"/>
      <c r="Q16" s="44"/>
      <c r="R16" s="34"/>
      <c r="S16" s="44"/>
      <c r="T16" s="33"/>
      <c r="U16" s="44"/>
      <c r="V16" s="34"/>
      <c r="W16" s="39"/>
    </row>
    <row r="17" spans="1:23" x14ac:dyDescent="0.2">
      <c r="A17" s="1"/>
      <c r="F17" s="1"/>
      <c r="G17" s="56"/>
      <c r="H17" s="4"/>
      <c r="I17" s="3"/>
      <c r="J17" s="3"/>
      <c r="N17" s="4"/>
      <c r="O17" s="4"/>
      <c r="P17" s="33"/>
      <c r="Q17" s="44"/>
      <c r="R17" s="34"/>
      <c r="S17" s="44"/>
      <c r="T17" s="33"/>
      <c r="U17" s="44"/>
      <c r="V17" s="34"/>
      <c r="W17" s="39"/>
    </row>
    <row r="18" spans="1:23" x14ac:dyDescent="0.2">
      <c r="A18" s="1"/>
      <c r="F18" s="1"/>
      <c r="G18" s="56"/>
      <c r="H18" s="4"/>
      <c r="I18" s="3"/>
      <c r="J18" s="3"/>
      <c r="N18" s="4"/>
      <c r="O18" s="4"/>
      <c r="P18" s="33"/>
      <c r="Q18" s="44"/>
      <c r="R18" s="34"/>
      <c r="S18" s="44"/>
      <c r="T18" s="33"/>
      <c r="U18" s="44"/>
      <c r="V18" s="34"/>
      <c r="W18" s="39"/>
    </row>
    <row r="19" spans="1:23" x14ac:dyDescent="0.2">
      <c r="A19" s="1"/>
      <c r="F19" s="1"/>
      <c r="G19" s="56"/>
      <c r="H19" s="4"/>
      <c r="I19" s="3"/>
      <c r="J19" s="3"/>
      <c r="N19" s="4"/>
      <c r="O19" s="4"/>
      <c r="P19" s="33"/>
      <c r="Q19" s="44"/>
      <c r="R19" s="34"/>
      <c r="S19" s="44"/>
      <c r="T19" s="33"/>
      <c r="U19" s="44"/>
      <c r="V19" s="34"/>
      <c r="W19" s="39"/>
    </row>
    <row r="20" spans="1:23" x14ac:dyDescent="0.2">
      <c r="A20" s="1"/>
      <c r="F20" s="1"/>
      <c r="G20" s="56"/>
      <c r="H20" s="4"/>
      <c r="I20" s="3"/>
      <c r="J20" s="3"/>
      <c r="N20" s="4"/>
      <c r="O20" s="4"/>
      <c r="P20" s="33"/>
      <c r="Q20" s="44"/>
      <c r="R20" s="34"/>
      <c r="S20" s="44"/>
      <c r="T20" s="33"/>
      <c r="U20" s="44"/>
      <c r="V20" s="34"/>
      <c r="W20" s="39"/>
    </row>
    <row r="21" spans="1:23" x14ac:dyDescent="0.2">
      <c r="A21" s="1"/>
      <c r="F21" s="1"/>
      <c r="G21" s="56"/>
      <c r="H21" s="4"/>
      <c r="I21" s="3"/>
      <c r="J21" s="3"/>
      <c r="N21" s="4"/>
      <c r="O21" s="4"/>
      <c r="P21" s="33"/>
      <c r="Q21" s="44"/>
      <c r="R21" s="34"/>
      <c r="S21" s="44"/>
      <c r="T21" s="33"/>
      <c r="U21" s="44"/>
      <c r="V21" s="34"/>
      <c r="W21" s="39"/>
    </row>
    <row r="22" spans="1:23" x14ac:dyDescent="0.2">
      <c r="A22" s="1"/>
      <c r="F22" s="1"/>
      <c r="G22" s="56"/>
      <c r="H22" s="4"/>
      <c r="I22" s="3"/>
      <c r="J22" s="3"/>
      <c r="N22" s="4"/>
      <c r="O22" s="4"/>
      <c r="P22" s="33"/>
      <c r="Q22" s="44"/>
      <c r="R22" s="34"/>
      <c r="S22" s="44"/>
      <c r="T22" s="33"/>
      <c r="U22" s="44"/>
      <c r="V22" s="34"/>
      <c r="W22" s="39"/>
    </row>
    <row r="23" spans="1:23" x14ac:dyDescent="0.2">
      <c r="A23" s="1"/>
      <c r="F23" s="1"/>
      <c r="G23" s="56"/>
      <c r="H23" s="4"/>
      <c r="I23" s="3"/>
      <c r="J23" s="3"/>
      <c r="N23" s="4"/>
      <c r="O23" s="4"/>
      <c r="P23" s="33"/>
      <c r="Q23" s="44"/>
      <c r="R23" s="34"/>
      <c r="S23" s="44"/>
      <c r="T23" s="33"/>
      <c r="U23" s="44"/>
      <c r="V23" s="34"/>
      <c r="W23" s="39"/>
    </row>
    <row r="24" spans="1:23" x14ac:dyDescent="0.2">
      <c r="A24" s="1"/>
      <c r="F24" s="1"/>
      <c r="G24" s="56"/>
      <c r="H24" s="4"/>
      <c r="I24" s="3"/>
      <c r="J24" s="3"/>
      <c r="N24" s="4"/>
      <c r="O24" s="4"/>
      <c r="P24" s="33"/>
      <c r="Q24" s="44"/>
      <c r="R24" s="34"/>
      <c r="S24" s="44"/>
      <c r="T24" s="33"/>
      <c r="U24" s="44"/>
      <c r="V24" s="34"/>
      <c r="W24" s="39"/>
    </row>
    <row r="25" spans="1:23" x14ac:dyDescent="0.2">
      <c r="A25" s="1"/>
      <c r="F25" s="1"/>
      <c r="G25" s="56"/>
      <c r="H25" s="4"/>
      <c r="I25" s="3"/>
      <c r="J25" s="3"/>
      <c r="N25" s="4"/>
      <c r="O25" s="4"/>
      <c r="P25" s="33"/>
      <c r="Q25" s="44"/>
      <c r="R25" s="34"/>
      <c r="S25" s="44"/>
      <c r="T25" s="33"/>
      <c r="U25" s="44"/>
      <c r="V25" s="34"/>
      <c r="W25" s="39"/>
    </row>
    <row r="26" spans="1:23" x14ac:dyDescent="0.2">
      <c r="A26" s="1"/>
      <c r="F26" s="1"/>
      <c r="G26" s="56"/>
      <c r="H26" s="4"/>
      <c r="I26" s="3"/>
      <c r="J26" s="3"/>
      <c r="N26" s="4"/>
      <c r="O26" s="4"/>
      <c r="P26" s="33"/>
      <c r="Q26" s="44"/>
      <c r="R26" s="34"/>
      <c r="S26" s="44"/>
      <c r="T26" s="33"/>
      <c r="U26" s="44"/>
      <c r="V26" s="34"/>
      <c r="W26" s="39"/>
    </row>
    <row r="27" spans="1:23" x14ac:dyDescent="0.2">
      <c r="A27" s="1"/>
      <c r="F27" s="1"/>
      <c r="G27" s="56"/>
      <c r="H27" s="4"/>
      <c r="I27" s="3"/>
      <c r="J27" s="3"/>
      <c r="N27" s="4"/>
      <c r="O27" s="4"/>
      <c r="P27" s="33"/>
      <c r="Q27" s="44"/>
      <c r="R27" s="34"/>
      <c r="S27" s="44"/>
      <c r="T27" s="33"/>
      <c r="U27" s="44"/>
      <c r="V27" s="34"/>
      <c r="W27" s="39"/>
    </row>
    <row r="28" spans="1:23" x14ac:dyDescent="0.2">
      <c r="A28" s="1"/>
      <c r="F28" s="1"/>
      <c r="G28" s="56"/>
      <c r="H28" s="4"/>
      <c r="I28" s="3"/>
      <c r="J28" s="3"/>
      <c r="N28" s="4"/>
      <c r="O28" s="4"/>
      <c r="P28" s="33"/>
      <c r="Q28" s="44"/>
      <c r="R28" s="34"/>
      <c r="S28" s="44"/>
      <c r="T28" s="33"/>
      <c r="U28" s="44"/>
      <c r="V28" s="34"/>
      <c r="W28" s="39"/>
    </row>
    <row r="29" spans="1:23" x14ac:dyDescent="0.2">
      <c r="A29" s="1"/>
      <c r="F29" s="1"/>
      <c r="G29" s="56"/>
      <c r="H29" s="4"/>
      <c r="I29" s="3"/>
      <c r="J29" s="3"/>
      <c r="N29" s="4"/>
      <c r="O29" s="4"/>
      <c r="P29" s="33"/>
      <c r="Q29" s="44"/>
      <c r="R29" s="34"/>
      <c r="S29" s="44"/>
      <c r="T29" s="33"/>
      <c r="U29" s="44"/>
      <c r="V29" s="34"/>
      <c r="W29" s="39"/>
    </row>
    <row r="30" spans="1:23" x14ac:dyDescent="0.2">
      <c r="A30" s="1"/>
      <c r="F30" s="1"/>
      <c r="G30" s="56"/>
      <c r="H30" s="4"/>
      <c r="I30" s="3"/>
      <c r="J30" s="3"/>
      <c r="N30" s="4"/>
      <c r="O30" s="4"/>
      <c r="P30" s="33"/>
      <c r="Q30" s="44"/>
      <c r="R30" s="34"/>
      <c r="S30" s="44"/>
      <c r="T30" s="33"/>
      <c r="U30" s="44"/>
      <c r="V30" s="34"/>
      <c r="W30" s="39"/>
    </row>
    <row r="31" spans="1:23" x14ac:dyDescent="0.2">
      <c r="A31" s="1"/>
      <c r="F31" s="1"/>
      <c r="G31" s="56"/>
      <c r="H31" s="4"/>
      <c r="I31" s="3"/>
      <c r="J31" s="3"/>
      <c r="N31" s="4"/>
      <c r="O31" s="4"/>
      <c r="P31" s="33"/>
      <c r="Q31" s="44"/>
      <c r="R31" s="34"/>
      <c r="S31" s="44"/>
      <c r="T31" s="33"/>
      <c r="U31" s="44"/>
      <c r="V31" s="34"/>
      <c r="W31" s="39"/>
    </row>
    <row r="32" spans="1:23" x14ac:dyDescent="0.2">
      <c r="A32" s="1"/>
      <c r="F32" s="1"/>
      <c r="G32" s="56"/>
      <c r="H32" s="4"/>
      <c r="I32" s="3"/>
      <c r="J32" s="3"/>
      <c r="N32" s="4"/>
      <c r="O32" s="4"/>
      <c r="P32" s="33"/>
      <c r="Q32" s="44"/>
      <c r="R32" s="34"/>
      <c r="S32" s="44"/>
      <c r="T32" s="33"/>
      <c r="U32" s="44"/>
      <c r="V32" s="34"/>
      <c r="W32" s="39"/>
    </row>
    <row r="33" spans="1:23" x14ac:dyDescent="0.2">
      <c r="A33" s="1"/>
      <c r="F33" s="1"/>
      <c r="G33" s="56"/>
      <c r="H33" s="4"/>
      <c r="I33" s="3"/>
      <c r="J33" s="3"/>
      <c r="N33" s="4"/>
      <c r="O33" s="4"/>
      <c r="P33" s="33"/>
      <c r="Q33" s="44"/>
      <c r="R33" s="34"/>
      <c r="S33" s="44"/>
      <c r="T33" s="33"/>
      <c r="U33" s="44"/>
      <c r="V33" s="34"/>
      <c r="W33" s="39"/>
    </row>
    <row r="34" spans="1:23" x14ac:dyDescent="0.2">
      <c r="F34" s="1"/>
      <c r="G34" s="56"/>
      <c r="H34" s="4"/>
      <c r="I34" s="3"/>
      <c r="J34" s="3"/>
      <c r="N34" s="4"/>
      <c r="O34" s="4"/>
      <c r="P34" s="33"/>
      <c r="Q34" s="44"/>
      <c r="R34" s="34"/>
      <c r="S34" s="44"/>
      <c r="T34" s="33"/>
      <c r="U34" s="44"/>
      <c r="V34" s="34"/>
      <c r="W34" s="39"/>
    </row>
    <row r="35" spans="1:23" x14ac:dyDescent="0.2">
      <c r="F35" s="1"/>
      <c r="G35" s="56"/>
      <c r="H35" s="4"/>
      <c r="I35" s="3"/>
      <c r="J35" s="3"/>
      <c r="N35" s="4"/>
      <c r="O35" s="4"/>
      <c r="P35" s="33"/>
      <c r="Q35" s="44"/>
      <c r="R35" s="34"/>
      <c r="S35" s="44"/>
      <c r="T35" s="33"/>
      <c r="U35" s="44"/>
      <c r="V35" s="34"/>
      <c r="W35" s="39"/>
    </row>
    <row r="36" spans="1:23" x14ac:dyDescent="0.2">
      <c r="F36" s="1"/>
      <c r="G36" s="56"/>
      <c r="H36" s="4"/>
      <c r="I36" s="3"/>
      <c r="J36" s="3"/>
      <c r="N36" s="4"/>
      <c r="O36" s="4"/>
      <c r="P36" s="33"/>
      <c r="Q36" s="44"/>
      <c r="R36" s="34"/>
      <c r="S36" s="44"/>
      <c r="T36" s="33"/>
      <c r="U36" s="44"/>
      <c r="V36" s="34"/>
      <c r="W36" s="39"/>
    </row>
    <row r="37" spans="1:23" x14ac:dyDescent="0.2">
      <c r="F37" s="1"/>
      <c r="G37" s="56"/>
      <c r="H37" s="4"/>
      <c r="I37" s="3"/>
      <c r="J37" s="3"/>
      <c r="N37" s="4"/>
      <c r="O37" s="4"/>
      <c r="P37" s="33"/>
      <c r="Q37" s="44"/>
      <c r="R37" s="34"/>
      <c r="S37" s="44"/>
      <c r="T37" s="33"/>
      <c r="U37" s="44"/>
      <c r="V37" s="34"/>
      <c r="W37" s="39"/>
    </row>
    <row r="38" spans="1:23" x14ac:dyDescent="0.2">
      <c r="F38" s="1"/>
      <c r="G38" s="56"/>
      <c r="H38" s="4"/>
      <c r="I38" s="3"/>
      <c r="J38" s="3"/>
      <c r="N38" s="4"/>
      <c r="O38" s="4"/>
      <c r="P38" s="33"/>
      <c r="Q38" s="44"/>
      <c r="R38" s="34"/>
      <c r="S38" s="44"/>
      <c r="T38" s="33"/>
      <c r="U38" s="44"/>
      <c r="V38" s="34"/>
      <c r="W38" s="39"/>
    </row>
    <row r="39" spans="1:23" x14ac:dyDescent="0.2">
      <c r="F39" s="1"/>
      <c r="G39" s="56"/>
      <c r="H39" s="4"/>
      <c r="I39" s="3"/>
      <c r="J39" s="3"/>
      <c r="N39" s="4"/>
      <c r="O39" s="4"/>
      <c r="P39" s="33"/>
      <c r="Q39" s="44"/>
      <c r="R39" s="34"/>
      <c r="S39" s="44"/>
      <c r="T39" s="33"/>
      <c r="U39" s="44"/>
      <c r="V39" s="34"/>
      <c r="W39" s="39"/>
    </row>
    <row r="40" spans="1:23" x14ac:dyDescent="0.2">
      <c r="F40" s="1"/>
      <c r="G40" s="56"/>
      <c r="H40" s="4"/>
      <c r="I40" s="3"/>
      <c r="J40" s="3"/>
      <c r="N40" s="4"/>
      <c r="O40" s="4"/>
      <c r="P40" s="33"/>
      <c r="Q40" s="44"/>
      <c r="R40" s="34"/>
      <c r="S40" s="44"/>
      <c r="T40" s="33"/>
      <c r="U40" s="44"/>
      <c r="V40" s="34"/>
      <c r="W40" s="39"/>
    </row>
    <row r="41" spans="1:23" x14ac:dyDescent="0.2">
      <c r="F41" s="1"/>
      <c r="G41" s="56"/>
      <c r="H41" s="4"/>
      <c r="I41" s="3"/>
      <c r="J41" s="3"/>
      <c r="N41" s="4"/>
      <c r="O41" s="4"/>
      <c r="P41" s="33"/>
      <c r="Q41" s="44"/>
      <c r="R41" s="34"/>
      <c r="S41" s="44"/>
      <c r="T41" s="33"/>
      <c r="U41" s="44"/>
      <c r="V41" s="34"/>
      <c r="W41" s="39"/>
    </row>
    <row r="42" spans="1:23" x14ac:dyDescent="0.2">
      <c r="F42" s="1"/>
      <c r="G42" s="56"/>
      <c r="H42" s="4"/>
      <c r="I42" s="3"/>
      <c r="J42" s="3"/>
      <c r="N42" s="4"/>
      <c r="O42" s="4"/>
      <c r="P42" s="33"/>
      <c r="Q42" s="44"/>
      <c r="R42" s="34"/>
      <c r="S42" s="44"/>
      <c r="T42" s="33"/>
      <c r="U42" s="44"/>
      <c r="V42" s="34"/>
      <c r="W42" s="39"/>
    </row>
    <row r="43" spans="1:23" x14ac:dyDescent="0.2">
      <c r="F43" s="1"/>
      <c r="G43" s="56"/>
      <c r="H43" s="4"/>
      <c r="I43" s="3"/>
      <c r="J43" s="3"/>
      <c r="N43" s="4"/>
      <c r="O43" s="4"/>
      <c r="P43" s="33"/>
      <c r="Q43" s="44"/>
      <c r="R43" s="34"/>
      <c r="S43" s="44"/>
      <c r="T43" s="33"/>
      <c r="U43" s="44"/>
      <c r="V43" s="34"/>
      <c r="W43" s="39"/>
    </row>
    <row r="44" spans="1:23" x14ac:dyDescent="0.2">
      <c r="F44" s="1"/>
      <c r="G44" s="56"/>
      <c r="H44" s="4"/>
      <c r="I44" s="3"/>
      <c r="J44" s="3"/>
      <c r="N44" s="4"/>
      <c r="O44" s="4"/>
      <c r="P44" s="33"/>
      <c r="Q44" s="44"/>
      <c r="R44" s="34"/>
      <c r="S44" s="44"/>
      <c r="T44" s="33"/>
      <c r="U44" s="44"/>
      <c r="V44" s="34"/>
      <c r="W44" s="39"/>
    </row>
    <row r="45" spans="1:23" x14ac:dyDescent="0.2">
      <c r="F45" s="1"/>
      <c r="G45" s="56"/>
      <c r="H45" s="4"/>
      <c r="I45" s="3"/>
      <c r="J45" s="3"/>
      <c r="N45" s="4"/>
      <c r="O45" s="4"/>
      <c r="P45" s="33"/>
      <c r="Q45" s="44"/>
      <c r="R45" s="34"/>
      <c r="S45" s="44"/>
      <c r="T45" s="33"/>
      <c r="U45" s="46"/>
      <c r="V45" s="43"/>
      <c r="W45" s="39"/>
    </row>
    <row r="46" spans="1:23" x14ac:dyDescent="0.2">
      <c r="F46" s="1"/>
      <c r="G46" s="56"/>
      <c r="H46" s="4"/>
      <c r="I46" s="3"/>
      <c r="J46" s="3"/>
      <c r="N46" s="4"/>
      <c r="O46" s="4"/>
      <c r="P46" s="33"/>
      <c r="Q46" s="45"/>
      <c r="R46" s="47"/>
      <c r="S46" s="45"/>
      <c r="T46" s="33"/>
      <c r="U46" s="44"/>
      <c r="V46" s="34"/>
      <c r="W46" s="39"/>
    </row>
    <row r="47" spans="1:23" x14ac:dyDescent="0.2">
      <c r="F47" s="1"/>
      <c r="G47" s="56"/>
      <c r="H47" s="4"/>
      <c r="I47" s="3"/>
      <c r="J47" s="3"/>
      <c r="N47" s="4"/>
      <c r="O47" s="4"/>
      <c r="P47" s="33"/>
      <c r="Q47" s="45"/>
      <c r="R47" s="47"/>
      <c r="S47" s="45"/>
      <c r="T47" s="33"/>
      <c r="U47" s="44"/>
      <c r="V47" s="34"/>
      <c r="W47" s="39"/>
    </row>
    <row r="48" spans="1:23" x14ac:dyDescent="0.2">
      <c r="F48" s="1"/>
      <c r="G48" s="56"/>
      <c r="H48" s="4"/>
      <c r="I48" s="3"/>
      <c r="J48" s="3"/>
      <c r="N48" s="4"/>
      <c r="O48" s="4"/>
      <c r="P48" s="33"/>
      <c r="Q48" s="45"/>
      <c r="R48" s="47"/>
      <c r="S48" s="45"/>
      <c r="T48" s="33"/>
      <c r="U48" s="44"/>
      <c r="V48" s="34"/>
      <c r="W48" s="39"/>
    </row>
    <row r="49" spans="6:23" x14ac:dyDescent="0.2">
      <c r="F49" s="1"/>
      <c r="H49" s="4"/>
      <c r="I49" s="3"/>
      <c r="J49" s="3"/>
      <c r="N49" s="4"/>
      <c r="O49" s="4"/>
      <c r="P49" s="33"/>
      <c r="Q49" s="45"/>
      <c r="R49" s="47"/>
      <c r="S49" s="45"/>
      <c r="T49" s="33"/>
      <c r="U49" s="44"/>
      <c r="V49" s="34"/>
      <c r="W49" s="39"/>
    </row>
    <row r="50" spans="6:23" x14ac:dyDescent="0.2">
      <c r="F50" s="1"/>
      <c r="H50" s="4"/>
      <c r="I50" s="3"/>
      <c r="J50" s="3"/>
      <c r="N50" s="4"/>
      <c r="O50" s="4"/>
      <c r="P50" s="33"/>
      <c r="Q50" s="45"/>
      <c r="R50" s="47"/>
      <c r="S50" s="45"/>
      <c r="T50" s="33"/>
      <c r="U50" s="44"/>
      <c r="V50" s="34"/>
      <c r="W50" s="39"/>
    </row>
    <row r="51" spans="6:23" x14ac:dyDescent="0.2">
      <c r="F51" s="1"/>
      <c r="H51" s="4"/>
      <c r="I51" s="3"/>
      <c r="J51" s="3"/>
      <c r="N51" s="4"/>
      <c r="O51" s="4"/>
      <c r="P51" s="33"/>
      <c r="Q51" s="44"/>
      <c r="R51" s="34"/>
      <c r="S51" s="45"/>
      <c r="T51" s="33"/>
      <c r="U51" s="46"/>
      <c r="V51" s="43"/>
      <c r="W51" s="39"/>
    </row>
    <row r="52" spans="6:23" x14ac:dyDescent="0.2">
      <c r="F52" s="1"/>
      <c r="H52" s="4"/>
      <c r="I52" s="3"/>
      <c r="J52" s="3"/>
      <c r="N52" s="4"/>
      <c r="O52" s="4"/>
      <c r="P52" s="33"/>
      <c r="Q52" s="44"/>
      <c r="R52" s="34"/>
      <c r="S52" s="45"/>
      <c r="T52" s="33"/>
      <c r="U52" s="44"/>
      <c r="V52" s="34"/>
      <c r="W52" s="39"/>
    </row>
    <row r="53" spans="6:23" x14ac:dyDescent="0.2">
      <c r="N53" s="4"/>
      <c r="O53" s="4"/>
      <c r="P53" s="33"/>
      <c r="Q53" s="44"/>
      <c r="R53" s="34"/>
      <c r="S53" s="44"/>
      <c r="T53" s="33"/>
      <c r="U53" s="44"/>
      <c r="V53" s="34"/>
      <c r="W53" s="39"/>
    </row>
    <row r="54" spans="6:23" x14ac:dyDescent="0.2">
      <c r="N54" s="4"/>
      <c r="O54" s="4"/>
      <c r="P54" s="33"/>
      <c r="Q54" s="44"/>
      <c r="R54" s="34"/>
      <c r="S54" s="44"/>
      <c r="T54" s="33"/>
      <c r="U54" s="44"/>
      <c r="V54" s="34"/>
      <c r="W54" s="39"/>
    </row>
    <row r="55" spans="6:23" x14ac:dyDescent="0.2">
      <c r="N55" s="4"/>
      <c r="O55" s="4"/>
      <c r="P55" s="33"/>
      <c r="Q55" s="44"/>
      <c r="R55" s="34"/>
      <c r="S55" s="44"/>
      <c r="T55" s="33"/>
      <c r="U55" s="44"/>
      <c r="V55" s="34"/>
      <c r="W55" s="39"/>
    </row>
    <row r="56" spans="6:23" x14ac:dyDescent="0.2">
      <c r="N56" s="4"/>
      <c r="O56" s="4"/>
      <c r="P56" s="33"/>
      <c r="Q56" s="44"/>
      <c r="R56" s="34"/>
      <c r="S56" s="44"/>
      <c r="T56" s="33"/>
      <c r="U56" s="44"/>
      <c r="V56" s="34"/>
      <c r="W56" s="39"/>
    </row>
    <row r="57" spans="6:23" x14ac:dyDescent="0.2">
      <c r="N57" s="4"/>
      <c r="O57" s="4"/>
      <c r="P57" s="33"/>
      <c r="Q57" s="44"/>
      <c r="R57" s="34"/>
      <c r="S57" s="44"/>
      <c r="T57" s="33"/>
      <c r="U57" s="44"/>
      <c r="V57" s="34"/>
      <c r="W57" s="39"/>
    </row>
    <row r="58" spans="6:23" x14ac:dyDescent="0.2">
      <c r="N58" s="4"/>
      <c r="O58" s="4"/>
      <c r="P58" s="33"/>
      <c r="Q58" s="44"/>
      <c r="R58" s="34"/>
      <c r="S58" s="44"/>
      <c r="T58" s="33"/>
      <c r="U58" s="44"/>
      <c r="V58" s="34"/>
      <c r="W58" s="39"/>
    </row>
    <row r="59" spans="6:23" x14ac:dyDescent="0.2">
      <c r="N59" s="4"/>
      <c r="O59" s="4"/>
      <c r="P59" s="33"/>
      <c r="Q59" s="44"/>
      <c r="R59" s="34"/>
      <c r="S59" s="44"/>
      <c r="T59" s="33"/>
      <c r="U59" s="44"/>
      <c r="V59" s="34"/>
      <c r="W59" s="39"/>
    </row>
    <row r="60" spans="6:23" x14ac:dyDescent="0.2">
      <c r="N60" s="4"/>
      <c r="O60" s="4"/>
      <c r="P60" s="33"/>
      <c r="Q60" s="44"/>
      <c r="R60" s="34"/>
      <c r="S60" s="44"/>
      <c r="T60" s="33"/>
      <c r="U60" s="44"/>
      <c r="V60" s="34"/>
      <c r="W60" s="39"/>
    </row>
    <row r="61" spans="6:23" x14ac:dyDescent="0.2">
      <c r="N61" s="4"/>
      <c r="O61" s="4"/>
      <c r="P61" s="33"/>
      <c r="Q61" s="44"/>
      <c r="R61" s="34"/>
      <c r="S61" s="44"/>
      <c r="T61" s="33"/>
      <c r="U61" s="44"/>
      <c r="V61" s="34"/>
      <c r="W61" s="39"/>
    </row>
    <row r="62" spans="6:23" x14ac:dyDescent="0.2">
      <c r="N62" s="4"/>
      <c r="O62" s="4"/>
      <c r="P62" s="33"/>
      <c r="Q62" s="44"/>
      <c r="R62" s="34"/>
      <c r="S62" s="44"/>
      <c r="T62" s="33"/>
      <c r="U62" s="44"/>
      <c r="V62" s="34"/>
      <c r="W62" s="39"/>
    </row>
    <row r="63" spans="6:23" x14ac:dyDescent="0.2">
      <c r="N63" s="4"/>
      <c r="O63" s="4"/>
      <c r="P63" s="33"/>
      <c r="Q63" s="44"/>
      <c r="R63" s="34"/>
      <c r="S63" s="44"/>
      <c r="T63" s="33"/>
      <c r="U63" s="44"/>
      <c r="V63" s="34"/>
      <c r="W63" s="39"/>
    </row>
    <row r="64" spans="6:23" x14ac:dyDescent="0.2">
      <c r="N64" s="4"/>
      <c r="O64" s="4"/>
      <c r="P64" s="33"/>
      <c r="Q64" s="44"/>
      <c r="R64" s="34"/>
      <c r="S64" s="44"/>
      <c r="T64" s="33"/>
      <c r="U64" s="44"/>
      <c r="V64" s="34"/>
      <c r="W64" s="39"/>
    </row>
    <row r="65" spans="14:23" x14ac:dyDescent="0.2">
      <c r="N65" s="4"/>
      <c r="O65" s="4"/>
      <c r="P65" s="33"/>
      <c r="Q65" s="44"/>
      <c r="R65" s="34"/>
      <c r="S65" s="44"/>
      <c r="T65" s="33"/>
      <c r="U65" s="44"/>
      <c r="V65" s="34"/>
      <c r="W65" s="39"/>
    </row>
    <row r="66" spans="14:23" x14ac:dyDescent="0.2">
      <c r="N66" s="4"/>
      <c r="O66" s="4"/>
      <c r="P66" s="33"/>
      <c r="Q66" s="44"/>
      <c r="R66" s="34"/>
      <c r="S66" s="44"/>
      <c r="T66" s="33"/>
      <c r="U66" s="44"/>
      <c r="V66" s="34"/>
      <c r="W66" s="39"/>
    </row>
    <row r="67" spans="14:23" x14ac:dyDescent="0.2">
      <c r="N67" s="4"/>
      <c r="O67" s="4"/>
      <c r="P67" s="33"/>
      <c r="Q67" s="44"/>
      <c r="R67" s="34"/>
      <c r="S67" s="44"/>
      <c r="T67" s="33"/>
      <c r="U67" s="44"/>
      <c r="V67" s="34"/>
      <c r="W67" s="39"/>
    </row>
    <row r="68" spans="14:23" x14ac:dyDescent="0.2">
      <c r="N68" s="4"/>
      <c r="O68" s="4"/>
      <c r="P68" s="33"/>
      <c r="Q68" s="44"/>
      <c r="R68" s="34"/>
      <c r="S68" s="44"/>
      <c r="T68" s="33"/>
      <c r="U68" s="44"/>
      <c r="V68" s="34"/>
      <c r="W68" s="39"/>
    </row>
    <row r="69" spans="14:23" x14ac:dyDescent="0.2">
      <c r="N69" s="4"/>
      <c r="O69" s="4"/>
      <c r="P69" s="33"/>
      <c r="Q69" s="44"/>
      <c r="R69" s="34"/>
      <c r="S69" s="44"/>
      <c r="T69" s="33"/>
      <c r="U69" s="44"/>
      <c r="V69" s="34"/>
      <c r="W69" s="39"/>
    </row>
    <row r="70" spans="14:23" x14ac:dyDescent="0.2">
      <c r="N70" s="4"/>
      <c r="O70" s="4"/>
      <c r="P70" s="33"/>
      <c r="Q70" s="44"/>
      <c r="R70" s="34"/>
      <c r="S70" s="44"/>
      <c r="T70" s="33"/>
      <c r="U70" s="44"/>
      <c r="V70" s="34"/>
      <c r="W70" s="39"/>
    </row>
    <row r="71" spans="14:23" x14ac:dyDescent="0.2">
      <c r="N71" s="4"/>
      <c r="O71" s="4"/>
      <c r="P71" s="33"/>
      <c r="Q71" s="44"/>
      <c r="R71" s="34"/>
      <c r="S71" s="44"/>
      <c r="T71" s="33"/>
      <c r="U71" s="44"/>
      <c r="V71" s="34"/>
      <c r="W71" s="39"/>
    </row>
    <row r="72" spans="14:23" x14ac:dyDescent="0.2">
      <c r="N72" s="4"/>
      <c r="O72" s="4"/>
      <c r="P72" s="33"/>
      <c r="Q72" s="44"/>
      <c r="R72" s="34"/>
      <c r="S72" s="44"/>
      <c r="T72" s="33"/>
      <c r="U72" s="44"/>
      <c r="V72" s="34"/>
      <c r="W72" s="39"/>
    </row>
    <row r="73" spans="14:23" x14ac:dyDescent="0.2">
      <c r="N73" s="4"/>
      <c r="O73" s="4"/>
      <c r="P73" s="33"/>
      <c r="Q73" s="44"/>
      <c r="R73" s="34"/>
      <c r="S73" s="44"/>
      <c r="T73" s="33"/>
      <c r="U73" s="44"/>
      <c r="V73" s="34"/>
      <c r="W73" s="39"/>
    </row>
    <row r="74" spans="14:23" x14ac:dyDescent="0.2">
      <c r="N74" s="4"/>
      <c r="O74" s="4"/>
      <c r="P74" s="33"/>
      <c r="Q74" s="44"/>
      <c r="R74" s="34"/>
      <c r="S74" s="44"/>
      <c r="T74" s="33"/>
      <c r="U74" s="44"/>
      <c r="V74" s="34"/>
      <c r="W74" s="39"/>
    </row>
    <row r="75" spans="14:23" x14ac:dyDescent="0.2">
      <c r="N75" s="4"/>
      <c r="O75" s="4"/>
      <c r="P75" s="33"/>
      <c r="Q75" s="44"/>
      <c r="R75" s="34"/>
      <c r="S75" s="44"/>
      <c r="T75" s="33"/>
      <c r="U75" s="44"/>
      <c r="V75" s="34"/>
      <c r="W75" s="39"/>
    </row>
    <row r="76" spans="14:23" x14ac:dyDescent="0.2">
      <c r="N76" s="4"/>
      <c r="O76" s="4"/>
      <c r="P76" s="33"/>
      <c r="Q76" s="44"/>
      <c r="R76" s="34"/>
      <c r="S76" s="44"/>
      <c r="T76" s="33"/>
      <c r="U76" s="44"/>
      <c r="V76" s="34"/>
      <c r="W76" s="39"/>
    </row>
    <row r="77" spans="14:23" x14ac:dyDescent="0.2">
      <c r="N77" s="4"/>
      <c r="O77" s="4"/>
      <c r="P77" s="33"/>
      <c r="Q77" s="44"/>
      <c r="R77" s="34"/>
      <c r="S77" s="44"/>
      <c r="T77" s="33"/>
      <c r="U77" s="44"/>
      <c r="V77" s="34"/>
      <c r="W77" s="39"/>
    </row>
    <row r="78" spans="14:23" x14ac:dyDescent="0.2">
      <c r="N78" s="4"/>
      <c r="O78" s="4"/>
      <c r="P78" s="33"/>
      <c r="Q78" s="44"/>
      <c r="R78" s="34"/>
      <c r="S78" s="44"/>
      <c r="T78" s="33"/>
      <c r="U78" s="44"/>
      <c r="V78" s="34"/>
      <c r="W78" s="39"/>
    </row>
    <row r="79" spans="14:23" x14ac:dyDescent="0.2">
      <c r="N79" s="4"/>
      <c r="O79" s="4"/>
      <c r="P79" s="33"/>
      <c r="Q79" s="44"/>
      <c r="R79" s="34"/>
      <c r="S79" s="44"/>
      <c r="T79" s="33"/>
      <c r="U79" s="44"/>
      <c r="V79" s="34"/>
      <c r="W79" s="39"/>
    </row>
    <row r="80" spans="14:23" x14ac:dyDescent="0.2">
      <c r="N80" s="4"/>
      <c r="O80" s="4"/>
      <c r="P80" s="33"/>
      <c r="Q80" s="44"/>
      <c r="R80" s="34"/>
      <c r="S80" s="44"/>
      <c r="T80" s="33"/>
      <c r="U80" s="44"/>
      <c r="V80" s="34"/>
      <c r="W80" s="39"/>
    </row>
    <row r="81" spans="14:23" x14ac:dyDescent="0.2">
      <c r="N81" s="4"/>
      <c r="O81" s="4"/>
      <c r="P81" s="33"/>
      <c r="Q81" s="44"/>
      <c r="R81" s="34"/>
      <c r="S81" s="44"/>
      <c r="T81" s="33"/>
      <c r="U81" s="44"/>
      <c r="V81" s="34"/>
      <c r="W81" s="39"/>
    </row>
    <row r="82" spans="14:23" x14ac:dyDescent="0.2">
      <c r="N82" s="4"/>
      <c r="O82" s="4"/>
      <c r="P82" s="33"/>
      <c r="Q82" s="44"/>
      <c r="R82" s="34"/>
      <c r="S82" s="44"/>
      <c r="T82" s="33"/>
      <c r="U82" s="44"/>
      <c r="V82" s="34"/>
      <c r="W82" s="39"/>
    </row>
    <row r="83" spans="14:23" x14ac:dyDescent="0.2">
      <c r="N83" s="4"/>
      <c r="O83" s="4"/>
      <c r="P83" s="33"/>
      <c r="Q83" s="44"/>
      <c r="R83" s="34"/>
      <c r="S83" s="44"/>
      <c r="T83" s="33"/>
      <c r="U83" s="44"/>
      <c r="V83" s="34"/>
      <c r="W83" s="39"/>
    </row>
    <row r="84" spans="14:23" x14ac:dyDescent="0.2">
      <c r="N84" s="4"/>
      <c r="O84" s="4"/>
      <c r="P84" s="33"/>
      <c r="Q84" s="44"/>
      <c r="R84" s="34"/>
      <c r="S84" s="44"/>
      <c r="T84" s="33"/>
      <c r="U84" s="44"/>
      <c r="V84" s="34"/>
      <c r="W84" s="39"/>
    </row>
    <row r="85" spans="14:23" x14ac:dyDescent="0.2">
      <c r="N85" s="4"/>
      <c r="O85" s="4"/>
      <c r="P85" s="33"/>
      <c r="Q85" s="44"/>
      <c r="R85" s="34"/>
      <c r="S85" s="44"/>
      <c r="T85" s="33"/>
      <c r="U85" s="44"/>
      <c r="V85" s="34"/>
      <c r="W85" s="39"/>
    </row>
    <row r="86" spans="14:23" x14ac:dyDescent="0.2">
      <c r="N86" s="4"/>
      <c r="O86" s="4"/>
      <c r="P86" s="33"/>
      <c r="Q86" s="44"/>
      <c r="R86" s="34"/>
      <c r="S86" s="44"/>
      <c r="T86" s="33"/>
      <c r="U86" s="44"/>
      <c r="V86" s="34"/>
      <c r="W86" s="39"/>
    </row>
    <row r="87" spans="14:23" x14ac:dyDescent="0.2">
      <c r="N87" s="4"/>
      <c r="O87" s="4"/>
      <c r="P87" s="33"/>
      <c r="Q87" s="44"/>
      <c r="R87" s="34"/>
      <c r="S87" s="44"/>
      <c r="T87" s="33"/>
      <c r="U87" s="44"/>
      <c r="V87" s="34"/>
      <c r="W87" s="39"/>
    </row>
    <row r="88" spans="14:23" x14ac:dyDescent="0.2">
      <c r="N88" s="4"/>
      <c r="O88" s="4"/>
      <c r="P88" s="33"/>
      <c r="Q88" s="44"/>
      <c r="R88" s="34"/>
      <c r="S88" s="44"/>
      <c r="T88" s="33"/>
      <c r="U88" s="44"/>
      <c r="V88" s="34"/>
      <c r="W88" s="39"/>
    </row>
    <row r="89" spans="14:23" x14ac:dyDescent="0.2">
      <c r="N89" s="4"/>
      <c r="O89" s="4"/>
      <c r="P89" s="33"/>
      <c r="Q89" s="44"/>
      <c r="R89" s="34"/>
      <c r="S89" s="44"/>
      <c r="T89" s="33"/>
      <c r="U89" s="44"/>
      <c r="V89" s="34"/>
      <c r="W89" s="39"/>
    </row>
    <row r="90" spans="14:23" x14ac:dyDescent="0.2">
      <c r="N90" s="4"/>
      <c r="O90" s="4"/>
      <c r="P90" s="33"/>
      <c r="Q90" s="44"/>
      <c r="R90" s="34"/>
      <c r="S90" s="44"/>
      <c r="T90" s="33"/>
      <c r="U90" s="44"/>
      <c r="V90" s="34"/>
      <c r="W90" s="39"/>
    </row>
    <row r="91" spans="14:23" x14ac:dyDescent="0.2">
      <c r="N91" s="4"/>
      <c r="O91" s="4"/>
      <c r="P91" s="33"/>
      <c r="Q91" s="44"/>
      <c r="R91" s="34"/>
      <c r="S91" s="44"/>
      <c r="T91" s="33"/>
      <c r="U91" s="44"/>
      <c r="V91" s="34"/>
      <c r="W91" s="39"/>
    </row>
    <row r="92" spans="14:23" x14ac:dyDescent="0.2">
      <c r="N92" s="4"/>
      <c r="O92" s="4"/>
      <c r="P92" s="33"/>
      <c r="Q92" s="44"/>
      <c r="R92" s="34"/>
      <c r="S92" s="44"/>
      <c r="T92" s="33"/>
      <c r="U92" s="44"/>
      <c r="V92" s="34"/>
      <c r="W92" s="39"/>
    </row>
    <row r="93" spans="14:23" x14ac:dyDescent="0.2">
      <c r="N93" s="4"/>
      <c r="O93" s="4"/>
      <c r="P93" s="33"/>
      <c r="Q93" s="44"/>
      <c r="R93" s="34"/>
      <c r="S93" s="44"/>
      <c r="T93" s="33"/>
      <c r="U93" s="44"/>
      <c r="V93" s="34"/>
      <c r="W93" s="39"/>
    </row>
    <row r="94" spans="14:23" x14ac:dyDescent="0.2">
      <c r="N94" s="4"/>
      <c r="O94" s="4"/>
      <c r="P94" s="33"/>
      <c r="Q94" s="44"/>
      <c r="R94" s="34"/>
      <c r="S94" s="44"/>
      <c r="T94" s="33"/>
      <c r="U94" s="44"/>
      <c r="V94" s="34"/>
      <c r="W94" s="39"/>
    </row>
    <row r="95" spans="14:23" x14ac:dyDescent="0.2">
      <c r="N95" s="4"/>
      <c r="O95" s="4"/>
      <c r="P95" s="33"/>
      <c r="Q95" s="44"/>
      <c r="R95" s="34"/>
      <c r="S95" s="44"/>
      <c r="T95" s="33"/>
      <c r="U95" s="44"/>
      <c r="V95" s="34"/>
      <c r="W95" s="39"/>
    </row>
    <row r="96" spans="14:23" x14ac:dyDescent="0.2">
      <c r="N96" s="4"/>
      <c r="O96" s="4"/>
      <c r="P96" s="33"/>
      <c r="Q96" s="44"/>
      <c r="R96" s="34"/>
      <c r="S96" s="44"/>
      <c r="T96" s="33"/>
      <c r="U96" s="44"/>
      <c r="V96" s="34"/>
      <c r="W96" s="39"/>
    </row>
  </sheetData>
  <sheetProtection sheet="1" formatCells="0" formatColumns="0" formatRows="0"/>
  <autoFilter ref="A1:AE2" xr:uid="{00000000-0009-0000-0000-000008000000}">
    <filterColumn colId="15" showButton="0"/>
    <filterColumn colId="16" showButton="0"/>
    <filterColumn colId="17" showButton="0"/>
    <filterColumn colId="19" showButton="0"/>
    <filterColumn colId="20" showButton="0"/>
    <filterColumn colId="21" showButton="0"/>
    <sortState xmlns:xlrd2="http://schemas.microsoft.com/office/spreadsheetml/2017/richdata2" ref="A3:W13">
      <sortCondition ref="F1:F37"/>
    </sortState>
  </autoFilter>
  <mergeCells count="17">
    <mergeCell ref="N1:N2"/>
    <mergeCell ref="O1:O2"/>
    <mergeCell ref="P1:S1"/>
    <mergeCell ref="T1:W1"/>
    <mergeCell ref="M1:M2"/>
    <mergeCell ref="A1:A2"/>
    <mergeCell ref="B1:B2"/>
    <mergeCell ref="C1:C2"/>
    <mergeCell ref="D1:D2"/>
    <mergeCell ref="E1:E2"/>
    <mergeCell ref="L1:L2"/>
    <mergeCell ref="F1:F2"/>
    <mergeCell ref="H1:H2"/>
    <mergeCell ref="I1:I2"/>
    <mergeCell ref="J1:J2"/>
    <mergeCell ref="K1:K2"/>
    <mergeCell ref="G1:G2"/>
  </mergeCells>
  <conditionalFormatting sqref="X1:XFD1 A1:F1048576 H2:XFD1048576 H1:O1">
    <cfRule type="expression" dxfId="27" priority="9">
      <formula>IF($F1="17-21",1,0)</formula>
    </cfRule>
    <cfRule type="expression" dxfId="26" priority="10">
      <formula>IF($F1="15-16",1,0)</formula>
    </cfRule>
    <cfRule type="expression" dxfId="25" priority="11">
      <formula>IF($F1="13-14",1,0)</formula>
    </cfRule>
    <cfRule type="expression" dxfId="24" priority="12">
      <formula>IF($F1="11-12",1,0)</formula>
    </cfRule>
  </conditionalFormatting>
  <conditionalFormatting sqref="P1 T1">
    <cfRule type="expression" dxfId="23" priority="5">
      <formula>IF($F1="17-21",1,0)</formula>
    </cfRule>
    <cfRule type="expression" dxfId="22" priority="6">
      <formula>IF($F1="15-16",1,0)</formula>
    </cfRule>
    <cfRule type="expression" dxfId="21" priority="7">
      <formula>IF($F1="13-14",1,0)</formula>
    </cfRule>
    <cfRule type="expression" dxfId="20" priority="8">
      <formula>IF($F1="11-12",1,0)</formula>
    </cfRule>
  </conditionalFormatting>
  <conditionalFormatting sqref="G1:G1048576">
    <cfRule type="expression" dxfId="19" priority="1">
      <formula>IF($F1="17-21",1,0)</formula>
    </cfRule>
    <cfRule type="expression" dxfId="18" priority="2">
      <formula>IF($F1="15-16",1,0)</formula>
    </cfRule>
    <cfRule type="expression" dxfId="17" priority="3">
      <formula>IF($F1="13-14",1,0)</formula>
    </cfRule>
    <cfRule type="expression" dxfId="16" priority="4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W97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43" style="38" bestFit="1" customWidth="1"/>
    <col min="3" max="3" width="8.6640625" style="38" bestFit="1" customWidth="1"/>
    <col min="4" max="4" width="39.16406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18.83203125" style="3" customWidth="1"/>
    <col min="12" max="12" width="18.33203125" style="42" bestFit="1" customWidth="1"/>
    <col min="13" max="13" width="18.6640625" style="42" bestFit="1" customWidth="1"/>
    <col min="14" max="14" width="22" bestFit="1" customWidth="1"/>
    <col min="15" max="15" width="18.6640625" bestFit="1" customWidth="1"/>
    <col min="16" max="16" width="7.5" style="37" bestFit="1" customWidth="1"/>
    <col min="17" max="17" width="11.1640625" style="49" bestFit="1" customWidth="1"/>
    <col min="18" max="18" width="6.6640625" style="38" bestFit="1" customWidth="1"/>
    <col min="19" max="19" width="11" style="38" bestFit="1" customWidth="1"/>
    <col min="20" max="20" width="7.6640625" style="37" bestFit="1" customWidth="1"/>
    <col min="21" max="21" width="11.1640625" style="49" bestFit="1" customWidth="1"/>
    <col min="22" max="22" width="6.6640625" style="38" bestFit="1" customWidth="1"/>
    <col min="23" max="23" width="9" style="41" bestFit="1" customWidth="1"/>
  </cols>
  <sheetData>
    <row r="1" spans="1:23" s="6" customFormat="1" x14ac:dyDescent="0.2">
      <c r="A1" s="65" t="s">
        <v>56</v>
      </c>
      <c r="B1" s="65" t="s">
        <v>0</v>
      </c>
      <c r="C1" s="65" t="s">
        <v>1</v>
      </c>
      <c r="D1" s="70" t="s">
        <v>2</v>
      </c>
      <c r="E1" s="72" t="s">
        <v>31</v>
      </c>
      <c r="F1" s="65" t="s">
        <v>32</v>
      </c>
      <c r="G1" s="65" t="s">
        <v>304</v>
      </c>
      <c r="H1" s="68" t="s">
        <v>44</v>
      </c>
      <c r="I1" s="65" t="s">
        <v>40</v>
      </c>
      <c r="J1" s="65" t="s">
        <v>41</v>
      </c>
      <c r="K1" s="65" t="s">
        <v>70</v>
      </c>
      <c r="L1" s="65" t="s">
        <v>43</v>
      </c>
      <c r="M1" s="65" t="s">
        <v>42</v>
      </c>
      <c r="N1" s="65" t="s">
        <v>114</v>
      </c>
      <c r="O1" s="65" t="s">
        <v>115</v>
      </c>
      <c r="P1" s="74" t="s">
        <v>121</v>
      </c>
      <c r="Q1" s="67"/>
      <c r="R1" s="67"/>
      <c r="S1" s="75"/>
      <c r="T1" s="74" t="s">
        <v>122</v>
      </c>
      <c r="U1" s="67"/>
      <c r="V1" s="67"/>
      <c r="W1" s="75"/>
    </row>
    <row r="2" spans="1:23" s="7" customFormat="1" ht="17" thickBot="1" x14ac:dyDescent="0.25">
      <c r="A2" s="66"/>
      <c r="B2" s="66"/>
      <c r="C2" s="66"/>
      <c r="D2" s="71"/>
      <c r="E2" s="73"/>
      <c r="F2" s="66"/>
      <c r="G2" s="66"/>
      <c r="H2" s="69"/>
      <c r="I2" s="66"/>
      <c r="J2" s="66"/>
      <c r="K2" s="66"/>
      <c r="L2" s="66"/>
      <c r="M2" s="66"/>
      <c r="N2" s="66"/>
      <c r="O2" s="66"/>
      <c r="P2" s="8" t="s">
        <v>57</v>
      </c>
      <c r="Q2" s="7" t="s">
        <v>294</v>
      </c>
      <c r="R2" s="7" t="s">
        <v>37</v>
      </c>
      <c r="S2" s="7" t="s">
        <v>39</v>
      </c>
      <c r="T2" s="8" t="s">
        <v>57</v>
      </c>
      <c r="U2" s="7" t="s">
        <v>294</v>
      </c>
      <c r="V2" s="7" t="s">
        <v>37</v>
      </c>
      <c r="W2" s="9" t="s">
        <v>39</v>
      </c>
    </row>
    <row r="3" spans="1:23" ht="17" thickTop="1" x14ac:dyDescent="0.2">
      <c r="A3" s="1">
        <f>IF(M3&lt;&gt;"",SUMPRODUCT((M$3:M$24&lt;&gt;"")*(F$3:F$24=F3)*(M$3:M$24&lt;M3))+1,IF(L3&lt;&gt;"",SUMPRODUCT((M$3:M$24&lt;&gt;"")*(F$3:F$24=F3))+SUMPRODUCT((L$3:L$24&lt;&gt;"")*(F$3:F$24=F3)*(L$3:L$24&lt;L3))+1,IF(K3="P",SUMPRODUCT((L$3:L$24&lt;&gt;"")*(F$3:F$24=F3))+SUMPRODUCT((M$3:M$24&lt;&gt;"")*(F$3:F$24=F3))+1+SUMPRODUCT((K$3:K$24="P")*(F$3:F$24=F3)*(H$3:H$24&gt;H3)*(L$3:L$24="")*(M$3:M$24="")),"")))</f>
        <v>1</v>
      </c>
      <c r="B3" s="38" t="s">
        <v>227</v>
      </c>
      <c r="C3" s="38" t="s">
        <v>4</v>
      </c>
      <c r="D3" s="38" t="s">
        <v>101</v>
      </c>
      <c r="E3" s="37">
        <v>2003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15-16</v>
      </c>
      <c r="G3" s="56" t="s">
        <v>305</v>
      </c>
      <c r="H3" s="4">
        <f>SUM(N3:O3)</f>
        <v>124.8</v>
      </c>
      <c r="I3" s="3" t="str">
        <f>IF(MAX(P3,R3,T3,V3)&gt;=LOOKUP(F3,'Qualifying Scores'!$A$4:$A$7,'Qualifying Scores'!$I$4:$I$7),"P","")</f>
        <v>P</v>
      </c>
      <c r="J3" s="3" t="str">
        <f>IF(MAX(Q3,S3,U3,W3)&gt;=LOOKUP(F3,'Qualifying Scores'!$A$10:$A$13,'Qualifying Scores'!$I$10:$I$13),"P","")</f>
        <v>P</v>
      </c>
      <c r="K3" s="3" t="str">
        <f>IF(OR(AND(P3&gt;=LOOKUP(F3,'Qualifying Scores'!$A$4:$A$7,'Qualifying Scores'!$I$4:$I$7),Q3&gt;=LOOKUP(F3,'Qualifying Scores'!$A$10:$A$13,'Qualifying Scores'!$I$10:$I$13)),AND(R3&gt;=LOOKUP(F3,'Qualifying Scores'!$A$4:$A$7,'Qualifying Scores'!$I$4:$I$7),S3&gt;=LOOKUP(F3,'Qualifying Scores'!$A$10:$A$13,'Qualifying Scores'!$I$10:$I$13)),AND(T3&gt;=LOOKUP(F3,'Qualifying Scores'!$A$4:$A$7,'Qualifying Scores'!$I$4:$I$7),U3&gt;=LOOKUP(F3,'Qualifying Scores'!$A$10:$A$13,'Qualifying Scores'!$I$10:$I$13)),AND(V3&gt;=LOOKUP(F3,'Qualifying Scores'!$A$4:$A$7,'Qualifying Scores'!$I$4:$I$7),W3&gt;=LOOKUP(F3,'Qualifying Scores'!$A$10:$A$13,'Qualifying Scores'!$I$10:$I$13))),"P","")</f>
        <v>P</v>
      </c>
      <c r="L3" s="42">
        <v>1</v>
      </c>
      <c r="N3" s="4">
        <f>MAX(P3,T3)</f>
        <v>62.5</v>
      </c>
      <c r="O3" s="4">
        <f>IF(N3=P3,MAX(R3,T3,V3),MAX(P3,R3,V3))</f>
        <v>62.3</v>
      </c>
      <c r="P3" s="33">
        <v>58.8</v>
      </c>
      <c r="Q3" s="45">
        <v>7.9</v>
      </c>
      <c r="R3" s="34">
        <v>54.3</v>
      </c>
      <c r="S3" s="44">
        <v>4.8</v>
      </c>
      <c r="T3" s="33">
        <v>62.5</v>
      </c>
      <c r="U3" s="45">
        <v>7.9</v>
      </c>
      <c r="V3" s="47">
        <v>62.3</v>
      </c>
      <c r="W3" s="39">
        <v>7.9</v>
      </c>
    </row>
    <row r="4" spans="1:23" x14ac:dyDescent="0.2">
      <c r="A4" s="1">
        <f>IF(M4&lt;&gt;"",SUMPRODUCT((M$3:M$24&lt;&gt;"")*(F$3:F$24=F4)*(M$3:M$24&lt;M4))+1,IF(L4&lt;&gt;"",SUMPRODUCT((M$3:M$24&lt;&gt;"")*(F$3:F$24=F4))+SUMPRODUCT((L$3:L$24&lt;&gt;"")*(F$3:F$24=F4)*(L$3:L$24&lt;L4))+1,IF(K4="P",SUMPRODUCT((L$3:L$24&lt;&gt;"")*(F$3:F$24=F4))+SUMPRODUCT((M$3:M$24&lt;&gt;"")*(F$3:F$24=F4))+1+SUMPRODUCT((K$3:K$24="P")*(F$3:F$24=F4)*(H$3:H$24&gt;H4)*(L$3:L$24="")*(M$3:M$24="")),"")))</f>
        <v>2</v>
      </c>
      <c r="B4" s="38" t="s">
        <v>179</v>
      </c>
      <c r="C4" s="38" t="s">
        <v>4</v>
      </c>
      <c r="D4" s="38" t="s">
        <v>101</v>
      </c>
      <c r="E4" s="37">
        <v>2004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15-16</v>
      </c>
      <c r="G4" s="56"/>
      <c r="H4" s="4">
        <f>SUM(N4:O4)</f>
        <v>123.80000000000001</v>
      </c>
      <c r="I4" s="3" t="str">
        <f>IF(MAX(P4,R4,T4,V4)&gt;=LOOKUP(F4,'Qualifying Scores'!$A$4:$A$7,'Qualifying Scores'!$I$4:$I$7),"P","")</f>
        <v>P</v>
      </c>
      <c r="J4" s="3" t="str">
        <f>IF(MAX(Q4,S4,U4,W4)&gt;=LOOKUP(F4,'Qualifying Scores'!$A$10:$A$13,'Qualifying Scores'!$I$10:$I$13),"P","")</f>
        <v>P</v>
      </c>
      <c r="K4" s="3" t="str">
        <f>IF(OR(AND(P4&gt;=LOOKUP(F4,'Qualifying Scores'!$A$4:$A$7,'Qualifying Scores'!$I$4:$I$7),Q4&gt;=LOOKUP(F4,'Qualifying Scores'!$A$10:$A$13,'Qualifying Scores'!$I$10:$I$13)),AND(R4&gt;=LOOKUP(F4,'Qualifying Scores'!$A$4:$A$7,'Qualifying Scores'!$I$4:$I$7),S4&gt;=LOOKUP(F4,'Qualifying Scores'!$A$10:$A$13,'Qualifying Scores'!$I$10:$I$13)),AND(T4&gt;=LOOKUP(F4,'Qualifying Scores'!$A$4:$A$7,'Qualifying Scores'!$I$4:$I$7),U4&gt;=LOOKUP(F4,'Qualifying Scores'!$A$10:$A$13,'Qualifying Scores'!$I$10:$I$13)),AND(V4&gt;=LOOKUP(F4,'Qualifying Scores'!$A$4:$A$7,'Qualifying Scores'!$I$4:$I$7),W4&gt;=LOOKUP(F4,'Qualifying Scores'!$A$10:$A$13,'Qualifying Scores'!$I$10:$I$13))),"P","")</f>
        <v>P</v>
      </c>
      <c r="L4" s="42">
        <v>2</v>
      </c>
      <c r="N4" s="4">
        <f>MAX(P4,T4)</f>
        <v>62.2</v>
      </c>
      <c r="O4" s="4">
        <f>IF(N4=P4,MAX(R4,T4,V4),MAX(P4,R4,V4))</f>
        <v>61.6</v>
      </c>
      <c r="P4" s="33">
        <v>60.2</v>
      </c>
      <c r="Q4" s="45">
        <v>7</v>
      </c>
      <c r="R4" s="34">
        <v>61.4</v>
      </c>
      <c r="S4" s="44">
        <v>7</v>
      </c>
      <c r="T4" s="33">
        <v>62.2</v>
      </c>
      <c r="U4" s="45">
        <v>8.1</v>
      </c>
      <c r="V4" s="47">
        <v>61.6</v>
      </c>
      <c r="W4" s="39">
        <v>7.9</v>
      </c>
    </row>
    <row r="5" spans="1:23" x14ac:dyDescent="0.2">
      <c r="A5" s="1">
        <f>IF(M5&lt;&gt;"",SUMPRODUCT((M$3:M$24&lt;&gt;"")*(F$3:F$24=F5)*(M$3:M$24&lt;M5))+1,IF(L5&lt;&gt;"",SUMPRODUCT((M$3:M$24&lt;&gt;"")*(F$3:F$24=F5))+SUMPRODUCT((L$3:L$24&lt;&gt;"")*(F$3:F$24=F5)*(L$3:L$24&lt;L5))+1,IF(K5="P",SUMPRODUCT((L$3:L$24&lt;&gt;"")*(F$3:F$24=F5))+SUMPRODUCT((M$3:M$24&lt;&gt;"")*(F$3:F$24=F5))+1+SUMPRODUCT((K$3:K$24="P")*(F$3:F$24=F5)*(H$3:H$24&gt;H5)*(L$3:L$24="")*(M$3:M$24="")),"")))</f>
        <v>3</v>
      </c>
      <c r="B5" s="38" t="s">
        <v>245</v>
      </c>
      <c r="C5" s="38" t="s">
        <v>4</v>
      </c>
      <c r="D5" s="38" t="s">
        <v>109</v>
      </c>
      <c r="E5" s="37">
        <v>2003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15-16</v>
      </c>
      <c r="G5" s="56" t="s">
        <v>305</v>
      </c>
      <c r="H5" s="4">
        <f>SUM(N5:O5)</f>
        <v>125.5</v>
      </c>
      <c r="I5" s="3" t="str">
        <f>IF(MAX(P5,R5,T5,V5)&gt;=LOOKUP(F5,'Qualifying Scores'!$A$4:$A$7,'Qualifying Scores'!$I$4:$I$7),"P","")</f>
        <v>P</v>
      </c>
      <c r="J5" s="3" t="str">
        <f>IF(MAX(Q5,S5,U5,W5)&gt;=LOOKUP(F5,'Qualifying Scores'!$A$10:$A$13,'Qualifying Scores'!$I$10:$I$13),"P","")</f>
        <v>P</v>
      </c>
      <c r="K5" s="3" t="str">
        <f>IF(OR(AND(P5&gt;=LOOKUP(F5,'Qualifying Scores'!$A$4:$A$7,'Qualifying Scores'!$I$4:$I$7),Q5&gt;=LOOKUP(F5,'Qualifying Scores'!$A$10:$A$13,'Qualifying Scores'!$I$10:$I$13)),AND(R5&gt;=LOOKUP(F5,'Qualifying Scores'!$A$4:$A$7,'Qualifying Scores'!$I$4:$I$7),S5&gt;=LOOKUP(F5,'Qualifying Scores'!$A$10:$A$13,'Qualifying Scores'!$I$10:$I$13)),AND(T5&gt;=LOOKUP(F5,'Qualifying Scores'!$A$4:$A$7,'Qualifying Scores'!$I$4:$I$7),U5&gt;=LOOKUP(F5,'Qualifying Scores'!$A$10:$A$13,'Qualifying Scores'!$I$10:$I$13)),AND(V5&gt;=LOOKUP(F5,'Qualifying Scores'!$A$4:$A$7,'Qualifying Scores'!$I$4:$I$7),W5&gt;=LOOKUP(F5,'Qualifying Scores'!$A$10:$A$13,'Qualifying Scores'!$I$10:$I$13))),"P","")</f>
        <v>P</v>
      </c>
      <c r="L5" s="42">
        <v>3</v>
      </c>
      <c r="N5" s="4">
        <f>MAX(P5,T5)</f>
        <v>63.6</v>
      </c>
      <c r="O5" s="4">
        <f>IF(N5=P5,MAX(R5,T5,V5),MAX(P5,R5,V5))</f>
        <v>61.9</v>
      </c>
      <c r="P5" s="33">
        <v>61.9</v>
      </c>
      <c r="Q5" s="45">
        <v>8.6</v>
      </c>
      <c r="R5" s="34">
        <v>57.8</v>
      </c>
      <c r="S5" s="44">
        <v>8</v>
      </c>
      <c r="T5" s="33">
        <v>63.6</v>
      </c>
      <c r="U5" s="45">
        <v>10.4</v>
      </c>
      <c r="V5" s="47">
        <v>26.2</v>
      </c>
      <c r="W5" s="39">
        <v>2.9</v>
      </c>
    </row>
    <row r="6" spans="1:23" x14ac:dyDescent="0.2">
      <c r="A6" s="1">
        <f>IF(M6&lt;&gt;"",SUMPRODUCT((M$3:M$24&lt;&gt;"")*(F$3:F$24=F6)*(M$3:M$24&lt;M6))+1,IF(L6&lt;&gt;"",SUMPRODUCT((M$3:M$24&lt;&gt;"")*(F$3:F$24=F6))+SUMPRODUCT((L$3:L$24&lt;&gt;"")*(F$3:F$24=F6)*(L$3:L$24&lt;L6))+1,IF(K6="P",SUMPRODUCT((L$3:L$24&lt;&gt;"")*(F$3:F$24=F6))+SUMPRODUCT((M$3:M$24&lt;&gt;"")*(F$3:F$24=F6))+1+SUMPRODUCT((K$3:K$24="P")*(F$3:F$24=F6)*(H$3:H$24&gt;H6)*(L$3:L$24="")*(M$3:M$24="")),"")))</f>
        <v>4</v>
      </c>
      <c r="B6" s="38" t="s">
        <v>246</v>
      </c>
      <c r="C6" s="38" t="s">
        <v>4</v>
      </c>
      <c r="D6" s="38" t="s">
        <v>109</v>
      </c>
      <c r="E6" s="37">
        <v>2003</v>
      </c>
      <c r="F6" s="1" t="str">
        <f>IF('Qualifying Scores'!$B$1-E6&gt;21,"Not Age Eligible",IF('Qualifying Scores'!$B$1-E6&gt;16,"17-21",IF('Qualifying Scores'!$B$1-E6&gt;14,"15-16",IF('Qualifying Scores'!$B$1-E6&gt;12,"13-14",IF('Qualifying Scores'!$B$1-E6&gt;10,"11-12,""Not Age Eligible")))))</f>
        <v>15-16</v>
      </c>
      <c r="G6" s="56" t="s">
        <v>305</v>
      </c>
      <c r="H6" s="4">
        <f>SUM(N6:O6)</f>
        <v>121.1</v>
      </c>
      <c r="I6" s="3" t="str">
        <f>IF(MAX(P6,R6,T6,V6)&gt;=LOOKUP(F6,'Qualifying Scores'!$A$4:$A$7,'Qualifying Scores'!$I$4:$I$7),"P","")</f>
        <v>P</v>
      </c>
      <c r="J6" s="3" t="str">
        <f>IF(MAX(Q6,S6,U6,W6)&gt;=LOOKUP(F6,'Qualifying Scores'!$A$10:$A$13,'Qualifying Scores'!$I$10:$I$13),"P","")</f>
        <v>P</v>
      </c>
      <c r="K6" s="3" t="str">
        <f>IF(OR(AND(P6&gt;=LOOKUP(F6,'Qualifying Scores'!$A$4:$A$7,'Qualifying Scores'!$I$4:$I$7),Q6&gt;=LOOKUP(F6,'Qualifying Scores'!$A$10:$A$13,'Qualifying Scores'!$I$10:$I$13)),AND(R6&gt;=LOOKUP(F6,'Qualifying Scores'!$A$4:$A$7,'Qualifying Scores'!$I$4:$I$7),S6&gt;=LOOKUP(F6,'Qualifying Scores'!$A$10:$A$13,'Qualifying Scores'!$I$10:$I$13)),AND(T6&gt;=LOOKUP(F6,'Qualifying Scores'!$A$4:$A$7,'Qualifying Scores'!$I$4:$I$7),U6&gt;=LOOKUP(F6,'Qualifying Scores'!$A$10:$A$13,'Qualifying Scores'!$I$10:$I$13)),AND(V6&gt;=LOOKUP(F6,'Qualifying Scores'!$A$4:$A$7,'Qualifying Scores'!$I$4:$I$7),W6&gt;=LOOKUP(F6,'Qualifying Scores'!$A$10:$A$13,'Qualifying Scores'!$I$10:$I$13))),"P","")</f>
        <v>P</v>
      </c>
      <c r="N6" s="4">
        <f>MAX(P6,T6)</f>
        <v>58.9</v>
      </c>
      <c r="O6" s="4">
        <f>IF(N6=P6,MAX(R6,T6,V6),MAX(P6,R6,V6))</f>
        <v>62.2</v>
      </c>
      <c r="P6" s="33">
        <v>58.9</v>
      </c>
      <c r="Q6" s="45">
        <v>7.3</v>
      </c>
      <c r="R6" s="34">
        <v>62.2</v>
      </c>
      <c r="S6" s="44">
        <v>6.8</v>
      </c>
      <c r="T6" s="33">
        <v>55.9</v>
      </c>
      <c r="U6" s="45">
        <v>5.3</v>
      </c>
      <c r="V6" s="47">
        <v>61.6</v>
      </c>
      <c r="W6" s="39">
        <v>6.6</v>
      </c>
    </row>
    <row r="7" spans="1:23" x14ac:dyDescent="0.2">
      <c r="A7" s="1">
        <f>IF(M7&lt;&gt;"",SUMPRODUCT((M$3:M$24&lt;&gt;"")*(F$3:F$24=F7)*(M$3:M$24&lt;M7))+1,IF(L7&lt;&gt;"",SUMPRODUCT((M$3:M$24&lt;&gt;"")*(F$3:F$24=F7))+SUMPRODUCT((L$3:L$24&lt;&gt;"")*(F$3:F$24=F7)*(L$3:L$24&lt;L7))+1,IF(K7="P",SUMPRODUCT((L$3:L$24&lt;&gt;"")*(F$3:F$24=F7))+SUMPRODUCT((M$3:M$24&lt;&gt;"")*(F$3:F$24=F7))+1+SUMPRODUCT((K$3:K$24="P")*(F$3:F$24=F7)*(H$3:H$24&gt;H7)*(L$3:L$24="")*(M$3:M$24="")),"")))</f>
        <v>5</v>
      </c>
      <c r="B7" s="38" t="s">
        <v>226</v>
      </c>
      <c r="C7" s="38" t="s">
        <v>8</v>
      </c>
      <c r="D7" s="38" t="s">
        <v>110</v>
      </c>
      <c r="E7" s="37">
        <v>2003</v>
      </c>
      <c r="F7" s="1" t="str">
        <f>IF('Qualifying Scores'!$B$1-E7&gt;21,"Not Age Eligible",IF('Qualifying Scores'!$B$1-E7&gt;16,"17-21",IF('Qualifying Scores'!$B$1-E7&gt;14,"15-16",IF('Qualifying Scores'!$B$1-E7&gt;12,"13-14",IF('Qualifying Scores'!$B$1-E7&gt;10,"11-12,""Not Age Eligible")))))</f>
        <v>15-16</v>
      </c>
      <c r="G7" s="56" t="s">
        <v>305</v>
      </c>
      <c r="H7" s="4">
        <f>SUM(N7:O7)</f>
        <v>119.4</v>
      </c>
      <c r="I7" s="3" t="str">
        <f>IF(MAX(P7,R7,T7,V7)&gt;=LOOKUP(F7,'Qualifying Scores'!$A$4:$A$7,'Qualifying Scores'!$I$4:$I$7),"P","")</f>
        <v>P</v>
      </c>
      <c r="J7" s="3" t="str">
        <f>IF(MAX(Q7,S7,U7,W7)&gt;=LOOKUP(F7,'Qualifying Scores'!$A$10:$A$13,'Qualifying Scores'!$I$10:$I$13),"P","")</f>
        <v>P</v>
      </c>
      <c r="K7" s="3" t="str">
        <f>IF(OR(AND(P7&gt;=LOOKUP(F7,'Qualifying Scores'!$A$4:$A$7,'Qualifying Scores'!$I$4:$I$7),Q7&gt;=LOOKUP(F7,'Qualifying Scores'!$A$10:$A$13,'Qualifying Scores'!$I$10:$I$13)),AND(R7&gt;=LOOKUP(F7,'Qualifying Scores'!$A$4:$A$7,'Qualifying Scores'!$I$4:$I$7),S7&gt;=LOOKUP(F7,'Qualifying Scores'!$A$10:$A$13,'Qualifying Scores'!$I$10:$I$13)),AND(T7&gt;=LOOKUP(F7,'Qualifying Scores'!$A$4:$A$7,'Qualifying Scores'!$I$4:$I$7),U7&gt;=LOOKUP(F7,'Qualifying Scores'!$A$10:$A$13,'Qualifying Scores'!$I$10:$I$13)),AND(V7&gt;=LOOKUP(F7,'Qualifying Scores'!$A$4:$A$7,'Qualifying Scores'!$I$4:$I$7),W7&gt;=LOOKUP(F7,'Qualifying Scores'!$A$10:$A$13,'Qualifying Scores'!$I$10:$I$13))),"P","")</f>
        <v>P</v>
      </c>
      <c r="N7" s="4">
        <f>MAX(P7,T7)</f>
        <v>59.8</v>
      </c>
      <c r="O7" s="4">
        <f>IF(N7=P7,MAX(R7,T7,V7),MAX(P7,R7,V7))</f>
        <v>59.6</v>
      </c>
      <c r="P7" s="33">
        <v>58.2</v>
      </c>
      <c r="Q7" s="45">
        <v>7.3</v>
      </c>
      <c r="R7" s="34">
        <v>59.6</v>
      </c>
      <c r="S7" s="44">
        <v>7.3</v>
      </c>
      <c r="T7" s="33">
        <v>59.8</v>
      </c>
      <c r="U7" s="45">
        <v>7.5</v>
      </c>
      <c r="V7" s="47">
        <v>59.2</v>
      </c>
      <c r="W7" s="39">
        <v>7.3</v>
      </c>
    </row>
    <row r="8" spans="1:23" x14ac:dyDescent="0.2">
      <c r="A8" s="1">
        <f>IF(M8&lt;&gt;"",SUMPRODUCT((M$3:M$24&lt;&gt;"")*(F$3:F$24=F8)*(M$3:M$24&lt;M8))+1,IF(L8&lt;&gt;"",SUMPRODUCT((M$3:M$24&lt;&gt;"")*(F$3:F$24=F8))+SUMPRODUCT((L$3:L$24&lt;&gt;"")*(F$3:F$24=F8)*(L$3:L$24&lt;L8))+1,IF(K8="P",SUMPRODUCT((L$3:L$24&lt;&gt;"")*(F$3:F$24=F8))+SUMPRODUCT((M$3:M$24&lt;&gt;"")*(F$3:F$24=F8))+1+SUMPRODUCT((K$3:K$24="P")*(F$3:F$24=F8)*(H$3:H$24&gt;H8)*(L$3:L$24="")*(M$3:M$24="")),"")))</f>
        <v>6</v>
      </c>
      <c r="B8" s="38" t="s">
        <v>247</v>
      </c>
      <c r="C8" s="38" t="s">
        <v>4</v>
      </c>
      <c r="D8" s="38" t="s">
        <v>107</v>
      </c>
      <c r="E8" s="37">
        <v>2004</v>
      </c>
      <c r="F8" s="1" t="str">
        <f>IF('Qualifying Scores'!$B$1-E8&gt;21,"Not Age Eligible",IF('Qualifying Scores'!$B$1-E8&gt;16,"17-21",IF('Qualifying Scores'!$B$1-E8&gt;14,"15-16",IF('Qualifying Scores'!$B$1-E8&gt;12,"13-14",IF('Qualifying Scores'!$B$1-E8&gt;10,"11-12,""Not Age Eligible")))))</f>
        <v>15-16</v>
      </c>
      <c r="G8" s="56"/>
      <c r="H8" s="4">
        <f>SUM(N8:O8)</f>
        <v>118.5</v>
      </c>
      <c r="I8" s="3" t="str">
        <f>IF(MAX(P8,R8,T8,V8)&gt;=LOOKUP(F8,'Qualifying Scores'!$A$4:$A$7,'Qualifying Scores'!$I$4:$I$7),"P","")</f>
        <v>P</v>
      </c>
      <c r="J8" s="3" t="str">
        <f>IF(MAX(Q8,S8,U8,W8)&gt;=LOOKUP(F8,'Qualifying Scores'!$A$10:$A$13,'Qualifying Scores'!$I$10:$I$13),"P","")</f>
        <v>P</v>
      </c>
      <c r="K8" s="3" t="str">
        <f>IF(OR(AND(P8&gt;=LOOKUP(F8,'Qualifying Scores'!$A$4:$A$7,'Qualifying Scores'!$I$4:$I$7),Q8&gt;=LOOKUP(F8,'Qualifying Scores'!$A$10:$A$13,'Qualifying Scores'!$I$10:$I$13)),AND(R8&gt;=LOOKUP(F8,'Qualifying Scores'!$A$4:$A$7,'Qualifying Scores'!$I$4:$I$7),S8&gt;=LOOKUP(F8,'Qualifying Scores'!$A$10:$A$13,'Qualifying Scores'!$I$10:$I$13)),AND(T8&gt;=LOOKUP(F8,'Qualifying Scores'!$A$4:$A$7,'Qualifying Scores'!$I$4:$I$7),U8&gt;=LOOKUP(F8,'Qualifying Scores'!$A$10:$A$13,'Qualifying Scores'!$I$10:$I$13)),AND(V8&gt;=LOOKUP(F8,'Qualifying Scores'!$A$4:$A$7,'Qualifying Scores'!$I$4:$I$7),W8&gt;=LOOKUP(F8,'Qualifying Scores'!$A$10:$A$13,'Qualifying Scores'!$I$10:$I$13))),"P","")</f>
        <v>P</v>
      </c>
      <c r="N8" s="4">
        <f>MAX(P8,T8)</f>
        <v>58.1</v>
      </c>
      <c r="O8" s="4">
        <f>IF(N8=P8,MAX(R8,T8,V8),MAX(P8,R8,V8))</f>
        <v>60.4</v>
      </c>
      <c r="P8" s="33">
        <v>58.1</v>
      </c>
      <c r="Q8" s="45">
        <v>7.3</v>
      </c>
      <c r="R8" s="34">
        <v>58.8</v>
      </c>
      <c r="S8" s="45">
        <v>6.6</v>
      </c>
      <c r="T8" s="33">
        <v>56.5</v>
      </c>
      <c r="U8" s="45">
        <v>7.3</v>
      </c>
      <c r="V8" s="47">
        <v>60.4</v>
      </c>
      <c r="W8" s="39">
        <v>6.6</v>
      </c>
    </row>
    <row r="9" spans="1:23" x14ac:dyDescent="0.2">
      <c r="A9" s="1" t="str">
        <f>IF(M9&lt;&gt;"",SUMPRODUCT((M$3:M$24&lt;&gt;"")*(F$3:F$24=F9)*(M$3:M$24&lt;M9))+1,IF(L9&lt;&gt;"",SUMPRODUCT((M$3:M$24&lt;&gt;"")*(F$3:F$24=F9))+SUMPRODUCT((L$3:L$24&lt;&gt;"")*(F$3:F$24=F9)*(L$3:L$24&lt;L9))+1,IF(K9="P",SUMPRODUCT((L$3:L$24&lt;&gt;"")*(F$3:F$24=F9))+SUMPRODUCT((M$3:M$24&lt;&gt;"")*(F$3:F$24=F9))+1+SUMPRODUCT((K$3:K$24="P")*(F$3:F$24=F9)*(H$3:H$24&gt;H9)*(L$3:L$24="")*(M$3:M$24="")),"")))</f>
        <v/>
      </c>
      <c r="B9" s="38" t="s">
        <v>248</v>
      </c>
      <c r="C9" s="38" t="s">
        <v>4</v>
      </c>
      <c r="D9" s="38" t="s">
        <v>109</v>
      </c>
      <c r="E9" s="37">
        <v>2004</v>
      </c>
      <c r="F9" s="1" t="str">
        <f>IF('Qualifying Scores'!$B$1-E9&gt;21,"Not Age Eligible",IF('Qualifying Scores'!$B$1-E9&gt;16,"17-21",IF('Qualifying Scores'!$B$1-E9&gt;14,"15-16",IF('Qualifying Scores'!$B$1-E9&gt;12,"13-14",IF('Qualifying Scores'!$B$1-E9&gt;10,"11-12,""Not Age Eligible")))))</f>
        <v>15-16</v>
      </c>
      <c r="G9" s="56"/>
      <c r="H9" s="4">
        <f>SUM(N9:O9)</f>
        <v>116.6</v>
      </c>
      <c r="I9" s="3" t="str">
        <f>IF(MAX(P9,R9,T9,V9)&gt;=LOOKUP(F9,'Qualifying Scores'!$A$4:$A$7,'Qualifying Scores'!$I$4:$I$7),"P","")</f>
        <v/>
      </c>
      <c r="J9" s="3" t="str">
        <f>IF(MAX(Q9,S9,U9,W9)&gt;=LOOKUP(F9,'Qualifying Scores'!$A$10:$A$13,'Qualifying Scores'!$I$10:$I$13),"P","")</f>
        <v>P</v>
      </c>
      <c r="K9" s="3" t="str">
        <f>IF(OR(AND(P9&gt;=LOOKUP(F9,'Qualifying Scores'!$A$4:$A$7,'Qualifying Scores'!$I$4:$I$7),Q9&gt;=LOOKUP(F9,'Qualifying Scores'!$A$10:$A$13,'Qualifying Scores'!$I$10:$I$13)),AND(R9&gt;=LOOKUP(F9,'Qualifying Scores'!$A$4:$A$7,'Qualifying Scores'!$I$4:$I$7),S9&gt;=LOOKUP(F9,'Qualifying Scores'!$A$10:$A$13,'Qualifying Scores'!$I$10:$I$13)),AND(T9&gt;=LOOKUP(F9,'Qualifying Scores'!$A$4:$A$7,'Qualifying Scores'!$I$4:$I$7),U9&gt;=LOOKUP(F9,'Qualifying Scores'!$A$10:$A$13,'Qualifying Scores'!$I$10:$I$13)),AND(V9&gt;=LOOKUP(F9,'Qualifying Scores'!$A$4:$A$7,'Qualifying Scores'!$I$4:$I$7),W9&gt;=LOOKUP(F9,'Qualifying Scores'!$A$10:$A$13,'Qualifying Scores'!$I$10:$I$13))),"P","")</f>
        <v/>
      </c>
      <c r="N9" s="4">
        <f>MAX(P9,T9)</f>
        <v>57.8</v>
      </c>
      <c r="O9" s="4">
        <f>IF(N9=P9,MAX(R9,T9,V9),MAX(P9,R9,V9))</f>
        <v>58.8</v>
      </c>
      <c r="P9" s="33">
        <v>57.8</v>
      </c>
      <c r="Q9" s="45">
        <v>7</v>
      </c>
      <c r="R9" s="34">
        <v>58.8</v>
      </c>
      <c r="S9" s="44">
        <v>6.6</v>
      </c>
      <c r="T9" s="33"/>
      <c r="U9" s="45"/>
      <c r="V9" s="47"/>
      <c r="W9" s="39"/>
    </row>
    <row r="10" spans="1:23" x14ac:dyDescent="0.2">
      <c r="A10" s="1" t="str">
        <f>IF(M10&lt;&gt;"",SUMPRODUCT((M$3:M$24&lt;&gt;"")*(F$3:F$24=F10)*(M$3:M$24&lt;M10))+1,IF(L10&lt;&gt;"",SUMPRODUCT((M$3:M$24&lt;&gt;"")*(F$3:F$24=F10))+SUMPRODUCT((L$3:L$24&lt;&gt;"")*(F$3:F$24=F10)*(L$3:L$24&lt;L10))+1,IF(K10="P",SUMPRODUCT((L$3:L$24&lt;&gt;"")*(F$3:F$24=F10))+SUMPRODUCT((M$3:M$24&lt;&gt;"")*(F$3:F$24=F10))+1+SUMPRODUCT((K$3:K$24="P")*(F$3:F$24=F10)*(H$3:H$24&gt;H10)*(L$3:L$24="")*(M$3:M$24="")),"")))</f>
        <v/>
      </c>
      <c r="B10" s="38" t="s">
        <v>181</v>
      </c>
      <c r="C10" s="38" t="s">
        <v>8</v>
      </c>
      <c r="D10" s="38" t="s">
        <v>110</v>
      </c>
      <c r="E10" s="37">
        <v>2003</v>
      </c>
      <c r="F10" s="1" t="str">
        <f>IF('Qualifying Scores'!$B$1-E10&gt;21,"Not Age Eligible",IF('Qualifying Scores'!$B$1-E10&gt;16,"17-21",IF('Qualifying Scores'!$B$1-E10&gt;14,"15-16",IF('Qualifying Scores'!$B$1-E10&gt;12,"13-14",IF('Qualifying Scores'!$B$1-E10&gt;10,"11-12,""Not Age Eligible")))))</f>
        <v>15-16</v>
      </c>
      <c r="G10" s="56"/>
      <c r="H10" s="4">
        <f>SUM(N10:O10)</f>
        <v>107.2</v>
      </c>
      <c r="I10" s="3" t="str">
        <f>IF(MAX(P10,R10,T10,V10)&gt;=LOOKUP(F10,'Qualifying Scores'!$A$4:$A$7,'Qualifying Scores'!$I$4:$I$7),"P","")</f>
        <v/>
      </c>
      <c r="J10" s="3" t="str">
        <f>IF(MAX(Q10,S10,U10,W10)&gt;=LOOKUP(F10,'Qualifying Scores'!$A$10:$A$13,'Qualifying Scores'!$I$10:$I$13),"P","")</f>
        <v>P</v>
      </c>
      <c r="K10" s="3" t="str">
        <f>IF(OR(AND(P10&gt;=LOOKUP(F10,'Qualifying Scores'!$A$4:$A$7,'Qualifying Scores'!$I$4:$I$7),Q10&gt;=LOOKUP(F10,'Qualifying Scores'!$A$10:$A$13,'Qualifying Scores'!$I$10:$I$13)),AND(R10&gt;=LOOKUP(F10,'Qualifying Scores'!$A$4:$A$7,'Qualifying Scores'!$I$4:$I$7),S10&gt;=LOOKUP(F10,'Qualifying Scores'!$A$10:$A$13,'Qualifying Scores'!$I$10:$I$13)),AND(T10&gt;=LOOKUP(F10,'Qualifying Scores'!$A$4:$A$7,'Qualifying Scores'!$I$4:$I$7),U10&gt;=LOOKUP(F10,'Qualifying Scores'!$A$10:$A$13,'Qualifying Scores'!$I$10:$I$13)),AND(V10&gt;=LOOKUP(F10,'Qualifying Scores'!$A$4:$A$7,'Qualifying Scores'!$I$4:$I$7),W10&gt;=LOOKUP(F10,'Qualifying Scores'!$A$10:$A$13,'Qualifying Scores'!$I$10:$I$13))),"P","")</f>
        <v/>
      </c>
      <c r="N10" s="4">
        <f>MAX(P10,T10)</f>
        <v>55</v>
      </c>
      <c r="O10" s="4">
        <f>IF(N10=P10,MAX(R10,T10,V10),MAX(P10,R10,V10))</f>
        <v>52.2</v>
      </c>
      <c r="P10" s="33">
        <v>55</v>
      </c>
      <c r="Q10" s="45">
        <v>7.3</v>
      </c>
      <c r="R10" s="34"/>
      <c r="S10" s="44"/>
      <c r="T10" s="33">
        <v>52.2</v>
      </c>
      <c r="U10" s="45">
        <v>5.0999999999999996</v>
      </c>
      <c r="V10" s="47"/>
      <c r="W10" s="39"/>
    </row>
    <row r="11" spans="1:23" x14ac:dyDescent="0.2">
      <c r="A11" s="1" t="str">
        <f>IF(M11&lt;&gt;"",SUMPRODUCT((M$3:M$24&lt;&gt;"")*(F$3:F$24=F11)*(M$3:M$24&lt;M11))+1,IF(L11&lt;&gt;"",SUMPRODUCT((M$3:M$24&lt;&gt;"")*(F$3:F$24=F11))+SUMPRODUCT((L$3:L$24&lt;&gt;"")*(F$3:F$24=F11)*(L$3:L$24&lt;L11))+1,IF(K11="P",SUMPRODUCT((L$3:L$24&lt;&gt;"")*(F$3:F$24=F11))+SUMPRODUCT((M$3:M$24&lt;&gt;"")*(F$3:F$24=F11))+1+SUMPRODUCT((K$3:K$24="P")*(F$3:F$24=F11)*(H$3:H$24&gt;H11)*(L$3:L$24="")*(M$3:M$24="")),"")))</f>
        <v/>
      </c>
      <c r="B11" s="38" t="s">
        <v>228</v>
      </c>
      <c r="C11" s="38" t="s">
        <v>8</v>
      </c>
      <c r="D11" s="38" t="s">
        <v>104</v>
      </c>
      <c r="E11" s="37">
        <v>2004</v>
      </c>
      <c r="F11" s="1" t="str">
        <f>IF('Qualifying Scores'!$B$1-E11&gt;21,"Not Age Eligible",IF('Qualifying Scores'!$B$1-E11&gt;16,"17-21",IF('Qualifying Scores'!$B$1-E11&gt;14,"15-16",IF('Qualifying Scores'!$B$1-E11&gt;12,"13-14",IF('Qualifying Scores'!$B$1-E11&gt;10,"11-12,""Not Age Eligible")))))</f>
        <v>15-16</v>
      </c>
      <c r="G11" s="56"/>
      <c r="H11" s="4">
        <f>SUM(N11:O11)</f>
        <v>45.8</v>
      </c>
      <c r="I11" s="3" t="str">
        <f>IF(MAX(P11,R11,T11,V11)&gt;=LOOKUP(F11,'Qualifying Scores'!$A$4:$A$7,'Qualifying Scores'!$I$4:$I$7),"P","")</f>
        <v/>
      </c>
      <c r="J11" s="3" t="str">
        <f>IF(MAX(Q11,S11,U11,W11)&gt;=LOOKUP(F11,'Qualifying Scores'!$A$10:$A$13,'Qualifying Scores'!$I$10:$I$13),"P","")</f>
        <v/>
      </c>
      <c r="K11" s="3" t="str">
        <f>IF(OR(AND(P11&gt;=LOOKUP(F11,'Qualifying Scores'!$A$4:$A$7,'Qualifying Scores'!$I$4:$I$7),Q11&gt;=LOOKUP(F11,'Qualifying Scores'!$A$10:$A$13,'Qualifying Scores'!$I$10:$I$13)),AND(R11&gt;=LOOKUP(F11,'Qualifying Scores'!$A$4:$A$7,'Qualifying Scores'!$I$4:$I$7),S11&gt;=LOOKUP(F11,'Qualifying Scores'!$A$10:$A$13,'Qualifying Scores'!$I$10:$I$13)),AND(T11&gt;=LOOKUP(F11,'Qualifying Scores'!$A$4:$A$7,'Qualifying Scores'!$I$4:$I$7),U11&gt;=LOOKUP(F11,'Qualifying Scores'!$A$10:$A$13,'Qualifying Scores'!$I$10:$I$13)),AND(V11&gt;=LOOKUP(F11,'Qualifying Scores'!$A$4:$A$7,'Qualifying Scores'!$I$4:$I$7),W11&gt;=LOOKUP(F11,'Qualifying Scores'!$A$10:$A$13,'Qualifying Scores'!$I$10:$I$13))),"P","")</f>
        <v/>
      </c>
      <c r="N11" s="4">
        <f>MAX(P11,T11)</f>
        <v>45.8</v>
      </c>
      <c r="O11" s="4">
        <f>IF(N11=P11,MAX(R11,T11,V11),MAX(P11,R11,V11))</f>
        <v>0</v>
      </c>
      <c r="P11" s="33">
        <v>45.8</v>
      </c>
      <c r="Q11" s="45">
        <v>3.6</v>
      </c>
      <c r="R11" s="34"/>
      <c r="S11" s="44"/>
      <c r="T11" s="33"/>
      <c r="U11" s="45"/>
      <c r="V11" s="47"/>
      <c r="W11" s="39"/>
    </row>
    <row r="12" spans="1:23" x14ac:dyDescent="0.2">
      <c r="A12" s="1" t="str">
        <f>IF(M12&lt;&gt;"",SUMPRODUCT((M$3:M$24&lt;&gt;"")*(F$3:F$24=F12)*(M$3:M$24&lt;M12))+1,IF(L12&lt;&gt;"",SUMPRODUCT((M$3:M$24&lt;&gt;"")*(F$3:F$24=F12))+SUMPRODUCT((L$3:L$24&lt;&gt;"")*(F$3:F$24=F12)*(L$3:L$24&lt;L12))+1,IF(K12="P",SUMPRODUCT((L$3:L$24&lt;&gt;"")*(F$3:F$24=F12))+SUMPRODUCT((M$3:M$24&lt;&gt;"")*(F$3:F$24=F12))+1+SUMPRODUCT((K$3:K$24="P")*(F$3:F$24=F12)*(H$3:H$24&gt;H12)*(L$3:L$24="")*(M$3:M$24="")),"")))</f>
        <v/>
      </c>
      <c r="B12" s="38" t="s">
        <v>249</v>
      </c>
      <c r="C12" s="38" t="s">
        <v>12</v>
      </c>
      <c r="D12" s="38" t="s">
        <v>112</v>
      </c>
      <c r="E12" s="37">
        <v>2002</v>
      </c>
      <c r="F12" s="1" t="str">
        <f>IF('Qualifying Scores'!$B$1-E12&gt;21,"Not Age Eligible",IF('Qualifying Scores'!$B$1-E12&gt;16,"17-21",IF('Qualifying Scores'!$B$1-E12&gt;14,"15-16",IF('Qualifying Scores'!$B$1-E12&gt;12,"13-14",IF('Qualifying Scores'!$B$1-E12&gt;10,"11-12,""Not Age Eligible")))))</f>
        <v>17-21</v>
      </c>
      <c r="G12" s="56" t="s">
        <v>305</v>
      </c>
      <c r="H12" s="4">
        <f>SUM(N12:O12)</f>
        <v>120</v>
      </c>
      <c r="I12" s="3" t="str">
        <f>IF(MAX(P12,R12,T12,V12)&gt;=LOOKUP(F12,'Qualifying Scores'!$A$4:$A$7,'Qualifying Scores'!$I$4:$I$7),"P","")</f>
        <v>P</v>
      </c>
      <c r="J12" s="3" t="str">
        <f>IF(MAX(Q12,S12,U12,W12)&gt;=LOOKUP(F12,'Qualifying Scores'!$A$10:$A$13,'Qualifying Scores'!$I$10:$I$13),"P","")</f>
        <v>P</v>
      </c>
      <c r="K12" s="3" t="str">
        <f>IF(OR(AND(P12&gt;=LOOKUP(F12,'Qualifying Scores'!$A$4:$A$7,'Qualifying Scores'!$I$4:$I$7),Q12&gt;=LOOKUP(F12,'Qualifying Scores'!$A$10:$A$13,'Qualifying Scores'!$I$10:$I$13)),AND(R12&gt;=LOOKUP(F12,'Qualifying Scores'!$A$4:$A$7,'Qualifying Scores'!$I$4:$I$7),S12&gt;=LOOKUP(F12,'Qualifying Scores'!$A$10:$A$13,'Qualifying Scores'!$I$10:$I$13)),AND(T12&gt;=LOOKUP(F12,'Qualifying Scores'!$A$4:$A$7,'Qualifying Scores'!$I$4:$I$7),U12&gt;=LOOKUP(F12,'Qualifying Scores'!$A$10:$A$13,'Qualifying Scores'!$I$10:$I$13)),AND(V12&gt;=LOOKUP(F12,'Qualifying Scores'!$A$4:$A$7,'Qualifying Scores'!$I$4:$I$7),W12&gt;=LOOKUP(F12,'Qualifying Scores'!$A$10:$A$13,'Qualifying Scores'!$I$10:$I$13))),"P","")</f>
        <v/>
      </c>
      <c r="N12" s="4">
        <f>MAX(P12,T12)</f>
        <v>59.6</v>
      </c>
      <c r="O12" s="4">
        <f>IF(N12=P12,MAX(R12,T12,V12),MAX(P12,R12,V12))</f>
        <v>60.4</v>
      </c>
      <c r="P12" s="33">
        <v>59.6</v>
      </c>
      <c r="Q12" s="45">
        <v>7.3</v>
      </c>
      <c r="R12" s="34">
        <v>60.4</v>
      </c>
      <c r="S12" s="44">
        <v>6.6</v>
      </c>
      <c r="T12" s="33"/>
      <c r="U12" s="45"/>
      <c r="V12" s="47"/>
      <c r="W12" s="39"/>
    </row>
    <row r="13" spans="1:23" x14ac:dyDescent="0.2">
      <c r="A13" s="1" t="str">
        <f>IF(M13&lt;&gt;"",SUMPRODUCT((M$3:M$24&lt;&gt;"")*(F$3:F$24=F13)*(M$3:M$24&lt;M13))+1,IF(L13&lt;&gt;"",SUMPRODUCT((M$3:M$24&lt;&gt;"")*(F$3:F$24=F13))+SUMPRODUCT((L$3:L$24&lt;&gt;"")*(F$3:F$24=F13)*(L$3:L$24&lt;L13))+1,IF(K13="P",SUMPRODUCT((L$3:L$24&lt;&gt;"")*(F$3:F$24=F13))+SUMPRODUCT((M$3:M$24&lt;&gt;"")*(F$3:F$24=F13))+1+SUMPRODUCT((K$3:K$24="P")*(F$3:F$24=F13)*(H$3:H$24&gt;H13)*(L$3:L$24="")*(M$3:M$24="")),"")))</f>
        <v/>
      </c>
      <c r="B13" s="38" t="s">
        <v>232</v>
      </c>
      <c r="C13" s="38" t="s">
        <v>6</v>
      </c>
      <c r="D13" s="38" t="s">
        <v>113</v>
      </c>
      <c r="E13" s="37">
        <v>2001</v>
      </c>
      <c r="F13" s="1" t="str">
        <f>IF('Qualifying Scores'!$B$1-E13&gt;21,"Not Age Eligible",IF('Qualifying Scores'!$B$1-E13&gt;16,"17-21",IF('Qualifying Scores'!$B$1-E13&gt;14,"15-16",IF('Qualifying Scores'!$B$1-E13&gt;12,"13-14",IF('Qualifying Scores'!$B$1-E13&gt;10,"11-12,""Not Age Eligible")))))</f>
        <v>17-21</v>
      </c>
      <c r="G13" s="56" t="s">
        <v>305</v>
      </c>
      <c r="H13" s="4">
        <f>SUM(N13:O13)</f>
        <v>117.80000000000001</v>
      </c>
      <c r="I13" s="3" t="str">
        <f>IF(MAX(P13,R13,T13,V13)&gt;=LOOKUP(F13,'Qualifying Scores'!$A$4:$A$7,'Qualifying Scores'!$I$4:$I$7),"P","")</f>
        <v/>
      </c>
      <c r="J13" s="3" t="str">
        <f>IF(MAX(Q13,S13,U13,W13)&gt;=LOOKUP(F13,'Qualifying Scores'!$A$10:$A$13,'Qualifying Scores'!$I$10:$I$13),"P","")</f>
        <v>P</v>
      </c>
      <c r="K13" s="3" t="str">
        <f>IF(OR(AND(P13&gt;=LOOKUP(F13,'Qualifying Scores'!$A$4:$A$7,'Qualifying Scores'!$I$4:$I$7),Q13&gt;=LOOKUP(F13,'Qualifying Scores'!$A$10:$A$13,'Qualifying Scores'!$I$10:$I$13)),AND(R13&gt;=LOOKUP(F13,'Qualifying Scores'!$A$4:$A$7,'Qualifying Scores'!$I$4:$I$7),S13&gt;=LOOKUP(F13,'Qualifying Scores'!$A$10:$A$13,'Qualifying Scores'!$I$10:$I$13)),AND(T13&gt;=LOOKUP(F13,'Qualifying Scores'!$A$4:$A$7,'Qualifying Scores'!$I$4:$I$7),U13&gt;=LOOKUP(F13,'Qualifying Scores'!$A$10:$A$13,'Qualifying Scores'!$I$10:$I$13)),AND(V13&gt;=LOOKUP(F13,'Qualifying Scores'!$A$4:$A$7,'Qualifying Scores'!$I$4:$I$7),W13&gt;=LOOKUP(F13,'Qualifying Scores'!$A$10:$A$13,'Qualifying Scores'!$I$10:$I$13))),"P","")</f>
        <v/>
      </c>
      <c r="N13" s="4">
        <f>MAX(P13,T13)</f>
        <v>58.1</v>
      </c>
      <c r="O13" s="4">
        <f>IF(N13=P13,MAX(R13,T13,V13),MAX(P13,R13,V13))</f>
        <v>59.7</v>
      </c>
      <c r="P13" s="33">
        <v>52.4</v>
      </c>
      <c r="Q13" s="45">
        <v>5.8</v>
      </c>
      <c r="R13" s="34"/>
      <c r="S13" s="44"/>
      <c r="T13" s="33">
        <v>58.1</v>
      </c>
      <c r="U13" s="45">
        <v>7.3</v>
      </c>
      <c r="V13" s="47">
        <v>59.7</v>
      </c>
      <c r="W13" s="39">
        <v>7.3</v>
      </c>
    </row>
    <row r="14" spans="1:23" x14ac:dyDescent="0.2">
      <c r="A14" s="1" t="str">
        <f>IF(M14&lt;&gt;"",SUMPRODUCT((M$3:M$24&lt;&gt;"")*(F$3:F$24=F14)*(M$3:M$24&lt;M14))+1,IF(L14&lt;&gt;"",SUMPRODUCT((M$3:M$24&lt;&gt;"")*(F$3:F$24=F14))+SUMPRODUCT((L$3:L$24&lt;&gt;"")*(F$3:F$24=F14)*(L$3:L$24&lt;L14))+1,IF(K14="P",SUMPRODUCT((L$3:L$24&lt;&gt;"")*(F$3:F$24=F14))+SUMPRODUCT((M$3:M$24&lt;&gt;"")*(F$3:F$24=F14))+1+SUMPRODUCT((K$3:K$24="P")*(F$3:F$24=F14)*(H$3:H$24&gt;H14)*(L$3:L$24="")*(M$3:M$24="")),"")))</f>
        <v/>
      </c>
      <c r="B14" s="38" t="s">
        <v>240</v>
      </c>
      <c r="C14" s="38" t="s">
        <v>8</v>
      </c>
      <c r="D14" s="38" t="s">
        <v>110</v>
      </c>
      <c r="E14" s="37">
        <v>2001</v>
      </c>
      <c r="F14" s="1" t="str">
        <f>IF('Qualifying Scores'!$B$1-E14&gt;21,"Not Age Eligible",IF('Qualifying Scores'!$B$1-E14&gt;16,"17-21",IF('Qualifying Scores'!$B$1-E14&gt;14,"15-16",IF('Qualifying Scores'!$B$1-E14&gt;12,"13-14",IF('Qualifying Scores'!$B$1-E14&gt;10,"11-12,""Not Age Eligible")))))</f>
        <v>17-21</v>
      </c>
      <c r="G14" s="56" t="s">
        <v>305</v>
      </c>
      <c r="H14" s="4">
        <f>SUM(N14:O14)</f>
        <v>117.1</v>
      </c>
      <c r="I14" s="3" t="str">
        <f>IF(MAX(P14,R14,T14,V14)&gt;=LOOKUP(F14,'Qualifying Scores'!$A$4:$A$7,'Qualifying Scores'!$I$4:$I$7),"P","")</f>
        <v/>
      </c>
      <c r="J14" s="3" t="str">
        <f>IF(MAX(Q14,S14,U14,W14)&gt;=LOOKUP(F14,'Qualifying Scores'!$A$10:$A$13,'Qualifying Scores'!$I$10:$I$13),"P","")</f>
        <v>P</v>
      </c>
      <c r="K14" s="3" t="str">
        <f>IF(OR(AND(P14&gt;=LOOKUP(F14,'Qualifying Scores'!$A$4:$A$7,'Qualifying Scores'!$I$4:$I$7),Q14&gt;=LOOKUP(F14,'Qualifying Scores'!$A$10:$A$13,'Qualifying Scores'!$I$10:$I$13)),AND(R14&gt;=LOOKUP(F14,'Qualifying Scores'!$A$4:$A$7,'Qualifying Scores'!$I$4:$I$7),S14&gt;=LOOKUP(F14,'Qualifying Scores'!$A$10:$A$13,'Qualifying Scores'!$I$10:$I$13)),AND(T14&gt;=LOOKUP(F14,'Qualifying Scores'!$A$4:$A$7,'Qualifying Scores'!$I$4:$I$7),U14&gt;=LOOKUP(F14,'Qualifying Scores'!$A$10:$A$13,'Qualifying Scores'!$I$10:$I$13)),AND(V14&gt;=LOOKUP(F14,'Qualifying Scores'!$A$4:$A$7,'Qualifying Scores'!$I$4:$I$7),W14&gt;=LOOKUP(F14,'Qualifying Scores'!$A$10:$A$13,'Qualifying Scores'!$I$10:$I$13))),"P","")</f>
        <v/>
      </c>
      <c r="N14" s="4">
        <f>MAX(P14,T14)</f>
        <v>58.4</v>
      </c>
      <c r="O14" s="4">
        <f>IF(N14=P14,MAX(R14,T14,V14),MAX(P14,R14,V14))</f>
        <v>58.7</v>
      </c>
      <c r="P14" s="33">
        <v>55</v>
      </c>
      <c r="Q14" s="45">
        <v>7.1</v>
      </c>
      <c r="R14" s="34">
        <v>54.1</v>
      </c>
      <c r="S14" s="44">
        <v>5.0999999999999996</v>
      </c>
      <c r="T14" s="33">
        <v>58.4</v>
      </c>
      <c r="U14" s="45">
        <v>6.4</v>
      </c>
      <c r="V14" s="47">
        <v>58.7</v>
      </c>
      <c r="W14" s="39">
        <v>6.4</v>
      </c>
    </row>
    <row r="15" spans="1:23" x14ac:dyDescent="0.2">
      <c r="A15" s="1">
        <f>IF(M15&lt;&gt;"",SUMPRODUCT((M$3:M$24&lt;&gt;"")*(F$3:F$24=F15)*(M$3:M$24&lt;M15))+1,IF(L15&lt;&gt;"",SUMPRODUCT((M$3:M$24&lt;&gt;"")*(F$3:F$24=F15))+SUMPRODUCT((L$3:L$24&lt;&gt;"")*(F$3:F$24=F15)*(L$3:L$24&lt;L15))+1,IF(K15="P",SUMPRODUCT((L$3:L$24&lt;&gt;"")*(F$3:F$24=F15))+SUMPRODUCT((M$3:M$24&lt;&gt;"")*(F$3:F$24=F15))+1+SUMPRODUCT((K$3:K$24="P")*(F$3:F$24=F15)*(H$3:H$24&gt;H15)*(L$3:L$24="")*(M$3:M$24="")),"")))</f>
        <v>1</v>
      </c>
      <c r="B15" s="38" t="s">
        <v>301</v>
      </c>
      <c r="C15" s="38" t="s">
        <v>28</v>
      </c>
      <c r="D15" s="38" t="s">
        <v>108</v>
      </c>
      <c r="E15" s="37">
        <v>2001</v>
      </c>
      <c r="F15" s="1" t="str">
        <f>IF('Qualifying Scores'!$B$1-E15&gt;21,"Not Age Eligible",IF('Qualifying Scores'!$B$1-E15&gt;16,"17-21",IF('Qualifying Scores'!$B$1-E15&gt;14,"15-16",IF('Qualifying Scores'!$B$1-E15&gt;12,"13-14",IF('Qualifying Scores'!$B$1-E15&gt;10,"11-12,""Not Age Eligible")))))</f>
        <v>17-21</v>
      </c>
      <c r="G15" s="56" t="s">
        <v>305</v>
      </c>
      <c r="H15" s="4">
        <f>SUM(N15:O15)</f>
        <v>116.5</v>
      </c>
      <c r="I15" s="3" t="str">
        <f>IF(MAX(P15,R15,T15,V15)&gt;=LOOKUP(F15,'Qualifying Scores'!$A$4:$A$7,'Qualifying Scores'!$I$4:$I$7),"P","")</f>
        <v>P</v>
      </c>
      <c r="J15" s="3" t="str">
        <f>IF(MAX(Q15,S15,U15,W15)&gt;=LOOKUP(F15,'Qualifying Scores'!$A$10:$A$13,'Qualifying Scores'!$I$10:$I$13),"P","")</f>
        <v>P</v>
      </c>
      <c r="K15" s="3" t="str">
        <f>IF(OR(AND(P15&gt;=LOOKUP(F15,'Qualifying Scores'!$A$4:$A$7,'Qualifying Scores'!$I$4:$I$7),Q15&gt;=LOOKUP(F15,'Qualifying Scores'!$A$10:$A$13,'Qualifying Scores'!$I$10:$I$13)),AND(R15&gt;=LOOKUP(F15,'Qualifying Scores'!$A$4:$A$7,'Qualifying Scores'!$I$4:$I$7),S15&gt;=LOOKUP(F15,'Qualifying Scores'!$A$10:$A$13,'Qualifying Scores'!$I$10:$I$13)),AND(T15&gt;=LOOKUP(F15,'Qualifying Scores'!$A$4:$A$7,'Qualifying Scores'!$I$4:$I$7),U15&gt;=LOOKUP(F15,'Qualifying Scores'!$A$10:$A$13,'Qualifying Scores'!$I$10:$I$13)),AND(V15&gt;=LOOKUP(F15,'Qualifying Scores'!$A$4:$A$7,'Qualifying Scores'!$I$4:$I$7),W15&gt;=LOOKUP(F15,'Qualifying Scores'!$A$10:$A$13,'Qualifying Scores'!$I$10:$I$13))),"P","")</f>
        <v>P</v>
      </c>
      <c r="N15" s="4">
        <f>MAX(P15,T15)</f>
        <v>55.8</v>
      </c>
      <c r="O15" s="4">
        <f>IF(N15=P15,MAX(R15,T15,V15),MAX(P15,R15,V15))</f>
        <v>60.7</v>
      </c>
      <c r="P15" s="33">
        <v>55.8</v>
      </c>
      <c r="Q15" s="45">
        <v>4.8</v>
      </c>
      <c r="R15" s="34"/>
      <c r="S15" s="44"/>
      <c r="T15" s="33">
        <v>53.8</v>
      </c>
      <c r="U15" s="45">
        <v>5.7</v>
      </c>
      <c r="V15" s="47">
        <v>60.7</v>
      </c>
      <c r="W15" s="39">
        <v>7.7</v>
      </c>
    </row>
    <row r="16" spans="1:23" x14ac:dyDescent="0.2">
      <c r="A16" s="1" t="str">
        <f>IF(M16&lt;&gt;"",SUMPRODUCT((M$3:M$24&lt;&gt;"")*(F$3:F$24=F16)*(M$3:M$24&lt;M16))+1,IF(L16&lt;&gt;"",SUMPRODUCT((M$3:M$24&lt;&gt;"")*(F$3:F$24=F16))+SUMPRODUCT((L$3:L$24&lt;&gt;"")*(F$3:F$24=F16)*(L$3:L$24&lt;L16))+1,IF(K16="P",SUMPRODUCT((L$3:L$24&lt;&gt;"")*(F$3:F$24=F16))+SUMPRODUCT((M$3:M$24&lt;&gt;"")*(F$3:F$24=F16))+1+SUMPRODUCT((K$3:K$24="P")*(F$3:F$24=F16)*(H$3:H$24&gt;H16)*(L$3:L$24="")*(M$3:M$24="")),"")))</f>
        <v/>
      </c>
      <c r="B16" s="38" t="s">
        <v>48</v>
      </c>
      <c r="C16" s="38" t="s">
        <v>8</v>
      </c>
      <c r="D16" s="38" t="s">
        <v>111</v>
      </c>
      <c r="E16" s="37">
        <v>2002</v>
      </c>
      <c r="F16" s="1" t="str">
        <f>IF('Qualifying Scores'!$B$1-E16&gt;21,"Not Age Eligible",IF('Qualifying Scores'!$B$1-E16&gt;16,"17-21",IF('Qualifying Scores'!$B$1-E16&gt;14,"15-16",IF('Qualifying Scores'!$B$1-E16&gt;12,"13-14",IF('Qualifying Scores'!$B$1-E16&gt;10,"11-12,""Not Age Eligible")))))</f>
        <v>17-21</v>
      </c>
      <c r="G16" s="56"/>
      <c r="H16" s="4">
        <f>SUM(N16:O16)</f>
        <v>114.6</v>
      </c>
      <c r="I16" s="3" t="str">
        <f>IF(MAX(P16,R16,T16,V16)&gt;=LOOKUP(F16,'Qualifying Scores'!$A$4:$A$7,'Qualifying Scores'!$I$4:$I$7),"P","")</f>
        <v/>
      </c>
      <c r="J16" s="3" t="str">
        <f>IF(MAX(Q16,S16,U16,W16)&gt;=LOOKUP(F16,'Qualifying Scores'!$A$10:$A$13,'Qualifying Scores'!$I$10:$I$13),"P","")</f>
        <v>P</v>
      </c>
      <c r="K16" s="3" t="str">
        <f>IF(OR(AND(P16&gt;=LOOKUP(F16,'Qualifying Scores'!$A$4:$A$7,'Qualifying Scores'!$I$4:$I$7),Q16&gt;=LOOKUP(F16,'Qualifying Scores'!$A$10:$A$13,'Qualifying Scores'!$I$10:$I$13)),AND(R16&gt;=LOOKUP(F16,'Qualifying Scores'!$A$4:$A$7,'Qualifying Scores'!$I$4:$I$7),S16&gt;=LOOKUP(F16,'Qualifying Scores'!$A$10:$A$13,'Qualifying Scores'!$I$10:$I$13)),AND(T16&gt;=LOOKUP(F16,'Qualifying Scores'!$A$4:$A$7,'Qualifying Scores'!$I$4:$I$7),U16&gt;=LOOKUP(F16,'Qualifying Scores'!$A$10:$A$13,'Qualifying Scores'!$I$10:$I$13)),AND(V16&gt;=LOOKUP(F16,'Qualifying Scores'!$A$4:$A$7,'Qualifying Scores'!$I$4:$I$7),W16&gt;=LOOKUP(F16,'Qualifying Scores'!$A$10:$A$13,'Qualifying Scores'!$I$10:$I$13))),"P","")</f>
        <v/>
      </c>
      <c r="N16" s="4">
        <f>MAX(P16,T16)</f>
        <v>56.1</v>
      </c>
      <c r="O16" s="4">
        <f>IF(N16=P16,MAX(R16,T16,V16),MAX(P16,R16,V16))</f>
        <v>58.5</v>
      </c>
      <c r="P16" s="33">
        <v>56.1</v>
      </c>
      <c r="Q16" s="45">
        <v>5.7</v>
      </c>
      <c r="R16" s="34">
        <v>55.4</v>
      </c>
      <c r="S16" s="44">
        <v>6.2</v>
      </c>
      <c r="T16" s="33">
        <v>55.6</v>
      </c>
      <c r="U16" s="45">
        <v>7.3</v>
      </c>
      <c r="V16" s="47">
        <v>58.5</v>
      </c>
      <c r="W16" s="39">
        <v>6.2</v>
      </c>
    </row>
    <row r="17" spans="1:23" x14ac:dyDescent="0.2">
      <c r="A17" s="1" t="str">
        <f>IF(M17&lt;&gt;"",SUMPRODUCT((M$3:M$24&lt;&gt;"")*(F$3:F$24=F17)*(M$3:M$24&lt;M17))+1,IF(L17&lt;&gt;"",SUMPRODUCT((M$3:M$24&lt;&gt;"")*(F$3:F$24=F17))+SUMPRODUCT((L$3:L$24&lt;&gt;"")*(F$3:F$24=F17)*(L$3:L$24&lt;L17))+1,IF(K17="P",SUMPRODUCT((L$3:L$24&lt;&gt;"")*(F$3:F$24=F17))+SUMPRODUCT((M$3:M$24&lt;&gt;"")*(F$3:F$24=F17))+1+SUMPRODUCT((K$3:K$24="P")*(F$3:F$24=F17)*(H$3:H$24&gt;H17)*(L$3:L$24="")*(M$3:M$24="")),"")))</f>
        <v/>
      </c>
      <c r="B17" s="38" t="s">
        <v>302</v>
      </c>
      <c r="C17" s="38" t="s">
        <v>4</v>
      </c>
      <c r="D17" s="38" t="s">
        <v>180</v>
      </c>
      <c r="E17" s="37">
        <v>2001</v>
      </c>
      <c r="F17" s="1" t="str">
        <f>IF('Qualifying Scores'!$B$1-E17&gt;21,"Not Age Eligible",IF('Qualifying Scores'!$B$1-E17&gt;16,"17-21",IF('Qualifying Scores'!$B$1-E17&gt;14,"15-16",IF('Qualifying Scores'!$B$1-E17&gt;12,"13-14",IF('Qualifying Scores'!$B$1-E17&gt;10,"11-12,""Not Age Eligible")))))</f>
        <v>17-21</v>
      </c>
      <c r="G17" s="56"/>
      <c r="H17" s="4">
        <f>SUM(N17:O17)</f>
        <v>114.4</v>
      </c>
      <c r="I17" s="3" t="str">
        <f>IF(MAX(P17,R17,T17,V17)&gt;=LOOKUP(F17,'Qualifying Scores'!$A$4:$A$7,'Qualifying Scores'!$I$4:$I$7),"P","")</f>
        <v/>
      </c>
      <c r="J17" s="3" t="str">
        <f>IF(MAX(Q17,S17,U17,W17)&gt;=LOOKUP(F17,'Qualifying Scores'!$A$10:$A$13,'Qualifying Scores'!$I$10:$I$13),"P","")</f>
        <v>P</v>
      </c>
      <c r="K17" s="3" t="str">
        <f>IF(OR(AND(P17&gt;=LOOKUP(F17,'Qualifying Scores'!$A$4:$A$7,'Qualifying Scores'!$I$4:$I$7),Q17&gt;=LOOKUP(F17,'Qualifying Scores'!$A$10:$A$13,'Qualifying Scores'!$I$10:$I$13)),AND(R17&gt;=LOOKUP(F17,'Qualifying Scores'!$A$4:$A$7,'Qualifying Scores'!$I$4:$I$7),S17&gt;=LOOKUP(F17,'Qualifying Scores'!$A$10:$A$13,'Qualifying Scores'!$I$10:$I$13)),AND(T17&gt;=LOOKUP(F17,'Qualifying Scores'!$A$4:$A$7,'Qualifying Scores'!$I$4:$I$7),U17&gt;=LOOKUP(F17,'Qualifying Scores'!$A$10:$A$13,'Qualifying Scores'!$I$10:$I$13)),AND(V17&gt;=LOOKUP(F17,'Qualifying Scores'!$A$4:$A$7,'Qualifying Scores'!$I$4:$I$7),W17&gt;=LOOKUP(F17,'Qualifying Scores'!$A$10:$A$13,'Qualifying Scores'!$I$10:$I$13))),"P","")</f>
        <v/>
      </c>
      <c r="N17" s="4">
        <f>MAX(P17,T17)</f>
        <v>56.7</v>
      </c>
      <c r="O17" s="4">
        <f>IF(N17=P17,MAX(R17,T17,V17),MAX(P17,R17,V17))</f>
        <v>57.7</v>
      </c>
      <c r="P17" s="33">
        <v>56.7</v>
      </c>
      <c r="Q17" s="45">
        <v>7.3</v>
      </c>
      <c r="R17" s="34">
        <v>57.7</v>
      </c>
      <c r="S17" s="44">
        <v>7.3</v>
      </c>
      <c r="T17" s="33">
        <v>56.1</v>
      </c>
      <c r="U17" s="45">
        <v>7.3</v>
      </c>
      <c r="V17" s="47">
        <v>54.7</v>
      </c>
      <c r="W17" s="39">
        <v>7.3</v>
      </c>
    </row>
    <row r="18" spans="1:23" x14ac:dyDescent="0.2">
      <c r="A18" s="1" t="str">
        <f>IF(M18&lt;&gt;"",SUMPRODUCT((M$3:M$24&lt;&gt;"")*(F$3:F$24=F18)*(M$3:M$24&lt;M18))+1,IF(L18&lt;&gt;"",SUMPRODUCT((M$3:M$24&lt;&gt;"")*(F$3:F$24=F18))+SUMPRODUCT((L$3:L$24&lt;&gt;"")*(F$3:F$24=F18)*(L$3:L$24&lt;L18))+1,IF(K18="P",SUMPRODUCT((L$3:L$24&lt;&gt;"")*(F$3:F$24=F18))+SUMPRODUCT((M$3:M$24&lt;&gt;"")*(F$3:F$24=F18))+1+SUMPRODUCT((K$3:K$24="P")*(F$3:F$24=F18)*(H$3:H$24&gt;H18)*(L$3:L$24="")*(M$3:M$24="")),"")))</f>
        <v/>
      </c>
      <c r="B18" s="38" t="s">
        <v>250</v>
      </c>
      <c r="C18" s="38" t="s">
        <v>8</v>
      </c>
      <c r="D18" s="38" t="s">
        <v>110</v>
      </c>
      <c r="E18" s="37">
        <v>2002</v>
      </c>
      <c r="F18" s="1" t="str">
        <f>IF('Qualifying Scores'!$B$1-E18&gt;21,"Not Age Eligible",IF('Qualifying Scores'!$B$1-E18&gt;16,"17-21",IF('Qualifying Scores'!$B$1-E18&gt;14,"15-16",IF('Qualifying Scores'!$B$1-E18&gt;12,"13-14",IF('Qualifying Scores'!$B$1-E18&gt;10,"11-12,""Not Age Eligible")))))</f>
        <v>17-21</v>
      </c>
      <c r="G18" s="56"/>
      <c r="H18" s="4">
        <f>SUM(N18:O18)</f>
        <v>113.30000000000001</v>
      </c>
      <c r="I18" s="3" t="str">
        <f>IF(MAX(P18,R18,T18,V18)&gt;=LOOKUP(F18,'Qualifying Scores'!$A$4:$A$7,'Qualifying Scores'!$I$4:$I$7),"P","")</f>
        <v/>
      </c>
      <c r="J18" s="3" t="str">
        <f>IF(MAX(Q18,S18,U18,W18)&gt;=LOOKUP(F18,'Qualifying Scores'!$A$10:$A$13,'Qualifying Scores'!$I$10:$I$13),"P","")</f>
        <v>P</v>
      </c>
      <c r="K18" s="3" t="str">
        <f>IF(OR(AND(P18&gt;=LOOKUP(F18,'Qualifying Scores'!$A$4:$A$7,'Qualifying Scores'!$I$4:$I$7),Q18&gt;=LOOKUP(F18,'Qualifying Scores'!$A$10:$A$13,'Qualifying Scores'!$I$10:$I$13)),AND(R18&gt;=LOOKUP(F18,'Qualifying Scores'!$A$4:$A$7,'Qualifying Scores'!$I$4:$I$7),S18&gt;=LOOKUP(F18,'Qualifying Scores'!$A$10:$A$13,'Qualifying Scores'!$I$10:$I$13)),AND(T18&gt;=LOOKUP(F18,'Qualifying Scores'!$A$4:$A$7,'Qualifying Scores'!$I$4:$I$7),U18&gt;=LOOKUP(F18,'Qualifying Scores'!$A$10:$A$13,'Qualifying Scores'!$I$10:$I$13)),AND(V18&gt;=LOOKUP(F18,'Qualifying Scores'!$A$4:$A$7,'Qualifying Scores'!$I$4:$I$7),W18&gt;=LOOKUP(F18,'Qualifying Scores'!$A$10:$A$13,'Qualifying Scores'!$I$10:$I$13))),"P","")</f>
        <v/>
      </c>
      <c r="N18" s="4">
        <f>MAX(P18,T18)</f>
        <v>56.1</v>
      </c>
      <c r="O18" s="4">
        <f>IF(N18=P18,MAX(R18,T18,V18),MAX(P18,R18,V18))</f>
        <v>57.2</v>
      </c>
      <c r="P18" s="33">
        <v>56.1</v>
      </c>
      <c r="Q18" s="45">
        <v>7.3</v>
      </c>
      <c r="R18" s="34">
        <v>57.2</v>
      </c>
      <c r="S18" s="44">
        <v>7.3</v>
      </c>
      <c r="T18" s="33">
        <v>54.1</v>
      </c>
      <c r="U18" s="45">
        <v>7.3</v>
      </c>
      <c r="V18" s="47">
        <v>56.4</v>
      </c>
      <c r="W18" s="39">
        <v>7.3</v>
      </c>
    </row>
    <row r="19" spans="1:23" x14ac:dyDescent="0.2">
      <c r="A19" s="1" t="str">
        <f>IF(M19&lt;&gt;"",SUMPRODUCT((M$3:M$24&lt;&gt;"")*(F$3:F$24=F19)*(M$3:M$24&lt;M19))+1,IF(L19&lt;&gt;"",SUMPRODUCT((M$3:M$24&lt;&gt;"")*(F$3:F$24=F19))+SUMPRODUCT((L$3:L$24&lt;&gt;"")*(F$3:F$24=F19)*(L$3:L$24&lt;L19))+1,IF(K19="P",SUMPRODUCT((L$3:L$24&lt;&gt;"")*(F$3:F$24=F19))+SUMPRODUCT((M$3:M$24&lt;&gt;"")*(F$3:F$24=F19))+1+SUMPRODUCT((K$3:K$24="P")*(F$3:F$24=F19)*(H$3:H$24&gt;H19)*(L$3:L$24="")*(M$3:M$24="")),"")))</f>
        <v/>
      </c>
      <c r="B19" s="38" t="s">
        <v>182</v>
      </c>
      <c r="C19" s="38" t="s">
        <v>4</v>
      </c>
      <c r="D19" s="38" t="s">
        <v>109</v>
      </c>
      <c r="E19" s="37">
        <v>2002</v>
      </c>
      <c r="F19" s="1" t="str">
        <f>IF('Qualifying Scores'!$B$1-E19&gt;21,"Not Age Eligible",IF('Qualifying Scores'!$B$1-E19&gt;16,"17-21",IF('Qualifying Scores'!$B$1-E19&gt;14,"15-16",IF('Qualifying Scores'!$B$1-E19&gt;12,"13-14",IF('Qualifying Scores'!$B$1-E19&gt;10,"11-12,""Not Age Eligible")))))</f>
        <v>17-21</v>
      </c>
      <c r="G19" s="56"/>
      <c r="H19" s="4">
        <f>SUM(N19:O19)</f>
        <v>103.7</v>
      </c>
      <c r="I19" s="3" t="str">
        <f>IF(MAX(P19,R19,T19,V19)&gt;=LOOKUP(F19,'Qualifying Scores'!$A$4:$A$7,'Qualifying Scores'!$I$4:$I$7),"P","")</f>
        <v/>
      </c>
      <c r="J19" s="3" t="str">
        <f>IF(MAX(Q19,S19,U19,W19)&gt;=LOOKUP(F19,'Qualifying Scores'!$A$10:$A$13,'Qualifying Scores'!$I$10:$I$13),"P","")</f>
        <v/>
      </c>
      <c r="K19" s="3" t="str">
        <f>IF(OR(AND(P19&gt;=LOOKUP(F19,'Qualifying Scores'!$A$4:$A$7,'Qualifying Scores'!$I$4:$I$7),Q19&gt;=LOOKUP(F19,'Qualifying Scores'!$A$10:$A$13,'Qualifying Scores'!$I$10:$I$13)),AND(R19&gt;=LOOKUP(F19,'Qualifying Scores'!$A$4:$A$7,'Qualifying Scores'!$I$4:$I$7),S19&gt;=LOOKUP(F19,'Qualifying Scores'!$A$10:$A$13,'Qualifying Scores'!$I$10:$I$13)),AND(T19&gt;=LOOKUP(F19,'Qualifying Scores'!$A$4:$A$7,'Qualifying Scores'!$I$4:$I$7),U19&gt;=LOOKUP(F19,'Qualifying Scores'!$A$10:$A$13,'Qualifying Scores'!$I$10:$I$13)),AND(V19&gt;=LOOKUP(F19,'Qualifying Scores'!$A$4:$A$7,'Qualifying Scores'!$I$4:$I$7),W19&gt;=LOOKUP(F19,'Qualifying Scores'!$A$10:$A$13,'Qualifying Scores'!$I$10:$I$13))),"P","")</f>
        <v/>
      </c>
      <c r="N19" s="4">
        <f>MAX(P19,T19)</f>
        <v>52.7</v>
      </c>
      <c r="O19" s="4">
        <f>IF(N19=P19,MAX(R19,T19,V19),MAX(P19,R19,V19))</f>
        <v>51</v>
      </c>
      <c r="P19" s="33">
        <v>24.5</v>
      </c>
      <c r="Q19" s="45">
        <v>1.2</v>
      </c>
      <c r="R19" s="34"/>
      <c r="S19" s="44"/>
      <c r="T19" s="33">
        <v>52.7</v>
      </c>
      <c r="U19" s="45">
        <v>4.2</v>
      </c>
      <c r="V19" s="47">
        <v>51</v>
      </c>
      <c r="W19" s="39">
        <v>5.3</v>
      </c>
    </row>
    <row r="20" spans="1:23" x14ac:dyDescent="0.2">
      <c r="A20" s="1" t="str">
        <f>IF(M20&lt;&gt;"",SUMPRODUCT((M$3:M$24&lt;&gt;"")*(F$3:F$24=F20)*(M$3:M$24&lt;M20))+1,IF(L20&lt;&gt;"",SUMPRODUCT((M$3:M$24&lt;&gt;"")*(F$3:F$24=F20))+SUMPRODUCT((L$3:L$24&lt;&gt;"")*(F$3:F$24=F20)*(L$3:L$24&lt;L20))+1,IF(K20="P",SUMPRODUCT((L$3:L$24&lt;&gt;"")*(F$3:F$24=F20))+SUMPRODUCT((M$3:M$24&lt;&gt;"")*(F$3:F$24=F20))+1+SUMPRODUCT((K$3:K$24="P")*(F$3:F$24=F20)*(H$3:H$24&gt;H20)*(L$3:L$24="")*(M$3:M$24="")),"")))</f>
        <v/>
      </c>
      <c r="B20" s="38" t="s">
        <v>241</v>
      </c>
      <c r="C20" s="38" t="s">
        <v>8</v>
      </c>
      <c r="D20" s="38" t="s">
        <v>104</v>
      </c>
      <c r="E20" s="37">
        <v>1999</v>
      </c>
      <c r="F20" s="1" t="str">
        <f>IF('Qualifying Scores'!$B$1-E20&gt;21,"Not Age Eligible",IF('Qualifying Scores'!$B$1-E20&gt;16,"17-21",IF('Qualifying Scores'!$B$1-E20&gt;14,"15-16",IF('Qualifying Scores'!$B$1-E20&gt;12,"13-14",IF('Qualifying Scores'!$B$1-E20&gt;10,"11-12,""Not Age Eligible")))))</f>
        <v>17-21</v>
      </c>
      <c r="G20" s="56"/>
      <c r="H20" s="4">
        <f>SUM(N20:O20)</f>
        <v>103.6</v>
      </c>
      <c r="I20" s="3" t="str">
        <f>IF(MAX(P20,R20,T20,V20)&gt;=LOOKUP(F20,'Qualifying Scores'!$A$4:$A$7,'Qualifying Scores'!$I$4:$I$7),"P","")</f>
        <v/>
      </c>
      <c r="J20" s="3" t="str">
        <f>IF(MAX(Q20,S20,U20,W20)&gt;=LOOKUP(F20,'Qualifying Scores'!$A$10:$A$13,'Qualifying Scores'!$I$10:$I$13),"P","")</f>
        <v>P</v>
      </c>
      <c r="K20" s="3" t="str">
        <f>IF(OR(AND(P20&gt;=LOOKUP(F20,'Qualifying Scores'!$A$4:$A$7,'Qualifying Scores'!$I$4:$I$7),Q20&gt;=LOOKUP(F20,'Qualifying Scores'!$A$10:$A$13,'Qualifying Scores'!$I$10:$I$13)),AND(R20&gt;=LOOKUP(F20,'Qualifying Scores'!$A$4:$A$7,'Qualifying Scores'!$I$4:$I$7),S20&gt;=LOOKUP(F20,'Qualifying Scores'!$A$10:$A$13,'Qualifying Scores'!$I$10:$I$13)),AND(T20&gt;=LOOKUP(F20,'Qualifying Scores'!$A$4:$A$7,'Qualifying Scores'!$I$4:$I$7),U20&gt;=LOOKUP(F20,'Qualifying Scores'!$A$10:$A$13,'Qualifying Scores'!$I$10:$I$13)),AND(V20&gt;=LOOKUP(F20,'Qualifying Scores'!$A$4:$A$7,'Qualifying Scores'!$I$4:$I$7),W20&gt;=LOOKUP(F20,'Qualifying Scores'!$A$10:$A$13,'Qualifying Scores'!$I$10:$I$13))),"P","")</f>
        <v/>
      </c>
      <c r="N20" s="4">
        <f>MAX(P20,T20)</f>
        <v>53.6</v>
      </c>
      <c r="O20" s="4">
        <f>IF(N20=P20,MAX(R20,T20,V20),MAX(P20,R20,V20))</f>
        <v>50</v>
      </c>
      <c r="P20" s="33">
        <v>53.6</v>
      </c>
      <c r="Q20" s="45">
        <v>7.1</v>
      </c>
      <c r="R20" s="34"/>
      <c r="S20" s="44"/>
      <c r="T20" s="33">
        <v>50</v>
      </c>
      <c r="U20" s="45">
        <v>2.9</v>
      </c>
      <c r="V20" s="47"/>
      <c r="W20" s="39"/>
    </row>
    <row r="21" spans="1:23" x14ac:dyDescent="0.2">
      <c r="A21" s="1" t="str">
        <f>IF(M21&lt;&gt;"",SUMPRODUCT((M$3:M$24&lt;&gt;"")*(F$3:F$24=F21)*(M$3:M$24&lt;M21))+1,IF(L21&lt;&gt;"",SUMPRODUCT((M$3:M$24&lt;&gt;"")*(F$3:F$24=F21))+SUMPRODUCT((L$3:L$24&lt;&gt;"")*(F$3:F$24=F21)*(L$3:L$24&lt;L21))+1,IF(K21="P",SUMPRODUCT((L$3:L$24&lt;&gt;"")*(F$3:F$24=F21))+SUMPRODUCT((M$3:M$24&lt;&gt;"")*(F$3:F$24=F21))+1+SUMPRODUCT((K$3:K$24="P")*(F$3:F$24=F21)*(H$3:H$24&gt;H21)*(L$3:L$24="")*(M$3:M$24="")),"")))</f>
        <v/>
      </c>
      <c r="B21" s="38" t="s">
        <v>251</v>
      </c>
      <c r="C21" s="38" t="s">
        <v>8</v>
      </c>
      <c r="D21" s="38" t="s">
        <v>9</v>
      </c>
      <c r="E21" s="37">
        <v>1998</v>
      </c>
      <c r="F21" s="1" t="str">
        <f>IF('Qualifying Scores'!$B$1-E21&gt;21,"Not Age Eligible",IF('Qualifying Scores'!$B$1-E21&gt;16,"17-21",IF('Qualifying Scores'!$B$1-E21&gt;14,"15-16",IF('Qualifying Scores'!$B$1-E21&gt;12,"13-14",IF('Qualifying Scores'!$B$1-E21&gt;10,"11-12,""Not Age Eligible")))))</f>
        <v>17-21</v>
      </c>
      <c r="G21" s="56"/>
      <c r="H21" s="4">
        <f>SUM(N21:O21)</f>
        <v>102.4</v>
      </c>
      <c r="I21" s="3" t="str">
        <f>IF(MAX(P21,R21,T21,V21)&gt;=LOOKUP(F21,'Qualifying Scores'!$A$4:$A$7,'Qualifying Scores'!$I$4:$I$7),"P","")</f>
        <v/>
      </c>
      <c r="J21" s="3" t="str">
        <f>IF(MAX(Q21,S21,U21,W21)&gt;=LOOKUP(F21,'Qualifying Scores'!$A$10:$A$13,'Qualifying Scores'!$I$10:$I$13),"P","")</f>
        <v/>
      </c>
      <c r="K21" s="3" t="str">
        <f>IF(OR(AND(P21&gt;=LOOKUP(F21,'Qualifying Scores'!$A$4:$A$7,'Qualifying Scores'!$I$4:$I$7),Q21&gt;=LOOKUP(F21,'Qualifying Scores'!$A$10:$A$13,'Qualifying Scores'!$I$10:$I$13)),AND(R21&gt;=LOOKUP(F21,'Qualifying Scores'!$A$4:$A$7,'Qualifying Scores'!$I$4:$I$7),S21&gt;=LOOKUP(F21,'Qualifying Scores'!$A$10:$A$13,'Qualifying Scores'!$I$10:$I$13)),AND(T21&gt;=LOOKUP(F21,'Qualifying Scores'!$A$4:$A$7,'Qualifying Scores'!$I$4:$I$7),U21&gt;=LOOKUP(F21,'Qualifying Scores'!$A$10:$A$13,'Qualifying Scores'!$I$10:$I$13)),AND(V21&gt;=LOOKUP(F21,'Qualifying Scores'!$A$4:$A$7,'Qualifying Scores'!$I$4:$I$7),W21&gt;=LOOKUP(F21,'Qualifying Scores'!$A$10:$A$13,'Qualifying Scores'!$I$10:$I$13))),"P","")</f>
        <v/>
      </c>
      <c r="N21" s="4">
        <f>MAX(P21,T21)</f>
        <v>52.1</v>
      </c>
      <c r="O21" s="4">
        <f>IF(N21=P21,MAX(R21,T21,V21),MAX(P21,R21,V21))</f>
        <v>50.3</v>
      </c>
      <c r="P21" s="33">
        <v>52.1</v>
      </c>
      <c r="Q21" s="45">
        <v>6</v>
      </c>
      <c r="R21" s="34"/>
      <c r="S21" s="44"/>
      <c r="T21" s="33">
        <v>50.3</v>
      </c>
      <c r="U21" s="45">
        <v>3.8</v>
      </c>
      <c r="V21" s="47"/>
      <c r="W21" s="39"/>
    </row>
    <row r="22" spans="1:23" x14ac:dyDescent="0.2">
      <c r="A22" s="1" t="str">
        <f>IF(M22&lt;&gt;"",SUMPRODUCT((M$3:M$24&lt;&gt;"")*(F$3:F$24=F22)*(M$3:M$24&lt;M22))+1,IF(L22&lt;&gt;"",SUMPRODUCT((M$3:M$24&lt;&gt;"")*(F$3:F$24=F22))+SUMPRODUCT((L$3:L$24&lt;&gt;"")*(F$3:F$24=F22)*(L$3:L$24&lt;L22))+1,IF(K22="P",SUMPRODUCT((L$3:L$24&lt;&gt;"")*(F$3:F$24=F22))+SUMPRODUCT((M$3:M$24&lt;&gt;"")*(F$3:F$24=F22))+1+SUMPRODUCT((K$3:K$24="P")*(F$3:F$24=F22)*(H$3:H$24&gt;H22)*(L$3:L$24="")*(M$3:M$24="")),"")))</f>
        <v/>
      </c>
      <c r="B22" s="38" t="s">
        <v>252</v>
      </c>
      <c r="C22" s="38" t="s">
        <v>4</v>
      </c>
      <c r="D22" s="38" t="s">
        <v>101</v>
      </c>
      <c r="E22" s="37">
        <v>2002</v>
      </c>
      <c r="F22" s="1" t="str">
        <f>IF('Qualifying Scores'!$B$1-E22&gt;21,"Not Age Eligible",IF('Qualifying Scores'!$B$1-E22&gt;16,"17-21",IF('Qualifying Scores'!$B$1-E22&gt;14,"15-16",IF('Qualifying Scores'!$B$1-E22&gt;12,"13-14",IF('Qualifying Scores'!$B$1-E22&gt;10,"11-12,""Not Age Eligible")))))</f>
        <v>17-21</v>
      </c>
      <c r="G22" s="56"/>
      <c r="H22" s="4">
        <f>SUM(N22:O22)</f>
        <v>96</v>
      </c>
      <c r="I22" s="3" t="str">
        <f>IF(MAX(P22,R22,T22,V22)&gt;=LOOKUP(F22,'Qualifying Scores'!$A$4:$A$7,'Qualifying Scores'!$I$4:$I$7),"P","")</f>
        <v/>
      </c>
      <c r="J22" s="3" t="str">
        <f>IF(MAX(Q22,S22,U22,W22)&gt;=LOOKUP(F22,'Qualifying Scores'!$A$10:$A$13,'Qualifying Scores'!$I$10:$I$13),"P","")</f>
        <v/>
      </c>
      <c r="K22" s="3" t="str">
        <f>IF(OR(AND(P22&gt;=LOOKUP(F22,'Qualifying Scores'!$A$4:$A$7,'Qualifying Scores'!$I$4:$I$7),Q22&gt;=LOOKUP(F22,'Qualifying Scores'!$A$10:$A$13,'Qualifying Scores'!$I$10:$I$13)),AND(R22&gt;=LOOKUP(F22,'Qualifying Scores'!$A$4:$A$7,'Qualifying Scores'!$I$4:$I$7),S22&gt;=LOOKUP(F22,'Qualifying Scores'!$A$10:$A$13,'Qualifying Scores'!$I$10:$I$13)),AND(T22&gt;=LOOKUP(F22,'Qualifying Scores'!$A$4:$A$7,'Qualifying Scores'!$I$4:$I$7),U22&gt;=LOOKUP(F22,'Qualifying Scores'!$A$10:$A$13,'Qualifying Scores'!$I$10:$I$13)),AND(V22&gt;=LOOKUP(F22,'Qualifying Scores'!$A$4:$A$7,'Qualifying Scores'!$I$4:$I$7),W22&gt;=LOOKUP(F22,'Qualifying Scores'!$A$10:$A$13,'Qualifying Scores'!$I$10:$I$13))),"P","")</f>
        <v/>
      </c>
      <c r="N22" s="4">
        <f>MAX(P22,T22)</f>
        <v>51.8</v>
      </c>
      <c r="O22" s="4">
        <f>IF(N22=P22,MAX(R22,T22,V22),MAX(P22,R22,V22))</f>
        <v>44.2</v>
      </c>
      <c r="P22" s="33">
        <v>44.2</v>
      </c>
      <c r="Q22" s="45">
        <v>4</v>
      </c>
      <c r="R22" s="34"/>
      <c r="S22" s="44"/>
      <c r="T22" s="33">
        <v>51.8</v>
      </c>
      <c r="U22" s="45">
        <v>4.5</v>
      </c>
      <c r="V22" s="47"/>
      <c r="W22" s="39"/>
    </row>
    <row r="23" spans="1:23" x14ac:dyDescent="0.2">
      <c r="A23" s="1" t="str">
        <f>IF(M23&lt;&gt;"",SUMPRODUCT((M$3:M$24&lt;&gt;"")*(F$3:F$24=F23)*(M$3:M$24&lt;M23))+1,IF(L23&lt;&gt;"",SUMPRODUCT((M$3:M$24&lt;&gt;"")*(F$3:F$24=F23))+SUMPRODUCT((L$3:L$24&lt;&gt;"")*(F$3:F$24=F23)*(L$3:L$24&lt;L23))+1,IF(K23="P",SUMPRODUCT((L$3:L$24&lt;&gt;"")*(F$3:F$24=F23))+SUMPRODUCT((M$3:M$24&lt;&gt;"")*(F$3:F$24=F23))+1+SUMPRODUCT((K$3:K$24="P")*(F$3:F$24=F23)*(H$3:H$24&gt;H23)*(L$3:L$24="")*(M$3:M$24="")),"")))</f>
        <v/>
      </c>
      <c r="B23" s="38" t="s">
        <v>286</v>
      </c>
      <c r="C23" s="38" t="s">
        <v>8</v>
      </c>
      <c r="E23" s="37">
        <v>2000</v>
      </c>
      <c r="F23" s="1" t="str">
        <f>IF('Qualifying Scores'!$B$1-E23&gt;21,"Not Age Eligible",IF('Qualifying Scores'!$B$1-E23&gt;16,"17-21",IF('Qualifying Scores'!$B$1-E23&gt;14,"15-16",IF('Qualifying Scores'!$B$1-E23&gt;12,"13-14",IF('Qualifying Scores'!$B$1-E23&gt;10,"11-12,""Not Age Eligible")))))</f>
        <v>17-21</v>
      </c>
      <c r="G23" s="56"/>
      <c r="H23" s="4">
        <f>SUM(N23:O23)</f>
        <v>49.8</v>
      </c>
      <c r="I23" s="3" t="str">
        <f>IF(MAX(P23,R23,T23,V23)&gt;=LOOKUP(F23,'Qualifying Scores'!$A$4:$A$7,'Qualifying Scores'!$I$4:$I$7),"P","")</f>
        <v/>
      </c>
      <c r="J23" s="3" t="str">
        <f>IF(MAX(Q23,S23,U23,W23)&gt;=LOOKUP(F23,'Qualifying Scores'!$A$10:$A$13,'Qualifying Scores'!$I$10:$I$13),"P","")</f>
        <v/>
      </c>
      <c r="K23" s="3" t="str">
        <f>IF(OR(AND(P23&gt;=LOOKUP(F23,'Qualifying Scores'!$A$4:$A$7,'Qualifying Scores'!$I$4:$I$7),Q23&gt;=LOOKUP(F23,'Qualifying Scores'!$A$10:$A$13,'Qualifying Scores'!$I$10:$I$13)),AND(R23&gt;=LOOKUP(F23,'Qualifying Scores'!$A$4:$A$7,'Qualifying Scores'!$I$4:$I$7),S23&gt;=LOOKUP(F23,'Qualifying Scores'!$A$10:$A$13,'Qualifying Scores'!$I$10:$I$13)),AND(T23&gt;=LOOKUP(F23,'Qualifying Scores'!$A$4:$A$7,'Qualifying Scores'!$I$4:$I$7),U23&gt;=LOOKUP(F23,'Qualifying Scores'!$A$10:$A$13,'Qualifying Scores'!$I$10:$I$13)),AND(V23&gt;=LOOKUP(F23,'Qualifying Scores'!$A$4:$A$7,'Qualifying Scores'!$I$4:$I$7),W23&gt;=LOOKUP(F23,'Qualifying Scores'!$A$10:$A$13,'Qualifying Scores'!$I$10:$I$13))),"P","")</f>
        <v/>
      </c>
      <c r="N23" s="4">
        <f>MAX(P23,T23)</f>
        <v>49.8</v>
      </c>
      <c r="O23" s="4">
        <f>IF(N23=P23,MAX(R23,T23,V23),MAX(P23,R23,V23))</f>
        <v>0</v>
      </c>
      <c r="P23" s="33"/>
      <c r="Q23" s="45"/>
      <c r="R23" s="34"/>
      <c r="S23" s="44"/>
      <c r="T23" s="33">
        <v>49.8</v>
      </c>
      <c r="U23" s="45">
        <v>5.4</v>
      </c>
      <c r="V23" s="47"/>
      <c r="W23" s="39"/>
    </row>
    <row r="24" spans="1:23" x14ac:dyDescent="0.2">
      <c r="A24" s="1"/>
      <c r="F24" s="1"/>
      <c r="G24" s="56"/>
      <c r="H24" s="4"/>
      <c r="I24" s="3"/>
      <c r="J24" s="3"/>
      <c r="N24" s="4"/>
      <c r="O24" s="4"/>
      <c r="P24" s="33"/>
      <c r="Q24" s="45"/>
      <c r="R24" s="34"/>
      <c r="S24" s="44"/>
      <c r="T24" s="33"/>
      <c r="U24" s="45"/>
      <c r="V24" s="47"/>
      <c r="W24" s="39"/>
    </row>
    <row r="25" spans="1:23" x14ac:dyDescent="0.2">
      <c r="A25" s="1"/>
      <c r="F25" s="1"/>
      <c r="G25" s="56"/>
      <c r="H25" s="4"/>
      <c r="I25" s="3"/>
      <c r="J25" s="3"/>
      <c r="N25" s="4"/>
      <c r="O25" s="4"/>
      <c r="P25" s="33"/>
      <c r="Q25" s="45"/>
      <c r="R25" s="34"/>
      <c r="S25" s="44"/>
      <c r="T25" s="33"/>
      <c r="U25" s="45"/>
      <c r="V25" s="47"/>
      <c r="W25" s="39"/>
    </row>
    <row r="26" spans="1:23" x14ac:dyDescent="0.2">
      <c r="A26" s="1"/>
      <c r="F26" s="1"/>
      <c r="G26" s="56"/>
      <c r="H26" s="4"/>
      <c r="I26" s="3"/>
      <c r="J26" s="3"/>
      <c r="N26" s="4"/>
      <c r="O26" s="4"/>
      <c r="P26" s="33"/>
      <c r="Q26" s="45"/>
      <c r="R26" s="34"/>
      <c r="S26" s="44"/>
      <c r="T26" s="33"/>
      <c r="U26" s="45"/>
      <c r="V26" s="47"/>
      <c r="W26" s="39"/>
    </row>
    <row r="27" spans="1:23" x14ac:dyDescent="0.2">
      <c r="A27" s="1"/>
      <c r="F27" s="1"/>
      <c r="G27" s="56"/>
      <c r="H27" s="4"/>
      <c r="I27" s="3"/>
      <c r="J27" s="3"/>
      <c r="N27" s="4"/>
      <c r="O27" s="4"/>
      <c r="P27" s="33"/>
      <c r="Q27" s="45"/>
      <c r="R27" s="34"/>
      <c r="S27" s="44"/>
      <c r="T27" s="33"/>
      <c r="U27" s="45"/>
      <c r="V27" s="47"/>
      <c r="W27" s="39"/>
    </row>
    <row r="28" spans="1:23" x14ac:dyDescent="0.2">
      <c r="A28" s="1"/>
      <c r="F28" s="1"/>
      <c r="G28" s="56"/>
      <c r="H28" s="4"/>
      <c r="I28" s="3"/>
      <c r="J28" s="3"/>
      <c r="N28" s="4"/>
      <c r="O28" s="4"/>
      <c r="P28" s="33"/>
      <c r="Q28" s="45"/>
      <c r="R28" s="34"/>
      <c r="S28" s="44"/>
      <c r="T28" s="33"/>
      <c r="U28" s="45"/>
      <c r="V28" s="47"/>
      <c r="W28" s="39"/>
    </row>
    <row r="29" spans="1:23" x14ac:dyDescent="0.2">
      <c r="A29" s="1"/>
      <c r="F29" s="1"/>
      <c r="G29" s="56"/>
      <c r="H29" s="4"/>
      <c r="I29" s="3"/>
      <c r="J29" s="3"/>
      <c r="N29" s="4"/>
      <c r="O29" s="4"/>
      <c r="P29" s="33"/>
      <c r="Q29" s="45"/>
      <c r="R29" s="34"/>
      <c r="S29" s="44"/>
      <c r="T29" s="33"/>
      <c r="U29" s="45"/>
      <c r="V29" s="47"/>
      <c r="W29" s="39"/>
    </row>
    <row r="30" spans="1:23" x14ac:dyDescent="0.2">
      <c r="A30" s="1"/>
      <c r="F30" s="1"/>
      <c r="G30" s="56"/>
      <c r="H30" s="4"/>
      <c r="I30" s="3"/>
      <c r="J30" s="3"/>
      <c r="N30" s="4"/>
      <c r="O30" s="4"/>
      <c r="P30" s="33"/>
      <c r="Q30" s="45"/>
      <c r="R30" s="34"/>
      <c r="S30" s="44"/>
      <c r="T30" s="33"/>
      <c r="U30" s="45"/>
      <c r="V30" s="47"/>
      <c r="W30" s="39"/>
    </row>
    <row r="31" spans="1:23" x14ac:dyDescent="0.2">
      <c r="A31" s="1"/>
      <c r="F31" s="1"/>
      <c r="G31" s="56"/>
      <c r="H31" s="4"/>
      <c r="I31" s="3"/>
      <c r="J31" s="3"/>
      <c r="N31" s="4"/>
      <c r="O31" s="4"/>
      <c r="P31" s="33"/>
      <c r="Q31" s="45"/>
      <c r="R31" s="34"/>
      <c r="S31" s="44"/>
      <c r="T31" s="33"/>
      <c r="U31" s="45"/>
      <c r="V31" s="47"/>
      <c r="W31" s="39"/>
    </row>
    <row r="32" spans="1:23" x14ac:dyDescent="0.2">
      <c r="A32" s="1"/>
      <c r="F32" s="1"/>
      <c r="G32" s="56"/>
      <c r="H32" s="4"/>
      <c r="I32" s="3"/>
      <c r="J32" s="3"/>
      <c r="N32" s="4"/>
      <c r="O32" s="4"/>
      <c r="P32" s="33"/>
      <c r="Q32" s="45"/>
      <c r="R32" s="34"/>
      <c r="S32" s="44"/>
      <c r="T32" s="33"/>
      <c r="U32" s="45"/>
      <c r="V32" s="47"/>
      <c r="W32" s="39"/>
    </row>
    <row r="33" spans="1:23" x14ac:dyDescent="0.2">
      <c r="A33" s="1"/>
      <c r="F33" s="1"/>
      <c r="G33" s="56"/>
      <c r="H33" s="4"/>
      <c r="I33" s="3"/>
      <c r="J33" s="3"/>
      <c r="N33" s="4"/>
      <c r="O33" s="4"/>
      <c r="P33" s="33"/>
      <c r="Q33" s="45"/>
      <c r="R33" s="34"/>
      <c r="S33" s="44"/>
      <c r="T33" s="33"/>
      <c r="U33" s="45"/>
      <c r="V33" s="47"/>
      <c r="W33" s="39"/>
    </row>
    <row r="34" spans="1:23" x14ac:dyDescent="0.2">
      <c r="A34" s="1"/>
      <c r="F34" s="1"/>
      <c r="G34" s="56"/>
      <c r="H34" s="4"/>
      <c r="I34" s="3"/>
      <c r="J34" s="3"/>
      <c r="N34" s="4"/>
      <c r="O34" s="4"/>
      <c r="P34" s="33"/>
      <c r="Q34" s="45"/>
      <c r="R34" s="34"/>
      <c r="S34" s="44"/>
      <c r="T34" s="33"/>
      <c r="U34" s="45"/>
      <c r="V34" s="34"/>
      <c r="W34" s="39"/>
    </row>
    <row r="35" spans="1:23" x14ac:dyDescent="0.2">
      <c r="F35" s="1"/>
      <c r="G35" s="56"/>
      <c r="H35" s="4"/>
      <c r="I35" s="3"/>
      <c r="J35" s="3"/>
      <c r="N35" s="4"/>
      <c r="O35" s="4"/>
      <c r="P35" s="33"/>
      <c r="Q35" s="45"/>
      <c r="R35" s="34"/>
      <c r="S35" s="44"/>
      <c r="T35" s="33"/>
      <c r="U35" s="45"/>
      <c r="V35" s="34"/>
      <c r="W35" s="39"/>
    </row>
    <row r="36" spans="1:23" x14ac:dyDescent="0.2">
      <c r="F36" s="1"/>
      <c r="G36" s="56"/>
      <c r="H36" s="4"/>
      <c r="I36" s="3"/>
      <c r="J36" s="3"/>
      <c r="N36" s="4"/>
      <c r="O36" s="4"/>
      <c r="P36" s="33"/>
      <c r="Q36" s="45"/>
      <c r="R36" s="34"/>
      <c r="S36" s="44"/>
      <c r="T36" s="33"/>
      <c r="U36" s="45"/>
      <c r="V36" s="34"/>
      <c r="W36" s="39"/>
    </row>
    <row r="37" spans="1:23" x14ac:dyDescent="0.2">
      <c r="F37" s="1"/>
      <c r="G37" s="56"/>
      <c r="H37" s="4"/>
      <c r="I37" s="3"/>
      <c r="J37" s="3"/>
      <c r="N37" s="4"/>
      <c r="O37" s="4"/>
      <c r="P37" s="33"/>
      <c r="Q37" s="45"/>
      <c r="R37" s="34"/>
      <c r="S37" s="44"/>
      <c r="T37" s="33"/>
      <c r="U37" s="45"/>
      <c r="V37" s="34"/>
      <c r="W37" s="39"/>
    </row>
    <row r="38" spans="1:23" x14ac:dyDescent="0.2">
      <c r="F38" s="1"/>
      <c r="G38" s="56"/>
      <c r="H38" s="4"/>
      <c r="I38" s="3"/>
      <c r="J38" s="3"/>
      <c r="N38" s="4"/>
      <c r="O38" s="4"/>
      <c r="P38" s="33"/>
      <c r="Q38" s="45"/>
      <c r="R38" s="34"/>
      <c r="S38" s="44"/>
      <c r="T38" s="33"/>
      <c r="U38" s="45"/>
      <c r="V38" s="34"/>
      <c r="W38" s="39"/>
    </row>
    <row r="39" spans="1:23" x14ac:dyDescent="0.2">
      <c r="F39" s="1"/>
      <c r="G39" s="56"/>
      <c r="H39" s="4"/>
      <c r="I39" s="3"/>
      <c r="J39" s="3"/>
      <c r="N39" s="4"/>
      <c r="O39" s="4"/>
      <c r="P39" s="33"/>
      <c r="Q39" s="45"/>
      <c r="R39" s="34"/>
      <c r="S39" s="44"/>
      <c r="T39" s="33"/>
      <c r="U39" s="45"/>
      <c r="V39" s="34"/>
      <c r="W39" s="39"/>
    </row>
    <row r="40" spans="1:23" x14ac:dyDescent="0.2">
      <c r="F40" s="1"/>
      <c r="G40" s="56"/>
      <c r="H40" s="4"/>
      <c r="I40" s="3"/>
      <c r="J40" s="3"/>
      <c r="N40" s="4"/>
      <c r="O40" s="4"/>
      <c r="P40" s="33"/>
      <c r="Q40" s="45"/>
      <c r="R40" s="34"/>
      <c r="S40" s="44"/>
      <c r="T40" s="33"/>
      <c r="U40" s="45"/>
      <c r="V40" s="34"/>
      <c r="W40" s="39"/>
    </row>
    <row r="41" spans="1:23" x14ac:dyDescent="0.2">
      <c r="F41" s="1"/>
      <c r="G41" s="56"/>
      <c r="H41" s="4"/>
      <c r="I41" s="3"/>
      <c r="J41" s="3"/>
      <c r="N41" s="4"/>
      <c r="O41" s="4"/>
      <c r="P41" s="33"/>
      <c r="Q41" s="45"/>
      <c r="R41" s="34"/>
      <c r="S41" s="44"/>
      <c r="T41" s="33"/>
      <c r="U41" s="45"/>
      <c r="V41" s="34"/>
      <c r="W41" s="39"/>
    </row>
    <row r="42" spans="1:23" x14ac:dyDescent="0.2">
      <c r="F42" s="1"/>
      <c r="G42" s="56"/>
      <c r="H42" s="4"/>
      <c r="I42" s="3"/>
      <c r="J42" s="3"/>
      <c r="N42" s="4"/>
      <c r="O42" s="4"/>
      <c r="P42" s="33"/>
      <c r="Q42" s="45"/>
      <c r="R42" s="34"/>
      <c r="S42" s="44"/>
      <c r="T42" s="33"/>
      <c r="U42" s="45"/>
      <c r="V42" s="34"/>
      <c r="W42" s="39"/>
    </row>
    <row r="43" spans="1:23" x14ac:dyDescent="0.2">
      <c r="F43" s="1"/>
      <c r="G43" s="56"/>
      <c r="H43" s="4"/>
      <c r="I43" s="3"/>
      <c r="J43" s="3"/>
      <c r="N43" s="4"/>
      <c r="O43" s="4"/>
      <c r="P43" s="33"/>
      <c r="Q43" s="45"/>
      <c r="R43" s="34"/>
      <c r="S43" s="44"/>
      <c r="T43" s="33"/>
      <c r="U43" s="45"/>
      <c r="V43" s="34"/>
      <c r="W43" s="39"/>
    </row>
    <row r="44" spans="1:23" x14ac:dyDescent="0.2">
      <c r="F44" s="1"/>
      <c r="G44" s="56"/>
      <c r="H44" s="4"/>
      <c r="I44" s="3"/>
      <c r="J44" s="3"/>
      <c r="N44" s="4"/>
      <c r="O44" s="4"/>
      <c r="P44" s="33"/>
      <c r="Q44" s="45"/>
      <c r="R44" s="34"/>
      <c r="S44" s="44"/>
      <c r="T44" s="33"/>
      <c r="U44" s="45"/>
      <c r="V44" s="34"/>
      <c r="W44" s="39"/>
    </row>
    <row r="45" spans="1:23" x14ac:dyDescent="0.2">
      <c r="F45" s="1"/>
      <c r="G45" s="56"/>
      <c r="H45" s="4"/>
      <c r="I45" s="3"/>
      <c r="J45" s="3"/>
      <c r="N45" s="4"/>
      <c r="O45" s="4"/>
      <c r="P45" s="33"/>
      <c r="Q45" s="45"/>
      <c r="R45" s="34"/>
      <c r="S45" s="44"/>
      <c r="T45" s="33"/>
      <c r="U45" s="45"/>
      <c r="V45" s="34"/>
      <c r="W45" s="39"/>
    </row>
    <row r="46" spans="1:23" x14ac:dyDescent="0.2">
      <c r="F46" s="1"/>
      <c r="G46" s="56"/>
      <c r="H46" s="4"/>
      <c r="I46" s="3"/>
      <c r="J46" s="3"/>
      <c r="N46" s="4"/>
      <c r="O46" s="4"/>
      <c r="P46" s="33"/>
      <c r="Q46" s="45"/>
      <c r="R46" s="34"/>
      <c r="S46" s="44"/>
      <c r="T46" s="33"/>
      <c r="U46" s="46"/>
      <c r="V46" s="43"/>
      <c r="W46" s="39"/>
    </row>
    <row r="47" spans="1:23" x14ac:dyDescent="0.2">
      <c r="F47" s="1"/>
      <c r="G47" s="56"/>
      <c r="H47" s="4"/>
      <c r="I47" s="3"/>
      <c r="J47" s="3"/>
      <c r="N47" s="4"/>
      <c r="O47" s="4"/>
      <c r="P47" s="33"/>
      <c r="Q47" s="45"/>
      <c r="R47" s="47"/>
      <c r="S47" s="45"/>
      <c r="T47" s="33"/>
      <c r="U47" s="45"/>
      <c r="V47" s="34"/>
      <c r="W47" s="39"/>
    </row>
    <row r="48" spans="1:23" x14ac:dyDescent="0.2">
      <c r="F48" s="1"/>
      <c r="G48" s="56"/>
      <c r="H48" s="4"/>
      <c r="I48" s="3"/>
      <c r="J48" s="3"/>
      <c r="N48" s="4"/>
      <c r="O48" s="4"/>
      <c r="P48" s="33"/>
      <c r="Q48" s="45"/>
      <c r="R48" s="47"/>
      <c r="S48" s="45"/>
      <c r="T48" s="33"/>
      <c r="U48" s="45"/>
      <c r="V48" s="34"/>
      <c r="W48" s="39"/>
    </row>
    <row r="49" spans="6:23" x14ac:dyDescent="0.2">
      <c r="F49" s="1"/>
      <c r="H49" s="4"/>
      <c r="I49" s="3"/>
      <c r="J49" s="3"/>
      <c r="N49" s="4"/>
      <c r="O49" s="4"/>
      <c r="P49" s="33"/>
      <c r="Q49" s="45"/>
      <c r="R49" s="47"/>
      <c r="S49" s="45"/>
      <c r="T49" s="33"/>
      <c r="U49" s="45"/>
      <c r="V49" s="34"/>
      <c r="W49" s="39"/>
    </row>
    <row r="50" spans="6:23" x14ac:dyDescent="0.2">
      <c r="F50" s="1"/>
      <c r="H50" s="4"/>
      <c r="I50" s="3"/>
      <c r="J50" s="3"/>
      <c r="N50" s="4"/>
      <c r="O50" s="4"/>
      <c r="P50" s="33"/>
      <c r="Q50" s="45"/>
      <c r="R50" s="47"/>
      <c r="S50" s="45"/>
      <c r="T50" s="33"/>
      <c r="U50" s="45"/>
      <c r="V50" s="34"/>
      <c r="W50" s="39"/>
    </row>
    <row r="51" spans="6:23" x14ac:dyDescent="0.2">
      <c r="F51" s="1"/>
      <c r="H51" s="4"/>
      <c r="I51" s="3"/>
      <c r="J51" s="3"/>
      <c r="N51" s="4"/>
      <c r="O51" s="4"/>
      <c r="P51" s="33"/>
      <c r="Q51" s="45"/>
      <c r="R51" s="47"/>
      <c r="S51" s="45"/>
      <c r="T51" s="33"/>
      <c r="U51" s="45"/>
      <c r="V51" s="34"/>
      <c r="W51" s="39"/>
    </row>
    <row r="52" spans="6:23" x14ac:dyDescent="0.2">
      <c r="F52" s="1"/>
      <c r="H52" s="4"/>
      <c r="I52" s="3"/>
      <c r="J52" s="3"/>
      <c r="N52" s="4"/>
      <c r="O52" s="4"/>
      <c r="P52" s="33"/>
      <c r="Q52" s="45"/>
      <c r="R52" s="34"/>
      <c r="S52" s="45"/>
      <c r="T52" s="33"/>
      <c r="U52" s="46"/>
      <c r="V52" s="43"/>
      <c r="W52" s="39"/>
    </row>
    <row r="53" spans="6:23" x14ac:dyDescent="0.2">
      <c r="F53" s="1"/>
      <c r="H53" s="4"/>
      <c r="I53" s="3"/>
      <c r="J53" s="3"/>
      <c r="N53" s="4"/>
      <c r="O53" s="4"/>
      <c r="P53" s="33"/>
      <c r="Q53" s="45"/>
      <c r="R53" s="34"/>
      <c r="S53" s="45"/>
      <c r="T53" s="33"/>
      <c r="U53" s="45"/>
      <c r="V53" s="34"/>
      <c r="W53" s="39"/>
    </row>
    <row r="54" spans="6:23" x14ac:dyDescent="0.2">
      <c r="N54" s="4"/>
      <c r="O54" s="4"/>
      <c r="P54" s="33"/>
      <c r="Q54" s="45"/>
      <c r="R54" s="34"/>
      <c r="S54" s="44"/>
      <c r="T54" s="33"/>
      <c r="U54" s="45"/>
      <c r="V54" s="34"/>
      <c r="W54" s="39"/>
    </row>
    <row r="55" spans="6:23" x14ac:dyDescent="0.2">
      <c r="N55" s="4"/>
      <c r="O55" s="4"/>
      <c r="P55" s="33"/>
      <c r="Q55" s="45"/>
      <c r="R55" s="34"/>
      <c r="S55" s="44"/>
      <c r="T55" s="33"/>
      <c r="U55" s="45"/>
      <c r="V55" s="34"/>
      <c r="W55" s="39"/>
    </row>
    <row r="56" spans="6:23" x14ac:dyDescent="0.2">
      <c r="N56" s="4"/>
      <c r="O56" s="4"/>
      <c r="P56" s="33"/>
      <c r="Q56" s="45"/>
      <c r="R56" s="34"/>
      <c r="S56" s="44"/>
      <c r="T56" s="33"/>
      <c r="U56" s="45"/>
      <c r="V56" s="34"/>
      <c r="W56" s="39"/>
    </row>
    <row r="57" spans="6:23" x14ac:dyDescent="0.2">
      <c r="N57" s="4"/>
      <c r="O57" s="4"/>
      <c r="P57" s="33"/>
      <c r="Q57" s="45"/>
      <c r="R57" s="34"/>
      <c r="S57" s="44"/>
      <c r="T57" s="33"/>
      <c r="U57" s="45"/>
      <c r="V57" s="34"/>
      <c r="W57" s="39"/>
    </row>
    <row r="58" spans="6:23" x14ac:dyDescent="0.2">
      <c r="N58" s="4"/>
      <c r="O58" s="4"/>
      <c r="P58" s="33"/>
      <c r="Q58" s="45"/>
      <c r="R58" s="34"/>
      <c r="S58" s="44"/>
      <c r="T58" s="33"/>
      <c r="U58" s="45"/>
      <c r="V58" s="34"/>
      <c r="W58" s="39"/>
    </row>
    <row r="59" spans="6:23" x14ac:dyDescent="0.2">
      <c r="N59" s="4"/>
      <c r="O59" s="4"/>
      <c r="P59" s="33"/>
      <c r="Q59" s="45"/>
      <c r="R59" s="34"/>
      <c r="S59" s="44"/>
      <c r="T59" s="33"/>
      <c r="U59" s="45"/>
      <c r="V59" s="34"/>
      <c r="W59" s="39"/>
    </row>
    <row r="60" spans="6:23" x14ac:dyDescent="0.2">
      <c r="N60" s="4"/>
      <c r="O60" s="4"/>
      <c r="P60" s="33"/>
      <c r="Q60" s="45"/>
      <c r="R60" s="34"/>
      <c r="S60" s="44"/>
      <c r="T60" s="33"/>
      <c r="U60" s="45"/>
      <c r="V60" s="34"/>
      <c r="W60" s="39"/>
    </row>
    <row r="61" spans="6:23" x14ac:dyDescent="0.2">
      <c r="N61" s="4"/>
      <c r="O61" s="4"/>
      <c r="P61" s="33"/>
      <c r="Q61" s="45"/>
      <c r="R61" s="34"/>
      <c r="S61" s="44"/>
      <c r="T61" s="33"/>
      <c r="U61" s="45"/>
      <c r="V61" s="34"/>
      <c r="W61" s="39"/>
    </row>
    <row r="62" spans="6:23" x14ac:dyDescent="0.2">
      <c r="N62" s="4"/>
      <c r="O62" s="4"/>
      <c r="P62" s="33"/>
      <c r="Q62" s="45"/>
      <c r="R62" s="34"/>
      <c r="S62" s="44"/>
      <c r="T62" s="33"/>
      <c r="U62" s="45"/>
      <c r="V62" s="34"/>
      <c r="W62" s="39"/>
    </row>
    <row r="63" spans="6:23" x14ac:dyDescent="0.2">
      <c r="N63" s="4"/>
      <c r="O63" s="4"/>
      <c r="P63" s="33"/>
      <c r="Q63" s="45"/>
      <c r="R63" s="34"/>
      <c r="S63" s="44"/>
      <c r="T63" s="33"/>
      <c r="U63" s="45"/>
      <c r="V63" s="34"/>
      <c r="W63" s="39"/>
    </row>
    <row r="64" spans="6:23" x14ac:dyDescent="0.2">
      <c r="N64" s="4"/>
      <c r="O64" s="4"/>
      <c r="P64" s="33"/>
      <c r="Q64" s="45"/>
      <c r="R64" s="34"/>
      <c r="S64" s="44"/>
      <c r="T64" s="33"/>
      <c r="U64" s="45"/>
      <c r="V64" s="34"/>
      <c r="W64" s="39"/>
    </row>
    <row r="65" spans="14:23" x14ac:dyDescent="0.2">
      <c r="N65" s="4"/>
      <c r="O65" s="4"/>
      <c r="P65" s="33"/>
      <c r="Q65" s="45"/>
      <c r="R65" s="34"/>
      <c r="S65" s="44"/>
      <c r="T65" s="33"/>
      <c r="U65" s="45"/>
      <c r="V65" s="34"/>
      <c r="W65" s="39"/>
    </row>
    <row r="66" spans="14:23" x14ac:dyDescent="0.2">
      <c r="N66" s="4"/>
      <c r="O66" s="4"/>
      <c r="P66" s="33"/>
      <c r="Q66" s="45"/>
      <c r="R66" s="34"/>
      <c r="S66" s="44"/>
      <c r="T66" s="33"/>
      <c r="U66" s="45"/>
      <c r="V66" s="34"/>
      <c r="W66" s="39"/>
    </row>
    <row r="67" spans="14:23" x14ac:dyDescent="0.2">
      <c r="N67" s="4"/>
      <c r="O67" s="4"/>
      <c r="P67" s="33"/>
      <c r="Q67" s="45"/>
      <c r="R67" s="34"/>
      <c r="S67" s="44"/>
      <c r="T67" s="33"/>
      <c r="U67" s="45"/>
      <c r="V67" s="34"/>
      <c r="W67" s="39"/>
    </row>
    <row r="68" spans="14:23" x14ac:dyDescent="0.2">
      <c r="N68" s="4"/>
      <c r="O68" s="4"/>
      <c r="P68" s="33"/>
      <c r="Q68" s="45"/>
      <c r="R68" s="34"/>
      <c r="S68" s="44"/>
      <c r="T68" s="33"/>
      <c r="U68" s="45"/>
      <c r="V68" s="34"/>
      <c r="W68" s="39"/>
    </row>
    <row r="69" spans="14:23" x14ac:dyDescent="0.2">
      <c r="N69" s="4"/>
      <c r="O69" s="4"/>
      <c r="P69" s="33"/>
      <c r="Q69" s="45"/>
      <c r="R69" s="34"/>
      <c r="S69" s="44"/>
      <c r="T69" s="33"/>
      <c r="U69" s="45"/>
      <c r="V69" s="34"/>
      <c r="W69" s="39"/>
    </row>
    <row r="70" spans="14:23" x14ac:dyDescent="0.2">
      <c r="N70" s="4"/>
      <c r="O70" s="4"/>
      <c r="P70" s="33"/>
      <c r="Q70" s="45"/>
      <c r="R70" s="34"/>
      <c r="S70" s="44"/>
      <c r="T70" s="33"/>
      <c r="U70" s="45"/>
      <c r="V70" s="34"/>
      <c r="W70" s="39"/>
    </row>
    <row r="71" spans="14:23" x14ac:dyDescent="0.2">
      <c r="N71" s="4"/>
      <c r="O71" s="4"/>
      <c r="P71" s="33"/>
      <c r="Q71" s="45"/>
      <c r="R71" s="34"/>
      <c r="S71" s="44"/>
      <c r="T71" s="33"/>
      <c r="U71" s="45"/>
      <c r="V71" s="34"/>
      <c r="W71" s="39"/>
    </row>
    <row r="72" spans="14:23" x14ac:dyDescent="0.2">
      <c r="N72" s="4"/>
      <c r="O72" s="4"/>
      <c r="P72" s="33"/>
      <c r="Q72" s="45"/>
      <c r="R72" s="34"/>
      <c r="S72" s="44"/>
      <c r="T72" s="33"/>
      <c r="U72" s="45"/>
      <c r="V72" s="34"/>
      <c r="W72" s="39"/>
    </row>
    <row r="73" spans="14:23" x14ac:dyDescent="0.2">
      <c r="N73" s="4"/>
      <c r="O73" s="4"/>
      <c r="P73" s="33"/>
      <c r="Q73" s="45"/>
      <c r="R73" s="34"/>
      <c r="S73" s="44"/>
      <c r="T73" s="33"/>
      <c r="U73" s="45"/>
      <c r="V73" s="34"/>
      <c r="W73" s="39"/>
    </row>
    <row r="74" spans="14:23" x14ac:dyDescent="0.2">
      <c r="N74" s="4"/>
      <c r="O74" s="4"/>
      <c r="P74" s="33"/>
      <c r="Q74" s="45"/>
      <c r="R74" s="34"/>
      <c r="S74" s="44"/>
      <c r="T74" s="33"/>
      <c r="U74" s="45"/>
      <c r="V74" s="34"/>
      <c r="W74" s="39"/>
    </row>
    <row r="75" spans="14:23" x14ac:dyDescent="0.2">
      <c r="N75" s="4"/>
      <c r="O75" s="4"/>
      <c r="P75" s="33"/>
      <c r="Q75" s="45"/>
      <c r="R75" s="34"/>
      <c r="S75" s="44"/>
      <c r="T75" s="33"/>
      <c r="U75" s="45"/>
      <c r="V75" s="34"/>
      <c r="W75" s="39"/>
    </row>
    <row r="76" spans="14:23" x14ac:dyDescent="0.2">
      <c r="N76" s="4"/>
      <c r="O76" s="4"/>
      <c r="P76" s="33"/>
      <c r="Q76" s="45"/>
      <c r="R76" s="34"/>
      <c r="S76" s="44"/>
      <c r="T76" s="33"/>
      <c r="U76" s="45"/>
      <c r="V76" s="34"/>
      <c r="W76" s="39"/>
    </row>
    <row r="77" spans="14:23" x14ac:dyDescent="0.2">
      <c r="N77" s="4"/>
      <c r="O77" s="4"/>
      <c r="P77" s="33"/>
      <c r="Q77" s="45"/>
      <c r="R77" s="34"/>
      <c r="S77" s="44"/>
      <c r="T77" s="33"/>
      <c r="U77" s="45"/>
      <c r="V77" s="34"/>
      <c r="W77" s="39"/>
    </row>
    <row r="78" spans="14:23" x14ac:dyDescent="0.2">
      <c r="N78" s="4"/>
      <c r="O78" s="4"/>
      <c r="P78" s="33"/>
      <c r="Q78" s="45"/>
      <c r="R78" s="34"/>
      <c r="S78" s="44"/>
      <c r="T78" s="33"/>
      <c r="U78" s="45"/>
      <c r="V78" s="34"/>
      <c r="W78" s="39"/>
    </row>
    <row r="79" spans="14:23" x14ac:dyDescent="0.2">
      <c r="N79" s="4"/>
      <c r="O79" s="4"/>
      <c r="P79" s="33"/>
      <c r="Q79" s="45"/>
      <c r="R79" s="34"/>
      <c r="S79" s="44"/>
      <c r="T79" s="33"/>
      <c r="U79" s="45"/>
      <c r="V79" s="34"/>
      <c r="W79" s="39"/>
    </row>
    <row r="80" spans="14:23" x14ac:dyDescent="0.2">
      <c r="N80" s="4"/>
      <c r="O80" s="4"/>
      <c r="P80" s="33"/>
      <c r="Q80" s="45"/>
      <c r="R80" s="34"/>
      <c r="S80" s="44"/>
      <c r="T80" s="33"/>
      <c r="U80" s="45"/>
      <c r="V80" s="34"/>
      <c r="W80" s="39"/>
    </row>
    <row r="81" spans="14:23" x14ac:dyDescent="0.2">
      <c r="N81" s="4"/>
      <c r="O81" s="4"/>
      <c r="P81" s="33"/>
      <c r="Q81" s="45"/>
      <c r="R81" s="34"/>
      <c r="S81" s="44"/>
      <c r="T81" s="33"/>
      <c r="U81" s="45"/>
      <c r="V81" s="34"/>
      <c r="W81" s="39"/>
    </row>
    <row r="82" spans="14:23" x14ac:dyDescent="0.2">
      <c r="N82" s="4"/>
      <c r="O82" s="4"/>
      <c r="P82" s="33"/>
      <c r="Q82" s="45"/>
      <c r="R82" s="34"/>
      <c r="S82" s="44"/>
      <c r="T82" s="33"/>
      <c r="U82" s="45"/>
      <c r="V82" s="34"/>
      <c r="W82" s="39"/>
    </row>
    <row r="83" spans="14:23" x14ac:dyDescent="0.2">
      <c r="N83" s="4"/>
      <c r="O83" s="4"/>
      <c r="P83" s="33"/>
      <c r="Q83" s="45"/>
      <c r="R83" s="34"/>
      <c r="S83" s="44"/>
      <c r="T83" s="33"/>
      <c r="U83" s="45"/>
      <c r="V83" s="34"/>
      <c r="W83" s="39"/>
    </row>
    <row r="84" spans="14:23" x14ac:dyDescent="0.2">
      <c r="N84" s="4"/>
      <c r="O84" s="4"/>
      <c r="P84" s="33"/>
      <c r="Q84" s="45"/>
      <c r="R84" s="34"/>
      <c r="S84" s="44"/>
      <c r="T84" s="33"/>
      <c r="U84" s="45"/>
      <c r="V84" s="34"/>
      <c r="W84" s="39"/>
    </row>
    <row r="85" spans="14:23" x14ac:dyDescent="0.2">
      <c r="N85" s="4"/>
      <c r="O85" s="4"/>
      <c r="P85" s="33"/>
      <c r="Q85" s="45"/>
      <c r="R85" s="34"/>
      <c r="S85" s="44"/>
      <c r="T85" s="33"/>
      <c r="U85" s="45"/>
      <c r="V85" s="34"/>
      <c r="W85" s="39"/>
    </row>
    <row r="86" spans="14:23" x14ac:dyDescent="0.2">
      <c r="N86" s="4"/>
      <c r="O86" s="4"/>
      <c r="P86" s="33"/>
      <c r="Q86" s="45"/>
      <c r="R86" s="34"/>
      <c r="S86" s="44"/>
      <c r="T86" s="33"/>
      <c r="U86" s="45"/>
      <c r="V86" s="34"/>
      <c r="W86" s="39"/>
    </row>
    <row r="87" spans="14:23" x14ac:dyDescent="0.2">
      <c r="N87" s="4"/>
      <c r="O87" s="4"/>
      <c r="P87" s="33"/>
      <c r="Q87" s="45"/>
      <c r="R87" s="34"/>
      <c r="S87" s="44"/>
      <c r="T87" s="33"/>
      <c r="U87" s="45"/>
      <c r="V87" s="34"/>
      <c r="W87" s="39"/>
    </row>
    <row r="88" spans="14:23" x14ac:dyDescent="0.2">
      <c r="N88" s="4"/>
      <c r="O88" s="4"/>
      <c r="P88" s="33"/>
      <c r="Q88" s="45"/>
      <c r="R88" s="34"/>
      <c r="S88" s="44"/>
      <c r="T88" s="33"/>
      <c r="U88" s="45"/>
      <c r="V88" s="34"/>
      <c r="W88" s="39"/>
    </row>
    <row r="89" spans="14:23" x14ac:dyDescent="0.2">
      <c r="N89" s="4"/>
      <c r="O89" s="4"/>
      <c r="P89" s="33"/>
      <c r="Q89" s="45"/>
      <c r="R89" s="34"/>
      <c r="S89" s="44"/>
      <c r="T89" s="33"/>
      <c r="U89" s="45"/>
      <c r="V89" s="34"/>
      <c r="W89" s="39"/>
    </row>
    <row r="90" spans="14:23" x14ac:dyDescent="0.2">
      <c r="N90" s="4"/>
      <c r="O90" s="4"/>
      <c r="P90" s="33"/>
      <c r="Q90" s="45"/>
      <c r="R90" s="34"/>
      <c r="S90" s="44"/>
      <c r="T90" s="33"/>
      <c r="U90" s="45"/>
      <c r="V90" s="34"/>
      <c r="W90" s="39"/>
    </row>
    <row r="91" spans="14:23" x14ac:dyDescent="0.2">
      <c r="N91" s="4"/>
      <c r="O91" s="4"/>
      <c r="P91" s="33"/>
      <c r="Q91" s="45"/>
      <c r="R91" s="34"/>
      <c r="S91" s="44"/>
      <c r="T91" s="33"/>
      <c r="U91" s="45"/>
      <c r="V91" s="34"/>
      <c r="W91" s="39"/>
    </row>
    <row r="92" spans="14:23" x14ac:dyDescent="0.2">
      <c r="N92" s="4"/>
      <c r="O92" s="4"/>
      <c r="P92" s="33"/>
      <c r="Q92" s="45"/>
      <c r="R92" s="34"/>
      <c r="S92" s="44"/>
      <c r="T92" s="33"/>
      <c r="U92" s="45"/>
      <c r="V92" s="34"/>
      <c r="W92" s="39"/>
    </row>
    <row r="93" spans="14:23" x14ac:dyDescent="0.2">
      <c r="N93" s="4"/>
      <c r="O93" s="4"/>
      <c r="P93" s="33"/>
      <c r="Q93" s="45"/>
      <c r="R93" s="34"/>
      <c r="S93" s="44"/>
      <c r="T93" s="33"/>
      <c r="U93" s="45"/>
      <c r="V93" s="34"/>
      <c r="W93" s="39"/>
    </row>
    <row r="94" spans="14:23" x14ac:dyDescent="0.2">
      <c r="N94" s="4"/>
      <c r="O94" s="4"/>
      <c r="P94" s="33"/>
      <c r="Q94" s="45"/>
      <c r="R94" s="34"/>
      <c r="S94" s="44"/>
      <c r="T94" s="33"/>
      <c r="U94" s="45"/>
      <c r="V94" s="34"/>
      <c r="W94" s="39"/>
    </row>
    <row r="95" spans="14:23" x14ac:dyDescent="0.2">
      <c r="N95" s="4"/>
      <c r="O95" s="4"/>
      <c r="P95" s="33"/>
      <c r="Q95" s="45"/>
      <c r="R95" s="34"/>
      <c r="S95" s="44"/>
      <c r="T95" s="33"/>
      <c r="U95" s="45"/>
      <c r="V95" s="34"/>
      <c r="W95" s="39"/>
    </row>
    <row r="96" spans="14:23" x14ac:dyDescent="0.2">
      <c r="N96" s="4"/>
      <c r="O96" s="4"/>
      <c r="P96" s="33"/>
      <c r="Q96" s="45"/>
      <c r="R96" s="34"/>
      <c r="S96" s="44"/>
      <c r="T96" s="33"/>
      <c r="U96" s="45"/>
      <c r="V96" s="34"/>
      <c r="W96" s="39"/>
    </row>
    <row r="97" spans="14:23" x14ac:dyDescent="0.2">
      <c r="N97" s="4"/>
      <c r="O97" s="4"/>
      <c r="P97" s="33"/>
      <c r="Q97" s="45"/>
      <c r="R97" s="34"/>
      <c r="S97" s="44"/>
      <c r="T97" s="33"/>
      <c r="U97" s="45"/>
      <c r="V97" s="34"/>
      <c r="W97" s="39"/>
    </row>
  </sheetData>
  <sheetProtection sheet="1" formatCells="0" formatColumns="0" formatRows="0"/>
  <autoFilter ref="A1:W2" xr:uid="{00000000-0009-0000-0000-000009000000}">
    <filterColumn colId="15" showButton="0"/>
    <filterColumn colId="16" showButton="0"/>
    <filterColumn colId="17" showButton="0"/>
    <filterColumn colId="19" showButton="0"/>
    <filterColumn colId="20" showButton="0"/>
    <filterColumn colId="21" showButton="0"/>
    <sortState xmlns:xlrd2="http://schemas.microsoft.com/office/spreadsheetml/2017/richdata2" ref="A3:W23">
      <sortCondition ref="F1:F37"/>
    </sortState>
  </autoFilter>
  <mergeCells count="17">
    <mergeCell ref="N1:N2"/>
    <mergeCell ref="O1:O2"/>
    <mergeCell ref="P1:S1"/>
    <mergeCell ref="T1:W1"/>
    <mergeCell ref="M1:M2"/>
    <mergeCell ref="A1:A2"/>
    <mergeCell ref="B1:B2"/>
    <mergeCell ref="C1:C2"/>
    <mergeCell ref="D1:D2"/>
    <mergeCell ref="E1:E2"/>
    <mergeCell ref="L1:L2"/>
    <mergeCell ref="F1:F2"/>
    <mergeCell ref="H1:H2"/>
    <mergeCell ref="I1:I2"/>
    <mergeCell ref="J1:J2"/>
    <mergeCell ref="K1:K2"/>
    <mergeCell ref="G1:G2"/>
  </mergeCells>
  <conditionalFormatting sqref="T1 X1:XFD1 P2:XFD22 A1:F1048576 H23:XFD1048576 H1:P22">
    <cfRule type="expression" dxfId="15" priority="21">
      <formula>IF($F1="17-21",1,0)</formula>
    </cfRule>
    <cfRule type="expression" dxfId="14" priority="22">
      <formula>IF($F1="15-16",1,0)</formula>
    </cfRule>
    <cfRule type="expression" dxfId="13" priority="23">
      <formula>IF($F1="13-14",1,0)</formula>
    </cfRule>
    <cfRule type="expression" dxfId="12" priority="24">
      <formula>IF($F1="11-12",1,0)</formula>
    </cfRule>
  </conditionalFormatting>
  <conditionalFormatting sqref="T21">
    <cfRule type="expression" dxfId="11" priority="9">
      <formula>IF($F21="17-21",1,0)</formula>
    </cfRule>
    <cfRule type="expression" dxfId="10" priority="10">
      <formula>IF($F21="15-16",1,0)</formula>
    </cfRule>
    <cfRule type="expression" dxfId="9" priority="11">
      <formula>IF($F21="13-14",1,0)</formula>
    </cfRule>
    <cfRule type="expression" dxfId="8" priority="12">
      <formula>IF($F21="11-12",1,0)</formula>
    </cfRule>
  </conditionalFormatting>
  <conditionalFormatting sqref="T20">
    <cfRule type="expression" dxfId="7" priority="5">
      <formula>IF($F20="17-21",1,0)</formula>
    </cfRule>
    <cfRule type="expression" dxfId="6" priority="6">
      <formula>IF($F20="15-16",1,0)</formula>
    </cfRule>
    <cfRule type="expression" dxfId="5" priority="7">
      <formula>IF($F20="13-14",1,0)</formula>
    </cfRule>
    <cfRule type="expression" dxfId="4" priority="8">
      <formula>IF($F20="11-12",1,0)</formula>
    </cfRule>
  </conditionalFormatting>
  <conditionalFormatting sqref="G1:G1048576">
    <cfRule type="expression" dxfId="3" priority="1">
      <formula>IF($F1="17-21",1,0)</formula>
    </cfRule>
    <cfRule type="expression" dxfId="2" priority="2">
      <formula>IF($F1="15-16",1,0)</formula>
    </cfRule>
    <cfRule type="expression" dxfId="1" priority="3">
      <formula>IF($F1="13-14",1,0)</formula>
    </cfRule>
    <cfRule type="expression" dxfId="0" priority="4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Info</vt:lpstr>
      <vt:lpstr>Qualifying Scores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2019-08-14T02:35:24Z</dcterms:modified>
</cp:coreProperties>
</file>