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77EC3E6F-AC63-3444-8E8B-BABCA4EA4A05}" xr6:coauthVersionLast="47" xr6:coauthVersionMax="47" xr10:uidLastSave="{00000000-0000-0000-0000-000000000000}"/>
  <bookViews>
    <workbookView xWindow="0" yWindow="460" windowWidth="33600" windowHeight="20540" xr2:uid="{00000000-000D-0000-FFFF-FFFF00000000}"/>
  </bookViews>
  <sheets>
    <sheet name="Info" sheetId="2" r:id="rId1"/>
    <sheet name="Qualifying Scores" sheetId="10" r:id="rId2"/>
    <sheet name="TRA-M" sheetId="3" r:id="rId3"/>
    <sheet name="TRA-W" sheetId="1" r:id="rId4"/>
    <sheet name="SYN-M" sheetId="5" r:id="rId5"/>
    <sheet name="SYN-W" sheetId="4" r:id="rId6"/>
    <sheet name="DMT-M" sheetId="6" r:id="rId7"/>
    <sheet name="DMT-W" sheetId="7" r:id="rId8"/>
    <sheet name="TUM-M" sheetId="8" r:id="rId9"/>
    <sheet name="TUM-W" sheetId="9" r:id="rId10"/>
  </sheets>
  <definedNames>
    <definedName name="_xlnm._FilterDatabase" localSheetId="6" hidden="1">'DMT-M'!$B$1:$W$2</definedName>
    <definedName name="_xlnm._FilterDatabase" localSheetId="7" hidden="1">'DMT-W'!$B$1:$W$2</definedName>
    <definedName name="_xlnm._FilterDatabase" localSheetId="4" hidden="1">'SYN-M'!$B$1:$W$2</definedName>
    <definedName name="_xlnm._FilterDatabase" localSheetId="5" hidden="1">'SYN-W'!$B$1:$W$2</definedName>
    <definedName name="_xlnm._FilterDatabase" localSheetId="2" hidden="1">'TRA-M'!$B$1:$AC$2</definedName>
    <definedName name="_xlnm._FilterDatabase" localSheetId="3" hidden="1">'TRA-W'!$B$1:$AC$2</definedName>
    <definedName name="_xlnm._FilterDatabase" localSheetId="8" hidden="1">'TUM-M'!$A$1:$AE$2</definedName>
    <definedName name="_xlnm._FilterDatabase" localSheetId="9" hidden="1">'TUM-W'!$A$1:$W$2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6" i="6" l="1"/>
  <c r="W8" i="9"/>
  <c r="U8" i="9"/>
  <c r="W11" i="9"/>
  <c r="U11" i="9"/>
  <c r="W9" i="9"/>
  <c r="U9" i="9"/>
  <c r="W5" i="9"/>
  <c r="U5" i="9"/>
  <c r="U12" i="9"/>
  <c r="W10" i="9"/>
  <c r="U10" i="9"/>
  <c r="W6" i="9"/>
  <c r="U6" i="9"/>
  <c r="W7" i="9"/>
  <c r="U7" i="9"/>
  <c r="W4" i="9"/>
  <c r="U4" i="9"/>
  <c r="F4" i="9"/>
  <c r="N4" i="9"/>
  <c r="O4" i="9" s="1"/>
  <c r="W3" i="9"/>
  <c r="U3" i="9"/>
  <c r="F9" i="9"/>
  <c r="I9" i="9" s="1"/>
  <c r="N9" i="9"/>
  <c r="O9" i="9" s="1"/>
  <c r="F12" i="9"/>
  <c r="I12" i="9" s="1"/>
  <c r="N12" i="9"/>
  <c r="W5" i="8"/>
  <c r="U5" i="8"/>
  <c r="F5" i="8"/>
  <c r="I5" i="8" s="1"/>
  <c r="N5" i="8"/>
  <c r="O5" i="8" s="1"/>
  <c r="W4" i="8"/>
  <c r="U4" i="8"/>
  <c r="U3" i="8"/>
  <c r="W13" i="7"/>
  <c r="U13" i="7"/>
  <c r="W12" i="7"/>
  <c r="U12" i="7"/>
  <c r="F13" i="7"/>
  <c r="I13" i="7" s="1"/>
  <c r="N13" i="7"/>
  <c r="O13" i="7" s="1"/>
  <c r="F12" i="7"/>
  <c r="I12" i="7" s="1"/>
  <c r="N12" i="7"/>
  <c r="O12" i="7" s="1"/>
  <c r="U16" i="7"/>
  <c r="U15" i="7"/>
  <c r="W11" i="7"/>
  <c r="U11" i="7"/>
  <c r="W8" i="7"/>
  <c r="U8" i="7"/>
  <c r="W9" i="7"/>
  <c r="U9" i="7"/>
  <c r="W10" i="7"/>
  <c r="U10" i="7"/>
  <c r="W6" i="7"/>
  <c r="U6" i="7"/>
  <c r="U17" i="7"/>
  <c r="U18" i="7"/>
  <c r="U5" i="7"/>
  <c r="W4" i="7"/>
  <c r="U4" i="7"/>
  <c r="W3" i="7"/>
  <c r="U3" i="7"/>
  <c r="W7" i="7"/>
  <c r="U7" i="7"/>
  <c r="F18" i="7"/>
  <c r="I18" i="7" s="1"/>
  <c r="N18" i="7"/>
  <c r="O18" i="7" s="1"/>
  <c r="W13" i="6"/>
  <c r="U13" i="6"/>
  <c r="F13" i="6"/>
  <c r="I13" i="6" s="1"/>
  <c r="N13" i="6"/>
  <c r="W12" i="6"/>
  <c r="U12" i="6"/>
  <c r="U15" i="6"/>
  <c r="F15" i="6"/>
  <c r="I15" i="6" s="1"/>
  <c r="N15" i="6"/>
  <c r="U9" i="6"/>
  <c r="W8" i="6"/>
  <c r="U8" i="6"/>
  <c r="U5" i="6"/>
  <c r="U14" i="6"/>
  <c r="F14" i="6"/>
  <c r="I14" i="6" s="1"/>
  <c r="N14" i="6"/>
  <c r="O14" i="6" s="1"/>
  <c r="W11" i="6"/>
  <c r="U11" i="6"/>
  <c r="F11" i="6"/>
  <c r="I11" i="6" s="1"/>
  <c r="N11" i="6"/>
  <c r="F10" i="6"/>
  <c r="I10" i="6" s="1"/>
  <c r="N10" i="6"/>
  <c r="O10" i="6" s="1"/>
  <c r="W7" i="6"/>
  <c r="U7" i="6"/>
  <c r="W3" i="6"/>
  <c r="U3" i="6"/>
  <c r="W6" i="6"/>
  <c r="U6" i="6"/>
  <c r="W4" i="6"/>
  <c r="U4" i="6"/>
  <c r="F25" i="1"/>
  <c r="J25" i="1" s="1"/>
  <c r="T25" i="1"/>
  <c r="AA25" i="1"/>
  <c r="F22" i="1"/>
  <c r="J22" i="1" s="1"/>
  <c r="T22" i="1"/>
  <c r="AA22" i="1"/>
  <c r="F18" i="1"/>
  <c r="J18" i="1" s="1"/>
  <c r="T18" i="1"/>
  <c r="AA18" i="1"/>
  <c r="F26" i="1"/>
  <c r="J26" i="1" s="1"/>
  <c r="T26" i="1"/>
  <c r="AA26" i="1"/>
  <c r="F24" i="1"/>
  <c r="J24" i="1" s="1"/>
  <c r="T24" i="1"/>
  <c r="AA24" i="1"/>
  <c r="F11" i="1"/>
  <c r="J11" i="1" s="1"/>
  <c r="T11" i="1"/>
  <c r="AA11" i="1"/>
  <c r="F8" i="1"/>
  <c r="J8" i="1" s="1"/>
  <c r="T8" i="1"/>
  <c r="AA8" i="1"/>
  <c r="F11" i="3"/>
  <c r="J11" i="3" s="1"/>
  <c r="T11" i="3"/>
  <c r="AA11" i="3"/>
  <c r="F19" i="3"/>
  <c r="J19" i="3" s="1"/>
  <c r="T19" i="3"/>
  <c r="AA19" i="3"/>
  <c r="AA4" i="3"/>
  <c r="Q7" i="9"/>
  <c r="Q10" i="9"/>
  <c r="S6" i="9"/>
  <c r="Q6" i="9"/>
  <c r="Q3" i="9"/>
  <c r="S3" i="9"/>
  <c r="S3" i="8"/>
  <c r="Q3" i="8"/>
  <c r="S4" i="8"/>
  <c r="Q4" i="8"/>
  <c r="Q11" i="9"/>
  <c r="S8" i="9"/>
  <c r="Q8" i="9"/>
  <c r="S5" i="9"/>
  <c r="Q5" i="9"/>
  <c r="Q4" i="7"/>
  <c r="Q17" i="7"/>
  <c r="Q5" i="7"/>
  <c r="S7" i="7"/>
  <c r="Q7" i="7"/>
  <c r="Q3" i="7"/>
  <c r="S3" i="7"/>
  <c r="S7" i="6"/>
  <c r="Q7" i="6"/>
  <c r="S4" i="6"/>
  <c r="Q4" i="6"/>
  <c r="Q6" i="6"/>
  <c r="S3" i="6"/>
  <c r="Q3" i="6"/>
  <c r="Q5" i="6"/>
  <c r="S5" i="6"/>
  <c r="S15" i="7"/>
  <c r="Q15" i="7"/>
  <c r="Q16" i="7"/>
  <c r="S11" i="7"/>
  <c r="Q11" i="7"/>
  <c r="S9" i="7"/>
  <c r="Q9" i="7"/>
  <c r="S8" i="7"/>
  <c r="Q8" i="7"/>
  <c r="S10" i="7"/>
  <c r="Q10" i="7"/>
  <c r="S6" i="7"/>
  <c r="Q6" i="7"/>
  <c r="S9" i="6"/>
  <c r="Q9" i="6"/>
  <c r="S8" i="6"/>
  <c r="Q8" i="6"/>
  <c r="S14" i="7"/>
  <c r="Q14" i="7"/>
  <c r="S12" i="6"/>
  <c r="Q12" i="6"/>
  <c r="F17" i="7"/>
  <c r="I17" i="7" s="1"/>
  <c r="N17" i="7"/>
  <c r="F5" i="7"/>
  <c r="N5" i="7"/>
  <c r="O5" i="7" s="1"/>
  <c r="N25" i="1" l="1"/>
  <c r="O25" i="1" s="1"/>
  <c r="J4" i="9"/>
  <c r="I4" i="9"/>
  <c r="K4" i="9"/>
  <c r="H4" i="9"/>
  <c r="J9" i="9"/>
  <c r="K9" i="9"/>
  <c r="A9" i="9" s="1"/>
  <c r="H9" i="9"/>
  <c r="J12" i="9"/>
  <c r="K12" i="9"/>
  <c r="A12" i="9" s="1"/>
  <c r="O12" i="9"/>
  <c r="H12" i="9" s="1"/>
  <c r="K13" i="7"/>
  <c r="J13" i="7"/>
  <c r="K5" i="8"/>
  <c r="A5" i="8" s="1"/>
  <c r="H5" i="8"/>
  <c r="J5" i="8"/>
  <c r="H13" i="7"/>
  <c r="K12" i="7"/>
  <c r="J12" i="7"/>
  <c r="H12" i="7"/>
  <c r="K5" i="7"/>
  <c r="K18" i="7"/>
  <c r="J18" i="7"/>
  <c r="H18" i="7"/>
  <c r="K13" i="6"/>
  <c r="J13" i="6"/>
  <c r="O13" i="6"/>
  <c r="H13" i="6" s="1"/>
  <c r="K15" i="6"/>
  <c r="O15" i="6"/>
  <c r="H15" i="6" s="1"/>
  <c r="J15" i="6"/>
  <c r="K14" i="6"/>
  <c r="J14" i="6"/>
  <c r="H14" i="6"/>
  <c r="K11" i="6"/>
  <c r="J11" i="6"/>
  <c r="O11" i="6"/>
  <c r="H11" i="6" s="1"/>
  <c r="K10" i="6"/>
  <c r="J10" i="6"/>
  <c r="H10" i="6"/>
  <c r="I25" i="1"/>
  <c r="K25" i="1"/>
  <c r="I22" i="1"/>
  <c r="N22" i="1"/>
  <c r="K22" i="1"/>
  <c r="I18" i="1"/>
  <c r="N18" i="1"/>
  <c r="O18" i="1" s="1"/>
  <c r="H18" i="1" s="1"/>
  <c r="K18" i="1"/>
  <c r="N26" i="1"/>
  <c r="O26" i="1" s="1"/>
  <c r="H26" i="1" s="1"/>
  <c r="K26" i="1"/>
  <c r="I26" i="1"/>
  <c r="I24" i="1"/>
  <c r="K24" i="1"/>
  <c r="N24" i="1"/>
  <c r="I11" i="1"/>
  <c r="N11" i="1"/>
  <c r="K11" i="1"/>
  <c r="I8" i="1"/>
  <c r="N8" i="1"/>
  <c r="K8" i="1"/>
  <c r="I11" i="3"/>
  <c r="N11" i="3"/>
  <c r="O11" i="3" s="1"/>
  <c r="H11" i="3" s="1"/>
  <c r="K11" i="3"/>
  <c r="I19" i="3"/>
  <c r="N19" i="3"/>
  <c r="K19" i="3"/>
  <c r="K17" i="7"/>
  <c r="J17" i="7"/>
  <c r="O17" i="7"/>
  <c r="H17" i="7" s="1"/>
  <c r="J5" i="7"/>
  <c r="I5" i="7"/>
  <c r="H5" i="7"/>
  <c r="F3" i="5"/>
  <c r="J3" i="5" s="1"/>
  <c r="N3" i="5"/>
  <c r="O3" i="5" s="1"/>
  <c r="F4" i="8"/>
  <c r="J4" i="8" s="1"/>
  <c r="N4" i="8"/>
  <c r="F9" i="6"/>
  <c r="J9" i="6" s="1"/>
  <c r="N9" i="6"/>
  <c r="F7" i="6"/>
  <c r="J7" i="6" s="1"/>
  <c r="N7" i="6"/>
  <c r="A15" i="6" l="1"/>
  <c r="A18" i="7"/>
  <c r="A17" i="7"/>
  <c r="A22" i="1"/>
  <c r="H25" i="1"/>
  <c r="A25" i="1"/>
  <c r="A26" i="1"/>
  <c r="A24" i="1"/>
  <c r="A19" i="3"/>
  <c r="O22" i="1"/>
  <c r="H22" i="1" s="1"/>
  <c r="O24" i="1"/>
  <c r="H24" i="1" s="1"/>
  <c r="O11" i="1"/>
  <c r="H11" i="1" s="1"/>
  <c r="O8" i="1"/>
  <c r="H8" i="1" s="1"/>
  <c r="O19" i="3"/>
  <c r="H19" i="3" s="1"/>
  <c r="K4" i="8"/>
  <c r="I4" i="8"/>
  <c r="I3" i="5"/>
  <c r="H3" i="5"/>
  <c r="K3" i="5"/>
  <c r="A3" i="5" s="1"/>
  <c r="O4" i="8"/>
  <c r="H4" i="8" s="1"/>
  <c r="K9" i="6"/>
  <c r="I9" i="6"/>
  <c r="I7" i="6"/>
  <c r="O9" i="6"/>
  <c r="H9" i="6" s="1"/>
  <c r="O7" i="6"/>
  <c r="H7" i="6" s="1"/>
  <c r="K7" i="6"/>
  <c r="F9" i="7"/>
  <c r="I9" i="7" s="1"/>
  <c r="N9" i="7"/>
  <c r="O9" i="7" s="1"/>
  <c r="F3" i="7"/>
  <c r="N3" i="7"/>
  <c r="F16" i="7"/>
  <c r="I16" i="7" s="1"/>
  <c r="N16" i="7"/>
  <c r="O16" i="7" s="1"/>
  <c r="F3" i="3"/>
  <c r="J3" i="3" s="1"/>
  <c r="T3" i="3"/>
  <c r="AA3" i="3"/>
  <c r="F14" i="3"/>
  <c r="J14" i="3" s="1"/>
  <c r="T14" i="3"/>
  <c r="AA14" i="3"/>
  <c r="F13" i="1"/>
  <c r="J13" i="1" s="1"/>
  <c r="T13" i="1"/>
  <c r="AA13" i="1"/>
  <c r="F23" i="1"/>
  <c r="J23" i="1" s="1"/>
  <c r="T23" i="1"/>
  <c r="AA23" i="1"/>
  <c r="F12" i="1"/>
  <c r="J12" i="1" s="1"/>
  <c r="T12" i="1"/>
  <c r="AA12" i="1"/>
  <c r="F9" i="1"/>
  <c r="J9" i="1" s="1"/>
  <c r="T9" i="1"/>
  <c r="AA9" i="1"/>
  <c r="K9" i="7" l="1"/>
  <c r="J9" i="7"/>
  <c r="H9" i="7"/>
  <c r="O3" i="7"/>
  <c r="H3" i="7" s="1"/>
  <c r="K3" i="7"/>
  <c r="J3" i="7"/>
  <c r="I3" i="7"/>
  <c r="J16" i="7"/>
  <c r="K16" i="7"/>
  <c r="A16" i="7" s="1"/>
  <c r="H16" i="7"/>
  <c r="I3" i="3"/>
  <c r="N3" i="3"/>
  <c r="O3" i="3" s="1"/>
  <c r="H3" i="3" s="1"/>
  <c r="K3" i="3"/>
  <c r="I14" i="3"/>
  <c r="K14" i="3"/>
  <c r="N14" i="3"/>
  <c r="O14" i="3" s="1"/>
  <c r="I13" i="1"/>
  <c r="K13" i="1"/>
  <c r="N13" i="1"/>
  <c r="I23" i="1"/>
  <c r="K23" i="1"/>
  <c r="N23" i="1"/>
  <c r="I12" i="1"/>
  <c r="N12" i="1"/>
  <c r="K12" i="1"/>
  <c r="I9" i="1"/>
  <c r="K9" i="1"/>
  <c r="N9" i="1"/>
  <c r="A23" i="1" l="1"/>
  <c r="H14" i="3"/>
  <c r="O13" i="1"/>
  <c r="H13" i="1" s="1"/>
  <c r="O23" i="1"/>
  <c r="H23" i="1" s="1"/>
  <c r="O12" i="1"/>
  <c r="H12" i="1" s="1"/>
  <c r="O9" i="1"/>
  <c r="H9" i="1" s="1"/>
  <c r="F5" i="9" l="1"/>
  <c r="N5" i="9"/>
  <c r="O5" i="9" s="1"/>
  <c r="F10" i="9"/>
  <c r="N10" i="9"/>
  <c r="O10" i="9" s="1"/>
  <c r="K5" i="9" l="1"/>
  <c r="A5" i="9" s="1"/>
  <c r="I5" i="9"/>
  <c r="J5" i="9"/>
  <c r="K10" i="9"/>
  <c r="A10" i="9" s="1"/>
  <c r="I10" i="9"/>
  <c r="J10" i="9"/>
  <c r="H5" i="9"/>
  <c r="H10" i="9"/>
  <c r="F18" i="3" l="1"/>
  <c r="J18" i="3" s="1"/>
  <c r="T18" i="3"/>
  <c r="AA18" i="3"/>
  <c r="F12" i="3"/>
  <c r="J12" i="3" s="1"/>
  <c r="T12" i="3"/>
  <c r="AA12" i="3"/>
  <c r="F9" i="3"/>
  <c r="J9" i="3" s="1"/>
  <c r="T9" i="3"/>
  <c r="AA9" i="3"/>
  <c r="F8" i="3"/>
  <c r="J8" i="3" s="1"/>
  <c r="T8" i="3"/>
  <c r="AA8" i="3"/>
  <c r="F5" i="3"/>
  <c r="T5" i="3"/>
  <c r="AA5" i="3"/>
  <c r="F17" i="1"/>
  <c r="J17" i="1" s="1"/>
  <c r="T17" i="1"/>
  <c r="AA17" i="1"/>
  <c r="F14" i="1"/>
  <c r="J14" i="1" s="1"/>
  <c r="T14" i="1"/>
  <c r="AA14" i="1"/>
  <c r="F19" i="1"/>
  <c r="J19" i="1" s="1"/>
  <c r="T19" i="1"/>
  <c r="AA19" i="1"/>
  <c r="F6" i="1"/>
  <c r="J6" i="1" s="1"/>
  <c r="T6" i="1"/>
  <c r="AA6" i="1"/>
  <c r="F20" i="1"/>
  <c r="J20" i="1" s="1"/>
  <c r="T20" i="1"/>
  <c r="AA20" i="1"/>
  <c r="F10" i="1"/>
  <c r="J10" i="1" s="1"/>
  <c r="T10" i="1"/>
  <c r="AA10" i="1"/>
  <c r="F21" i="1"/>
  <c r="J21" i="1" s="1"/>
  <c r="T21" i="1"/>
  <c r="AA21" i="1"/>
  <c r="F3" i="4"/>
  <c r="N3" i="4"/>
  <c r="O3" i="4" s="1"/>
  <c r="I6" i="1" l="1"/>
  <c r="J5" i="3"/>
  <c r="J3" i="4"/>
  <c r="I3" i="4"/>
  <c r="I10" i="1"/>
  <c r="I20" i="1"/>
  <c r="I19" i="1"/>
  <c r="I17" i="1"/>
  <c r="I14" i="1"/>
  <c r="I21" i="1"/>
  <c r="I8" i="3"/>
  <c r="I9" i="3"/>
  <c r="I12" i="3"/>
  <c r="I18" i="3"/>
  <c r="I5" i="3"/>
  <c r="K18" i="3"/>
  <c r="A18" i="3" s="1"/>
  <c r="N18" i="3"/>
  <c r="O18" i="3" s="1"/>
  <c r="K12" i="3"/>
  <c r="N12" i="3"/>
  <c r="O12" i="3" s="1"/>
  <c r="K9" i="3"/>
  <c r="N9" i="3"/>
  <c r="O9" i="3" s="1"/>
  <c r="H9" i="3" s="1"/>
  <c r="N8" i="3"/>
  <c r="K8" i="3"/>
  <c r="N5" i="3"/>
  <c r="O5" i="3" s="1"/>
  <c r="K5" i="3"/>
  <c r="N17" i="1"/>
  <c r="O17" i="1" s="1"/>
  <c r="K17" i="1"/>
  <c r="N14" i="1"/>
  <c r="O14" i="1" s="1"/>
  <c r="K14" i="1"/>
  <c r="N19" i="1"/>
  <c r="O19" i="1" s="1"/>
  <c r="K19" i="1"/>
  <c r="K6" i="1"/>
  <c r="N6" i="1"/>
  <c r="O6" i="1" s="1"/>
  <c r="H6" i="1" s="1"/>
  <c r="K20" i="1"/>
  <c r="A20" i="1" s="1"/>
  <c r="N20" i="1"/>
  <c r="O20" i="1" s="1"/>
  <c r="N10" i="1"/>
  <c r="O10" i="1" s="1"/>
  <c r="K10" i="1"/>
  <c r="K21" i="1"/>
  <c r="N21" i="1"/>
  <c r="K3" i="4"/>
  <c r="H3" i="4"/>
  <c r="A3" i="4" l="1"/>
  <c r="H18" i="3"/>
  <c r="H12" i="3"/>
  <c r="O8" i="3"/>
  <c r="H8" i="3" s="1"/>
  <c r="H5" i="3"/>
  <c r="H17" i="1"/>
  <c r="H14" i="1"/>
  <c r="H10" i="1"/>
  <c r="H19" i="1"/>
  <c r="H20" i="1"/>
  <c r="O21" i="1"/>
  <c r="H21" i="1" s="1"/>
  <c r="F6" i="7" l="1"/>
  <c r="N6" i="7"/>
  <c r="O6" i="7" s="1"/>
  <c r="F15" i="7"/>
  <c r="N15" i="7"/>
  <c r="O15" i="7" s="1"/>
  <c r="K15" i="7" l="1"/>
  <c r="J15" i="7"/>
  <c r="I15" i="7"/>
  <c r="K6" i="7"/>
  <c r="J6" i="7"/>
  <c r="I6" i="7"/>
  <c r="H6" i="7"/>
  <c r="H15" i="7"/>
  <c r="N3" i="8"/>
  <c r="N8" i="7"/>
  <c r="N10" i="7"/>
  <c r="N14" i="7"/>
  <c r="N7" i="7"/>
  <c r="N4" i="7"/>
  <c r="N11" i="7"/>
  <c r="N4" i="6"/>
  <c r="N3" i="6"/>
  <c r="N6" i="6"/>
  <c r="N5" i="6"/>
  <c r="N12" i="6"/>
  <c r="N8" i="6"/>
  <c r="O8" i="7" l="1"/>
  <c r="H8" i="7" s="1"/>
  <c r="O10" i="7"/>
  <c r="O14" i="7"/>
  <c r="H14" i="7" s="1"/>
  <c r="O7" i="7"/>
  <c r="H7" i="7" s="1"/>
  <c r="O4" i="7"/>
  <c r="H4" i="7" s="1"/>
  <c r="F8" i="7"/>
  <c r="F10" i="7"/>
  <c r="F14" i="7"/>
  <c r="F7" i="7"/>
  <c r="F4" i="7"/>
  <c r="O11" i="7"/>
  <c r="O4" i="6"/>
  <c r="O3" i="6"/>
  <c r="O5" i="6"/>
  <c r="O6" i="6"/>
  <c r="O12" i="6"/>
  <c r="O8" i="6"/>
  <c r="I8" i="7" l="1"/>
  <c r="K8" i="7"/>
  <c r="J8" i="7"/>
  <c r="K7" i="7"/>
  <c r="J7" i="7"/>
  <c r="I7" i="7"/>
  <c r="K10" i="7"/>
  <c r="J10" i="7"/>
  <c r="I10" i="7"/>
  <c r="K4" i="7"/>
  <c r="J4" i="7"/>
  <c r="I4" i="7"/>
  <c r="J14" i="7"/>
  <c r="I14" i="7"/>
  <c r="K14" i="7"/>
  <c r="H11" i="7"/>
  <c r="H10" i="7"/>
  <c r="O3" i="8"/>
  <c r="F4" i="6" l="1"/>
  <c r="F3" i="6"/>
  <c r="F5" i="6"/>
  <c r="F6" i="6"/>
  <c r="F12" i="6"/>
  <c r="F8" i="6"/>
  <c r="F11" i="9"/>
  <c r="N11" i="9"/>
  <c r="O11" i="9" s="1"/>
  <c r="F8" i="9"/>
  <c r="N8" i="9"/>
  <c r="O8" i="9" s="1"/>
  <c r="F7" i="9"/>
  <c r="N3" i="9"/>
  <c r="O3" i="9" s="1"/>
  <c r="F3" i="9"/>
  <c r="N6" i="9"/>
  <c r="O6" i="9" s="1"/>
  <c r="F6" i="9"/>
  <c r="F3" i="8"/>
  <c r="F11" i="7"/>
  <c r="AA16" i="3"/>
  <c r="AA6" i="3"/>
  <c r="AA13" i="3"/>
  <c r="AA17" i="3"/>
  <c r="AA15" i="3"/>
  <c r="AA7" i="3"/>
  <c r="AA10" i="3"/>
  <c r="T10" i="3"/>
  <c r="T6" i="3"/>
  <c r="T4" i="3"/>
  <c r="T13" i="3"/>
  <c r="T17" i="3"/>
  <c r="T15" i="3"/>
  <c r="T7" i="3"/>
  <c r="T16" i="3"/>
  <c r="F16" i="3"/>
  <c r="J16" i="3" s="1"/>
  <c r="A12" i="7" l="1"/>
  <c r="A9" i="7"/>
  <c r="K11" i="7"/>
  <c r="A13" i="7" s="1"/>
  <c r="J11" i="7"/>
  <c r="I11" i="7"/>
  <c r="J4" i="6"/>
  <c r="I4" i="6"/>
  <c r="K4" i="6"/>
  <c r="J8" i="6"/>
  <c r="K8" i="6"/>
  <c r="I8" i="6"/>
  <c r="K12" i="6"/>
  <c r="A12" i="6" s="1"/>
  <c r="J12" i="6"/>
  <c r="I12" i="6"/>
  <c r="J6" i="6"/>
  <c r="I6" i="6"/>
  <c r="K6" i="6"/>
  <c r="I3" i="6"/>
  <c r="K3" i="6"/>
  <c r="J3" i="6"/>
  <c r="K5" i="6"/>
  <c r="J5" i="6"/>
  <c r="I5" i="6"/>
  <c r="I16" i="3"/>
  <c r="J11" i="9"/>
  <c r="I11" i="9"/>
  <c r="I6" i="9"/>
  <c r="J6" i="9"/>
  <c r="J8" i="9"/>
  <c r="I8" i="9"/>
  <c r="J3" i="9"/>
  <c r="I3" i="9"/>
  <c r="I7" i="9"/>
  <c r="J7" i="9"/>
  <c r="I3" i="8"/>
  <c r="J3" i="8"/>
  <c r="K16" i="3"/>
  <c r="K8" i="9"/>
  <c r="A8" i="9" s="1"/>
  <c r="K6" i="9"/>
  <c r="K3" i="9"/>
  <c r="K7" i="9"/>
  <c r="A7" i="9" s="1"/>
  <c r="K11" i="9"/>
  <c r="A11" i="9" s="1"/>
  <c r="K3" i="8"/>
  <c r="H11" i="9"/>
  <c r="H3" i="6"/>
  <c r="H8" i="6"/>
  <c r="H12" i="6"/>
  <c r="H6" i="6"/>
  <c r="H4" i="6"/>
  <c r="H8" i="9"/>
  <c r="N7" i="9"/>
  <c r="O7" i="9" s="1"/>
  <c r="H3" i="9"/>
  <c r="H6" i="9"/>
  <c r="H3" i="8"/>
  <c r="N16" i="3"/>
  <c r="O16" i="3" s="1"/>
  <c r="H16" i="3" s="1"/>
  <c r="A11" i="7" l="1"/>
  <c r="A4" i="9"/>
  <c r="A4" i="8"/>
  <c r="A13" i="6"/>
  <c r="A7" i="7"/>
  <c r="A4" i="7"/>
  <c r="A15" i="7"/>
  <c r="A5" i="7"/>
  <c r="A14" i="7"/>
  <c r="A6" i="7"/>
  <c r="A10" i="7"/>
  <c r="A8" i="7"/>
  <c r="A3" i="7"/>
  <c r="A11" i="6"/>
  <c r="A4" i="6"/>
  <c r="H5" i="6"/>
  <c r="A14" i="6" s="1"/>
  <c r="H7" i="9"/>
  <c r="A6" i="9"/>
  <c r="A3" i="8"/>
  <c r="E155" i="2" l="1" a="1"/>
  <c r="E155" i="2" s="1"/>
  <c r="E135" i="2" a="1"/>
  <c r="E135" i="2" s="1"/>
  <c r="E159" i="2" a="1"/>
  <c r="E159" i="2" s="1"/>
  <c r="E138" i="2" a="1"/>
  <c r="E138" i="2" s="1"/>
  <c r="E152" i="2" a="1"/>
  <c r="E152" i="2" s="1"/>
  <c r="E134" i="2" a="1"/>
  <c r="E134" i="2" s="1"/>
  <c r="E153" i="2" a="1"/>
  <c r="E153" i="2" s="1"/>
  <c r="E141" i="2" a="1"/>
  <c r="E141" i="2" s="1"/>
  <c r="E145" i="2" a="1"/>
  <c r="E145" i="2" s="1"/>
  <c r="E139" i="2" a="1"/>
  <c r="E139" i="2" s="1"/>
  <c r="E148" i="2" a="1"/>
  <c r="E148" i="2" s="1"/>
  <c r="E147" i="2" a="1"/>
  <c r="E147" i="2" s="1"/>
  <c r="E136" i="2" a="1"/>
  <c r="E136" i="2" s="1"/>
  <c r="E158" i="2" a="1"/>
  <c r="E158" i="2" s="1"/>
  <c r="E137" i="2" a="1"/>
  <c r="E137" i="2" s="1"/>
  <c r="E142" i="2" a="1"/>
  <c r="E142" i="2" s="1"/>
  <c r="E130" i="2" a="1"/>
  <c r="E130" i="2" s="1"/>
  <c r="E160" i="2" a="1"/>
  <c r="E160" i="2" s="1"/>
  <c r="E156" i="2" a="1"/>
  <c r="E156" i="2" s="1"/>
  <c r="E132" i="2" a="1"/>
  <c r="E132" i="2" s="1"/>
  <c r="E131" i="2" a="1"/>
  <c r="E131" i="2" s="1"/>
  <c r="E149" i="2" a="1"/>
  <c r="E149" i="2" s="1"/>
  <c r="E140" i="2" a="1"/>
  <c r="E140" i="2" s="1"/>
  <c r="E150" i="2" a="1"/>
  <c r="E150" i="2" s="1"/>
  <c r="E151" i="2" a="1"/>
  <c r="E151" i="2" s="1"/>
  <c r="E133" i="2" a="1"/>
  <c r="E133" i="2" s="1"/>
  <c r="E161" i="2" a="1"/>
  <c r="E161" i="2" s="1"/>
  <c r="E144" i="2" a="1"/>
  <c r="E144" i="2" s="1"/>
  <c r="E146" i="2" a="1"/>
  <c r="E146" i="2" s="1"/>
  <c r="E143" i="2" a="1"/>
  <c r="E143" i="2" s="1"/>
  <c r="E154" i="2" a="1"/>
  <c r="E154" i="2" s="1"/>
  <c r="E157" i="2" a="1"/>
  <c r="E157" i="2" s="1"/>
  <c r="E93" i="2" a="1"/>
  <c r="E93" i="2" s="1"/>
  <c r="E96" i="2" a="1"/>
  <c r="E96" i="2" s="1"/>
  <c r="E86" i="2" a="1"/>
  <c r="E86" i="2" s="1"/>
  <c r="E87" i="2" a="1"/>
  <c r="E87" i="2" s="1"/>
  <c r="E94" i="2" a="1"/>
  <c r="E94" i="2" s="1"/>
  <c r="E91" i="2" a="1"/>
  <c r="E91" i="2" s="1"/>
  <c r="E88" i="2" a="1"/>
  <c r="E88" i="2" s="1"/>
  <c r="E97" i="2" a="1"/>
  <c r="E97" i="2" s="1"/>
  <c r="E82" i="2" a="1"/>
  <c r="E82" i="2" s="1"/>
  <c r="E89" i="2" a="1"/>
  <c r="E89" i="2" s="1"/>
  <c r="E95" i="2" a="1"/>
  <c r="E95" i="2" s="1"/>
  <c r="E85" i="2" a="1"/>
  <c r="E85" i="2" s="1"/>
  <c r="E83" i="2" a="1"/>
  <c r="E83" i="2" s="1"/>
  <c r="E90" i="2" a="1"/>
  <c r="E90" i="2" s="1"/>
  <c r="E92" i="2" a="1"/>
  <c r="E92" i="2" s="1"/>
  <c r="E84" i="2" a="1"/>
  <c r="E84" i="2" s="1"/>
  <c r="E68" i="2" a="1"/>
  <c r="E68" i="2" s="1"/>
  <c r="E67" i="2" a="1"/>
  <c r="E67" i="2" s="1"/>
  <c r="E66" i="2" a="1"/>
  <c r="E66" i="2" s="1"/>
  <c r="E77" i="2" a="1"/>
  <c r="E77" i="2" s="1"/>
  <c r="E73" i="2" a="1"/>
  <c r="E73" i="2" s="1"/>
  <c r="E78" i="2" a="1"/>
  <c r="E78" i="2" s="1"/>
  <c r="E80" i="2" a="1"/>
  <c r="E80" i="2" s="1"/>
  <c r="E69" i="2" a="1"/>
  <c r="E69" i="2" s="1"/>
  <c r="E81" i="2" a="1"/>
  <c r="E81" i="2" s="1"/>
  <c r="E71" i="2" a="1"/>
  <c r="E71" i="2" s="1"/>
  <c r="E75" i="2" a="1"/>
  <c r="E75" i="2" s="1"/>
  <c r="E74" i="2" a="1"/>
  <c r="E74" i="2" s="1"/>
  <c r="E72" i="2" a="1"/>
  <c r="E72" i="2" s="1"/>
  <c r="E76" i="2" a="1"/>
  <c r="E76" i="2" s="1"/>
  <c r="E70" i="2" a="1"/>
  <c r="E70" i="2" s="1"/>
  <c r="E79" i="2" a="1"/>
  <c r="E79" i="2" s="1"/>
  <c r="A10" i="6"/>
  <c r="E162" i="2" a="1"/>
  <c r="E162" i="2" s="1"/>
  <c r="A3" i="6"/>
  <c r="A7" i="6"/>
  <c r="A9" i="6"/>
  <c r="A6" i="6"/>
  <c r="A5" i="6"/>
  <c r="A3" i="9"/>
  <c r="A8" i="6"/>
  <c r="D73" i="2" a="1"/>
  <c r="D73" i="2" s="1"/>
  <c r="D79" i="2" a="1"/>
  <c r="D79" i="2" s="1"/>
  <c r="D86" i="2" a="1"/>
  <c r="D86" i="2" s="1"/>
  <c r="A86" i="2" s="1"/>
  <c r="D81" i="2" a="1"/>
  <c r="D81" i="2" s="1"/>
  <c r="D80" i="2" a="1"/>
  <c r="D80" i="2" s="1"/>
  <c r="D77" i="2" a="1"/>
  <c r="D77" i="2" s="1"/>
  <c r="D75" i="2" a="1"/>
  <c r="D75" i="2" s="1"/>
  <c r="D68" i="2" a="1"/>
  <c r="D68" i="2" s="1"/>
  <c r="D74" i="2" a="1"/>
  <c r="D74" i="2" s="1"/>
  <c r="D76" i="2" a="1"/>
  <c r="D76" i="2" s="1"/>
  <c r="D72" i="2" a="1"/>
  <c r="D72" i="2" s="1"/>
  <c r="D70" i="2" a="1"/>
  <c r="D70" i="2" s="1"/>
  <c r="D71" i="2" a="1"/>
  <c r="D71" i="2" s="1"/>
  <c r="D67" i="2" a="1"/>
  <c r="D67" i="2" s="1"/>
  <c r="D66" i="2" a="1"/>
  <c r="D66" i="2" s="1"/>
  <c r="D69" i="2" a="1"/>
  <c r="D69" i="2" s="1"/>
  <c r="D78" i="2" a="1"/>
  <c r="D78" i="2" s="1"/>
  <c r="D88" i="2" a="1"/>
  <c r="D88" i="2" s="1"/>
  <c r="A88" i="2" s="1"/>
  <c r="D82" i="2" a="1"/>
  <c r="D82" i="2" s="1"/>
  <c r="A82" i="2" s="1"/>
  <c r="D91" i="2" a="1"/>
  <c r="D91" i="2" s="1"/>
  <c r="A91" i="2" s="1"/>
  <c r="D93" i="2" a="1"/>
  <c r="D93" i="2" s="1"/>
  <c r="A93" i="2" s="1"/>
  <c r="D96" i="2" a="1"/>
  <c r="D96" i="2" s="1"/>
  <c r="A96" i="2" s="1"/>
  <c r="D89" i="2" a="1"/>
  <c r="D89" i="2" s="1"/>
  <c r="A89" i="2" s="1"/>
  <c r="D95" i="2" a="1"/>
  <c r="D95" i="2" s="1"/>
  <c r="A95" i="2" s="1"/>
  <c r="D87" i="2" a="1"/>
  <c r="D87" i="2" s="1"/>
  <c r="A87" i="2" s="1"/>
  <c r="D83" i="2" a="1"/>
  <c r="D83" i="2" s="1"/>
  <c r="A83" i="2" s="1"/>
  <c r="D94" i="2" a="1"/>
  <c r="D94" i="2" s="1"/>
  <c r="A94" i="2" s="1"/>
  <c r="D84" i="2" a="1"/>
  <c r="D84" i="2" s="1"/>
  <c r="A84" i="2" s="1"/>
  <c r="D85" i="2" a="1"/>
  <c r="D85" i="2" s="1"/>
  <c r="A85" i="2" s="1"/>
  <c r="D90" i="2" a="1"/>
  <c r="D90" i="2" s="1"/>
  <c r="A90" i="2" s="1"/>
  <c r="D92" i="2" a="1"/>
  <c r="D92" i="2" s="1"/>
  <c r="A92" i="2" s="1"/>
  <c r="D97" i="2" a="1"/>
  <c r="D97" i="2" s="1"/>
  <c r="A97" i="2" s="1"/>
  <c r="D154" i="2" a="1"/>
  <c r="D154" i="2" s="1"/>
  <c r="D147" i="2" a="1"/>
  <c r="D147" i="2" s="1"/>
  <c r="D142" i="2" a="1"/>
  <c r="D142" i="2" s="1"/>
  <c r="D139" i="2" a="1"/>
  <c r="D139" i="2" s="1"/>
  <c r="D137" i="2" a="1"/>
  <c r="D137" i="2" s="1"/>
  <c r="D141" i="2" a="1"/>
  <c r="D141" i="2" s="1"/>
  <c r="D158" i="2" a="1"/>
  <c r="D158" i="2" s="1"/>
  <c r="D152" i="2" a="1"/>
  <c r="D152" i="2" s="1"/>
  <c r="D156" i="2" a="1"/>
  <c r="D156" i="2" s="1"/>
  <c r="D131" i="2" a="1"/>
  <c r="D131" i="2" s="1"/>
  <c r="D159" i="2" a="1"/>
  <c r="D159" i="2" s="1"/>
  <c r="D160" i="2" a="1"/>
  <c r="D160" i="2" s="1"/>
  <c r="D150" i="2" a="1"/>
  <c r="D150" i="2" s="1"/>
  <c r="D133" i="2" a="1"/>
  <c r="D133" i="2" s="1"/>
  <c r="D161" i="2" a="1"/>
  <c r="D161" i="2" s="1"/>
  <c r="D132" i="2" a="1"/>
  <c r="D132" i="2" s="1"/>
  <c r="D146" i="2" a="1"/>
  <c r="D146" i="2" s="1"/>
  <c r="D134" i="2" a="1"/>
  <c r="D134" i="2" s="1"/>
  <c r="D145" i="2" a="1"/>
  <c r="D145" i="2" s="1"/>
  <c r="D140" i="2" a="1"/>
  <c r="D140" i="2" s="1"/>
  <c r="D149" i="2" a="1"/>
  <c r="D149" i="2" s="1"/>
  <c r="D135" i="2" a="1"/>
  <c r="D135" i="2" s="1"/>
  <c r="D144" i="2" a="1"/>
  <c r="D144" i="2" s="1"/>
  <c r="D130" i="2" a="1"/>
  <c r="D130" i="2" s="1"/>
  <c r="D148" i="2" a="1"/>
  <c r="D148" i="2" s="1"/>
  <c r="D151" i="2" a="1"/>
  <c r="D151" i="2" s="1"/>
  <c r="D153" i="2" a="1"/>
  <c r="D153" i="2" s="1"/>
  <c r="D155" i="2" a="1"/>
  <c r="D155" i="2" s="1"/>
  <c r="D138" i="2" a="1"/>
  <c r="D138" i="2" s="1"/>
  <c r="D157" i="2" a="1"/>
  <c r="D157" i="2" s="1"/>
  <c r="D143" i="2" a="1"/>
  <c r="D143" i="2" s="1"/>
  <c r="D136" i="2" a="1"/>
  <c r="D136" i="2" s="1"/>
  <c r="E210" i="2" l="1" a="1"/>
  <c r="E210" i="2" s="1"/>
  <c r="E114" i="2" a="1"/>
  <c r="E114" i="2" s="1"/>
  <c r="E195" i="2" a="1"/>
  <c r="E195" i="2" s="1"/>
  <c r="E212" i="2" a="1"/>
  <c r="E212" i="2" s="1"/>
  <c r="E208" i="2" a="1"/>
  <c r="E208" i="2" s="1"/>
  <c r="E206" i="2" a="1"/>
  <c r="E206" i="2" s="1"/>
  <c r="E214" i="2" a="1"/>
  <c r="E214" i="2" s="1"/>
  <c r="E215" i="2" a="1"/>
  <c r="E215" i="2" s="1"/>
  <c r="E217" i="2" a="1"/>
  <c r="E217" i="2" s="1"/>
  <c r="E203" i="2" a="1"/>
  <c r="E203" i="2" s="1"/>
  <c r="E211" i="2" a="1"/>
  <c r="E211" i="2" s="1"/>
  <c r="E223" i="2" a="1"/>
  <c r="E223" i="2" s="1"/>
  <c r="E198" i="2" a="1"/>
  <c r="E198" i="2" s="1"/>
  <c r="E200" i="2" a="1"/>
  <c r="E200" i="2" s="1"/>
  <c r="E196" i="2" a="1"/>
  <c r="E196" i="2" s="1"/>
  <c r="E213" i="2" a="1"/>
  <c r="E213" i="2" s="1"/>
  <c r="E199" i="2" a="1"/>
  <c r="E199" i="2" s="1"/>
  <c r="E224" i="2" a="1"/>
  <c r="E224" i="2" s="1"/>
  <c r="E219" i="2" a="1"/>
  <c r="E219" i="2" s="1"/>
  <c r="E218" i="2" a="1"/>
  <c r="E218" i="2" s="1"/>
  <c r="E197" i="2" a="1"/>
  <c r="E197" i="2" s="1"/>
  <c r="E225" i="2" a="1"/>
  <c r="E225" i="2" s="1"/>
  <c r="E202" i="2" a="1"/>
  <c r="E202" i="2" s="1"/>
  <c r="E221" i="2" a="1"/>
  <c r="E221" i="2" s="1"/>
  <c r="E205" i="2" a="1"/>
  <c r="E205" i="2" s="1"/>
  <c r="E209" i="2" a="1"/>
  <c r="E209" i="2" s="1"/>
  <c r="E222" i="2" a="1"/>
  <c r="E222" i="2" s="1"/>
  <c r="E220" i="2" a="1"/>
  <c r="E220" i="2" s="1"/>
  <c r="E194" i="2" a="1"/>
  <c r="E194" i="2" s="1"/>
  <c r="E216" i="2" a="1"/>
  <c r="E216" i="2" s="1"/>
  <c r="E207" i="2" a="1"/>
  <c r="E207" i="2" s="1"/>
  <c r="E204" i="2" a="1"/>
  <c r="E204" i="2" s="1"/>
  <c r="E201" i="2" a="1"/>
  <c r="E201" i="2" s="1"/>
  <c r="E187" i="2" a="1"/>
  <c r="E187" i="2" s="1"/>
  <c r="E186" i="2" a="1"/>
  <c r="E186" i="2" s="1"/>
  <c r="E167" i="2" a="1"/>
  <c r="E167" i="2" s="1"/>
  <c r="E184" i="2" a="1"/>
  <c r="E184" i="2" s="1"/>
  <c r="E183" i="2" a="1"/>
  <c r="E183" i="2" s="1"/>
  <c r="E170" i="2" a="1"/>
  <c r="E170" i="2" s="1"/>
  <c r="E180" i="2" a="1"/>
  <c r="E180" i="2" s="1"/>
  <c r="E191" i="2" a="1"/>
  <c r="E191" i="2" s="1"/>
  <c r="E171" i="2" a="1"/>
  <c r="E171" i="2" s="1"/>
  <c r="E169" i="2" a="1"/>
  <c r="E169" i="2" s="1"/>
  <c r="E166" i="2" a="1"/>
  <c r="E166" i="2" s="1"/>
  <c r="E181" i="2" a="1"/>
  <c r="E181" i="2" s="1"/>
  <c r="E173" i="2" a="1"/>
  <c r="E173" i="2" s="1"/>
  <c r="E179" i="2" a="1"/>
  <c r="E179" i="2" s="1"/>
  <c r="E185" i="2" a="1"/>
  <c r="E185" i="2" s="1"/>
  <c r="E174" i="2" a="1"/>
  <c r="E174" i="2" s="1"/>
  <c r="E177" i="2" a="1"/>
  <c r="E177" i="2" s="1"/>
  <c r="E168" i="2" a="1"/>
  <c r="E168" i="2" s="1"/>
  <c r="E164" i="2" a="1"/>
  <c r="E164" i="2" s="1"/>
  <c r="E192" i="2" a="1"/>
  <c r="E192" i="2" s="1"/>
  <c r="E175" i="2" a="1"/>
  <c r="E175" i="2" s="1"/>
  <c r="E182" i="2" a="1"/>
  <c r="E182" i="2" s="1"/>
  <c r="E190" i="2" a="1"/>
  <c r="E190" i="2" s="1"/>
  <c r="E163" i="2" a="1"/>
  <c r="E163" i="2" s="1"/>
  <c r="E188" i="2" a="1"/>
  <c r="E188" i="2" s="1"/>
  <c r="E172" i="2" a="1"/>
  <c r="E172" i="2" s="1"/>
  <c r="E176" i="2" a="1"/>
  <c r="E176" i="2" s="1"/>
  <c r="E189" i="2" a="1"/>
  <c r="E189" i="2" s="1"/>
  <c r="E178" i="2" a="1"/>
  <c r="E178" i="2" s="1"/>
  <c r="E193" i="2" a="1"/>
  <c r="E193" i="2" s="1"/>
  <c r="E165" i="2" a="1"/>
  <c r="E165" i="2" s="1"/>
  <c r="E100" i="2" a="1"/>
  <c r="E100" i="2" s="1"/>
  <c r="E121" i="2" a="1"/>
  <c r="E121" i="2" s="1"/>
  <c r="E129" i="2" a="1"/>
  <c r="E129" i="2" s="1"/>
  <c r="E123" i="2" a="1"/>
  <c r="E123" i="2" s="1"/>
  <c r="E109" i="2" a="1"/>
  <c r="E109" i="2" s="1"/>
  <c r="E119" i="2" a="1"/>
  <c r="E119" i="2" s="1"/>
  <c r="E128" i="2" a="1"/>
  <c r="E128" i="2" s="1"/>
  <c r="E106" i="2" a="1"/>
  <c r="E106" i="2" s="1"/>
  <c r="E112" i="2" a="1"/>
  <c r="E112" i="2" s="1"/>
  <c r="E120" i="2" a="1"/>
  <c r="E120" i="2" s="1"/>
  <c r="E125" i="2" a="1"/>
  <c r="E125" i="2" s="1"/>
  <c r="E104" i="2" a="1"/>
  <c r="E104" i="2" s="1"/>
  <c r="E127" i="2" a="1"/>
  <c r="E127" i="2" s="1"/>
  <c r="E126" i="2" a="1"/>
  <c r="E126" i="2" s="1"/>
  <c r="E116" i="2" a="1"/>
  <c r="E116" i="2" s="1"/>
  <c r="E111" i="2" a="1"/>
  <c r="E111" i="2" s="1"/>
  <c r="E103" i="2" a="1"/>
  <c r="E103" i="2" s="1"/>
  <c r="E98" i="2" a="1"/>
  <c r="E98" i="2" s="1"/>
  <c r="E102" i="2" a="1"/>
  <c r="E102" i="2" s="1"/>
  <c r="E99" i="2" a="1"/>
  <c r="E99" i="2" s="1"/>
  <c r="E118" i="2" a="1"/>
  <c r="E118" i="2" s="1"/>
  <c r="E110" i="2" a="1"/>
  <c r="E110" i="2" s="1"/>
  <c r="E113" i="2" a="1"/>
  <c r="E113" i="2" s="1"/>
  <c r="E108" i="2" a="1"/>
  <c r="E108" i="2" s="1"/>
  <c r="E124" i="2" a="1"/>
  <c r="E124" i="2" s="1"/>
  <c r="E101" i="2" a="1"/>
  <c r="E101" i="2" s="1"/>
  <c r="E115" i="2" a="1"/>
  <c r="E115" i="2" s="1"/>
  <c r="E105" i="2" a="1"/>
  <c r="E105" i="2" s="1"/>
  <c r="E107" i="2" a="1"/>
  <c r="E107" i="2" s="1"/>
  <c r="E122" i="2" a="1"/>
  <c r="E122" i="2" s="1"/>
  <c r="E117" i="2" a="1"/>
  <c r="E117" i="2" s="1"/>
  <c r="D190" i="2" a="1"/>
  <c r="D190" i="2" s="1"/>
  <c r="A190" i="2" s="1"/>
  <c r="D175" i="2" a="1"/>
  <c r="D175" i="2" s="1"/>
  <c r="A175" i="2" s="1"/>
  <c r="D170" i="2" a="1"/>
  <c r="D170" i="2" s="1"/>
  <c r="A170" i="2" s="1"/>
  <c r="D176" i="2" a="1"/>
  <c r="D176" i="2" s="1"/>
  <c r="A176" i="2" s="1"/>
  <c r="D166" i="2" a="1"/>
  <c r="D166" i="2" s="1"/>
  <c r="A166" i="2" s="1"/>
  <c r="D185" i="2" a="1"/>
  <c r="D185" i="2" s="1"/>
  <c r="A185" i="2" s="1"/>
  <c r="D162" i="2" a="1"/>
  <c r="D162" i="2" s="1"/>
  <c r="A162" i="2" s="1"/>
  <c r="D188" i="2" a="1"/>
  <c r="D188" i="2" s="1"/>
  <c r="A188" i="2" s="1"/>
  <c r="D167" i="2" a="1"/>
  <c r="D167" i="2" s="1"/>
  <c r="A167" i="2" s="1"/>
  <c r="D183" i="2" a="1"/>
  <c r="D183" i="2" s="1"/>
  <c r="A183" i="2" s="1"/>
  <c r="D177" i="2" a="1"/>
  <c r="D177" i="2" s="1"/>
  <c r="A177" i="2" s="1"/>
  <c r="D189" i="2" a="1"/>
  <c r="D189" i="2" s="1"/>
  <c r="A189" i="2" s="1"/>
  <c r="D181" i="2" a="1"/>
  <c r="D181" i="2" s="1"/>
  <c r="A181" i="2" s="1"/>
  <c r="D178" i="2" a="1"/>
  <c r="D178" i="2" s="1"/>
  <c r="A178" i="2" s="1"/>
  <c r="D171" i="2" a="1"/>
  <c r="D171" i="2" s="1"/>
  <c r="A171" i="2" s="1"/>
  <c r="D182" i="2" a="1"/>
  <c r="D182" i="2" s="1"/>
  <c r="A182" i="2" s="1"/>
  <c r="D172" i="2" a="1"/>
  <c r="D172" i="2" s="1"/>
  <c r="A172" i="2" s="1"/>
  <c r="D186" i="2" a="1"/>
  <c r="D186" i="2" s="1"/>
  <c r="A186" i="2" s="1"/>
  <c r="D165" i="2" a="1"/>
  <c r="D165" i="2" s="1"/>
  <c r="A165" i="2" s="1"/>
  <c r="D168" i="2" a="1"/>
  <c r="D168" i="2" s="1"/>
  <c r="A168" i="2" s="1"/>
  <c r="D169" i="2" a="1"/>
  <c r="D169" i="2" s="1"/>
  <c r="A169" i="2" s="1"/>
  <c r="D174" i="2" a="1"/>
  <c r="D174" i="2" s="1"/>
  <c r="A174" i="2" s="1"/>
  <c r="D173" i="2" a="1"/>
  <c r="D173" i="2" s="1"/>
  <c r="A173" i="2" s="1"/>
  <c r="D163" i="2" a="1"/>
  <c r="D163" i="2" s="1"/>
  <c r="A163" i="2" s="1"/>
  <c r="D179" i="2" a="1"/>
  <c r="D179" i="2" s="1"/>
  <c r="A179" i="2" s="1"/>
  <c r="D187" i="2" a="1"/>
  <c r="D187" i="2" s="1"/>
  <c r="A187" i="2" s="1"/>
  <c r="D164" i="2" a="1"/>
  <c r="D164" i="2" s="1"/>
  <c r="A164" i="2" s="1"/>
  <c r="D191" i="2" a="1"/>
  <c r="D191" i="2" s="1"/>
  <c r="A191" i="2" s="1"/>
  <c r="D184" i="2" a="1"/>
  <c r="D184" i="2" s="1"/>
  <c r="A184" i="2" s="1"/>
  <c r="D192" i="2" a="1"/>
  <c r="D192" i="2" s="1"/>
  <c r="A192" i="2" s="1"/>
  <c r="D180" i="2" a="1"/>
  <c r="D180" i="2" s="1"/>
  <c r="A180" i="2" s="1"/>
  <c r="D193" i="2" a="1"/>
  <c r="D193" i="2" s="1"/>
  <c r="A193" i="2" s="1"/>
  <c r="D210" i="2" a="1"/>
  <c r="D210" i="2" s="1"/>
  <c r="A210" i="2" s="1"/>
  <c r="D211" i="2" a="1"/>
  <c r="D211" i="2" s="1"/>
  <c r="A211" i="2" s="1"/>
  <c r="D195" i="2" a="1"/>
  <c r="D195" i="2" s="1"/>
  <c r="A195" i="2" s="1"/>
  <c r="D217" i="2" a="1"/>
  <c r="D217" i="2" s="1"/>
  <c r="A217" i="2" s="1"/>
  <c r="D198" i="2" a="1"/>
  <c r="D198" i="2" s="1"/>
  <c r="A198" i="2" s="1"/>
  <c r="D215" i="2" a="1"/>
  <c r="D215" i="2" s="1"/>
  <c r="A215" i="2" s="1"/>
  <c r="D204" i="2" a="1"/>
  <c r="D204" i="2" s="1"/>
  <c r="A204" i="2" s="1"/>
  <c r="D196" i="2" a="1"/>
  <c r="D196" i="2" s="1"/>
  <c r="A196" i="2" s="1"/>
  <c r="D201" i="2" a="1"/>
  <c r="D201" i="2" s="1"/>
  <c r="A201" i="2" s="1"/>
  <c r="D207" i="2" a="1"/>
  <c r="D207" i="2" s="1"/>
  <c r="A207" i="2" s="1"/>
  <c r="D202" i="2" a="1"/>
  <c r="D202" i="2" s="1"/>
  <c r="A202" i="2" s="1"/>
  <c r="D219" i="2" a="1"/>
  <c r="D219" i="2" s="1"/>
  <c r="A219" i="2" s="1"/>
  <c r="D212" i="2" a="1"/>
  <c r="D212" i="2" s="1"/>
  <c r="A212" i="2" s="1"/>
  <c r="D203" i="2" a="1"/>
  <c r="D203" i="2" s="1"/>
  <c r="A203" i="2" s="1"/>
  <c r="D205" i="2" a="1"/>
  <c r="D205" i="2" s="1"/>
  <c r="A205" i="2" s="1"/>
  <c r="D222" i="2" a="1"/>
  <c r="D222" i="2" s="1"/>
  <c r="A222" i="2" s="1"/>
  <c r="D221" i="2" a="1"/>
  <c r="D221" i="2" s="1"/>
  <c r="A221" i="2" s="1"/>
  <c r="D220" i="2" a="1"/>
  <c r="D220" i="2" s="1"/>
  <c r="A220" i="2" s="1"/>
  <c r="D194" i="2" a="1"/>
  <c r="D194" i="2" s="1"/>
  <c r="A194" i="2" s="1"/>
  <c r="D213" i="2" a="1"/>
  <c r="D213" i="2" s="1"/>
  <c r="A213" i="2" s="1"/>
  <c r="D208" i="2" a="1"/>
  <c r="D208" i="2" s="1"/>
  <c r="A208" i="2" s="1"/>
  <c r="D199" i="2" a="1"/>
  <c r="D199" i="2" s="1"/>
  <c r="A199" i="2" s="1"/>
  <c r="D209" i="2" a="1"/>
  <c r="D209" i="2" s="1"/>
  <c r="A209" i="2" s="1"/>
  <c r="D214" i="2" a="1"/>
  <c r="D214" i="2" s="1"/>
  <c r="A214" i="2" s="1"/>
  <c r="D206" i="2" a="1"/>
  <c r="D206" i="2" s="1"/>
  <c r="A206" i="2" s="1"/>
  <c r="D224" i="2" a="1"/>
  <c r="D224" i="2" s="1"/>
  <c r="A224" i="2" s="1"/>
  <c r="D197" i="2" a="1"/>
  <c r="D197" i="2" s="1"/>
  <c r="A197" i="2" s="1"/>
  <c r="D223" i="2" a="1"/>
  <c r="D223" i="2" s="1"/>
  <c r="A223" i="2" s="1"/>
  <c r="D225" i="2" a="1"/>
  <c r="D225" i="2" s="1"/>
  <c r="A225" i="2" s="1"/>
  <c r="D218" i="2" a="1"/>
  <c r="D218" i="2" s="1"/>
  <c r="A218" i="2" s="1"/>
  <c r="D200" i="2" a="1"/>
  <c r="D200" i="2" s="1"/>
  <c r="A200" i="2" s="1"/>
  <c r="D216" i="2" a="1"/>
  <c r="D216" i="2" s="1"/>
  <c r="A216" i="2" s="1"/>
  <c r="D116" i="2" a="1"/>
  <c r="D116" i="2" s="1"/>
  <c r="A116" i="2" s="1"/>
  <c r="D127" i="2" a="1"/>
  <c r="D127" i="2" s="1"/>
  <c r="A127" i="2" s="1"/>
  <c r="D126" i="2" a="1"/>
  <c r="D126" i="2" s="1"/>
  <c r="A126" i="2" s="1"/>
  <c r="D120" i="2" a="1"/>
  <c r="D120" i="2" s="1"/>
  <c r="A120" i="2" s="1"/>
  <c r="D104" i="2" a="1"/>
  <c r="D104" i="2" s="1"/>
  <c r="A104" i="2" s="1"/>
  <c r="D100" i="2" a="1"/>
  <c r="D100" i="2" s="1"/>
  <c r="A100" i="2" s="1"/>
  <c r="D107" i="2" a="1"/>
  <c r="D107" i="2" s="1"/>
  <c r="A107" i="2" s="1"/>
  <c r="D114" i="2" a="1"/>
  <c r="D114" i="2" s="1"/>
  <c r="A114" i="2" s="1"/>
  <c r="D113" i="2" a="1"/>
  <c r="D113" i="2" s="1"/>
  <c r="A113" i="2" s="1"/>
  <c r="D102" i="2" a="1"/>
  <c r="D102" i="2" s="1"/>
  <c r="A102" i="2" s="1"/>
  <c r="D110" i="2" a="1"/>
  <c r="D110" i="2" s="1"/>
  <c r="A110" i="2" s="1"/>
  <c r="D121" i="2" a="1"/>
  <c r="D121" i="2" s="1"/>
  <c r="A121" i="2" s="1"/>
  <c r="D99" i="2" a="1"/>
  <c r="D99" i="2" s="1"/>
  <c r="A99" i="2" s="1"/>
  <c r="D119" i="2" a="1"/>
  <c r="D119" i="2" s="1"/>
  <c r="A119" i="2" s="1"/>
  <c r="D118" i="2" a="1"/>
  <c r="D118" i="2" s="1"/>
  <c r="A118" i="2" s="1"/>
  <c r="D117" i="2" a="1"/>
  <c r="D117" i="2" s="1"/>
  <c r="A117" i="2" s="1"/>
  <c r="D124" i="2" a="1"/>
  <c r="D124" i="2" s="1"/>
  <c r="A124" i="2" s="1"/>
  <c r="D128" i="2" a="1"/>
  <c r="D128" i="2" s="1"/>
  <c r="A128" i="2" s="1"/>
  <c r="D112" i="2" a="1"/>
  <c r="D112" i="2" s="1"/>
  <c r="A112" i="2" s="1"/>
  <c r="D101" i="2" a="1"/>
  <c r="D101" i="2" s="1"/>
  <c r="A101" i="2" s="1"/>
  <c r="D122" i="2" a="1"/>
  <c r="D122" i="2" s="1"/>
  <c r="A122" i="2" s="1"/>
  <c r="D129" i="2" a="1"/>
  <c r="D129" i="2" s="1"/>
  <c r="A129" i="2" s="1"/>
  <c r="D106" i="2" a="1"/>
  <c r="D106" i="2" s="1"/>
  <c r="A106" i="2" s="1"/>
  <c r="D108" i="2" a="1"/>
  <c r="D108" i="2" s="1"/>
  <c r="A108" i="2" s="1"/>
  <c r="D105" i="2" a="1"/>
  <c r="D105" i="2" s="1"/>
  <c r="A105" i="2" s="1"/>
  <c r="D109" i="2" a="1"/>
  <c r="D109" i="2" s="1"/>
  <c r="A109" i="2" s="1"/>
  <c r="D125" i="2" a="1"/>
  <c r="D125" i="2" s="1"/>
  <c r="A125" i="2" s="1"/>
  <c r="D115" i="2" a="1"/>
  <c r="D115" i="2" s="1"/>
  <c r="A115" i="2" s="1"/>
  <c r="D103" i="2" a="1"/>
  <c r="D103" i="2" s="1"/>
  <c r="A103" i="2" s="1"/>
  <c r="D111" i="2" a="1"/>
  <c r="D111" i="2" s="1"/>
  <c r="A111" i="2" s="1"/>
  <c r="D98" i="2" a="1"/>
  <c r="D98" i="2" s="1"/>
  <c r="A98" i="2" s="1"/>
  <c r="D123" i="2" a="1"/>
  <c r="D123" i="2" s="1"/>
  <c r="A123" i="2" s="1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F10" i="3"/>
  <c r="F6" i="3"/>
  <c r="F4" i="3"/>
  <c r="F13" i="3"/>
  <c r="F17" i="3"/>
  <c r="F15" i="3"/>
  <c r="F7" i="3"/>
  <c r="N15" i="3"/>
  <c r="N17" i="3"/>
  <c r="O17" i="3" s="1"/>
  <c r="N13" i="3"/>
  <c r="O13" i="3" s="1"/>
  <c r="J17" i="3" l="1"/>
  <c r="I17" i="3"/>
  <c r="J13" i="3"/>
  <c r="I13" i="3"/>
  <c r="J10" i="3"/>
  <c r="I10" i="3"/>
  <c r="J15" i="3"/>
  <c r="I15" i="3"/>
  <c r="J4" i="3"/>
  <c r="I4" i="3"/>
  <c r="J6" i="3"/>
  <c r="I6" i="3"/>
  <c r="J7" i="3"/>
  <c r="I7" i="3"/>
  <c r="K7" i="3"/>
  <c r="K15" i="3"/>
  <c r="K17" i="3"/>
  <c r="A17" i="3" s="1"/>
  <c r="K13" i="3"/>
  <c r="K4" i="3"/>
  <c r="K6" i="3"/>
  <c r="K10" i="3"/>
  <c r="H17" i="3"/>
  <c r="H13" i="3"/>
  <c r="N4" i="3"/>
  <c r="O4" i="3" s="1"/>
  <c r="N6" i="3"/>
  <c r="N10" i="3"/>
  <c r="N7" i="3"/>
  <c r="O15" i="3"/>
  <c r="H15" i="3" s="1"/>
  <c r="T3" i="1"/>
  <c r="T15" i="1"/>
  <c r="T5" i="1"/>
  <c r="T7" i="1"/>
  <c r="T4" i="1"/>
  <c r="T16" i="1"/>
  <c r="AA4" i="1"/>
  <c r="AA16" i="1"/>
  <c r="AA3" i="1"/>
  <c r="AA15" i="1"/>
  <c r="AA5" i="1"/>
  <c r="AA7" i="1"/>
  <c r="F4" i="1"/>
  <c r="F16" i="1"/>
  <c r="J16" i="1" s="1"/>
  <c r="F3" i="1"/>
  <c r="J3" i="1" s="1"/>
  <c r="F15" i="1"/>
  <c r="J15" i="1" s="1"/>
  <c r="F5" i="1"/>
  <c r="F7" i="1"/>
  <c r="J7" i="1" s="1"/>
  <c r="A15" i="3" l="1"/>
  <c r="A16" i="3"/>
  <c r="A10" i="3"/>
  <c r="A11" i="3"/>
  <c r="J4" i="1"/>
  <c r="J5" i="1"/>
  <c r="A9" i="3"/>
  <c r="A3" i="3"/>
  <c r="A13" i="3"/>
  <c r="A14" i="3"/>
  <c r="A6" i="3"/>
  <c r="I3" i="1"/>
  <c r="I16" i="1"/>
  <c r="I5" i="1"/>
  <c r="I15" i="1"/>
  <c r="I4" i="1"/>
  <c r="I7" i="1"/>
  <c r="K4" i="1"/>
  <c r="K7" i="1"/>
  <c r="K5" i="1"/>
  <c r="K15" i="1"/>
  <c r="A18" i="1" s="1"/>
  <c r="K16" i="1"/>
  <c r="K3" i="1"/>
  <c r="O6" i="3"/>
  <c r="H6" i="3" s="1"/>
  <c r="H4" i="3"/>
  <c r="O7" i="3"/>
  <c r="H7" i="3" s="1"/>
  <c r="O10" i="3"/>
  <c r="H10" i="3" s="1"/>
  <c r="N4" i="1"/>
  <c r="O4" i="1" s="1"/>
  <c r="N7" i="1"/>
  <c r="O7" i="1" s="1"/>
  <c r="N15" i="1"/>
  <c r="O15" i="1" s="1"/>
  <c r="N3" i="1"/>
  <c r="O3" i="1" s="1"/>
  <c r="N5" i="1"/>
  <c r="O5" i="1" s="1"/>
  <c r="N16" i="1"/>
  <c r="O16" i="1" s="1"/>
  <c r="A21" i="1" l="1"/>
  <c r="A10" i="1"/>
  <c r="A12" i="1"/>
  <c r="A19" i="1"/>
  <c r="A8" i="1"/>
  <c r="A17" i="1"/>
  <c r="A7" i="1"/>
  <c r="A15" i="1"/>
  <c r="A11" i="1"/>
  <c r="A16" i="1"/>
  <c r="A9" i="1"/>
  <c r="A6" i="1"/>
  <c r="H4" i="1"/>
  <c r="H7" i="1"/>
  <c r="H3" i="1"/>
  <c r="H16" i="1"/>
  <c r="A4" i="1" s="1"/>
  <c r="A14" i="1"/>
  <c r="H15" i="1"/>
  <c r="H5" i="1"/>
  <c r="A3" i="1" l="1"/>
  <c r="A5" i="1"/>
  <c r="A13" i="1"/>
  <c r="A12" i="3"/>
  <c r="E62" i="2" l="1" a="1"/>
  <c r="E62" i="2" s="1"/>
  <c r="E41" i="2" a="1"/>
  <c r="E41" i="2" s="1"/>
  <c r="E58" i="2" a="1"/>
  <c r="E58" i="2" s="1"/>
  <c r="E59" i="2" a="1"/>
  <c r="E59" i="2" s="1"/>
  <c r="E52" i="2" a="1"/>
  <c r="E52" i="2" s="1"/>
  <c r="E65" i="2" a="1"/>
  <c r="E65" i="2" s="1"/>
  <c r="E37" i="2" a="1"/>
  <c r="E37" i="2" s="1"/>
  <c r="E48" i="2" a="1"/>
  <c r="E48" i="2" s="1"/>
  <c r="E57" i="2" a="1"/>
  <c r="E57" i="2" s="1"/>
  <c r="D34" i="2" a="1"/>
  <c r="D34" i="2" s="1"/>
  <c r="A34" i="2" s="1"/>
  <c r="E42" i="2" a="1"/>
  <c r="E42" i="2" s="1"/>
  <c r="E39" i="2" a="1"/>
  <c r="E39" i="2" s="1"/>
  <c r="E44" i="2" a="1"/>
  <c r="E44" i="2" s="1"/>
  <c r="E63" i="2" a="1"/>
  <c r="E63" i="2" s="1"/>
  <c r="E35" i="2" a="1"/>
  <c r="E35" i="2" s="1"/>
  <c r="E34" i="2" a="1"/>
  <c r="E34" i="2" s="1"/>
  <c r="E38" i="2" a="1"/>
  <c r="E38" i="2" s="1"/>
  <c r="E55" i="2" a="1"/>
  <c r="E55" i="2" s="1"/>
  <c r="E40" i="2" a="1"/>
  <c r="E40" i="2" s="1"/>
  <c r="E46" i="2" a="1"/>
  <c r="E46" i="2" s="1"/>
  <c r="E64" i="2" a="1"/>
  <c r="E64" i="2" s="1"/>
  <c r="E49" i="2" a="1"/>
  <c r="E49" i="2" s="1"/>
  <c r="E61" i="2" a="1"/>
  <c r="E61" i="2" s="1"/>
  <c r="E51" i="2" a="1"/>
  <c r="E51" i="2" s="1"/>
  <c r="E56" i="2" a="1"/>
  <c r="E56" i="2" s="1"/>
  <c r="E36" i="2" a="1"/>
  <c r="E36" i="2" s="1"/>
  <c r="E54" i="2" a="1"/>
  <c r="E54" i="2" s="1"/>
  <c r="E45" i="2" a="1"/>
  <c r="E45" i="2" s="1"/>
  <c r="E50" i="2" a="1"/>
  <c r="E50" i="2" s="1"/>
  <c r="E47" i="2" a="1"/>
  <c r="E47" i="2" s="1"/>
  <c r="E60" i="2" a="1"/>
  <c r="E60" i="2" s="1"/>
  <c r="E53" i="2" a="1"/>
  <c r="E53" i="2" s="1"/>
  <c r="E43" i="2" a="1"/>
  <c r="E43" i="2" s="1"/>
  <c r="A7" i="3"/>
  <c r="A5" i="3"/>
  <c r="A8" i="3"/>
  <c r="A4" i="3"/>
  <c r="D59" i="2" a="1"/>
  <c r="D59" i="2" s="1"/>
  <c r="A59" i="2" s="1"/>
  <c r="D46" i="2" a="1"/>
  <c r="D46" i="2" s="1"/>
  <c r="A46" i="2" s="1"/>
  <c r="D43" i="2" a="1"/>
  <c r="D43" i="2" s="1"/>
  <c r="A43" i="2" s="1"/>
  <c r="D42" i="2" a="1"/>
  <c r="D42" i="2" s="1"/>
  <c r="A42" i="2" s="1"/>
  <c r="D58" i="2" a="1"/>
  <c r="D58" i="2" s="1"/>
  <c r="A58" i="2" s="1"/>
  <c r="D57" i="2" a="1"/>
  <c r="D57" i="2" s="1"/>
  <c r="A57" i="2" s="1"/>
  <c r="D65" i="2" a="1"/>
  <c r="D65" i="2" s="1"/>
  <c r="A65" i="2" s="1"/>
  <c r="D37" i="2" a="1"/>
  <c r="D37" i="2" s="1"/>
  <c r="A37" i="2" s="1"/>
  <c r="D44" i="2" a="1"/>
  <c r="D44" i="2" s="1"/>
  <c r="A44" i="2" s="1"/>
  <c r="D56" i="2" a="1"/>
  <c r="D56" i="2" s="1"/>
  <c r="A56" i="2" s="1"/>
  <c r="D60" i="2" a="1"/>
  <c r="D60" i="2" s="1"/>
  <c r="A60" i="2" s="1"/>
  <c r="D54" i="2" a="1"/>
  <c r="D54" i="2" s="1"/>
  <c r="A54" i="2" s="1"/>
  <c r="D62" i="2" a="1"/>
  <c r="D62" i="2" s="1"/>
  <c r="A62" i="2" s="1"/>
  <c r="D41" i="2" a="1"/>
  <c r="D41" i="2" s="1"/>
  <c r="A41" i="2" s="1"/>
  <c r="D55" i="2" a="1"/>
  <c r="D55" i="2" s="1"/>
  <c r="A55" i="2" s="1"/>
  <c r="D50" i="2" a="1"/>
  <c r="D50" i="2" s="1"/>
  <c r="A50" i="2" s="1"/>
  <c r="D35" i="2" a="1"/>
  <c r="D35" i="2" s="1"/>
  <c r="A35" i="2" s="1"/>
  <c r="D40" i="2" a="1"/>
  <c r="D40" i="2" s="1"/>
  <c r="A40" i="2" s="1"/>
  <c r="D49" i="2" a="1"/>
  <c r="D49" i="2" s="1"/>
  <c r="A49" i="2" s="1"/>
  <c r="D36" i="2" a="1"/>
  <c r="D36" i="2" s="1"/>
  <c r="A36" i="2" s="1"/>
  <c r="D64" i="2" a="1"/>
  <c r="D64" i="2" s="1"/>
  <c r="A64" i="2" s="1"/>
  <c r="D51" i="2" a="1"/>
  <c r="D51" i="2" s="1"/>
  <c r="A51" i="2" s="1"/>
  <c r="D63" i="2" a="1"/>
  <c r="D63" i="2" s="1"/>
  <c r="A63" i="2" s="1"/>
  <c r="D52" i="2" a="1"/>
  <c r="D52" i="2" s="1"/>
  <c r="A52" i="2" s="1"/>
  <c r="D38" i="2" a="1"/>
  <c r="D38" i="2" s="1"/>
  <c r="A38" i="2" s="1"/>
  <c r="D53" i="2" a="1"/>
  <c r="D53" i="2" s="1"/>
  <c r="A53" i="2" s="1"/>
  <c r="D47" i="2" a="1"/>
  <c r="D47" i="2" s="1"/>
  <c r="A47" i="2" s="1"/>
  <c r="D45" i="2" a="1"/>
  <c r="D45" i="2" s="1"/>
  <c r="A45" i="2" s="1"/>
  <c r="D48" i="2" a="1"/>
  <c r="D48" i="2" s="1"/>
  <c r="A48" i="2" s="1"/>
  <c r="D61" i="2" a="1"/>
  <c r="D61" i="2" s="1"/>
  <c r="A61" i="2" s="1"/>
  <c r="D39" i="2" a="1"/>
  <c r="D39" i="2" s="1"/>
  <c r="A39" i="2" s="1"/>
  <c r="E3" i="2" l="1" a="1"/>
  <c r="E3" i="2" s="1"/>
  <c r="E10" i="2" a="1"/>
  <c r="E10" i="2" s="1"/>
  <c r="E16" i="2" a="1"/>
  <c r="E16" i="2" s="1"/>
  <c r="E29" i="2" a="1"/>
  <c r="E29" i="2" s="1"/>
  <c r="E6" i="2" a="1"/>
  <c r="E6" i="2" s="1"/>
  <c r="E32" i="2" a="1"/>
  <c r="E32" i="2" s="1"/>
  <c r="E4" i="2" a="1"/>
  <c r="E4" i="2" s="1"/>
  <c r="E17" i="2" a="1"/>
  <c r="E17" i="2" s="1"/>
  <c r="E23" i="2" a="1"/>
  <c r="E23" i="2" s="1"/>
  <c r="E30" i="2" a="1"/>
  <c r="E30" i="2" s="1"/>
  <c r="E12" i="2" a="1"/>
  <c r="E12" i="2" s="1"/>
  <c r="E9" i="2" a="1"/>
  <c r="E9" i="2" s="1"/>
  <c r="E5" i="2" a="1"/>
  <c r="E5" i="2" s="1"/>
  <c r="E11" i="2" a="1"/>
  <c r="E11" i="2" s="1"/>
  <c r="E18" i="2" a="1"/>
  <c r="E18" i="2" s="1"/>
  <c r="E24" i="2" a="1"/>
  <c r="E24" i="2" s="1"/>
  <c r="E31" i="2" a="1"/>
  <c r="E31" i="2" s="1"/>
  <c r="E25" i="2" a="1"/>
  <c r="E25" i="2" s="1"/>
  <c r="E22" i="2" a="1"/>
  <c r="E22" i="2" s="1"/>
  <c r="E13" i="2" a="1"/>
  <c r="E13" i="2" s="1"/>
  <c r="E19" i="2" a="1"/>
  <c r="E19" i="2" s="1"/>
  <c r="E26" i="2" a="1"/>
  <c r="E26" i="2" s="1"/>
  <c r="E33" i="2" a="1"/>
  <c r="E33" i="2" s="1"/>
  <c r="E8" i="2" a="1"/>
  <c r="E8" i="2" s="1"/>
  <c r="E27" i="2" a="1"/>
  <c r="E27" i="2" s="1"/>
  <c r="E28" i="2" a="1"/>
  <c r="E28" i="2" s="1"/>
  <c r="E7" i="2" a="1"/>
  <c r="E7" i="2" s="1"/>
  <c r="E14" i="2" a="1"/>
  <c r="E14" i="2" s="1"/>
  <c r="E20" i="2" a="1"/>
  <c r="E20" i="2" s="1"/>
  <c r="E2" i="2" a="1"/>
  <c r="E2" i="2" s="1"/>
  <c r="E21" i="2" a="1"/>
  <c r="E21" i="2" s="1"/>
  <c r="E15" i="2" a="1"/>
  <c r="E15" i="2" s="1"/>
  <c r="D26" i="2" a="1"/>
  <c r="D26" i="2" s="1"/>
  <c r="A26" i="2" s="1"/>
  <c r="D18" i="2" a="1"/>
  <c r="D18" i="2" s="1"/>
  <c r="A18" i="2" s="1"/>
  <c r="D25" i="2" a="1"/>
  <c r="D25" i="2" s="1"/>
  <c r="A25" i="2" s="1"/>
  <c r="D4" i="2" a="1"/>
  <c r="D4" i="2" s="1"/>
  <c r="A4" i="2" s="1"/>
  <c r="D16" i="2" a="1"/>
  <c r="D16" i="2" s="1"/>
  <c r="A16" i="2" s="1"/>
  <c r="D2" i="2" a="1"/>
  <c r="D2" i="2" s="1"/>
  <c r="A2" i="2" s="1"/>
  <c r="D32" i="2" a="1"/>
  <c r="D32" i="2" s="1"/>
  <c r="A32" i="2" s="1"/>
  <c r="D24" i="2" a="1"/>
  <c r="D24" i="2" s="1"/>
  <c r="A24" i="2" s="1"/>
  <c r="D17" i="2" a="1"/>
  <c r="D17" i="2" s="1"/>
  <c r="A17" i="2" s="1"/>
  <c r="D21" i="2" a="1"/>
  <c r="D21" i="2" s="1"/>
  <c r="A21" i="2" s="1"/>
  <c r="D3" i="2" a="1"/>
  <c r="D3" i="2" s="1"/>
  <c r="A3" i="2" s="1"/>
  <c r="D33" i="2" a="1"/>
  <c r="D33" i="2" s="1"/>
  <c r="A33" i="2" s="1"/>
  <c r="D9" i="2" a="1"/>
  <c r="D9" i="2" s="1"/>
  <c r="A9" i="2" s="1"/>
  <c r="D5" i="2" a="1"/>
  <c r="D5" i="2" s="1"/>
  <c r="A5" i="2" s="1"/>
  <c r="D11" i="2" a="1"/>
  <c r="D11" i="2" s="1"/>
  <c r="A11" i="2" s="1"/>
  <c r="D12" i="2" a="1"/>
  <c r="D12" i="2" s="1"/>
  <c r="A12" i="2" s="1"/>
  <c r="D7" i="2" a="1"/>
  <c r="D7" i="2" s="1"/>
  <c r="A7" i="2" s="1"/>
  <c r="D28" i="2" a="1"/>
  <c r="D28" i="2" s="1"/>
  <c r="A28" i="2" s="1"/>
  <c r="D13" i="2" a="1"/>
  <c r="D13" i="2" s="1"/>
  <c r="A13" i="2" s="1"/>
  <c r="D20" i="2" a="1"/>
  <c r="D20" i="2" s="1"/>
  <c r="A20" i="2" s="1"/>
  <c r="D23" i="2" a="1"/>
  <c r="D23" i="2" s="1"/>
  <c r="A23" i="2" s="1"/>
  <c r="D30" i="2" a="1"/>
  <c r="D30" i="2" s="1"/>
  <c r="A30" i="2" s="1"/>
  <c r="D8" i="2" a="1"/>
  <c r="D8" i="2" s="1"/>
  <c r="A8" i="2" s="1"/>
  <c r="D15" i="2" a="1"/>
  <c r="D15" i="2" s="1"/>
  <c r="A15" i="2" s="1"/>
  <c r="D29" i="2" a="1"/>
  <c r="D29" i="2" s="1"/>
  <c r="A29" i="2" s="1"/>
  <c r="D27" i="2" a="1"/>
  <c r="D27" i="2" s="1"/>
  <c r="A27" i="2" s="1"/>
  <c r="D31" i="2" a="1"/>
  <c r="D31" i="2" s="1"/>
  <c r="A31" i="2" s="1"/>
  <c r="D6" i="2" a="1"/>
  <c r="D6" i="2" s="1"/>
  <c r="A6" i="2" s="1"/>
  <c r="D19" i="2" a="1"/>
  <c r="D19" i="2" s="1"/>
  <c r="A19" i="2" s="1"/>
  <c r="D10" i="2" a="1"/>
  <c r="D10" i="2" s="1"/>
  <c r="A10" i="2" s="1"/>
  <c r="D14" i="2" a="1"/>
  <c r="D14" i="2" s="1"/>
  <c r="A14" i="2" s="1"/>
  <c r="D22" i="2" a="1"/>
  <c r="D22" i="2" s="1"/>
  <c r="A22" i="2" s="1"/>
</calcChain>
</file>

<file path=xl/sharedStrings.xml><?xml version="1.0" encoding="utf-8"?>
<sst xmlns="http://schemas.openxmlformats.org/spreadsheetml/2006/main" count="764" uniqueCount="160">
  <si>
    <t>Name</t>
  </si>
  <si>
    <t>Province</t>
  </si>
  <si>
    <t>Club</t>
  </si>
  <si>
    <t>ON</t>
  </si>
  <si>
    <t>BC</t>
  </si>
  <si>
    <t>AB</t>
  </si>
  <si>
    <t>Calgary Gymnastics Centre</t>
  </si>
  <si>
    <t>Shasta Trampoline</t>
  </si>
  <si>
    <t>QC</t>
  </si>
  <si>
    <t>Trampoline Intercité</t>
  </si>
  <si>
    <t>Dynamix</t>
  </si>
  <si>
    <t>PHANEUF, Zoe</t>
  </si>
  <si>
    <t>Whistler Gymnastics</t>
  </si>
  <si>
    <t>Kamloops Gymnastics and Trampoline Centre</t>
  </si>
  <si>
    <t>ANAKA, Ashley</t>
  </si>
  <si>
    <t>SK</t>
  </si>
  <si>
    <t>YOB</t>
  </si>
  <si>
    <t>Age Group</t>
  </si>
  <si>
    <t>Compulsory</t>
  </si>
  <si>
    <t>Compulsory DD</t>
  </si>
  <si>
    <t>Optional</t>
  </si>
  <si>
    <t>Optional DD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</si>
  <si>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</si>
  <si>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</si>
  <si>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</si>
  <si>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</si>
  <si>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</si>
  <si>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</si>
  <si>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</si>
  <si>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</si>
  <si>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</si>
  <si>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DOHAN, Shelynn</t>
  </si>
  <si>
    <t>BERTHIAUME, Sara-Jade</t>
  </si>
  <si>
    <t>FLYNN, Gabriella</t>
  </si>
  <si>
    <t>Best Other Voluntary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</si>
  <si>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</si>
  <si>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</si>
  <si>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</si>
  <si>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</si>
  <si>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</si>
  <si>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</si>
  <si>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</si>
  <si>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</si>
  <si>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</si>
  <si>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</si>
  <si>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</si>
  <si>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</si>
  <si>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</si>
  <si>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</si>
  <si>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DON, Alexander</t>
  </si>
  <si>
    <t>Phoenix Gymnastics Centre</t>
  </si>
  <si>
    <t>NB</t>
  </si>
  <si>
    <t>Kingswood Gymnastics</t>
  </si>
  <si>
    <t>MANCINI, Michael</t>
  </si>
  <si>
    <t>Grand River Gymmies</t>
  </si>
  <si>
    <t>RICHARD, Dexter</t>
  </si>
  <si>
    <t>Kamloops Gymnastics and Trampoline Club</t>
  </si>
  <si>
    <t>Oakville Gymnastics Club</t>
  </si>
  <si>
    <t>CGC</t>
  </si>
  <si>
    <t>Kamloops Gymnastics and Trampoline</t>
  </si>
  <si>
    <t>Best Prelim</t>
  </si>
  <si>
    <t>Best Other Round</t>
  </si>
  <si>
    <t>Prelims DD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</si>
  <si>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</si>
  <si>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</si>
  <si>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</si>
  <si>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</si>
  <si>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</si>
  <si>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</si>
  <si>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</si>
  <si>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</si>
  <si>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</si>
  <si>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Tumblers</t>
  </si>
  <si>
    <t>NAGANO, Mariko</t>
  </si>
  <si>
    <t>ANDERSON, Julie</t>
  </si>
  <si>
    <t>HARDJOWASITO, Claire</t>
  </si>
  <si>
    <t>LOVE, Ethan</t>
  </si>
  <si>
    <t>KARWACKI, Jordan</t>
  </si>
  <si>
    <t>Asymétriques</t>
  </si>
  <si>
    <t>Last Updated:</t>
  </si>
  <si>
    <t>DODD, Gavin</t>
  </si>
  <si>
    <t>ZUREK, Nolan</t>
  </si>
  <si>
    <t>LUPISH, Kieran</t>
  </si>
  <si>
    <t>PEDERSEN, Mitchel</t>
  </si>
  <si>
    <t>PARHAR, Jasmine</t>
  </si>
  <si>
    <t>MOORE, Sara</t>
  </si>
  <si>
    <t>DODD, Kristina</t>
  </si>
  <si>
    <t>DALGETTY, McKayla</t>
  </si>
  <si>
    <t>DONG, Helen</t>
  </si>
  <si>
    <t>Thunder Country</t>
  </si>
  <si>
    <t>METHERAL, Hannah</t>
  </si>
  <si>
    <t>RUNDELL, Cc</t>
  </si>
  <si>
    <t>AUBIN, Rémi</t>
  </si>
  <si>
    <t>Aviva</t>
  </si>
  <si>
    <t>DYKMAN, Matthew</t>
  </si>
  <si>
    <t>Prelim DD</t>
  </si>
  <si>
    <t>Submitted Intent</t>
  </si>
  <si>
    <t>Level Empty</t>
  </si>
  <si>
    <t>HUSNUTDINOV, Wil</t>
  </si>
  <si>
    <t>SMITH, Haiden</t>
  </si>
  <si>
    <t>SUSKO, Matthew</t>
  </si>
  <si>
    <t>KOOMAN, Spencer</t>
  </si>
  <si>
    <t>ROJAS, Alex</t>
  </si>
  <si>
    <t>NEUMANN, Alexander</t>
  </si>
  <si>
    <t>GIESBRECHT, Caleb</t>
  </si>
  <si>
    <t>MCLEAN, Declan</t>
  </si>
  <si>
    <t>SÉROUART, Guillaume</t>
  </si>
  <si>
    <t>FORRESTALL, Laura</t>
  </si>
  <si>
    <t>PEPPER, Kate</t>
  </si>
  <si>
    <t>LESIEUR, Sandrine</t>
  </si>
  <si>
    <t>LOVELL-SCHMIDT, Sydney</t>
  </si>
  <si>
    <t>SAUVEUR, Laetiah</t>
  </si>
  <si>
    <t>CHRISTIE, Emily</t>
  </si>
  <si>
    <t>DION, Amélia</t>
  </si>
  <si>
    <t>PROST, Shelby</t>
  </si>
  <si>
    <t>DALGETTY, Mckayla</t>
  </si>
  <si>
    <t>BRUNO, Genna</t>
  </si>
  <si>
    <t>KURSOVA, Anastasia</t>
  </si>
  <si>
    <t>CARRIÈRE, Sandrine</t>
  </si>
  <si>
    <t>MALEK, Philo</t>
  </si>
  <si>
    <t>Nationals</t>
  </si>
  <si>
    <t>Elite Canada</t>
  </si>
  <si>
    <t>Club Aviva</t>
  </si>
  <si>
    <t>Zénith</t>
  </si>
  <si>
    <t>T&amp;T Adventure</t>
  </si>
  <si>
    <t>Virtuose</t>
  </si>
  <si>
    <t>Flip City</t>
  </si>
  <si>
    <t>Ascension Trampoline</t>
  </si>
  <si>
    <t>RR Gymnasticss and Trampoline Club</t>
  </si>
  <si>
    <t>NS</t>
  </si>
  <si>
    <t>Rideau Gymnastics</t>
  </si>
  <si>
    <t>Can-Am Gymnastics Club</t>
  </si>
  <si>
    <t>Kingston Aeros</t>
  </si>
  <si>
    <t>Burlington T&amp;T</t>
  </si>
  <si>
    <t>MIMEAULT, Thomas</t>
  </si>
  <si>
    <t>Québec Performance</t>
  </si>
  <si>
    <t>Unigym</t>
  </si>
  <si>
    <t>NOGA-BARD, Kasha</t>
  </si>
  <si>
    <t>MCINTOSH, Cyena</t>
  </si>
  <si>
    <t>BODNAR, Cassidy</t>
  </si>
  <si>
    <t>Titans</t>
  </si>
  <si>
    <t>BROWNELL, Abigael</t>
  </si>
  <si>
    <t>Kamloops Gymnastics and Trampoline Center</t>
  </si>
  <si>
    <t>LOEHR, Hermione</t>
  </si>
  <si>
    <t>LEGAULT, Laurianne</t>
  </si>
  <si>
    <t>MASSON, Felix</t>
  </si>
  <si>
    <t>DAWSON, David</t>
  </si>
  <si>
    <t>Kingswood</t>
  </si>
  <si>
    <t>DEXTER, Richard</t>
  </si>
  <si>
    <t>Anti-Gravity AcroSports</t>
  </si>
  <si>
    <t>JOHNSON, Corbin</t>
  </si>
  <si>
    <t>SGARBOSSA, Sabrina</t>
  </si>
  <si>
    <t>Les Hirondelles de Granby</t>
  </si>
  <si>
    <t>OUELLETTE, Rémi</t>
  </si>
  <si>
    <t>Dynamo Gymnastics</t>
  </si>
  <si>
    <t>PILLINGER, Taylor</t>
  </si>
  <si>
    <t>Gymnitours</t>
  </si>
  <si>
    <t>BRAZEAU, Carolane</t>
  </si>
  <si>
    <t>P</t>
  </si>
  <si>
    <t>2021 Canadian Championships - After Appeals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</si>
</sst>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name val="Wingdings 2"/>
      <charset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5" fontId="0" fillId="0" borderId="5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164" fontId="0" fillId="0" borderId="7" xfId="0" applyNumberFormat="1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5" fontId="0" fillId="0" borderId="0" xfId="0" applyNumberFormat="1" applyFill="1" applyBorder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165" fontId="0" fillId="0" borderId="5" xfId="0" applyNumberFormat="1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1" fillId="2" borderId="0" xfId="0" applyFont="1" applyFill="1"/>
    <xf numFmtId="0" fontId="11" fillId="2" borderId="0" xfId="0" quotePrefix="1" applyFont="1" applyFill="1"/>
    <xf numFmtId="0" fontId="11" fillId="3" borderId="0" xfId="0" applyFont="1" applyFill="1"/>
    <xf numFmtId="0" fontId="11" fillId="3" borderId="0" xfId="0" quotePrefix="1" applyFont="1" applyFill="1"/>
    <xf numFmtId="0" fontId="3" fillId="0" borderId="0" xfId="0" applyFont="1"/>
    <xf numFmtId="164" fontId="12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4" fillId="2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8" xfId="0" applyFont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52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1"/>
  <sheetViews>
    <sheetView tabSelected="1" zoomScaleNormal="100" workbookViewId="0"/>
  </sheetViews>
  <sheetFormatPr baseColWidth="10" defaultColWidth="11" defaultRowHeight="16" x14ac:dyDescent="0.2"/>
  <cols>
    <col min="1" max="1" width="14.6640625" bestFit="1" customWidth="1"/>
    <col min="2" max="2" width="10" customWidth="1"/>
    <col min="3" max="3" width="7" bestFit="1" customWidth="1"/>
    <col min="4" max="4" width="31" bestFit="1" customWidth="1"/>
    <col min="5" max="5" width="15" style="60" bestFit="1" customWidth="1"/>
  </cols>
  <sheetData>
    <row r="1" spans="1:5" x14ac:dyDescent="0.2">
      <c r="A1" s="32" t="s">
        <v>63</v>
      </c>
      <c r="B1" s="32" t="s">
        <v>17</v>
      </c>
      <c r="C1" s="32" t="s">
        <v>35</v>
      </c>
      <c r="D1" s="32" t="s">
        <v>64</v>
      </c>
      <c r="E1" s="32" t="s">
        <v>96</v>
      </c>
    </row>
    <row r="2" spans="1:5" hidden="1" x14ac:dyDescent="0.2">
      <c r="A2" s="50" t="str">
        <f>IF(D2="","","TRA-M")</f>
        <v/>
      </c>
      <c r="B2" s="51" t="s">
        <v>38</v>
      </c>
      <c r="C2" s="50">
        <v>1</v>
      </c>
      <c r="D2" s="50" t="str">
        <f t="array" ref="D2">_xlfn.IFNA(INDEX('TRA-M'!B$3:B$20,MATCH(1,(C2='TRA-M'!A$3:A$20)*(B2='TRA-M'!F$3:F$20),0)),"")</f>
        <v/>
      </c>
      <c r="E2" s="58" t="str">
        <f t="array" ref="E2">_xlfn.IFNA(IF(INDEX('TRA-M'!G$3:G$20,MATCH(1,(C2='TRA-M'!A$3:A$20)*(B2='TRA-M'!F$3:F$20),0))="P","P",""),"")</f>
        <v/>
      </c>
    </row>
    <row r="3" spans="1:5" hidden="1" x14ac:dyDescent="0.2">
      <c r="A3" s="50" t="str">
        <f t="shared" ref="A3:A33" si="0">IF(D3="","","TRA-M")</f>
        <v/>
      </c>
      <c r="B3" s="51" t="s">
        <v>38</v>
      </c>
      <c r="C3" s="50">
        <v>2</v>
      </c>
      <c r="D3" s="50" t="str">
        <f t="array" ref="D3">_xlfn.IFNA(INDEX('TRA-M'!B$3:B$20,MATCH(1,(C3='TRA-M'!A$3:A$20)*(B3='TRA-M'!F$3:F$20),0)),"")</f>
        <v/>
      </c>
      <c r="E3" s="58" t="str">
        <f t="array" ref="E3">_xlfn.IFNA(IF(INDEX('TRA-M'!G$3:G$20,MATCH(1,(C3='TRA-M'!A$3:A$20)*(B3='TRA-M'!F$3:F$20),0))="P","P",""),"")</f>
        <v/>
      </c>
    </row>
    <row r="4" spans="1:5" hidden="1" x14ac:dyDescent="0.2">
      <c r="A4" s="50" t="str">
        <f t="shared" si="0"/>
        <v/>
      </c>
      <c r="B4" s="51" t="s">
        <v>38</v>
      </c>
      <c r="C4" s="50">
        <v>3</v>
      </c>
      <c r="D4" s="50" t="str">
        <f t="array" ref="D4">_xlfn.IFNA(INDEX('TRA-M'!B$3:B$20,MATCH(1,(C4='TRA-M'!A$3:A$20)*(B4='TRA-M'!F$3:F$20),0)),"")</f>
        <v/>
      </c>
      <c r="E4" s="58" t="str">
        <f t="array" ref="E4">_xlfn.IFNA(IF(INDEX('TRA-M'!G$3:G$20,MATCH(1,(C4='TRA-M'!A$3:A$20)*(B4='TRA-M'!F$3:F$20),0))="P","P",""),"")</f>
        <v/>
      </c>
    </row>
    <row r="5" spans="1:5" hidden="1" x14ac:dyDescent="0.2">
      <c r="A5" s="50" t="str">
        <f t="shared" si="0"/>
        <v/>
      </c>
      <c r="B5" s="51" t="s">
        <v>38</v>
      </c>
      <c r="C5" s="50">
        <v>4</v>
      </c>
      <c r="D5" s="50" t="str">
        <f t="array" ref="D5">_xlfn.IFNA(INDEX('TRA-M'!B$3:B$20,MATCH(1,(C5='TRA-M'!A$3:A$20)*(B5='TRA-M'!F$3:F$20),0)),"")</f>
        <v/>
      </c>
      <c r="E5" s="58" t="str">
        <f t="array" ref="E5">_xlfn.IFNA(IF(INDEX('TRA-M'!G$3:G$20,MATCH(1,(C5='TRA-M'!A$3:A$20)*(B5='TRA-M'!F$3:F$20),0))="P","P",""),"")</f>
        <v/>
      </c>
    </row>
    <row r="6" spans="1:5" hidden="1" x14ac:dyDescent="0.2">
      <c r="A6" s="50" t="str">
        <f t="shared" si="0"/>
        <v/>
      </c>
      <c r="B6" s="51" t="s">
        <v>38</v>
      </c>
      <c r="C6" s="50">
        <v>5</v>
      </c>
      <c r="D6" s="50" t="str">
        <f t="array" ref="D6">_xlfn.IFNA(INDEX('TRA-M'!B$3:B$20,MATCH(1,(C6='TRA-M'!A$3:A$20)*(B6='TRA-M'!F$3:F$20),0)),"")</f>
        <v/>
      </c>
      <c r="E6" s="58" t="str">
        <f t="array" ref="E6">_xlfn.IFNA(IF(INDEX('TRA-M'!G$3:G$20,MATCH(1,(C6='TRA-M'!A$3:A$20)*(B6='TRA-M'!F$3:F$20),0))="P","P",""),"")</f>
        <v/>
      </c>
    </row>
    <row r="7" spans="1:5" hidden="1" x14ac:dyDescent="0.2">
      <c r="A7" s="50" t="str">
        <f t="shared" si="0"/>
        <v/>
      </c>
      <c r="B7" s="51" t="s">
        <v>38</v>
      </c>
      <c r="C7" s="50">
        <v>6</v>
      </c>
      <c r="D7" s="50" t="str">
        <f t="array" ref="D7">_xlfn.IFNA(INDEX('TRA-M'!B$3:B$20,MATCH(1,(C7='TRA-M'!A$3:A$20)*(B7='TRA-M'!F$3:F$20),0)),"")</f>
        <v/>
      </c>
      <c r="E7" s="58" t="str">
        <f t="array" ref="E7">_xlfn.IFNA(IF(INDEX('TRA-M'!G$3:G$20,MATCH(1,(C7='TRA-M'!A$3:A$20)*(B7='TRA-M'!F$3:F$20),0))="P","P",""),"")</f>
        <v/>
      </c>
    </row>
    <row r="8" spans="1:5" hidden="1" x14ac:dyDescent="0.2">
      <c r="A8" s="50" t="str">
        <f t="shared" si="0"/>
        <v/>
      </c>
      <c r="B8" s="51" t="s">
        <v>38</v>
      </c>
      <c r="C8" s="50">
        <v>7</v>
      </c>
      <c r="D8" s="50" t="str">
        <f t="array" ref="D8">_xlfn.IFNA(INDEX('TRA-M'!B$3:B$20,MATCH(1,(C8='TRA-M'!A$3:A$20)*(B8='TRA-M'!F$3:F$20),0)),"")</f>
        <v/>
      </c>
      <c r="E8" s="58" t="str">
        <f t="array" ref="E8">_xlfn.IFNA(IF(INDEX('TRA-M'!G$3:G$20,MATCH(1,(C8='TRA-M'!A$3:A$20)*(B8='TRA-M'!F$3:F$20),0))="P","P",""),"")</f>
        <v/>
      </c>
    </row>
    <row r="9" spans="1:5" hidden="1" x14ac:dyDescent="0.2">
      <c r="A9" s="50" t="str">
        <f t="shared" si="0"/>
        <v/>
      </c>
      <c r="B9" s="51" t="s">
        <v>38</v>
      </c>
      <c r="C9" s="50">
        <v>8</v>
      </c>
      <c r="D9" s="50" t="str">
        <f t="array" ref="D9">_xlfn.IFNA(INDEX('TRA-M'!B$3:B$20,MATCH(1,(C9='TRA-M'!A$3:A$20)*(B9='TRA-M'!F$3:F$20),0)),"")</f>
        <v/>
      </c>
      <c r="E9" s="58" t="str">
        <f t="array" ref="E9">_xlfn.IFNA(IF(INDEX('TRA-M'!G$3:G$20,MATCH(1,(C9='TRA-M'!A$3:A$20)*(B9='TRA-M'!F$3:F$20),0))="P","P",""),"")</f>
        <v/>
      </c>
    </row>
    <row r="10" spans="1:5" hidden="1" x14ac:dyDescent="0.2">
      <c r="A10" s="50" t="str">
        <f t="shared" si="0"/>
        <v/>
      </c>
      <c r="B10" s="50" t="s">
        <v>37</v>
      </c>
      <c r="C10" s="50">
        <v>1</v>
      </c>
      <c r="D10" s="50" t="str">
        <f t="array" ref="D10">_xlfn.IFNA(INDEX('TRA-M'!B$3:B$20,MATCH(1,(C10='TRA-M'!A$3:A$20)*(B10='TRA-M'!F$3:F$20),0)),"")</f>
        <v/>
      </c>
      <c r="E10" s="58" t="str">
        <f t="array" ref="E10">_xlfn.IFNA(IF(INDEX('TRA-M'!G$3:G$20,MATCH(1,(C10='TRA-M'!A$3:A$20)*(B10='TRA-M'!F$3:F$20),0))="P","P",""),"")</f>
        <v/>
      </c>
    </row>
    <row r="11" spans="1:5" hidden="1" x14ac:dyDescent="0.2">
      <c r="A11" s="50" t="str">
        <f t="shared" si="0"/>
        <v/>
      </c>
      <c r="B11" s="50" t="s">
        <v>37</v>
      </c>
      <c r="C11" s="50">
        <v>2</v>
      </c>
      <c r="D11" s="50" t="str">
        <f t="array" ref="D11">_xlfn.IFNA(INDEX('TRA-M'!B$3:B$20,MATCH(1,(C11='TRA-M'!A$3:A$20)*(B11='TRA-M'!F$3:F$20),0)),"")</f>
        <v/>
      </c>
      <c r="E11" s="58" t="str">
        <f t="array" ref="E11">_xlfn.IFNA(IF(INDEX('TRA-M'!G$3:G$20,MATCH(1,(C11='TRA-M'!A$3:A$20)*(B11='TRA-M'!F$3:F$20),0))="P","P",""),"")</f>
        <v/>
      </c>
    </row>
    <row r="12" spans="1:5" hidden="1" x14ac:dyDescent="0.2">
      <c r="A12" s="50" t="str">
        <f t="shared" si="0"/>
        <v/>
      </c>
      <c r="B12" s="50" t="s">
        <v>37</v>
      </c>
      <c r="C12" s="50">
        <v>3</v>
      </c>
      <c r="D12" s="50" t="str">
        <f t="array" ref="D12">_xlfn.IFNA(INDEX('TRA-M'!B$3:B$20,MATCH(1,(C12='TRA-M'!A$3:A$20)*(B12='TRA-M'!F$3:F$20),0)),"")</f>
        <v/>
      </c>
      <c r="E12" s="58" t="str">
        <f t="array" ref="E12">_xlfn.IFNA(IF(INDEX('TRA-M'!G$3:G$20,MATCH(1,(C12='TRA-M'!A$3:A$20)*(B12='TRA-M'!F$3:F$20),0))="P","P",""),"")</f>
        <v/>
      </c>
    </row>
    <row r="13" spans="1:5" hidden="1" x14ac:dyDescent="0.2">
      <c r="A13" s="50" t="str">
        <f t="shared" si="0"/>
        <v/>
      </c>
      <c r="B13" s="50" t="s">
        <v>37</v>
      </c>
      <c r="C13" s="50">
        <v>4</v>
      </c>
      <c r="D13" s="50" t="str">
        <f t="array" ref="D13">_xlfn.IFNA(INDEX('TRA-M'!B$3:B$20,MATCH(1,(C13='TRA-M'!A$3:A$20)*(B13='TRA-M'!F$3:F$20),0)),"")</f>
        <v/>
      </c>
      <c r="E13" s="58" t="str">
        <f t="array" ref="E13">_xlfn.IFNA(IF(INDEX('TRA-M'!G$3:G$20,MATCH(1,(C13='TRA-M'!A$3:A$20)*(B13='TRA-M'!F$3:F$20),0))="P","P",""),"")</f>
        <v/>
      </c>
    </row>
    <row r="14" spans="1:5" hidden="1" x14ac:dyDescent="0.2">
      <c r="A14" s="50" t="str">
        <f t="shared" si="0"/>
        <v/>
      </c>
      <c r="B14" s="50" t="s">
        <v>37</v>
      </c>
      <c r="C14" s="50">
        <v>5</v>
      </c>
      <c r="D14" s="50" t="str">
        <f t="array" ref="D14">_xlfn.IFNA(INDEX('TRA-M'!B$3:B$20,MATCH(1,(C14='TRA-M'!A$3:A$20)*(B14='TRA-M'!F$3:F$20),0)),"")</f>
        <v/>
      </c>
      <c r="E14" s="58" t="str">
        <f t="array" ref="E14">_xlfn.IFNA(IF(INDEX('TRA-M'!G$3:G$20,MATCH(1,(C14='TRA-M'!A$3:A$20)*(B14='TRA-M'!F$3:F$20),0))="P","P",""),"")</f>
        <v/>
      </c>
    </row>
    <row r="15" spans="1:5" hidden="1" x14ac:dyDescent="0.2">
      <c r="A15" s="50" t="str">
        <f t="shared" si="0"/>
        <v/>
      </c>
      <c r="B15" s="50" t="s">
        <v>37</v>
      </c>
      <c r="C15" s="50">
        <v>6</v>
      </c>
      <c r="D15" s="50" t="str">
        <f t="array" ref="D15">_xlfn.IFNA(INDEX('TRA-M'!B$3:B$20,MATCH(1,(C15='TRA-M'!A$3:A$20)*(B15='TRA-M'!F$3:F$20),0)),"")</f>
        <v/>
      </c>
      <c r="E15" s="58" t="str">
        <f t="array" ref="E15">_xlfn.IFNA(IF(INDEX('TRA-M'!G$3:G$20,MATCH(1,(C15='TRA-M'!A$3:A$20)*(B15='TRA-M'!F$3:F$20),0))="P","P",""),"")</f>
        <v/>
      </c>
    </row>
    <row r="16" spans="1:5" hidden="1" x14ac:dyDescent="0.2">
      <c r="A16" s="50" t="str">
        <f t="shared" si="0"/>
        <v/>
      </c>
      <c r="B16" s="50" t="s">
        <v>37</v>
      </c>
      <c r="C16" s="50">
        <v>7</v>
      </c>
      <c r="D16" s="50" t="str">
        <f t="array" ref="D16">_xlfn.IFNA(INDEX('TRA-M'!B$3:B$20,MATCH(1,(C16='TRA-M'!A$3:A$20)*(B16='TRA-M'!F$3:F$20),0)),"")</f>
        <v/>
      </c>
      <c r="E16" s="58" t="str">
        <f t="array" ref="E16">_xlfn.IFNA(IF(INDEX('TRA-M'!G$3:G$20,MATCH(1,(C16='TRA-M'!A$3:A$20)*(B16='TRA-M'!F$3:F$20),0))="P","P",""),"")</f>
        <v/>
      </c>
    </row>
    <row r="17" spans="1:5" hidden="1" x14ac:dyDescent="0.2">
      <c r="A17" s="50" t="str">
        <f t="shared" si="0"/>
        <v/>
      </c>
      <c r="B17" s="50" t="s">
        <v>37</v>
      </c>
      <c r="C17" s="50">
        <v>8</v>
      </c>
      <c r="D17" s="50" t="str">
        <f t="array" ref="D17">_xlfn.IFNA(INDEX('TRA-M'!B$3:B$20,MATCH(1,(C17='TRA-M'!A$3:A$20)*(B17='TRA-M'!F$3:F$20),0)),"")</f>
        <v/>
      </c>
      <c r="E17" s="58" t="str">
        <f t="array" ref="E17">_xlfn.IFNA(IF(INDEX('TRA-M'!G$3:G$20,MATCH(1,(C17='TRA-M'!A$3:A$20)*(B17='TRA-M'!F$3:F$20),0))="P","P",""),"")</f>
        <v/>
      </c>
    </row>
    <row r="18" spans="1:5" hidden="1" x14ac:dyDescent="0.2">
      <c r="A18" s="50" t="str">
        <f t="shared" si="0"/>
        <v/>
      </c>
      <c r="B18" s="50" t="s">
        <v>39</v>
      </c>
      <c r="C18" s="50">
        <v>1</v>
      </c>
      <c r="D18" s="50" t="str">
        <f t="array" ref="D18">_xlfn.IFNA(INDEX('TRA-M'!B$3:B$20,MATCH(1,(C18='TRA-M'!A$3:A$20)*(B18='TRA-M'!F$3:F$20),0)),"")</f>
        <v/>
      </c>
      <c r="E18" s="58" t="str">
        <f t="array" ref="E18">_xlfn.IFNA(IF(INDEX('TRA-M'!G$3:G$20,MATCH(1,(C18='TRA-M'!A$3:A$20)*(B18='TRA-M'!F$3:F$20),0))="P","P",""),"")</f>
        <v/>
      </c>
    </row>
    <row r="19" spans="1:5" hidden="1" x14ac:dyDescent="0.2">
      <c r="A19" s="50" t="str">
        <f t="shared" si="0"/>
        <v/>
      </c>
      <c r="B19" s="50" t="s">
        <v>39</v>
      </c>
      <c r="C19" s="50">
        <v>2</v>
      </c>
      <c r="D19" s="50" t="str">
        <f t="array" ref="D19">_xlfn.IFNA(INDEX('TRA-M'!B$3:B$20,MATCH(1,(C19='TRA-M'!A$3:A$20)*(B19='TRA-M'!F$3:F$20),0)),"")</f>
        <v/>
      </c>
      <c r="E19" s="58" t="str">
        <f t="array" ref="E19">_xlfn.IFNA(IF(INDEX('TRA-M'!G$3:G$20,MATCH(1,(C19='TRA-M'!A$3:A$20)*(B19='TRA-M'!F$3:F$20),0))="P","P",""),"")</f>
        <v/>
      </c>
    </row>
    <row r="20" spans="1:5" hidden="1" x14ac:dyDescent="0.2">
      <c r="A20" s="50" t="str">
        <f t="shared" si="0"/>
        <v/>
      </c>
      <c r="B20" s="50" t="s">
        <v>39</v>
      </c>
      <c r="C20" s="50">
        <v>3</v>
      </c>
      <c r="D20" s="50" t="str">
        <f t="array" ref="D20">_xlfn.IFNA(INDEX('TRA-M'!B$3:B$20,MATCH(1,(C20='TRA-M'!A$3:A$20)*(B20='TRA-M'!F$3:F$20),0)),"")</f>
        <v/>
      </c>
      <c r="E20" s="58" t="str">
        <f t="array" ref="E20">_xlfn.IFNA(IF(INDEX('TRA-M'!G$3:G$20,MATCH(1,(C20='TRA-M'!A$3:A$20)*(B20='TRA-M'!F$3:F$20),0))="P","P",""),"")</f>
        <v/>
      </c>
    </row>
    <row r="21" spans="1:5" hidden="1" x14ac:dyDescent="0.2">
      <c r="A21" s="50" t="str">
        <f t="shared" si="0"/>
        <v/>
      </c>
      <c r="B21" s="50" t="s">
        <v>39</v>
      </c>
      <c r="C21" s="50">
        <v>4</v>
      </c>
      <c r="D21" s="50" t="str">
        <f t="array" ref="D21">_xlfn.IFNA(INDEX('TRA-M'!B$3:B$20,MATCH(1,(C21='TRA-M'!A$3:A$20)*(B21='TRA-M'!F$3:F$20),0)),"")</f>
        <v/>
      </c>
      <c r="E21" s="58" t="str">
        <f t="array" ref="E21">_xlfn.IFNA(IF(INDEX('TRA-M'!G$3:G$20,MATCH(1,(C21='TRA-M'!A$3:A$20)*(B21='TRA-M'!F$3:F$20),0))="P","P",""),"")</f>
        <v/>
      </c>
    </row>
    <row r="22" spans="1:5" hidden="1" x14ac:dyDescent="0.2">
      <c r="A22" s="50" t="str">
        <f t="shared" si="0"/>
        <v/>
      </c>
      <c r="B22" s="50" t="s">
        <v>39</v>
      </c>
      <c r="C22" s="50">
        <v>5</v>
      </c>
      <c r="D22" s="50" t="str">
        <f t="array" ref="D22">_xlfn.IFNA(INDEX('TRA-M'!B$3:B$20,MATCH(1,(C22='TRA-M'!A$3:A$20)*(B22='TRA-M'!F$3:F$20),0)),"")</f>
        <v/>
      </c>
      <c r="E22" s="58" t="str">
        <f t="array" ref="E22">_xlfn.IFNA(IF(INDEX('TRA-M'!G$3:G$20,MATCH(1,(C22='TRA-M'!A$3:A$20)*(B22='TRA-M'!F$3:F$20),0))="P","P",""),"")</f>
        <v/>
      </c>
    </row>
    <row r="23" spans="1:5" hidden="1" x14ac:dyDescent="0.2">
      <c r="A23" s="50" t="str">
        <f t="shared" si="0"/>
        <v/>
      </c>
      <c r="B23" s="50" t="s">
        <v>39</v>
      </c>
      <c r="C23" s="50">
        <v>6</v>
      </c>
      <c r="D23" s="50" t="str">
        <f t="array" ref="D23">_xlfn.IFNA(INDEX('TRA-M'!B$3:B$20,MATCH(1,(C23='TRA-M'!A$3:A$20)*(B23='TRA-M'!F$3:F$20),0)),"")</f>
        <v/>
      </c>
      <c r="E23" s="58" t="str">
        <f t="array" ref="E23">_xlfn.IFNA(IF(INDEX('TRA-M'!G$3:G$20,MATCH(1,(C23='TRA-M'!A$3:A$20)*(B23='TRA-M'!F$3:F$20),0))="P","P",""),"")</f>
        <v/>
      </c>
    </row>
    <row r="24" spans="1:5" hidden="1" x14ac:dyDescent="0.2">
      <c r="A24" s="50" t="str">
        <f t="shared" si="0"/>
        <v/>
      </c>
      <c r="B24" s="50" t="s">
        <v>39</v>
      </c>
      <c r="C24" s="50">
        <v>7</v>
      </c>
      <c r="D24" s="50" t="str">
        <f t="array" ref="D24">_xlfn.IFNA(INDEX('TRA-M'!B$3:B$20,MATCH(1,(C24='TRA-M'!A$3:A$20)*(B24='TRA-M'!F$3:F$20),0)),"")</f>
        <v/>
      </c>
      <c r="E24" s="58" t="str">
        <f t="array" ref="E24">_xlfn.IFNA(IF(INDEX('TRA-M'!G$3:G$20,MATCH(1,(C24='TRA-M'!A$3:A$20)*(B24='TRA-M'!F$3:F$20),0))="P","P",""),"")</f>
        <v/>
      </c>
    </row>
    <row r="25" spans="1:5" hidden="1" x14ac:dyDescent="0.2">
      <c r="A25" s="50" t="str">
        <f t="shared" si="0"/>
        <v/>
      </c>
      <c r="B25" s="50" t="s">
        <v>39</v>
      </c>
      <c r="C25" s="50">
        <v>8</v>
      </c>
      <c r="D25" s="50" t="str">
        <f t="array" ref="D25">_xlfn.IFNA(INDEX('TRA-M'!B$3:B$20,MATCH(1,(C25='TRA-M'!A$3:A$20)*(B25='TRA-M'!F$3:F$20),0)),"")</f>
        <v/>
      </c>
      <c r="E25" s="58" t="str">
        <f t="array" ref="E25">_xlfn.IFNA(IF(INDEX('TRA-M'!G$3:G$20,MATCH(1,(C25='TRA-M'!A$3:A$20)*(B25='TRA-M'!F$3:F$20),0))="P","P",""),"")</f>
        <v/>
      </c>
    </row>
    <row r="26" spans="1:5" x14ac:dyDescent="0.2">
      <c r="A26" s="50" t="str">
        <f t="shared" si="0"/>
        <v>TRA-M</v>
      </c>
      <c r="B26" s="50" t="s">
        <v>40</v>
      </c>
      <c r="C26" s="50">
        <v>1</v>
      </c>
      <c r="D26" s="50" t="str">
        <f t="array" ref="D26">_xlfn.IFNA(INDEX('TRA-M'!B$3:B$20,MATCH(1,(C26='TRA-M'!A$3:A$20)*(B26='TRA-M'!F$3:F$20),0)),"")</f>
        <v>AUBIN, Rémi</v>
      </c>
      <c r="E26" s="58" t="str">
        <f t="array" ref="E26">_xlfn.IFNA(IF(INDEX('TRA-M'!G$3:G$20,MATCH(1,(C26='TRA-M'!A$3:A$20)*(B26='TRA-M'!F$3:F$20),0))="P","P",""),"")</f>
        <v>P</v>
      </c>
    </row>
    <row r="27" spans="1:5" x14ac:dyDescent="0.2">
      <c r="A27" s="50" t="str">
        <f t="shared" si="0"/>
        <v>TRA-M</v>
      </c>
      <c r="B27" s="50" t="s">
        <v>40</v>
      </c>
      <c r="C27" s="50">
        <v>2</v>
      </c>
      <c r="D27" s="50" t="str">
        <f t="array" ref="D27">_xlfn.IFNA(INDEX('TRA-M'!B$3:B$20,MATCH(1,(C27='TRA-M'!A$3:A$20)*(B27='TRA-M'!F$3:F$20),0)),"")</f>
        <v>MCLEAN, Declan</v>
      </c>
      <c r="E27" s="58" t="str">
        <f t="array" ref="E27">_xlfn.IFNA(IF(INDEX('TRA-M'!G$3:G$20,MATCH(1,(C27='TRA-M'!A$3:A$20)*(B27='TRA-M'!F$3:F$20),0))="P","P",""),"")</f>
        <v>P</v>
      </c>
    </row>
    <row r="28" spans="1:5" hidden="1" x14ac:dyDescent="0.2">
      <c r="A28" s="50" t="str">
        <f t="shared" si="0"/>
        <v/>
      </c>
      <c r="B28" s="50" t="s">
        <v>40</v>
      </c>
      <c r="C28" s="50">
        <v>3</v>
      </c>
      <c r="D28" s="50" t="str">
        <f t="array" ref="D28">_xlfn.IFNA(INDEX('TRA-M'!B$3:B$20,MATCH(1,(C28='TRA-M'!A$3:A$20)*(B28='TRA-M'!F$3:F$20),0)),"")</f>
        <v/>
      </c>
      <c r="E28" s="58" t="str">
        <f t="array" ref="E28">_xlfn.IFNA(IF(INDEX('TRA-M'!G$3:G$20,MATCH(1,(C28='TRA-M'!A$3:A$20)*(B28='TRA-M'!F$3:F$20),0))="P","P",""),"")</f>
        <v/>
      </c>
    </row>
    <row r="29" spans="1:5" hidden="1" x14ac:dyDescent="0.2">
      <c r="A29" s="50" t="str">
        <f t="shared" si="0"/>
        <v/>
      </c>
      <c r="B29" s="50" t="s">
        <v>40</v>
      </c>
      <c r="C29" s="50">
        <v>4</v>
      </c>
      <c r="D29" s="50" t="str">
        <f t="array" ref="D29">_xlfn.IFNA(INDEX('TRA-M'!B$3:B$20,MATCH(1,(C29='TRA-M'!A$3:A$20)*(B29='TRA-M'!F$3:F$20),0)),"")</f>
        <v/>
      </c>
      <c r="E29" s="58" t="str">
        <f t="array" ref="E29">_xlfn.IFNA(IF(INDEX('TRA-M'!G$3:G$20,MATCH(1,(C29='TRA-M'!A$3:A$20)*(B29='TRA-M'!F$3:F$20),0))="P","P",""),"")</f>
        <v/>
      </c>
    </row>
    <row r="30" spans="1:5" hidden="1" x14ac:dyDescent="0.2">
      <c r="A30" s="50" t="str">
        <f t="shared" si="0"/>
        <v/>
      </c>
      <c r="B30" s="50" t="s">
        <v>40</v>
      </c>
      <c r="C30" s="50">
        <v>5</v>
      </c>
      <c r="D30" s="50" t="str">
        <f t="array" ref="D30">_xlfn.IFNA(INDEX('TRA-M'!B$3:B$20,MATCH(1,(C30='TRA-M'!A$3:A$20)*(B30='TRA-M'!F$3:F$20),0)),"")</f>
        <v/>
      </c>
      <c r="E30" s="58" t="str">
        <f t="array" ref="E30">_xlfn.IFNA(IF(INDEX('TRA-M'!G$3:G$20,MATCH(1,(C30='TRA-M'!A$3:A$20)*(B30='TRA-M'!F$3:F$20),0))="P","P",""),"")</f>
        <v/>
      </c>
    </row>
    <row r="31" spans="1:5" hidden="1" x14ac:dyDescent="0.2">
      <c r="A31" s="50" t="str">
        <f t="shared" si="0"/>
        <v/>
      </c>
      <c r="B31" s="50" t="s">
        <v>40</v>
      </c>
      <c r="C31" s="50">
        <v>6</v>
      </c>
      <c r="D31" s="50" t="str">
        <f t="array" ref="D31">_xlfn.IFNA(INDEX('TRA-M'!B$3:B$20,MATCH(1,(C31='TRA-M'!A$3:A$20)*(B31='TRA-M'!F$3:F$20),0)),"")</f>
        <v/>
      </c>
      <c r="E31" s="58" t="str">
        <f t="array" ref="E31">_xlfn.IFNA(IF(INDEX('TRA-M'!G$3:G$20,MATCH(1,(C31='TRA-M'!A$3:A$20)*(B31='TRA-M'!F$3:F$20),0))="P","P",""),"")</f>
        <v/>
      </c>
    </row>
    <row r="32" spans="1:5" hidden="1" x14ac:dyDescent="0.2">
      <c r="A32" s="50" t="str">
        <f t="shared" si="0"/>
        <v/>
      </c>
      <c r="B32" s="50" t="s">
        <v>40</v>
      </c>
      <c r="C32" s="50">
        <v>7</v>
      </c>
      <c r="D32" s="50" t="str">
        <f t="array" ref="D32">_xlfn.IFNA(INDEX('TRA-M'!B$3:B$20,MATCH(1,(C32='TRA-M'!A$3:A$20)*(B32='TRA-M'!F$3:F$20),0)),"")</f>
        <v/>
      </c>
      <c r="E32" s="58" t="str">
        <f t="array" ref="E32">_xlfn.IFNA(IF(INDEX('TRA-M'!G$3:G$20,MATCH(1,(C32='TRA-M'!A$3:A$20)*(B32='TRA-M'!F$3:F$20),0))="P","P",""),"")</f>
        <v/>
      </c>
    </row>
    <row r="33" spans="1:5" hidden="1" x14ac:dyDescent="0.2">
      <c r="A33" s="50" t="str">
        <f t="shared" si="0"/>
        <v/>
      </c>
      <c r="B33" s="50" t="s">
        <v>40</v>
      </c>
      <c r="C33" s="50">
        <v>8</v>
      </c>
      <c r="D33" s="50" t="str">
        <f t="array" ref="D33">_xlfn.IFNA(INDEX('TRA-M'!B$3:B$20,MATCH(1,(C33='TRA-M'!A$3:A$20)*(B33='TRA-M'!F$3:F$20),0)),"")</f>
        <v/>
      </c>
      <c r="E33" s="58" t="str">
        <f t="array" ref="E33">_xlfn.IFNA(IF(INDEX('TRA-M'!G$3:G$20,MATCH(1,(C33='TRA-M'!A$3:A$20)*(B33='TRA-M'!F$3:F$20),0))="P","P",""),"")</f>
        <v/>
      </c>
    </row>
    <row r="34" spans="1:5" hidden="1" x14ac:dyDescent="0.2">
      <c r="A34" s="52" t="str">
        <f>IF(D34="","","TRA-W")</f>
        <v/>
      </c>
      <c r="B34" s="53" t="s">
        <v>38</v>
      </c>
      <c r="C34" s="52">
        <v>1</v>
      </c>
      <c r="D34" s="52" t="str">
        <f t="array" ref="D34">_xlfn.IFNA(INDEX('TRA-W'!B$3:B$27,MATCH(1,(C34='TRA-W'!A$3:A$27)*(B34='TRA-W'!F$3:F$27),0)),"")</f>
        <v/>
      </c>
      <c r="E34" s="59" t="str">
        <f t="array" ref="E34">_xlfn.IFNA(IF(INDEX('TRA-W'!G$3:G$27,MATCH(1,(C34='TRA-W'!A$3:A$27)*(B34='TRA-W'!F$3:F$27),0))="P","P",""),"")</f>
        <v/>
      </c>
    </row>
    <row r="35" spans="1:5" hidden="1" x14ac:dyDescent="0.2">
      <c r="A35" s="52" t="str">
        <f t="shared" ref="A35:A65" si="1">IF(D35="","","TRA-W")</f>
        <v/>
      </c>
      <c r="B35" s="53" t="s">
        <v>38</v>
      </c>
      <c r="C35" s="52">
        <v>2</v>
      </c>
      <c r="D35" s="52" t="str">
        <f t="array" ref="D35">_xlfn.IFNA(INDEX('TRA-W'!B$3:B$27,MATCH(1,(C35='TRA-W'!A$3:A$27)*(B35='TRA-W'!F$3:F$27),0)),"")</f>
        <v/>
      </c>
      <c r="E35" s="59" t="str">
        <f t="array" ref="E35">_xlfn.IFNA(IF(INDEX('TRA-W'!G$3:G$27,MATCH(1,(C35='TRA-W'!A$3:A$27)*(B35='TRA-W'!F$3:F$27),0))="P","P",""),"")</f>
        <v/>
      </c>
    </row>
    <row r="36" spans="1:5" hidden="1" x14ac:dyDescent="0.2">
      <c r="A36" s="52" t="str">
        <f t="shared" si="1"/>
        <v/>
      </c>
      <c r="B36" s="53" t="s">
        <v>38</v>
      </c>
      <c r="C36" s="52">
        <v>3</v>
      </c>
      <c r="D36" s="52" t="str">
        <f t="array" ref="D36">_xlfn.IFNA(INDEX('TRA-W'!B$3:B$27,MATCH(1,(C36='TRA-W'!A$3:A$27)*(B36='TRA-W'!F$3:F$27),0)),"")</f>
        <v/>
      </c>
      <c r="E36" s="59" t="str">
        <f t="array" ref="E36">_xlfn.IFNA(IF(INDEX('TRA-W'!G$3:G$27,MATCH(1,(C36='TRA-W'!A$3:A$27)*(B36='TRA-W'!F$3:F$27),0))="P","P",""),"")</f>
        <v/>
      </c>
    </row>
    <row r="37" spans="1:5" hidden="1" x14ac:dyDescent="0.2">
      <c r="A37" s="52" t="str">
        <f t="shared" si="1"/>
        <v/>
      </c>
      <c r="B37" s="53" t="s">
        <v>38</v>
      </c>
      <c r="C37" s="52">
        <v>4</v>
      </c>
      <c r="D37" s="52" t="str">
        <f t="array" ref="D37">_xlfn.IFNA(INDEX('TRA-W'!B$3:B$27,MATCH(1,(C37='TRA-W'!A$3:A$27)*(B37='TRA-W'!F$3:F$27),0)),"")</f>
        <v/>
      </c>
      <c r="E37" s="59" t="str">
        <f t="array" ref="E37">_xlfn.IFNA(IF(INDEX('TRA-W'!G$3:G$27,MATCH(1,(C37='TRA-W'!A$3:A$27)*(B37='TRA-W'!F$3:F$27),0))="P","P",""),"")</f>
        <v/>
      </c>
    </row>
    <row r="38" spans="1:5" hidden="1" x14ac:dyDescent="0.2">
      <c r="A38" s="52" t="str">
        <f t="shared" si="1"/>
        <v/>
      </c>
      <c r="B38" s="53" t="s">
        <v>38</v>
      </c>
      <c r="C38" s="52">
        <v>5</v>
      </c>
      <c r="D38" s="52" t="str">
        <f t="array" ref="D38">_xlfn.IFNA(INDEX('TRA-W'!B$3:B$27,MATCH(1,(C38='TRA-W'!A$3:A$27)*(B38='TRA-W'!F$3:F$27),0)),"")</f>
        <v/>
      </c>
      <c r="E38" s="59" t="str">
        <f t="array" ref="E38">_xlfn.IFNA(IF(INDEX('TRA-W'!G$3:G$27,MATCH(1,(C38='TRA-W'!A$3:A$27)*(B38='TRA-W'!F$3:F$27),0))="P","P",""),"")</f>
        <v/>
      </c>
    </row>
    <row r="39" spans="1:5" hidden="1" x14ac:dyDescent="0.2">
      <c r="A39" s="52" t="str">
        <f t="shared" si="1"/>
        <v/>
      </c>
      <c r="B39" s="53" t="s">
        <v>38</v>
      </c>
      <c r="C39" s="52">
        <v>6</v>
      </c>
      <c r="D39" s="52" t="str">
        <f t="array" ref="D39">_xlfn.IFNA(INDEX('TRA-W'!B$3:B$27,MATCH(1,(C39='TRA-W'!A$3:A$27)*(B39='TRA-W'!F$3:F$27),0)),"")</f>
        <v/>
      </c>
      <c r="E39" s="59" t="str">
        <f t="array" ref="E39">_xlfn.IFNA(IF(INDEX('TRA-W'!G$3:G$27,MATCH(1,(C39='TRA-W'!A$3:A$27)*(B39='TRA-W'!F$3:F$27),0))="P","P",""),"")</f>
        <v/>
      </c>
    </row>
    <row r="40" spans="1:5" hidden="1" x14ac:dyDescent="0.2">
      <c r="A40" s="52" t="str">
        <f t="shared" si="1"/>
        <v/>
      </c>
      <c r="B40" s="53" t="s">
        <v>38</v>
      </c>
      <c r="C40" s="52">
        <v>7</v>
      </c>
      <c r="D40" s="52" t="str">
        <f t="array" ref="D40">_xlfn.IFNA(INDEX('TRA-W'!B$3:B$27,MATCH(1,(C40='TRA-W'!A$3:A$27)*(B40='TRA-W'!F$3:F$27),0)),"")</f>
        <v/>
      </c>
      <c r="E40" s="59" t="str">
        <f t="array" ref="E40">_xlfn.IFNA(IF(INDEX('TRA-W'!G$3:G$27,MATCH(1,(C40='TRA-W'!A$3:A$27)*(B40='TRA-W'!F$3:F$27),0))="P","P",""),"")</f>
        <v/>
      </c>
    </row>
    <row r="41" spans="1:5" hidden="1" x14ac:dyDescent="0.2">
      <c r="A41" s="52" t="str">
        <f t="shared" si="1"/>
        <v/>
      </c>
      <c r="B41" s="53" t="s">
        <v>38</v>
      </c>
      <c r="C41" s="52">
        <v>8</v>
      </c>
      <c r="D41" s="52" t="str">
        <f t="array" ref="D41">_xlfn.IFNA(INDEX('TRA-W'!B$3:B$27,MATCH(1,(C41='TRA-W'!A$3:A$27)*(B41='TRA-W'!F$3:F$27),0)),"")</f>
        <v/>
      </c>
      <c r="E41" s="59" t="str">
        <f t="array" ref="E41">_xlfn.IFNA(IF(INDEX('TRA-W'!G$3:G$27,MATCH(1,(C41='TRA-W'!A$3:A$27)*(B41='TRA-W'!F$3:F$27),0))="P","P",""),"")</f>
        <v/>
      </c>
    </row>
    <row r="42" spans="1:5" hidden="1" x14ac:dyDescent="0.2">
      <c r="A42" s="52" t="str">
        <f t="shared" si="1"/>
        <v/>
      </c>
      <c r="B42" s="52" t="s">
        <v>37</v>
      </c>
      <c r="C42" s="52">
        <v>1</v>
      </c>
      <c r="D42" s="52" t="str">
        <f t="array" ref="D42">_xlfn.IFNA(INDEX('TRA-W'!B$3:B$27,MATCH(1,(C42='TRA-W'!A$3:A$27)*(B42='TRA-W'!F$3:F$27),0)),"")</f>
        <v/>
      </c>
      <c r="E42" s="59" t="str">
        <f t="array" ref="E42">_xlfn.IFNA(IF(INDEX('TRA-W'!G$3:G$27,MATCH(1,(C42='TRA-W'!A$3:A$27)*(B42='TRA-W'!F$3:F$27),0))="P","P",""),"")</f>
        <v/>
      </c>
    </row>
    <row r="43" spans="1:5" hidden="1" x14ac:dyDescent="0.2">
      <c r="A43" s="52" t="str">
        <f t="shared" si="1"/>
        <v/>
      </c>
      <c r="B43" s="52" t="s">
        <v>37</v>
      </c>
      <c r="C43" s="52">
        <v>2</v>
      </c>
      <c r="D43" s="52" t="str">
        <f t="array" ref="D43">_xlfn.IFNA(INDEX('TRA-W'!B$3:B$27,MATCH(1,(C43='TRA-W'!A$3:A$27)*(B43='TRA-W'!F$3:F$27),0)),"")</f>
        <v/>
      </c>
      <c r="E43" s="59" t="str">
        <f t="array" ref="E43">_xlfn.IFNA(IF(INDEX('TRA-W'!G$3:G$27,MATCH(1,(C43='TRA-W'!A$3:A$27)*(B43='TRA-W'!F$3:F$27),0))="P","P",""),"")</f>
        <v/>
      </c>
    </row>
    <row r="44" spans="1:5" hidden="1" x14ac:dyDescent="0.2">
      <c r="A44" s="52" t="str">
        <f t="shared" si="1"/>
        <v/>
      </c>
      <c r="B44" s="52" t="s">
        <v>37</v>
      </c>
      <c r="C44" s="52">
        <v>3</v>
      </c>
      <c r="D44" s="52" t="str">
        <f t="array" ref="D44">_xlfn.IFNA(INDEX('TRA-W'!B$3:B$27,MATCH(1,(C44='TRA-W'!A$3:A$27)*(B44='TRA-W'!F$3:F$27),0)),"")</f>
        <v/>
      </c>
      <c r="E44" s="59" t="str">
        <f t="array" ref="E44">_xlfn.IFNA(IF(INDEX('TRA-W'!G$3:G$27,MATCH(1,(C44='TRA-W'!A$3:A$27)*(B44='TRA-W'!F$3:F$27),0))="P","P",""),"")</f>
        <v/>
      </c>
    </row>
    <row r="45" spans="1:5" hidden="1" x14ac:dyDescent="0.2">
      <c r="A45" s="52" t="str">
        <f t="shared" si="1"/>
        <v/>
      </c>
      <c r="B45" s="52" t="s">
        <v>37</v>
      </c>
      <c r="C45" s="52">
        <v>4</v>
      </c>
      <c r="D45" s="52" t="str">
        <f t="array" ref="D45">_xlfn.IFNA(INDEX('TRA-W'!B$3:B$27,MATCH(1,(C45='TRA-W'!A$3:A$27)*(B45='TRA-W'!F$3:F$27),0)),"")</f>
        <v/>
      </c>
      <c r="E45" s="59" t="str">
        <f t="array" ref="E45">_xlfn.IFNA(IF(INDEX('TRA-W'!G$3:G$27,MATCH(1,(C45='TRA-W'!A$3:A$27)*(B45='TRA-W'!F$3:F$27),0))="P","P",""),"")</f>
        <v/>
      </c>
    </row>
    <row r="46" spans="1:5" hidden="1" x14ac:dyDescent="0.2">
      <c r="A46" s="52" t="str">
        <f t="shared" si="1"/>
        <v/>
      </c>
      <c r="B46" s="52" t="s">
        <v>37</v>
      </c>
      <c r="C46" s="52">
        <v>5</v>
      </c>
      <c r="D46" s="52" t="str">
        <f t="array" ref="D46">_xlfn.IFNA(INDEX('TRA-W'!B$3:B$27,MATCH(1,(C46='TRA-W'!A$3:A$27)*(B46='TRA-W'!F$3:F$27),0)),"")</f>
        <v/>
      </c>
      <c r="E46" s="59" t="str">
        <f t="array" ref="E46">_xlfn.IFNA(IF(INDEX('TRA-W'!G$3:G$27,MATCH(1,(C46='TRA-W'!A$3:A$27)*(B46='TRA-W'!F$3:F$27),0))="P","P",""),"")</f>
        <v/>
      </c>
    </row>
    <row r="47" spans="1:5" hidden="1" x14ac:dyDescent="0.2">
      <c r="A47" s="52" t="str">
        <f t="shared" si="1"/>
        <v/>
      </c>
      <c r="B47" s="52" t="s">
        <v>37</v>
      </c>
      <c r="C47" s="52">
        <v>6</v>
      </c>
      <c r="D47" s="52" t="str">
        <f t="array" ref="D47">_xlfn.IFNA(INDEX('TRA-W'!B$3:B$27,MATCH(1,(C47='TRA-W'!A$3:A$27)*(B47='TRA-W'!F$3:F$27),0)),"")</f>
        <v/>
      </c>
      <c r="E47" s="59" t="str">
        <f t="array" ref="E47">_xlfn.IFNA(IF(INDEX('TRA-W'!G$3:G$27,MATCH(1,(C47='TRA-W'!A$3:A$27)*(B47='TRA-W'!F$3:F$27),0))="P","P",""),"")</f>
        <v/>
      </c>
    </row>
    <row r="48" spans="1:5" hidden="1" x14ac:dyDescent="0.2">
      <c r="A48" s="52" t="str">
        <f t="shared" si="1"/>
        <v/>
      </c>
      <c r="B48" s="52" t="s">
        <v>37</v>
      </c>
      <c r="C48" s="52">
        <v>7</v>
      </c>
      <c r="D48" s="52" t="str">
        <f t="array" ref="D48">_xlfn.IFNA(INDEX('TRA-W'!B$3:B$27,MATCH(1,(C48='TRA-W'!A$3:A$27)*(B48='TRA-W'!F$3:F$27),0)),"")</f>
        <v/>
      </c>
      <c r="E48" s="59" t="str">
        <f t="array" ref="E48">_xlfn.IFNA(IF(INDEX('TRA-W'!G$3:G$27,MATCH(1,(C48='TRA-W'!A$3:A$27)*(B48='TRA-W'!F$3:F$27),0))="P","P",""),"")</f>
        <v/>
      </c>
    </row>
    <row r="49" spans="1:5" hidden="1" x14ac:dyDescent="0.2">
      <c r="A49" s="52" t="str">
        <f t="shared" si="1"/>
        <v/>
      </c>
      <c r="B49" s="52" t="s">
        <v>37</v>
      </c>
      <c r="C49" s="52">
        <v>8</v>
      </c>
      <c r="D49" s="52" t="str">
        <f t="array" ref="D49">_xlfn.IFNA(INDEX('TRA-W'!B$3:B$27,MATCH(1,(C49='TRA-W'!A$3:A$27)*(B49='TRA-W'!F$3:F$27),0)),"")</f>
        <v/>
      </c>
      <c r="E49" s="59" t="str">
        <f t="array" ref="E49">_xlfn.IFNA(IF(INDEX('TRA-W'!G$3:G$27,MATCH(1,(C49='TRA-W'!A$3:A$27)*(B49='TRA-W'!F$3:F$27),0))="P","P",""),"")</f>
        <v/>
      </c>
    </row>
    <row r="50" spans="1:5" hidden="1" x14ac:dyDescent="0.2">
      <c r="A50" s="52" t="str">
        <f t="shared" si="1"/>
        <v/>
      </c>
      <c r="B50" s="52" t="s">
        <v>39</v>
      </c>
      <c r="C50" s="52">
        <v>1</v>
      </c>
      <c r="D50" s="52" t="str">
        <f t="array" ref="D50">_xlfn.IFNA(INDEX('TRA-W'!B$3:B$27,MATCH(1,(C50='TRA-W'!A$3:A$27)*(B50='TRA-W'!F$3:F$27),0)),"")</f>
        <v/>
      </c>
      <c r="E50" s="59" t="str">
        <f t="array" ref="E50">_xlfn.IFNA(IF(INDEX('TRA-W'!G$3:G$27,MATCH(1,(C50='TRA-W'!A$3:A$27)*(B50='TRA-W'!F$3:F$27),0))="P","P",""),"")</f>
        <v/>
      </c>
    </row>
    <row r="51" spans="1:5" hidden="1" x14ac:dyDescent="0.2">
      <c r="A51" s="52" t="str">
        <f t="shared" si="1"/>
        <v/>
      </c>
      <c r="B51" s="52" t="s">
        <v>39</v>
      </c>
      <c r="C51" s="52">
        <v>2</v>
      </c>
      <c r="D51" s="52" t="str">
        <f t="array" ref="D51">_xlfn.IFNA(INDEX('TRA-W'!B$3:B$27,MATCH(1,(C51='TRA-W'!A$3:A$27)*(B51='TRA-W'!F$3:F$27),0)),"")</f>
        <v/>
      </c>
      <c r="E51" s="59" t="str">
        <f t="array" ref="E51">_xlfn.IFNA(IF(INDEX('TRA-W'!G$3:G$27,MATCH(1,(C51='TRA-W'!A$3:A$27)*(B51='TRA-W'!F$3:F$27),0))="P","P",""),"")</f>
        <v/>
      </c>
    </row>
    <row r="52" spans="1:5" hidden="1" x14ac:dyDescent="0.2">
      <c r="A52" s="52" t="str">
        <f t="shared" si="1"/>
        <v/>
      </c>
      <c r="B52" s="52" t="s">
        <v>39</v>
      </c>
      <c r="C52" s="52">
        <v>3</v>
      </c>
      <c r="D52" s="52" t="str">
        <f t="array" ref="D52">_xlfn.IFNA(INDEX('TRA-W'!B$3:B$27,MATCH(1,(C52='TRA-W'!A$3:A$27)*(B52='TRA-W'!F$3:F$27),0)),"")</f>
        <v/>
      </c>
      <c r="E52" s="59" t="str">
        <f t="array" ref="E52">_xlfn.IFNA(IF(INDEX('TRA-W'!G$3:G$27,MATCH(1,(C52='TRA-W'!A$3:A$27)*(B52='TRA-W'!F$3:F$27),0))="P","P",""),"")</f>
        <v/>
      </c>
    </row>
    <row r="53" spans="1:5" hidden="1" x14ac:dyDescent="0.2">
      <c r="A53" s="52" t="str">
        <f t="shared" si="1"/>
        <v/>
      </c>
      <c r="B53" s="52" t="s">
        <v>39</v>
      </c>
      <c r="C53" s="52">
        <v>4</v>
      </c>
      <c r="D53" s="52" t="str">
        <f t="array" ref="D53">_xlfn.IFNA(INDEX('TRA-W'!B$3:B$27,MATCH(1,(C53='TRA-W'!A$3:A$27)*(B53='TRA-W'!F$3:F$27),0)),"")</f>
        <v/>
      </c>
      <c r="E53" s="59" t="str">
        <f t="array" ref="E53">_xlfn.IFNA(IF(INDEX('TRA-W'!G$3:G$27,MATCH(1,(C53='TRA-W'!A$3:A$27)*(B53='TRA-W'!F$3:F$27),0))="P","P",""),"")</f>
        <v/>
      </c>
    </row>
    <row r="54" spans="1:5" hidden="1" x14ac:dyDescent="0.2">
      <c r="A54" s="52" t="str">
        <f t="shared" si="1"/>
        <v/>
      </c>
      <c r="B54" s="52" t="s">
        <v>39</v>
      </c>
      <c r="C54" s="52">
        <v>5</v>
      </c>
      <c r="D54" s="52" t="str">
        <f t="array" ref="D54">_xlfn.IFNA(INDEX('TRA-W'!B$3:B$27,MATCH(1,(C54='TRA-W'!A$3:A$27)*(B54='TRA-W'!F$3:F$27),0)),"")</f>
        <v/>
      </c>
      <c r="E54" s="59" t="str">
        <f t="array" ref="E54">_xlfn.IFNA(IF(INDEX('TRA-W'!G$3:G$27,MATCH(1,(C54='TRA-W'!A$3:A$27)*(B54='TRA-W'!F$3:F$27),0))="P","P",""),"")</f>
        <v/>
      </c>
    </row>
    <row r="55" spans="1:5" hidden="1" x14ac:dyDescent="0.2">
      <c r="A55" s="52" t="str">
        <f t="shared" si="1"/>
        <v/>
      </c>
      <c r="B55" s="52" t="s">
        <v>39</v>
      </c>
      <c r="C55" s="52">
        <v>6</v>
      </c>
      <c r="D55" s="52" t="str">
        <f t="array" ref="D55">_xlfn.IFNA(INDEX('TRA-W'!B$3:B$27,MATCH(1,(C55='TRA-W'!A$3:A$27)*(B55='TRA-W'!F$3:F$27),0)),"")</f>
        <v/>
      </c>
      <c r="E55" s="59" t="str">
        <f t="array" ref="E55">_xlfn.IFNA(IF(INDEX('TRA-W'!G$3:G$27,MATCH(1,(C55='TRA-W'!A$3:A$27)*(B55='TRA-W'!F$3:F$27),0))="P","P",""),"")</f>
        <v/>
      </c>
    </row>
    <row r="56" spans="1:5" hidden="1" x14ac:dyDescent="0.2">
      <c r="A56" s="52" t="str">
        <f t="shared" si="1"/>
        <v/>
      </c>
      <c r="B56" s="52" t="s">
        <v>39</v>
      </c>
      <c r="C56" s="52">
        <v>7</v>
      </c>
      <c r="D56" s="52" t="str">
        <f t="array" ref="D56">_xlfn.IFNA(INDEX('TRA-W'!B$3:B$27,MATCH(1,(C56='TRA-W'!A$3:A$27)*(B56='TRA-W'!F$3:F$27),0)),"")</f>
        <v/>
      </c>
      <c r="E56" s="59" t="str">
        <f t="array" ref="E56">_xlfn.IFNA(IF(INDEX('TRA-W'!G$3:G$27,MATCH(1,(C56='TRA-W'!A$3:A$27)*(B56='TRA-W'!F$3:F$27),0))="P","P",""),"")</f>
        <v/>
      </c>
    </row>
    <row r="57" spans="1:5" hidden="1" x14ac:dyDescent="0.2">
      <c r="A57" s="52" t="str">
        <f t="shared" si="1"/>
        <v/>
      </c>
      <c r="B57" s="52" t="s">
        <v>39</v>
      </c>
      <c r="C57" s="52">
        <v>8</v>
      </c>
      <c r="D57" s="52" t="str">
        <f t="array" ref="D57">_xlfn.IFNA(INDEX('TRA-W'!B$3:B$27,MATCH(1,(C57='TRA-W'!A$3:A$27)*(B57='TRA-W'!F$3:F$27),0)),"")</f>
        <v/>
      </c>
      <c r="E57" s="59" t="str">
        <f t="array" ref="E57">_xlfn.IFNA(IF(INDEX('TRA-W'!G$3:G$27,MATCH(1,(C57='TRA-W'!A$3:A$27)*(B57='TRA-W'!F$3:F$27),0))="P","P",""),"")</f>
        <v/>
      </c>
    </row>
    <row r="58" spans="1:5" x14ac:dyDescent="0.2">
      <c r="A58" s="52" t="str">
        <f t="shared" si="1"/>
        <v>TRA-W</v>
      </c>
      <c r="B58" s="52" t="s">
        <v>40</v>
      </c>
      <c r="C58" s="52">
        <v>1</v>
      </c>
      <c r="D58" s="52" t="str">
        <f t="array" ref="D58">_xlfn.IFNA(INDEX('TRA-W'!B$3:B$27,MATCH(1,(C58='TRA-W'!A$3:A$27)*(B58='TRA-W'!F$3:F$27),0)),"")</f>
        <v>BERTHIAUME, Sara-Jade</v>
      </c>
      <c r="E58" s="59" t="str">
        <f t="array" ref="E58">_xlfn.IFNA(IF(INDEX('TRA-W'!G$3:G$27,MATCH(1,(C58='TRA-W'!A$3:A$27)*(B58='TRA-W'!F$3:F$27),0))="P","P",""),"")</f>
        <v>P</v>
      </c>
    </row>
    <row r="59" spans="1:5" x14ac:dyDescent="0.2">
      <c r="A59" s="52" t="str">
        <f t="shared" si="1"/>
        <v>TRA-W</v>
      </c>
      <c r="B59" s="52" t="s">
        <v>40</v>
      </c>
      <c r="C59" s="52">
        <v>2</v>
      </c>
      <c r="D59" s="52" t="str">
        <f t="array" ref="D59">_xlfn.IFNA(INDEX('TRA-W'!B$3:B$27,MATCH(1,(C59='TRA-W'!A$3:A$27)*(B59='TRA-W'!F$3:F$27),0)),"")</f>
        <v>BONHAM, Maja</v>
      </c>
      <c r="E59" s="59" t="str">
        <f t="array" ref="E59">_xlfn.IFNA(IF(INDEX('TRA-W'!G$3:G$27,MATCH(1,(C59='TRA-W'!A$3:A$27)*(B59='TRA-W'!F$3:F$27),0))="P","P",""),"")</f>
        <v>P</v>
      </c>
    </row>
    <row r="60" spans="1:5" x14ac:dyDescent="0.2">
      <c r="A60" s="52" t="str">
        <f t="shared" si="1"/>
        <v>TRA-W</v>
      </c>
      <c r="B60" s="52" t="s">
        <v>40</v>
      </c>
      <c r="C60" s="52">
        <v>3</v>
      </c>
      <c r="D60" s="52" t="str">
        <f t="array" ref="D60">_xlfn.IFNA(INDEX('TRA-W'!B$3:B$27,MATCH(1,(C60='TRA-W'!A$3:A$27)*(B60='TRA-W'!F$3:F$27),0)),"")</f>
        <v>FLYNN, Gabriella</v>
      </c>
      <c r="E60" s="59" t="str">
        <f t="array" ref="E60">_xlfn.IFNA(IF(INDEX('TRA-W'!G$3:G$27,MATCH(1,(C60='TRA-W'!A$3:A$27)*(B60='TRA-W'!F$3:F$27),0))="P","P",""),"")</f>
        <v>P</v>
      </c>
    </row>
    <row r="61" spans="1:5" hidden="1" x14ac:dyDescent="0.2">
      <c r="A61" s="52" t="str">
        <f t="shared" si="1"/>
        <v/>
      </c>
      <c r="B61" s="52" t="s">
        <v>40</v>
      </c>
      <c r="C61" s="52">
        <v>4</v>
      </c>
      <c r="D61" s="52" t="str">
        <f t="array" ref="D61">_xlfn.IFNA(INDEX('TRA-W'!B$3:B$27,MATCH(1,(C61='TRA-W'!A$3:A$27)*(B61='TRA-W'!F$3:F$27),0)),"")</f>
        <v/>
      </c>
      <c r="E61" s="59" t="str">
        <f t="array" ref="E61">_xlfn.IFNA(IF(INDEX('TRA-W'!G$3:G$27,MATCH(1,(C61='TRA-W'!A$3:A$27)*(B61='TRA-W'!F$3:F$27),0))="P","P",""),"")</f>
        <v/>
      </c>
    </row>
    <row r="62" spans="1:5" hidden="1" x14ac:dyDescent="0.2">
      <c r="A62" s="52" t="str">
        <f t="shared" si="1"/>
        <v/>
      </c>
      <c r="B62" s="52" t="s">
        <v>40</v>
      </c>
      <c r="C62" s="52">
        <v>5</v>
      </c>
      <c r="D62" s="52" t="str">
        <f t="array" ref="D62">_xlfn.IFNA(INDEX('TRA-W'!B$3:B$27,MATCH(1,(C62='TRA-W'!A$3:A$27)*(B62='TRA-W'!F$3:F$27),0)),"")</f>
        <v/>
      </c>
      <c r="E62" s="59" t="str">
        <f t="array" ref="E62">_xlfn.IFNA(IF(INDEX('TRA-W'!G$3:G$27,MATCH(1,(C62='TRA-W'!A$3:A$27)*(B62='TRA-W'!F$3:F$27),0))="P","P",""),"")</f>
        <v/>
      </c>
    </row>
    <row r="63" spans="1:5" hidden="1" x14ac:dyDescent="0.2">
      <c r="A63" s="52" t="str">
        <f t="shared" si="1"/>
        <v/>
      </c>
      <c r="B63" s="52" t="s">
        <v>40</v>
      </c>
      <c r="C63" s="52">
        <v>6</v>
      </c>
      <c r="D63" s="52" t="str">
        <f t="array" ref="D63">_xlfn.IFNA(INDEX('TRA-W'!B$3:B$27,MATCH(1,(C63='TRA-W'!A$3:A$27)*(B63='TRA-W'!F$3:F$27),0)),"")</f>
        <v/>
      </c>
      <c r="E63" s="59" t="str">
        <f t="array" ref="E63">_xlfn.IFNA(IF(INDEX('TRA-W'!G$3:G$27,MATCH(1,(C63='TRA-W'!A$3:A$27)*(B63='TRA-W'!F$3:F$27),0))="P","P",""),"")</f>
        <v/>
      </c>
    </row>
    <row r="64" spans="1:5" hidden="1" x14ac:dyDescent="0.2">
      <c r="A64" s="52" t="str">
        <f t="shared" si="1"/>
        <v/>
      </c>
      <c r="B64" s="52" t="s">
        <v>40</v>
      </c>
      <c r="C64" s="52">
        <v>7</v>
      </c>
      <c r="D64" s="52" t="str">
        <f t="array" ref="D64">_xlfn.IFNA(INDEX('TRA-W'!B$3:B$27,MATCH(1,(C64='TRA-W'!A$3:A$27)*(B64='TRA-W'!F$3:F$27),0)),"")</f>
        <v/>
      </c>
      <c r="E64" s="59" t="str">
        <f t="array" ref="E64">_xlfn.IFNA(IF(INDEX('TRA-W'!G$3:G$27,MATCH(1,(C64='TRA-W'!A$3:A$27)*(B64='TRA-W'!F$3:F$27),0))="P","P",""),"")</f>
        <v/>
      </c>
    </row>
    <row r="65" spans="1:5" hidden="1" x14ac:dyDescent="0.2">
      <c r="A65" s="52" t="str">
        <f t="shared" si="1"/>
        <v/>
      </c>
      <c r="B65" s="52" t="s">
        <v>40</v>
      </c>
      <c r="C65" s="52">
        <v>8</v>
      </c>
      <c r="D65" s="52" t="str">
        <f t="array" ref="D65">_xlfn.IFNA(INDEX('TRA-W'!B$3:B$27,MATCH(1,(C65='TRA-W'!A$3:A$27)*(B65='TRA-W'!F$3:F$27),0)),"")</f>
        <v/>
      </c>
      <c r="E65" s="59" t="str">
        <f t="array" ref="E65">_xlfn.IFNA(IF(INDEX('TRA-W'!G$3:G$27,MATCH(1,(C65='TRA-W'!A$3:A$27)*(B65='TRA-W'!F$3:F$27),0))="P","P",""),"")</f>
        <v/>
      </c>
    </row>
    <row r="66" spans="1:5" hidden="1" x14ac:dyDescent="0.2">
      <c r="A66" s="50" t="str">
        <f>IF(D66="","","SYN-M")</f>
        <v/>
      </c>
      <c r="B66" s="51" t="s">
        <v>38</v>
      </c>
      <c r="C66" s="50">
        <v>1</v>
      </c>
      <c r="D66" s="50" t="str">
        <f t="array" ref="D66">_xlfn.IFNA(INDEX('SYN-M'!B$3:B$4,MATCH(1,(C66='SYN-M'!A$3:A$4)*(B66='SYN-M'!F$3:F$4),0)),"")</f>
        <v/>
      </c>
      <c r="E66" s="58" t="str">
        <f t="array" ref="E66">_xlfn.IFNA(IF(INDEX('SYN-M'!G$3:G$4,MATCH(1,(C66='SYN-M'!A$3:A$4)*(B66='SYN-M'!F$3:F$4),0))="P","P",""),"")</f>
        <v/>
      </c>
    </row>
    <row r="67" spans="1:5" hidden="1" x14ac:dyDescent="0.2">
      <c r="A67" s="50" t="str">
        <f t="shared" ref="A67:A81" si="2">IF(D67="","","SYN-M")</f>
        <v/>
      </c>
      <c r="B67" s="51" t="s">
        <v>38</v>
      </c>
      <c r="C67" s="50">
        <v>2</v>
      </c>
      <c r="D67" s="50" t="str">
        <f t="array" ref="D67">_xlfn.IFNA(INDEX('SYN-M'!B$3:B$4,MATCH(1,(C67='SYN-M'!A$3:A$4)*(B67='SYN-M'!F$3:F$4),0)),"")</f>
        <v/>
      </c>
      <c r="E67" s="58" t="str">
        <f t="array" ref="E67">_xlfn.IFNA(IF(INDEX('SYN-M'!G$3:G$4,MATCH(1,(C67='SYN-M'!A$3:A$4)*(B67='SYN-M'!F$3:F$4),0))="P","P",""),"")</f>
        <v/>
      </c>
    </row>
    <row r="68" spans="1:5" hidden="1" x14ac:dyDescent="0.2">
      <c r="A68" s="50" t="str">
        <f t="shared" si="2"/>
        <v/>
      </c>
      <c r="B68" s="51" t="s">
        <v>38</v>
      </c>
      <c r="C68" s="50">
        <v>3</v>
      </c>
      <c r="D68" s="50" t="str">
        <f t="array" ref="D68">_xlfn.IFNA(INDEX('SYN-M'!B$3:B$4,MATCH(1,(C68='SYN-M'!A$3:A$4)*(B68='SYN-M'!F$3:F$4),0)),"")</f>
        <v/>
      </c>
      <c r="E68" s="58" t="str">
        <f t="array" ref="E68">_xlfn.IFNA(IF(INDEX('SYN-M'!G$3:G$4,MATCH(1,(C68='SYN-M'!A$3:A$4)*(B68='SYN-M'!F$3:F$4),0))="P","P",""),"")</f>
        <v/>
      </c>
    </row>
    <row r="69" spans="1:5" hidden="1" x14ac:dyDescent="0.2">
      <c r="A69" s="50" t="str">
        <f t="shared" si="2"/>
        <v/>
      </c>
      <c r="B69" s="51" t="s">
        <v>38</v>
      </c>
      <c r="C69" s="50">
        <v>4</v>
      </c>
      <c r="D69" s="50" t="str">
        <f t="array" ref="D69">_xlfn.IFNA(INDEX('SYN-M'!B$3:B$4,MATCH(1,(C69='SYN-M'!A$3:A$4)*(B69='SYN-M'!F$3:F$4),0)),"")</f>
        <v/>
      </c>
      <c r="E69" s="58" t="str">
        <f t="array" ref="E69">_xlfn.IFNA(IF(INDEX('SYN-M'!G$3:G$4,MATCH(1,(C69='SYN-M'!A$3:A$4)*(B69='SYN-M'!F$3:F$4),0))="P","P",""),"")</f>
        <v/>
      </c>
    </row>
    <row r="70" spans="1:5" hidden="1" x14ac:dyDescent="0.2">
      <c r="A70" s="50" t="str">
        <f t="shared" si="2"/>
        <v/>
      </c>
      <c r="B70" s="50" t="s">
        <v>37</v>
      </c>
      <c r="C70" s="50">
        <v>1</v>
      </c>
      <c r="D70" s="50" t="str">
        <f t="array" ref="D70">_xlfn.IFNA(INDEX('SYN-M'!B$3:B$4,MATCH(1,(C70='SYN-M'!A$3:A$4)*(B70='SYN-M'!F$3:F$4),0)),"")</f>
        <v/>
      </c>
      <c r="E70" s="58" t="str">
        <f t="array" ref="E70">_xlfn.IFNA(IF(INDEX('SYN-M'!G$3:G$4,MATCH(1,(C70='SYN-M'!A$3:A$4)*(B70='SYN-M'!F$3:F$4),0))="P","P",""),"")</f>
        <v/>
      </c>
    </row>
    <row r="71" spans="1:5" hidden="1" x14ac:dyDescent="0.2">
      <c r="A71" s="50" t="str">
        <f t="shared" si="2"/>
        <v/>
      </c>
      <c r="B71" s="50" t="s">
        <v>37</v>
      </c>
      <c r="C71" s="50">
        <v>2</v>
      </c>
      <c r="D71" s="50" t="str">
        <f t="array" ref="D71">_xlfn.IFNA(INDEX('SYN-M'!B$3:B$4,MATCH(1,(C71='SYN-M'!A$3:A$4)*(B71='SYN-M'!F$3:F$4),0)),"")</f>
        <v/>
      </c>
      <c r="E71" s="58" t="str">
        <f t="array" ref="E71">_xlfn.IFNA(IF(INDEX('SYN-M'!G$3:G$4,MATCH(1,(C71='SYN-M'!A$3:A$4)*(B71='SYN-M'!F$3:F$4),0))="P","P",""),"")</f>
        <v/>
      </c>
    </row>
    <row r="72" spans="1:5" hidden="1" x14ac:dyDescent="0.2">
      <c r="A72" s="50" t="str">
        <f t="shared" si="2"/>
        <v/>
      </c>
      <c r="B72" s="50" t="s">
        <v>37</v>
      </c>
      <c r="C72" s="50">
        <v>3</v>
      </c>
      <c r="D72" s="50" t="str">
        <f t="array" ref="D72">_xlfn.IFNA(INDEX('SYN-M'!B$3:B$4,MATCH(1,(C72='SYN-M'!A$3:A$4)*(B72='SYN-M'!F$3:F$4),0)),"")</f>
        <v/>
      </c>
      <c r="E72" s="58" t="str">
        <f t="array" ref="E72">_xlfn.IFNA(IF(INDEX('SYN-M'!G$3:G$4,MATCH(1,(C72='SYN-M'!A$3:A$4)*(B72='SYN-M'!F$3:F$4),0))="P","P",""),"")</f>
        <v/>
      </c>
    </row>
    <row r="73" spans="1:5" hidden="1" x14ac:dyDescent="0.2">
      <c r="A73" s="50" t="str">
        <f t="shared" si="2"/>
        <v/>
      </c>
      <c r="B73" s="50" t="s">
        <v>37</v>
      </c>
      <c r="C73" s="50">
        <v>4</v>
      </c>
      <c r="D73" s="50" t="str">
        <f t="array" ref="D73">_xlfn.IFNA(INDEX('SYN-M'!B$3:B$4,MATCH(1,(C73='SYN-M'!A$3:A$4)*(B73='SYN-M'!F$3:F$4),0)),"")</f>
        <v/>
      </c>
      <c r="E73" s="58" t="str">
        <f t="array" ref="E73">_xlfn.IFNA(IF(INDEX('SYN-M'!G$3:G$4,MATCH(1,(C73='SYN-M'!A$3:A$4)*(B73='SYN-M'!F$3:F$4),0))="P","P",""),"")</f>
        <v/>
      </c>
    </row>
    <row r="74" spans="1:5" hidden="1" x14ac:dyDescent="0.2">
      <c r="A74" s="50" t="str">
        <f t="shared" si="2"/>
        <v/>
      </c>
      <c r="B74" s="50" t="s">
        <v>39</v>
      </c>
      <c r="C74" s="50">
        <v>1</v>
      </c>
      <c r="D74" s="50" t="str">
        <f t="array" ref="D74">_xlfn.IFNA(INDEX('SYN-M'!B$3:B$4,MATCH(1,(C74='SYN-M'!A$3:A$4)*(B74='SYN-M'!F$3:F$4),0)),"")</f>
        <v/>
      </c>
      <c r="E74" s="58" t="str">
        <f t="array" ref="E74">_xlfn.IFNA(IF(INDEX('SYN-M'!G$3:G$4,MATCH(1,(C74='SYN-M'!A$3:A$4)*(B74='SYN-M'!F$3:F$4),0))="P","P",""),"")</f>
        <v/>
      </c>
    </row>
    <row r="75" spans="1:5" hidden="1" x14ac:dyDescent="0.2">
      <c r="A75" s="50" t="str">
        <f t="shared" si="2"/>
        <v/>
      </c>
      <c r="B75" s="50" t="s">
        <v>39</v>
      </c>
      <c r="C75" s="50">
        <v>2</v>
      </c>
      <c r="D75" s="50" t="str">
        <f t="array" ref="D75">_xlfn.IFNA(INDEX('SYN-M'!B$3:B$4,MATCH(1,(C75='SYN-M'!A$3:A$4)*(B75='SYN-M'!F$3:F$4),0)),"")</f>
        <v/>
      </c>
      <c r="E75" s="58" t="str">
        <f t="array" ref="E75">_xlfn.IFNA(IF(INDEX('SYN-M'!G$3:G$4,MATCH(1,(C75='SYN-M'!A$3:A$4)*(B75='SYN-M'!F$3:F$4),0))="P","P",""),"")</f>
        <v/>
      </c>
    </row>
    <row r="76" spans="1:5" hidden="1" x14ac:dyDescent="0.2">
      <c r="A76" s="50" t="str">
        <f t="shared" si="2"/>
        <v/>
      </c>
      <c r="B76" s="50" t="s">
        <v>39</v>
      </c>
      <c r="C76" s="50">
        <v>3</v>
      </c>
      <c r="D76" s="50" t="str">
        <f t="array" ref="D76">_xlfn.IFNA(INDEX('SYN-M'!B$3:B$4,MATCH(1,(C76='SYN-M'!A$3:A$4)*(B76='SYN-M'!F$3:F$4),0)),"")</f>
        <v/>
      </c>
      <c r="E76" s="58" t="str">
        <f t="array" ref="E76">_xlfn.IFNA(IF(INDEX('SYN-M'!G$3:G$4,MATCH(1,(C76='SYN-M'!A$3:A$4)*(B76='SYN-M'!F$3:F$4),0))="P","P",""),"")</f>
        <v/>
      </c>
    </row>
    <row r="77" spans="1:5" hidden="1" x14ac:dyDescent="0.2">
      <c r="A77" s="50" t="str">
        <f t="shared" si="2"/>
        <v/>
      </c>
      <c r="B77" s="50" t="s">
        <v>39</v>
      </c>
      <c r="C77" s="50">
        <v>4</v>
      </c>
      <c r="D77" s="50" t="str">
        <f t="array" ref="D77">_xlfn.IFNA(INDEX('SYN-M'!B$3:B$4,MATCH(1,(C77='SYN-M'!A$3:A$4)*(B77='SYN-M'!F$3:F$4),0)),"")</f>
        <v/>
      </c>
      <c r="E77" s="58" t="str">
        <f t="array" ref="E77">_xlfn.IFNA(IF(INDEX('SYN-M'!G$3:G$4,MATCH(1,(C77='SYN-M'!A$3:A$4)*(B77='SYN-M'!F$3:F$4),0))="P","P",""),"")</f>
        <v/>
      </c>
    </row>
    <row r="78" spans="1:5" hidden="1" x14ac:dyDescent="0.2">
      <c r="A78" s="50" t="str">
        <f t="shared" si="2"/>
        <v/>
      </c>
      <c r="B78" s="50" t="s">
        <v>40</v>
      </c>
      <c r="C78" s="50">
        <v>1</v>
      </c>
      <c r="D78" s="50" t="str">
        <f t="array" ref="D78">_xlfn.IFNA(INDEX('SYN-M'!B$3:B$4,MATCH(1,(C78='SYN-M'!A$3:A$4)*(B78='SYN-M'!F$3:F$4),0)),"")</f>
        <v/>
      </c>
      <c r="E78" s="58" t="str">
        <f t="array" ref="E78">_xlfn.IFNA(IF(INDEX('SYN-M'!G$3:G$4,MATCH(1,(C78='SYN-M'!A$3:A$4)*(B78='SYN-M'!F$3:F$4),0))="P","P",""),"")</f>
        <v/>
      </c>
    </row>
    <row r="79" spans="1:5" hidden="1" x14ac:dyDescent="0.2">
      <c r="A79" s="50" t="str">
        <f t="shared" si="2"/>
        <v/>
      </c>
      <c r="B79" s="50" t="s">
        <v>40</v>
      </c>
      <c r="C79" s="50">
        <v>2</v>
      </c>
      <c r="D79" s="50" t="str">
        <f t="array" ref="D79">_xlfn.IFNA(INDEX('SYN-M'!B$3:B$4,MATCH(1,(C79='SYN-M'!A$3:A$4)*(B79='SYN-M'!F$3:F$4),0)),"")</f>
        <v/>
      </c>
      <c r="E79" s="58" t="str">
        <f t="array" ref="E79">_xlfn.IFNA(IF(INDEX('SYN-M'!G$3:G$4,MATCH(1,(C79='SYN-M'!A$3:A$4)*(B79='SYN-M'!F$3:F$4),0))="P","P",""),"")</f>
        <v/>
      </c>
    </row>
    <row r="80" spans="1:5" hidden="1" x14ac:dyDescent="0.2">
      <c r="A80" s="50" t="str">
        <f t="shared" si="2"/>
        <v/>
      </c>
      <c r="B80" s="50" t="s">
        <v>40</v>
      </c>
      <c r="C80" s="50">
        <v>3</v>
      </c>
      <c r="D80" s="50" t="str">
        <f t="array" ref="D80">_xlfn.IFNA(INDEX('SYN-M'!B$3:B$4,MATCH(1,(C80='SYN-M'!A$3:A$4)*(B80='SYN-M'!F$3:F$4),0)),"")</f>
        <v/>
      </c>
      <c r="E80" s="58" t="str">
        <f t="array" ref="E80">_xlfn.IFNA(IF(INDEX('SYN-M'!G$3:G$4,MATCH(1,(C80='SYN-M'!A$3:A$4)*(B80='SYN-M'!F$3:F$4),0))="P","P",""),"")</f>
        <v/>
      </c>
    </row>
    <row r="81" spans="1:5" hidden="1" x14ac:dyDescent="0.2">
      <c r="A81" s="50" t="str">
        <f t="shared" si="2"/>
        <v/>
      </c>
      <c r="B81" s="50" t="s">
        <v>40</v>
      </c>
      <c r="C81" s="50">
        <v>4</v>
      </c>
      <c r="D81" s="50" t="str">
        <f t="array" ref="D81">_xlfn.IFNA(INDEX('SYN-M'!B$3:B$4,MATCH(1,(C81='SYN-M'!A$3:A$4)*(B81='SYN-M'!F$3:F$4),0)),"")</f>
        <v/>
      </c>
      <c r="E81" s="58" t="str">
        <f t="array" ref="E81">_xlfn.IFNA(IF(INDEX('SYN-M'!G$3:G$4,MATCH(1,(C81='SYN-M'!A$3:A$4)*(B81='SYN-M'!F$3:F$4),0))="P","P",""),"")</f>
        <v/>
      </c>
    </row>
    <row r="82" spans="1:5" hidden="1" x14ac:dyDescent="0.2">
      <c r="A82" s="52" t="str">
        <f>IF(D82="","","SYN-W")</f>
        <v/>
      </c>
      <c r="B82" s="53" t="s">
        <v>38</v>
      </c>
      <c r="C82" s="52">
        <v>1</v>
      </c>
      <c r="D82" s="52" t="str">
        <f t="array" ref="D82">_xlfn.IFNA(INDEX('SYN-W'!B$3:B$4,MATCH(1,(C82='SYN-W'!A$3:A$4)*(B82='SYN-W'!F$3:F$4),0)),"")</f>
        <v/>
      </c>
      <c r="E82" s="59" t="str">
        <f t="array" ref="E82">_xlfn.IFNA(IF(INDEX('SYN-W'!G$3:G$4,MATCH(1,(C82='SYN-W'!A$3:A$4)*(B82='SYN-W'!F$3:F$4),0))="P","P",""),"")</f>
        <v/>
      </c>
    </row>
    <row r="83" spans="1:5" hidden="1" x14ac:dyDescent="0.2">
      <c r="A83" s="52" t="str">
        <f t="shared" ref="A83:A97" si="3">IF(D83="","","SYN-W")</f>
        <v/>
      </c>
      <c r="B83" s="53" t="s">
        <v>38</v>
      </c>
      <c r="C83" s="52">
        <v>2</v>
      </c>
      <c r="D83" s="52" t="str">
        <f t="array" ref="D83">_xlfn.IFNA(INDEX('SYN-W'!B$3:B$4,MATCH(1,(C83='SYN-W'!A$3:A$4)*(B83='SYN-W'!F$3:F$4),0)),"")</f>
        <v/>
      </c>
      <c r="E83" s="59" t="str">
        <f t="array" ref="E83">_xlfn.IFNA(IF(INDEX('SYN-W'!G$3:G$4,MATCH(1,(C83='SYN-W'!A$3:A$4)*(B83='SYN-W'!F$3:F$4),0))="P","P",""),"")</f>
        <v/>
      </c>
    </row>
    <row r="84" spans="1:5" hidden="1" x14ac:dyDescent="0.2">
      <c r="A84" s="52" t="str">
        <f t="shared" si="3"/>
        <v/>
      </c>
      <c r="B84" s="53" t="s">
        <v>38</v>
      </c>
      <c r="C84" s="52">
        <v>3</v>
      </c>
      <c r="D84" s="52" t="str">
        <f t="array" ref="D84">_xlfn.IFNA(INDEX('SYN-W'!B$3:B$4,MATCH(1,(C84='SYN-W'!A$3:A$4)*(B84='SYN-W'!F$3:F$4),0)),"")</f>
        <v/>
      </c>
      <c r="E84" s="59" t="str">
        <f t="array" ref="E84">_xlfn.IFNA(IF(INDEX('SYN-W'!G$3:G$4,MATCH(1,(C84='SYN-W'!A$3:A$4)*(B84='SYN-W'!F$3:F$4),0))="P","P",""),"")</f>
        <v/>
      </c>
    </row>
    <row r="85" spans="1:5" hidden="1" x14ac:dyDescent="0.2">
      <c r="A85" s="52" t="str">
        <f t="shared" si="3"/>
        <v/>
      </c>
      <c r="B85" s="53" t="s">
        <v>38</v>
      </c>
      <c r="C85" s="52">
        <v>4</v>
      </c>
      <c r="D85" s="52" t="str">
        <f t="array" ref="D85">_xlfn.IFNA(INDEX('SYN-W'!B$3:B$4,MATCH(1,(C85='SYN-W'!A$3:A$4)*(B85='SYN-W'!F$3:F$4),0)),"")</f>
        <v/>
      </c>
      <c r="E85" s="59" t="str">
        <f t="array" ref="E85">_xlfn.IFNA(IF(INDEX('SYN-W'!G$3:G$4,MATCH(1,(C85='SYN-W'!A$3:A$4)*(B85='SYN-W'!F$3:F$4),0))="P","P",""),"")</f>
        <v/>
      </c>
    </row>
    <row r="86" spans="1:5" hidden="1" x14ac:dyDescent="0.2">
      <c r="A86" s="52" t="str">
        <f t="shared" si="3"/>
        <v/>
      </c>
      <c r="B86" s="52" t="s">
        <v>37</v>
      </c>
      <c r="C86" s="52">
        <v>1</v>
      </c>
      <c r="D86" s="52" t="str">
        <f t="array" ref="D86">_xlfn.IFNA(INDEX('SYN-W'!B$3:B$4,MATCH(1,(C86='SYN-W'!A$3:A$4)*(B86='SYN-W'!F$3:F$4),0)),"")</f>
        <v/>
      </c>
      <c r="E86" s="59" t="str">
        <f t="array" ref="E86">_xlfn.IFNA(IF(INDEX('SYN-W'!G$3:G$4,MATCH(1,(C86='SYN-W'!A$3:A$4)*(B86='SYN-W'!F$3:F$4),0))="P","P",""),"")</f>
        <v/>
      </c>
    </row>
    <row r="87" spans="1:5" hidden="1" x14ac:dyDescent="0.2">
      <c r="A87" s="52" t="str">
        <f t="shared" si="3"/>
        <v/>
      </c>
      <c r="B87" s="52" t="s">
        <v>37</v>
      </c>
      <c r="C87" s="52">
        <v>2</v>
      </c>
      <c r="D87" s="52" t="str">
        <f t="array" ref="D87">_xlfn.IFNA(INDEX('SYN-W'!B$3:B$4,MATCH(1,(C87='SYN-W'!A$3:A$4)*(B87='SYN-W'!F$3:F$4),0)),"")</f>
        <v/>
      </c>
      <c r="E87" s="59" t="str">
        <f t="array" ref="E87">_xlfn.IFNA(IF(INDEX('SYN-W'!G$3:G$4,MATCH(1,(C87='SYN-W'!A$3:A$4)*(B87='SYN-W'!F$3:F$4),0))="P","P",""),"")</f>
        <v/>
      </c>
    </row>
    <row r="88" spans="1:5" hidden="1" x14ac:dyDescent="0.2">
      <c r="A88" s="52" t="str">
        <f t="shared" si="3"/>
        <v/>
      </c>
      <c r="B88" s="52" t="s">
        <v>37</v>
      </c>
      <c r="C88" s="52">
        <v>3</v>
      </c>
      <c r="D88" s="52" t="str">
        <f t="array" ref="D88">_xlfn.IFNA(INDEX('SYN-W'!B$3:B$4,MATCH(1,(C88='SYN-W'!A$3:A$4)*(B88='SYN-W'!F$3:F$4),0)),"")</f>
        <v/>
      </c>
      <c r="E88" s="59" t="str">
        <f t="array" ref="E88">_xlfn.IFNA(IF(INDEX('SYN-W'!G$3:G$4,MATCH(1,(C88='SYN-W'!A$3:A$4)*(B88='SYN-W'!F$3:F$4),0))="P","P",""),"")</f>
        <v/>
      </c>
    </row>
    <row r="89" spans="1:5" hidden="1" x14ac:dyDescent="0.2">
      <c r="A89" s="52" t="str">
        <f t="shared" si="3"/>
        <v/>
      </c>
      <c r="B89" s="52" t="s">
        <v>37</v>
      </c>
      <c r="C89" s="52">
        <v>4</v>
      </c>
      <c r="D89" s="52" t="str">
        <f t="array" ref="D89">_xlfn.IFNA(INDEX('SYN-W'!B$3:B$4,MATCH(1,(C89='SYN-W'!A$3:A$4)*(B89='SYN-W'!F$3:F$4),0)),"")</f>
        <v/>
      </c>
      <c r="E89" s="59" t="str">
        <f t="array" ref="E89">_xlfn.IFNA(IF(INDEX('SYN-W'!G$3:G$4,MATCH(1,(C89='SYN-W'!A$3:A$4)*(B89='SYN-W'!F$3:F$4),0))="P","P",""),"")</f>
        <v/>
      </c>
    </row>
    <row r="90" spans="1:5" hidden="1" x14ac:dyDescent="0.2">
      <c r="A90" s="52" t="str">
        <f t="shared" si="3"/>
        <v/>
      </c>
      <c r="B90" s="52" t="s">
        <v>39</v>
      </c>
      <c r="C90" s="52">
        <v>1</v>
      </c>
      <c r="D90" s="52" t="str">
        <f t="array" ref="D90">_xlfn.IFNA(INDEX('SYN-W'!B$3:B$4,MATCH(1,(C90='SYN-W'!A$3:A$4)*(B90='SYN-W'!F$3:F$4),0)),"")</f>
        <v/>
      </c>
      <c r="E90" s="59" t="str">
        <f t="array" ref="E90">_xlfn.IFNA(IF(INDEX('SYN-W'!G$3:G$4,MATCH(1,(C90='SYN-W'!A$3:A$4)*(B90='SYN-W'!F$3:F$4),0))="P","P",""),"")</f>
        <v/>
      </c>
    </row>
    <row r="91" spans="1:5" hidden="1" x14ac:dyDescent="0.2">
      <c r="A91" s="52" t="str">
        <f t="shared" si="3"/>
        <v/>
      </c>
      <c r="B91" s="52" t="s">
        <v>39</v>
      </c>
      <c r="C91" s="52">
        <v>2</v>
      </c>
      <c r="D91" s="52" t="str">
        <f t="array" ref="D91">_xlfn.IFNA(INDEX('SYN-W'!B$3:B$4,MATCH(1,(C91='SYN-W'!A$3:A$4)*(B91='SYN-W'!F$3:F$4),0)),"")</f>
        <v/>
      </c>
      <c r="E91" s="59" t="str">
        <f t="array" ref="E91">_xlfn.IFNA(IF(INDEX('SYN-W'!G$3:G$4,MATCH(1,(C91='SYN-W'!A$3:A$4)*(B91='SYN-W'!F$3:F$4),0))="P","P",""),"")</f>
        <v/>
      </c>
    </row>
    <row r="92" spans="1:5" hidden="1" x14ac:dyDescent="0.2">
      <c r="A92" s="52" t="str">
        <f t="shared" si="3"/>
        <v/>
      </c>
      <c r="B92" s="52" t="s">
        <v>39</v>
      </c>
      <c r="C92" s="52">
        <v>3</v>
      </c>
      <c r="D92" s="52" t="str">
        <f t="array" ref="D92">_xlfn.IFNA(INDEX('SYN-W'!B$3:B$4,MATCH(1,(C92='SYN-W'!A$3:A$4)*(B92='SYN-W'!F$3:F$4),0)),"")</f>
        <v/>
      </c>
      <c r="E92" s="59" t="str">
        <f t="array" ref="E92">_xlfn.IFNA(IF(INDEX('SYN-W'!G$3:G$4,MATCH(1,(C92='SYN-W'!A$3:A$4)*(B92='SYN-W'!F$3:F$4),0))="P","P",""),"")</f>
        <v/>
      </c>
    </row>
    <row r="93" spans="1:5" hidden="1" x14ac:dyDescent="0.2">
      <c r="A93" s="52" t="str">
        <f t="shared" si="3"/>
        <v/>
      </c>
      <c r="B93" s="52" t="s">
        <v>39</v>
      </c>
      <c r="C93" s="52">
        <v>4</v>
      </c>
      <c r="D93" s="52" t="str">
        <f t="array" ref="D93">_xlfn.IFNA(INDEX('SYN-W'!B$3:B$4,MATCH(1,(C93='SYN-W'!A$3:A$4)*(B93='SYN-W'!F$3:F$4),0)),"")</f>
        <v/>
      </c>
      <c r="E93" s="59" t="str">
        <f t="array" ref="E93">_xlfn.IFNA(IF(INDEX('SYN-W'!G$3:G$4,MATCH(1,(C93='SYN-W'!A$3:A$4)*(B93='SYN-W'!F$3:F$4),0))="P","P",""),"")</f>
        <v/>
      </c>
    </row>
    <row r="94" spans="1:5" hidden="1" x14ac:dyDescent="0.2">
      <c r="A94" s="52" t="str">
        <f t="shared" si="3"/>
        <v/>
      </c>
      <c r="B94" s="52" t="s">
        <v>40</v>
      </c>
      <c r="C94" s="52">
        <v>1</v>
      </c>
      <c r="D94" s="52" t="str">
        <f t="array" ref="D94">_xlfn.IFNA(INDEX('SYN-W'!B$3:B$4,MATCH(1,(C94='SYN-W'!A$3:A$4)*(B94='SYN-W'!F$3:F$4),0)),"")</f>
        <v/>
      </c>
      <c r="E94" s="59" t="str">
        <f t="array" ref="E94">_xlfn.IFNA(IF(INDEX('SYN-W'!G$3:G$4,MATCH(1,(C94='SYN-W'!A$3:A$4)*(B94='SYN-W'!F$3:F$4),0))="P","P",""),"")</f>
        <v/>
      </c>
    </row>
    <row r="95" spans="1:5" hidden="1" x14ac:dyDescent="0.2">
      <c r="A95" s="52" t="str">
        <f t="shared" si="3"/>
        <v/>
      </c>
      <c r="B95" s="52" t="s">
        <v>40</v>
      </c>
      <c r="C95" s="52">
        <v>2</v>
      </c>
      <c r="D95" s="52" t="str">
        <f t="array" ref="D95">_xlfn.IFNA(INDEX('SYN-W'!B$3:B$4,MATCH(1,(C95='SYN-W'!A$3:A$4)*(B95='SYN-W'!F$3:F$4),0)),"")</f>
        <v/>
      </c>
      <c r="E95" s="59" t="str">
        <f t="array" ref="E95">_xlfn.IFNA(IF(INDEX('SYN-W'!G$3:G$4,MATCH(1,(C95='SYN-W'!A$3:A$4)*(B95='SYN-W'!F$3:F$4),0))="P","P",""),"")</f>
        <v/>
      </c>
    </row>
    <row r="96" spans="1:5" hidden="1" x14ac:dyDescent="0.2">
      <c r="A96" s="52" t="str">
        <f t="shared" si="3"/>
        <v/>
      </c>
      <c r="B96" s="52" t="s">
        <v>40</v>
      </c>
      <c r="C96" s="52">
        <v>3</v>
      </c>
      <c r="D96" s="52" t="str">
        <f t="array" ref="D96">_xlfn.IFNA(INDEX('SYN-W'!B$3:B$4,MATCH(1,(C96='SYN-W'!A$3:A$4)*(B96='SYN-W'!F$3:F$4),0)),"")</f>
        <v/>
      </c>
      <c r="E96" s="59" t="str">
        <f t="array" ref="E96">_xlfn.IFNA(IF(INDEX('SYN-W'!G$3:G$4,MATCH(1,(C96='SYN-W'!A$3:A$4)*(B96='SYN-W'!F$3:F$4),0))="P","P",""),"")</f>
        <v/>
      </c>
    </row>
    <row r="97" spans="1:5" hidden="1" x14ac:dyDescent="0.2">
      <c r="A97" s="52" t="str">
        <f t="shared" si="3"/>
        <v/>
      </c>
      <c r="B97" s="52" t="s">
        <v>40</v>
      </c>
      <c r="C97" s="52">
        <v>4</v>
      </c>
      <c r="D97" s="52" t="str">
        <f t="array" ref="D97">_xlfn.IFNA(INDEX('SYN-W'!B$3:B$4,MATCH(1,(C97='SYN-W'!A$3:A$4)*(B97='SYN-W'!F$3:F$4),0)),"")</f>
        <v/>
      </c>
      <c r="E97" s="59" t="str">
        <f t="array" ref="E97">_xlfn.IFNA(IF(INDEX('SYN-W'!G$3:G$4,MATCH(1,(C97='SYN-W'!A$3:A$4)*(B97='SYN-W'!F$3:F$4),0))="P","P",""),"")</f>
        <v/>
      </c>
    </row>
    <row r="98" spans="1:5" hidden="1" x14ac:dyDescent="0.2">
      <c r="A98" s="50" t="str">
        <f>IF(D98="","","DMT-M")</f>
        <v/>
      </c>
      <c r="B98" s="51" t="s">
        <v>38</v>
      </c>
      <c r="C98" s="50">
        <v>1</v>
      </c>
      <c r="D98" s="50" t="str">
        <f t="array" ref="D98">_xlfn.IFNA(INDEX('DMT-M'!B$3:B$16,MATCH(1,(C98='DMT-M'!A$3:A$16)*(B98='DMT-M'!F$3:F$16),0)),"")</f>
        <v/>
      </c>
      <c r="E98" s="58" t="str">
        <f t="array" ref="E98">_xlfn.IFNA(IF(INDEX('DMT-M'!G$3:G$16,MATCH(1,(C98='DMT-M'!A$3:A$16)*(B98='DMT-M'!F$3:F$16),0))="P","P",""),"")</f>
        <v/>
      </c>
    </row>
    <row r="99" spans="1:5" hidden="1" x14ac:dyDescent="0.2">
      <c r="A99" s="50" t="str">
        <f t="shared" ref="A99:A129" si="4">IF(D99="","","DMT-M")</f>
        <v/>
      </c>
      <c r="B99" s="51" t="s">
        <v>38</v>
      </c>
      <c r="C99" s="50">
        <v>2</v>
      </c>
      <c r="D99" s="50" t="str">
        <f t="array" ref="D99">_xlfn.IFNA(INDEX('DMT-M'!B$3:B$16,MATCH(1,(C99='DMT-M'!A$3:A$16)*(B99='DMT-M'!F$3:F$16),0)),"")</f>
        <v/>
      </c>
      <c r="E99" s="58" t="str">
        <f t="array" ref="E99">_xlfn.IFNA(IF(INDEX('DMT-M'!G$3:G$16,MATCH(1,(C99='DMT-M'!A$3:A$16)*(B99='DMT-M'!F$3:F$16),0))="P","P",""),"")</f>
        <v/>
      </c>
    </row>
    <row r="100" spans="1:5" hidden="1" x14ac:dyDescent="0.2">
      <c r="A100" s="50" t="str">
        <f t="shared" si="4"/>
        <v/>
      </c>
      <c r="B100" s="51" t="s">
        <v>38</v>
      </c>
      <c r="C100" s="50">
        <v>3</v>
      </c>
      <c r="D100" s="50" t="str">
        <f t="array" ref="D100">_xlfn.IFNA(INDEX('DMT-M'!B$3:B$16,MATCH(1,(C100='DMT-M'!A$3:A$16)*(B100='DMT-M'!F$3:F$16),0)),"")</f>
        <v/>
      </c>
      <c r="E100" s="58" t="str">
        <f t="array" ref="E100">_xlfn.IFNA(IF(INDEX('DMT-M'!G$3:G$16,MATCH(1,(C100='DMT-M'!A$3:A$16)*(B100='DMT-M'!F$3:F$16),0))="P","P",""),"")</f>
        <v/>
      </c>
    </row>
    <row r="101" spans="1:5" hidden="1" x14ac:dyDescent="0.2">
      <c r="A101" s="50" t="str">
        <f t="shared" si="4"/>
        <v/>
      </c>
      <c r="B101" s="51" t="s">
        <v>38</v>
      </c>
      <c r="C101" s="50">
        <v>4</v>
      </c>
      <c r="D101" s="50" t="str">
        <f t="array" ref="D101">_xlfn.IFNA(INDEX('DMT-M'!B$3:B$16,MATCH(1,(C101='DMT-M'!A$3:A$16)*(B101='DMT-M'!F$3:F$16),0)),"")</f>
        <v/>
      </c>
      <c r="E101" s="58" t="str">
        <f t="array" ref="E101">_xlfn.IFNA(IF(INDEX('DMT-M'!G$3:G$16,MATCH(1,(C101='DMT-M'!A$3:A$16)*(B101='DMT-M'!F$3:F$16),0))="P","P",""),"")</f>
        <v/>
      </c>
    </row>
    <row r="102" spans="1:5" hidden="1" x14ac:dyDescent="0.2">
      <c r="A102" s="50" t="str">
        <f t="shared" si="4"/>
        <v/>
      </c>
      <c r="B102" s="51" t="s">
        <v>38</v>
      </c>
      <c r="C102" s="50">
        <v>5</v>
      </c>
      <c r="D102" s="50" t="str">
        <f t="array" ref="D102">_xlfn.IFNA(INDEX('DMT-M'!B$3:B$16,MATCH(1,(C102='DMT-M'!A$3:A$16)*(B102='DMT-M'!F$3:F$16),0)),"")</f>
        <v/>
      </c>
      <c r="E102" s="58" t="str">
        <f t="array" ref="E102">_xlfn.IFNA(IF(INDEX('DMT-M'!G$3:G$16,MATCH(1,(C102='DMT-M'!A$3:A$16)*(B102='DMT-M'!F$3:F$16),0))="P","P",""),"")</f>
        <v/>
      </c>
    </row>
    <row r="103" spans="1:5" hidden="1" x14ac:dyDescent="0.2">
      <c r="A103" s="50" t="str">
        <f t="shared" si="4"/>
        <v/>
      </c>
      <c r="B103" s="51" t="s">
        <v>38</v>
      </c>
      <c r="C103" s="50">
        <v>6</v>
      </c>
      <c r="D103" s="50" t="str">
        <f t="array" ref="D103">_xlfn.IFNA(INDEX('DMT-M'!B$3:B$16,MATCH(1,(C103='DMT-M'!A$3:A$16)*(B103='DMT-M'!F$3:F$16),0)),"")</f>
        <v/>
      </c>
      <c r="E103" s="58" t="str">
        <f t="array" ref="E103">_xlfn.IFNA(IF(INDEX('DMT-M'!G$3:G$16,MATCH(1,(C103='DMT-M'!A$3:A$16)*(B103='DMT-M'!F$3:F$16),0))="P","P",""),"")</f>
        <v/>
      </c>
    </row>
    <row r="104" spans="1:5" hidden="1" x14ac:dyDescent="0.2">
      <c r="A104" s="50" t="str">
        <f t="shared" si="4"/>
        <v/>
      </c>
      <c r="B104" s="51" t="s">
        <v>38</v>
      </c>
      <c r="C104" s="50">
        <v>7</v>
      </c>
      <c r="D104" s="50" t="str">
        <f t="array" ref="D104">_xlfn.IFNA(INDEX('DMT-M'!B$3:B$16,MATCH(1,(C104='DMT-M'!A$3:A$16)*(B104='DMT-M'!F$3:F$16),0)),"")</f>
        <v/>
      </c>
      <c r="E104" s="58" t="str">
        <f t="array" ref="E104">_xlfn.IFNA(IF(INDEX('DMT-M'!G$3:G$16,MATCH(1,(C104='DMT-M'!A$3:A$16)*(B104='DMT-M'!F$3:F$16),0))="P","P",""),"")</f>
        <v/>
      </c>
    </row>
    <row r="105" spans="1:5" hidden="1" x14ac:dyDescent="0.2">
      <c r="A105" s="50" t="str">
        <f t="shared" si="4"/>
        <v/>
      </c>
      <c r="B105" s="51" t="s">
        <v>38</v>
      </c>
      <c r="C105" s="50">
        <v>8</v>
      </c>
      <c r="D105" s="50" t="str">
        <f t="array" ref="D105">_xlfn.IFNA(INDEX('DMT-M'!B$3:B$16,MATCH(1,(C105='DMT-M'!A$3:A$16)*(B105='DMT-M'!F$3:F$16),0)),"")</f>
        <v/>
      </c>
      <c r="E105" s="58" t="str">
        <f t="array" ref="E105">_xlfn.IFNA(IF(INDEX('DMT-M'!G$3:G$16,MATCH(1,(C105='DMT-M'!A$3:A$16)*(B105='DMT-M'!F$3:F$16),0))="P","P",""),"")</f>
        <v/>
      </c>
    </row>
    <row r="106" spans="1:5" hidden="1" x14ac:dyDescent="0.2">
      <c r="A106" s="50" t="str">
        <f t="shared" si="4"/>
        <v/>
      </c>
      <c r="B106" s="50" t="s">
        <v>37</v>
      </c>
      <c r="C106" s="50">
        <v>1</v>
      </c>
      <c r="D106" s="50" t="str">
        <f t="array" ref="D106">_xlfn.IFNA(INDEX('DMT-M'!B$3:B$16,MATCH(1,(C106='DMT-M'!A$3:A$16)*(B106='DMT-M'!F$3:F$16),0)),"")</f>
        <v/>
      </c>
      <c r="E106" s="58" t="str">
        <f t="array" ref="E106">_xlfn.IFNA(IF(INDEX('DMT-M'!G$3:G$16,MATCH(1,(C106='DMT-M'!A$3:A$16)*(B106='DMT-M'!F$3:F$16),0))="P","P",""),"")</f>
        <v/>
      </c>
    </row>
    <row r="107" spans="1:5" hidden="1" x14ac:dyDescent="0.2">
      <c r="A107" s="50" t="str">
        <f t="shared" si="4"/>
        <v/>
      </c>
      <c r="B107" s="50" t="s">
        <v>37</v>
      </c>
      <c r="C107" s="50">
        <v>2</v>
      </c>
      <c r="D107" s="50" t="str">
        <f t="array" ref="D107">_xlfn.IFNA(INDEX('DMT-M'!B$3:B$16,MATCH(1,(C107='DMT-M'!A$3:A$16)*(B107='DMT-M'!F$3:F$16),0)),"")</f>
        <v/>
      </c>
      <c r="E107" s="58" t="str">
        <f t="array" ref="E107">_xlfn.IFNA(IF(INDEX('DMT-M'!G$3:G$16,MATCH(1,(C107='DMT-M'!A$3:A$16)*(B107='DMT-M'!F$3:F$16),0))="P","P",""),"")</f>
        <v/>
      </c>
    </row>
    <row r="108" spans="1:5" hidden="1" x14ac:dyDescent="0.2">
      <c r="A108" s="50" t="str">
        <f t="shared" si="4"/>
        <v/>
      </c>
      <c r="B108" s="50" t="s">
        <v>37</v>
      </c>
      <c r="C108" s="50">
        <v>3</v>
      </c>
      <c r="D108" s="50" t="str">
        <f t="array" ref="D108">_xlfn.IFNA(INDEX('DMT-M'!B$3:B$16,MATCH(1,(C108='DMT-M'!A$3:A$16)*(B108='DMT-M'!F$3:F$16),0)),"")</f>
        <v/>
      </c>
      <c r="E108" s="58" t="str">
        <f t="array" ref="E108">_xlfn.IFNA(IF(INDEX('DMT-M'!G$3:G$16,MATCH(1,(C108='DMT-M'!A$3:A$16)*(B108='DMT-M'!F$3:F$16),0))="P","P",""),"")</f>
        <v/>
      </c>
    </row>
    <row r="109" spans="1:5" hidden="1" x14ac:dyDescent="0.2">
      <c r="A109" s="50" t="str">
        <f t="shared" si="4"/>
        <v/>
      </c>
      <c r="B109" s="50" t="s">
        <v>37</v>
      </c>
      <c r="C109" s="50">
        <v>4</v>
      </c>
      <c r="D109" s="50" t="str">
        <f t="array" ref="D109">_xlfn.IFNA(INDEX('DMT-M'!B$3:B$16,MATCH(1,(C109='DMT-M'!A$3:A$16)*(B109='DMT-M'!F$3:F$16),0)),"")</f>
        <v/>
      </c>
      <c r="E109" s="58" t="str">
        <f t="array" ref="E109">_xlfn.IFNA(IF(INDEX('DMT-M'!G$3:G$16,MATCH(1,(C109='DMT-M'!A$3:A$16)*(B109='DMT-M'!F$3:F$16),0))="P","P",""),"")</f>
        <v/>
      </c>
    </row>
    <row r="110" spans="1:5" hidden="1" x14ac:dyDescent="0.2">
      <c r="A110" s="50" t="str">
        <f t="shared" si="4"/>
        <v/>
      </c>
      <c r="B110" s="50" t="s">
        <v>37</v>
      </c>
      <c r="C110" s="50">
        <v>5</v>
      </c>
      <c r="D110" s="50" t="str">
        <f t="array" ref="D110">_xlfn.IFNA(INDEX('DMT-M'!B$3:B$16,MATCH(1,(C110='DMT-M'!A$3:A$16)*(B110='DMT-M'!F$3:F$16),0)),"")</f>
        <v/>
      </c>
      <c r="E110" s="58" t="str">
        <f t="array" ref="E110">_xlfn.IFNA(IF(INDEX('DMT-M'!G$3:G$16,MATCH(1,(C110='DMT-M'!A$3:A$16)*(B110='DMT-M'!F$3:F$16),0))="P","P",""),"")</f>
        <v/>
      </c>
    </row>
    <row r="111" spans="1:5" hidden="1" x14ac:dyDescent="0.2">
      <c r="A111" s="50" t="str">
        <f t="shared" si="4"/>
        <v/>
      </c>
      <c r="B111" s="50" t="s">
        <v>37</v>
      </c>
      <c r="C111" s="50">
        <v>6</v>
      </c>
      <c r="D111" s="50" t="str">
        <f t="array" ref="D111">_xlfn.IFNA(INDEX('DMT-M'!B$3:B$16,MATCH(1,(C111='DMT-M'!A$3:A$16)*(B111='DMT-M'!F$3:F$16),0)),"")</f>
        <v/>
      </c>
      <c r="E111" s="58" t="str">
        <f t="array" ref="E111">_xlfn.IFNA(IF(INDEX('DMT-M'!G$3:G$16,MATCH(1,(C111='DMT-M'!A$3:A$16)*(B111='DMT-M'!F$3:F$16),0))="P","P",""),"")</f>
        <v/>
      </c>
    </row>
    <row r="112" spans="1:5" hidden="1" x14ac:dyDescent="0.2">
      <c r="A112" s="50" t="str">
        <f t="shared" si="4"/>
        <v/>
      </c>
      <c r="B112" s="50" t="s">
        <v>37</v>
      </c>
      <c r="C112" s="50">
        <v>7</v>
      </c>
      <c r="D112" s="50" t="str">
        <f t="array" ref="D112">_xlfn.IFNA(INDEX('DMT-M'!B$3:B$16,MATCH(1,(C112='DMT-M'!A$3:A$16)*(B112='DMT-M'!F$3:F$16),0)),"")</f>
        <v/>
      </c>
      <c r="E112" s="58" t="str">
        <f t="array" ref="E112">_xlfn.IFNA(IF(INDEX('DMT-M'!G$3:G$16,MATCH(1,(C112='DMT-M'!A$3:A$16)*(B112='DMT-M'!F$3:F$16),0))="P","P",""),"")</f>
        <v/>
      </c>
    </row>
    <row r="113" spans="1:5" hidden="1" x14ac:dyDescent="0.2">
      <c r="A113" s="50" t="str">
        <f t="shared" si="4"/>
        <v/>
      </c>
      <c r="B113" s="50" t="s">
        <v>37</v>
      </c>
      <c r="C113" s="50">
        <v>8</v>
      </c>
      <c r="D113" s="50" t="str">
        <f t="array" ref="D113">_xlfn.IFNA(INDEX('DMT-M'!B$3:B$16,MATCH(1,(C113='DMT-M'!A$3:A$16)*(B113='DMT-M'!F$3:F$16),0)),"")</f>
        <v/>
      </c>
      <c r="E113" s="58" t="str">
        <f t="array" ref="E113">_xlfn.IFNA(IF(INDEX('DMT-M'!G$3:G$16,MATCH(1,(C113='DMT-M'!A$3:A$16)*(B113='DMT-M'!F$3:F$16),0))="P","P",""),"")</f>
        <v/>
      </c>
    </row>
    <row r="114" spans="1:5" hidden="1" x14ac:dyDescent="0.2">
      <c r="A114" s="50" t="str">
        <f t="shared" si="4"/>
        <v/>
      </c>
      <c r="B114" s="50" t="s">
        <v>39</v>
      </c>
      <c r="C114" s="50">
        <v>1</v>
      </c>
      <c r="D114" s="50" t="str">
        <f t="array" ref="D114">_xlfn.IFNA(INDEX('DMT-M'!B$3:B$16,MATCH(1,(C114='DMT-M'!A$3:A$16)*(B114='DMT-M'!F$3:F$16),0)),"")</f>
        <v/>
      </c>
      <c r="E114" s="58" t="str">
        <f t="array" ref="E114">_xlfn.IFNA(IF(INDEX('DMT-M'!G$3:G$16,MATCH(1,(C114='DMT-M'!A$3:A$16)*(B114='DMT-M'!F$3:F$16),0))="P","P",""),"")</f>
        <v/>
      </c>
    </row>
    <row r="115" spans="1:5" hidden="1" x14ac:dyDescent="0.2">
      <c r="A115" s="50" t="str">
        <f t="shared" si="4"/>
        <v/>
      </c>
      <c r="B115" s="50" t="s">
        <v>39</v>
      </c>
      <c r="C115" s="50">
        <v>2</v>
      </c>
      <c r="D115" s="50" t="str">
        <f t="array" ref="D115">_xlfn.IFNA(INDEX('DMT-M'!B$3:B$16,MATCH(1,(C115='DMT-M'!A$3:A$16)*(B115='DMT-M'!F$3:F$16),0)),"")</f>
        <v/>
      </c>
      <c r="E115" s="58" t="str">
        <f t="array" ref="E115">_xlfn.IFNA(IF(INDEX('DMT-M'!G$3:G$16,MATCH(1,(C115='DMT-M'!A$3:A$16)*(B115='DMT-M'!F$3:F$16),0))="P","P",""),"")</f>
        <v/>
      </c>
    </row>
    <row r="116" spans="1:5" hidden="1" x14ac:dyDescent="0.2">
      <c r="A116" s="50" t="str">
        <f t="shared" si="4"/>
        <v/>
      </c>
      <c r="B116" s="50" t="s">
        <v>39</v>
      </c>
      <c r="C116" s="50">
        <v>3</v>
      </c>
      <c r="D116" s="50" t="str">
        <f t="array" ref="D116">_xlfn.IFNA(INDEX('DMT-M'!B$3:B$16,MATCH(1,(C116='DMT-M'!A$3:A$16)*(B116='DMT-M'!F$3:F$16),0)),"")</f>
        <v/>
      </c>
      <c r="E116" s="58" t="str">
        <f t="array" ref="E116">_xlfn.IFNA(IF(INDEX('DMT-M'!G$3:G$16,MATCH(1,(C116='DMT-M'!A$3:A$16)*(B116='DMT-M'!F$3:F$16),0))="P","P",""),"")</f>
        <v/>
      </c>
    </row>
    <row r="117" spans="1:5" hidden="1" x14ac:dyDescent="0.2">
      <c r="A117" s="50" t="str">
        <f t="shared" si="4"/>
        <v/>
      </c>
      <c r="B117" s="50" t="s">
        <v>39</v>
      </c>
      <c r="C117" s="50">
        <v>4</v>
      </c>
      <c r="D117" s="50" t="str">
        <f t="array" ref="D117">_xlfn.IFNA(INDEX('DMT-M'!B$3:B$16,MATCH(1,(C117='DMT-M'!A$3:A$16)*(B117='DMT-M'!F$3:F$16),0)),"")</f>
        <v/>
      </c>
      <c r="E117" s="58" t="str">
        <f t="array" ref="E117">_xlfn.IFNA(IF(INDEX('DMT-M'!G$3:G$16,MATCH(1,(C117='DMT-M'!A$3:A$16)*(B117='DMT-M'!F$3:F$16),0))="P","P",""),"")</f>
        <v/>
      </c>
    </row>
    <row r="118" spans="1:5" hidden="1" x14ac:dyDescent="0.2">
      <c r="A118" s="50" t="str">
        <f t="shared" si="4"/>
        <v/>
      </c>
      <c r="B118" s="50" t="s">
        <v>39</v>
      </c>
      <c r="C118" s="50">
        <v>5</v>
      </c>
      <c r="D118" s="50" t="str">
        <f t="array" ref="D118">_xlfn.IFNA(INDEX('DMT-M'!B$3:B$16,MATCH(1,(C118='DMT-M'!A$3:A$16)*(B118='DMT-M'!F$3:F$16),0)),"")</f>
        <v/>
      </c>
      <c r="E118" s="58" t="str">
        <f t="array" ref="E118">_xlfn.IFNA(IF(INDEX('DMT-M'!G$3:G$16,MATCH(1,(C118='DMT-M'!A$3:A$16)*(B118='DMT-M'!F$3:F$16),0))="P","P",""),"")</f>
        <v/>
      </c>
    </row>
    <row r="119" spans="1:5" hidden="1" x14ac:dyDescent="0.2">
      <c r="A119" s="50" t="str">
        <f t="shared" si="4"/>
        <v/>
      </c>
      <c r="B119" s="50" t="s">
        <v>39</v>
      </c>
      <c r="C119" s="50">
        <v>6</v>
      </c>
      <c r="D119" s="50" t="str">
        <f t="array" ref="D119">_xlfn.IFNA(INDEX('DMT-M'!B$3:B$16,MATCH(1,(C119='DMT-M'!A$3:A$16)*(B119='DMT-M'!F$3:F$16),0)),"")</f>
        <v/>
      </c>
      <c r="E119" s="58" t="str">
        <f t="array" ref="E119">_xlfn.IFNA(IF(INDEX('DMT-M'!G$3:G$16,MATCH(1,(C119='DMT-M'!A$3:A$16)*(B119='DMT-M'!F$3:F$16),0))="P","P",""),"")</f>
        <v/>
      </c>
    </row>
    <row r="120" spans="1:5" hidden="1" x14ac:dyDescent="0.2">
      <c r="A120" s="50" t="str">
        <f t="shared" si="4"/>
        <v/>
      </c>
      <c r="B120" s="50" t="s">
        <v>39</v>
      </c>
      <c r="C120" s="50">
        <v>7</v>
      </c>
      <c r="D120" s="50" t="str">
        <f t="array" ref="D120">_xlfn.IFNA(INDEX('DMT-M'!B$3:B$16,MATCH(1,(C120='DMT-M'!A$3:A$16)*(B120='DMT-M'!F$3:F$16),0)),"")</f>
        <v/>
      </c>
      <c r="E120" s="58" t="str">
        <f t="array" ref="E120">_xlfn.IFNA(IF(INDEX('DMT-M'!G$3:G$16,MATCH(1,(C120='DMT-M'!A$3:A$16)*(B120='DMT-M'!F$3:F$16),0))="P","P",""),"")</f>
        <v/>
      </c>
    </row>
    <row r="121" spans="1:5" hidden="1" x14ac:dyDescent="0.2">
      <c r="A121" s="50" t="str">
        <f t="shared" si="4"/>
        <v/>
      </c>
      <c r="B121" s="50" t="s">
        <v>39</v>
      </c>
      <c r="C121" s="50">
        <v>8</v>
      </c>
      <c r="D121" s="50" t="str">
        <f t="array" ref="D121">_xlfn.IFNA(INDEX('DMT-M'!B$3:B$16,MATCH(1,(C121='DMT-M'!A$3:A$16)*(B121='DMT-M'!F$3:F$16),0)),"")</f>
        <v/>
      </c>
      <c r="E121" s="58" t="str">
        <f t="array" ref="E121">_xlfn.IFNA(IF(INDEX('DMT-M'!G$3:G$16,MATCH(1,(C121='DMT-M'!A$3:A$16)*(B121='DMT-M'!F$3:F$16),0))="P","P",""),"")</f>
        <v/>
      </c>
    </row>
    <row r="122" spans="1:5" x14ac:dyDescent="0.2">
      <c r="A122" s="50" t="str">
        <f t="shared" si="4"/>
        <v>DMT-M</v>
      </c>
      <c r="B122" s="50" t="s">
        <v>40</v>
      </c>
      <c r="C122" s="50">
        <v>1</v>
      </c>
      <c r="D122" s="50" t="str">
        <f t="array" ref="D122">_xlfn.IFNA(INDEX('DMT-M'!B$3:B$16,MATCH(1,(C122='DMT-M'!A$3:A$16)*(B122='DMT-M'!F$3:F$16),0)),"")</f>
        <v>LUPISH, Kieran</v>
      </c>
      <c r="E122" s="58" t="str">
        <f t="array" ref="E122">_xlfn.IFNA(IF(INDEX('DMT-M'!G$3:G$16,MATCH(1,(C122='DMT-M'!A$3:A$16)*(B122='DMT-M'!F$3:F$16),0))="P","P",""),"")</f>
        <v/>
      </c>
    </row>
    <row r="123" spans="1:5" x14ac:dyDescent="0.2">
      <c r="A123" s="50" t="str">
        <f t="shared" si="4"/>
        <v>DMT-M</v>
      </c>
      <c r="B123" s="50" t="s">
        <v>40</v>
      </c>
      <c r="C123" s="50">
        <v>2</v>
      </c>
      <c r="D123" s="50" t="str">
        <f t="array" ref="D123">_xlfn.IFNA(INDEX('DMT-M'!B$3:B$16,MATCH(1,(C123='DMT-M'!A$3:A$16)*(B123='DMT-M'!F$3:F$16),0)),"")</f>
        <v>DODD, Gavin</v>
      </c>
      <c r="E123" s="58" t="str">
        <f t="array" ref="E123">_xlfn.IFNA(IF(INDEX('DMT-M'!G$3:G$16,MATCH(1,(C123='DMT-M'!A$3:A$16)*(B123='DMT-M'!F$3:F$16),0))="P","P",""),"")</f>
        <v/>
      </c>
    </row>
    <row r="124" spans="1:5" x14ac:dyDescent="0.2">
      <c r="A124" s="50" t="str">
        <f t="shared" si="4"/>
        <v>DMT-M</v>
      </c>
      <c r="B124" s="50" t="s">
        <v>40</v>
      </c>
      <c r="C124" s="50">
        <v>3</v>
      </c>
      <c r="D124" s="50" t="str">
        <f t="array" ref="D124">_xlfn.IFNA(INDEX('DMT-M'!B$3:B$16,MATCH(1,(C124='DMT-M'!A$3:A$16)*(B124='DMT-M'!F$3:F$16),0)),"")</f>
        <v>PEDERSEN, Mitchel</v>
      </c>
      <c r="E124" s="58" t="str">
        <f t="array" ref="E124">_xlfn.IFNA(IF(INDEX('DMT-M'!G$3:G$16,MATCH(1,(C124='DMT-M'!A$3:A$16)*(B124='DMT-M'!F$3:F$16),0))="P","P",""),"")</f>
        <v>P</v>
      </c>
    </row>
    <row r="125" spans="1:5" x14ac:dyDescent="0.2">
      <c r="A125" s="50" t="str">
        <f t="shared" si="4"/>
        <v>DMT-M</v>
      </c>
      <c r="B125" s="50" t="s">
        <v>40</v>
      </c>
      <c r="C125" s="50">
        <v>4</v>
      </c>
      <c r="D125" s="50" t="str">
        <f t="array" ref="D125">_xlfn.IFNA(INDEX('DMT-M'!B$3:B$16,MATCH(1,(C125='DMT-M'!A$3:A$16)*(B125='DMT-M'!F$3:F$16),0)),"")</f>
        <v>ZUREK, Nolan</v>
      </c>
      <c r="E125" s="58" t="str">
        <f t="array" ref="E125">_xlfn.IFNA(IF(INDEX('DMT-M'!G$3:G$16,MATCH(1,(C125='DMT-M'!A$3:A$16)*(B125='DMT-M'!F$3:F$16),0))="P","P",""),"")</f>
        <v>P</v>
      </c>
    </row>
    <row r="126" spans="1:5" x14ac:dyDescent="0.2">
      <c r="A126" s="50" t="str">
        <f t="shared" si="4"/>
        <v>DMT-M</v>
      </c>
      <c r="B126" s="50" t="s">
        <v>40</v>
      </c>
      <c r="C126" s="50">
        <v>5</v>
      </c>
      <c r="D126" s="50" t="str">
        <f t="array" ref="D126">_xlfn.IFNA(INDEX('DMT-M'!B$3:B$16,MATCH(1,(C126='DMT-M'!A$3:A$16)*(B126='DMT-M'!F$3:F$16),0)),"")</f>
        <v>DYKMAN, Matthew</v>
      </c>
      <c r="E126" s="58" t="str">
        <f t="array" ref="E126">_xlfn.IFNA(IF(INDEX('DMT-M'!G$3:G$16,MATCH(1,(C126='DMT-M'!A$3:A$16)*(B126='DMT-M'!F$3:F$16),0))="P","P",""),"")</f>
        <v/>
      </c>
    </row>
    <row r="127" spans="1:5" x14ac:dyDescent="0.2">
      <c r="A127" s="50" t="str">
        <f t="shared" si="4"/>
        <v>DMT-M</v>
      </c>
      <c r="B127" s="50" t="s">
        <v>40</v>
      </c>
      <c r="C127" s="50">
        <v>6</v>
      </c>
      <c r="D127" s="50" t="str">
        <f t="array" ref="D127">_xlfn.IFNA(INDEX('DMT-M'!B$3:B$16,MATCH(1,(C127='DMT-M'!A$3:A$16)*(B127='DMT-M'!F$3:F$16),0)),"")</f>
        <v>MANCINI, Michael</v>
      </c>
      <c r="E127" s="58" t="str">
        <f t="array" ref="E127">_xlfn.IFNA(IF(INDEX('DMT-M'!G$3:G$16,MATCH(1,(C127='DMT-M'!A$3:A$16)*(B127='DMT-M'!F$3:F$16),0))="P","P",""),"")</f>
        <v>P</v>
      </c>
    </row>
    <row r="128" spans="1:5" x14ac:dyDescent="0.2">
      <c r="A128" s="50" t="str">
        <f t="shared" si="4"/>
        <v>DMT-M</v>
      </c>
      <c r="B128" s="50" t="s">
        <v>40</v>
      </c>
      <c r="C128" s="50">
        <v>7</v>
      </c>
      <c r="D128" s="50" t="str">
        <f t="array" ref="D128">_xlfn.IFNA(INDEX('DMT-M'!B$3:B$16,MATCH(1,(C128='DMT-M'!A$3:A$16)*(B128='DMT-M'!F$3:F$16),0)),"")</f>
        <v>NEUMANN, Alexander</v>
      </c>
      <c r="E128" s="58" t="str">
        <f t="array" ref="E128">_xlfn.IFNA(IF(INDEX('DMT-M'!G$3:G$16,MATCH(1,(C128='DMT-M'!A$3:A$16)*(B128='DMT-M'!F$3:F$16),0))="P","P",""),"")</f>
        <v/>
      </c>
    </row>
    <row r="129" spans="1:5" x14ac:dyDescent="0.2">
      <c r="A129" s="50" t="str">
        <f t="shared" si="4"/>
        <v>DMT-M</v>
      </c>
      <c r="B129" s="50" t="s">
        <v>40</v>
      </c>
      <c r="C129" s="50">
        <v>8</v>
      </c>
      <c r="D129" s="50" t="str">
        <f t="array" ref="D129">_xlfn.IFNA(INDEX('DMT-M'!B$3:B$16,MATCH(1,(C129='DMT-M'!A$3:A$16)*(B129='DMT-M'!F$3:F$16),0)),"")</f>
        <v>KARWACKI, Jordan</v>
      </c>
      <c r="E129" s="58" t="str">
        <f t="array" ref="E129">_xlfn.IFNA(IF(INDEX('DMT-M'!G$3:G$16,MATCH(1,(C129='DMT-M'!A$3:A$16)*(B129='DMT-M'!F$3:F$16),0))="P","P",""),"")</f>
        <v/>
      </c>
    </row>
    <row r="130" spans="1:5" hidden="1" x14ac:dyDescent="0.2">
      <c r="A130" s="52" t="str">
        <f>IF(D130="","","DMT-W")</f>
        <v/>
      </c>
      <c r="B130" s="53" t="s">
        <v>38</v>
      </c>
      <c r="C130" s="52">
        <v>1</v>
      </c>
      <c r="D130" s="52" t="str">
        <f t="array" ref="D130">_xlfn.IFNA(INDEX('DMT-W'!B$3:B$19,MATCH(1,(C130='DMT-W'!A$3:A$19)*(B130='DMT-W'!F$3:F$19),0)),"")</f>
        <v/>
      </c>
      <c r="E130" s="59" t="str">
        <f t="array" ref="E130">_xlfn.IFNA(IF(INDEX('DMT-W'!G$3:G$19,MATCH(1,(C130='DMT-W'!A$3:A$19)*(B130='DMT-W'!F$3:F$19),0))="P","P",""),"")</f>
        <v/>
      </c>
    </row>
    <row r="131" spans="1:5" hidden="1" x14ac:dyDescent="0.2">
      <c r="A131" s="52" t="str">
        <f t="shared" ref="A131:A161" si="5">IF(D131="","","DMT-W")</f>
        <v/>
      </c>
      <c r="B131" s="53" t="s">
        <v>38</v>
      </c>
      <c r="C131" s="52">
        <v>2</v>
      </c>
      <c r="D131" s="52" t="str">
        <f t="array" ref="D131">_xlfn.IFNA(INDEX('DMT-W'!B$3:B$19,MATCH(1,(C131='DMT-W'!A$3:A$19)*(B131='DMT-W'!F$3:F$19),0)),"")</f>
        <v/>
      </c>
      <c r="E131" s="59" t="str">
        <f t="array" ref="E131">_xlfn.IFNA(IF(INDEX('DMT-W'!G$3:G$19,MATCH(1,(C131='DMT-W'!A$3:A$19)*(B131='DMT-W'!F$3:F$19),0))="P","P",""),"")</f>
        <v/>
      </c>
    </row>
    <row r="132" spans="1:5" hidden="1" x14ac:dyDescent="0.2">
      <c r="A132" s="52" t="str">
        <f t="shared" si="5"/>
        <v/>
      </c>
      <c r="B132" s="53" t="s">
        <v>38</v>
      </c>
      <c r="C132" s="52">
        <v>3</v>
      </c>
      <c r="D132" s="52" t="str">
        <f t="array" ref="D132">_xlfn.IFNA(INDEX('DMT-W'!B$3:B$19,MATCH(1,(C132='DMT-W'!A$3:A$19)*(B132='DMT-W'!F$3:F$19),0)),"")</f>
        <v/>
      </c>
      <c r="E132" s="59" t="str">
        <f t="array" ref="E132">_xlfn.IFNA(IF(INDEX('DMT-W'!G$3:G$19,MATCH(1,(C132='DMT-W'!A$3:A$19)*(B132='DMT-W'!F$3:F$19),0))="P","P",""),"")</f>
        <v/>
      </c>
    </row>
    <row r="133" spans="1:5" hidden="1" x14ac:dyDescent="0.2">
      <c r="A133" s="52" t="str">
        <f t="shared" si="5"/>
        <v/>
      </c>
      <c r="B133" s="53" t="s">
        <v>38</v>
      </c>
      <c r="C133" s="52">
        <v>4</v>
      </c>
      <c r="D133" s="52" t="str">
        <f t="array" ref="D133">_xlfn.IFNA(INDEX('DMT-W'!B$3:B$19,MATCH(1,(C133='DMT-W'!A$3:A$19)*(B133='DMT-W'!F$3:F$19),0)),"")</f>
        <v/>
      </c>
      <c r="E133" s="59" t="str">
        <f t="array" ref="E133">_xlfn.IFNA(IF(INDEX('DMT-W'!G$3:G$19,MATCH(1,(C133='DMT-W'!A$3:A$19)*(B133='DMT-W'!F$3:F$19),0))="P","P",""),"")</f>
        <v/>
      </c>
    </row>
    <row r="134" spans="1:5" hidden="1" x14ac:dyDescent="0.2">
      <c r="A134" s="52" t="str">
        <f t="shared" si="5"/>
        <v/>
      </c>
      <c r="B134" s="53" t="s">
        <v>38</v>
      </c>
      <c r="C134" s="52">
        <v>5</v>
      </c>
      <c r="D134" s="52" t="str">
        <f t="array" ref="D134">_xlfn.IFNA(INDEX('DMT-W'!B$3:B$19,MATCH(1,(C134='DMT-W'!A$3:A$19)*(B134='DMT-W'!F$3:F$19),0)),"")</f>
        <v/>
      </c>
      <c r="E134" s="59" t="str">
        <f t="array" ref="E134">_xlfn.IFNA(IF(INDEX('DMT-W'!G$3:G$19,MATCH(1,(C134='DMT-W'!A$3:A$19)*(B134='DMT-W'!F$3:F$19),0))="P","P",""),"")</f>
        <v/>
      </c>
    </row>
    <row r="135" spans="1:5" hidden="1" x14ac:dyDescent="0.2">
      <c r="A135" s="52" t="str">
        <f t="shared" si="5"/>
        <v/>
      </c>
      <c r="B135" s="53" t="s">
        <v>38</v>
      </c>
      <c r="C135" s="52">
        <v>6</v>
      </c>
      <c r="D135" s="52" t="str">
        <f t="array" ref="D135">_xlfn.IFNA(INDEX('DMT-W'!B$3:B$19,MATCH(1,(C135='DMT-W'!A$3:A$19)*(B135='DMT-W'!F$3:F$19),0)),"")</f>
        <v/>
      </c>
      <c r="E135" s="59" t="str">
        <f t="array" ref="E135">_xlfn.IFNA(IF(INDEX('DMT-W'!G$3:G$19,MATCH(1,(C135='DMT-W'!A$3:A$19)*(B135='DMT-W'!F$3:F$19),0))="P","P",""),"")</f>
        <v/>
      </c>
    </row>
    <row r="136" spans="1:5" hidden="1" x14ac:dyDescent="0.2">
      <c r="A136" s="52" t="str">
        <f t="shared" si="5"/>
        <v/>
      </c>
      <c r="B136" s="53" t="s">
        <v>38</v>
      </c>
      <c r="C136" s="52">
        <v>7</v>
      </c>
      <c r="D136" s="52" t="str">
        <f t="array" ref="D136">_xlfn.IFNA(INDEX('DMT-W'!B$3:B$19,MATCH(1,(C136='DMT-W'!A$3:A$19)*(B136='DMT-W'!F$3:F$19),0)),"")</f>
        <v/>
      </c>
      <c r="E136" s="59" t="str">
        <f t="array" ref="E136">_xlfn.IFNA(IF(INDEX('DMT-W'!G$3:G$19,MATCH(1,(C136='DMT-W'!A$3:A$19)*(B136='DMT-W'!F$3:F$19),0))="P","P",""),"")</f>
        <v/>
      </c>
    </row>
    <row r="137" spans="1:5" hidden="1" x14ac:dyDescent="0.2">
      <c r="A137" s="52" t="str">
        <f t="shared" si="5"/>
        <v/>
      </c>
      <c r="B137" s="53" t="s">
        <v>38</v>
      </c>
      <c r="C137" s="52">
        <v>8</v>
      </c>
      <c r="D137" s="52" t="str">
        <f t="array" ref="D137">_xlfn.IFNA(INDEX('DMT-W'!B$3:B$19,MATCH(1,(C137='DMT-W'!A$3:A$19)*(B137='DMT-W'!F$3:F$19),0)),"")</f>
        <v/>
      </c>
      <c r="E137" s="59" t="str">
        <f t="array" ref="E137">_xlfn.IFNA(IF(INDEX('DMT-W'!G$3:G$19,MATCH(1,(C137='DMT-W'!A$3:A$19)*(B137='DMT-W'!F$3:F$19),0))="P","P",""),"")</f>
        <v/>
      </c>
    </row>
    <row r="138" spans="1:5" hidden="1" x14ac:dyDescent="0.2">
      <c r="A138" s="52" t="str">
        <f t="shared" si="5"/>
        <v/>
      </c>
      <c r="B138" s="52" t="s">
        <v>37</v>
      </c>
      <c r="C138" s="52">
        <v>1</v>
      </c>
      <c r="D138" s="52" t="str">
        <f t="array" ref="D138">_xlfn.IFNA(INDEX('DMT-W'!B$3:B$19,MATCH(1,(C138='DMT-W'!A$3:A$19)*(B138='DMT-W'!F$3:F$19),0)),"")</f>
        <v/>
      </c>
      <c r="E138" s="59" t="str">
        <f t="array" ref="E138">_xlfn.IFNA(IF(INDEX('DMT-W'!G$3:G$19,MATCH(1,(C138='DMT-W'!A$3:A$19)*(B138='DMT-W'!F$3:F$19),0))="P","P",""),"")</f>
        <v/>
      </c>
    </row>
    <row r="139" spans="1:5" hidden="1" x14ac:dyDescent="0.2">
      <c r="A139" s="52" t="str">
        <f t="shared" si="5"/>
        <v/>
      </c>
      <c r="B139" s="52" t="s">
        <v>37</v>
      </c>
      <c r="C139" s="52">
        <v>2</v>
      </c>
      <c r="D139" s="52" t="str">
        <f t="array" ref="D139">_xlfn.IFNA(INDEX('DMT-W'!B$3:B$19,MATCH(1,(C139='DMT-W'!A$3:A$19)*(B139='DMT-W'!F$3:F$19),0)),"")</f>
        <v/>
      </c>
      <c r="E139" s="59" t="str">
        <f t="array" ref="E139">_xlfn.IFNA(IF(INDEX('DMT-W'!G$3:G$19,MATCH(1,(C139='DMT-W'!A$3:A$19)*(B139='DMT-W'!F$3:F$19),0))="P","P",""),"")</f>
        <v/>
      </c>
    </row>
    <row r="140" spans="1:5" hidden="1" x14ac:dyDescent="0.2">
      <c r="A140" s="52" t="str">
        <f t="shared" si="5"/>
        <v/>
      </c>
      <c r="B140" s="52" t="s">
        <v>37</v>
      </c>
      <c r="C140" s="52">
        <v>3</v>
      </c>
      <c r="D140" s="52" t="str">
        <f t="array" ref="D140">_xlfn.IFNA(INDEX('DMT-W'!B$3:B$19,MATCH(1,(C140='DMT-W'!A$3:A$19)*(B140='DMT-W'!F$3:F$19),0)),"")</f>
        <v/>
      </c>
      <c r="E140" s="59" t="str">
        <f t="array" ref="E140">_xlfn.IFNA(IF(INDEX('DMT-W'!G$3:G$19,MATCH(1,(C140='DMT-W'!A$3:A$19)*(B140='DMT-W'!F$3:F$19),0))="P","P",""),"")</f>
        <v/>
      </c>
    </row>
    <row r="141" spans="1:5" hidden="1" x14ac:dyDescent="0.2">
      <c r="A141" s="52" t="str">
        <f t="shared" si="5"/>
        <v/>
      </c>
      <c r="B141" s="52" t="s">
        <v>37</v>
      </c>
      <c r="C141" s="52">
        <v>4</v>
      </c>
      <c r="D141" s="52" t="str">
        <f t="array" ref="D141">_xlfn.IFNA(INDEX('DMT-W'!B$3:B$19,MATCH(1,(C141='DMT-W'!A$3:A$19)*(B141='DMT-W'!F$3:F$19),0)),"")</f>
        <v/>
      </c>
      <c r="E141" s="59" t="str">
        <f t="array" ref="E141">_xlfn.IFNA(IF(INDEX('DMT-W'!G$3:G$19,MATCH(1,(C141='DMT-W'!A$3:A$19)*(B141='DMT-W'!F$3:F$19),0))="P","P",""),"")</f>
        <v/>
      </c>
    </row>
    <row r="142" spans="1:5" hidden="1" x14ac:dyDescent="0.2">
      <c r="A142" s="52" t="str">
        <f t="shared" si="5"/>
        <v/>
      </c>
      <c r="B142" s="52" t="s">
        <v>37</v>
      </c>
      <c r="C142" s="52">
        <v>5</v>
      </c>
      <c r="D142" s="52" t="str">
        <f t="array" ref="D142">_xlfn.IFNA(INDEX('DMT-W'!B$3:B$19,MATCH(1,(C142='DMT-W'!A$3:A$19)*(B142='DMT-W'!F$3:F$19),0)),"")</f>
        <v/>
      </c>
      <c r="E142" s="59" t="str">
        <f t="array" ref="E142">_xlfn.IFNA(IF(INDEX('DMT-W'!G$3:G$19,MATCH(1,(C142='DMT-W'!A$3:A$19)*(B142='DMT-W'!F$3:F$19),0))="P","P",""),"")</f>
        <v/>
      </c>
    </row>
    <row r="143" spans="1:5" hidden="1" x14ac:dyDescent="0.2">
      <c r="A143" s="52" t="str">
        <f t="shared" si="5"/>
        <v/>
      </c>
      <c r="B143" s="52" t="s">
        <v>37</v>
      </c>
      <c r="C143" s="52">
        <v>6</v>
      </c>
      <c r="D143" s="52" t="str">
        <f t="array" ref="D143">_xlfn.IFNA(INDEX('DMT-W'!B$3:B$19,MATCH(1,(C143='DMT-W'!A$3:A$19)*(B143='DMT-W'!F$3:F$19),0)),"")</f>
        <v/>
      </c>
      <c r="E143" s="59" t="str">
        <f t="array" ref="E143">_xlfn.IFNA(IF(INDEX('DMT-W'!G$3:G$19,MATCH(1,(C143='DMT-W'!A$3:A$19)*(B143='DMT-W'!F$3:F$19),0))="P","P",""),"")</f>
        <v/>
      </c>
    </row>
    <row r="144" spans="1:5" hidden="1" x14ac:dyDescent="0.2">
      <c r="A144" s="52" t="str">
        <f t="shared" si="5"/>
        <v/>
      </c>
      <c r="B144" s="52" t="s">
        <v>37</v>
      </c>
      <c r="C144" s="52">
        <v>7</v>
      </c>
      <c r="D144" s="52" t="str">
        <f t="array" ref="D144">_xlfn.IFNA(INDEX('DMT-W'!B$3:B$19,MATCH(1,(C144='DMT-W'!A$3:A$19)*(B144='DMT-W'!F$3:F$19),0)),"")</f>
        <v/>
      </c>
      <c r="E144" s="59" t="str">
        <f t="array" ref="E144">_xlfn.IFNA(IF(INDEX('DMT-W'!G$3:G$19,MATCH(1,(C144='DMT-W'!A$3:A$19)*(B144='DMT-W'!F$3:F$19),0))="P","P",""),"")</f>
        <v/>
      </c>
    </row>
    <row r="145" spans="1:5" hidden="1" x14ac:dyDescent="0.2">
      <c r="A145" s="52" t="str">
        <f t="shared" si="5"/>
        <v/>
      </c>
      <c r="B145" s="52" t="s">
        <v>37</v>
      </c>
      <c r="C145" s="52">
        <v>8</v>
      </c>
      <c r="D145" s="52" t="str">
        <f t="array" ref="D145">_xlfn.IFNA(INDEX('DMT-W'!B$3:B$19,MATCH(1,(C145='DMT-W'!A$3:A$19)*(B145='DMT-W'!F$3:F$19),0)),"")</f>
        <v/>
      </c>
      <c r="E145" s="59" t="str">
        <f t="array" ref="E145">_xlfn.IFNA(IF(INDEX('DMT-W'!G$3:G$19,MATCH(1,(C145='DMT-W'!A$3:A$19)*(B145='DMT-W'!F$3:F$19),0))="P","P",""),"")</f>
        <v/>
      </c>
    </row>
    <row r="146" spans="1:5" hidden="1" x14ac:dyDescent="0.2">
      <c r="A146" s="52" t="str">
        <f t="shared" si="5"/>
        <v/>
      </c>
      <c r="B146" s="52" t="s">
        <v>39</v>
      </c>
      <c r="C146" s="52">
        <v>1</v>
      </c>
      <c r="D146" s="52" t="str">
        <f t="array" ref="D146">_xlfn.IFNA(INDEX('DMT-W'!B$3:B$19,MATCH(1,(C146='DMT-W'!A$3:A$19)*(B146='DMT-W'!F$3:F$19),0)),"")</f>
        <v/>
      </c>
      <c r="E146" s="59" t="str">
        <f t="array" ref="E146">_xlfn.IFNA(IF(INDEX('DMT-W'!G$3:G$19,MATCH(1,(C146='DMT-W'!A$3:A$19)*(B146='DMT-W'!F$3:F$19),0))="P","P",""),"")</f>
        <v/>
      </c>
    </row>
    <row r="147" spans="1:5" hidden="1" x14ac:dyDescent="0.2">
      <c r="A147" s="52" t="str">
        <f t="shared" si="5"/>
        <v/>
      </c>
      <c r="B147" s="52" t="s">
        <v>39</v>
      </c>
      <c r="C147" s="52">
        <v>2</v>
      </c>
      <c r="D147" s="52" t="str">
        <f t="array" ref="D147">_xlfn.IFNA(INDEX('DMT-W'!B$3:B$19,MATCH(1,(C147='DMT-W'!A$3:A$19)*(B147='DMT-W'!F$3:F$19),0)),"")</f>
        <v/>
      </c>
      <c r="E147" s="59" t="str">
        <f t="array" ref="E147">_xlfn.IFNA(IF(INDEX('DMT-W'!G$3:G$19,MATCH(1,(C147='DMT-W'!A$3:A$19)*(B147='DMT-W'!F$3:F$19),0))="P","P",""),"")</f>
        <v/>
      </c>
    </row>
    <row r="148" spans="1:5" hidden="1" x14ac:dyDescent="0.2">
      <c r="A148" s="52" t="str">
        <f t="shared" si="5"/>
        <v/>
      </c>
      <c r="B148" s="52" t="s">
        <v>39</v>
      </c>
      <c r="C148" s="52">
        <v>3</v>
      </c>
      <c r="D148" s="52" t="str">
        <f t="array" ref="D148">_xlfn.IFNA(INDEX('DMT-W'!B$3:B$19,MATCH(1,(C148='DMT-W'!A$3:A$19)*(B148='DMT-W'!F$3:F$19),0)),"")</f>
        <v/>
      </c>
      <c r="E148" s="59" t="str">
        <f t="array" ref="E148">_xlfn.IFNA(IF(INDEX('DMT-W'!G$3:G$19,MATCH(1,(C148='DMT-W'!A$3:A$19)*(B148='DMT-W'!F$3:F$19),0))="P","P",""),"")</f>
        <v/>
      </c>
    </row>
    <row r="149" spans="1:5" hidden="1" x14ac:dyDescent="0.2">
      <c r="A149" s="52" t="str">
        <f t="shared" si="5"/>
        <v/>
      </c>
      <c r="B149" s="52" t="s">
        <v>39</v>
      </c>
      <c r="C149" s="52">
        <v>4</v>
      </c>
      <c r="D149" s="52" t="str">
        <f t="array" ref="D149">_xlfn.IFNA(INDEX('DMT-W'!B$3:B$19,MATCH(1,(C149='DMT-W'!A$3:A$19)*(B149='DMT-W'!F$3:F$19),0)),"")</f>
        <v/>
      </c>
      <c r="E149" s="59" t="str">
        <f t="array" ref="E149">_xlfn.IFNA(IF(INDEX('DMT-W'!G$3:G$19,MATCH(1,(C149='DMT-W'!A$3:A$19)*(B149='DMT-W'!F$3:F$19),0))="P","P",""),"")</f>
        <v/>
      </c>
    </row>
    <row r="150" spans="1:5" hidden="1" x14ac:dyDescent="0.2">
      <c r="A150" s="52" t="str">
        <f t="shared" si="5"/>
        <v/>
      </c>
      <c r="B150" s="52" t="s">
        <v>39</v>
      </c>
      <c r="C150" s="52">
        <v>5</v>
      </c>
      <c r="D150" s="52" t="str">
        <f t="array" ref="D150">_xlfn.IFNA(INDEX('DMT-W'!B$3:B$19,MATCH(1,(C150='DMT-W'!A$3:A$19)*(B150='DMT-W'!F$3:F$19),0)),"")</f>
        <v/>
      </c>
      <c r="E150" s="59" t="str">
        <f t="array" ref="E150">_xlfn.IFNA(IF(INDEX('DMT-W'!G$3:G$19,MATCH(1,(C150='DMT-W'!A$3:A$19)*(B150='DMT-W'!F$3:F$19),0))="P","P",""),"")</f>
        <v/>
      </c>
    </row>
    <row r="151" spans="1:5" hidden="1" x14ac:dyDescent="0.2">
      <c r="A151" s="52" t="str">
        <f t="shared" si="5"/>
        <v/>
      </c>
      <c r="B151" s="52" t="s">
        <v>39</v>
      </c>
      <c r="C151" s="52">
        <v>6</v>
      </c>
      <c r="D151" s="52" t="str">
        <f t="array" ref="D151">_xlfn.IFNA(INDEX('DMT-W'!B$3:B$19,MATCH(1,(C151='DMT-W'!A$3:A$19)*(B151='DMT-W'!F$3:F$19),0)),"")</f>
        <v/>
      </c>
      <c r="E151" s="59" t="str">
        <f t="array" ref="E151">_xlfn.IFNA(IF(INDEX('DMT-W'!G$3:G$19,MATCH(1,(C151='DMT-W'!A$3:A$19)*(B151='DMT-W'!F$3:F$19),0))="P","P",""),"")</f>
        <v/>
      </c>
    </row>
    <row r="152" spans="1:5" hidden="1" x14ac:dyDescent="0.2">
      <c r="A152" s="52" t="str">
        <f t="shared" si="5"/>
        <v/>
      </c>
      <c r="B152" s="52" t="s">
        <v>39</v>
      </c>
      <c r="C152" s="52">
        <v>7</v>
      </c>
      <c r="D152" s="52" t="str">
        <f t="array" ref="D152">_xlfn.IFNA(INDEX('DMT-W'!B$3:B$19,MATCH(1,(C152='DMT-W'!A$3:A$19)*(B152='DMT-W'!F$3:F$19),0)),"")</f>
        <v/>
      </c>
      <c r="E152" s="59" t="str">
        <f t="array" ref="E152">_xlfn.IFNA(IF(INDEX('DMT-W'!G$3:G$19,MATCH(1,(C152='DMT-W'!A$3:A$19)*(B152='DMT-W'!F$3:F$19),0))="P","P",""),"")</f>
        <v/>
      </c>
    </row>
    <row r="153" spans="1:5" hidden="1" x14ac:dyDescent="0.2">
      <c r="A153" s="52" t="str">
        <f t="shared" si="5"/>
        <v/>
      </c>
      <c r="B153" s="52" t="s">
        <v>39</v>
      </c>
      <c r="C153" s="52">
        <v>8</v>
      </c>
      <c r="D153" s="52" t="str">
        <f t="array" ref="D153">_xlfn.IFNA(INDEX('DMT-W'!B$3:B$19,MATCH(1,(C153='DMT-W'!A$3:A$19)*(B153='DMT-W'!F$3:F$19),0)),"")</f>
        <v/>
      </c>
      <c r="E153" s="59" t="str">
        <f t="array" ref="E153">_xlfn.IFNA(IF(INDEX('DMT-W'!G$3:G$19,MATCH(1,(C153='DMT-W'!A$3:A$19)*(B153='DMT-W'!F$3:F$19),0))="P","P",""),"")</f>
        <v/>
      </c>
    </row>
    <row r="154" spans="1:5" x14ac:dyDescent="0.2">
      <c r="A154" s="52" t="str">
        <f t="shared" si="5"/>
        <v>DMT-W</v>
      </c>
      <c r="B154" s="52" t="s">
        <v>40</v>
      </c>
      <c r="C154" s="52">
        <v>1</v>
      </c>
      <c r="D154" s="52" t="str">
        <f t="array" ref="D154">_xlfn.IFNA(INDEX('DMT-W'!B$3:B$19,MATCH(1,(C154='DMT-W'!A$3:A$19)*(B154='DMT-W'!F$3:F$19),0)),"")</f>
        <v>METHERAL, Hannah</v>
      </c>
      <c r="E154" s="59" t="str">
        <f t="array" ref="E154">_xlfn.IFNA(IF(INDEX('DMT-W'!G$3:G$19,MATCH(1,(C154='DMT-W'!A$3:A$19)*(B154='DMT-W'!F$3:F$19),0))="P","P",""),"")</f>
        <v>P</v>
      </c>
    </row>
    <row r="155" spans="1:5" x14ac:dyDescent="0.2">
      <c r="A155" s="52" t="str">
        <f t="shared" si="5"/>
        <v>DMT-W</v>
      </c>
      <c r="B155" s="52" t="s">
        <v>40</v>
      </c>
      <c r="C155" s="52">
        <v>2</v>
      </c>
      <c r="D155" s="52" t="str">
        <f t="array" ref="D155">_xlfn.IFNA(INDEX('DMT-W'!B$3:B$19,MATCH(1,(C155='DMT-W'!A$3:A$19)*(B155='DMT-W'!F$3:F$19),0)),"")</f>
        <v>FLYNN, Gabriella</v>
      </c>
      <c r="E155" s="59" t="str">
        <f t="array" ref="E155">_xlfn.IFNA(IF(INDEX('DMT-W'!G$3:G$19,MATCH(1,(C155='DMT-W'!A$3:A$19)*(B155='DMT-W'!F$3:F$19),0))="P","P",""),"")</f>
        <v>P</v>
      </c>
    </row>
    <row r="156" spans="1:5" x14ac:dyDescent="0.2">
      <c r="A156" s="52" t="str">
        <f t="shared" si="5"/>
        <v>DMT-W</v>
      </c>
      <c r="B156" s="52" t="s">
        <v>40</v>
      </c>
      <c r="C156" s="52">
        <v>3</v>
      </c>
      <c r="D156" s="52" t="str">
        <f t="array" ref="D156">_xlfn.IFNA(INDEX('DMT-W'!B$3:B$19,MATCH(1,(C156='DMT-W'!A$3:A$19)*(B156='DMT-W'!F$3:F$19),0)),"")</f>
        <v>PHANEUF, Zoe</v>
      </c>
      <c r="E156" s="59" t="str">
        <f t="array" ref="E156">_xlfn.IFNA(IF(INDEX('DMT-W'!G$3:G$19,MATCH(1,(C156='DMT-W'!A$3:A$19)*(B156='DMT-W'!F$3:F$19),0))="P","P",""),"")</f>
        <v>P</v>
      </c>
    </row>
    <row r="157" spans="1:5" x14ac:dyDescent="0.2">
      <c r="A157" s="52" t="str">
        <f t="shared" si="5"/>
        <v>DMT-W</v>
      </c>
      <c r="B157" s="52" t="s">
        <v>40</v>
      </c>
      <c r="C157" s="52">
        <v>4</v>
      </c>
      <c r="D157" s="52" t="str">
        <f t="array" ref="D157">_xlfn.IFNA(INDEX('DMT-W'!B$3:B$19,MATCH(1,(C157='DMT-W'!A$3:A$19)*(B157='DMT-W'!F$3:F$19),0)),"")</f>
        <v>ANAKA, Ashley</v>
      </c>
      <c r="E157" s="59" t="str">
        <f t="array" ref="E157">_xlfn.IFNA(IF(INDEX('DMT-W'!G$3:G$19,MATCH(1,(C157='DMT-W'!A$3:A$19)*(B157='DMT-W'!F$3:F$19),0))="P","P",""),"")</f>
        <v>P</v>
      </c>
    </row>
    <row r="158" spans="1:5" x14ac:dyDescent="0.2">
      <c r="A158" s="52" t="str">
        <f t="shared" si="5"/>
        <v>DMT-W</v>
      </c>
      <c r="B158" s="52" t="s">
        <v>40</v>
      </c>
      <c r="C158" s="52">
        <v>5</v>
      </c>
      <c r="D158" s="52" t="str">
        <f t="array" ref="D158">_xlfn.IFNA(INDEX('DMT-W'!B$3:B$19,MATCH(1,(C158='DMT-W'!A$3:A$19)*(B158='DMT-W'!F$3:F$19),0)),"")</f>
        <v>DODD, Kristina</v>
      </c>
      <c r="E158" s="59" t="str">
        <f t="array" ref="E158">_xlfn.IFNA(IF(INDEX('DMT-W'!G$3:G$19,MATCH(1,(C158='DMT-W'!A$3:A$19)*(B158='DMT-W'!F$3:F$19),0))="P","P",""),"")</f>
        <v/>
      </c>
    </row>
    <row r="159" spans="1:5" x14ac:dyDescent="0.2">
      <c r="A159" s="52" t="str">
        <f t="shared" si="5"/>
        <v>DMT-W</v>
      </c>
      <c r="B159" s="52" t="s">
        <v>40</v>
      </c>
      <c r="C159" s="52">
        <v>6</v>
      </c>
      <c r="D159" s="52" t="str">
        <f t="array" ref="D159">_xlfn.IFNA(INDEX('DMT-W'!B$3:B$19,MATCH(1,(C159='DMT-W'!A$3:A$19)*(B159='DMT-W'!F$3:F$19),0)),"")</f>
        <v>DALGETTY, Mckayla</v>
      </c>
      <c r="E159" s="59" t="str">
        <f t="array" ref="E159">_xlfn.IFNA(IF(INDEX('DMT-W'!G$3:G$19,MATCH(1,(C159='DMT-W'!A$3:A$19)*(B159='DMT-W'!F$3:F$19),0))="P","P",""),"")</f>
        <v>P</v>
      </c>
    </row>
    <row r="160" spans="1:5" hidden="1" x14ac:dyDescent="0.2">
      <c r="A160" s="52" t="str">
        <f t="shared" si="5"/>
        <v/>
      </c>
      <c r="B160" s="52" t="s">
        <v>40</v>
      </c>
      <c r="C160" s="52">
        <v>7</v>
      </c>
      <c r="D160" s="52" t="str">
        <f t="array" ref="D160">_xlfn.IFNA(INDEX('DMT-W'!B$3:B$19,MATCH(1,(C160='DMT-W'!A$3:A$19)*(B160='DMT-W'!F$3:F$19),0)),"")</f>
        <v/>
      </c>
      <c r="E160" s="59" t="str">
        <f t="array" ref="E160">_xlfn.IFNA(IF(INDEX('DMT-W'!G$3:G$19,MATCH(1,(C160='DMT-W'!A$3:A$19)*(B160='DMT-W'!F$3:F$19),0))="P","P",""),"")</f>
        <v/>
      </c>
    </row>
    <row r="161" spans="1:5" hidden="1" x14ac:dyDescent="0.2">
      <c r="A161" s="52" t="str">
        <f t="shared" si="5"/>
        <v/>
      </c>
      <c r="B161" s="52" t="s">
        <v>40</v>
      </c>
      <c r="C161" s="52">
        <v>8</v>
      </c>
      <c r="D161" s="52" t="str">
        <f t="array" ref="D161">_xlfn.IFNA(INDEX('DMT-W'!B$3:B$19,MATCH(1,(C161='DMT-W'!A$3:A$19)*(B161='DMT-W'!F$3:F$19),0)),"")</f>
        <v/>
      </c>
      <c r="E161" s="59" t="str">
        <f t="array" ref="E161">_xlfn.IFNA(IF(INDEX('DMT-W'!G$3:G$19,MATCH(1,(C161='DMT-W'!A$3:A$19)*(B161='DMT-W'!F$3:F$19),0))="P","P",""),"")</f>
        <v/>
      </c>
    </row>
    <row r="162" spans="1:5" hidden="1" x14ac:dyDescent="0.2">
      <c r="A162" s="50" t="str">
        <f>IF(D162="","","TUM-M")</f>
        <v/>
      </c>
      <c r="B162" s="51" t="s">
        <v>38</v>
      </c>
      <c r="C162" s="50">
        <v>1</v>
      </c>
      <c r="D162" s="50" t="str">
        <f t="array" ref="D162">_xlfn.IFNA(INDEX('TUM-M'!B$3:B$6,MATCH(1,(C162='TUM-M'!A$3:A$6)*(B162='TUM-M'!F$3:F$6),0)),"")</f>
        <v/>
      </c>
      <c r="E162" s="58" t="str">
        <f t="array" ref="E162">_xlfn.IFNA(IF(INDEX('TUM-M'!G$3:G$6,MATCH(1,(C162='TUM-M'!A$3:A$6)*(B162='TUM-M'!F$3:F$6),0))="P","P",""),"")</f>
        <v/>
      </c>
    </row>
    <row r="163" spans="1:5" hidden="1" x14ac:dyDescent="0.2">
      <c r="A163" s="50" t="str">
        <f t="shared" ref="A163:A193" si="6">IF(D163="","","TUM-M")</f>
        <v/>
      </c>
      <c r="B163" s="51" t="s">
        <v>38</v>
      </c>
      <c r="C163" s="50">
        <v>2</v>
      </c>
      <c r="D163" s="50" t="str">
        <f t="array" ref="D163">_xlfn.IFNA(INDEX('TUM-M'!B$3:B$6,MATCH(1,(C163='TUM-M'!A$3:A$6)*(B163='TUM-M'!F$3:F$6),0)),"")</f>
        <v/>
      </c>
      <c r="E163" s="58" t="str">
        <f t="array" ref="E163">_xlfn.IFNA(IF(INDEX('TUM-M'!G$3:G$6,MATCH(1,(C163='TUM-M'!A$3:A$6)*(B163='TUM-M'!F$3:F$6),0))="P","P",""),"")</f>
        <v/>
      </c>
    </row>
    <row r="164" spans="1:5" hidden="1" x14ac:dyDescent="0.2">
      <c r="A164" s="50" t="str">
        <f t="shared" si="6"/>
        <v/>
      </c>
      <c r="B164" s="51" t="s">
        <v>38</v>
      </c>
      <c r="C164" s="50">
        <v>3</v>
      </c>
      <c r="D164" s="50" t="str">
        <f t="array" ref="D164">_xlfn.IFNA(INDEX('TUM-M'!B$3:B$6,MATCH(1,(C164='TUM-M'!A$3:A$6)*(B164='TUM-M'!F$3:F$6),0)),"")</f>
        <v/>
      </c>
      <c r="E164" s="58" t="str">
        <f t="array" ref="E164">_xlfn.IFNA(IF(INDEX('TUM-M'!G$3:G$6,MATCH(1,(C164='TUM-M'!A$3:A$6)*(B164='TUM-M'!F$3:F$6),0))="P","P",""),"")</f>
        <v/>
      </c>
    </row>
    <row r="165" spans="1:5" hidden="1" x14ac:dyDescent="0.2">
      <c r="A165" s="50" t="str">
        <f t="shared" si="6"/>
        <v/>
      </c>
      <c r="B165" s="51" t="s">
        <v>38</v>
      </c>
      <c r="C165" s="50">
        <v>4</v>
      </c>
      <c r="D165" s="50" t="str">
        <f t="array" ref="D165">_xlfn.IFNA(INDEX('TUM-M'!B$3:B$6,MATCH(1,(C165='TUM-M'!A$3:A$6)*(B165='TUM-M'!F$3:F$6),0)),"")</f>
        <v/>
      </c>
      <c r="E165" s="58" t="str">
        <f t="array" ref="E165">_xlfn.IFNA(IF(INDEX('TUM-M'!G$3:G$6,MATCH(1,(C165='TUM-M'!A$3:A$6)*(B165='TUM-M'!F$3:F$6),0))="P","P",""),"")</f>
        <v/>
      </c>
    </row>
    <row r="166" spans="1:5" hidden="1" x14ac:dyDescent="0.2">
      <c r="A166" s="50" t="str">
        <f t="shared" si="6"/>
        <v/>
      </c>
      <c r="B166" s="51" t="s">
        <v>38</v>
      </c>
      <c r="C166" s="50">
        <v>5</v>
      </c>
      <c r="D166" s="50" t="str">
        <f t="array" ref="D166">_xlfn.IFNA(INDEX('TUM-M'!B$3:B$6,MATCH(1,(C166='TUM-M'!A$3:A$6)*(B166='TUM-M'!F$3:F$6),0)),"")</f>
        <v/>
      </c>
      <c r="E166" s="58" t="str">
        <f t="array" ref="E166">_xlfn.IFNA(IF(INDEX('TUM-M'!G$3:G$6,MATCH(1,(C166='TUM-M'!A$3:A$6)*(B166='TUM-M'!F$3:F$6),0))="P","P",""),"")</f>
        <v/>
      </c>
    </row>
    <row r="167" spans="1:5" hidden="1" x14ac:dyDescent="0.2">
      <c r="A167" s="50" t="str">
        <f t="shared" si="6"/>
        <v/>
      </c>
      <c r="B167" s="51" t="s">
        <v>38</v>
      </c>
      <c r="C167" s="50">
        <v>6</v>
      </c>
      <c r="D167" s="50" t="str">
        <f t="array" ref="D167">_xlfn.IFNA(INDEX('TUM-M'!B$3:B$6,MATCH(1,(C167='TUM-M'!A$3:A$6)*(B167='TUM-M'!F$3:F$6),0)),"")</f>
        <v/>
      </c>
      <c r="E167" s="58" t="str">
        <f t="array" ref="E167">_xlfn.IFNA(IF(INDEX('TUM-M'!G$3:G$6,MATCH(1,(C167='TUM-M'!A$3:A$6)*(B167='TUM-M'!F$3:F$6),0))="P","P",""),"")</f>
        <v/>
      </c>
    </row>
    <row r="168" spans="1:5" hidden="1" x14ac:dyDescent="0.2">
      <c r="A168" s="50" t="str">
        <f t="shared" si="6"/>
        <v/>
      </c>
      <c r="B168" s="51" t="s">
        <v>38</v>
      </c>
      <c r="C168" s="50">
        <v>7</v>
      </c>
      <c r="D168" s="50" t="str">
        <f t="array" ref="D168">_xlfn.IFNA(INDEX('TUM-M'!B$3:B$6,MATCH(1,(C168='TUM-M'!A$3:A$6)*(B168='TUM-M'!F$3:F$6),0)),"")</f>
        <v/>
      </c>
      <c r="E168" s="58" t="str">
        <f t="array" ref="E168">_xlfn.IFNA(IF(INDEX('TUM-M'!G$3:G$6,MATCH(1,(C168='TUM-M'!A$3:A$6)*(B168='TUM-M'!F$3:F$6),0))="P","P",""),"")</f>
        <v/>
      </c>
    </row>
    <row r="169" spans="1:5" hidden="1" x14ac:dyDescent="0.2">
      <c r="A169" s="50" t="str">
        <f t="shared" si="6"/>
        <v/>
      </c>
      <c r="B169" s="51" t="s">
        <v>38</v>
      </c>
      <c r="C169" s="50">
        <v>8</v>
      </c>
      <c r="D169" s="50" t="str">
        <f t="array" ref="D169">_xlfn.IFNA(INDEX('TUM-M'!B$3:B$6,MATCH(1,(C169='TUM-M'!A$3:A$6)*(B169='TUM-M'!F$3:F$6),0)),"")</f>
        <v/>
      </c>
      <c r="E169" s="58" t="str">
        <f t="array" ref="E169">_xlfn.IFNA(IF(INDEX('TUM-M'!G$3:G$6,MATCH(1,(C169='TUM-M'!A$3:A$6)*(B169='TUM-M'!F$3:F$6),0))="P","P",""),"")</f>
        <v/>
      </c>
    </row>
    <row r="170" spans="1:5" hidden="1" x14ac:dyDescent="0.2">
      <c r="A170" s="50" t="str">
        <f t="shared" si="6"/>
        <v/>
      </c>
      <c r="B170" s="50" t="s">
        <v>37</v>
      </c>
      <c r="C170" s="50">
        <v>1</v>
      </c>
      <c r="D170" s="50" t="str">
        <f t="array" ref="D170">_xlfn.IFNA(INDEX('TUM-M'!B$3:B$6,MATCH(1,(C170='TUM-M'!A$3:A$6)*(B170='TUM-M'!F$3:F$6),0)),"")</f>
        <v/>
      </c>
      <c r="E170" s="58" t="str">
        <f t="array" ref="E170">_xlfn.IFNA(IF(INDEX('TUM-M'!G$3:G$6,MATCH(1,(C170='TUM-M'!A$3:A$6)*(B170='TUM-M'!F$3:F$6),0))="P","P",""),"")</f>
        <v/>
      </c>
    </row>
    <row r="171" spans="1:5" hidden="1" x14ac:dyDescent="0.2">
      <c r="A171" s="50" t="str">
        <f t="shared" si="6"/>
        <v/>
      </c>
      <c r="B171" s="50" t="s">
        <v>37</v>
      </c>
      <c r="C171" s="50">
        <v>2</v>
      </c>
      <c r="D171" s="50" t="str">
        <f t="array" ref="D171">_xlfn.IFNA(INDEX('TUM-M'!B$3:B$6,MATCH(1,(C171='TUM-M'!A$3:A$6)*(B171='TUM-M'!F$3:F$6),0)),"")</f>
        <v/>
      </c>
      <c r="E171" s="58" t="str">
        <f t="array" ref="E171">_xlfn.IFNA(IF(INDEX('TUM-M'!G$3:G$6,MATCH(1,(C171='TUM-M'!A$3:A$6)*(B171='TUM-M'!F$3:F$6),0))="P","P",""),"")</f>
        <v/>
      </c>
    </row>
    <row r="172" spans="1:5" hidden="1" x14ac:dyDescent="0.2">
      <c r="A172" s="50" t="str">
        <f t="shared" si="6"/>
        <v/>
      </c>
      <c r="B172" s="50" t="s">
        <v>37</v>
      </c>
      <c r="C172" s="50">
        <v>3</v>
      </c>
      <c r="D172" s="50" t="str">
        <f t="array" ref="D172">_xlfn.IFNA(INDEX('TUM-M'!B$3:B$6,MATCH(1,(C172='TUM-M'!A$3:A$6)*(B172='TUM-M'!F$3:F$6),0)),"")</f>
        <v/>
      </c>
      <c r="E172" s="58" t="str">
        <f t="array" ref="E172">_xlfn.IFNA(IF(INDEX('TUM-M'!G$3:G$6,MATCH(1,(C172='TUM-M'!A$3:A$6)*(B172='TUM-M'!F$3:F$6),0))="P","P",""),"")</f>
        <v/>
      </c>
    </row>
    <row r="173" spans="1:5" hidden="1" x14ac:dyDescent="0.2">
      <c r="A173" s="50" t="str">
        <f t="shared" si="6"/>
        <v/>
      </c>
      <c r="B173" s="50" t="s">
        <v>37</v>
      </c>
      <c r="C173" s="50">
        <v>4</v>
      </c>
      <c r="D173" s="50" t="str">
        <f t="array" ref="D173">_xlfn.IFNA(INDEX('TUM-M'!B$3:B$6,MATCH(1,(C173='TUM-M'!A$3:A$6)*(B173='TUM-M'!F$3:F$6),0)),"")</f>
        <v/>
      </c>
      <c r="E173" s="58" t="str">
        <f t="array" ref="E173">_xlfn.IFNA(IF(INDEX('TUM-M'!G$3:G$6,MATCH(1,(C173='TUM-M'!A$3:A$6)*(B173='TUM-M'!F$3:F$6),0))="P","P",""),"")</f>
        <v/>
      </c>
    </row>
    <row r="174" spans="1:5" hidden="1" x14ac:dyDescent="0.2">
      <c r="A174" s="50" t="str">
        <f t="shared" si="6"/>
        <v/>
      </c>
      <c r="B174" s="50" t="s">
        <v>37</v>
      </c>
      <c r="C174" s="50">
        <v>5</v>
      </c>
      <c r="D174" s="50" t="str">
        <f t="array" ref="D174">_xlfn.IFNA(INDEX('TUM-M'!B$3:B$6,MATCH(1,(C174='TUM-M'!A$3:A$6)*(B174='TUM-M'!F$3:F$6),0)),"")</f>
        <v/>
      </c>
      <c r="E174" s="58" t="str">
        <f t="array" ref="E174">_xlfn.IFNA(IF(INDEX('TUM-M'!G$3:G$6,MATCH(1,(C174='TUM-M'!A$3:A$6)*(B174='TUM-M'!F$3:F$6),0))="P","P",""),"")</f>
        <v/>
      </c>
    </row>
    <row r="175" spans="1:5" hidden="1" x14ac:dyDescent="0.2">
      <c r="A175" s="50" t="str">
        <f t="shared" si="6"/>
        <v/>
      </c>
      <c r="B175" s="50" t="s">
        <v>37</v>
      </c>
      <c r="C175" s="50">
        <v>6</v>
      </c>
      <c r="D175" s="50" t="str">
        <f t="array" ref="D175">_xlfn.IFNA(INDEX('TUM-M'!B$3:B$6,MATCH(1,(C175='TUM-M'!A$3:A$6)*(B175='TUM-M'!F$3:F$6),0)),"")</f>
        <v/>
      </c>
      <c r="E175" s="58" t="str">
        <f t="array" ref="E175">_xlfn.IFNA(IF(INDEX('TUM-M'!G$3:G$6,MATCH(1,(C175='TUM-M'!A$3:A$6)*(B175='TUM-M'!F$3:F$6),0))="P","P",""),"")</f>
        <v/>
      </c>
    </row>
    <row r="176" spans="1:5" hidden="1" x14ac:dyDescent="0.2">
      <c r="A176" s="50" t="str">
        <f t="shared" si="6"/>
        <v/>
      </c>
      <c r="B176" s="50" t="s">
        <v>37</v>
      </c>
      <c r="C176" s="50">
        <v>7</v>
      </c>
      <c r="D176" s="50" t="str">
        <f t="array" ref="D176">_xlfn.IFNA(INDEX('TUM-M'!B$3:B$6,MATCH(1,(C176='TUM-M'!A$3:A$6)*(B176='TUM-M'!F$3:F$6),0)),"")</f>
        <v/>
      </c>
      <c r="E176" s="58" t="str">
        <f t="array" ref="E176">_xlfn.IFNA(IF(INDEX('TUM-M'!G$3:G$6,MATCH(1,(C176='TUM-M'!A$3:A$6)*(B176='TUM-M'!F$3:F$6),0))="P","P",""),"")</f>
        <v/>
      </c>
    </row>
    <row r="177" spans="1:5" hidden="1" x14ac:dyDescent="0.2">
      <c r="A177" s="50" t="str">
        <f t="shared" si="6"/>
        <v/>
      </c>
      <c r="B177" s="50" t="s">
        <v>37</v>
      </c>
      <c r="C177" s="50">
        <v>8</v>
      </c>
      <c r="D177" s="50" t="str">
        <f t="array" ref="D177">_xlfn.IFNA(INDEX('TUM-M'!B$3:B$6,MATCH(1,(C177='TUM-M'!A$3:A$6)*(B177='TUM-M'!F$3:F$6),0)),"")</f>
        <v/>
      </c>
      <c r="E177" s="58" t="str">
        <f t="array" ref="E177">_xlfn.IFNA(IF(INDEX('TUM-M'!G$3:G$6,MATCH(1,(C177='TUM-M'!A$3:A$6)*(B177='TUM-M'!F$3:F$6),0))="P","P",""),"")</f>
        <v/>
      </c>
    </row>
    <row r="178" spans="1:5" hidden="1" x14ac:dyDescent="0.2">
      <c r="A178" s="50" t="str">
        <f t="shared" si="6"/>
        <v/>
      </c>
      <c r="B178" s="50" t="s">
        <v>39</v>
      </c>
      <c r="C178" s="50">
        <v>1</v>
      </c>
      <c r="D178" s="50" t="str">
        <f t="array" ref="D178">_xlfn.IFNA(INDEX('TUM-M'!B$3:B$6,MATCH(1,(C178='TUM-M'!A$3:A$6)*(B178='TUM-M'!F$3:F$6),0)),"")</f>
        <v/>
      </c>
      <c r="E178" s="58" t="str">
        <f t="array" ref="E178">_xlfn.IFNA(IF(INDEX('TUM-M'!G$3:G$6,MATCH(1,(C178='TUM-M'!A$3:A$6)*(B178='TUM-M'!F$3:F$6),0))="P","P",""),"")</f>
        <v/>
      </c>
    </row>
    <row r="179" spans="1:5" hidden="1" x14ac:dyDescent="0.2">
      <c r="A179" s="50" t="str">
        <f t="shared" si="6"/>
        <v/>
      </c>
      <c r="B179" s="50" t="s">
        <v>39</v>
      </c>
      <c r="C179" s="50">
        <v>2</v>
      </c>
      <c r="D179" s="50" t="str">
        <f t="array" ref="D179">_xlfn.IFNA(INDEX('TUM-M'!B$3:B$6,MATCH(1,(C179='TUM-M'!A$3:A$6)*(B179='TUM-M'!F$3:F$6),0)),"")</f>
        <v/>
      </c>
      <c r="E179" s="58" t="str">
        <f t="array" ref="E179">_xlfn.IFNA(IF(INDEX('TUM-M'!G$3:G$6,MATCH(1,(C179='TUM-M'!A$3:A$6)*(B179='TUM-M'!F$3:F$6),0))="P","P",""),"")</f>
        <v/>
      </c>
    </row>
    <row r="180" spans="1:5" hidden="1" x14ac:dyDescent="0.2">
      <c r="A180" s="50" t="str">
        <f t="shared" si="6"/>
        <v/>
      </c>
      <c r="B180" s="50" t="s">
        <v>39</v>
      </c>
      <c r="C180" s="50">
        <v>3</v>
      </c>
      <c r="D180" s="50" t="str">
        <f t="array" ref="D180">_xlfn.IFNA(INDEX('TUM-M'!B$3:B$6,MATCH(1,(C180='TUM-M'!A$3:A$6)*(B180='TUM-M'!F$3:F$6),0)),"")</f>
        <v/>
      </c>
      <c r="E180" s="58" t="str">
        <f t="array" ref="E180">_xlfn.IFNA(IF(INDEX('TUM-M'!G$3:G$6,MATCH(1,(C180='TUM-M'!A$3:A$6)*(B180='TUM-M'!F$3:F$6),0))="P","P",""),"")</f>
        <v/>
      </c>
    </row>
    <row r="181" spans="1:5" hidden="1" x14ac:dyDescent="0.2">
      <c r="A181" s="50" t="str">
        <f t="shared" si="6"/>
        <v/>
      </c>
      <c r="B181" s="50" t="s">
        <v>39</v>
      </c>
      <c r="C181" s="50">
        <v>4</v>
      </c>
      <c r="D181" s="50" t="str">
        <f t="array" ref="D181">_xlfn.IFNA(INDEX('TUM-M'!B$3:B$6,MATCH(1,(C181='TUM-M'!A$3:A$6)*(B181='TUM-M'!F$3:F$6),0)),"")</f>
        <v/>
      </c>
      <c r="E181" s="58" t="str">
        <f t="array" ref="E181">_xlfn.IFNA(IF(INDEX('TUM-M'!G$3:G$6,MATCH(1,(C181='TUM-M'!A$3:A$6)*(B181='TUM-M'!F$3:F$6),0))="P","P",""),"")</f>
        <v/>
      </c>
    </row>
    <row r="182" spans="1:5" hidden="1" x14ac:dyDescent="0.2">
      <c r="A182" s="50" t="str">
        <f t="shared" si="6"/>
        <v/>
      </c>
      <c r="B182" s="50" t="s">
        <v>39</v>
      </c>
      <c r="C182" s="50">
        <v>5</v>
      </c>
      <c r="D182" s="50" t="str">
        <f t="array" ref="D182">_xlfn.IFNA(INDEX('TUM-M'!B$3:B$6,MATCH(1,(C182='TUM-M'!A$3:A$6)*(B182='TUM-M'!F$3:F$6),0)),"")</f>
        <v/>
      </c>
      <c r="E182" s="58" t="str">
        <f t="array" ref="E182">_xlfn.IFNA(IF(INDEX('TUM-M'!G$3:G$6,MATCH(1,(C182='TUM-M'!A$3:A$6)*(B182='TUM-M'!F$3:F$6),0))="P","P",""),"")</f>
        <v/>
      </c>
    </row>
    <row r="183" spans="1:5" hidden="1" x14ac:dyDescent="0.2">
      <c r="A183" s="50" t="str">
        <f t="shared" si="6"/>
        <v/>
      </c>
      <c r="B183" s="50" t="s">
        <v>39</v>
      </c>
      <c r="C183" s="50">
        <v>6</v>
      </c>
      <c r="D183" s="50" t="str">
        <f t="array" ref="D183">_xlfn.IFNA(INDEX('TUM-M'!B$3:B$6,MATCH(1,(C183='TUM-M'!A$3:A$6)*(B183='TUM-M'!F$3:F$6),0)),"")</f>
        <v/>
      </c>
      <c r="E183" s="58" t="str">
        <f t="array" ref="E183">_xlfn.IFNA(IF(INDEX('TUM-M'!G$3:G$6,MATCH(1,(C183='TUM-M'!A$3:A$6)*(B183='TUM-M'!F$3:F$6),0))="P","P",""),"")</f>
        <v/>
      </c>
    </row>
    <row r="184" spans="1:5" hidden="1" x14ac:dyDescent="0.2">
      <c r="A184" s="50" t="str">
        <f t="shared" si="6"/>
        <v/>
      </c>
      <c r="B184" s="50" t="s">
        <v>39</v>
      </c>
      <c r="C184" s="50">
        <v>7</v>
      </c>
      <c r="D184" s="50" t="str">
        <f t="array" ref="D184">_xlfn.IFNA(INDEX('TUM-M'!B$3:B$6,MATCH(1,(C184='TUM-M'!A$3:A$6)*(B184='TUM-M'!F$3:F$6),0)),"")</f>
        <v/>
      </c>
      <c r="E184" s="58" t="str">
        <f t="array" ref="E184">_xlfn.IFNA(IF(INDEX('TUM-M'!G$3:G$6,MATCH(1,(C184='TUM-M'!A$3:A$6)*(B184='TUM-M'!F$3:F$6),0))="P","P",""),"")</f>
        <v/>
      </c>
    </row>
    <row r="185" spans="1:5" hidden="1" x14ac:dyDescent="0.2">
      <c r="A185" s="50" t="str">
        <f t="shared" si="6"/>
        <v/>
      </c>
      <c r="B185" s="50" t="s">
        <v>39</v>
      </c>
      <c r="C185" s="50">
        <v>8</v>
      </c>
      <c r="D185" s="50" t="str">
        <f t="array" ref="D185">_xlfn.IFNA(INDEX('TUM-M'!B$3:B$6,MATCH(1,(C185='TUM-M'!A$3:A$6)*(B185='TUM-M'!F$3:F$6),0)),"")</f>
        <v/>
      </c>
      <c r="E185" s="58" t="str">
        <f t="array" ref="E185">_xlfn.IFNA(IF(INDEX('TUM-M'!G$3:G$6,MATCH(1,(C185='TUM-M'!A$3:A$6)*(B185='TUM-M'!F$3:F$6),0))="P","P",""),"")</f>
        <v/>
      </c>
    </row>
    <row r="186" spans="1:5" x14ac:dyDescent="0.2">
      <c r="A186" s="50" t="str">
        <f t="shared" si="6"/>
        <v>TUM-M</v>
      </c>
      <c r="B186" s="50" t="s">
        <v>40</v>
      </c>
      <c r="C186" s="50">
        <v>1</v>
      </c>
      <c r="D186" s="50" t="str">
        <f t="array" ref="D186">_xlfn.IFNA(INDEX('TUM-M'!B$3:B$6,MATCH(1,(C186='TUM-M'!A$3:A$6)*(B186='TUM-M'!F$3:F$6),0)),"")</f>
        <v>PEDERSEN, Mitchel</v>
      </c>
      <c r="E186" s="58" t="str">
        <f t="array" ref="E186">_xlfn.IFNA(IF(INDEX('TUM-M'!G$3:G$6,MATCH(1,(C186='TUM-M'!A$3:A$6)*(B186='TUM-M'!F$3:F$6),0))="P","P",""),"")</f>
        <v>P</v>
      </c>
    </row>
    <row r="187" spans="1:5" x14ac:dyDescent="0.2">
      <c r="A187" s="50" t="str">
        <f t="shared" si="6"/>
        <v>TUM-M</v>
      </c>
      <c r="B187" s="50" t="s">
        <v>40</v>
      </c>
      <c r="C187" s="50">
        <v>2</v>
      </c>
      <c r="D187" s="50" t="str">
        <f t="array" ref="D187">_xlfn.IFNA(INDEX('TUM-M'!B$3:B$6,MATCH(1,(C187='TUM-M'!A$3:A$6)*(B187='TUM-M'!F$3:F$6),0)),"")</f>
        <v>MALEK, Philo</v>
      </c>
      <c r="E187" s="58" t="str">
        <f t="array" ref="E187">_xlfn.IFNA(IF(INDEX('TUM-M'!G$3:G$6,MATCH(1,(C187='TUM-M'!A$3:A$6)*(B187='TUM-M'!F$3:F$6),0))="P","P",""),"")</f>
        <v>P</v>
      </c>
    </row>
    <row r="188" spans="1:5" hidden="1" x14ac:dyDescent="0.2">
      <c r="A188" s="50" t="str">
        <f t="shared" si="6"/>
        <v/>
      </c>
      <c r="B188" s="50" t="s">
        <v>40</v>
      </c>
      <c r="C188" s="50">
        <v>3</v>
      </c>
      <c r="D188" s="50" t="str">
        <f t="array" ref="D188">_xlfn.IFNA(INDEX('TUM-M'!B$3:B$6,MATCH(1,(C188='TUM-M'!A$3:A$6)*(B188='TUM-M'!F$3:F$6),0)),"")</f>
        <v/>
      </c>
      <c r="E188" s="58" t="str">
        <f t="array" ref="E188">_xlfn.IFNA(IF(INDEX('TUM-M'!G$3:G$6,MATCH(1,(C188='TUM-M'!A$3:A$6)*(B188='TUM-M'!F$3:F$6),0))="P","P",""),"")</f>
        <v/>
      </c>
    </row>
    <row r="189" spans="1:5" hidden="1" x14ac:dyDescent="0.2">
      <c r="A189" s="50" t="str">
        <f t="shared" si="6"/>
        <v/>
      </c>
      <c r="B189" s="50" t="s">
        <v>40</v>
      </c>
      <c r="C189" s="50">
        <v>4</v>
      </c>
      <c r="D189" s="50" t="str">
        <f t="array" ref="D189">_xlfn.IFNA(INDEX('TUM-M'!B$3:B$6,MATCH(1,(C189='TUM-M'!A$3:A$6)*(B189='TUM-M'!F$3:F$6),0)),"")</f>
        <v/>
      </c>
      <c r="E189" s="58" t="str">
        <f t="array" ref="E189">_xlfn.IFNA(IF(INDEX('TUM-M'!G$3:G$6,MATCH(1,(C189='TUM-M'!A$3:A$6)*(B189='TUM-M'!F$3:F$6),0))="P","P",""),"")</f>
        <v/>
      </c>
    </row>
    <row r="190" spans="1:5" hidden="1" x14ac:dyDescent="0.2">
      <c r="A190" s="50" t="str">
        <f t="shared" si="6"/>
        <v/>
      </c>
      <c r="B190" s="50" t="s">
        <v>40</v>
      </c>
      <c r="C190" s="50">
        <v>5</v>
      </c>
      <c r="D190" s="50" t="str">
        <f t="array" ref="D190">_xlfn.IFNA(INDEX('TUM-M'!B$3:B$6,MATCH(1,(C190='TUM-M'!A$3:A$6)*(B190='TUM-M'!F$3:F$6),0)),"")</f>
        <v/>
      </c>
      <c r="E190" s="58" t="str">
        <f t="array" ref="E190">_xlfn.IFNA(IF(INDEX('TUM-M'!G$3:G$6,MATCH(1,(C190='TUM-M'!A$3:A$6)*(B190='TUM-M'!F$3:F$6),0))="P","P",""),"")</f>
        <v/>
      </c>
    </row>
    <row r="191" spans="1:5" hidden="1" x14ac:dyDescent="0.2">
      <c r="A191" s="50" t="str">
        <f t="shared" si="6"/>
        <v/>
      </c>
      <c r="B191" s="50" t="s">
        <v>40</v>
      </c>
      <c r="C191" s="50">
        <v>6</v>
      </c>
      <c r="D191" s="50" t="str">
        <f t="array" ref="D191">_xlfn.IFNA(INDEX('TUM-M'!B$3:B$6,MATCH(1,(C191='TUM-M'!A$3:A$6)*(B191='TUM-M'!F$3:F$6),0)),"")</f>
        <v/>
      </c>
      <c r="E191" s="58" t="str">
        <f t="array" ref="E191">_xlfn.IFNA(IF(INDEX('TUM-M'!G$3:G$6,MATCH(1,(C191='TUM-M'!A$3:A$6)*(B191='TUM-M'!F$3:F$6),0))="P","P",""),"")</f>
        <v/>
      </c>
    </row>
    <row r="192" spans="1:5" hidden="1" x14ac:dyDescent="0.2">
      <c r="A192" s="50" t="str">
        <f t="shared" si="6"/>
        <v/>
      </c>
      <c r="B192" s="50" t="s">
        <v>40</v>
      </c>
      <c r="C192" s="50">
        <v>7</v>
      </c>
      <c r="D192" s="50" t="str">
        <f t="array" ref="D192">_xlfn.IFNA(INDEX('TUM-M'!B$3:B$6,MATCH(1,(C192='TUM-M'!A$3:A$6)*(B192='TUM-M'!F$3:F$6),0)),"")</f>
        <v/>
      </c>
      <c r="E192" s="58" t="str">
        <f t="array" ref="E192">_xlfn.IFNA(IF(INDEX('TUM-M'!G$3:G$6,MATCH(1,(C192='TUM-M'!A$3:A$6)*(B192='TUM-M'!F$3:F$6),0))="P","P",""),"")</f>
        <v/>
      </c>
    </row>
    <row r="193" spans="1:5" hidden="1" x14ac:dyDescent="0.2">
      <c r="A193" s="50" t="str">
        <f t="shared" si="6"/>
        <v/>
      </c>
      <c r="B193" s="50" t="s">
        <v>40</v>
      </c>
      <c r="C193" s="50">
        <v>8</v>
      </c>
      <c r="D193" s="50" t="str">
        <f t="array" ref="D193">_xlfn.IFNA(INDEX('TUM-M'!B$3:B$6,MATCH(1,(C193='TUM-M'!A$3:A$6)*(B193='TUM-M'!F$3:F$6),0)),"")</f>
        <v/>
      </c>
      <c r="E193" s="58" t="str">
        <f t="array" ref="E193">_xlfn.IFNA(IF(INDEX('TUM-M'!G$3:G$6,MATCH(1,(C193='TUM-M'!A$3:A$6)*(B193='TUM-M'!F$3:F$6),0))="P","P",""),"")</f>
        <v/>
      </c>
    </row>
    <row r="194" spans="1:5" hidden="1" x14ac:dyDescent="0.2">
      <c r="A194" s="52" t="str">
        <f>IF(D194="","","TUM-W")</f>
        <v/>
      </c>
      <c r="B194" s="53" t="s">
        <v>38</v>
      </c>
      <c r="C194" s="52">
        <v>1</v>
      </c>
      <c r="D194" s="52" t="str">
        <f t="array" ref="D194">_xlfn.IFNA(INDEX('TUM-W'!B$3:B$13,MATCH(1,(C194='TUM-W'!A$3:A$13)*(B194='TUM-W'!F$3:F$13),0)),"")</f>
        <v/>
      </c>
      <c r="E194" s="59" t="str">
        <f t="array" ref="E194">_xlfn.IFNA(IF(INDEX('TUM-W'!G$3:G$13,MATCH(1,(C194='TUM-W'!A$3:A$13)*(B194='TUM-W'!F$3:F$13),0))="P","P",""),"")</f>
        <v/>
      </c>
    </row>
    <row r="195" spans="1:5" hidden="1" x14ac:dyDescent="0.2">
      <c r="A195" s="52" t="str">
        <f t="shared" ref="A195:A225" si="7">IF(D195="","","TUM-W")</f>
        <v/>
      </c>
      <c r="B195" s="53" t="s">
        <v>38</v>
      </c>
      <c r="C195" s="52">
        <v>2</v>
      </c>
      <c r="D195" s="52" t="str">
        <f t="array" ref="D195">_xlfn.IFNA(INDEX('TUM-W'!B$3:B$13,MATCH(1,(C195='TUM-W'!A$3:A$13)*(B195='TUM-W'!F$3:F$13),0)),"")</f>
        <v/>
      </c>
      <c r="E195" s="59" t="str">
        <f t="array" ref="E195">_xlfn.IFNA(IF(INDEX('TUM-W'!G$3:G$13,MATCH(1,(C195='TUM-W'!A$3:A$13)*(B195='TUM-W'!F$3:F$13),0))="P","P",""),"")</f>
        <v/>
      </c>
    </row>
    <row r="196" spans="1:5" hidden="1" x14ac:dyDescent="0.2">
      <c r="A196" s="52" t="str">
        <f t="shared" si="7"/>
        <v/>
      </c>
      <c r="B196" s="53" t="s">
        <v>38</v>
      </c>
      <c r="C196" s="52">
        <v>3</v>
      </c>
      <c r="D196" s="52" t="str">
        <f t="array" ref="D196">_xlfn.IFNA(INDEX('TUM-W'!B$3:B$13,MATCH(1,(C196='TUM-W'!A$3:A$13)*(B196='TUM-W'!F$3:F$13),0)),"")</f>
        <v/>
      </c>
      <c r="E196" s="59" t="str">
        <f t="array" ref="E196">_xlfn.IFNA(IF(INDEX('TUM-W'!G$3:G$13,MATCH(1,(C196='TUM-W'!A$3:A$13)*(B196='TUM-W'!F$3:F$13),0))="P","P",""),"")</f>
        <v/>
      </c>
    </row>
    <row r="197" spans="1:5" hidden="1" x14ac:dyDescent="0.2">
      <c r="A197" s="52" t="str">
        <f t="shared" si="7"/>
        <v/>
      </c>
      <c r="B197" s="53" t="s">
        <v>38</v>
      </c>
      <c r="C197" s="52">
        <v>4</v>
      </c>
      <c r="D197" s="52" t="str">
        <f t="array" ref="D197">_xlfn.IFNA(INDEX('TUM-W'!B$3:B$13,MATCH(1,(C197='TUM-W'!A$3:A$13)*(B197='TUM-W'!F$3:F$13),0)),"")</f>
        <v/>
      </c>
      <c r="E197" s="59" t="str">
        <f t="array" ref="E197">_xlfn.IFNA(IF(INDEX('TUM-W'!G$3:G$13,MATCH(1,(C197='TUM-W'!A$3:A$13)*(B197='TUM-W'!F$3:F$13),0))="P","P",""),"")</f>
        <v/>
      </c>
    </row>
    <row r="198" spans="1:5" hidden="1" x14ac:dyDescent="0.2">
      <c r="A198" s="52" t="str">
        <f t="shared" si="7"/>
        <v/>
      </c>
      <c r="B198" s="53" t="s">
        <v>38</v>
      </c>
      <c r="C198" s="52">
        <v>5</v>
      </c>
      <c r="D198" s="52" t="str">
        <f t="array" ref="D198">_xlfn.IFNA(INDEX('TUM-W'!B$3:B$13,MATCH(1,(C198='TUM-W'!A$3:A$13)*(B198='TUM-W'!F$3:F$13),0)),"")</f>
        <v/>
      </c>
      <c r="E198" s="59" t="str">
        <f t="array" ref="E198">_xlfn.IFNA(IF(INDEX('TUM-W'!G$3:G$13,MATCH(1,(C198='TUM-W'!A$3:A$13)*(B198='TUM-W'!F$3:F$13),0))="P","P",""),"")</f>
        <v/>
      </c>
    </row>
    <row r="199" spans="1:5" hidden="1" x14ac:dyDescent="0.2">
      <c r="A199" s="52" t="str">
        <f t="shared" si="7"/>
        <v/>
      </c>
      <c r="B199" s="53" t="s">
        <v>38</v>
      </c>
      <c r="C199" s="52">
        <v>6</v>
      </c>
      <c r="D199" s="52" t="str">
        <f t="array" ref="D199">_xlfn.IFNA(INDEX('TUM-W'!B$3:B$13,MATCH(1,(C199='TUM-W'!A$3:A$13)*(B199='TUM-W'!F$3:F$13),0)),"")</f>
        <v/>
      </c>
      <c r="E199" s="59" t="str">
        <f t="array" ref="E199">_xlfn.IFNA(IF(INDEX('TUM-W'!G$3:G$13,MATCH(1,(C199='TUM-W'!A$3:A$13)*(B199='TUM-W'!F$3:F$13),0))="P","P",""),"")</f>
        <v/>
      </c>
    </row>
    <row r="200" spans="1:5" hidden="1" x14ac:dyDescent="0.2">
      <c r="A200" s="52" t="str">
        <f t="shared" si="7"/>
        <v/>
      </c>
      <c r="B200" s="53" t="s">
        <v>38</v>
      </c>
      <c r="C200" s="52">
        <v>7</v>
      </c>
      <c r="D200" s="52" t="str">
        <f t="array" ref="D200">_xlfn.IFNA(INDEX('TUM-W'!B$3:B$13,MATCH(1,(C200='TUM-W'!A$3:A$13)*(B200='TUM-W'!F$3:F$13),0)),"")</f>
        <v/>
      </c>
      <c r="E200" s="59" t="str">
        <f t="array" ref="E200">_xlfn.IFNA(IF(INDEX('TUM-W'!G$3:G$13,MATCH(1,(C200='TUM-W'!A$3:A$13)*(B200='TUM-W'!F$3:F$13),0))="P","P",""),"")</f>
        <v/>
      </c>
    </row>
    <row r="201" spans="1:5" hidden="1" x14ac:dyDescent="0.2">
      <c r="A201" s="52" t="str">
        <f t="shared" si="7"/>
        <v/>
      </c>
      <c r="B201" s="53" t="s">
        <v>38</v>
      </c>
      <c r="C201" s="52">
        <v>8</v>
      </c>
      <c r="D201" s="52" t="str">
        <f t="array" ref="D201">_xlfn.IFNA(INDEX('TUM-W'!B$3:B$13,MATCH(1,(C201='TUM-W'!A$3:A$13)*(B201='TUM-W'!F$3:F$13),0)),"")</f>
        <v/>
      </c>
      <c r="E201" s="59" t="str">
        <f t="array" ref="E201">_xlfn.IFNA(IF(INDEX('TUM-W'!G$3:G$13,MATCH(1,(C201='TUM-W'!A$3:A$13)*(B201='TUM-W'!F$3:F$13),0))="P","P",""),"")</f>
        <v/>
      </c>
    </row>
    <row r="202" spans="1:5" hidden="1" x14ac:dyDescent="0.2">
      <c r="A202" s="52" t="str">
        <f t="shared" si="7"/>
        <v/>
      </c>
      <c r="B202" s="52" t="s">
        <v>37</v>
      </c>
      <c r="C202" s="52">
        <v>1</v>
      </c>
      <c r="D202" s="52" t="str">
        <f t="array" ref="D202">_xlfn.IFNA(INDEX('TUM-W'!B$3:B$13,MATCH(1,(C202='TUM-W'!A$3:A$13)*(B202='TUM-W'!F$3:F$13),0)),"")</f>
        <v/>
      </c>
      <c r="E202" s="59" t="str">
        <f t="array" ref="E202">_xlfn.IFNA(IF(INDEX('TUM-W'!G$3:G$13,MATCH(1,(C202='TUM-W'!A$3:A$13)*(B202='TUM-W'!F$3:F$13),0))="P","P",""),"")</f>
        <v/>
      </c>
    </row>
    <row r="203" spans="1:5" hidden="1" x14ac:dyDescent="0.2">
      <c r="A203" s="52" t="str">
        <f t="shared" si="7"/>
        <v/>
      </c>
      <c r="B203" s="52" t="s">
        <v>37</v>
      </c>
      <c r="C203" s="52">
        <v>2</v>
      </c>
      <c r="D203" s="52" t="str">
        <f t="array" ref="D203">_xlfn.IFNA(INDEX('TUM-W'!B$3:B$13,MATCH(1,(C203='TUM-W'!A$3:A$13)*(B203='TUM-W'!F$3:F$13),0)),"")</f>
        <v/>
      </c>
      <c r="E203" s="59" t="str">
        <f t="array" ref="E203">_xlfn.IFNA(IF(INDEX('TUM-W'!G$3:G$13,MATCH(1,(C203='TUM-W'!A$3:A$13)*(B203='TUM-W'!F$3:F$13),0))="P","P",""),"")</f>
        <v/>
      </c>
    </row>
    <row r="204" spans="1:5" hidden="1" x14ac:dyDescent="0.2">
      <c r="A204" s="52" t="str">
        <f t="shared" si="7"/>
        <v/>
      </c>
      <c r="B204" s="52" t="s">
        <v>37</v>
      </c>
      <c r="C204" s="52">
        <v>3</v>
      </c>
      <c r="D204" s="52" t="str">
        <f t="array" ref="D204">_xlfn.IFNA(INDEX('TUM-W'!B$3:B$13,MATCH(1,(C204='TUM-W'!A$3:A$13)*(B204='TUM-W'!F$3:F$13),0)),"")</f>
        <v/>
      </c>
      <c r="E204" s="59" t="str">
        <f t="array" ref="E204">_xlfn.IFNA(IF(INDEX('TUM-W'!G$3:G$13,MATCH(1,(C204='TUM-W'!A$3:A$13)*(B204='TUM-W'!F$3:F$13),0))="P","P",""),"")</f>
        <v/>
      </c>
    </row>
    <row r="205" spans="1:5" hidden="1" x14ac:dyDescent="0.2">
      <c r="A205" s="52" t="str">
        <f t="shared" si="7"/>
        <v/>
      </c>
      <c r="B205" s="52" t="s">
        <v>37</v>
      </c>
      <c r="C205" s="52">
        <v>4</v>
      </c>
      <c r="D205" s="52" t="str">
        <f t="array" ref="D205">_xlfn.IFNA(INDEX('TUM-W'!B$3:B$13,MATCH(1,(C205='TUM-W'!A$3:A$13)*(B205='TUM-W'!F$3:F$13),0)),"")</f>
        <v/>
      </c>
      <c r="E205" s="59" t="str">
        <f t="array" ref="E205">_xlfn.IFNA(IF(INDEX('TUM-W'!G$3:G$13,MATCH(1,(C205='TUM-W'!A$3:A$13)*(B205='TUM-W'!F$3:F$13),0))="P","P",""),"")</f>
        <v/>
      </c>
    </row>
    <row r="206" spans="1:5" hidden="1" x14ac:dyDescent="0.2">
      <c r="A206" s="52" t="str">
        <f t="shared" si="7"/>
        <v/>
      </c>
      <c r="B206" s="52" t="s">
        <v>37</v>
      </c>
      <c r="C206" s="52">
        <v>5</v>
      </c>
      <c r="D206" s="52" t="str">
        <f t="array" ref="D206">_xlfn.IFNA(INDEX('TUM-W'!B$3:B$13,MATCH(1,(C206='TUM-W'!A$3:A$13)*(B206='TUM-W'!F$3:F$13),0)),"")</f>
        <v/>
      </c>
      <c r="E206" s="59" t="str">
        <f t="array" ref="E206">_xlfn.IFNA(IF(INDEX('TUM-W'!G$3:G$13,MATCH(1,(C206='TUM-W'!A$3:A$13)*(B206='TUM-W'!F$3:F$13),0))="P","P",""),"")</f>
        <v/>
      </c>
    </row>
    <row r="207" spans="1:5" hidden="1" x14ac:dyDescent="0.2">
      <c r="A207" s="52" t="str">
        <f t="shared" si="7"/>
        <v/>
      </c>
      <c r="B207" s="52" t="s">
        <v>37</v>
      </c>
      <c r="C207" s="52">
        <v>6</v>
      </c>
      <c r="D207" s="52" t="str">
        <f t="array" ref="D207">_xlfn.IFNA(INDEX('TUM-W'!B$3:B$13,MATCH(1,(C207='TUM-W'!A$3:A$13)*(B207='TUM-W'!F$3:F$13),0)),"")</f>
        <v/>
      </c>
      <c r="E207" s="59" t="str">
        <f t="array" ref="E207">_xlfn.IFNA(IF(INDEX('TUM-W'!G$3:G$13,MATCH(1,(C207='TUM-W'!A$3:A$13)*(B207='TUM-W'!F$3:F$13),0))="P","P",""),"")</f>
        <v/>
      </c>
    </row>
    <row r="208" spans="1:5" hidden="1" x14ac:dyDescent="0.2">
      <c r="A208" s="52" t="str">
        <f t="shared" si="7"/>
        <v/>
      </c>
      <c r="B208" s="52" t="s">
        <v>37</v>
      </c>
      <c r="C208" s="52">
        <v>7</v>
      </c>
      <c r="D208" s="52" t="str">
        <f t="array" ref="D208">_xlfn.IFNA(INDEX('TUM-W'!B$3:B$13,MATCH(1,(C208='TUM-W'!A$3:A$13)*(B208='TUM-W'!F$3:F$13),0)),"")</f>
        <v/>
      </c>
      <c r="E208" s="59" t="str">
        <f t="array" ref="E208">_xlfn.IFNA(IF(INDEX('TUM-W'!G$3:G$13,MATCH(1,(C208='TUM-W'!A$3:A$13)*(B208='TUM-W'!F$3:F$13),0))="P","P",""),"")</f>
        <v/>
      </c>
    </row>
    <row r="209" spans="1:5" hidden="1" x14ac:dyDescent="0.2">
      <c r="A209" s="52" t="str">
        <f t="shared" si="7"/>
        <v/>
      </c>
      <c r="B209" s="52" t="s">
        <v>37</v>
      </c>
      <c r="C209" s="52">
        <v>8</v>
      </c>
      <c r="D209" s="52" t="str">
        <f t="array" ref="D209">_xlfn.IFNA(INDEX('TUM-W'!B$3:B$13,MATCH(1,(C209='TUM-W'!A$3:A$13)*(B209='TUM-W'!F$3:F$13),0)),"")</f>
        <v/>
      </c>
      <c r="E209" s="59" t="str">
        <f t="array" ref="E209">_xlfn.IFNA(IF(INDEX('TUM-W'!G$3:G$13,MATCH(1,(C209='TUM-W'!A$3:A$13)*(B209='TUM-W'!F$3:F$13),0))="P","P",""),"")</f>
        <v/>
      </c>
    </row>
    <row r="210" spans="1:5" hidden="1" x14ac:dyDescent="0.2">
      <c r="A210" s="52" t="str">
        <f t="shared" si="7"/>
        <v/>
      </c>
      <c r="B210" s="52" t="s">
        <v>39</v>
      </c>
      <c r="C210" s="52">
        <v>1</v>
      </c>
      <c r="D210" s="52" t="str">
        <f t="array" ref="D210">_xlfn.IFNA(INDEX('TUM-W'!B$3:B$13,MATCH(1,(C210='TUM-W'!A$3:A$13)*(B210='TUM-W'!F$3:F$13),0)),"")</f>
        <v/>
      </c>
      <c r="E210" s="59" t="str">
        <f t="array" ref="E210">_xlfn.IFNA(IF(INDEX('TUM-W'!G$3:G$13,MATCH(1,(C210='TUM-W'!A$3:A$13)*(B210='TUM-W'!F$3:F$13),0))="P","P",""),"")</f>
        <v/>
      </c>
    </row>
    <row r="211" spans="1:5" hidden="1" x14ac:dyDescent="0.2">
      <c r="A211" s="52" t="str">
        <f t="shared" si="7"/>
        <v/>
      </c>
      <c r="B211" s="52" t="s">
        <v>39</v>
      </c>
      <c r="C211" s="52">
        <v>2</v>
      </c>
      <c r="D211" s="52" t="str">
        <f t="array" ref="D211">_xlfn.IFNA(INDEX('TUM-W'!B$3:B$13,MATCH(1,(C211='TUM-W'!A$3:A$13)*(B211='TUM-W'!F$3:F$13),0)),"")</f>
        <v/>
      </c>
      <c r="E211" s="59" t="str">
        <f t="array" ref="E211">_xlfn.IFNA(IF(INDEX('TUM-W'!G$3:G$13,MATCH(1,(C211='TUM-W'!A$3:A$13)*(B211='TUM-W'!F$3:F$13),0))="P","P",""),"")</f>
        <v/>
      </c>
    </row>
    <row r="212" spans="1:5" hidden="1" x14ac:dyDescent="0.2">
      <c r="A212" s="52" t="str">
        <f t="shared" si="7"/>
        <v/>
      </c>
      <c r="B212" s="52" t="s">
        <v>39</v>
      </c>
      <c r="C212" s="52">
        <v>3</v>
      </c>
      <c r="D212" s="52" t="str">
        <f t="array" ref="D212">_xlfn.IFNA(INDEX('TUM-W'!B$3:B$13,MATCH(1,(C212='TUM-W'!A$3:A$13)*(B212='TUM-W'!F$3:F$13),0)),"")</f>
        <v/>
      </c>
      <c r="E212" s="59" t="str">
        <f t="array" ref="E212">_xlfn.IFNA(IF(INDEX('TUM-W'!G$3:G$13,MATCH(1,(C212='TUM-W'!A$3:A$13)*(B212='TUM-W'!F$3:F$13),0))="P","P",""),"")</f>
        <v/>
      </c>
    </row>
    <row r="213" spans="1:5" hidden="1" x14ac:dyDescent="0.2">
      <c r="A213" s="52" t="str">
        <f t="shared" si="7"/>
        <v/>
      </c>
      <c r="B213" s="52" t="s">
        <v>39</v>
      </c>
      <c r="C213" s="52">
        <v>4</v>
      </c>
      <c r="D213" s="52" t="str">
        <f t="array" ref="D213">_xlfn.IFNA(INDEX('TUM-W'!B$3:B$13,MATCH(1,(C213='TUM-W'!A$3:A$13)*(B213='TUM-W'!F$3:F$13),0)),"")</f>
        <v/>
      </c>
      <c r="E213" s="59" t="str">
        <f t="array" ref="E213">_xlfn.IFNA(IF(INDEX('TUM-W'!G$3:G$13,MATCH(1,(C213='TUM-W'!A$3:A$13)*(B213='TUM-W'!F$3:F$13),0))="P","P",""),"")</f>
        <v/>
      </c>
    </row>
    <row r="214" spans="1:5" hidden="1" x14ac:dyDescent="0.2">
      <c r="A214" s="52" t="str">
        <f t="shared" si="7"/>
        <v/>
      </c>
      <c r="B214" s="52" t="s">
        <v>39</v>
      </c>
      <c r="C214" s="52">
        <v>5</v>
      </c>
      <c r="D214" s="52" t="str">
        <f t="array" ref="D214">_xlfn.IFNA(INDEX('TUM-W'!B$3:B$13,MATCH(1,(C214='TUM-W'!A$3:A$13)*(B214='TUM-W'!F$3:F$13),0)),"")</f>
        <v/>
      </c>
      <c r="E214" s="59" t="str">
        <f t="array" ref="E214">_xlfn.IFNA(IF(INDEX('TUM-W'!G$3:G$13,MATCH(1,(C214='TUM-W'!A$3:A$13)*(B214='TUM-W'!F$3:F$13),0))="P","P",""),"")</f>
        <v/>
      </c>
    </row>
    <row r="215" spans="1:5" hidden="1" x14ac:dyDescent="0.2">
      <c r="A215" s="52" t="str">
        <f t="shared" si="7"/>
        <v/>
      </c>
      <c r="B215" s="52" t="s">
        <v>39</v>
      </c>
      <c r="C215" s="52">
        <v>6</v>
      </c>
      <c r="D215" s="52" t="str">
        <f t="array" ref="D215">_xlfn.IFNA(INDEX('TUM-W'!B$3:B$13,MATCH(1,(C215='TUM-W'!A$3:A$13)*(B215='TUM-W'!F$3:F$13),0)),"")</f>
        <v/>
      </c>
      <c r="E215" s="59" t="str">
        <f t="array" ref="E215">_xlfn.IFNA(IF(INDEX('TUM-W'!G$3:G$13,MATCH(1,(C215='TUM-W'!A$3:A$13)*(B215='TUM-W'!F$3:F$13),0))="P","P",""),"")</f>
        <v/>
      </c>
    </row>
    <row r="216" spans="1:5" hidden="1" x14ac:dyDescent="0.2">
      <c r="A216" s="52" t="str">
        <f t="shared" si="7"/>
        <v/>
      </c>
      <c r="B216" s="52" t="s">
        <v>39</v>
      </c>
      <c r="C216" s="52">
        <v>7</v>
      </c>
      <c r="D216" s="52" t="str">
        <f t="array" ref="D216">_xlfn.IFNA(INDEX('TUM-W'!B$3:B$13,MATCH(1,(C216='TUM-W'!A$3:A$13)*(B216='TUM-W'!F$3:F$13),0)),"")</f>
        <v/>
      </c>
      <c r="E216" s="59" t="str">
        <f t="array" ref="E216">_xlfn.IFNA(IF(INDEX('TUM-W'!G$3:G$13,MATCH(1,(C216='TUM-W'!A$3:A$13)*(B216='TUM-W'!F$3:F$13),0))="P","P",""),"")</f>
        <v/>
      </c>
    </row>
    <row r="217" spans="1:5" hidden="1" x14ac:dyDescent="0.2">
      <c r="A217" s="52" t="str">
        <f t="shared" si="7"/>
        <v/>
      </c>
      <c r="B217" s="52" t="s">
        <v>39</v>
      </c>
      <c r="C217" s="52">
        <v>8</v>
      </c>
      <c r="D217" s="52" t="str">
        <f t="array" ref="D217">_xlfn.IFNA(INDEX('TUM-W'!B$3:B$13,MATCH(1,(C217='TUM-W'!A$3:A$13)*(B217='TUM-W'!F$3:F$13),0)),"")</f>
        <v/>
      </c>
      <c r="E217" s="59" t="str">
        <f t="array" ref="E217">_xlfn.IFNA(IF(INDEX('TUM-W'!G$3:G$13,MATCH(1,(C217='TUM-W'!A$3:A$13)*(B217='TUM-W'!F$3:F$13),0))="P","P",""),"")</f>
        <v/>
      </c>
    </row>
    <row r="218" spans="1:5" x14ac:dyDescent="0.2">
      <c r="A218" s="52" t="str">
        <f t="shared" si="7"/>
        <v>TUM-W</v>
      </c>
      <c r="B218" s="52" t="s">
        <v>40</v>
      </c>
      <c r="C218" s="52">
        <v>1</v>
      </c>
      <c r="D218" s="52" t="str">
        <f t="array" ref="D218">_xlfn.IFNA(INDEX('TUM-W'!B$3:B$13,MATCH(1,(C218='TUM-W'!A$3:A$13)*(B218='TUM-W'!F$3:F$13),0)),"")</f>
        <v>DONG, Helen</v>
      </c>
      <c r="E218" s="59" t="str">
        <f t="array" ref="E218">_xlfn.IFNA(IF(INDEX('TUM-W'!G$3:G$13,MATCH(1,(C218='TUM-W'!A$3:A$13)*(B218='TUM-W'!F$3:F$13),0))="P","P",""),"")</f>
        <v/>
      </c>
    </row>
    <row r="219" spans="1:5" x14ac:dyDescent="0.2">
      <c r="A219" s="52" t="str">
        <f t="shared" si="7"/>
        <v>TUM-W</v>
      </c>
      <c r="B219" s="52" t="s">
        <v>40</v>
      </c>
      <c r="C219" s="52">
        <v>2</v>
      </c>
      <c r="D219" s="52" t="str">
        <f t="array" ref="D219">_xlfn.IFNA(INDEX('TUM-W'!B$3:B$13,MATCH(1,(C219='TUM-W'!A$3:A$13)*(B219='TUM-W'!F$3:F$13),0)),"")</f>
        <v>PILLINGER, Taylor</v>
      </c>
      <c r="E219" s="59" t="str">
        <f t="array" ref="E219">_xlfn.IFNA(IF(INDEX('TUM-W'!G$3:G$13,MATCH(1,(C219='TUM-W'!A$3:A$13)*(B219='TUM-W'!F$3:F$13),0))="P","P",""),"")</f>
        <v/>
      </c>
    </row>
    <row r="220" spans="1:5" hidden="1" x14ac:dyDescent="0.2">
      <c r="A220" s="52" t="str">
        <f t="shared" si="7"/>
        <v/>
      </c>
      <c r="B220" s="52" t="s">
        <v>40</v>
      </c>
      <c r="C220" s="52">
        <v>3</v>
      </c>
      <c r="D220" s="52" t="str">
        <f t="array" ref="D220">_xlfn.IFNA(INDEX('TUM-W'!B$3:B$13,MATCH(1,(C220='TUM-W'!A$3:A$13)*(B220='TUM-W'!F$3:F$13),0)),"")</f>
        <v/>
      </c>
      <c r="E220" s="59" t="str">
        <f t="array" ref="E220">_xlfn.IFNA(IF(INDEX('TUM-W'!G$3:G$13,MATCH(1,(C220='TUM-W'!A$3:A$13)*(B220='TUM-W'!F$3:F$13),0))="P","P",""),"")</f>
        <v/>
      </c>
    </row>
    <row r="221" spans="1:5" hidden="1" x14ac:dyDescent="0.2">
      <c r="A221" s="52" t="str">
        <f t="shared" si="7"/>
        <v/>
      </c>
      <c r="B221" s="52" t="s">
        <v>40</v>
      </c>
      <c r="C221" s="52">
        <v>4</v>
      </c>
      <c r="D221" s="52" t="str">
        <f t="array" ref="D221">_xlfn.IFNA(INDEX('TUM-W'!B$3:B$13,MATCH(1,(C221='TUM-W'!A$3:A$13)*(B221='TUM-W'!F$3:F$13),0)),"")</f>
        <v/>
      </c>
      <c r="E221" s="59" t="str">
        <f t="array" ref="E221">_xlfn.IFNA(IF(INDEX('TUM-W'!G$3:G$13,MATCH(1,(C221='TUM-W'!A$3:A$13)*(B221='TUM-W'!F$3:F$13),0))="P","P",""),"")</f>
        <v/>
      </c>
    </row>
    <row r="222" spans="1:5" hidden="1" x14ac:dyDescent="0.2">
      <c r="A222" s="52" t="str">
        <f t="shared" si="7"/>
        <v/>
      </c>
      <c r="B222" s="52" t="s">
        <v>40</v>
      </c>
      <c r="C222" s="52">
        <v>5</v>
      </c>
      <c r="D222" s="52" t="str">
        <f t="array" ref="D222">_xlfn.IFNA(INDEX('TUM-W'!B$3:B$13,MATCH(1,(C222='TUM-W'!A$3:A$13)*(B222='TUM-W'!F$3:F$13),0)),"")</f>
        <v/>
      </c>
      <c r="E222" s="59" t="str">
        <f t="array" ref="E222">_xlfn.IFNA(IF(INDEX('TUM-W'!G$3:G$13,MATCH(1,(C222='TUM-W'!A$3:A$13)*(B222='TUM-W'!F$3:F$13),0))="P","P",""),"")</f>
        <v/>
      </c>
    </row>
    <row r="223" spans="1:5" hidden="1" x14ac:dyDescent="0.2">
      <c r="A223" s="52" t="str">
        <f t="shared" si="7"/>
        <v/>
      </c>
      <c r="B223" s="52" t="s">
        <v>40</v>
      </c>
      <c r="C223" s="52">
        <v>6</v>
      </c>
      <c r="D223" s="52" t="str">
        <f t="array" ref="D223">_xlfn.IFNA(INDEX('TUM-W'!B$3:B$13,MATCH(1,(C223='TUM-W'!A$3:A$13)*(B223='TUM-W'!F$3:F$13),0)),"")</f>
        <v/>
      </c>
      <c r="E223" s="59" t="str">
        <f t="array" ref="E223">_xlfn.IFNA(IF(INDEX('TUM-W'!G$3:G$13,MATCH(1,(C223='TUM-W'!A$3:A$13)*(B223='TUM-W'!F$3:F$13),0))="P","P",""),"")</f>
        <v/>
      </c>
    </row>
    <row r="224" spans="1:5" hidden="1" x14ac:dyDescent="0.2">
      <c r="A224" s="52" t="str">
        <f t="shared" si="7"/>
        <v/>
      </c>
      <c r="B224" s="52" t="s">
        <v>40</v>
      </c>
      <c r="C224" s="52">
        <v>7</v>
      </c>
      <c r="D224" s="52" t="str">
        <f t="array" ref="D224">_xlfn.IFNA(INDEX('TUM-W'!B$3:B$13,MATCH(1,(C224='TUM-W'!A$3:A$13)*(B224='TUM-W'!F$3:F$13),0)),"")</f>
        <v/>
      </c>
      <c r="E224" s="59" t="str">
        <f t="array" ref="E224">_xlfn.IFNA(IF(INDEX('TUM-W'!G$3:G$13,MATCH(1,(C224='TUM-W'!A$3:A$13)*(B224='TUM-W'!F$3:F$13),0))="P","P",""),"")</f>
        <v/>
      </c>
    </row>
    <row r="225" spans="1:6" hidden="1" x14ac:dyDescent="0.2">
      <c r="A225" s="52" t="str">
        <f t="shared" si="7"/>
        <v/>
      </c>
      <c r="B225" s="52" t="s">
        <v>40</v>
      </c>
      <c r="C225" s="52">
        <v>8</v>
      </c>
      <c r="D225" s="52" t="str">
        <f t="array" ref="D225">_xlfn.IFNA(INDEX('TUM-W'!B$3:B$13,MATCH(1,(C225='TUM-W'!A$3:A$13)*(B225='TUM-W'!F$3:F$13),0)),"")</f>
        <v/>
      </c>
      <c r="E225" s="59" t="str">
        <f t="array" ref="E225">_xlfn.IFNA(IF(INDEX('TUM-W'!G$3:G$13,MATCH(1,(C225='TUM-W'!A$3:A$13)*(B225='TUM-W'!F$3:F$13),0))="P","P",""),"")</f>
        <v/>
      </c>
    </row>
    <row r="227" spans="1:6" x14ac:dyDescent="0.2">
      <c r="B227" s="64" t="s">
        <v>65</v>
      </c>
      <c r="C227" s="64"/>
      <c r="D227" s="64"/>
    </row>
    <row r="228" spans="1:6" x14ac:dyDescent="0.2">
      <c r="B228" s="62" t="s">
        <v>68</v>
      </c>
      <c r="C228" s="62"/>
      <c r="D228" s="62"/>
      <c r="E228" s="60" t="s">
        <v>67</v>
      </c>
    </row>
    <row r="229" spans="1:6" x14ac:dyDescent="0.2">
      <c r="B229" s="62" t="s">
        <v>69</v>
      </c>
      <c r="C229" s="62"/>
      <c r="D229" s="62"/>
      <c r="E229" s="60" t="s">
        <v>67</v>
      </c>
      <c r="F229" t="s">
        <v>67</v>
      </c>
    </row>
    <row r="230" spans="1:6" x14ac:dyDescent="0.2">
      <c r="A230" s="54" t="s">
        <v>79</v>
      </c>
      <c r="B230" s="61">
        <v>44497</v>
      </c>
      <c r="C230" s="61"/>
      <c r="D230" s="61"/>
    </row>
    <row r="231" spans="1:6" x14ac:dyDescent="0.2">
      <c r="A231" s="54"/>
      <c r="B231" s="63" t="s">
        <v>159</v>
      </c>
      <c r="C231" s="63"/>
      <c r="D231" s="63"/>
    </row>
  </sheetData>
  <mergeCells count="5">
    <mergeCell ref="B230:D230"/>
    <mergeCell ref="B229:D229"/>
    <mergeCell ref="B228:D228"/>
    <mergeCell ref="B231:D231"/>
    <mergeCell ref="B227:D227"/>
  </mergeCells>
  <conditionalFormatting sqref="A2:D225">
    <cfRule type="expression" dxfId="51" priority="5">
      <formula>IF($B2="17-21",1,0)</formula>
    </cfRule>
    <cfRule type="expression" dxfId="50" priority="6">
      <formula>IF($B2="15-16",1,0)</formula>
    </cfRule>
    <cfRule type="expression" dxfId="49" priority="7">
      <formula>IF($B2="13-14",1,0)</formula>
    </cfRule>
    <cfRule type="expression" dxfId="48" priority="8">
      <formula>IF($B2="11-12",1,0)</formula>
    </cfRule>
  </conditionalFormatting>
  <conditionalFormatting sqref="E2:E225">
    <cfRule type="expression" dxfId="47" priority="1">
      <formula>IF($B2="17-21",1,0)</formula>
    </cfRule>
    <cfRule type="expression" dxfId="46" priority="2">
      <formula>IF($B2="15-16",1,0)</formula>
    </cfRule>
    <cfRule type="expression" dxfId="45" priority="3">
      <formula>IF($B2="13-14",1,0)</formula>
    </cfRule>
    <cfRule type="expression" dxfId="44" priority="4">
      <formula>IF($B2="11-12",1,0)</formula>
    </cfRule>
  </conditionalFormatting>
  <dataValidations count="2">
    <dataValidation type="list" allowBlank="1" showInputMessage="1" showErrorMessage="1" sqref="E228:E229" xr:uid="{00000000-0002-0000-0000-000000000000}">
      <formula1>"Select,TRA-M,TRA-W,SYN-M,SYN-W,DMT-M,DMT-W,TUM-M,TUM-W"</formula1>
    </dataValidation>
    <dataValidation type="list" allowBlank="1" showInputMessage="1" showErrorMessage="1" sqref="F229" xr:uid="{00000000-0002-0000-0000-000001000000}">
      <formula1>IF($E$229="Select",E229,INDIRECT("'"&amp;$E$229&amp;"'!"&amp;"B3:B"&amp;MATCH(TRUE,INDEX(INDIRECT("'"&amp;$E$229&amp;"'!"&amp;"B3:B100")="",0),0)+1))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23</v>
      </c>
      <c r="B1" s="11">
        <v>2021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25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17</v>
      </c>
      <c r="B3" s="13" t="s">
        <v>42</v>
      </c>
      <c r="C3" s="13" t="s">
        <v>41</v>
      </c>
      <c r="D3" s="13" t="s">
        <v>47</v>
      </c>
      <c r="E3" s="13" t="s">
        <v>48</v>
      </c>
      <c r="F3" s="13" t="s">
        <v>43</v>
      </c>
      <c r="G3" s="13" t="s">
        <v>44</v>
      </c>
      <c r="H3" s="13" t="s">
        <v>45</v>
      </c>
      <c r="I3" s="13" t="s">
        <v>46</v>
      </c>
    </row>
    <row r="4" spans="1:9" x14ac:dyDescent="0.2">
      <c r="A4" s="20" t="s">
        <v>38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62.2</v>
      </c>
      <c r="G4" s="21">
        <v>61.6</v>
      </c>
      <c r="H4" s="21">
        <v>56.2</v>
      </c>
      <c r="I4" s="21">
        <v>55.3</v>
      </c>
    </row>
    <row r="5" spans="1:9" x14ac:dyDescent="0.2">
      <c r="A5" s="24" t="s">
        <v>37</v>
      </c>
      <c r="B5" s="25">
        <v>89</v>
      </c>
      <c r="C5" s="25">
        <v>87</v>
      </c>
      <c r="D5" s="25">
        <v>42</v>
      </c>
      <c r="E5" s="25">
        <v>42.4</v>
      </c>
      <c r="F5" s="25">
        <v>63.5</v>
      </c>
      <c r="G5" s="25">
        <v>62.1</v>
      </c>
      <c r="H5" s="25">
        <v>57.9</v>
      </c>
      <c r="I5" s="25">
        <v>57.7</v>
      </c>
    </row>
    <row r="6" spans="1:9" x14ac:dyDescent="0.2">
      <c r="A6" s="28" t="s">
        <v>39</v>
      </c>
      <c r="B6" s="29">
        <v>93</v>
      </c>
      <c r="C6" s="29">
        <v>88.5</v>
      </c>
      <c r="D6" s="29">
        <v>43</v>
      </c>
      <c r="E6" s="29">
        <v>43</v>
      </c>
      <c r="F6" s="29">
        <v>64.8</v>
      </c>
      <c r="G6" s="29">
        <v>63.2</v>
      </c>
      <c r="H6" s="29">
        <v>60.2</v>
      </c>
      <c r="I6" s="29">
        <v>58.3</v>
      </c>
    </row>
    <row r="7" spans="1:9" x14ac:dyDescent="0.2">
      <c r="A7" s="18" t="s">
        <v>40</v>
      </c>
      <c r="B7" s="16">
        <v>97</v>
      </c>
      <c r="C7" s="16">
        <v>89</v>
      </c>
      <c r="D7" s="16">
        <v>45</v>
      </c>
      <c r="E7" s="16">
        <v>42.6</v>
      </c>
      <c r="F7" s="16">
        <v>66</v>
      </c>
      <c r="G7" s="16">
        <v>64.099999999999994</v>
      </c>
      <c r="H7" s="16">
        <v>61.1</v>
      </c>
      <c r="I7" s="16">
        <v>58.8</v>
      </c>
    </row>
    <row r="8" spans="1:9" x14ac:dyDescent="0.2">
      <c r="A8" s="14" t="s">
        <v>26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17</v>
      </c>
      <c r="B9" s="15" t="s">
        <v>42</v>
      </c>
      <c r="C9" s="15" t="s">
        <v>41</v>
      </c>
      <c r="D9" s="15" t="s">
        <v>47</v>
      </c>
      <c r="E9" s="15" t="s">
        <v>48</v>
      </c>
      <c r="F9" s="15" t="s">
        <v>43</v>
      </c>
      <c r="G9" s="15" t="s">
        <v>44</v>
      </c>
      <c r="H9" s="15" t="s">
        <v>45</v>
      </c>
      <c r="I9" s="15" t="s">
        <v>46</v>
      </c>
    </row>
    <row r="10" spans="1:9" x14ac:dyDescent="0.2">
      <c r="A10" s="22" t="s">
        <v>38</v>
      </c>
      <c r="B10" s="23">
        <v>9.1</v>
      </c>
      <c r="C10" s="23">
        <v>7.6</v>
      </c>
      <c r="D10" s="23">
        <v>8.1</v>
      </c>
      <c r="E10" s="23">
        <v>7.6</v>
      </c>
      <c r="F10" s="23">
        <v>5.8</v>
      </c>
      <c r="G10" s="23">
        <v>5.8</v>
      </c>
      <c r="H10" s="23">
        <v>5.5</v>
      </c>
      <c r="I10" s="23">
        <v>5.5</v>
      </c>
    </row>
    <row r="11" spans="1:9" x14ac:dyDescent="0.2">
      <c r="A11" s="26" t="s">
        <v>37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7.1</v>
      </c>
      <c r="G11" s="27">
        <v>6.3</v>
      </c>
      <c r="H11" s="27">
        <v>6.6</v>
      </c>
      <c r="I11" s="27">
        <v>6.4</v>
      </c>
    </row>
    <row r="12" spans="1:9" x14ac:dyDescent="0.2">
      <c r="A12" s="30" t="s">
        <v>39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8.4</v>
      </c>
      <c r="G12" s="31">
        <v>7.1</v>
      </c>
      <c r="H12" s="31">
        <v>7.4</v>
      </c>
      <c r="I12" s="31">
        <v>7</v>
      </c>
    </row>
    <row r="13" spans="1:9" x14ac:dyDescent="0.2">
      <c r="A13" s="19" t="s">
        <v>40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9.6</v>
      </c>
      <c r="G13" s="17">
        <v>7.1</v>
      </c>
      <c r="H13" s="17">
        <v>9.5</v>
      </c>
      <c r="I13" s="17">
        <v>7.2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63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26.6640625" style="38" bestFit="1" customWidth="1"/>
    <col min="3" max="3" width="8.6640625" style="38" bestFit="1" customWidth="1"/>
    <col min="4" max="4" width="23.6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10.83203125" style="37" bestFit="1" customWidth="1"/>
    <col min="17" max="17" width="13.6640625" style="38" bestFit="1" customWidth="1"/>
    <col min="18" max="18" width="8.33203125" style="38" bestFit="1" customWidth="1"/>
    <col min="19" max="19" width="11.1640625" style="38" bestFit="1" customWidth="1"/>
    <col min="20" max="20" width="7.5" bestFit="1" customWidth="1"/>
    <col min="21" max="21" width="6.6640625" style="38" bestFit="1" customWidth="1"/>
    <col min="22" max="22" width="11" style="38" bestFit="1" customWidth="1"/>
    <col min="23" max="23" width="10.83203125" style="37" bestFit="1" customWidth="1"/>
    <col min="24" max="24" width="13.6640625" style="38" bestFit="1" customWidth="1"/>
    <col min="25" max="25" width="8.33203125" style="38" bestFit="1" customWidth="1"/>
    <col min="26" max="26" width="11.1640625" style="38" bestFit="1" customWidth="1"/>
    <col min="27" max="27" width="7.6640625" bestFit="1" customWidth="1"/>
    <col min="28" max="28" width="6.6640625" style="38" bestFit="1" customWidth="1"/>
    <col min="29" max="29" width="9" style="41" bestFit="1" customWidth="1"/>
  </cols>
  <sheetData>
    <row r="1" spans="1:29" s="6" customFormat="1" x14ac:dyDescent="0.2">
      <c r="A1" s="65" t="s">
        <v>35</v>
      </c>
      <c r="B1" s="65" t="s">
        <v>0</v>
      </c>
      <c r="C1" s="65" t="s">
        <v>1</v>
      </c>
      <c r="D1" s="67" t="s">
        <v>2</v>
      </c>
      <c r="E1" s="69" t="s">
        <v>16</v>
      </c>
      <c r="F1" s="65" t="s">
        <v>17</v>
      </c>
      <c r="G1" s="65" t="s">
        <v>96</v>
      </c>
      <c r="H1" s="71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34</v>
      </c>
      <c r="P1" s="73" t="s">
        <v>121</v>
      </c>
      <c r="Q1" s="73"/>
      <c r="R1" s="73"/>
      <c r="S1" s="73"/>
      <c r="T1" s="73"/>
      <c r="U1" s="73"/>
      <c r="V1" s="73"/>
      <c r="W1" s="73" t="s">
        <v>120</v>
      </c>
      <c r="X1" s="73"/>
      <c r="Y1" s="73"/>
      <c r="Z1" s="73"/>
      <c r="AA1" s="73"/>
      <c r="AB1" s="73"/>
      <c r="AC1" s="73"/>
    </row>
    <row r="2" spans="1:29" s="7" customFormat="1" ht="17" thickBot="1" x14ac:dyDescent="0.25">
      <c r="A2" s="66"/>
      <c r="B2" s="66"/>
      <c r="C2" s="66"/>
      <c r="D2" s="68"/>
      <c r="E2" s="70"/>
      <c r="F2" s="66"/>
      <c r="G2" s="66"/>
      <c r="H2" s="72"/>
      <c r="I2" s="66"/>
      <c r="J2" s="66"/>
      <c r="K2" s="66"/>
      <c r="L2" s="66"/>
      <c r="M2" s="66"/>
      <c r="N2" s="66"/>
      <c r="O2" s="66"/>
      <c r="P2" s="8" t="s">
        <v>18</v>
      </c>
      <c r="Q2" s="7" t="s">
        <v>19</v>
      </c>
      <c r="R2" s="7" t="s">
        <v>20</v>
      </c>
      <c r="S2" s="7" t="s">
        <v>21</v>
      </c>
      <c r="T2" s="7" t="s">
        <v>36</v>
      </c>
      <c r="U2" s="7" t="s">
        <v>22</v>
      </c>
      <c r="V2" s="7" t="s">
        <v>24</v>
      </c>
      <c r="W2" s="8" t="s">
        <v>18</v>
      </c>
      <c r="X2" s="7" t="s">
        <v>19</v>
      </c>
      <c r="Y2" s="7" t="s">
        <v>20</v>
      </c>
      <c r="Z2" s="7" t="s">
        <v>21</v>
      </c>
      <c r="AA2" s="7" t="s">
        <v>36</v>
      </c>
      <c r="AB2" s="7" t="s">
        <v>22</v>
      </c>
      <c r="AC2" s="9" t="s">
        <v>24</v>
      </c>
    </row>
    <row r="3" spans="1:29" ht="17" thickTop="1" x14ac:dyDescent="0.2">
      <c r="A3" s="1">
        <f t="shared" ref="A3:A19" si="0">IF(M3&lt;&gt;"",SUMPRODUCT((M$3:M$20&lt;&gt;"")*(F$3:F$20=F3)*(M$3:M$20&lt;M3))+1,IF(L3&lt;&gt;"",SUMPRODUCT((M$3:M$20&lt;&gt;"")*(F$3:F$20=F3))+SUMPRODUCT((L$3:L$20&lt;&gt;"")*(F$3:F$20=F3)*(L$3:L$20&lt;L3))+1,IF(K3="P",SUMPRODUCT((L$3:L$20&lt;&gt;"")*(F$3:F$20=F3))+SUMPRODUCT((M$3:M$20&lt;&gt;"")*(F$3:F$20=F3))+1+SUMPRODUCT((K$3:K$20="P")*(F$3:F$20=F3)*(H$3:H$20&gt;H3)*(L$3:L$20="")*(M$3:M$20="")),"")))</f>
        <v>1</v>
      </c>
      <c r="B3" s="38" t="s">
        <v>92</v>
      </c>
      <c r="C3" s="38" t="s">
        <v>8</v>
      </c>
      <c r="D3" s="38" t="s">
        <v>10</v>
      </c>
      <c r="E3" s="37">
        <v>2001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 t="s">
        <v>158</v>
      </c>
      <c r="H3" s="4">
        <f t="shared" ref="H3:H19" si="1">SUM(N3:O3)</f>
        <v>168.10999999999999</v>
      </c>
      <c r="I3" s="3" t="str">
        <f>IF(MAX(T3-Q3,AA3-X3)&gt;=LOOKUP(F3,'Qualifying Scores'!$A$4:$A$7,'Qualifying Scores'!$B$4:$B$7),"P","")</f>
        <v>P</v>
      </c>
      <c r="J3" s="3" t="str">
        <f>IF(MAX(S3,Z3)&gt;=LOOKUP(F3,'Qualifying Scores'!$A$10:$A$13,'Qualifying Scores'!$B$10:$B$13),"P","")</f>
        <v>P</v>
      </c>
      <c r="K3" s="3" t="str">
        <f>IF(OR(AND(T3-Q3&gt;=LOOKUP(F3,'Qualifying Scores'!$A$4:$A$7,'Qualifying Scores'!$B$4:$B$7),S3&gt;=LOOKUP(F3,'Qualifying Scores'!$A$10:$A$13,'Qualifying Scores'!$B$10:$B$13)),AND(AA3-X3&gt;=LOOKUP(F3,'Qualifying Scores'!$A$4:$A$7,'Qualifying Scores'!$B$4:$B$7),Z3&gt;=LOOKUP(F3,'Qualifying Scores'!$A$10:$A$13,'Qualifying Scores'!$B$10:$B$13))),"P","")</f>
        <v>P</v>
      </c>
      <c r="M3" s="42">
        <v>2</v>
      </c>
      <c r="N3" s="4">
        <f t="shared" ref="N3:N19" si="2">MAX(T3,AA3)</f>
        <v>109.22499999999999</v>
      </c>
      <c r="O3" s="4">
        <f t="shared" ref="O3:O19" si="3">IF(N3=T3,MAX(U3,Y3,AB3),MAX(R3,U3,AB3))</f>
        <v>58.884999999999998</v>
      </c>
      <c r="P3" s="33">
        <v>14.43</v>
      </c>
      <c r="Q3" s="44">
        <v>0</v>
      </c>
      <c r="R3" s="34">
        <v>58.6</v>
      </c>
      <c r="S3" s="44">
        <v>15.6</v>
      </c>
      <c r="T3" s="4">
        <f t="shared" ref="T3:T19" si="4">P3+R3</f>
        <v>73.03</v>
      </c>
      <c r="U3" s="34">
        <v>0</v>
      </c>
      <c r="V3" s="44">
        <v>0</v>
      </c>
      <c r="W3" s="33">
        <v>51.305</v>
      </c>
      <c r="X3" s="44">
        <v>5</v>
      </c>
      <c r="Y3" s="34">
        <v>57.92</v>
      </c>
      <c r="Z3" s="44">
        <v>15.6</v>
      </c>
      <c r="AA3" s="4">
        <f t="shared" ref="AA3:AA19" si="5">W3+Y3</f>
        <v>109.22499999999999</v>
      </c>
      <c r="AB3" s="34">
        <v>58.884999999999998</v>
      </c>
      <c r="AC3" s="39">
        <v>15.6</v>
      </c>
    </row>
    <row r="4" spans="1:29" x14ac:dyDescent="0.2">
      <c r="A4" s="1">
        <f t="shared" si="0"/>
        <v>2</v>
      </c>
      <c r="B4" s="38" t="s">
        <v>105</v>
      </c>
      <c r="C4" s="38" t="s">
        <v>4</v>
      </c>
      <c r="D4" s="38" t="s">
        <v>70</v>
      </c>
      <c r="E4" s="37">
        <v>2001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 t="s">
        <v>158</v>
      </c>
      <c r="H4" s="4">
        <f t="shared" si="1"/>
        <v>154.76500000000001</v>
      </c>
      <c r="I4" s="3" t="str">
        <f>IF(MAX(T4-Q4,AA4-X4)&gt;=LOOKUP(F4,'Qualifying Scores'!$A$4:$A$7,'Qualifying Scores'!$B$4:$B$7),"P","")</f>
        <v>P</v>
      </c>
      <c r="J4" s="3" t="str">
        <f>IF(MAX(S4,Z4)&gt;=LOOKUP(F4,'Qualifying Scores'!$A$10:$A$13,'Qualifying Scores'!$B$10:$B$13),"P","")</f>
        <v>P</v>
      </c>
      <c r="K4" s="3" t="str">
        <f>IF(OR(AND(T4-Q4&gt;=LOOKUP(F4,'Qualifying Scores'!$A$4:$A$7,'Qualifying Scores'!$B$4:$B$7),S4&gt;=LOOKUP(F4,'Qualifying Scores'!$A$10:$A$13,'Qualifying Scores'!$B$10:$B$13)),AND(AA4-X4&gt;=LOOKUP(F4,'Qualifying Scores'!$A$4:$A$7,'Qualifying Scores'!$B$4:$B$7),Z4&gt;=LOOKUP(F4,'Qualifying Scores'!$A$10:$A$13,'Qualifying Scores'!$B$10:$B$13))),"P","")</f>
        <v>P</v>
      </c>
      <c r="N4" s="4">
        <f t="shared" si="2"/>
        <v>100.87</v>
      </c>
      <c r="O4" s="4">
        <f t="shared" si="3"/>
        <v>53.895000000000003</v>
      </c>
      <c r="P4" s="33">
        <v>44.994999999999997</v>
      </c>
      <c r="Q4" s="44">
        <v>4.5</v>
      </c>
      <c r="R4" s="34">
        <v>53.895000000000003</v>
      </c>
      <c r="S4" s="44">
        <v>14.4</v>
      </c>
      <c r="T4" s="4">
        <f t="shared" si="4"/>
        <v>98.89</v>
      </c>
      <c r="U4" s="34">
        <v>16.05</v>
      </c>
      <c r="V4" s="44">
        <v>3.8</v>
      </c>
      <c r="W4" s="33">
        <v>48.09</v>
      </c>
      <c r="X4" s="44">
        <v>3.7</v>
      </c>
      <c r="Y4" s="34">
        <v>52.78</v>
      </c>
      <c r="Z4" s="44">
        <v>14.2</v>
      </c>
      <c r="AA4" s="4">
        <f t="shared" si="5"/>
        <v>100.87</v>
      </c>
      <c r="AB4" s="34">
        <v>46.44</v>
      </c>
      <c r="AC4" s="39">
        <v>11.9</v>
      </c>
    </row>
    <row r="5" spans="1:29" x14ac:dyDescent="0.2">
      <c r="A5" s="1" t="str">
        <f t="shared" si="0"/>
        <v/>
      </c>
      <c r="B5" s="38" t="s">
        <v>76</v>
      </c>
      <c r="C5" s="38" t="s">
        <v>3</v>
      </c>
      <c r="D5" s="38" t="s">
        <v>71</v>
      </c>
      <c r="E5" s="37">
        <v>2003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/>
      <c r="H5" s="4">
        <f t="shared" si="1"/>
        <v>152.63499999999999</v>
      </c>
      <c r="I5" s="3" t="str">
        <f>IF(MAX(T5-Q5,AA5-X5)&gt;=LOOKUP(F5,'Qualifying Scores'!$A$4:$A$7,'Qualifying Scores'!$B$4:$B$7),"P","")</f>
        <v/>
      </c>
      <c r="J5" s="3" t="str">
        <f>IF(MAX(S5,Z5)&gt;=LOOKUP(F5,'Qualifying Scores'!$A$10:$A$13,'Qualifying Scores'!$B$10:$B$13),"P","")</f>
        <v>P</v>
      </c>
      <c r="K5" s="3" t="str">
        <f>IF(OR(AND(T5-Q5&gt;=LOOKUP(F5,'Qualifying Scores'!$A$4:$A$7,'Qualifying Scores'!$B$4:$B$7),S5&gt;=LOOKUP(F5,'Qualifying Scores'!$A$10:$A$13,'Qualifying Scores'!$B$10:$B$13)),AND(AA5-X5&gt;=LOOKUP(F5,'Qualifying Scores'!$A$4:$A$7,'Qualifying Scores'!$B$4:$B$7),Z5&gt;=LOOKUP(F5,'Qualifying Scores'!$A$10:$A$13,'Qualifying Scores'!$B$10:$B$13))),"P","")</f>
        <v/>
      </c>
      <c r="N5" s="4">
        <f t="shared" si="2"/>
        <v>99.105000000000004</v>
      </c>
      <c r="O5" s="4">
        <f t="shared" si="3"/>
        <v>53.53</v>
      </c>
      <c r="P5" s="33">
        <v>45.96</v>
      </c>
      <c r="Q5" s="45">
        <v>5.2</v>
      </c>
      <c r="R5" s="47">
        <v>53.145000000000003</v>
      </c>
      <c r="S5" s="45">
        <v>14.4</v>
      </c>
      <c r="T5" s="4">
        <f t="shared" si="4"/>
        <v>99.105000000000004</v>
      </c>
      <c r="U5" s="47">
        <v>49.524999999999999</v>
      </c>
      <c r="V5" s="45">
        <v>14.4</v>
      </c>
      <c r="W5" s="33">
        <v>41.965000000000003</v>
      </c>
      <c r="X5" s="44">
        <v>3.8</v>
      </c>
      <c r="Y5" s="34">
        <v>53.53</v>
      </c>
      <c r="Z5" s="44">
        <v>14.4</v>
      </c>
      <c r="AA5" s="4">
        <f t="shared" si="5"/>
        <v>95.495000000000005</v>
      </c>
      <c r="AB5" s="34">
        <v>51.92</v>
      </c>
      <c r="AC5" s="39">
        <v>14.4</v>
      </c>
    </row>
    <row r="6" spans="1:29" x14ac:dyDescent="0.2">
      <c r="A6" s="1" t="str">
        <f t="shared" si="0"/>
        <v/>
      </c>
      <c r="B6" s="38" t="s">
        <v>81</v>
      </c>
      <c r="C6" s="38" t="s">
        <v>5</v>
      </c>
      <c r="D6" s="38" t="s">
        <v>50</v>
      </c>
      <c r="E6" s="37">
        <v>2003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 t="s">
        <v>158</v>
      </c>
      <c r="H6" s="4">
        <f t="shared" si="1"/>
        <v>145.845</v>
      </c>
      <c r="I6" s="3" t="str">
        <f>IF(MAX(T6-Q6,AA6-X6)&gt;=LOOKUP(F6,'Qualifying Scores'!$A$4:$A$7,'Qualifying Scores'!$B$4:$B$7),"P","")</f>
        <v/>
      </c>
      <c r="J6" s="3" t="str">
        <f>IF(MAX(S6,Z6)&gt;=LOOKUP(F6,'Qualifying Scores'!$A$10:$A$13,'Qualifying Scores'!$B$10:$B$13),"P","")</f>
        <v>P</v>
      </c>
      <c r="K6" s="3" t="str">
        <f>IF(OR(AND(T6-Q6&gt;=LOOKUP(F6,'Qualifying Scores'!$A$4:$A$7,'Qualifying Scores'!$B$4:$B$7),S6&gt;=LOOKUP(F6,'Qualifying Scores'!$A$10:$A$13,'Qualifying Scores'!$B$10:$B$13)),AND(AA6-X6&gt;=LOOKUP(F6,'Qualifying Scores'!$A$4:$A$7,'Qualifying Scores'!$B$4:$B$7),Z6&gt;=LOOKUP(F6,'Qualifying Scores'!$A$10:$A$13,'Qualifying Scores'!$B$10:$B$13))),"P","")</f>
        <v/>
      </c>
      <c r="N6" s="4">
        <f t="shared" si="2"/>
        <v>96.715000000000003</v>
      </c>
      <c r="O6" s="4">
        <f t="shared" si="3"/>
        <v>49.13</v>
      </c>
      <c r="P6" s="33">
        <v>45.365000000000002</v>
      </c>
      <c r="Q6" s="44">
        <v>5.2</v>
      </c>
      <c r="R6" s="34">
        <v>51.35</v>
      </c>
      <c r="S6" s="44">
        <v>13.5</v>
      </c>
      <c r="T6" s="4">
        <f t="shared" si="4"/>
        <v>96.715000000000003</v>
      </c>
      <c r="U6" s="34">
        <v>49.13</v>
      </c>
      <c r="V6" s="44">
        <v>12.1</v>
      </c>
      <c r="W6" s="33">
        <v>45.884999999999998</v>
      </c>
      <c r="X6" s="44">
        <v>5.2</v>
      </c>
      <c r="Y6" s="34">
        <v>38.615000000000002</v>
      </c>
      <c r="Z6" s="44">
        <v>9.6</v>
      </c>
      <c r="AA6" s="4">
        <f t="shared" si="5"/>
        <v>84.5</v>
      </c>
      <c r="AB6" s="34">
        <v>10.45</v>
      </c>
      <c r="AC6" s="39">
        <v>2.7</v>
      </c>
    </row>
    <row r="7" spans="1:29" x14ac:dyDescent="0.2">
      <c r="A7" s="1" t="str">
        <f t="shared" si="0"/>
        <v/>
      </c>
      <c r="B7" s="38" t="s">
        <v>101</v>
      </c>
      <c r="C7" s="38" t="s">
        <v>5</v>
      </c>
      <c r="D7" s="38" t="s">
        <v>89</v>
      </c>
      <c r="E7" s="37">
        <v>2002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 t="s">
        <v>158</v>
      </c>
      <c r="H7" s="4">
        <f t="shared" si="1"/>
        <v>143.125</v>
      </c>
      <c r="I7" s="3" t="str">
        <f>IF(MAX(T7-Q7,AA7-X7)&gt;=LOOKUP(F7,'Qualifying Scores'!$A$4:$A$7,'Qualifying Scores'!$B$4:$B$7),"P","")</f>
        <v/>
      </c>
      <c r="J7" s="3" t="str">
        <f>IF(MAX(S7,Z7)&gt;=LOOKUP(F7,'Qualifying Scores'!$A$10:$A$13,'Qualifying Scores'!$B$10:$B$13),"P","")</f>
        <v/>
      </c>
      <c r="K7" s="3" t="str">
        <f>IF(OR(AND(T7-Q7&gt;=LOOKUP(F7,'Qualifying Scores'!$A$4:$A$7,'Qualifying Scores'!$B$4:$B$7),S7&gt;=LOOKUP(F7,'Qualifying Scores'!$A$10:$A$13,'Qualifying Scores'!$B$10:$B$13)),AND(AA7-X7&gt;=LOOKUP(F7,'Qualifying Scores'!$A$4:$A$7,'Qualifying Scores'!$B$4:$B$7),Z7&gt;=LOOKUP(F7,'Qualifying Scores'!$A$10:$A$13,'Qualifying Scores'!$B$10:$B$13))),"P","")</f>
        <v/>
      </c>
      <c r="N7" s="4">
        <f t="shared" si="2"/>
        <v>93.5</v>
      </c>
      <c r="O7" s="4">
        <f t="shared" si="3"/>
        <v>49.625</v>
      </c>
      <c r="P7" s="33">
        <v>43.66</v>
      </c>
      <c r="Q7" s="44">
        <v>2.7</v>
      </c>
      <c r="R7" s="34">
        <v>49.84</v>
      </c>
      <c r="S7" s="44">
        <v>11.2</v>
      </c>
      <c r="T7" s="4">
        <f t="shared" si="4"/>
        <v>93.5</v>
      </c>
      <c r="U7" s="34">
        <v>49.625</v>
      </c>
      <c r="V7" s="44">
        <v>10.5</v>
      </c>
      <c r="W7" s="33">
        <v>5.53</v>
      </c>
      <c r="X7" s="44">
        <v>1.5</v>
      </c>
      <c r="Y7" s="34">
        <v>29.385000000000002</v>
      </c>
      <c r="Z7" s="44">
        <v>6.2</v>
      </c>
      <c r="AA7" s="4">
        <f t="shared" si="5"/>
        <v>34.914999999999999</v>
      </c>
      <c r="AB7" s="34"/>
      <c r="AC7" s="39"/>
    </row>
    <row r="8" spans="1:29" x14ac:dyDescent="0.2">
      <c r="A8" s="1" t="str">
        <f t="shared" si="0"/>
        <v/>
      </c>
      <c r="B8" s="38" t="s">
        <v>102</v>
      </c>
      <c r="C8" s="38" t="s">
        <v>3</v>
      </c>
      <c r="D8" s="38" t="s">
        <v>127</v>
      </c>
      <c r="E8" s="37">
        <v>2001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17-21</v>
      </c>
      <c r="G8" s="56" t="s">
        <v>158</v>
      </c>
      <c r="H8" s="4">
        <f t="shared" si="1"/>
        <v>142.89500000000001</v>
      </c>
      <c r="I8" s="3" t="str">
        <f>IF(MAX(T8-Q8,AA8-X8)&gt;=LOOKUP(F8,'Qualifying Scores'!$A$4:$A$7,'Qualifying Scores'!$B$4:$B$7),"P","")</f>
        <v/>
      </c>
      <c r="J8" s="3" t="str">
        <f>IF(MAX(S8,Z8)&gt;=LOOKUP(F8,'Qualifying Scores'!$A$10:$A$13,'Qualifying Scores'!$B$10:$B$13),"P","")</f>
        <v/>
      </c>
      <c r="K8" s="3" t="str">
        <f>IF(OR(AND(T8-Q8&gt;=LOOKUP(F8,'Qualifying Scores'!$A$4:$A$7,'Qualifying Scores'!$B$4:$B$7),S8&gt;=LOOKUP(F8,'Qualifying Scores'!$A$10:$A$13,'Qualifying Scores'!$B$10:$B$13)),AND(AA8-X8&gt;=LOOKUP(F8,'Qualifying Scores'!$A$4:$A$7,'Qualifying Scores'!$B$4:$B$7),Z8&gt;=LOOKUP(F8,'Qualifying Scores'!$A$10:$A$13,'Qualifying Scores'!$B$10:$B$13))),"P","")</f>
        <v/>
      </c>
      <c r="N8" s="4">
        <f t="shared" si="2"/>
        <v>92.875</v>
      </c>
      <c r="O8" s="4">
        <f t="shared" si="3"/>
        <v>50.02</v>
      </c>
      <c r="P8" s="33">
        <v>42.905000000000001</v>
      </c>
      <c r="Q8" s="45">
        <v>2.2000000000000002</v>
      </c>
      <c r="R8" s="47">
        <v>49.97</v>
      </c>
      <c r="S8" s="45">
        <v>11.2</v>
      </c>
      <c r="T8" s="4">
        <f t="shared" si="4"/>
        <v>92.875</v>
      </c>
      <c r="U8" s="47">
        <v>49.594999999999999</v>
      </c>
      <c r="V8" s="45">
        <v>11.2</v>
      </c>
      <c r="W8" s="33">
        <v>43.195</v>
      </c>
      <c r="X8" s="44">
        <v>2.2000000000000002</v>
      </c>
      <c r="Y8" s="34">
        <v>48.63</v>
      </c>
      <c r="Z8" s="44">
        <v>11.8</v>
      </c>
      <c r="AA8" s="4">
        <f t="shared" si="5"/>
        <v>91.825000000000003</v>
      </c>
      <c r="AB8" s="34">
        <v>50.02</v>
      </c>
      <c r="AC8" s="39">
        <v>12</v>
      </c>
    </row>
    <row r="9" spans="1:29" x14ac:dyDescent="0.2">
      <c r="A9" s="1" t="str">
        <f t="shared" si="0"/>
        <v/>
      </c>
      <c r="B9" s="38" t="s">
        <v>77</v>
      </c>
      <c r="C9" s="38" t="s">
        <v>4</v>
      </c>
      <c r="D9" s="38" t="s">
        <v>70</v>
      </c>
      <c r="E9" s="37">
        <v>2002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/>
      <c r="H9" s="4">
        <f t="shared" si="1"/>
        <v>141.64499999999998</v>
      </c>
      <c r="I9" s="3" t="str">
        <f>IF(MAX(T9-Q9,AA9-X9)&gt;=LOOKUP(F9,'Qualifying Scores'!$A$4:$A$7,'Qualifying Scores'!$B$4:$B$7),"P","")</f>
        <v/>
      </c>
      <c r="J9" s="3" t="str">
        <f>IF(MAX(S9,Z9)&gt;=LOOKUP(F9,'Qualifying Scores'!$A$10:$A$13,'Qualifying Scores'!$B$10:$B$13),"P","")</f>
        <v/>
      </c>
      <c r="K9" s="3" t="str">
        <f>IF(OR(AND(T9-Q9&gt;=LOOKUP(F9,'Qualifying Scores'!$A$4:$A$7,'Qualifying Scores'!$B$4:$B$7),S9&gt;=LOOKUP(F9,'Qualifying Scores'!$A$10:$A$13,'Qualifying Scores'!$B$10:$B$13)),AND(AA9-X9&gt;=LOOKUP(F9,'Qualifying Scores'!$A$4:$A$7,'Qualifying Scores'!$B$4:$B$7),Z9&gt;=LOOKUP(F9,'Qualifying Scores'!$A$10:$A$13,'Qualifying Scores'!$B$10:$B$13))),"P","")</f>
        <v/>
      </c>
      <c r="N9" s="4">
        <f t="shared" si="2"/>
        <v>92.284999999999997</v>
      </c>
      <c r="O9" s="4">
        <f t="shared" si="3"/>
        <v>49.36</v>
      </c>
      <c r="P9" s="33">
        <v>42.76</v>
      </c>
      <c r="Q9" s="45">
        <v>2</v>
      </c>
      <c r="R9" s="47">
        <v>39.335000000000001</v>
      </c>
      <c r="S9" s="45">
        <v>8.4</v>
      </c>
      <c r="T9" s="4">
        <f t="shared" si="4"/>
        <v>82.094999999999999</v>
      </c>
      <c r="U9" s="47">
        <v>10.955</v>
      </c>
      <c r="V9" s="45">
        <v>2</v>
      </c>
      <c r="W9" s="33">
        <v>43.31</v>
      </c>
      <c r="X9" s="55">
        <v>2</v>
      </c>
      <c r="Y9" s="34">
        <v>48.975000000000001</v>
      </c>
      <c r="Z9" s="44">
        <v>10.4</v>
      </c>
      <c r="AA9" s="4">
        <f t="shared" si="5"/>
        <v>92.284999999999997</v>
      </c>
      <c r="AB9" s="34">
        <v>49.36</v>
      </c>
      <c r="AC9" s="39">
        <v>9.9</v>
      </c>
    </row>
    <row r="10" spans="1:29" x14ac:dyDescent="0.2">
      <c r="A10" s="1" t="str">
        <f t="shared" si="0"/>
        <v/>
      </c>
      <c r="B10" s="38" t="s">
        <v>49</v>
      </c>
      <c r="C10" s="38" t="s">
        <v>3</v>
      </c>
      <c r="D10" s="38" t="s">
        <v>72</v>
      </c>
      <c r="E10" s="37">
        <v>2002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G10" s="56"/>
      <c r="H10" s="4">
        <f t="shared" si="1"/>
        <v>140.55000000000001</v>
      </c>
      <c r="I10" s="3" t="str">
        <f>IF(MAX(T10-Q10,AA10-X10)&gt;=LOOKUP(F10,'Qualifying Scores'!$A$4:$A$7,'Qualifying Scores'!$B$4:$B$7),"P","")</f>
        <v/>
      </c>
      <c r="J10" s="3" t="str">
        <f>IF(MAX(S10,Z10)&gt;=LOOKUP(F10,'Qualifying Scores'!$A$10:$A$13,'Qualifying Scores'!$B$10:$B$13),"P","")</f>
        <v/>
      </c>
      <c r="K10" s="3" t="str">
        <f>IF(OR(AND(T10-Q10&gt;=LOOKUP(F10,'Qualifying Scores'!$A$4:$A$7,'Qualifying Scores'!$B$4:$B$7),S10&gt;=LOOKUP(F10,'Qualifying Scores'!$A$10:$A$13,'Qualifying Scores'!$B$10:$B$13)),AND(AA10-X10&gt;=LOOKUP(F10,'Qualifying Scores'!$A$4:$A$7,'Qualifying Scores'!$B$4:$B$7),Z10&gt;=LOOKUP(F10,'Qualifying Scores'!$A$10:$A$13,'Qualifying Scores'!$B$10:$B$13))),"P","")</f>
        <v/>
      </c>
      <c r="N10" s="4">
        <f t="shared" si="2"/>
        <v>96.63</v>
      </c>
      <c r="O10" s="4">
        <f t="shared" si="3"/>
        <v>43.92</v>
      </c>
      <c r="P10" s="33">
        <v>45.3</v>
      </c>
      <c r="Q10" s="44">
        <v>2.7</v>
      </c>
      <c r="R10" s="34">
        <v>51.33</v>
      </c>
      <c r="S10" s="44">
        <v>12.6</v>
      </c>
      <c r="T10" s="4">
        <f t="shared" si="4"/>
        <v>96.63</v>
      </c>
      <c r="U10" s="34">
        <v>32.74</v>
      </c>
      <c r="V10" s="44">
        <v>8.6</v>
      </c>
      <c r="W10" s="33">
        <v>33.975000000000001</v>
      </c>
      <c r="X10" s="44">
        <v>0.9</v>
      </c>
      <c r="Y10" s="34">
        <v>43.92</v>
      </c>
      <c r="Z10" s="44">
        <v>11</v>
      </c>
      <c r="AA10" s="4">
        <f t="shared" si="5"/>
        <v>77.89500000000001</v>
      </c>
      <c r="AB10" s="34">
        <v>16.73</v>
      </c>
      <c r="AC10" s="39">
        <v>4.5</v>
      </c>
    </row>
    <row r="11" spans="1:29" x14ac:dyDescent="0.2">
      <c r="A11" s="1" t="str">
        <f t="shared" si="0"/>
        <v/>
      </c>
      <c r="B11" s="38" t="s">
        <v>134</v>
      </c>
      <c r="C11" s="38" t="s">
        <v>8</v>
      </c>
      <c r="D11" s="38" t="s">
        <v>135</v>
      </c>
      <c r="E11" s="37">
        <v>2003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/>
      <c r="H11" s="4">
        <f t="shared" si="1"/>
        <v>138.35</v>
      </c>
      <c r="I11" s="3" t="str">
        <f>IF(MAX(T11-Q11,AA11-X11)&gt;=LOOKUP(F11,'Qualifying Scores'!$A$4:$A$7,'Qualifying Scores'!$B$4:$B$7),"P","")</f>
        <v/>
      </c>
      <c r="J11" s="3" t="str">
        <f>IF(MAX(S11,Z11)&gt;=LOOKUP(F11,'Qualifying Scores'!$A$10:$A$13,'Qualifying Scores'!$B$10:$B$13),"P","")</f>
        <v/>
      </c>
      <c r="K11" s="3" t="str">
        <f>IF(OR(AND(T11-Q11&gt;=LOOKUP(F11,'Qualifying Scores'!$A$4:$A$7,'Qualifying Scores'!$B$4:$B$7),S11&gt;=LOOKUP(F11,'Qualifying Scores'!$A$10:$A$13,'Qualifying Scores'!$B$10:$B$13)),AND(AA11-X11&gt;=LOOKUP(F11,'Qualifying Scores'!$A$4:$A$7,'Qualifying Scores'!$B$4:$B$7),Z11&gt;=LOOKUP(F11,'Qualifying Scores'!$A$10:$A$13,'Qualifying Scores'!$B$10:$B$13))),"P","")</f>
        <v/>
      </c>
      <c r="N11" s="4">
        <f t="shared" si="2"/>
        <v>90.45</v>
      </c>
      <c r="O11" s="4">
        <f t="shared" si="3"/>
        <v>47.9</v>
      </c>
      <c r="P11" s="33"/>
      <c r="Q11" s="44"/>
      <c r="R11" s="34"/>
      <c r="S11" s="44"/>
      <c r="T11" s="4">
        <f t="shared" si="4"/>
        <v>0</v>
      </c>
      <c r="U11" s="34"/>
      <c r="V11" s="44"/>
      <c r="W11" s="33">
        <v>41.734999999999999</v>
      </c>
      <c r="X11" s="44">
        <v>0</v>
      </c>
      <c r="Y11" s="34">
        <v>48.715000000000003</v>
      </c>
      <c r="Z11" s="44">
        <v>8.9</v>
      </c>
      <c r="AA11" s="4">
        <f t="shared" si="5"/>
        <v>90.45</v>
      </c>
      <c r="AB11" s="34">
        <v>47.9</v>
      </c>
      <c r="AC11" s="39">
        <v>8.9</v>
      </c>
    </row>
    <row r="12" spans="1:29" x14ac:dyDescent="0.2">
      <c r="A12" s="1" t="str">
        <f t="shared" si="0"/>
        <v/>
      </c>
      <c r="B12" s="38" t="s">
        <v>98</v>
      </c>
      <c r="C12" s="38" t="s">
        <v>3</v>
      </c>
      <c r="D12" s="38" t="s">
        <v>71</v>
      </c>
      <c r="E12" s="37">
        <v>2003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/>
      <c r="H12" s="4">
        <f t="shared" si="1"/>
        <v>136.85</v>
      </c>
      <c r="I12" s="3" t="str">
        <f>IF(MAX(T12-Q12,AA12-X12)&gt;=LOOKUP(F12,'Qualifying Scores'!$A$4:$A$7,'Qualifying Scores'!$B$4:$B$7),"P","")</f>
        <v/>
      </c>
      <c r="J12" s="3" t="str">
        <f>IF(MAX(S12,Z12)&gt;=LOOKUP(F12,'Qualifying Scores'!$A$10:$A$13,'Qualifying Scores'!$B$10:$B$13),"P","")</f>
        <v/>
      </c>
      <c r="K12" s="3" t="str">
        <f>IF(OR(AND(T12-Q12&gt;=LOOKUP(F12,'Qualifying Scores'!$A$4:$A$7,'Qualifying Scores'!$B$4:$B$7),S12&gt;=LOOKUP(F12,'Qualifying Scores'!$A$10:$A$13,'Qualifying Scores'!$B$10:$B$13)),AND(AA12-X12&gt;=LOOKUP(F12,'Qualifying Scores'!$A$4:$A$7,'Qualifying Scores'!$B$4:$B$7),Z12&gt;=LOOKUP(F12,'Qualifying Scores'!$A$10:$A$13,'Qualifying Scores'!$B$10:$B$13))),"P","")</f>
        <v/>
      </c>
      <c r="N12" s="4">
        <f t="shared" si="2"/>
        <v>87.59</v>
      </c>
      <c r="O12" s="4">
        <f t="shared" si="3"/>
        <v>49.26</v>
      </c>
      <c r="P12" s="33">
        <v>40.159999999999997</v>
      </c>
      <c r="Q12" s="45">
        <v>0</v>
      </c>
      <c r="R12" s="47">
        <v>47.43</v>
      </c>
      <c r="S12" s="45">
        <v>9.6999999999999993</v>
      </c>
      <c r="T12" s="4">
        <f t="shared" si="4"/>
        <v>87.59</v>
      </c>
      <c r="U12" s="47">
        <v>49.26</v>
      </c>
      <c r="V12" s="45">
        <v>9.6999999999999993</v>
      </c>
      <c r="W12" s="33">
        <v>39.965000000000003</v>
      </c>
      <c r="X12" s="44">
        <v>0</v>
      </c>
      <c r="Y12" s="34">
        <v>47.53</v>
      </c>
      <c r="Z12" s="44">
        <v>9.6999999999999993</v>
      </c>
      <c r="AA12" s="4">
        <f t="shared" si="5"/>
        <v>87.495000000000005</v>
      </c>
      <c r="AB12" s="34">
        <v>48.5</v>
      </c>
      <c r="AC12" s="39">
        <v>9.6999999999999993</v>
      </c>
    </row>
    <row r="13" spans="1:29" x14ac:dyDescent="0.2">
      <c r="A13" s="1" t="str">
        <f t="shared" si="0"/>
        <v/>
      </c>
      <c r="B13" s="38" t="s">
        <v>99</v>
      </c>
      <c r="C13" s="38" t="s">
        <v>3</v>
      </c>
      <c r="D13" s="38" t="s">
        <v>132</v>
      </c>
      <c r="E13" s="37">
        <v>2002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17-21</v>
      </c>
      <c r="G13" s="56"/>
      <c r="H13" s="4">
        <f t="shared" si="1"/>
        <v>133.07999999999998</v>
      </c>
      <c r="I13" s="3" t="str">
        <f>IF(MAX(T13-Q13,AA13-X13)&gt;=LOOKUP(F13,'Qualifying Scores'!$A$4:$A$7,'Qualifying Scores'!$B$4:$B$7),"P","")</f>
        <v/>
      </c>
      <c r="J13" s="3" t="str">
        <f>IF(MAX(S13,Z13)&gt;=LOOKUP(F13,'Qualifying Scores'!$A$10:$A$13,'Qualifying Scores'!$B$10:$B$13),"P","")</f>
        <v/>
      </c>
      <c r="K13" s="3" t="str">
        <f>IF(OR(AND(T13-Q13&gt;=LOOKUP(F13,'Qualifying Scores'!$A$4:$A$7,'Qualifying Scores'!$B$4:$B$7),S13&gt;=LOOKUP(F13,'Qualifying Scores'!$A$10:$A$13,'Qualifying Scores'!$B$10:$B$13)),AND(AA13-X13&gt;=LOOKUP(F13,'Qualifying Scores'!$A$4:$A$7,'Qualifying Scores'!$B$4:$B$7),Z13&gt;=LOOKUP(F13,'Qualifying Scores'!$A$10:$A$13,'Qualifying Scores'!$B$10:$B$13))),"P","")</f>
        <v/>
      </c>
      <c r="N13" s="4">
        <f t="shared" si="2"/>
        <v>87.254999999999995</v>
      </c>
      <c r="O13" s="4">
        <f t="shared" si="3"/>
        <v>45.825000000000003</v>
      </c>
      <c r="P13" s="33">
        <v>40.159999999999997</v>
      </c>
      <c r="Q13" s="44">
        <v>0</v>
      </c>
      <c r="R13" s="34">
        <v>47.094999999999999</v>
      </c>
      <c r="S13" s="44">
        <v>9.6</v>
      </c>
      <c r="T13" s="4">
        <f t="shared" si="4"/>
        <v>87.254999999999995</v>
      </c>
      <c r="U13" s="34">
        <v>19.545000000000002</v>
      </c>
      <c r="V13" s="44">
        <v>3.3</v>
      </c>
      <c r="W13" s="33">
        <v>40.090000000000003</v>
      </c>
      <c r="X13" s="44">
        <v>0</v>
      </c>
      <c r="Y13" s="34">
        <v>43.74</v>
      </c>
      <c r="Z13" s="44">
        <v>8.5</v>
      </c>
      <c r="AA13" s="4">
        <f t="shared" si="5"/>
        <v>83.830000000000013</v>
      </c>
      <c r="AB13" s="34">
        <v>45.825000000000003</v>
      </c>
      <c r="AC13" s="39">
        <v>8.5</v>
      </c>
    </row>
    <row r="14" spans="1:29" x14ac:dyDescent="0.2">
      <c r="A14" s="1" t="str">
        <f t="shared" si="0"/>
        <v/>
      </c>
      <c r="B14" s="38" t="s">
        <v>104</v>
      </c>
      <c r="C14" s="38" t="s">
        <v>4</v>
      </c>
      <c r="D14" s="38" t="s">
        <v>126</v>
      </c>
      <c r="E14" s="37">
        <v>2003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17-21</v>
      </c>
      <c r="G14" s="56"/>
      <c r="H14" s="4">
        <f t="shared" si="1"/>
        <v>127.83000000000001</v>
      </c>
      <c r="I14" s="3" t="str">
        <f>IF(MAX(T14-Q14,AA14-X14)&gt;=LOOKUP(F14,'Qualifying Scores'!$A$4:$A$7,'Qualifying Scores'!$B$4:$B$7),"P","")</f>
        <v/>
      </c>
      <c r="J14" s="3" t="str">
        <f>IF(MAX(S14,Z14)&gt;=LOOKUP(F14,'Qualifying Scores'!$A$10:$A$13,'Qualifying Scores'!$B$10:$B$13),"P","")</f>
        <v/>
      </c>
      <c r="K14" s="3" t="str">
        <f>IF(OR(AND(T14-Q14&gt;=LOOKUP(F14,'Qualifying Scores'!$A$4:$A$7,'Qualifying Scores'!$B$4:$B$7),S14&gt;=LOOKUP(F14,'Qualifying Scores'!$A$10:$A$13,'Qualifying Scores'!$B$10:$B$13)),AND(AA14-X14&gt;=LOOKUP(F14,'Qualifying Scores'!$A$4:$A$7,'Qualifying Scores'!$B$4:$B$7),Z14&gt;=LOOKUP(F14,'Qualifying Scores'!$A$10:$A$13,'Qualifying Scores'!$B$10:$B$13))),"P","")</f>
        <v/>
      </c>
      <c r="N14" s="4">
        <f t="shared" si="2"/>
        <v>80.210000000000008</v>
      </c>
      <c r="O14" s="4">
        <f t="shared" si="3"/>
        <v>47.62</v>
      </c>
      <c r="P14" s="33">
        <v>41.305</v>
      </c>
      <c r="Q14" s="44">
        <v>2.7</v>
      </c>
      <c r="R14" s="34">
        <v>22.57</v>
      </c>
      <c r="S14" s="44">
        <v>4.8</v>
      </c>
      <c r="T14" s="4">
        <f t="shared" si="4"/>
        <v>63.875</v>
      </c>
      <c r="U14" s="34">
        <v>40.47</v>
      </c>
      <c r="V14" s="44">
        <v>8.5</v>
      </c>
      <c r="W14" s="33">
        <v>41.57</v>
      </c>
      <c r="X14" s="44">
        <v>2.7</v>
      </c>
      <c r="Y14" s="34">
        <v>38.64</v>
      </c>
      <c r="Z14" s="44">
        <v>8.1999999999999993</v>
      </c>
      <c r="AA14" s="4">
        <f t="shared" si="5"/>
        <v>80.210000000000008</v>
      </c>
      <c r="AB14" s="34">
        <v>47.62</v>
      </c>
      <c r="AC14" s="39">
        <v>10</v>
      </c>
    </row>
    <row r="15" spans="1:29" x14ac:dyDescent="0.2">
      <c r="A15" s="1" t="str">
        <f t="shared" si="0"/>
        <v/>
      </c>
      <c r="B15" s="38" t="s">
        <v>103</v>
      </c>
      <c r="C15" s="38" t="s">
        <v>5</v>
      </c>
      <c r="D15" s="38" t="s">
        <v>50</v>
      </c>
      <c r="E15" s="37">
        <v>2002</v>
      </c>
      <c r="F15" s="1" t="str">
        <f>IF('Qualifying Scores'!$B$1-E15&gt;21,"Not Age Eligible",IF('Qualifying Scores'!$B$1-E15&gt;16,"17-21",IF('Qualifying Scores'!$B$1-E15&gt;14,"15-16",IF('Qualifying Scores'!$B$1-E15&gt;12,"13-14",IF('Qualifying Scores'!$B$1-E15&gt;10,"11-12,""Not Age Eligible")))))</f>
        <v>17-21</v>
      </c>
      <c r="G15" s="56"/>
      <c r="H15" s="4">
        <f t="shared" si="1"/>
        <v>111.755</v>
      </c>
      <c r="I15" s="3" t="str">
        <f>IF(MAX(T15-Q15,AA15-X15)&gt;=LOOKUP(F15,'Qualifying Scores'!$A$4:$A$7,'Qualifying Scores'!$B$4:$B$7),"P","")</f>
        <v/>
      </c>
      <c r="J15" s="3" t="str">
        <f>IF(MAX(S15,Z15)&gt;=LOOKUP(F15,'Qualifying Scores'!$A$10:$A$13,'Qualifying Scores'!$B$10:$B$13),"P","")</f>
        <v/>
      </c>
      <c r="K15" s="3" t="str">
        <f>IF(OR(AND(T15-Q15&gt;=LOOKUP(F15,'Qualifying Scores'!$A$4:$A$7,'Qualifying Scores'!$B$4:$B$7),S15&gt;=LOOKUP(F15,'Qualifying Scores'!$A$10:$A$13,'Qualifying Scores'!$B$10:$B$13)),AND(AA15-X15&gt;=LOOKUP(F15,'Qualifying Scores'!$A$4:$A$7,'Qualifying Scores'!$B$4:$B$7),Z15&gt;=LOOKUP(F15,'Qualifying Scores'!$A$10:$A$13,'Qualifying Scores'!$B$10:$B$13))),"P","")</f>
        <v/>
      </c>
      <c r="N15" s="4">
        <f t="shared" si="2"/>
        <v>64.760000000000005</v>
      </c>
      <c r="O15" s="4">
        <f t="shared" si="3"/>
        <v>46.994999999999997</v>
      </c>
      <c r="P15" s="33">
        <v>35.965000000000003</v>
      </c>
      <c r="Q15" s="44">
        <v>1.3</v>
      </c>
      <c r="R15" s="34">
        <v>28.795000000000002</v>
      </c>
      <c r="S15" s="44">
        <v>6.5</v>
      </c>
      <c r="T15" s="4">
        <f t="shared" si="4"/>
        <v>64.760000000000005</v>
      </c>
      <c r="U15" s="34">
        <v>46.994999999999997</v>
      </c>
      <c r="V15" s="44">
        <v>9.8000000000000007</v>
      </c>
      <c r="W15" s="33">
        <v>39.229999999999997</v>
      </c>
      <c r="X15" s="44">
        <v>2.2999999999999998</v>
      </c>
      <c r="Y15" s="34">
        <v>5.23</v>
      </c>
      <c r="Z15" s="44">
        <v>1.3</v>
      </c>
      <c r="AA15" s="4">
        <f t="shared" si="5"/>
        <v>44.459999999999994</v>
      </c>
      <c r="AB15" s="34"/>
      <c r="AC15" s="39"/>
    </row>
    <row r="16" spans="1:29" x14ac:dyDescent="0.2">
      <c r="A16" s="1" t="str">
        <f t="shared" si="0"/>
        <v/>
      </c>
      <c r="B16" s="38" t="s">
        <v>55</v>
      </c>
      <c r="C16" s="38" t="s">
        <v>51</v>
      </c>
      <c r="D16" s="38" t="s">
        <v>52</v>
      </c>
      <c r="E16" s="37">
        <v>2001</v>
      </c>
      <c r="F16" s="1" t="str">
        <f>IF('Qualifying Scores'!$B$1-E16&gt;21,"Not Age Eligible",IF('Qualifying Scores'!$B$1-E16&gt;16,"17-21",IF('Qualifying Scores'!$B$1-E16&gt;14,"15-16",IF('Qualifying Scores'!$B$1-E16&gt;12,"13-14",IF('Qualifying Scores'!$B$1-E16&gt;10,"11-12,""Not Age Eligible")))))</f>
        <v>17-21</v>
      </c>
      <c r="G16" s="56"/>
      <c r="H16" s="4">
        <f t="shared" si="1"/>
        <v>68.394999999999996</v>
      </c>
      <c r="I16" s="3" t="str">
        <f>IF(MAX(T16-Q16,AA16-X16)&gt;=LOOKUP(F16,'Qualifying Scores'!$A$4:$A$7,'Qualifying Scores'!$B$4:$B$7),"P","")</f>
        <v/>
      </c>
      <c r="J16" s="3" t="str">
        <f>IF(MAX(S16,Z16)&gt;=LOOKUP(F16,'Qualifying Scores'!$A$10:$A$13,'Qualifying Scores'!$B$10:$B$13),"P","")</f>
        <v/>
      </c>
      <c r="K16" s="3" t="str">
        <f>IF(OR(AND(T16-Q16&gt;=LOOKUP(F16,'Qualifying Scores'!$A$4:$A$7,'Qualifying Scores'!$B$4:$B$7),S16&gt;=LOOKUP(F16,'Qualifying Scores'!$A$10:$A$13,'Qualifying Scores'!$B$10:$B$13)),AND(AA16-X16&gt;=LOOKUP(F16,'Qualifying Scores'!$A$4:$A$7,'Qualifying Scores'!$B$4:$B$7),Z16&gt;=LOOKUP(F16,'Qualifying Scores'!$A$10:$A$13,'Qualifying Scores'!$B$10:$B$13))),"P","")</f>
        <v/>
      </c>
      <c r="N16" s="4">
        <f t="shared" si="2"/>
        <v>68.394999999999996</v>
      </c>
      <c r="O16" s="4">
        <f t="shared" si="3"/>
        <v>0</v>
      </c>
      <c r="P16" s="33">
        <v>47.024999999999999</v>
      </c>
      <c r="Q16" s="44">
        <v>5</v>
      </c>
      <c r="R16" s="34">
        <v>21.37</v>
      </c>
      <c r="S16" s="44">
        <v>6.3</v>
      </c>
      <c r="T16" s="4">
        <f t="shared" si="4"/>
        <v>68.394999999999996</v>
      </c>
      <c r="U16" s="34">
        <v>0</v>
      </c>
      <c r="V16" s="45">
        <v>0</v>
      </c>
      <c r="W16" s="33"/>
      <c r="X16" s="44"/>
      <c r="Y16" s="34"/>
      <c r="Z16" s="44"/>
      <c r="AA16" s="4">
        <f t="shared" si="5"/>
        <v>0</v>
      </c>
      <c r="AB16" s="34"/>
      <c r="AC16" s="39"/>
    </row>
    <row r="17" spans="1:29" x14ac:dyDescent="0.2">
      <c r="A17" s="1" t="str">
        <f t="shared" si="0"/>
        <v/>
      </c>
      <c r="B17" s="38" t="s">
        <v>100</v>
      </c>
      <c r="C17" s="38" t="s">
        <v>4</v>
      </c>
      <c r="D17" s="38" t="s">
        <v>12</v>
      </c>
      <c r="E17" s="37">
        <v>2003</v>
      </c>
      <c r="F17" s="1" t="str">
        <f>IF('Qualifying Scores'!$B$1-E17&gt;21,"Not Age Eligible",IF('Qualifying Scores'!$B$1-E17&gt;16,"17-21",IF('Qualifying Scores'!$B$1-E17&gt;14,"15-16",IF('Qualifying Scores'!$B$1-E17&gt;12,"13-14",IF('Qualifying Scores'!$B$1-E17&gt;10,"11-12,""Not Age Eligible")))))</f>
        <v>17-21</v>
      </c>
      <c r="G17" s="56"/>
      <c r="H17" s="4">
        <f t="shared" si="1"/>
        <v>64.290000000000006</v>
      </c>
      <c r="I17" s="3" t="str">
        <f>IF(MAX(T17-Q17,AA17-X17)&gt;=LOOKUP(F17,'Qualifying Scores'!$A$4:$A$7,'Qualifying Scores'!$B$4:$B$7),"P","")</f>
        <v/>
      </c>
      <c r="J17" s="3" t="str">
        <f>IF(MAX(S17,Z17)&gt;=LOOKUP(F17,'Qualifying Scores'!$A$10:$A$13,'Qualifying Scores'!$B$10:$B$13),"P","")</f>
        <v/>
      </c>
      <c r="K17" s="3" t="str">
        <f>IF(OR(AND(T17-Q17&gt;=LOOKUP(F17,'Qualifying Scores'!$A$4:$A$7,'Qualifying Scores'!$B$4:$B$7),S17&gt;=LOOKUP(F17,'Qualifying Scores'!$A$10:$A$13,'Qualifying Scores'!$B$10:$B$13)),AND(AA17-X17&gt;=LOOKUP(F17,'Qualifying Scores'!$A$4:$A$7,'Qualifying Scores'!$B$4:$B$7),Z17&gt;=LOOKUP(F17,'Qualifying Scores'!$A$10:$A$13,'Qualifying Scores'!$B$10:$B$13))),"P","")</f>
        <v/>
      </c>
      <c r="N17" s="4">
        <f t="shared" si="2"/>
        <v>64.290000000000006</v>
      </c>
      <c r="O17" s="4">
        <f t="shared" si="3"/>
        <v>0</v>
      </c>
      <c r="P17" s="33">
        <v>40.295000000000002</v>
      </c>
      <c r="Q17" s="44">
        <v>0</v>
      </c>
      <c r="R17" s="34">
        <v>23.995000000000001</v>
      </c>
      <c r="S17" s="44">
        <v>5.5</v>
      </c>
      <c r="T17" s="4">
        <f t="shared" si="4"/>
        <v>64.290000000000006</v>
      </c>
      <c r="U17" s="34">
        <v>0</v>
      </c>
      <c r="V17" s="44">
        <v>0</v>
      </c>
      <c r="W17" s="33"/>
      <c r="X17" s="44"/>
      <c r="Y17" s="34"/>
      <c r="Z17" s="44"/>
      <c r="AA17" s="4">
        <f t="shared" si="5"/>
        <v>0</v>
      </c>
      <c r="AB17" s="34"/>
      <c r="AC17" s="39"/>
    </row>
    <row r="18" spans="1:29" x14ac:dyDescent="0.2">
      <c r="A18" s="1" t="str">
        <f t="shared" si="0"/>
        <v/>
      </c>
      <c r="B18" s="38" t="s">
        <v>106</v>
      </c>
      <c r="C18" s="38" t="s">
        <v>8</v>
      </c>
      <c r="D18" s="38" t="s">
        <v>78</v>
      </c>
      <c r="E18" s="37">
        <v>2000</v>
      </c>
      <c r="F18" s="1" t="str">
        <f>IF('Qualifying Scores'!$B$1-E18&gt;21,"Not Age Eligible",IF('Qualifying Scores'!$B$1-E18&gt;16,"17-21",IF('Qualifying Scores'!$B$1-E18&gt;14,"15-16",IF('Qualifying Scores'!$B$1-E18&gt;12,"13-14",IF('Qualifying Scores'!$B$1-E18&gt;10,"11-12,""Not Age Eligible")))))</f>
        <v>17-21</v>
      </c>
      <c r="G18" s="56"/>
      <c r="H18" s="4">
        <f t="shared" si="1"/>
        <v>49.35</v>
      </c>
      <c r="I18" s="3" t="str">
        <f>IF(MAX(T18-Q18,AA18-X18)&gt;=LOOKUP(F18,'Qualifying Scores'!$A$4:$A$7,'Qualifying Scores'!$B$4:$B$7),"P","")</f>
        <v/>
      </c>
      <c r="J18" s="3" t="str">
        <f>IF(MAX(S18,Z18)&gt;=LOOKUP(F18,'Qualifying Scores'!$A$10:$A$13,'Qualifying Scores'!$B$10:$B$13),"P","")</f>
        <v/>
      </c>
      <c r="K18" s="3" t="str">
        <f>IF(OR(AND(T18-Q18&gt;=LOOKUP(F18,'Qualifying Scores'!$A$4:$A$7,'Qualifying Scores'!$B$4:$B$7),S18&gt;=LOOKUP(F18,'Qualifying Scores'!$A$10:$A$13,'Qualifying Scores'!$B$10:$B$13)),AND(AA18-X18&gt;=LOOKUP(F18,'Qualifying Scores'!$A$4:$A$7,'Qualifying Scores'!$B$4:$B$7),Z18&gt;=LOOKUP(F18,'Qualifying Scores'!$A$10:$A$13,'Qualifying Scores'!$B$10:$B$13))),"P","")</f>
        <v/>
      </c>
      <c r="N18" s="4">
        <f t="shared" si="2"/>
        <v>49.35</v>
      </c>
      <c r="O18" s="4">
        <f t="shared" si="3"/>
        <v>0</v>
      </c>
      <c r="P18" s="33">
        <v>37.185000000000002</v>
      </c>
      <c r="Q18" s="45">
        <v>2.2999999999999998</v>
      </c>
      <c r="R18" s="47">
        <v>12.164999999999999</v>
      </c>
      <c r="S18" s="45">
        <v>3.4</v>
      </c>
      <c r="T18" s="4">
        <f t="shared" si="4"/>
        <v>49.35</v>
      </c>
      <c r="U18" s="47">
        <v>0</v>
      </c>
      <c r="V18" s="45">
        <v>0</v>
      </c>
      <c r="W18" s="33"/>
      <c r="X18" s="44"/>
      <c r="Y18" s="34"/>
      <c r="Z18" s="44"/>
      <c r="AA18" s="4">
        <f t="shared" si="5"/>
        <v>0</v>
      </c>
      <c r="AB18" s="34"/>
      <c r="AC18" s="39"/>
    </row>
    <row r="19" spans="1:29" x14ac:dyDescent="0.2">
      <c r="A19" s="1" t="str">
        <f t="shared" si="0"/>
        <v/>
      </c>
      <c r="B19" s="38" t="s">
        <v>80</v>
      </c>
      <c r="C19" s="38" t="s">
        <v>4</v>
      </c>
      <c r="D19" s="38" t="s">
        <v>13</v>
      </c>
      <c r="E19" s="37">
        <v>2003</v>
      </c>
      <c r="F19" s="1" t="str">
        <f>IF('Qualifying Scores'!$B$1-E19&gt;21,"Not Age Eligible",IF('Qualifying Scores'!$B$1-E19&gt;16,"17-21",IF('Qualifying Scores'!$B$1-E19&gt;14,"15-16",IF('Qualifying Scores'!$B$1-E19&gt;12,"13-14",IF('Qualifying Scores'!$B$1-E19&gt;10,"11-12,""Not Age Eligible")))))</f>
        <v>17-21</v>
      </c>
      <c r="G19" s="56"/>
      <c r="H19" s="4">
        <f t="shared" si="1"/>
        <v>39.15</v>
      </c>
      <c r="I19" s="3" t="str">
        <f>IF(MAX(T19-Q19,AA19-X19)&gt;=LOOKUP(F19,'Qualifying Scores'!$A$4:$A$7,'Qualifying Scores'!$B$4:$B$7),"P","")</f>
        <v/>
      </c>
      <c r="J19" s="3" t="str">
        <f>IF(MAX(S19,Z19)&gt;=LOOKUP(F19,'Qualifying Scores'!$A$10:$A$13,'Qualifying Scores'!$B$10:$B$13),"P","")</f>
        <v/>
      </c>
      <c r="K19" s="3" t="str">
        <f>IF(OR(AND(T19-Q19&gt;=LOOKUP(F19,'Qualifying Scores'!$A$4:$A$7,'Qualifying Scores'!$B$4:$B$7),S19&gt;=LOOKUP(F19,'Qualifying Scores'!$A$10:$A$13,'Qualifying Scores'!$B$10:$B$13)),AND(AA19-X19&gt;=LOOKUP(F19,'Qualifying Scores'!$A$4:$A$7,'Qualifying Scores'!$B$4:$B$7),Z19&gt;=LOOKUP(F19,'Qualifying Scores'!$A$10:$A$13,'Qualifying Scores'!$B$10:$B$13))),"P","")</f>
        <v/>
      </c>
      <c r="N19" s="4">
        <f t="shared" si="2"/>
        <v>39.15</v>
      </c>
      <c r="O19" s="4">
        <f t="shared" si="3"/>
        <v>0</v>
      </c>
      <c r="P19" s="33"/>
      <c r="Q19" s="44"/>
      <c r="R19" s="34"/>
      <c r="S19" s="44"/>
      <c r="T19" s="4">
        <f t="shared" si="4"/>
        <v>0</v>
      </c>
      <c r="U19" s="34"/>
      <c r="V19" s="44"/>
      <c r="W19" s="33">
        <v>39.15</v>
      </c>
      <c r="X19" s="44">
        <v>1.3</v>
      </c>
      <c r="Y19" s="34">
        <v>0</v>
      </c>
      <c r="Z19" s="44">
        <v>0</v>
      </c>
      <c r="AA19" s="4">
        <f t="shared" si="5"/>
        <v>39.15</v>
      </c>
      <c r="AB19" s="34"/>
      <c r="AC19" s="39"/>
    </row>
    <row r="20" spans="1:29" x14ac:dyDescent="0.2">
      <c r="A20" s="1"/>
      <c r="N20" s="4"/>
      <c r="O20" s="4"/>
      <c r="P20" s="33"/>
      <c r="Q20" s="44"/>
      <c r="R20" s="34"/>
      <c r="S20" s="44"/>
      <c r="T20" s="4"/>
      <c r="U20" s="34"/>
      <c r="V20" s="44"/>
      <c r="W20" s="33"/>
      <c r="X20" s="44"/>
      <c r="Y20" s="34"/>
      <c r="Z20" s="44"/>
      <c r="AA20" s="4"/>
      <c r="AB20" s="34"/>
      <c r="AC20" s="39"/>
    </row>
    <row r="21" spans="1:29" x14ac:dyDescent="0.2">
      <c r="N21" s="4"/>
      <c r="O21" s="4"/>
      <c r="P21" s="33"/>
      <c r="Q21" s="44"/>
      <c r="R21" s="34"/>
      <c r="S21" s="44"/>
      <c r="T21" s="4"/>
      <c r="U21" s="34"/>
      <c r="V21" s="44"/>
      <c r="W21" s="33"/>
      <c r="X21" s="44"/>
      <c r="Y21" s="34"/>
      <c r="Z21" s="44"/>
      <c r="AA21" s="4"/>
      <c r="AB21" s="34"/>
      <c r="AC21" s="39"/>
    </row>
    <row r="22" spans="1:29" x14ac:dyDescent="0.2">
      <c r="N22" s="4"/>
      <c r="O22" s="4"/>
      <c r="P22" s="33"/>
      <c r="Q22" s="44"/>
      <c r="R22" s="34"/>
      <c r="S22" s="44"/>
      <c r="T22" s="4"/>
      <c r="U22" s="34"/>
      <c r="V22" s="44"/>
      <c r="W22" s="33"/>
      <c r="X22" s="44"/>
      <c r="Y22" s="34"/>
      <c r="Z22" s="44"/>
      <c r="AA22" s="4"/>
      <c r="AB22" s="34"/>
      <c r="AC22" s="39"/>
    </row>
    <row r="23" spans="1:29" x14ac:dyDescent="0.2">
      <c r="N23" s="4"/>
      <c r="O23" s="4"/>
      <c r="P23" s="33"/>
      <c r="Q23" s="44"/>
      <c r="R23" s="34"/>
      <c r="S23" s="44"/>
      <c r="T23" s="4"/>
      <c r="U23" s="34"/>
      <c r="V23" s="44"/>
      <c r="W23" s="33"/>
      <c r="X23" s="44"/>
      <c r="Y23" s="34"/>
      <c r="Z23" s="44"/>
      <c r="AA23" s="4"/>
      <c r="AB23" s="34"/>
      <c r="AC23" s="39"/>
    </row>
    <row r="24" spans="1:29" x14ac:dyDescent="0.2">
      <c r="N24" s="4"/>
      <c r="O24" s="4"/>
      <c r="P24" s="33"/>
      <c r="Q24" s="44"/>
      <c r="R24" s="34"/>
      <c r="S24" s="44"/>
      <c r="T24" s="4"/>
      <c r="U24" s="34"/>
      <c r="V24" s="44"/>
      <c r="W24" s="33"/>
      <c r="X24" s="44"/>
      <c r="Y24" s="34"/>
      <c r="Z24" s="44"/>
      <c r="AA24" s="4"/>
      <c r="AB24" s="34"/>
      <c r="AC24" s="39"/>
    </row>
    <row r="25" spans="1:29" x14ac:dyDescent="0.2">
      <c r="N25" s="4"/>
      <c r="O25" s="4"/>
      <c r="P25" s="33"/>
      <c r="Q25" s="44"/>
      <c r="R25" s="34"/>
      <c r="S25" s="44"/>
      <c r="T25" s="4"/>
      <c r="U25" s="34"/>
      <c r="V25" s="44"/>
      <c r="W25" s="33"/>
      <c r="X25" s="44"/>
      <c r="Y25" s="34"/>
      <c r="Z25" s="44"/>
      <c r="AA25" s="4"/>
      <c r="AB25" s="34"/>
      <c r="AC25" s="39"/>
    </row>
    <row r="26" spans="1:29" x14ac:dyDescent="0.2">
      <c r="N26" s="4"/>
      <c r="O26" s="4"/>
      <c r="P26" s="33"/>
      <c r="Q26" s="44"/>
      <c r="R26" s="34"/>
      <c r="S26" s="44"/>
      <c r="T26" s="4"/>
      <c r="U26" s="34"/>
      <c r="V26" s="44"/>
      <c r="W26" s="33"/>
      <c r="X26" s="44"/>
      <c r="Y26" s="34"/>
      <c r="Z26" s="44"/>
      <c r="AA26" s="4"/>
      <c r="AB26" s="34"/>
      <c r="AC26" s="39"/>
    </row>
    <row r="27" spans="1:29" x14ac:dyDescent="0.2">
      <c r="N27" s="4"/>
      <c r="O27" s="4"/>
      <c r="P27" s="33"/>
      <c r="Q27" s="44"/>
      <c r="R27" s="34"/>
      <c r="S27" s="44"/>
      <c r="T27" s="4"/>
      <c r="U27" s="34"/>
      <c r="V27" s="44"/>
      <c r="W27" s="33"/>
      <c r="X27" s="44"/>
      <c r="Y27" s="34"/>
      <c r="Z27" s="44"/>
      <c r="AA27" s="4"/>
      <c r="AB27" s="34"/>
      <c r="AC27" s="39"/>
    </row>
    <row r="28" spans="1:29" x14ac:dyDescent="0.2">
      <c r="N28" s="4"/>
      <c r="O28" s="4"/>
      <c r="P28" s="33"/>
      <c r="Q28" s="44"/>
      <c r="R28" s="34"/>
      <c r="S28" s="44"/>
      <c r="T28" s="4"/>
      <c r="U28" s="34"/>
      <c r="V28" s="44"/>
      <c r="W28" s="33"/>
      <c r="X28" s="44"/>
      <c r="Y28" s="34"/>
      <c r="Z28" s="44"/>
      <c r="AA28" s="4"/>
      <c r="AB28" s="34"/>
      <c r="AC28" s="39"/>
    </row>
    <row r="29" spans="1:29" x14ac:dyDescent="0.2">
      <c r="N29" s="4"/>
      <c r="O29" s="4"/>
      <c r="P29" s="33"/>
      <c r="Q29" s="44"/>
      <c r="R29" s="34"/>
      <c r="S29" s="44"/>
      <c r="T29" s="4"/>
      <c r="U29" s="34"/>
      <c r="V29" s="44"/>
      <c r="W29" s="33"/>
      <c r="X29" s="44"/>
      <c r="Y29" s="34"/>
      <c r="Z29" s="44"/>
      <c r="AA29" s="4"/>
      <c r="AB29" s="34"/>
      <c r="AC29" s="39"/>
    </row>
    <row r="30" spans="1:29" x14ac:dyDescent="0.2">
      <c r="N30" s="4"/>
      <c r="O30" s="4"/>
      <c r="P30" s="33"/>
      <c r="Q30" s="44"/>
      <c r="R30" s="34"/>
      <c r="S30" s="44"/>
      <c r="T30" s="4"/>
      <c r="U30" s="34"/>
      <c r="V30" s="44"/>
      <c r="W30" s="33"/>
      <c r="X30" s="44"/>
      <c r="Y30" s="34"/>
      <c r="Z30" s="44"/>
      <c r="AA30" s="4"/>
      <c r="AB30" s="34"/>
      <c r="AC30" s="39"/>
    </row>
    <row r="31" spans="1:29" x14ac:dyDescent="0.2">
      <c r="N31" s="4"/>
      <c r="O31" s="4"/>
      <c r="P31" s="33"/>
      <c r="Q31" s="44"/>
      <c r="R31" s="34"/>
      <c r="S31" s="44"/>
      <c r="T31" s="4"/>
      <c r="U31" s="34"/>
      <c r="V31" s="44"/>
      <c r="W31" s="33"/>
      <c r="X31" s="44"/>
      <c r="Y31" s="34"/>
      <c r="Z31" s="44"/>
      <c r="AA31" s="4"/>
      <c r="AB31" s="34"/>
      <c r="AC31" s="39"/>
    </row>
    <row r="32" spans="1:29" x14ac:dyDescent="0.2">
      <c r="N32" s="4"/>
      <c r="O32" s="4"/>
      <c r="P32" s="33"/>
      <c r="Q32" s="44"/>
      <c r="R32" s="34"/>
      <c r="S32" s="44"/>
      <c r="T32" s="4"/>
      <c r="U32" s="34"/>
      <c r="V32" s="44"/>
      <c r="W32" s="33"/>
      <c r="X32" s="44"/>
      <c r="Y32" s="34"/>
      <c r="Z32" s="44"/>
      <c r="AA32" s="4"/>
      <c r="AB32" s="34"/>
      <c r="AC32" s="39"/>
    </row>
    <row r="33" spans="14:29" x14ac:dyDescent="0.2">
      <c r="N33" s="4"/>
      <c r="O33" s="4"/>
      <c r="P33" s="33"/>
      <c r="Q33" s="44"/>
      <c r="R33" s="34"/>
      <c r="S33" s="44"/>
      <c r="T33" s="4"/>
      <c r="U33" s="34"/>
      <c r="V33" s="44"/>
      <c r="W33" s="33"/>
      <c r="X33" s="44"/>
      <c r="Y33" s="34"/>
      <c r="Z33" s="44"/>
      <c r="AA33" s="4"/>
      <c r="AB33" s="34"/>
      <c r="AC33" s="39"/>
    </row>
    <row r="34" spans="14:29" x14ac:dyDescent="0.2">
      <c r="N34" s="4"/>
      <c r="O34" s="4"/>
      <c r="P34" s="33"/>
      <c r="Q34" s="44"/>
      <c r="R34" s="34"/>
      <c r="S34" s="44"/>
      <c r="T34" s="4"/>
      <c r="U34" s="34"/>
      <c r="V34" s="44"/>
      <c r="W34" s="33"/>
      <c r="X34" s="44"/>
      <c r="Y34" s="34"/>
      <c r="Z34" s="44"/>
      <c r="AA34" s="4"/>
      <c r="AB34" s="34"/>
      <c r="AC34" s="39"/>
    </row>
    <row r="35" spans="14:29" x14ac:dyDescent="0.2">
      <c r="N35" s="4"/>
      <c r="O35" s="4"/>
      <c r="P35" s="33"/>
      <c r="Q35" s="44"/>
      <c r="R35" s="34"/>
      <c r="S35" s="44"/>
      <c r="T35" s="4"/>
      <c r="U35" s="34"/>
      <c r="V35" s="44"/>
      <c r="W35" s="33"/>
      <c r="X35" s="44"/>
      <c r="Y35" s="34"/>
      <c r="Z35" s="44"/>
      <c r="AA35" s="4"/>
      <c r="AB35" s="34"/>
      <c r="AC35" s="39"/>
    </row>
    <row r="36" spans="14:29" x14ac:dyDescent="0.2">
      <c r="N36" s="4"/>
      <c r="O36" s="4"/>
      <c r="P36" s="33"/>
      <c r="Q36" s="44"/>
      <c r="R36" s="34"/>
      <c r="S36" s="44"/>
      <c r="T36" s="4"/>
      <c r="U36" s="34"/>
      <c r="V36" s="44"/>
      <c r="W36" s="33"/>
      <c r="X36" s="44"/>
      <c r="Y36" s="34"/>
      <c r="Z36" s="44"/>
      <c r="AA36" s="4"/>
      <c r="AB36" s="34"/>
      <c r="AC36" s="39"/>
    </row>
    <row r="37" spans="14:29" x14ac:dyDescent="0.2">
      <c r="N37" s="4"/>
      <c r="O37" s="4"/>
      <c r="P37" s="33"/>
      <c r="Q37" s="44"/>
      <c r="R37" s="34"/>
      <c r="S37" s="44"/>
      <c r="T37" s="4"/>
      <c r="U37" s="34"/>
      <c r="V37" s="44"/>
      <c r="W37" s="33"/>
      <c r="X37" s="44"/>
      <c r="Y37" s="34"/>
      <c r="Z37" s="44"/>
      <c r="AA37" s="4"/>
      <c r="AB37" s="34"/>
      <c r="AC37" s="39"/>
    </row>
    <row r="38" spans="14:29" x14ac:dyDescent="0.2">
      <c r="N38" s="4"/>
      <c r="O38" s="4"/>
      <c r="P38" s="33"/>
      <c r="Q38" s="44"/>
      <c r="R38" s="34"/>
      <c r="S38" s="44"/>
      <c r="T38" s="4"/>
      <c r="U38" s="34"/>
      <c r="V38" s="44"/>
      <c r="W38" s="33"/>
      <c r="X38" s="44"/>
      <c r="Y38" s="34"/>
      <c r="Z38" s="44"/>
      <c r="AA38" s="4"/>
      <c r="AB38" s="34"/>
      <c r="AC38" s="39"/>
    </row>
    <row r="39" spans="14:29" x14ac:dyDescent="0.2">
      <c r="N39" s="4"/>
      <c r="O39" s="4"/>
      <c r="P39" s="33"/>
      <c r="Q39" s="44"/>
      <c r="R39" s="34"/>
      <c r="S39" s="44"/>
      <c r="T39" s="4"/>
      <c r="U39" s="34"/>
      <c r="V39" s="44"/>
      <c r="W39" s="33"/>
      <c r="X39" s="44"/>
      <c r="Y39" s="34"/>
      <c r="Z39" s="44"/>
      <c r="AA39" s="4"/>
      <c r="AB39" s="34"/>
      <c r="AC39" s="39"/>
    </row>
    <row r="40" spans="14:29" x14ac:dyDescent="0.2">
      <c r="N40" s="4"/>
      <c r="O40" s="4"/>
      <c r="P40" s="33"/>
      <c r="Q40" s="44"/>
      <c r="R40" s="34"/>
      <c r="S40" s="44"/>
      <c r="T40" s="4"/>
      <c r="U40" s="34"/>
      <c r="V40" s="44"/>
      <c r="W40" s="33"/>
      <c r="X40" s="44"/>
      <c r="Y40" s="34"/>
      <c r="Z40" s="44"/>
      <c r="AA40" s="4"/>
      <c r="AB40" s="34"/>
      <c r="AC40" s="39"/>
    </row>
    <row r="41" spans="14:29" x14ac:dyDescent="0.2">
      <c r="N41" s="4"/>
      <c r="O41" s="4"/>
      <c r="P41" s="33"/>
      <c r="Q41" s="44"/>
      <c r="R41" s="34"/>
      <c r="S41" s="44"/>
      <c r="T41" s="4"/>
      <c r="U41" s="34"/>
      <c r="V41" s="44"/>
      <c r="W41" s="33"/>
      <c r="X41" s="44"/>
      <c r="Y41" s="34"/>
      <c r="Z41" s="44"/>
      <c r="AA41" s="4"/>
      <c r="AB41" s="34"/>
      <c r="AC41" s="39"/>
    </row>
    <row r="42" spans="14:29" x14ac:dyDescent="0.2">
      <c r="N42" s="4"/>
      <c r="O42" s="4"/>
      <c r="P42" s="33"/>
      <c r="Q42" s="44"/>
      <c r="R42" s="34"/>
      <c r="S42" s="44"/>
      <c r="T42" s="4"/>
      <c r="U42" s="34"/>
      <c r="V42" s="44"/>
      <c r="W42" s="33"/>
      <c r="X42" s="44"/>
      <c r="Y42" s="34"/>
      <c r="Z42" s="44"/>
      <c r="AA42" s="4"/>
      <c r="AB42" s="34"/>
      <c r="AC42" s="39"/>
    </row>
    <row r="43" spans="14:29" x14ac:dyDescent="0.2">
      <c r="N43" s="4"/>
      <c r="O43" s="4"/>
      <c r="P43" s="33"/>
      <c r="Q43" s="44"/>
      <c r="R43" s="34"/>
      <c r="S43" s="44"/>
      <c r="T43" s="4"/>
      <c r="U43" s="34"/>
      <c r="V43" s="44"/>
      <c r="W43" s="33"/>
      <c r="X43" s="44"/>
      <c r="Y43" s="34"/>
      <c r="Z43" s="44"/>
      <c r="AA43" s="4"/>
      <c r="AB43" s="34"/>
      <c r="AC43" s="39"/>
    </row>
    <row r="44" spans="14:29" x14ac:dyDescent="0.2">
      <c r="N44" s="4"/>
      <c r="O44" s="4"/>
      <c r="P44" s="33"/>
      <c r="Q44" s="44"/>
      <c r="R44" s="34"/>
      <c r="S44" s="44"/>
      <c r="T44" s="4"/>
      <c r="U44" s="34"/>
      <c r="V44" s="44"/>
      <c r="W44" s="33"/>
      <c r="X44" s="44"/>
      <c r="Y44" s="34"/>
      <c r="Z44" s="44"/>
      <c r="AA44" s="4"/>
      <c r="AB44" s="34"/>
      <c r="AC44" s="39"/>
    </row>
    <row r="45" spans="14:29" x14ac:dyDescent="0.2">
      <c r="N45" s="4"/>
      <c r="O45" s="4"/>
      <c r="P45" s="33"/>
      <c r="Q45" s="44"/>
      <c r="R45" s="34"/>
      <c r="S45" s="44"/>
      <c r="T45" s="4"/>
      <c r="U45" s="34"/>
      <c r="V45" s="44"/>
      <c r="W45" s="33"/>
      <c r="X45" s="44"/>
      <c r="Y45" s="34"/>
      <c r="Z45" s="44"/>
      <c r="AA45" s="4"/>
      <c r="AB45" s="34"/>
      <c r="AC45" s="39"/>
    </row>
    <row r="46" spans="14:29" x14ac:dyDescent="0.2">
      <c r="N46" s="4"/>
      <c r="O46" s="4"/>
      <c r="P46" s="33"/>
      <c r="Q46" s="44"/>
      <c r="R46" s="34"/>
      <c r="S46" s="44"/>
      <c r="T46" s="4"/>
      <c r="U46" s="34"/>
      <c r="V46" s="44"/>
      <c r="W46" s="33"/>
      <c r="X46" s="44"/>
      <c r="Y46" s="34"/>
      <c r="Z46" s="44"/>
      <c r="AA46" s="4"/>
      <c r="AB46" s="34"/>
      <c r="AC46" s="39"/>
    </row>
    <row r="47" spans="14:29" x14ac:dyDescent="0.2">
      <c r="N47" s="4"/>
      <c r="O47" s="4"/>
      <c r="P47" s="33"/>
      <c r="Q47" s="44"/>
      <c r="R47" s="34"/>
      <c r="S47" s="44"/>
      <c r="T47" s="4"/>
      <c r="U47" s="34"/>
      <c r="V47" s="44"/>
      <c r="W47" s="33"/>
      <c r="X47" s="44"/>
      <c r="Y47" s="34"/>
      <c r="Z47" s="44"/>
      <c r="AA47" s="4"/>
      <c r="AB47" s="34"/>
      <c r="AC47" s="39"/>
    </row>
    <row r="48" spans="14:29" x14ac:dyDescent="0.2">
      <c r="N48" s="4"/>
      <c r="O48" s="4"/>
      <c r="P48" s="33"/>
      <c r="Q48" s="44"/>
      <c r="R48" s="34"/>
      <c r="S48" s="44"/>
      <c r="T48" s="4"/>
      <c r="U48" s="34"/>
      <c r="V48" s="44"/>
      <c r="W48" s="33"/>
      <c r="X48" s="44"/>
      <c r="Y48" s="34"/>
      <c r="Z48" s="44"/>
      <c r="AA48" s="4"/>
      <c r="AB48" s="34"/>
      <c r="AC48" s="39"/>
    </row>
    <row r="49" spans="14:29" x14ac:dyDescent="0.2">
      <c r="N49" s="4"/>
      <c r="O49" s="4"/>
      <c r="P49" s="33"/>
      <c r="Q49" s="44"/>
      <c r="R49" s="34"/>
      <c r="S49" s="44"/>
      <c r="T49" s="4"/>
      <c r="U49" s="34"/>
      <c r="V49" s="44"/>
      <c r="W49" s="33"/>
      <c r="X49" s="44"/>
      <c r="Y49" s="34"/>
      <c r="Z49" s="44"/>
      <c r="AA49" s="4"/>
      <c r="AB49" s="34"/>
      <c r="AC49" s="39"/>
    </row>
    <row r="50" spans="14:29" x14ac:dyDescent="0.2">
      <c r="N50" s="4"/>
      <c r="O50" s="4"/>
      <c r="P50" s="33"/>
      <c r="Q50" s="44"/>
      <c r="R50" s="34"/>
      <c r="S50" s="44"/>
      <c r="T50" s="4"/>
      <c r="U50" s="34"/>
      <c r="V50" s="44"/>
      <c r="W50" s="33"/>
      <c r="X50" s="44"/>
      <c r="Y50" s="34"/>
      <c r="Z50" s="44"/>
      <c r="AA50" s="4"/>
      <c r="AB50" s="34"/>
      <c r="AC50" s="39"/>
    </row>
    <row r="51" spans="14:29" x14ac:dyDescent="0.2">
      <c r="N51" s="4"/>
      <c r="O51" s="4"/>
      <c r="P51" s="33"/>
      <c r="Q51" s="44"/>
      <c r="R51" s="34"/>
      <c r="S51" s="44"/>
      <c r="T51" s="4"/>
      <c r="U51" s="34"/>
      <c r="V51" s="44"/>
      <c r="W51" s="33"/>
      <c r="X51" s="44"/>
      <c r="Y51" s="34"/>
      <c r="Z51" s="44"/>
      <c r="AA51" s="4"/>
      <c r="AB51" s="34"/>
      <c r="AC51" s="39"/>
    </row>
    <row r="52" spans="14:29" x14ac:dyDescent="0.2">
      <c r="N52" s="4"/>
      <c r="O52" s="4"/>
      <c r="P52" s="33"/>
      <c r="Q52" s="44"/>
      <c r="R52" s="34"/>
      <c r="S52" s="44"/>
      <c r="T52" s="4"/>
      <c r="U52" s="34"/>
      <c r="V52" s="44"/>
      <c r="W52" s="33"/>
      <c r="X52" s="44"/>
      <c r="Y52" s="34"/>
      <c r="Z52" s="44"/>
      <c r="AA52" s="4"/>
      <c r="AB52" s="34"/>
      <c r="AC52" s="39"/>
    </row>
    <row r="53" spans="14:29" x14ac:dyDescent="0.2">
      <c r="N53" s="4"/>
      <c r="O53" s="4"/>
      <c r="P53" s="33"/>
      <c r="Q53" s="44"/>
      <c r="R53" s="34"/>
      <c r="S53" s="44"/>
      <c r="T53" s="4"/>
      <c r="U53" s="34"/>
      <c r="V53" s="44"/>
      <c r="W53" s="33"/>
      <c r="X53" s="44"/>
      <c r="Y53" s="34"/>
      <c r="Z53" s="44"/>
      <c r="AA53" s="4"/>
      <c r="AB53" s="34"/>
      <c r="AC53" s="39"/>
    </row>
    <row r="54" spans="14:29" x14ac:dyDescent="0.2">
      <c r="N54" s="4"/>
      <c r="O54" s="4"/>
      <c r="P54" s="33"/>
      <c r="Q54" s="44"/>
      <c r="R54" s="34"/>
      <c r="S54" s="44"/>
      <c r="T54" s="4"/>
      <c r="U54" s="34"/>
      <c r="V54" s="44"/>
      <c r="W54" s="33"/>
      <c r="X54" s="44"/>
      <c r="Y54" s="34"/>
      <c r="Z54" s="44"/>
      <c r="AA54" s="4"/>
      <c r="AB54" s="34"/>
      <c r="AC54" s="39"/>
    </row>
    <row r="55" spans="14:29" x14ac:dyDescent="0.2">
      <c r="N55" s="4"/>
      <c r="O55" s="4"/>
      <c r="P55" s="33"/>
      <c r="Q55" s="44"/>
      <c r="R55" s="34"/>
      <c r="S55" s="44"/>
      <c r="T55" s="4"/>
      <c r="U55" s="34"/>
      <c r="V55" s="44"/>
      <c r="W55" s="33"/>
      <c r="X55" s="44"/>
      <c r="Y55" s="34"/>
      <c r="Z55" s="44"/>
      <c r="AA55" s="4"/>
      <c r="AB55" s="34"/>
      <c r="AC55" s="39"/>
    </row>
    <row r="56" spans="14:29" x14ac:dyDescent="0.2">
      <c r="N56" s="4"/>
      <c r="O56" s="4"/>
      <c r="P56" s="33"/>
      <c r="Q56" s="44"/>
      <c r="R56" s="34"/>
      <c r="S56" s="44"/>
      <c r="T56" s="4"/>
      <c r="U56" s="34"/>
      <c r="V56" s="44"/>
      <c r="W56" s="33"/>
      <c r="X56" s="44"/>
      <c r="Y56" s="34"/>
      <c r="Z56" s="44"/>
      <c r="AA56" s="4"/>
      <c r="AB56" s="34"/>
      <c r="AC56" s="39"/>
    </row>
    <row r="57" spans="14:29" x14ac:dyDescent="0.2">
      <c r="N57" s="4"/>
      <c r="O57" s="4"/>
      <c r="P57" s="33"/>
      <c r="Q57" s="44"/>
      <c r="R57" s="34"/>
      <c r="S57" s="44"/>
      <c r="T57" s="4"/>
      <c r="U57" s="34"/>
      <c r="V57" s="44"/>
      <c r="W57" s="33"/>
      <c r="X57" s="44"/>
      <c r="Y57" s="34"/>
      <c r="Z57" s="44"/>
      <c r="AA57" s="4"/>
      <c r="AB57" s="34"/>
      <c r="AC57" s="39"/>
    </row>
    <row r="58" spans="14:29" x14ac:dyDescent="0.2">
      <c r="N58" s="4"/>
      <c r="O58" s="4"/>
      <c r="P58" s="33"/>
      <c r="Q58" s="44"/>
      <c r="R58" s="34"/>
      <c r="S58" s="44"/>
      <c r="T58" s="4"/>
      <c r="U58" s="34"/>
      <c r="V58" s="44"/>
      <c r="W58" s="33"/>
      <c r="X58" s="44"/>
      <c r="Y58" s="34"/>
      <c r="Z58" s="44"/>
      <c r="AA58" s="4"/>
      <c r="AB58" s="34"/>
      <c r="AC58" s="39"/>
    </row>
    <row r="59" spans="14:29" x14ac:dyDescent="0.2">
      <c r="N59" s="4"/>
      <c r="O59" s="4"/>
      <c r="P59" s="33"/>
      <c r="Q59" s="44"/>
      <c r="R59" s="34"/>
      <c r="S59" s="44"/>
      <c r="T59" s="4"/>
      <c r="U59" s="34"/>
      <c r="V59" s="44"/>
      <c r="W59" s="33"/>
      <c r="X59" s="44"/>
      <c r="Y59" s="34"/>
      <c r="Z59" s="44"/>
      <c r="AA59" s="4"/>
      <c r="AB59" s="34"/>
      <c r="AC59" s="39"/>
    </row>
    <row r="60" spans="14:29" x14ac:dyDescent="0.2">
      <c r="N60" s="4"/>
      <c r="O60" s="4"/>
      <c r="P60" s="33"/>
      <c r="Q60" s="44"/>
      <c r="R60" s="34"/>
      <c r="S60" s="44"/>
      <c r="T60" s="4"/>
      <c r="U60" s="34"/>
      <c r="V60" s="44"/>
      <c r="W60" s="33"/>
      <c r="X60" s="44"/>
      <c r="Y60" s="34"/>
      <c r="Z60" s="44"/>
      <c r="AA60" s="4"/>
      <c r="AB60" s="34"/>
      <c r="AC60" s="39"/>
    </row>
    <row r="61" spans="14:29" x14ac:dyDescent="0.2">
      <c r="N61" s="4"/>
      <c r="O61" s="4"/>
      <c r="P61" s="33"/>
      <c r="Q61" s="44"/>
      <c r="R61" s="34"/>
      <c r="S61" s="44"/>
      <c r="T61" s="4"/>
      <c r="U61" s="34"/>
      <c r="V61" s="44"/>
      <c r="W61" s="33"/>
      <c r="X61" s="44"/>
      <c r="Y61" s="34"/>
      <c r="Z61" s="44"/>
      <c r="AA61" s="4"/>
      <c r="AB61" s="34"/>
      <c r="AC61" s="39"/>
    </row>
    <row r="62" spans="14:29" x14ac:dyDescent="0.2">
      <c r="N62" s="4"/>
      <c r="O62" s="4"/>
      <c r="P62" s="33"/>
      <c r="Q62" s="44"/>
      <c r="R62" s="34"/>
      <c r="S62" s="44"/>
      <c r="T62" s="4"/>
      <c r="U62" s="34"/>
      <c r="V62" s="44"/>
      <c r="W62" s="33"/>
      <c r="X62" s="44"/>
      <c r="Y62" s="34"/>
      <c r="Z62" s="44"/>
      <c r="AA62" s="4"/>
      <c r="AB62" s="34"/>
      <c r="AC62" s="39"/>
    </row>
    <row r="63" spans="14:29" x14ac:dyDescent="0.2">
      <c r="N63" s="4"/>
      <c r="O63" s="4"/>
      <c r="P63" s="33"/>
      <c r="Q63" s="44"/>
      <c r="R63" s="34"/>
      <c r="S63" s="44"/>
      <c r="T63" s="4"/>
      <c r="U63" s="34"/>
      <c r="V63" s="44"/>
      <c r="W63" s="33"/>
      <c r="X63" s="44"/>
      <c r="Y63" s="34"/>
      <c r="Z63" s="44"/>
      <c r="AA63" s="4"/>
      <c r="AB63" s="34"/>
      <c r="AC63" s="39"/>
    </row>
  </sheetData>
  <sheetProtection sheet="1" formatCells="0" formatColumns="0" formatRows="0"/>
  <autoFilter ref="B1:AC2" xr:uid="{00000000-0009-0000-0000-000002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sortState xmlns:xlrd2="http://schemas.microsoft.com/office/spreadsheetml/2017/richdata2" ref="B4:AC19">
      <sortCondition ref="F1:F56"/>
    </sortState>
  </autoFilter>
  <mergeCells count="17">
    <mergeCell ref="N1:N2"/>
    <mergeCell ref="O1:O2"/>
    <mergeCell ref="P1:V1"/>
    <mergeCell ref="W1:AC1"/>
    <mergeCell ref="K1:K2"/>
    <mergeCell ref="H1:H2"/>
    <mergeCell ref="I1:I2"/>
    <mergeCell ref="J1:J2"/>
    <mergeCell ref="L1:L2"/>
    <mergeCell ref="M1:M2"/>
    <mergeCell ref="G1:G2"/>
    <mergeCell ref="F1:F2"/>
    <mergeCell ref="A1:A2"/>
    <mergeCell ref="B1:B2"/>
    <mergeCell ref="C1:C2"/>
    <mergeCell ref="D1:D2"/>
    <mergeCell ref="E1:E2"/>
  </mergeCells>
  <conditionalFormatting sqref="A1:XFD1048576">
    <cfRule type="expression" dxfId="43" priority="5">
      <formula>IF($F1="17-21",1,0)</formula>
    </cfRule>
    <cfRule type="expression" dxfId="42" priority="6">
      <formula>IF($F1="15-16",1,0)</formula>
    </cfRule>
    <cfRule type="expression" dxfId="41" priority="7">
      <formula>IF($F1="13-14",1,0)</formula>
    </cfRule>
    <cfRule type="expression" dxfId="40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D89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25" style="38" bestFit="1" customWidth="1"/>
    <col min="3" max="3" width="8.6640625" style="38" bestFit="1" customWidth="1"/>
    <col min="4" max="4" width="23.332031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2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10.83203125" style="37" bestFit="1" customWidth="1"/>
    <col min="17" max="17" width="13.6640625" style="38" bestFit="1" customWidth="1"/>
    <col min="18" max="18" width="8.33203125" style="38" bestFit="1" customWidth="1"/>
    <col min="19" max="19" width="11.1640625" style="38" bestFit="1" customWidth="1"/>
    <col min="20" max="20" width="7.5" bestFit="1" customWidth="1"/>
    <col min="21" max="21" width="6.6640625" style="38" bestFit="1" customWidth="1"/>
    <col min="22" max="22" width="11" style="38" bestFit="1" customWidth="1"/>
    <col min="23" max="23" width="10.83203125" style="37" bestFit="1" customWidth="1"/>
    <col min="24" max="24" width="13.6640625" style="38" bestFit="1" customWidth="1"/>
    <col min="25" max="25" width="8.33203125" style="38" bestFit="1" customWidth="1"/>
    <col min="26" max="26" width="11.1640625" style="38" bestFit="1" customWidth="1"/>
    <col min="27" max="27" width="7.5" bestFit="1" customWidth="1"/>
    <col min="28" max="28" width="7.6640625" style="38" bestFit="1" customWidth="1"/>
    <col min="29" max="29" width="9" style="41" bestFit="1" customWidth="1"/>
  </cols>
  <sheetData>
    <row r="1" spans="1:30" s="6" customFormat="1" x14ac:dyDescent="0.2">
      <c r="A1" s="65" t="s">
        <v>35</v>
      </c>
      <c r="B1" s="65" t="s">
        <v>0</v>
      </c>
      <c r="C1" s="65" t="s">
        <v>1</v>
      </c>
      <c r="D1" s="67" t="s">
        <v>2</v>
      </c>
      <c r="E1" s="69" t="s">
        <v>16</v>
      </c>
      <c r="F1" s="65" t="s">
        <v>17</v>
      </c>
      <c r="G1" s="65" t="s">
        <v>96</v>
      </c>
      <c r="H1" s="71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34</v>
      </c>
      <c r="P1" s="73" t="s">
        <v>121</v>
      </c>
      <c r="Q1" s="73"/>
      <c r="R1" s="73"/>
      <c r="S1" s="73"/>
      <c r="T1" s="73"/>
      <c r="U1" s="73"/>
      <c r="V1" s="73"/>
      <c r="W1" s="73" t="s">
        <v>120</v>
      </c>
      <c r="X1" s="73"/>
      <c r="Y1" s="73"/>
      <c r="Z1" s="73"/>
      <c r="AA1" s="73"/>
      <c r="AB1" s="73"/>
      <c r="AC1" s="73"/>
    </row>
    <row r="2" spans="1:30" s="7" customFormat="1" ht="17" thickBot="1" x14ac:dyDescent="0.25">
      <c r="A2" s="66"/>
      <c r="B2" s="66"/>
      <c r="C2" s="66"/>
      <c r="D2" s="68"/>
      <c r="E2" s="70"/>
      <c r="F2" s="66"/>
      <c r="G2" s="66"/>
      <c r="H2" s="72"/>
      <c r="I2" s="66"/>
      <c r="J2" s="66"/>
      <c r="K2" s="66"/>
      <c r="L2" s="66"/>
      <c r="M2" s="66"/>
      <c r="N2" s="66"/>
      <c r="O2" s="66"/>
      <c r="P2" s="8" t="s">
        <v>18</v>
      </c>
      <c r="Q2" s="7" t="s">
        <v>19</v>
      </c>
      <c r="R2" s="7" t="s">
        <v>20</v>
      </c>
      <c r="S2" s="7" t="s">
        <v>21</v>
      </c>
      <c r="T2" s="7" t="s">
        <v>36</v>
      </c>
      <c r="U2" s="7" t="s">
        <v>22</v>
      </c>
      <c r="V2" s="7" t="s">
        <v>24</v>
      </c>
      <c r="W2" s="8" t="s">
        <v>18</v>
      </c>
      <c r="X2" s="7" t="s">
        <v>19</v>
      </c>
      <c r="Y2" s="7" t="s">
        <v>20</v>
      </c>
      <c r="Z2" s="7" t="s">
        <v>21</v>
      </c>
      <c r="AA2" s="7" t="s">
        <v>36</v>
      </c>
      <c r="AB2" s="7" t="s">
        <v>22</v>
      </c>
      <c r="AC2" s="9" t="s">
        <v>24</v>
      </c>
    </row>
    <row r="3" spans="1:30" ht="17" thickTop="1" x14ac:dyDescent="0.2">
      <c r="A3" s="1">
        <f t="shared" ref="A3:A26" si="0">IF(M3&lt;&gt;"",SUMPRODUCT((M$3:M$27&lt;&gt;"")*(F$3:F$27=F3)*(M$3:M$27&lt;M3))+1,IF(L3&lt;&gt;"",SUMPRODUCT((M$3:M$27&lt;&gt;"")*(F$3:F$27=F3))+SUMPRODUCT((L$3:L$27&lt;&gt;"")*(F$3:F$27=F3)*(L$3:L$27&lt;L3))+1,IF(K3="P",SUMPRODUCT((L$3:L$27&lt;&gt;"")*(F$3:F$27=F3))+SUMPRODUCT((M$3:M$27&lt;&gt;"")*(F$3:F$27=F3))+1+SUMPRODUCT((K$3:K$27="P")*(F$3:F$27=F3)*(H$3:H$27&gt;H3)*(L$3:L$27="")*(M$3:M$27="")),"")))</f>
        <v>1</v>
      </c>
      <c r="B3" s="38" t="s">
        <v>32</v>
      </c>
      <c r="C3" s="38" t="s">
        <v>8</v>
      </c>
      <c r="D3" s="38" t="s">
        <v>125</v>
      </c>
      <c r="E3" s="37">
        <v>2000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 t="s">
        <v>158</v>
      </c>
      <c r="H3" s="4">
        <f t="shared" ref="H3:H26" si="1">SUM(N3:O3)</f>
        <v>152.76999999999998</v>
      </c>
      <c r="I3" s="3" t="str">
        <f>IF(MAX(T3-Q3,AA3-X3)&gt;=LOOKUP(F3,'Qualifying Scores'!$A$4:$A$7,'Qualifying Scores'!$C$4:$C$7),"P","")</f>
        <v>P</v>
      </c>
      <c r="J3" s="3" t="str">
        <f>IF(MAX(S3,Z3)&gt;=LOOKUP(F3,'Qualifying Scores'!$A$10:$A$13,'Qualifying Scores'!$C$10:$C$13),"P","")</f>
        <v>P</v>
      </c>
      <c r="K3" s="3" t="str">
        <f>IF(OR(AND(T3-Q3&gt;=LOOKUP(F3,'Qualifying Scores'!$A$4:$A$7,'Qualifying Scores'!$C$4:$C$7),S3&gt;=LOOKUP(F3,'Qualifying Scores'!$A$10:$A$13,'Qualifying Scores'!$C$10:$C$13)),AND(AA3-X3&gt;=LOOKUP(F3,'Qualifying Scores'!$A$4:$A$7,'Qualifying Scores'!$C$4:$C$7),Z3&gt;=LOOKUP(F3,'Qualifying Scores'!$A$10:$A$13,'Qualifying Scores'!$C$10:$C$13))),"P","")</f>
        <v>P</v>
      </c>
      <c r="M3" s="42">
        <v>6</v>
      </c>
      <c r="N3" s="4">
        <f t="shared" ref="N3:N26" si="2">MAX(T3,AA3)</f>
        <v>100.02</v>
      </c>
      <c r="O3" s="4">
        <f t="shared" ref="O3:O26" si="3">IF(N3=T3,MAX(U3,Y3,AB3),MAX(R3,U3,AB3))</f>
        <v>52.75</v>
      </c>
      <c r="P3" s="33">
        <v>46.37</v>
      </c>
      <c r="Q3" s="34">
        <v>3.4</v>
      </c>
      <c r="R3" s="34">
        <v>52.75</v>
      </c>
      <c r="S3" s="34">
        <v>11.5</v>
      </c>
      <c r="T3" s="4">
        <f t="shared" ref="T3:T26" si="4">SUM(P3,R3)</f>
        <v>99.12</v>
      </c>
      <c r="U3" s="34">
        <v>51.984999999999999</v>
      </c>
      <c r="V3" s="34">
        <v>12.2</v>
      </c>
      <c r="W3" s="33">
        <v>47.484999999999999</v>
      </c>
      <c r="X3" s="34">
        <v>3.4</v>
      </c>
      <c r="Y3" s="34">
        <v>52.534999999999997</v>
      </c>
      <c r="Z3" s="34">
        <v>12.2</v>
      </c>
      <c r="AA3" s="4">
        <f t="shared" ref="AA3:AA26" si="5">SUM(W3,Y3)</f>
        <v>100.02</v>
      </c>
      <c r="AB3" s="34">
        <v>44.85</v>
      </c>
      <c r="AC3" s="39">
        <v>11</v>
      </c>
      <c r="AD3" s="5"/>
    </row>
    <row r="4" spans="1:30" x14ac:dyDescent="0.2">
      <c r="A4" s="1">
        <f t="shared" si="0"/>
        <v>2</v>
      </c>
      <c r="B4" s="38" t="s">
        <v>30</v>
      </c>
      <c r="C4" s="38" t="s">
        <v>4</v>
      </c>
      <c r="D4" s="38" t="s">
        <v>7</v>
      </c>
      <c r="E4" s="37">
        <v>2002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 t="s">
        <v>158</v>
      </c>
      <c r="H4" s="4">
        <f t="shared" si="1"/>
        <v>145.58499999999998</v>
      </c>
      <c r="I4" s="3" t="str">
        <f>IF(MAX(T4-Q4,AA4-X4)&gt;=LOOKUP(F4,'Qualifying Scores'!$A$4:$A$7,'Qualifying Scores'!$C$4:$C$7),"P","")</f>
        <v>P</v>
      </c>
      <c r="J4" s="3" t="str">
        <f>IF(MAX(S4,Z4)&gt;=LOOKUP(F4,'Qualifying Scores'!$A$10:$A$13,'Qualifying Scores'!$C$10:$C$13),"P","")</f>
        <v>P</v>
      </c>
      <c r="K4" s="3" t="str">
        <f>IF(OR(AND(T4-Q4&gt;=LOOKUP(F4,'Qualifying Scores'!$A$4:$A$7,'Qualifying Scores'!$C$4:$C$7),S4&gt;=LOOKUP(F4,'Qualifying Scores'!$A$10:$A$13,'Qualifying Scores'!$C$10:$C$13)),AND(AA4-X4&gt;=LOOKUP(F4,'Qualifying Scores'!$A$4:$A$7,'Qualifying Scores'!$C$4:$C$7),Z4&gt;=LOOKUP(F4,'Qualifying Scores'!$A$10:$A$13,'Qualifying Scores'!$C$10:$C$13))),"P","")</f>
        <v>P</v>
      </c>
      <c r="M4" s="42">
        <v>7</v>
      </c>
      <c r="N4" s="4">
        <f t="shared" si="2"/>
        <v>97.289999999999992</v>
      </c>
      <c r="O4" s="4">
        <f t="shared" si="3"/>
        <v>48.295000000000002</v>
      </c>
      <c r="P4" s="33">
        <v>46.494999999999997</v>
      </c>
      <c r="Q4" s="34">
        <v>3.9</v>
      </c>
      <c r="R4" s="34">
        <v>50.795000000000002</v>
      </c>
      <c r="S4" s="34">
        <v>12.7</v>
      </c>
      <c r="T4" s="4">
        <f t="shared" si="4"/>
        <v>97.289999999999992</v>
      </c>
      <c r="U4" s="34">
        <v>48.295000000000002</v>
      </c>
      <c r="V4" s="34">
        <v>11.4</v>
      </c>
      <c r="W4" s="33">
        <v>45.67</v>
      </c>
      <c r="X4" s="34">
        <v>3.7</v>
      </c>
      <c r="Y4" s="34">
        <v>43.454999999999998</v>
      </c>
      <c r="Z4" s="34">
        <v>11.2</v>
      </c>
      <c r="AA4" s="4">
        <f t="shared" si="5"/>
        <v>89.125</v>
      </c>
      <c r="AB4" s="34">
        <v>44.51</v>
      </c>
      <c r="AC4" s="39">
        <v>11.5</v>
      </c>
      <c r="AD4" s="5"/>
    </row>
    <row r="5" spans="1:30" x14ac:dyDescent="0.2">
      <c r="A5" s="1">
        <f t="shared" si="0"/>
        <v>3</v>
      </c>
      <c r="B5" s="38" t="s">
        <v>33</v>
      </c>
      <c r="C5" s="38" t="s">
        <v>4</v>
      </c>
      <c r="D5" s="38" t="s">
        <v>7</v>
      </c>
      <c r="E5" s="37">
        <v>2001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 t="s">
        <v>158</v>
      </c>
      <c r="H5" s="4">
        <f t="shared" si="1"/>
        <v>145.76999999999998</v>
      </c>
      <c r="I5" s="3" t="str">
        <f>IF(MAX(T5-Q5,AA5-X5)&gt;=LOOKUP(F5,'Qualifying Scores'!$A$4:$A$7,'Qualifying Scores'!$C$4:$C$7),"P","")</f>
        <v>P</v>
      </c>
      <c r="J5" s="3" t="str">
        <f>IF(MAX(S5,Z5)&gt;=LOOKUP(F5,'Qualifying Scores'!$A$10:$A$13,'Qualifying Scores'!$C$10:$C$13),"P","")</f>
        <v>P</v>
      </c>
      <c r="K5" s="3" t="str">
        <f>IF(OR(AND(T5-Q5&gt;=LOOKUP(F5,'Qualifying Scores'!$A$4:$A$7,'Qualifying Scores'!$C$4:$C$7),S5&gt;=LOOKUP(F5,'Qualifying Scores'!$A$10:$A$13,'Qualifying Scores'!$C$10:$C$13)),AND(AA5-X5&gt;=LOOKUP(F5,'Qualifying Scores'!$A$4:$A$7,'Qualifying Scores'!$C$4:$C$7),Z5&gt;=LOOKUP(F5,'Qualifying Scores'!$A$10:$A$13,'Qualifying Scores'!$C$10:$C$13))),"P","")</f>
        <v>P</v>
      </c>
      <c r="N5" s="4">
        <f t="shared" si="2"/>
        <v>94.21</v>
      </c>
      <c r="O5" s="4">
        <f t="shared" si="3"/>
        <v>51.56</v>
      </c>
      <c r="P5" s="33">
        <v>43.48</v>
      </c>
      <c r="Q5" s="34">
        <v>3.7</v>
      </c>
      <c r="R5" s="34">
        <v>50.73</v>
      </c>
      <c r="S5" s="34">
        <v>13.3</v>
      </c>
      <c r="T5" s="4">
        <f t="shared" si="4"/>
        <v>94.21</v>
      </c>
      <c r="U5" s="34">
        <v>51.56</v>
      </c>
      <c r="V5" s="34">
        <v>13.3</v>
      </c>
      <c r="W5" s="33">
        <v>43.81</v>
      </c>
      <c r="X5" s="34">
        <v>3.5</v>
      </c>
      <c r="Y5" s="34">
        <v>46.41</v>
      </c>
      <c r="Z5" s="34">
        <v>11.9</v>
      </c>
      <c r="AA5" s="4">
        <f t="shared" si="5"/>
        <v>90.22</v>
      </c>
      <c r="AB5" s="34">
        <v>44.19</v>
      </c>
      <c r="AC5" s="39">
        <v>11.7</v>
      </c>
      <c r="AD5" s="5"/>
    </row>
    <row r="6" spans="1:30" x14ac:dyDescent="0.2">
      <c r="A6" s="1" t="str">
        <f t="shared" si="0"/>
        <v/>
      </c>
      <c r="B6" s="38" t="s">
        <v>74</v>
      </c>
      <c r="C6" s="38" t="s">
        <v>4</v>
      </c>
      <c r="D6" s="38" t="s">
        <v>7</v>
      </c>
      <c r="E6" s="37">
        <v>2003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 t="s">
        <v>158</v>
      </c>
      <c r="H6" s="4">
        <f t="shared" si="1"/>
        <v>140.52500000000001</v>
      </c>
      <c r="I6" s="3" t="str">
        <f>IF(MAX(T6-Q6,AA6-X6)&gt;=LOOKUP(F6,'Qualifying Scores'!$A$4:$A$7,'Qualifying Scores'!$C$4:$C$7),"P","")</f>
        <v/>
      </c>
      <c r="J6" s="3" t="str">
        <f>IF(MAX(S6,Z6)&gt;=LOOKUP(F6,'Qualifying Scores'!$A$10:$A$13,'Qualifying Scores'!$C$10:$C$13),"P","")</f>
        <v>P</v>
      </c>
      <c r="K6" s="3" t="str">
        <f>IF(OR(AND(T6-Q6&gt;=LOOKUP(F6,'Qualifying Scores'!$A$4:$A$7,'Qualifying Scores'!$C$4:$C$7),S6&gt;=LOOKUP(F6,'Qualifying Scores'!$A$10:$A$13,'Qualifying Scores'!$C$10:$C$13)),AND(AA6-X6&gt;=LOOKUP(F6,'Qualifying Scores'!$A$4:$A$7,'Qualifying Scores'!$C$4:$C$7),Z6&gt;=LOOKUP(F6,'Qualifying Scores'!$A$10:$A$13,'Qualifying Scores'!$C$10:$C$13))),"P","")</f>
        <v/>
      </c>
      <c r="N6" s="4">
        <f t="shared" si="2"/>
        <v>90.56</v>
      </c>
      <c r="O6" s="4">
        <f t="shared" si="3"/>
        <v>49.965000000000003</v>
      </c>
      <c r="P6" s="33">
        <v>41.795000000000002</v>
      </c>
      <c r="Q6" s="34">
        <v>2.1</v>
      </c>
      <c r="R6" s="34">
        <v>48.765000000000001</v>
      </c>
      <c r="S6" s="34">
        <v>10.6</v>
      </c>
      <c r="T6" s="4">
        <f t="shared" si="4"/>
        <v>90.56</v>
      </c>
      <c r="U6" s="34">
        <v>49.965000000000003</v>
      </c>
      <c r="V6" s="34">
        <v>10.6</v>
      </c>
      <c r="W6" s="33">
        <v>42.29</v>
      </c>
      <c r="X6" s="34">
        <v>2.1</v>
      </c>
      <c r="Y6" s="34">
        <v>9.93</v>
      </c>
      <c r="Z6" s="34">
        <v>2.5</v>
      </c>
      <c r="AA6" s="4">
        <f t="shared" si="5"/>
        <v>52.22</v>
      </c>
      <c r="AB6" s="34"/>
      <c r="AC6" s="39"/>
      <c r="AD6" s="5"/>
    </row>
    <row r="7" spans="1:30" x14ac:dyDescent="0.2">
      <c r="A7" s="1" t="str">
        <f t="shared" si="0"/>
        <v/>
      </c>
      <c r="B7" s="38" t="s">
        <v>14</v>
      </c>
      <c r="C7" s="38" t="s">
        <v>15</v>
      </c>
      <c r="D7" s="38" t="s">
        <v>131</v>
      </c>
      <c r="E7" s="37">
        <v>2000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 t="s">
        <v>158</v>
      </c>
      <c r="H7" s="4">
        <f t="shared" si="1"/>
        <v>138.36000000000001</v>
      </c>
      <c r="I7" s="3" t="str">
        <f>IF(MAX(T7-Q7,AA7-X7)&gt;=LOOKUP(F7,'Qualifying Scores'!$A$4:$A$7,'Qualifying Scores'!$C$4:$C$7),"P","")</f>
        <v/>
      </c>
      <c r="J7" s="3" t="str">
        <f>IF(MAX(S7,Z7)&gt;=LOOKUP(F7,'Qualifying Scores'!$A$10:$A$13,'Qualifying Scores'!$C$10:$C$13),"P","")</f>
        <v>P</v>
      </c>
      <c r="K7" s="3" t="str">
        <f>IF(OR(AND(T7-Q7&gt;=LOOKUP(F7,'Qualifying Scores'!$A$4:$A$7,'Qualifying Scores'!$C$4:$C$7),S7&gt;=LOOKUP(F7,'Qualifying Scores'!$A$10:$A$13,'Qualifying Scores'!$C$10:$C$13)),AND(AA7-X7&gt;=LOOKUP(F7,'Qualifying Scores'!$A$4:$A$7,'Qualifying Scores'!$C$4:$C$7),Z7&gt;=LOOKUP(F7,'Qualifying Scores'!$A$10:$A$13,'Qualifying Scores'!$C$10:$C$13))),"P","")</f>
        <v/>
      </c>
      <c r="N7" s="4">
        <f t="shared" si="2"/>
        <v>90.62</v>
      </c>
      <c r="O7" s="4">
        <f t="shared" si="3"/>
        <v>47.74</v>
      </c>
      <c r="P7" s="33">
        <v>41.57</v>
      </c>
      <c r="Q7" s="34">
        <v>2.1</v>
      </c>
      <c r="R7" s="34">
        <v>49.05</v>
      </c>
      <c r="S7" s="34">
        <v>9.9</v>
      </c>
      <c r="T7" s="4">
        <f t="shared" si="4"/>
        <v>90.62</v>
      </c>
      <c r="U7" s="34">
        <v>47.74</v>
      </c>
      <c r="V7" s="34">
        <v>9.1999999999999993</v>
      </c>
      <c r="W7" s="33">
        <v>41.755000000000003</v>
      </c>
      <c r="X7" s="34">
        <v>2.1</v>
      </c>
      <c r="Y7" s="34">
        <v>47.52</v>
      </c>
      <c r="Z7" s="34">
        <v>9.9</v>
      </c>
      <c r="AA7" s="4">
        <f t="shared" si="5"/>
        <v>89.275000000000006</v>
      </c>
      <c r="AB7" s="34">
        <v>19.71</v>
      </c>
      <c r="AC7" s="39">
        <v>4.4000000000000004</v>
      </c>
      <c r="AD7" s="5"/>
    </row>
    <row r="8" spans="1:30" x14ac:dyDescent="0.2">
      <c r="A8" s="1" t="str">
        <f t="shared" si="0"/>
        <v/>
      </c>
      <c r="B8" s="38" t="s">
        <v>137</v>
      </c>
      <c r="C8" s="38" t="s">
        <v>3</v>
      </c>
      <c r="D8" s="38" t="s">
        <v>71</v>
      </c>
      <c r="E8" s="37">
        <v>2001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17-21</v>
      </c>
      <c r="G8" s="56"/>
      <c r="H8" s="4">
        <f t="shared" si="1"/>
        <v>138.07499999999999</v>
      </c>
      <c r="I8" s="3" t="str">
        <f>IF(MAX(T8-Q8,AA8-X8)&gt;=LOOKUP(F8,'Qualifying Scores'!$A$4:$A$7,'Qualifying Scores'!$C$4:$C$7),"P","")</f>
        <v/>
      </c>
      <c r="J8" s="3" t="str">
        <f>IF(MAX(S8,Z8)&gt;=LOOKUP(F8,'Qualifying Scores'!$A$10:$A$13,'Qualifying Scores'!$C$10:$C$13),"P","")</f>
        <v/>
      </c>
      <c r="K8" s="3" t="str">
        <f>IF(OR(AND(T8-Q8&gt;=LOOKUP(F8,'Qualifying Scores'!$A$4:$A$7,'Qualifying Scores'!$C$4:$C$7),S8&gt;=LOOKUP(F8,'Qualifying Scores'!$A$10:$A$13,'Qualifying Scores'!$C$10:$C$13)),AND(AA8-X8&gt;=LOOKUP(F8,'Qualifying Scores'!$A$4:$A$7,'Qualifying Scores'!$C$4:$C$7),Z8&gt;=LOOKUP(F8,'Qualifying Scores'!$A$10:$A$13,'Qualifying Scores'!$C$10:$C$13))),"P","")</f>
        <v/>
      </c>
      <c r="N8" s="4">
        <f t="shared" si="2"/>
        <v>88.435000000000002</v>
      </c>
      <c r="O8" s="4">
        <f t="shared" si="3"/>
        <v>49.64</v>
      </c>
      <c r="P8" s="33"/>
      <c r="Q8" s="34"/>
      <c r="R8" s="34"/>
      <c r="S8" s="34"/>
      <c r="T8" s="4">
        <f t="shared" si="4"/>
        <v>0</v>
      </c>
      <c r="U8" s="34"/>
      <c r="V8" s="34"/>
      <c r="W8" s="33">
        <v>41.13</v>
      </c>
      <c r="X8" s="34">
        <v>2.5</v>
      </c>
      <c r="Y8" s="34">
        <v>47.305</v>
      </c>
      <c r="Z8" s="34">
        <v>8.5</v>
      </c>
      <c r="AA8" s="4">
        <f t="shared" si="5"/>
        <v>88.435000000000002</v>
      </c>
      <c r="AB8" s="34">
        <v>49.64</v>
      </c>
      <c r="AC8" s="39">
        <v>10.4</v>
      </c>
      <c r="AD8" s="5"/>
    </row>
    <row r="9" spans="1:30" x14ac:dyDescent="0.2">
      <c r="A9" s="1" t="str">
        <f t="shared" si="0"/>
        <v/>
      </c>
      <c r="B9" s="38" t="s">
        <v>109</v>
      </c>
      <c r="C9" s="38" t="s">
        <v>8</v>
      </c>
      <c r="D9" s="38" t="s">
        <v>10</v>
      </c>
      <c r="E9" s="37">
        <v>2001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/>
      <c r="H9" s="4">
        <f t="shared" si="1"/>
        <v>136.07</v>
      </c>
      <c r="I9" s="3" t="str">
        <f>IF(MAX(T9-Q9,AA9-X9)&gt;=LOOKUP(F9,'Qualifying Scores'!$A$4:$A$7,'Qualifying Scores'!$C$4:$C$7),"P","")</f>
        <v>P</v>
      </c>
      <c r="J9" s="3" t="str">
        <f>IF(MAX(S9,Z9)&gt;=LOOKUP(F9,'Qualifying Scores'!$A$10:$A$13,'Qualifying Scores'!$C$10:$C$13),"P","")</f>
        <v/>
      </c>
      <c r="K9" s="3" t="str">
        <f>IF(OR(AND(T9-Q9&gt;=LOOKUP(F9,'Qualifying Scores'!$A$4:$A$7,'Qualifying Scores'!$C$4:$C$7),S9&gt;=LOOKUP(F9,'Qualifying Scores'!$A$10:$A$13,'Qualifying Scores'!$C$10:$C$13)),AND(AA9-X9&gt;=LOOKUP(F9,'Qualifying Scores'!$A$4:$A$7,'Qualifying Scores'!$C$4:$C$7),Z9&gt;=LOOKUP(F9,'Qualifying Scores'!$A$10:$A$13,'Qualifying Scores'!$C$10:$C$13))),"P","")</f>
        <v/>
      </c>
      <c r="N9" s="4">
        <f t="shared" si="2"/>
        <v>89.164999999999992</v>
      </c>
      <c r="O9" s="4">
        <f t="shared" si="3"/>
        <v>46.905000000000001</v>
      </c>
      <c r="P9" s="33">
        <v>39.954999999999998</v>
      </c>
      <c r="Q9" s="34">
        <v>0</v>
      </c>
      <c r="R9" s="34">
        <v>43.79</v>
      </c>
      <c r="S9" s="34">
        <v>7.6</v>
      </c>
      <c r="T9" s="4">
        <f t="shared" si="4"/>
        <v>83.745000000000005</v>
      </c>
      <c r="U9" s="34">
        <v>14.215</v>
      </c>
      <c r="V9" s="34">
        <v>2.8</v>
      </c>
      <c r="W9" s="33">
        <v>41.274999999999999</v>
      </c>
      <c r="X9" s="34">
        <v>0</v>
      </c>
      <c r="Y9" s="34">
        <v>47.89</v>
      </c>
      <c r="Z9" s="34">
        <v>7.6</v>
      </c>
      <c r="AA9" s="4">
        <f t="shared" si="5"/>
        <v>89.164999999999992</v>
      </c>
      <c r="AB9" s="34">
        <v>46.905000000000001</v>
      </c>
      <c r="AC9" s="39">
        <v>7.6</v>
      </c>
    </row>
    <row r="10" spans="1:30" x14ac:dyDescent="0.2">
      <c r="A10" s="1" t="str">
        <f t="shared" si="0"/>
        <v/>
      </c>
      <c r="B10" s="38" t="s">
        <v>73</v>
      </c>
      <c r="C10" s="38" t="s">
        <v>3</v>
      </c>
      <c r="D10" s="38" t="s">
        <v>71</v>
      </c>
      <c r="E10" s="37">
        <v>2002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G10" s="56" t="s">
        <v>158</v>
      </c>
      <c r="H10" s="4">
        <f t="shared" si="1"/>
        <v>135.005</v>
      </c>
      <c r="I10" s="3" t="str">
        <f>IF(MAX(T10-Q10,AA10-X10)&gt;=LOOKUP(F10,'Qualifying Scores'!$A$4:$A$7,'Qualifying Scores'!$C$4:$C$7),"P","")</f>
        <v/>
      </c>
      <c r="J10" s="3" t="str">
        <f>IF(MAX(S10,Z10)&gt;=LOOKUP(F10,'Qualifying Scores'!$A$10:$A$13,'Qualifying Scores'!$C$10:$C$13),"P","")</f>
        <v/>
      </c>
      <c r="K10" s="3" t="str">
        <f>IF(OR(AND(T10-Q10&gt;=LOOKUP(F10,'Qualifying Scores'!$A$4:$A$7,'Qualifying Scores'!$C$4:$C$7),S10&gt;=LOOKUP(F10,'Qualifying Scores'!$A$10:$A$13,'Qualifying Scores'!$C$10:$C$13)),AND(AA10-X10&gt;=LOOKUP(F10,'Qualifying Scores'!$A$4:$A$7,'Qualifying Scores'!$C$4:$C$7),Z10&gt;=LOOKUP(F10,'Qualifying Scores'!$A$10:$A$13,'Qualifying Scores'!$C$10:$C$13))),"P","")</f>
        <v/>
      </c>
      <c r="N10" s="4">
        <f t="shared" si="2"/>
        <v>88.94</v>
      </c>
      <c r="O10" s="4">
        <f t="shared" si="3"/>
        <v>46.064999999999998</v>
      </c>
      <c r="P10" s="33">
        <v>43.994999999999997</v>
      </c>
      <c r="Q10" s="34">
        <v>4</v>
      </c>
      <c r="R10" s="34">
        <v>44.945</v>
      </c>
      <c r="S10" s="34">
        <v>8.6</v>
      </c>
      <c r="T10" s="4">
        <f t="shared" si="4"/>
        <v>88.94</v>
      </c>
      <c r="U10" s="34">
        <v>45.075000000000003</v>
      </c>
      <c r="V10" s="34">
        <v>9.1999999999999993</v>
      </c>
      <c r="W10" s="33">
        <v>44.164999999999999</v>
      </c>
      <c r="X10" s="34">
        <v>4</v>
      </c>
      <c r="Y10" s="34">
        <v>36.715000000000003</v>
      </c>
      <c r="Z10" s="34">
        <v>7</v>
      </c>
      <c r="AA10" s="4">
        <f t="shared" si="5"/>
        <v>80.88</v>
      </c>
      <c r="AB10" s="34">
        <v>46.064999999999998</v>
      </c>
      <c r="AC10" s="39">
        <v>10.5</v>
      </c>
    </row>
    <row r="11" spans="1:30" x14ac:dyDescent="0.2">
      <c r="A11" s="1" t="str">
        <f t="shared" si="0"/>
        <v/>
      </c>
      <c r="B11" s="38" t="s">
        <v>11</v>
      </c>
      <c r="C11" s="38" t="s">
        <v>5</v>
      </c>
      <c r="D11" s="38" t="s">
        <v>6</v>
      </c>
      <c r="E11" s="37">
        <v>2003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 t="s">
        <v>158</v>
      </c>
      <c r="H11" s="4">
        <f t="shared" si="1"/>
        <v>134.91499999999999</v>
      </c>
      <c r="I11" s="3" t="str">
        <f>IF(MAX(T11-Q11,AA11-X11)&gt;=LOOKUP(F11,'Qualifying Scores'!$A$4:$A$7,'Qualifying Scores'!$C$4:$C$7),"P","")</f>
        <v/>
      </c>
      <c r="J11" s="3" t="str">
        <f>IF(MAX(S11,Z11)&gt;=LOOKUP(F11,'Qualifying Scores'!$A$10:$A$13,'Qualifying Scores'!$C$10:$C$13),"P","")</f>
        <v>P</v>
      </c>
      <c r="K11" s="3" t="str">
        <f>IF(OR(AND(T11-Q11&gt;=LOOKUP(F11,'Qualifying Scores'!$A$4:$A$7,'Qualifying Scores'!$C$4:$C$7),S11&gt;=LOOKUP(F11,'Qualifying Scores'!$A$10:$A$13,'Qualifying Scores'!$C$10:$C$13)),AND(AA11-X11&gt;=LOOKUP(F11,'Qualifying Scores'!$A$4:$A$7,'Qualifying Scores'!$C$4:$C$7),Z11&gt;=LOOKUP(F11,'Qualifying Scores'!$A$10:$A$13,'Qualifying Scores'!$C$10:$C$13))),"P","")</f>
        <v/>
      </c>
      <c r="N11" s="4">
        <f t="shared" si="2"/>
        <v>87.91</v>
      </c>
      <c r="O11" s="4">
        <f t="shared" si="3"/>
        <v>47.005000000000003</v>
      </c>
      <c r="P11" s="33"/>
      <c r="Q11" s="34"/>
      <c r="R11" s="34"/>
      <c r="S11" s="34"/>
      <c r="T11" s="4">
        <f t="shared" si="4"/>
        <v>0</v>
      </c>
      <c r="U11" s="34"/>
      <c r="V11" s="34"/>
      <c r="W11" s="33">
        <v>40.655000000000001</v>
      </c>
      <c r="X11" s="34">
        <v>2.7</v>
      </c>
      <c r="Y11" s="34">
        <v>47.255000000000003</v>
      </c>
      <c r="Z11" s="34">
        <v>9.8000000000000007</v>
      </c>
      <c r="AA11" s="4">
        <f t="shared" si="5"/>
        <v>87.91</v>
      </c>
      <c r="AB11" s="34">
        <v>47.005000000000003</v>
      </c>
      <c r="AC11" s="39">
        <v>10</v>
      </c>
    </row>
    <row r="12" spans="1:30" x14ac:dyDescent="0.2">
      <c r="A12" s="1" t="str">
        <f t="shared" si="0"/>
        <v/>
      </c>
      <c r="B12" s="38" t="s">
        <v>90</v>
      </c>
      <c r="C12" s="38" t="s">
        <v>15</v>
      </c>
      <c r="D12" s="38" t="s">
        <v>124</v>
      </c>
      <c r="E12" s="37">
        <v>2002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 t="s">
        <v>158</v>
      </c>
      <c r="H12" s="4">
        <f t="shared" si="1"/>
        <v>133.53</v>
      </c>
      <c r="I12" s="3" t="str">
        <f>IF(MAX(T12-Q12,AA12-X12)&gt;=LOOKUP(F12,'Qualifying Scores'!$A$4:$A$7,'Qualifying Scores'!$C$4:$C$7),"P","")</f>
        <v/>
      </c>
      <c r="J12" s="3" t="str">
        <f>IF(MAX(S12,Z12)&gt;=LOOKUP(F12,'Qualifying Scores'!$A$10:$A$13,'Qualifying Scores'!$C$10:$C$13),"P","")</f>
        <v>P</v>
      </c>
      <c r="K12" s="3" t="str">
        <f>IF(OR(AND(T12-Q12&gt;=LOOKUP(F12,'Qualifying Scores'!$A$4:$A$7,'Qualifying Scores'!$C$4:$C$7),S12&gt;=LOOKUP(F12,'Qualifying Scores'!$A$10:$A$13,'Qualifying Scores'!$C$10:$C$13)),AND(AA12-X12&gt;=LOOKUP(F12,'Qualifying Scores'!$A$4:$A$7,'Qualifying Scores'!$C$4:$C$7),Z12&gt;=LOOKUP(F12,'Qualifying Scores'!$A$10:$A$13,'Qualifying Scores'!$C$10:$C$13))),"P","")</f>
        <v/>
      </c>
      <c r="N12" s="4">
        <f t="shared" si="2"/>
        <v>87.12</v>
      </c>
      <c r="O12" s="4">
        <f t="shared" si="3"/>
        <v>46.41</v>
      </c>
      <c r="P12" s="33">
        <v>40.78</v>
      </c>
      <c r="Q12" s="34">
        <v>2.2000000000000002</v>
      </c>
      <c r="R12" s="34">
        <v>46.34</v>
      </c>
      <c r="S12" s="34">
        <v>9.6999999999999993</v>
      </c>
      <c r="T12" s="4">
        <f t="shared" si="4"/>
        <v>87.12</v>
      </c>
      <c r="U12" s="34">
        <v>46.41</v>
      </c>
      <c r="V12" s="34">
        <v>9.6999999999999993</v>
      </c>
      <c r="W12" s="33">
        <v>40.44</v>
      </c>
      <c r="X12" s="34">
        <v>2.2000000000000002</v>
      </c>
      <c r="Y12" s="34">
        <v>9.3000000000000007</v>
      </c>
      <c r="Z12" s="34">
        <v>2.2999999999999998</v>
      </c>
      <c r="AA12" s="4">
        <f t="shared" si="5"/>
        <v>49.739999999999995</v>
      </c>
      <c r="AB12" s="34"/>
      <c r="AC12" s="39"/>
    </row>
    <row r="13" spans="1:30" x14ac:dyDescent="0.2">
      <c r="A13" s="1" t="str">
        <f t="shared" si="0"/>
        <v/>
      </c>
      <c r="B13" s="38" t="s">
        <v>110</v>
      </c>
      <c r="C13" s="38" t="s">
        <v>4</v>
      </c>
      <c r="D13" s="38" t="s">
        <v>122</v>
      </c>
      <c r="E13" s="37">
        <v>2001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17-21</v>
      </c>
      <c r="G13" s="56" t="s">
        <v>158</v>
      </c>
      <c r="H13" s="4">
        <f t="shared" si="1"/>
        <v>133.04499999999999</v>
      </c>
      <c r="I13" s="3" t="str">
        <f>IF(MAX(T13-Q13,AA13-X13)&gt;=LOOKUP(F13,'Qualifying Scores'!$A$4:$A$7,'Qualifying Scores'!$C$4:$C$7),"P","")</f>
        <v/>
      </c>
      <c r="J13" s="3" t="str">
        <f>IF(MAX(S13,Z13)&gt;=LOOKUP(F13,'Qualifying Scores'!$A$10:$A$13,'Qualifying Scores'!$C$10:$C$13),"P","")</f>
        <v>P</v>
      </c>
      <c r="K13" s="3" t="str">
        <f>IF(OR(AND(T13-Q13&gt;=LOOKUP(F13,'Qualifying Scores'!$A$4:$A$7,'Qualifying Scores'!$C$4:$C$7),S13&gt;=LOOKUP(F13,'Qualifying Scores'!$A$10:$A$13,'Qualifying Scores'!$C$10:$C$13)),AND(AA13-X13&gt;=LOOKUP(F13,'Qualifying Scores'!$A$4:$A$7,'Qualifying Scores'!$C$4:$C$7),Z13&gt;=LOOKUP(F13,'Qualifying Scores'!$A$10:$A$13,'Qualifying Scores'!$C$10:$C$13))),"P","")</f>
        <v/>
      </c>
      <c r="N13" s="4">
        <f t="shared" si="2"/>
        <v>89.034999999999997</v>
      </c>
      <c r="O13" s="4">
        <f t="shared" si="3"/>
        <v>44.01</v>
      </c>
      <c r="P13" s="33">
        <v>42.625</v>
      </c>
      <c r="Q13" s="34">
        <v>2.2000000000000002</v>
      </c>
      <c r="R13" s="34">
        <v>46.41</v>
      </c>
      <c r="S13" s="34">
        <v>9.6999999999999993</v>
      </c>
      <c r="T13" s="4">
        <f t="shared" si="4"/>
        <v>89.034999999999997</v>
      </c>
      <c r="U13" s="34">
        <v>18.39</v>
      </c>
      <c r="V13" s="34">
        <v>4.3</v>
      </c>
      <c r="W13" s="33">
        <v>41.314999999999998</v>
      </c>
      <c r="X13" s="34">
        <v>2</v>
      </c>
      <c r="Y13" s="34">
        <v>43.69</v>
      </c>
      <c r="Z13" s="34">
        <v>8.1999999999999993</v>
      </c>
      <c r="AA13" s="4">
        <f t="shared" si="5"/>
        <v>85.004999999999995</v>
      </c>
      <c r="AB13" s="34">
        <v>44.01</v>
      </c>
      <c r="AC13" s="39">
        <v>9.4</v>
      </c>
    </row>
    <row r="14" spans="1:30" x14ac:dyDescent="0.2">
      <c r="A14" s="1" t="str">
        <f t="shared" si="0"/>
        <v/>
      </c>
      <c r="B14" s="38" t="s">
        <v>111</v>
      </c>
      <c r="C14" s="38" t="s">
        <v>8</v>
      </c>
      <c r="D14" s="38" t="s">
        <v>9</v>
      </c>
      <c r="E14" s="37">
        <v>2003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17-21</v>
      </c>
      <c r="G14" s="56"/>
      <c r="H14" s="4">
        <f t="shared" si="1"/>
        <v>131.59</v>
      </c>
      <c r="I14" s="3" t="str">
        <f>IF(MAX(T14-Q14,AA14-X14)&gt;=LOOKUP(F14,'Qualifying Scores'!$A$4:$A$7,'Qualifying Scores'!$C$4:$C$7),"P","")</f>
        <v/>
      </c>
      <c r="J14" s="3" t="str">
        <f>IF(MAX(S14,Z14)&gt;=LOOKUP(F14,'Qualifying Scores'!$A$10:$A$13,'Qualifying Scores'!$C$10:$C$13),"P","")</f>
        <v/>
      </c>
      <c r="K14" s="3" t="str">
        <f>IF(OR(AND(T14-Q14&gt;=LOOKUP(F14,'Qualifying Scores'!$A$4:$A$7,'Qualifying Scores'!$C$4:$C$7),S14&gt;=LOOKUP(F14,'Qualifying Scores'!$A$10:$A$13,'Qualifying Scores'!$C$10:$C$13)),AND(AA14-X14&gt;=LOOKUP(F14,'Qualifying Scores'!$A$4:$A$7,'Qualifying Scores'!$C$4:$C$7),Z14&gt;=LOOKUP(F14,'Qualifying Scores'!$A$10:$A$13,'Qualifying Scores'!$C$10:$C$13))),"P","")</f>
        <v/>
      </c>
      <c r="N14" s="4">
        <f t="shared" si="2"/>
        <v>86.9</v>
      </c>
      <c r="O14" s="4">
        <f t="shared" si="3"/>
        <v>44.69</v>
      </c>
      <c r="P14" s="33">
        <v>40.26</v>
      </c>
      <c r="Q14" s="34">
        <v>1.8</v>
      </c>
      <c r="R14" s="34">
        <v>44.69</v>
      </c>
      <c r="S14" s="34">
        <v>7.8</v>
      </c>
      <c r="T14" s="4">
        <f t="shared" si="4"/>
        <v>84.949999999999989</v>
      </c>
      <c r="U14" s="34">
        <v>5.335</v>
      </c>
      <c r="V14" s="34">
        <v>1.3</v>
      </c>
      <c r="W14" s="33">
        <v>41.11</v>
      </c>
      <c r="X14" s="34">
        <v>2</v>
      </c>
      <c r="Y14" s="34">
        <v>45.79</v>
      </c>
      <c r="Z14" s="34">
        <v>8.8000000000000007</v>
      </c>
      <c r="AA14" s="4">
        <f t="shared" si="5"/>
        <v>86.9</v>
      </c>
      <c r="AB14" s="34">
        <v>43.375</v>
      </c>
      <c r="AC14" s="39">
        <v>8.1999999999999993</v>
      </c>
    </row>
    <row r="15" spans="1:30" x14ac:dyDescent="0.2">
      <c r="A15" s="1" t="str">
        <f t="shared" si="0"/>
        <v/>
      </c>
      <c r="B15" s="38" t="s">
        <v>113</v>
      </c>
      <c r="C15" s="38" t="s">
        <v>8</v>
      </c>
      <c r="D15" s="38" t="s">
        <v>123</v>
      </c>
      <c r="E15" s="37">
        <v>2003</v>
      </c>
      <c r="F15" s="1" t="str">
        <f>IF('Qualifying Scores'!$B$1-E15&gt;21,"Not Age Eligible",IF('Qualifying Scores'!$B$1-E15&gt;16,"17-21",IF('Qualifying Scores'!$B$1-E15&gt;14,"15-16",IF('Qualifying Scores'!$B$1-E15&gt;12,"13-14",IF('Qualifying Scores'!$B$1-E15&gt;10,"11-12,""Not Age Eligible")))))</f>
        <v>17-21</v>
      </c>
      <c r="G15" s="56"/>
      <c r="H15" s="4">
        <f t="shared" si="1"/>
        <v>130.13</v>
      </c>
      <c r="I15" s="3" t="str">
        <f>IF(MAX(T15-Q15,AA15-X15)&gt;=LOOKUP(F15,'Qualifying Scores'!$A$4:$A$7,'Qualifying Scores'!$C$4:$C$7),"P","")</f>
        <v/>
      </c>
      <c r="J15" s="3" t="str">
        <f>IF(MAX(S15,Z15)&gt;=LOOKUP(F15,'Qualifying Scores'!$A$10:$A$13,'Qualifying Scores'!$C$10:$C$13),"P","")</f>
        <v/>
      </c>
      <c r="K15" s="3" t="str">
        <f>IF(OR(AND(T15-Q15&gt;=LOOKUP(F15,'Qualifying Scores'!$A$4:$A$7,'Qualifying Scores'!$C$4:$C$7),S15&gt;=LOOKUP(F15,'Qualifying Scores'!$A$10:$A$13,'Qualifying Scores'!$C$10:$C$13)),AND(AA15-X15&gt;=LOOKUP(F15,'Qualifying Scores'!$A$4:$A$7,'Qualifying Scores'!$C$4:$C$7),Z15&gt;=LOOKUP(F15,'Qualifying Scores'!$A$10:$A$13,'Qualifying Scores'!$C$10:$C$13))),"P","")</f>
        <v/>
      </c>
      <c r="N15" s="4">
        <f t="shared" si="2"/>
        <v>83.745000000000005</v>
      </c>
      <c r="O15" s="4">
        <f t="shared" si="3"/>
        <v>46.384999999999998</v>
      </c>
      <c r="P15" s="33">
        <v>20.414999999999999</v>
      </c>
      <c r="Q15" s="34">
        <v>1.3</v>
      </c>
      <c r="R15" s="34">
        <v>9.8800000000000008</v>
      </c>
      <c r="S15" s="34">
        <v>2.2999999999999998</v>
      </c>
      <c r="T15" s="4">
        <f t="shared" si="4"/>
        <v>30.295000000000002</v>
      </c>
      <c r="U15" s="34">
        <v>0</v>
      </c>
      <c r="V15" s="34">
        <v>0</v>
      </c>
      <c r="W15" s="33">
        <v>41.024999999999999</v>
      </c>
      <c r="X15" s="34">
        <v>2.1</v>
      </c>
      <c r="Y15" s="34">
        <v>42.72</v>
      </c>
      <c r="Z15" s="34">
        <v>8.8000000000000007</v>
      </c>
      <c r="AA15" s="4">
        <f t="shared" si="5"/>
        <v>83.745000000000005</v>
      </c>
      <c r="AB15" s="34">
        <v>46.384999999999998</v>
      </c>
      <c r="AC15" s="39">
        <v>8.8000000000000007</v>
      </c>
    </row>
    <row r="16" spans="1:30" x14ac:dyDescent="0.2">
      <c r="A16" s="1" t="str">
        <f t="shared" si="0"/>
        <v/>
      </c>
      <c r="B16" s="38" t="s">
        <v>107</v>
      </c>
      <c r="C16" s="38" t="s">
        <v>8</v>
      </c>
      <c r="D16" s="38" t="s">
        <v>10</v>
      </c>
      <c r="E16" s="37">
        <v>2001</v>
      </c>
      <c r="F16" s="1" t="str">
        <f>IF('Qualifying Scores'!$B$1-E16&gt;21,"Not Age Eligible",IF('Qualifying Scores'!$B$1-E16&gt;16,"17-21",IF('Qualifying Scores'!$B$1-E16&gt;14,"15-16",IF('Qualifying Scores'!$B$1-E16&gt;12,"13-14",IF('Qualifying Scores'!$B$1-E16&gt;10,"11-12,""Not Age Eligible")))))</f>
        <v>17-21</v>
      </c>
      <c r="G16" s="56"/>
      <c r="H16" s="4">
        <f t="shared" si="1"/>
        <v>129.82999999999998</v>
      </c>
      <c r="I16" s="3" t="str">
        <f>IF(MAX(T16-Q16,AA16-X16)&gt;=LOOKUP(F16,'Qualifying Scores'!$A$4:$A$7,'Qualifying Scores'!$C$4:$C$7),"P","")</f>
        <v/>
      </c>
      <c r="J16" s="3" t="str">
        <f>IF(MAX(S16,Z16)&gt;=LOOKUP(F16,'Qualifying Scores'!$A$10:$A$13,'Qualifying Scores'!$C$10:$C$13),"P","")</f>
        <v/>
      </c>
      <c r="K16" s="3" t="str">
        <f>IF(OR(AND(T16-Q16&gt;=LOOKUP(F16,'Qualifying Scores'!$A$4:$A$7,'Qualifying Scores'!$C$4:$C$7),S16&gt;=LOOKUP(F16,'Qualifying Scores'!$A$10:$A$13,'Qualifying Scores'!$C$10:$C$13)),AND(AA16-X16&gt;=LOOKUP(F16,'Qualifying Scores'!$A$4:$A$7,'Qualifying Scores'!$C$4:$C$7),Z16&gt;=LOOKUP(F16,'Qualifying Scores'!$A$10:$A$13,'Qualifying Scores'!$C$10:$C$13))),"P","")</f>
        <v/>
      </c>
      <c r="N16" s="4">
        <f t="shared" si="2"/>
        <v>84.53</v>
      </c>
      <c r="O16" s="4">
        <f t="shared" si="3"/>
        <v>45.3</v>
      </c>
      <c r="P16" s="33">
        <v>39.994999999999997</v>
      </c>
      <c r="Q16" s="34">
        <v>0</v>
      </c>
      <c r="R16" s="34">
        <v>44.534999999999997</v>
      </c>
      <c r="S16" s="34">
        <v>7</v>
      </c>
      <c r="T16" s="4">
        <f t="shared" si="4"/>
        <v>84.53</v>
      </c>
      <c r="U16" s="34">
        <v>45.3</v>
      </c>
      <c r="V16" s="34">
        <v>7</v>
      </c>
      <c r="W16" s="33"/>
      <c r="X16" s="34"/>
      <c r="Y16" s="34"/>
      <c r="Z16" s="34"/>
      <c r="AA16" s="4">
        <f t="shared" si="5"/>
        <v>0</v>
      </c>
      <c r="AB16" s="34"/>
      <c r="AC16" s="39"/>
    </row>
    <row r="17" spans="1:29" x14ac:dyDescent="0.2">
      <c r="A17" s="1" t="str">
        <f t="shared" si="0"/>
        <v/>
      </c>
      <c r="B17" s="38" t="s">
        <v>75</v>
      </c>
      <c r="C17" s="38" t="s">
        <v>4</v>
      </c>
      <c r="D17" s="38" t="s">
        <v>7</v>
      </c>
      <c r="E17" s="37">
        <v>2000</v>
      </c>
      <c r="F17" s="1" t="str">
        <f>IF('Qualifying Scores'!$B$1-E17&gt;21,"Not Age Eligible",IF('Qualifying Scores'!$B$1-E17&gt;16,"17-21",IF('Qualifying Scores'!$B$1-E17&gt;14,"15-16",IF('Qualifying Scores'!$B$1-E17&gt;12,"13-14",IF('Qualifying Scores'!$B$1-E17&gt;10,"11-12,""Not Age Eligible")))))</f>
        <v>17-21</v>
      </c>
      <c r="G17" s="56"/>
      <c r="H17" s="4">
        <f t="shared" si="1"/>
        <v>127.83</v>
      </c>
      <c r="I17" s="3" t="str">
        <f>IF(MAX(T17-Q17,AA17-X17)&gt;=LOOKUP(F17,'Qualifying Scores'!$A$4:$A$7,'Qualifying Scores'!$C$4:$C$7),"P","")</f>
        <v/>
      </c>
      <c r="J17" s="3" t="str">
        <f>IF(MAX(S17,Z17)&gt;=LOOKUP(F17,'Qualifying Scores'!$A$10:$A$13,'Qualifying Scores'!$C$10:$C$13),"P","")</f>
        <v>P</v>
      </c>
      <c r="K17" s="3" t="str">
        <f>IF(OR(AND(T17-Q17&gt;=LOOKUP(F17,'Qualifying Scores'!$A$4:$A$7,'Qualifying Scores'!$C$4:$C$7),S17&gt;=LOOKUP(F17,'Qualifying Scores'!$A$10:$A$13,'Qualifying Scores'!$C$10:$C$13)),AND(AA17-X17&gt;=LOOKUP(F17,'Qualifying Scores'!$A$4:$A$7,'Qualifying Scores'!$C$4:$C$7),Z17&gt;=LOOKUP(F17,'Qualifying Scores'!$A$10:$A$13,'Qualifying Scores'!$C$10:$C$13))),"P","")</f>
        <v/>
      </c>
      <c r="N17" s="4">
        <f t="shared" si="2"/>
        <v>83.53</v>
      </c>
      <c r="O17" s="4">
        <f t="shared" si="3"/>
        <v>44.3</v>
      </c>
      <c r="P17" s="33">
        <v>37.865000000000002</v>
      </c>
      <c r="Q17" s="34">
        <v>0.8</v>
      </c>
      <c r="R17" s="34">
        <v>45.664999999999999</v>
      </c>
      <c r="S17" s="34">
        <v>9.8000000000000007</v>
      </c>
      <c r="T17" s="4">
        <f t="shared" si="4"/>
        <v>83.53</v>
      </c>
      <c r="U17" s="34">
        <v>44.3</v>
      </c>
      <c r="V17" s="34">
        <v>8.5</v>
      </c>
      <c r="W17" s="33">
        <v>41.475000000000001</v>
      </c>
      <c r="X17" s="34">
        <v>2</v>
      </c>
      <c r="Y17" s="34">
        <v>13.8</v>
      </c>
      <c r="Z17" s="34">
        <v>2.6</v>
      </c>
      <c r="AA17" s="4">
        <f t="shared" si="5"/>
        <v>55.275000000000006</v>
      </c>
      <c r="AB17" s="34"/>
      <c r="AC17" s="39"/>
    </row>
    <row r="18" spans="1:29" x14ac:dyDescent="0.2">
      <c r="A18" s="1" t="str">
        <f t="shared" si="0"/>
        <v/>
      </c>
      <c r="B18" s="38" t="s">
        <v>141</v>
      </c>
      <c r="C18" s="38" t="s">
        <v>129</v>
      </c>
      <c r="D18" s="38" t="s">
        <v>140</v>
      </c>
      <c r="E18" s="37">
        <v>2003</v>
      </c>
      <c r="F18" s="1" t="str">
        <f>IF('Qualifying Scores'!$B$1-E18&gt;21,"Not Age Eligible",IF('Qualifying Scores'!$B$1-E18&gt;16,"17-21",IF('Qualifying Scores'!$B$1-E18&gt;14,"15-16",IF('Qualifying Scores'!$B$1-E18&gt;12,"13-14",IF('Qualifying Scores'!$B$1-E18&gt;10,"11-12,""Not Age Eligible")))))</f>
        <v>17-21</v>
      </c>
      <c r="G18" s="56"/>
      <c r="H18" s="4">
        <f t="shared" si="1"/>
        <v>125.41499999999999</v>
      </c>
      <c r="I18" s="3" t="str">
        <f>IF(MAX(T18-Q18,AA18-X18)&gt;=LOOKUP(F18,'Qualifying Scores'!$A$4:$A$7,'Qualifying Scores'!$C$4:$C$7),"P","")</f>
        <v/>
      </c>
      <c r="J18" s="3" t="str">
        <f>IF(MAX(S18,Z18)&gt;=LOOKUP(F18,'Qualifying Scores'!$A$10:$A$13,'Qualifying Scores'!$C$10:$C$13),"P","")</f>
        <v/>
      </c>
      <c r="K18" s="3" t="str">
        <f>IF(OR(AND(T18-Q18&gt;=LOOKUP(F18,'Qualifying Scores'!$A$4:$A$7,'Qualifying Scores'!$C$4:$C$7),S18&gt;=LOOKUP(F18,'Qualifying Scores'!$A$10:$A$13,'Qualifying Scores'!$C$10:$C$13)),AND(AA18-X18&gt;=LOOKUP(F18,'Qualifying Scores'!$A$4:$A$7,'Qualifying Scores'!$C$4:$C$7),Z18&gt;=LOOKUP(F18,'Qualifying Scores'!$A$10:$A$13,'Qualifying Scores'!$C$10:$C$13))),"P","")</f>
        <v/>
      </c>
      <c r="N18" s="4">
        <f t="shared" si="2"/>
        <v>82.045000000000002</v>
      </c>
      <c r="O18" s="4">
        <f t="shared" si="3"/>
        <v>43.37</v>
      </c>
      <c r="P18" s="33"/>
      <c r="Q18" s="34"/>
      <c r="R18" s="34"/>
      <c r="S18" s="34"/>
      <c r="T18" s="4">
        <f t="shared" si="4"/>
        <v>0</v>
      </c>
      <c r="U18" s="34"/>
      <c r="V18" s="34"/>
      <c r="W18" s="33">
        <v>38.305</v>
      </c>
      <c r="X18" s="34">
        <v>0</v>
      </c>
      <c r="Y18" s="34">
        <v>43.74</v>
      </c>
      <c r="Z18" s="34">
        <v>7.2</v>
      </c>
      <c r="AA18" s="4">
        <f t="shared" si="5"/>
        <v>82.045000000000002</v>
      </c>
      <c r="AB18" s="34">
        <v>43.37</v>
      </c>
      <c r="AC18" s="39">
        <v>7.7</v>
      </c>
    </row>
    <row r="19" spans="1:29" x14ac:dyDescent="0.2">
      <c r="A19" s="1" t="str">
        <f t="shared" si="0"/>
        <v/>
      </c>
      <c r="B19" s="38" t="s">
        <v>31</v>
      </c>
      <c r="C19" s="38" t="s">
        <v>5</v>
      </c>
      <c r="D19" s="38" t="s">
        <v>6</v>
      </c>
      <c r="E19" s="37">
        <v>2002</v>
      </c>
      <c r="F19" s="1" t="str">
        <f>IF('Qualifying Scores'!$B$1-E19&gt;21,"Not Age Eligible",IF('Qualifying Scores'!$B$1-E19&gt;16,"17-21",IF('Qualifying Scores'!$B$1-E19&gt;14,"15-16",IF('Qualifying Scores'!$B$1-E19&gt;12,"13-14",IF('Qualifying Scores'!$B$1-E19&gt;10,"11-12,""Not Age Eligible")))))</f>
        <v>17-21</v>
      </c>
      <c r="G19" s="56" t="s">
        <v>158</v>
      </c>
      <c r="H19" s="4">
        <f t="shared" si="1"/>
        <v>124.04499999999999</v>
      </c>
      <c r="I19" s="3" t="str">
        <f>IF(MAX(T19-Q19,AA19-X19)&gt;=LOOKUP(F19,'Qualifying Scores'!$A$4:$A$7,'Qualifying Scores'!$C$4:$C$7),"P","")</f>
        <v/>
      </c>
      <c r="J19" s="3" t="str">
        <f>IF(MAX(S19,Z19)&gt;=LOOKUP(F19,'Qualifying Scores'!$A$10:$A$13,'Qualifying Scores'!$C$10:$C$13),"P","")</f>
        <v/>
      </c>
      <c r="K19" s="3" t="str">
        <f>IF(OR(AND(T19-Q19&gt;=LOOKUP(F19,'Qualifying Scores'!$A$4:$A$7,'Qualifying Scores'!$C$4:$C$7),S19&gt;=LOOKUP(F19,'Qualifying Scores'!$A$10:$A$13,'Qualifying Scores'!$C$10:$C$13)),AND(AA19-X19&gt;=LOOKUP(F19,'Qualifying Scores'!$A$4:$A$7,'Qualifying Scores'!$C$4:$C$7),Z19&gt;=LOOKUP(F19,'Qualifying Scores'!$A$10:$A$13,'Qualifying Scores'!$C$10:$C$13))),"P","")</f>
        <v/>
      </c>
      <c r="N19" s="4">
        <f t="shared" si="2"/>
        <v>80.41</v>
      </c>
      <c r="O19" s="4">
        <f t="shared" si="3"/>
        <v>43.634999999999998</v>
      </c>
      <c r="P19" s="33">
        <v>24.085000000000001</v>
      </c>
      <c r="Q19" s="34">
        <v>0.9</v>
      </c>
      <c r="R19" s="34">
        <v>42.42</v>
      </c>
      <c r="S19" s="34">
        <v>6.8</v>
      </c>
      <c r="T19" s="4">
        <f t="shared" si="4"/>
        <v>66.504999999999995</v>
      </c>
      <c r="U19" s="34">
        <v>0</v>
      </c>
      <c r="V19" s="34">
        <v>0</v>
      </c>
      <c r="W19" s="33">
        <v>40.155000000000001</v>
      </c>
      <c r="X19" s="34">
        <v>1.9</v>
      </c>
      <c r="Y19" s="34">
        <v>40.255000000000003</v>
      </c>
      <c r="Z19" s="34">
        <v>6.9</v>
      </c>
      <c r="AA19" s="4">
        <f t="shared" si="5"/>
        <v>80.41</v>
      </c>
      <c r="AB19" s="34">
        <v>43.634999999999998</v>
      </c>
      <c r="AC19" s="39">
        <v>8</v>
      </c>
    </row>
    <row r="20" spans="1:29" x14ac:dyDescent="0.2">
      <c r="A20" s="1" t="str">
        <f t="shared" si="0"/>
        <v/>
      </c>
      <c r="B20" s="38" t="s">
        <v>108</v>
      </c>
      <c r="C20" s="38" t="s">
        <v>15</v>
      </c>
      <c r="D20" s="38" t="s">
        <v>124</v>
      </c>
      <c r="E20" s="37">
        <v>2003</v>
      </c>
      <c r="F20" s="1" t="str">
        <f>IF('Qualifying Scores'!$B$1-E20&gt;21,"Not Age Eligible",IF('Qualifying Scores'!$B$1-E20&gt;16,"17-21",IF('Qualifying Scores'!$B$1-E20&gt;14,"15-16",IF('Qualifying Scores'!$B$1-E20&gt;12,"13-14",IF('Qualifying Scores'!$B$1-E20&gt;10,"11-12,""Not Age Eligible")))))</f>
        <v>17-21</v>
      </c>
      <c r="G20" s="56"/>
      <c r="H20" s="4">
        <f t="shared" si="1"/>
        <v>123.72500000000001</v>
      </c>
      <c r="I20" s="3" t="str">
        <f>IF(MAX(T20-Q20,AA20-X20)&gt;=LOOKUP(F20,'Qualifying Scores'!$A$4:$A$7,'Qualifying Scores'!$C$4:$C$7),"P","")</f>
        <v/>
      </c>
      <c r="J20" s="3" t="str">
        <f>IF(MAX(S20,Z20)&gt;=LOOKUP(F20,'Qualifying Scores'!$A$10:$A$13,'Qualifying Scores'!$C$10:$C$13),"P","")</f>
        <v/>
      </c>
      <c r="K20" s="3" t="str">
        <f>IF(OR(AND(T20-Q20&gt;=LOOKUP(F20,'Qualifying Scores'!$A$4:$A$7,'Qualifying Scores'!$C$4:$C$7),S20&gt;=LOOKUP(F20,'Qualifying Scores'!$A$10:$A$13,'Qualifying Scores'!$C$10:$C$13)),AND(AA20-X20&gt;=LOOKUP(F20,'Qualifying Scores'!$A$4:$A$7,'Qualifying Scores'!$C$4:$C$7),Z20&gt;=LOOKUP(F20,'Qualifying Scores'!$A$10:$A$13,'Qualifying Scores'!$C$10:$C$13))),"P","")</f>
        <v/>
      </c>
      <c r="N20" s="4">
        <f t="shared" si="2"/>
        <v>78.585000000000008</v>
      </c>
      <c r="O20" s="4">
        <f t="shared" si="3"/>
        <v>45.14</v>
      </c>
      <c r="P20" s="33">
        <v>38.71</v>
      </c>
      <c r="Q20" s="34">
        <v>0</v>
      </c>
      <c r="R20" s="34">
        <v>39.875</v>
      </c>
      <c r="S20" s="34">
        <v>7.2</v>
      </c>
      <c r="T20" s="4">
        <f t="shared" si="4"/>
        <v>78.585000000000008</v>
      </c>
      <c r="U20" s="34">
        <v>45.14</v>
      </c>
      <c r="V20" s="34">
        <v>8.5</v>
      </c>
      <c r="W20" s="33">
        <v>38.975000000000001</v>
      </c>
      <c r="X20" s="34">
        <v>0</v>
      </c>
      <c r="Y20" s="34">
        <v>14</v>
      </c>
      <c r="Z20" s="34">
        <v>3.2</v>
      </c>
      <c r="AA20" s="4">
        <f t="shared" si="5"/>
        <v>52.975000000000001</v>
      </c>
      <c r="AB20" s="34"/>
      <c r="AC20" s="39"/>
    </row>
    <row r="21" spans="1:29" x14ac:dyDescent="0.2">
      <c r="A21" s="1" t="str">
        <f t="shared" si="0"/>
        <v/>
      </c>
      <c r="B21" s="38" t="s">
        <v>84</v>
      </c>
      <c r="C21" s="38" t="s">
        <v>4</v>
      </c>
      <c r="D21" s="38" t="s">
        <v>122</v>
      </c>
      <c r="E21" s="37">
        <v>2003</v>
      </c>
      <c r="F21" s="1" t="str">
        <f>IF('Qualifying Scores'!$B$1-E21&gt;21,"Not Age Eligible",IF('Qualifying Scores'!$B$1-E21&gt;16,"17-21",IF('Qualifying Scores'!$B$1-E21&gt;14,"15-16",IF('Qualifying Scores'!$B$1-E21&gt;12,"13-14",IF('Qualifying Scores'!$B$1-E21&gt;10,"11-12,""Not Age Eligible")))))</f>
        <v>17-21</v>
      </c>
      <c r="G21" s="56" t="s">
        <v>158</v>
      </c>
      <c r="H21" s="4">
        <f t="shared" si="1"/>
        <v>117.12</v>
      </c>
      <c r="I21" s="3" t="str">
        <f>IF(MAX(T21-Q21,AA21-X21)&gt;=LOOKUP(F21,'Qualifying Scores'!$A$4:$A$7,'Qualifying Scores'!$C$4:$C$7),"P","")</f>
        <v/>
      </c>
      <c r="J21" s="3" t="str">
        <f>IF(MAX(S21,Z21)&gt;=LOOKUP(F21,'Qualifying Scores'!$A$10:$A$13,'Qualifying Scores'!$C$10:$C$13),"P","")</f>
        <v/>
      </c>
      <c r="K21" s="3" t="str">
        <f>IF(OR(AND(T21-Q21&gt;=LOOKUP(F21,'Qualifying Scores'!$A$4:$A$7,'Qualifying Scores'!$C$4:$C$7),S21&gt;=LOOKUP(F21,'Qualifying Scores'!$A$10:$A$13,'Qualifying Scores'!$C$10:$C$13)),AND(AA21-X21&gt;=LOOKUP(F21,'Qualifying Scores'!$A$4:$A$7,'Qualifying Scores'!$C$4:$C$7),Z21&gt;=LOOKUP(F21,'Qualifying Scores'!$A$10:$A$13,'Qualifying Scores'!$C$10:$C$13))),"P","")</f>
        <v/>
      </c>
      <c r="N21" s="4">
        <f t="shared" si="2"/>
        <v>77.38</v>
      </c>
      <c r="O21" s="4">
        <f t="shared" si="3"/>
        <v>39.74</v>
      </c>
      <c r="P21" s="33">
        <v>37.11</v>
      </c>
      <c r="Q21" s="34">
        <v>0</v>
      </c>
      <c r="R21" s="34">
        <v>39.74</v>
      </c>
      <c r="S21" s="34">
        <v>8.8000000000000007</v>
      </c>
      <c r="T21" s="4">
        <f t="shared" si="4"/>
        <v>76.849999999999994</v>
      </c>
      <c r="U21" s="34">
        <v>0</v>
      </c>
      <c r="V21" s="34">
        <v>0</v>
      </c>
      <c r="W21" s="33">
        <v>37.9</v>
      </c>
      <c r="X21" s="34">
        <v>0</v>
      </c>
      <c r="Y21" s="34">
        <v>39.479999999999997</v>
      </c>
      <c r="Z21" s="34">
        <v>6.1</v>
      </c>
      <c r="AA21" s="4">
        <f t="shared" si="5"/>
        <v>77.38</v>
      </c>
      <c r="AB21" s="34"/>
      <c r="AC21" s="39"/>
    </row>
    <row r="22" spans="1:29" x14ac:dyDescent="0.2">
      <c r="A22" s="1" t="str">
        <f t="shared" si="0"/>
        <v/>
      </c>
      <c r="B22" s="38" t="s">
        <v>143</v>
      </c>
      <c r="C22" s="38" t="s">
        <v>4</v>
      </c>
      <c r="D22" s="38" t="s">
        <v>13</v>
      </c>
      <c r="E22" s="37">
        <v>2003</v>
      </c>
      <c r="F22" s="1" t="str">
        <f>IF('Qualifying Scores'!$B$1-E22&gt;21,"Not Age Eligible",IF('Qualifying Scores'!$B$1-E22&gt;16,"17-21",IF('Qualifying Scores'!$B$1-E22&gt;14,"15-16",IF('Qualifying Scores'!$B$1-E22&gt;12,"13-14",IF('Qualifying Scores'!$B$1-E22&gt;10,"11-12,""Not Age Eligible")))))</f>
        <v>17-21</v>
      </c>
      <c r="G22" s="56"/>
      <c r="H22" s="4">
        <f t="shared" si="1"/>
        <v>76.150000000000006</v>
      </c>
      <c r="I22" s="3" t="str">
        <f>IF(MAX(T22-Q22,AA22-X22)&gt;=LOOKUP(F22,'Qualifying Scores'!$A$4:$A$7,'Qualifying Scores'!$C$4:$C$7),"P","")</f>
        <v/>
      </c>
      <c r="J22" s="3" t="str">
        <f>IF(MAX(S22,Z22)&gt;=LOOKUP(F22,'Qualifying Scores'!$A$10:$A$13,'Qualifying Scores'!$C$10:$C$13),"P","")</f>
        <v/>
      </c>
      <c r="K22" s="3" t="str">
        <f>IF(OR(AND(T22-Q22&gt;=LOOKUP(F22,'Qualifying Scores'!$A$4:$A$7,'Qualifying Scores'!$C$4:$C$7),S22&gt;=LOOKUP(F22,'Qualifying Scores'!$A$10:$A$13,'Qualifying Scores'!$C$10:$C$13)),AND(AA22-X22&gt;=LOOKUP(F22,'Qualifying Scores'!$A$4:$A$7,'Qualifying Scores'!$C$4:$C$7),Z22&gt;=LOOKUP(F22,'Qualifying Scores'!$A$10:$A$13,'Qualifying Scores'!$C$10:$C$13))),"P","")</f>
        <v/>
      </c>
      <c r="N22" s="4">
        <f t="shared" si="2"/>
        <v>76.150000000000006</v>
      </c>
      <c r="O22" s="4">
        <f t="shared" si="3"/>
        <v>0</v>
      </c>
      <c r="P22" s="33"/>
      <c r="Q22" s="34"/>
      <c r="R22" s="34"/>
      <c r="S22" s="34"/>
      <c r="T22" s="4">
        <f t="shared" si="4"/>
        <v>0</v>
      </c>
      <c r="U22" s="34"/>
      <c r="V22" s="34"/>
      <c r="W22" s="33">
        <v>36.015000000000001</v>
      </c>
      <c r="X22" s="34">
        <v>0</v>
      </c>
      <c r="Y22" s="34">
        <v>40.134999999999998</v>
      </c>
      <c r="Z22" s="34">
        <v>7.1</v>
      </c>
      <c r="AA22" s="4">
        <f t="shared" si="5"/>
        <v>76.150000000000006</v>
      </c>
      <c r="AB22" s="34"/>
      <c r="AC22" s="39"/>
    </row>
    <row r="23" spans="1:29" x14ac:dyDescent="0.2">
      <c r="A23" s="1" t="str">
        <f t="shared" si="0"/>
        <v/>
      </c>
      <c r="B23" s="38" t="s">
        <v>112</v>
      </c>
      <c r="C23" s="38" t="s">
        <v>4</v>
      </c>
      <c r="D23" s="38" t="s">
        <v>122</v>
      </c>
      <c r="E23" s="37">
        <v>2001</v>
      </c>
      <c r="F23" s="1" t="str">
        <f>IF('Qualifying Scores'!$B$1-E23&gt;21,"Not Age Eligible",IF('Qualifying Scores'!$B$1-E23&gt;16,"17-21",IF('Qualifying Scores'!$B$1-E23&gt;14,"15-16",IF('Qualifying Scores'!$B$1-E23&gt;12,"13-14",IF('Qualifying Scores'!$B$1-E23&gt;10,"11-12,""Not Age Eligible")))))</f>
        <v>17-21</v>
      </c>
      <c r="G23" s="56" t="s">
        <v>158</v>
      </c>
      <c r="H23" s="4">
        <f t="shared" si="1"/>
        <v>75.435000000000002</v>
      </c>
      <c r="I23" s="3" t="str">
        <f>IF(MAX(T23-Q23,AA23-X23)&gt;=LOOKUP(F23,'Qualifying Scores'!$A$4:$A$7,'Qualifying Scores'!$C$4:$C$7),"P","")</f>
        <v/>
      </c>
      <c r="J23" s="3" t="str">
        <f>IF(MAX(S23,Z23)&gt;=LOOKUP(F23,'Qualifying Scores'!$A$10:$A$13,'Qualifying Scores'!$C$10:$C$13),"P","")</f>
        <v/>
      </c>
      <c r="K23" s="3" t="str">
        <f>IF(OR(AND(T23-Q23&gt;=LOOKUP(F23,'Qualifying Scores'!$A$4:$A$7,'Qualifying Scores'!$C$4:$C$7),S23&gt;=LOOKUP(F23,'Qualifying Scores'!$A$10:$A$13,'Qualifying Scores'!$C$10:$C$13)),AND(AA23-X23&gt;=LOOKUP(F23,'Qualifying Scores'!$A$4:$A$7,'Qualifying Scores'!$C$4:$C$7),Z23&gt;=LOOKUP(F23,'Qualifying Scores'!$A$10:$A$13,'Qualifying Scores'!$C$10:$C$13))),"P","")</f>
        <v/>
      </c>
      <c r="N23" s="4">
        <f t="shared" si="2"/>
        <v>70.38</v>
      </c>
      <c r="O23" s="4">
        <f t="shared" si="3"/>
        <v>5.0549999999999997</v>
      </c>
      <c r="P23" s="33">
        <v>36.51</v>
      </c>
      <c r="Q23" s="34">
        <v>0.8</v>
      </c>
      <c r="R23" s="34">
        <v>5.0549999999999997</v>
      </c>
      <c r="S23" s="34">
        <v>1.5</v>
      </c>
      <c r="T23" s="4">
        <f t="shared" si="4"/>
        <v>41.564999999999998</v>
      </c>
      <c r="U23" s="34">
        <v>0</v>
      </c>
      <c r="V23" s="34">
        <v>0</v>
      </c>
      <c r="W23" s="33">
        <v>39.975000000000001</v>
      </c>
      <c r="X23" s="34">
        <v>2.1</v>
      </c>
      <c r="Y23" s="34">
        <v>30.405000000000001</v>
      </c>
      <c r="Z23" s="34">
        <v>6.5</v>
      </c>
      <c r="AA23" s="4">
        <f t="shared" si="5"/>
        <v>70.38</v>
      </c>
      <c r="AB23" s="34"/>
      <c r="AC23" s="39"/>
    </row>
    <row r="24" spans="1:29" x14ac:dyDescent="0.2">
      <c r="A24" s="1" t="str">
        <f t="shared" si="0"/>
        <v/>
      </c>
      <c r="B24" s="38" t="s">
        <v>138</v>
      </c>
      <c r="C24" s="38" t="s">
        <v>4</v>
      </c>
      <c r="D24" s="38" t="s">
        <v>70</v>
      </c>
      <c r="E24" s="37">
        <v>2003</v>
      </c>
      <c r="F24" s="1" t="str">
        <f>IF('Qualifying Scores'!$B$1-E24&gt;21,"Not Age Eligible",IF('Qualifying Scores'!$B$1-E24&gt;16,"17-21",IF('Qualifying Scores'!$B$1-E24&gt;14,"15-16",IF('Qualifying Scores'!$B$1-E24&gt;12,"13-14",IF('Qualifying Scores'!$B$1-E24&gt;10,"11-12,""Not Age Eligible")))))</f>
        <v>17-21</v>
      </c>
      <c r="G24" s="56"/>
      <c r="H24" s="4">
        <f t="shared" si="1"/>
        <v>62.635000000000005</v>
      </c>
      <c r="I24" s="3" t="str">
        <f>IF(MAX(T24-Q24,AA24-X24)&gt;=LOOKUP(F24,'Qualifying Scores'!$A$4:$A$7,'Qualifying Scores'!$C$4:$C$7),"P","")</f>
        <v/>
      </c>
      <c r="J24" s="3" t="str">
        <f>IF(MAX(S24,Z24)&gt;=LOOKUP(F24,'Qualifying Scores'!$A$10:$A$13,'Qualifying Scores'!$C$10:$C$13),"P","")</f>
        <v/>
      </c>
      <c r="K24" s="3" t="str">
        <f>IF(OR(AND(T24-Q24&gt;=LOOKUP(F24,'Qualifying Scores'!$A$4:$A$7,'Qualifying Scores'!$C$4:$C$7),S24&gt;=LOOKUP(F24,'Qualifying Scores'!$A$10:$A$13,'Qualifying Scores'!$C$10:$C$13)),AND(AA24-X24&gt;=LOOKUP(F24,'Qualifying Scores'!$A$4:$A$7,'Qualifying Scores'!$C$4:$C$7),Z24&gt;=LOOKUP(F24,'Qualifying Scores'!$A$10:$A$13,'Qualifying Scores'!$C$10:$C$13))),"P","")</f>
        <v/>
      </c>
      <c r="N24" s="4">
        <f t="shared" si="2"/>
        <v>62.635000000000005</v>
      </c>
      <c r="O24" s="4">
        <f t="shared" si="3"/>
        <v>0</v>
      </c>
      <c r="P24" s="33"/>
      <c r="Q24" s="34"/>
      <c r="R24" s="34"/>
      <c r="S24" s="34"/>
      <c r="T24" s="4">
        <f t="shared" si="4"/>
        <v>0</v>
      </c>
      <c r="U24" s="34"/>
      <c r="V24" s="34"/>
      <c r="W24" s="33">
        <v>39.840000000000003</v>
      </c>
      <c r="X24" s="34">
        <v>1.4</v>
      </c>
      <c r="Y24" s="34">
        <v>22.795000000000002</v>
      </c>
      <c r="Z24" s="34">
        <v>5.6</v>
      </c>
      <c r="AA24" s="4">
        <f t="shared" si="5"/>
        <v>62.635000000000005</v>
      </c>
      <c r="AB24" s="34"/>
      <c r="AC24" s="39"/>
    </row>
    <row r="25" spans="1:29" x14ac:dyDescent="0.2">
      <c r="A25" s="1" t="str">
        <f t="shared" si="0"/>
        <v/>
      </c>
      <c r="B25" s="38" t="s">
        <v>144</v>
      </c>
      <c r="C25" s="38" t="s">
        <v>8</v>
      </c>
      <c r="D25" s="38" t="s">
        <v>9</v>
      </c>
      <c r="E25" s="37">
        <v>2003</v>
      </c>
      <c r="F25" s="1" t="str">
        <f>IF('Qualifying Scores'!$B$1-E25&gt;21,"Not Age Eligible",IF('Qualifying Scores'!$B$1-E25&gt;16,"17-21",IF('Qualifying Scores'!$B$1-E25&gt;14,"15-16",IF('Qualifying Scores'!$B$1-E25&gt;12,"13-14",IF('Qualifying Scores'!$B$1-E25&gt;10,"11-12,""Not Age Eligible")))))</f>
        <v>17-21</v>
      </c>
      <c r="G25" s="56"/>
      <c r="H25" s="4">
        <f t="shared" si="1"/>
        <v>56.954999999999998</v>
      </c>
      <c r="I25" s="3" t="str">
        <f>IF(MAX(T25-Q25,AA25-X25)&gt;=LOOKUP(F25,'Qualifying Scores'!$A$4:$A$7,'Qualifying Scores'!$C$4:$C$7),"P","")</f>
        <v/>
      </c>
      <c r="J25" s="3" t="str">
        <f>IF(MAX(S25,Z25)&gt;=LOOKUP(F25,'Qualifying Scores'!$A$10:$A$13,'Qualifying Scores'!$C$10:$C$13),"P","")</f>
        <v/>
      </c>
      <c r="K25" s="3" t="str">
        <f>IF(OR(AND(T25-Q25&gt;=LOOKUP(F25,'Qualifying Scores'!$A$4:$A$7,'Qualifying Scores'!$C$4:$C$7),S25&gt;=LOOKUP(F25,'Qualifying Scores'!$A$10:$A$13,'Qualifying Scores'!$C$10:$C$13)),AND(AA25-X25&gt;=LOOKUP(F25,'Qualifying Scores'!$A$4:$A$7,'Qualifying Scores'!$C$4:$C$7),Z25&gt;=LOOKUP(F25,'Qualifying Scores'!$A$10:$A$13,'Qualifying Scores'!$C$10:$C$13))),"P","")</f>
        <v/>
      </c>
      <c r="N25" s="4">
        <f t="shared" si="2"/>
        <v>56.954999999999998</v>
      </c>
      <c r="O25" s="4">
        <f t="shared" si="3"/>
        <v>0</v>
      </c>
      <c r="P25" s="33"/>
      <c r="Q25" s="34"/>
      <c r="R25" s="34"/>
      <c r="S25" s="34"/>
      <c r="T25" s="4">
        <f t="shared" si="4"/>
        <v>0</v>
      </c>
      <c r="U25" s="34"/>
      <c r="V25" s="34"/>
      <c r="W25" s="33">
        <v>39.005000000000003</v>
      </c>
      <c r="X25" s="34">
        <v>0</v>
      </c>
      <c r="Y25" s="34">
        <v>17.95</v>
      </c>
      <c r="Z25" s="34">
        <v>3.9</v>
      </c>
      <c r="AA25" s="4">
        <f t="shared" si="5"/>
        <v>56.954999999999998</v>
      </c>
      <c r="AB25" s="34"/>
      <c r="AC25" s="39"/>
    </row>
    <row r="26" spans="1:29" x14ac:dyDescent="0.2">
      <c r="A26" s="1" t="str">
        <f t="shared" si="0"/>
        <v/>
      </c>
      <c r="B26" s="38" t="s">
        <v>139</v>
      </c>
      <c r="C26" s="38" t="s">
        <v>4</v>
      </c>
      <c r="D26" s="38" t="s">
        <v>122</v>
      </c>
      <c r="E26" s="37">
        <v>2003</v>
      </c>
      <c r="F26" s="1" t="str">
        <f>IF('Qualifying Scores'!$B$1-E26&gt;21,"Not Age Eligible",IF('Qualifying Scores'!$B$1-E26&gt;16,"17-21",IF('Qualifying Scores'!$B$1-E26&gt;14,"15-16",IF('Qualifying Scores'!$B$1-E26&gt;12,"13-14",IF('Qualifying Scores'!$B$1-E26&gt;10,"11-12,""Not Age Eligible")))))</f>
        <v>17-21</v>
      </c>
      <c r="G26" s="56" t="s">
        <v>158</v>
      </c>
      <c r="H26" s="4">
        <f t="shared" si="1"/>
        <v>43.125</v>
      </c>
      <c r="I26" s="3" t="str">
        <f>IF(MAX(T26-Q26,AA26-X26)&gt;=LOOKUP(F26,'Qualifying Scores'!$A$4:$A$7,'Qualifying Scores'!$C$4:$C$7),"P","")</f>
        <v/>
      </c>
      <c r="J26" s="3" t="str">
        <f>IF(MAX(S26,Z26)&gt;=LOOKUP(F26,'Qualifying Scores'!$A$10:$A$13,'Qualifying Scores'!$C$10:$C$13),"P","")</f>
        <v/>
      </c>
      <c r="K26" s="3" t="str">
        <f>IF(OR(AND(T26-Q26&gt;=LOOKUP(F26,'Qualifying Scores'!$A$4:$A$7,'Qualifying Scores'!$C$4:$C$7),S26&gt;=LOOKUP(F26,'Qualifying Scores'!$A$10:$A$13,'Qualifying Scores'!$C$10:$C$13)),AND(AA26-X26&gt;=LOOKUP(F26,'Qualifying Scores'!$A$4:$A$7,'Qualifying Scores'!$C$4:$C$7),Z26&gt;=LOOKUP(F26,'Qualifying Scores'!$A$10:$A$13,'Qualifying Scores'!$C$10:$C$13))),"P","")</f>
        <v/>
      </c>
      <c r="N26" s="4">
        <f t="shared" si="2"/>
        <v>43.125</v>
      </c>
      <c r="O26" s="4">
        <f t="shared" si="3"/>
        <v>0</v>
      </c>
      <c r="P26" s="33"/>
      <c r="Q26" s="34"/>
      <c r="R26" s="34"/>
      <c r="S26" s="34"/>
      <c r="T26" s="4">
        <f t="shared" si="4"/>
        <v>0</v>
      </c>
      <c r="U26" s="34"/>
      <c r="V26" s="34"/>
      <c r="W26" s="33">
        <v>16.484999999999999</v>
      </c>
      <c r="X26" s="34">
        <v>0.7</v>
      </c>
      <c r="Y26" s="34">
        <v>26.64</v>
      </c>
      <c r="Z26" s="34">
        <v>6</v>
      </c>
      <c r="AA26" s="4">
        <f t="shared" si="5"/>
        <v>43.125</v>
      </c>
      <c r="AB26" s="34"/>
      <c r="AC26" s="39"/>
    </row>
    <row r="27" spans="1:29" x14ac:dyDescent="0.2">
      <c r="K27" s="3"/>
      <c r="N27" s="5"/>
      <c r="O27" s="5"/>
      <c r="P27" s="35"/>
      <c r="Q27" s="36"/>
      <c r="R27" s="36"/>
      <c r="S27" s="36"/>
      <c r="T27" s="5"/>
      <c r="U27" s="36"/>
      <c r="V27" s="36"/>
      <c r="W27" s="35"/>
      <c r="X27" s="36"/>
      <c r="Y27" s="36"/>
      <c r="Z27" s="36"/>
      <c r="AA27" s="5"/>
      <c r="AC27" s="40"/>
    </row>
    <row r="28" spans="1:29" x14ac:dyDescent="0.2">
      <c r="K28" s="3"/>
      <c r="N28" s="5"/>
      <c r="O28" s="5"/>
      <c r="P28" s="35"/>
      <c r="Q28" s="36"/>
      <c r="R28" s="36"/>
      <c r="S28" s="36"/>
      <c r="T28" s="5"/>
      <c r="U28" s="36"/>
      <c r="V28" s="36"/>
      <c r="W28" s="35"/>
      <c r="X28" s="36"/>
      <c r="Y28" s="36"/>
      <c r="Z28" s="36"/>
      <c r="AA28" s="5"/>
      <c r="AC28" s="40"/>
    </row>
    <row r="29" spans="1:29" x14ac:dyDescent="0.2">
      <c r="K29" s="3"/>
      <c r="N29" s="5"/>
      <c r="O29" s="5"/>
      <c r="P29" s="35"/>
      <c r="Q29" s="36"/>
      <c r="R29" s="36"/>
      <c r="S29" s="36"/>
      <c r="T29" s="5"/>
      <c r="U29" s="36"/>
      <c r="V29" s="36"/>
      <c r="W29" s="35"/>
      <c r="X29" s="36"/>
      <c r="Y29" s="36"/>
      <c r="Z29" s="36"/>
      <c r="AA29" s="5"/>
      <c r="AC29" s="40"/>
    </row>
    <row r="30" spans="1:29" x14ac:dyDescent="0.2">
      <c r="K30" s="3"/>
      <c r="N30" s="5"/>
      <c r="O30" s="5"/>
      <c r="P30" s="35"/>
      <c r="Q30" s="36"/>
      <c r="R30" s="36"/>
      <c r="S30" s="36"/>
      <c r="T30" s="5"/>
      <c r="U30" s="36"/>
      <c r="V30" s="36"/>
      <c r="W30" s="35"/>
      <c r="X30" s="36"/>
      <c r="Y30" s="36"/>
      <c r="Z30" s="36"/>
      <c r="AA30" s="5"/>
      <c r="AC30" s="40"/>
    </row>
    <row r="31" spans="1:29" x14ac:dyDescent="0.2">
      <c r="K31" s="3"/>
      <c r="N31" s="5"/>
      <c r="O31" s="5"/>
      <c r="P31" s="35"/>
      <c r="Q31" s="36"/>
      <c r="R31" s="36"/>
      <c r="S31" s="36"/>
      <c r="T31" s="5"/>
      <c r="U31" s="36"/>
      <c r="V31" s="36"/>
      <c r="W31" s="35"/>
      <c r="X31" s="36"/>
      <c r="Y31" s="36"/>
      <c r="Z31" s="36"/>
      <c r="AA31" s="5"/>
      <c r="AC31" s="40"/>
    </row>
    <row r="32" spans="1:29" x14ac:dyDescent="0.2">
      <c r="K32" s="3"/>
      <c r="N32" s="5"/>
      <c r="O32" s="5"/>
      <c r="P32" s="35"/>
      <c r="Q32" s="36"/>
      <c r="R32" s="36"/>
      <c r="S32" s="36"/>
      <c r="T32" s="5"/>
      <c r="U32" s="36"/>
      <c r="V32" s="36"/>
      <c r="W32" s="35"/>
      <c r="X32" s="36"/>
      <c r="Y32" s="36"/>
      <c r="Z32" s="36"/>
      <c r="AA32" s="5"/>
      <c r="AC32" s="40"/>
    </row>
    <row r="33" spans="11:29" x14ac:dyDescent="0.2">
      <c r="K33" s="3"/>
      <c r="N33" s="5"/>
      <c r="O33" s="5"/>
      <c r="P33" s="35"/>
      <c r="Q33" s="36"/>
      <c r="R33" s="36"/>
      <c r="S33" s="36"/>
      <c r="T33" s="5"/>
      <c r="U33" s="36"/>
      <c r="V33" s="36"/>
      <c r="W33" s="35"/>
      <c r="X33" s="36"/>
      <c r="Y33" s="36"/>
      <c r="Z33" s="36"/>
      <c r="AA33" s="5"/>
      <c r="AC33" s="40"/>
    </row>
    <row r="34" spans="11:29" x14ac:dyDescent="0.2">
      <c r="K34" s="3"/>
      <c r="N34" s="5"/>
      <c r="O34" s="5"/>
      <c r="P34" s="35"/>
      <c r="Q34" s="36"/>
      <c r="R34" s="36"/>
      <c r="S34" s="36"/>
      <c r="T34" s="5"/>
      <c r="U34" s="36"/>
      <c r="V34" s="36"/>
      <c r="W34" s="35"/>
      <c r="X34" s="36"/>
      <c r="Y34" s="36"/>
      <c r="Z34" s="36"/>
      <c r="AA34" s="5"/>
      <c r="AC34" s="40"/>
    </row>
    <row r="35" spans="11:29" x14ac:dyDescent="0.2">
      <c r="K35" s="3"/>
      <c r="N35" s="5"/>
      <c r="O35" s="5"/>
      <c r="P35" s="35"/>
      <c r="Q35" s="36"/>
      <c r="R35" s="36"/>
      <c r="S35" s="36"/>
      <c r="T35" s="5"/>
      <c r="U35" s="36"/>
      <c r="V35" s="36"/>
      <c r="W35" s="35"/>
      <c r="X35" s="36"/>
      <c r="Y35" s="36"/>
      <c r="Z35" s="36"/>
      <c r="AA35" s="5"/>
      <c r="AC35" s="40"/>
    </row>
    <row r="36" spans="11:29" x14ac:dyDescent="0.2">
      <c r="K36" s="3"/>
      <c r="N36" s="5"/>
      <c r="O36" s="5"/>
      <c r="P36" s="35"/>
      <c r="Q36" s="36"/>
      <c r="R36" s="36"/>
      <c r="S36" s="36"/>
      <c r="T36" s="5"/>
      <c r="U36" s="36"/>
      <c r="V36" s="36"/>
      <c r="W36" s="35"/>
      <c r="X36" s="36"/>
      <c r="Y36" s="36"/>
      <c r="Z36" s="36"/>
      <c r="AA36" s="5"/>
      <c r="AC36" s="40"/>
    </row>
    <row r="37" spans="11:29" x14ac:dyDescent="0.2">
      <c r="K37" s="3"/>
      <c r="N37" s="5"/>
      <c r="O37" s="5"/>
      <c r="P37" s="35"/>
      <c r="Q37" s="36"/>
      <c r="R37" s="36"/>
      <c r="S37" s="36"/>
      <c r="T37" s="5"/>
      <c r="U37" s="36"/>
      <c r="V37" s="36"/>
      <c r="W37" s="35"/>
      <c r="X37" s="36"/>
      <c r="Y37" s="36"/>
      <c r="Z37" s="36"/>
      <c r="AA37" s="5"/>
      <c r="AC37" s="40"/>
    </row>
    <row r="38" spans="11:29" x14ac:dyDescent="0.2">
      <c r="K38" s="3"/>
      <c r="N38" s="5"/>
      <c r="O38" s="5"/>
      <c r="P38" s="35"/>
      <c r="Q38" s="36"/>
      <c r="R38" s="36"/>
      <c r="S38" s="36"/>
      <c r="T38" s="5"/>
      <c r="U38" s="36"/>
      <c r="V38" s="36"/>
      <c r="W38" s="35"/>
      <c r="X38" s="36"/>
      <c r="Y38" s="36"/>
      <c r="Z38" s="36"/>
      <c r="AA38" s="5"/>
      <c r="AC38" s="40"/>
    </row>
    <row r="39" spans="11:29" x14ac:dyDescent="0.2">
      <c r="K39" s="3"/>
      <c r="N39" s="5"/>
      <c r="O39" s="5"/>
      <c r="P39" s="35"/>
      <c r="Q39" s="36"/>
      <c r="R39" s="36"/>
      <c r="S39" s="36"/>
      <c r="T39" s="5"/>
      <c r="U39" s="36"/>
      <c r="V39" s="36"/>
      <c r="W39" s="35"/>
      <c r="X39" s="36"/>
      <c r="Y39" s="36"/>
      <c r="Z39" s="36"/>
      <c r="AA39" s="5"/>
      <c r="AC39" s="40"/>
    </row>
    <row r="40" spans="11:29" x14ac:dyDescent="0.2">
      <c r="K40" s="3"/>
      <c r="N40" s="5"/>
      <c r="O40" s="5"/>
      <c r="P40" s="35"/>
      <c r="Q40" s="36"/>
      <c r="R40" s="36"/>
      <c r="S40" s="36"/>
      <c r="T40" s="5"/>
      <c r="U40" s="36"/>
      <c r="V40" s="36"/>
      <c r="W40" s="35"/>
      <c r="X40" s="36"/>
      <c r="Y40" s="36"/>
      <c r="Z40" s="36"/>
      <c r="AA40" s="5"/>
      <c r="AC40" s="40"/>
    </row>
    <row r="41" spans="11:29" x14ac:dyDescent="0.2">
      <c r="K41" s="3"/>
      <c r="N41" s="5"/>
      <c r="O41" s="5"/>
      <c r="P41" s="35"/>
      <c r="Q41" s="36"/>
      <c r="R41" s="36"/>
      <c r="S41" s="36"/>
      <c r="T41" s="5"/>
      <c r="U41" s="36"/>
      <c r="V41" s="36"/>
      <c r="W41" s="35"/>
      <c r="X41" s="36"/>
      <c r="Y41" s="36"/>
      <c r="Z41" s="36"/>
      <c r="AA41" s="5"/>
      <c r="AC41" s="40"/>
    </row>
    <row r="42" spans="11:29" x14ac:dyDescent="0.2">
      <c r="K42" s="3"/>
      <c r="N42" s="5"/>
      <c r="O42" s="5"/>
      <c r="P42" s="35"/>
      <c r="Q42" s="36"/>
      <c r="R42" s="36"/>
      <c r="S42" s="36"/>
      <c r="T42" s="5"/>
      <c r="U42" s="36"/>
      <c r="V42" s="36"/>
      <c r="W42" s="35"/>
      <c r="X42" s="36"/>
      <c r="Y42" s="36"/>
      <c r="Z42" s="36"/>
      <c r="AA42" s="5"/>
      <c r="AC42" s="40"/>
    </row>
    <row r="43" spans="11:29" x14ac:dyDescent="0.2">
      <c r="K43" s="3"/>
      <c r="N43" s="5"/>
      <c r="O43" s="5"/>
      <c r="P43" s="35"/>
      <c r="Q43" s="36"/>
      <c r="R43" s="36"/>
      <c r="S43" s="36"/>
      <c r="T43" s="5"/>
      <c r="U43" s="36"/>
      <c r="V43" s="36"/>
      <c r="W43" s="35"/>
      <c r="X43" s="36"/>
      <c r="Y43" s="36"/>
      <c r="Z43" s="36"/>
      <c r="AA43" s="5"/>
      <c r="AC43" s="40"/>
    </row>
    <row r="44" spans="11:29" x14ac:dyDescent="0.2">
      <c r="K44" s="3"/>
      <c r="N44" s="5"/>
      <c r="O44" s="5"/>
      <c r="P44" s="35"/>
      <c r="Q44" s="36"/>
      <c r="R44" s="36"/>
      <c r="S44" s="36"/>
      <c r="T44" s="5"/>
      <c r="U44" s="36"/>
      <c r="V44" s="36"/>
      <c r="W44" s="35"/>
      <c r="X44" s="36"/>
      <c r="Y44" s="36"/>
      <c r="Z44" s="36"/>
      <c r="AA44" s="5"/>
      <c r="AC44" s="40"/>
    </row>
    <row r="45" spans="11:29" x14ac:dyDescent="0.2">
      <c r="K45" s="3"/>
      <c r="N45" s="5"/>
      <c r="O45" s="5"/>
      <c r="P45" s="35"/>
      <c r="Q45" s="36"/>
      <c r="R45" s="36"/>
      <c r="S45" s="36"/>
      <c r="T45" s="5"/>
      <c r="U45" s="36"/>
      <c r="V45" s="36"/>
      <c r="W45" s="35"/>
      <c r="X45" s="36"/>
      <c r="Y45" s="36"/>
      <c r="Z45" s="36"/>
      <c r="AA45" s="5"/>
      <c r="AC45" s="40"/>
    </row>
    <row r="46" spans="11:29" x14ac:dyDescent="0.2">
      <c r="K46" s="3"/>
      <c r="N46" s="5"/>
      <c r="O46" s="5"/>
      <c r="P46" s="35"/>
      <c r="Q46" s="36"/>
      <c r="R46" s="36"/>
      <c r="S46" s="36"/>
      <c r="T46" s="5"/>
      <c r="U46" s="36"/>
      <c r="V46" s="36"/>
      <c r="W46" s="35"/>
      <c r="X46" s="36"/>
      <c r="Y46" s="36"/>
      <c r="Z46" s="36"/>
      <c r="AA46" s="5"/>
      <c r="AC46" s="40"/>
    </row>
    <row r="47" spans="11:29" x14ac:dyDescent="0.2">
      <c r="N47" s="5"/>
      <c r="O47" s="5"/>
      <c r="P47" s="35"/>
      <c r="Q47" s="36"/>
      <c r="R47" s="36"/>
      <c r="S47" s="36"/>
      <c r="T47" s="5"/>
      <c r="U47" s="36"/>
      <c r="V47" s="36"/>
      <c r="W47" s="35"/>
      <c r="X47" s="36"/>
      <c r="Y47" s="36"/>
      <c r="Z47" s="36"/>
      <c r="AA47" s="5"/>
      <c r="AC47" s="40"/>
    </row>
    <row r="48" spans="11:29" x14ac:dyDescent="0.2">
      <c r="N48" s="5"/>
      <c r="O48" s="5"/>
      <c r="P48" s="35"/>
      <c r="Q48" s="36"/>
      <c r="R48" s="36"/>
      <c r="S48" s="36"/>
      <c r="T48" s="5"/>
      <c r="U48" s="36"/>
      <c r="V48" s="36"/>
      <c r="W48" s="35"/>
      <c r="X48" s="36"/>
      <c r="Y48" s="36"/>
      <c r="Z48" s="36"/>
      <c r="AA48" s="5"/>
      <c r="AC48" s="40"/>
    </row>
    <row r="49" spans="14:29" x14ac:dyDescent="0.2">
      <c r="N49" s="5"/>
      <c r="O49" s="5"/>
      <c r="P49" s="35"/>
      <c r="Q49" s="36"/>
      <c r="R49" s="36"/>
      <c r="S49" s="36"/>
      <c r="T49" s="5"/>
      <c r="U49" s="36"/>
      <c r="V49" s="36"/>
      <c r="W49" s="35"/>
      <c r="X49" s="36"/>
      <c r="Y49" s="36"/>
      <c r="Z49" s="36"/>
      <c r="AA49" s="5"/>
      <c r="AC49" s="40"/>
    </row>
    <row r="50" spans="14:29" x14ac:dyDescent="0.2">
      <c r="N50" s="5"/>
      <c r="O50" s="5"/>
      <c r="P50" s="35"/>
      <c r="Q50" s="36"/>
      <c r="R50" s="36"/>
      <c r="S50" s="36"/>
      <c r="T50" s="5"/>
      <c r="U50" s="36"/>
      <c r="V50" s="36"/>
      <c r="W50" s="35"/>
      <c r="X50" s="36"/>
      <c r="Y50" s="36"/>
      <c r="Z50" s="36"/>
      <c r="AA50" s="5"/>
      <c r="AC50" s="40"/>
    </row>
    <row r="51" spans="14:29" x14ac:dyDescent="0.2">
      <c r="N51" s="5"/>
      <c r="O51" s="5"/>
      <c r="P51" s="35"/>
      <c r="Q51" s="36"/>
      <c r="R51" s="36"/>
      <c r="S51" s="36"/>
      <c r="T51" s="5"/>
      <c r="U51" s="36"/>
      <c r="V51" s="36"/>
      <c r="W51" s="35"/>
      <c r="X51" s="36"/>
      <c r="Y51" s="36"/>
      <c r="Z51" s="36"/>
      <c r="AA51" s="5"/>
      <c r="AC51" s="40"/>
    </row>
    <row r="52" spans="14:29" x14ac:dyDescent="0.2">
      <c r="N52" s="5"/>
      <c r="O52" s="5"/>
      <c r="P52" s="35"/>
      <c r="Q52" s="36"/>
      <c r="R52" s="36"/>
      <c r="S52" s="36"/>
      <c r="T52" s="5"/>
      <c r="U52" s="36"/>
      <c r="V52" s="36"/>
      <c r="W52" s="35"/>
      <c r="X52" s="36"/>
      <c r="Y52" s="36"/>
      <c r="Z52" s="36"/>
      <c r="AA52" s="5"/>
      <c r="AC52" s="40"/>
    </row>
    <row r="53" spans="14:29" x14ac:dyDescent="0.2">
      <c r="N53" s="5"/>
      <c r="O53" s="5"/>
      <c r="P53" s="35"/>
      <c r="Q53" s="36"/>
      <c r="R53" s="36"/>
      <c r="S53" s="36"/>
      <c r="T53" s="5"/>
      <c r="U53" s="36"/>
      <c r="V53" s="36"/>
      <c r="W53" s="35"/>
      <c r="X53" s="36"/>
      <c r="Y53" s="36"/>
      <c r="Z53" s="36"/>
      <c r="AA53" s="5"/>
      <c r="AC53" s="40"/>
    </row>
    <row r="54" spans="14:29" x14ac:dyDescent="0.2">
      <c r="N54" s="5"/>
      <c r="O54" s="5"/>
      <c r="P54" s="35"/>
      <c r="Q54" s="36"/>
      <c r="R54" s="36"/>
      <c r="S54" s="36"/>
      <c r="T54" s="5"/>
      <c r="U54" s="36"/>
      <c r="V54" s="36"/>
      <c r="W54" s="35"/>
      <c r="X54" s="36"/>
      <c r="Y54" s="36"/>
      <c r="Z54" s="36"/>
      <c r="AA54" s="5"/>
      <c r="AC54" s="40"/>
    </row>
    <row r="55" spans="14:29" x14ac:dyDescent="0.2">
      <c r="N55" s="5"/>
      <c r="O55" s="5"/>
      <c r="P55" s="35"/>
      <c r="Q55" s="36"/>
      <c r="R55" s="36"/>
      <c r="S55" s="36"/>
      <c r="T55" s="5"/>
      <c r="U55" s="36"/>
      <c r="V55" s="36"/>
      <c r="W55" s="35"/>
      <c r="X55" s="36"/>
      <c r="Y55" s="36"/>
      <c r="Z55" s="36"/>
      <c r="AA55" s="5"/>
      <c r="AC55" s="40"/>
    </row>
    <row r="56" spans="14:29" x14ac:dyDescent="0.2">
      <c r="N56" s="5"/>
      <c r="O56" s="5"/>
      <c r="P56" s="35"/>
      <c r="Q56" s="36"/>
      <c r="R56" s="36"/>
      <c r="S56" s="36"/>
      <c r="T56" s="5"/>
      <c r="U56" s="36"/>
      <c r="V56" s="36"/>
      <c r="W56" s="35"/>
      <c r="X56" s="36"/>
      <c r="Y56" s="36"/>
      <c r="Z56" s="36"/>
      <c r="AA56" s="5"/>
      <c r="AC56" s="40"/>
    </row>
    <row r="57" spans="14:29" x14ac:dyDescent="0.2">
      <c r="N57" s="5"/>
      <c r="O57" s="5"/>
      <c r="P57" s="35"/>
      <c r="Q57" s="36"/>
      <c r="R57" s="36"/>
      <c r="S57" s="36"/>
      <c r="T57" s="5"/>
      <c r="U57" s="36"/>
      <c r="V57" s="36"/>
      <c r="W57" s="35"/>
      <c r="X57" s="36"/>
      <c r="Y57" s="36"/>
      <c r="Z57" s="36"/>
      <c r="AA57" s="5"/>
      <c r="AC57" s="40"/>
    </row>
    <row r="58" spans="14:29" x14ac:dyDescent="0.2">
      <c r="N58" s="5"/>
      <c r="O58" s="5"/>
      <c r="P58" s="35"/>
      <c r="Q58" s="36"/>
      <c r="R58" s="36"/>
      <c r="S58" s="36"/>
      <c r="T58" s="5"/>
      <c r="U58" s="36"/>
      <c r="V58" s="36"/>
      <c r="W58" s="35"/>
      <c r="X58" s="36"/>
      <c r="Y58" s="36"/>
      <c r="Z58" s="36"/>
      <c r="AA58" s="5"/>
      <c r="AC58" s="40"/>
    </row>
    <row r="59" spans="14:29" x14ac:dyDescent="0.2">
      <c r="N59" s="5"/>
      <c r="O59" s="5"/>
      <c r="P59" s="35"/>
      <c r="Q59" s="36"/>
      <c r="R59" s="36"/>
      <c r="S59" s="36"/>
      <c r="T59" s="5"/>
      <c r="U59" s="36"/>
      <c r="V59" s="36"/>
      <c r="W59" s="35"/>
      <c r="X59" s="36"/>
      <c r="Y59" s="36"/>
      <c r="Z59" s="36"/>
      <c r="AA59" s="5"/>
      <c r="AC59" s="40"/>
    </row>
    <row r="60" spans="14:29" x14ac:dyDescent="0.2">
      <c r="N60" s="5"/>
      <c r="O60" s="5"/>
      <c r="P60" s="35"/>
      <c r="Q60" s="36"/>
      <c r="R60" s="36"/>
      <c r="S60" s="36"/>
      <c r="T60" s="5"/>
      <c r="U60" s="36"/>
      <c r="V60" s="36"/>
      <c r="W60" s="35"/>
      <c r="X60" s="36"/>
      <c r="Y60" s="36"/>
      <c r="Z60" s="36"/>
      <c r="AA60" s="5"/>
      <c r="AC60" s="40"/>
    </row>
    <row r="61" spans="14:29" x14ac:dyDescent="0.2">
      <c r="N61" s="5"/>
      <c r="O61" s="5"/>
      <c r="P61" s="35"/>
      <c r="Q61" s="36"/>
      <c r="R61" s="36"/>
      <c r="S61" s="36"/>
      <c r="T61" s="5"/>
      <c r="U61" s="36"/>
      <c r="V61" s="36"/>
      <c r="W61" s="35"/>
      <c r="X61" s="36"/>
      <c r="Y61" s="36"/>
      <c r="Z61" s="36"/>
      <c r="AA61" s="5"/>
      <c r="AC61" s="40"/>
    </row>
    <row r="62" spans="14:29" x14ac:dyDescent="0.2">
      <c r="N62" s="5"/>
      <c r="O62" s="5"/>
      <c r="P62" s="35"/>
      <c r="Q62" s="36"/>
      <c r="R62" s="36"/>
      <c r="S62" s="36"/>
      <c r="T62" s="5"/>
      <c r="U62" s="36"/>
      <c r="V62" s="36"/>
      <c r="W62" s="35"/>
      <c r="X62" s="36"/>
      <c r="Y62" s="36"/>
      <c r="Z62" s="36"/>
      <c r="AA62" s="5"/>
      <c r="AC62" s="40"/>
    </row>
    <row r="63" spans="14:29" x14ac:dyDescent="0.2">
      <c r="N63" s="5"/>
      <c r="O63" s="5"/>
      <c r="P63" s="35"/>
      <c r="Q63" s="36"/>
      <c r="R63" s="36"/>
      <c r="S63" s="36"/>
      <c r="T63" s="5"/>
      <c r="U63" s="36"/>
      <c r="V63" s="36"/>
      <c r="W63" s="35"/>
      <c r="X63" s="36"/>
      <c r="Y63" s="36"/>
      <c r="Z63" s="36"/>
      <c r="AA63" s="5"/>
      <c r="AC63" s="40"/>
    </row>
    <row r="64" spans="14:29" x14ac:dyDescent="0.2">
      <c r="N64" s="5"/>
      <c r="O64" s="5"/>
      <c r="P64" s="35"/>
      <c r="Q64" s="36"/>
      <c r="R64" s="36"/>
      <c r="S64" s="36"/>
      <c r="T64" s="5"/>
      <c r="U64" s="36"/>
      <c r="V64" s="36"/>
      <c r="W64" s="35"/>
      <c r="X64" s="36"/>
      <c r="Y64" s="36"/>
      <c r="Z64" s="36"/>
      <c r="AA64" s="5"/>
      <c r="AC64" s="40"/>
    </row>
    <row r="65" spans="14:29" x14ac:dyDescent="0.2">
      <c r="N65" s="5"/>
      <c r="O65" s="5"/>
      <c r="P65" s="35"/>
      <c r="Q65" s="36"/>
      <c r="R65" s="36"/>
      <c r="S65" s="36"/>
      <c r="T65" s="5"/>
      <c r="U65" s="36"/>
      <c r="V65" s="36"/>
      <c r="W65" s="35"/>
      <c r="X65" s="36"/>
      <c r="Y65" s="36"/>
      <c r="Z65" s="36"/>
      <c r="AA65" s="5"/>
      <c r="AC65" s="40"/>
    </row>
    <row r="66" spans="14:29" x14ac:dyDescent="0.2">
      <c r="N66" s="5"/>
      <c r="O66" s="5"/>
      <c r="P66" s="35"/>
      <c r="Q66" s="36"/>
      <c r="R66" s="36"/>
      <c r="S66" s="36"/>
      <c r="T66" s="5"/>
      <c r="U66" s="36"/>
      <c r="V66" s="36"/>
      <c r="W66" s="35"/>
      <c r="X66" s="36"/>
      <c r="Y66" s="36"/>
      <c r="Z66" s="36"/>
      <c r="AA66" s="5"/>
      <c r="AC66" s="40"/>
    </row>
    <row r="67" spans="14:29" x14ac:dyDescent="0.2">
      <c r="N67" s="5"/>
      <c r="O67" s="5"/>
      <c r="P67" s="35"/>
      <c r="Q67" s="36"/>
      <c r="R67" s="36"/>
      <c r="S67" s="36"/>
      <c r="T67" s="5"/>
      <c r="U67" s="36"/>
      <c r="V67" s="36"/>
      <c r="W67" s="35"/>
      <c r="X67" s="36"/>
      <c r="Y67" s="36"/>
      <c r="Z67" s="36"/>
      <c r="AA67" s="5"/>
      <c r="AC67" s="40"/>
    </row>
    <row r="68" spans="14:29" x14ac:dyDescent="0.2">
      <c r="N68" s="5"/>
      <c r="O68" s="5"/>
      <c r="P68" s="35"/>
      <c r="Q68" s="36"/>
      <c r="R68" s="36"/>
      <c r="S68" s="36"/>
      <c r="T68" s="5"/>
      <c r="U68" s="36"/>
      <c r="V68" s="36"/>
      <c r="W68" s="35"/>
      <c r="X68" s="36"/>
      <c r="Y68" s="36"/>
      <c r="Z68" s="36"/>
      <c r="AA68" s="5"/>
      <c r="AC68" s="40"/>
    </row>
    <row r="69" spans="14:29" x14ac:dyDescent="0.2">
      <c r="N69" s="5"/>
      <c r="O69" s="5"/>
      <c r="P69" s="35"/>
      <c r="Q69" s="36"/>
      <c r="R69" s="36"/>
      <c r="S69" s="36"/>
      <c r="T69" s="5"/>
      <c r="U69" s="36"/>
      <c r="V69" s="36"/>
      <c r="W69" s="35"/>
      <c r="X69" s="36"/>
      <c r="Y69" s="36"/>
      <c r="Z69" s="36"/>
      <c r="AA69" s="5"/>
      <c r="AC69" s="40"/>
    </row>
    <row r="70" spans="14:29" x14ac:dyDescent="0.2">
      <c r="N70" s="5"/>
      <c r="O70" s="5"/>
      <c r="P70" s="35"/>
      <c r="Q70" s="36"/>
      <c r="R70" s="36"/>
      <c r="S70" s="36"/>
      <c r="T70" s="5"/>
      <c r="U70" s="36"/>
      <c r="V70" s="36"/>
      <c r="W70" s="35"/>
      <c r="X70" s="36"/>
      <c r="Y70" s="36"/>
      <c r="Z70" s="36"/>
      <c r="AA70" s="5"/>
      <c r="AC70" s="40"/>
    </row>
    <row r="71" spans="14:29" x14ac:dyDescent="0.2">
      <c r="N71" s="5"/>
      <c r="O71" s="5"/>
      <c r="P71" s="35"/>
      <c r="Q71" s="36"/>
      <c r="R71" s="36"/>
      <c r="S71" s="36"/>
      <c r="T71" s="5"/>
      <c r="U71" s="36"/>
      <c r="V71" s="36"/>
      <c r="W71" s="35"/>
      <c r="X71" s="36"/>
      <c r="Y71" s="36"/>
      <c r="Z71" s="36"/>
      <c r="AA71" s="5"/>
      <c r="AC71" s="40"/>
    </row>
    <row r="72" spans="14:29" x14ac:dyDescent="0.2">
      <c r="N72" s="5"/>
      <c r="O72" s="5"/>
      <c r="P72" s="35"/>
      <c r="Q72" s="36"/>
      <c r="R72" s="36"/>
      <c r="S72" s="36"/>
      <c r="T72" s="5"/>
      <c r="U72" s="36"/>
      <c r="V72" s="36"/>
      <c r="W72" s="35"/>
      <c r="X72" s="36"/>
      <c r="Y72" s="36"/>
      <c r="Z72" s="36"/>
      <c r="AA72" s="5"/>
      <c r="AC72" s="40"/>
    </row>
    <row r="73" spans="14:29" x14ac:dyDescent="0.2">
      <c r="N73" s="5"/>
      <c r="O73" s="5"/>
      <c r="P73" s="35"/>
      <c r="Q73" s="36"/>
      <c r="R73" s="36"/>
      <c r="S73" s="36"/>
      <c r="T73" s="5"/>
      <c r="U73" s="36"/>
      <c r="V73" s="36"/>
      <c r="W73" s="35"/>
      <c r="X73" s="36"/>
      <c r="Y73" s="36"/>
      <c r="Z73" s="36"/>
      <c r="AA73" s="5"/>
      <c r="AC73" s="40"/>
    </row>
    <row r="74" spans="14:29" x14ac:dyDescent="0.2">
      <c r="N74" s="5"/>
      <c r="O74" s="5"/>
      <c r="P74" s="35"/>
      <c r="Q74" s="36"/>
      <c r="R74" s="36"/>
      <c r="S74" s="36"/>
      <c r="T74" s="5"/>
      <c r="U74" s="36"/>
      <c r="V74" s="36"/>
      <c r="W74" s="35"/>
      <c r="X74" s="36"/>
      <c r="Y74" s="36"/>
      <c r="Z74" s="36"/>
      <c r="AA74" s="5"/>
      <c r="AC74" s="40"/>
    </row>
    <row r="75" spans="14:29" x14ac:dyDescent="0.2">
      <c r="N75" s="5"/>
      <c r="O75" s="5"/>
      <c r="P75" s="35"/>
      <c r="Q75" s="36"/>
      <c r="R75" s="36"/>
      <c r="S75" s="36"/>
      <c r="T75" s="5"/>
      <c r="U75" s="36"/>
      <c r="V75" s="36"/>
      <c r="W75" s="35"/>
      <c r="X75" s="36"/>
      <c r="Y75" s="36"/>
      <c r="Z75" s="36"/>
      <c r="AA75" s="5"/>
      <c r="AC75" s="40"/>
    </row>
    <row r="76" spans="14:29" x14ac:dyDescent="0.2">
      <c r="N76" s="5"/>
      <c r="O76" s="5"/>
      <c r="P76" s="35"/>
      <c r="Q76" s="36"/>
      <c r="R76" s="36"/>
      <c r="S76" s="36"/>
      <c r="T76" s="5"/>
      <c r="U76" s="36"/>
      <c r="V76" s="36"/>
      <c r="W76" s="35"/>
      <c r="X76" s="36"/>
      <c r="Y76" s="36"/>
      <c r="Z76" s="36"/>
      <c r="AA76" s="5"/>
      <c r="AC76" s="40"/>
    </row>
    <row r="77" spans="14:29" x14ac:dyDescent="0.2">
      <c r="N77" s="5"/>
      <c r="O77" s="5"/>
      <c r="P77" s="35"/>
      <c r="Q77" s="36"/>
      <c r="R77" s="36"/>
      <c r="S77" s="36"/>
      <c r="T77" s="5"/>
      <c r="U77" s="36"/>
      <c r="V77" s="36"/>
      <c r="W77" s="35"/>
      <c r="X77" s="36"/>
      <c r="Y77" s="36"/>
      <c r="Z77" s="36"/>
      <c r="AA77" s="5"/>
      <c r="AC77" s="40"/>
    </row>
    <row r="78" spans="14:29" x14ac:dyDescent="0.2">
      <c r="N78" s="5"/>
      <c r="O78" s="5"/>
      <c r="P78" s="35"/>
      <c r="Q78" s="36"/>
      <c r="R78" s="36"/>
      <c r="S78" s="36"/>
      <c r="T78" s="5"/>
      <c r="U78" s="36"/>
      <c r="V78" s="36"/>
      <c r="W78" s="35"/>
      <c r="X78" s="36"/>
      <c r="Y78" s="36"/>
      <c r="Z78" s="36"/>
      <c r="AA78" s="5"/>
      <c r="AC78" s="40"/>
    </row>
    <row r="79" spans="14:29" x14ac:dyDescent="0.2">
      <c r="N79" s="5"/>
      <c r="O79" s="5"/>
      <c r="P79" s="35"/>
      <c r="Q79" s="36"/>
      <c r="R79" s="36"/>
      <c r="S79" s="36"/>
      <c r="T79" s="5"/>
      <c r="U79" s="36"/>
      <c r="V79" s="36"/>
      <c r="W79" s="35"/>
      <c r="X79" s="36"/>
      <c r="Y79" s="36"/>
      <c r="Z79" s="36"/>
      <c r="AA79" s="5"/>
      <c r="AC79" s="40"/>
    </row>
    <row r="80" spans="14:29" x14ac:dyDescent="0.2">
      <c r="N80" s="5"/>
      <c r="O80" s="5"/>
      <c r="P80" s="35"/>
      <c r="Q80" s="36"/>
      <c r="R80" s="36"/>
      <c r="S80" s="36"/>
      <c r="T80" s="5"/>
      <c r="U80" s="36"/>
      <c r="V80" s="36"/>
      <c r="W80" s="35"/>
      <c r="X80" s="36"/>
      <c r="Y80" s="36"/>
      <c r="Z80" s="36"/>
      <c r="AA80" s="5"/>
      <c r="AC80" s="40"/>
    </row>
    <row r="81" spans="14:29" x14ac:dyDescent="0.2">
      <c r="N81" s="5"/>
      <c r="O81" s="5"/>
      <c r="P81" s="35"/>
      <c r="Q81" s="36"/>
      <c r="R81" s="36"/>
      <c r="S81" s="36"/>
      <c r="T81" s="5"/>
      <c r="U81" s="36"/>
      <c r="V81" s="36"/>
      <c r="W81" s="35"/>
      <c r="X81" s="36"/>
      <c r="Y81" s="36"/>
      <c r="Z81" s="36"/>
      <c r="AA81" s="5"/>
      <c r="AC81" s="40"/>
    </row>
    <row r="82" spans="14:29" x14ac:dyDescent="0.2">
      <c r="N82" s="5"/>
      <c r="O82" s="5"/>
      <c r="P82" s="35"/>
      <c r="Q82" s="36"/>
      <c r="R82" s="36"/>
      <c r="S82" s="36"/>
      <c r="T82" s="5"/>
      <c r="U82" s="36"/>
      <c r="V82" s="36"/>
      <c r="W82" s="35"/>
      <c r="X82" s="36"/>
      <c r="Y82" s="36"/>
      <c r="Z82" s="36"/>
      <c r="AA82" s="5"/>
      <c r="AC82" s="40"/>
    </row>
    <row r="83" spans="14:29" x14ac:dyDescent="0.2">
      <c r="N83" s="5"/>
      <c r="O83" s="5"/>
      <c r="P83" s="35"/>
      <c r="Q83" s="36"/>
      <c r="R83" s="36"/>
      <c r="S83" s="36"/>
      <c r="T83" s="5"/>
      <c r="U83" s="36"/>
      <c r="V83" s="36"/>
      <c r="W83" s="35"/>
      <c r="X83" s="36"/>
      <c r="Y83" s="36"/>
      <c r="Z83" s="36"/>
      <c r="AA83" s="5"/>
      <c r="AC83" s="40"/>
    </row>
    <row r="84" spans="14:29" x14ac:dyDescent="0.2">
      <c r="N84" s="5"/>
      <c r="O84" s="5"/>
      <c r="P84" s="35"/>
      <c r="Q84" s="36"/>
      <c r="R84" s="36"/>
      <c r="S84" s="36"/>
      <c r="T84" s="5"/>
      <c r="U84" s="36"/>
      <c r="V84" s="36"/>
      <c r="W84" s="35"/>
      <c r="X84" s="36"/>
      <c r="Y84" s="36"/>
      <c r="Z84" s="36"/>
      <c r="AA84" s="5"/>
      <c r="AC84" s="40"/>
    </row>
    <row r="85" spans="14:29" x14ac:dyDescent="0.2">
      <c r="N85" s="5"/>
      <c r="O85" s="5"/>
      <c r="P85" s="35"/>
      <c r="Q85" s="36"/>
      <c r="R85" s="36"/>
      <c r="S85" s="36"/>
      <c r="T85" s="5"/>
      <c r="U85" s="36"/>
      <c r="V85" s="36"/>
      <c r="W85" s="35"/>
      <c r="X85" s="36"/>
      <c r="Y85" s="36"/>
      <c r="Z85" s="36"/>
      <c r="AA85" s="5"/>
      <c r="AC85" s="40"/>
    </row>
    <row r="86" spans="14:29" x14ac:dyDescent="0.2">
      <c r="N86" s="5"/>
      <c r="O86" s="5"/>
      <c r="P86" s="35"/>
      <c r="Q86" s="36"/>
      <c r="R86" s="36"/>
      <c r="S86" s="36"/>
      <c r="T86" s="5"/>
      <c r="U86" s="36"/>
      <c r="V86" s="36"/>
      <c r="W86" s="35"/>
      <c r="X86" s="36"/>
      <c r="Y86" s="36"/>
      <c r="Z86" s="36"/>
      <c r="AA86" s="5"/>
      <c r="AC86" s="40"/>
    </row>
    <row r="87" spans="14:29" x14ac:dyDescent="0.2">
      <c r="N87" s="5"/>
      <c r="O87" s="5"/>
      <c r="P87" s="35"/>
      <c r="Q87" s="36"/>
      <c r="R87" s="36"/>
      <c r="S87" s="36"/>
      <c r="T87" s="5"/>
      <c r="U87" s="36"/>
      <c r="V87" s="36"/>
      <c r="W87" s="35"/>
      <c r="X87" s="36"/>
      <c r="Y87" s="36"/>
      <c r="Z87" s="36"/>
      <c r="AA87" s="5"/>
      <c r="AC87" s="40"/>
    </row>
    <row r="88" spans="14:29" x14ac:dyDescent="0.2">
      <c r="N88" s="5"/>
      <c r="O88" s="5"/>
      <c r="P88" s="35"/>
      <c r="Q88" s="36"/>
      <c r="R88" s="36"/>
      <c r="S88" s="36"/>
      <c r="T88" s="5"/>
      <c r="U88" s="36"/>
      <c r="V88" s="36"/>
      <c r="W88" s="35"/>
      <c r="X88" s="36"/>
      <c r="Y88" s="36"/>
      <c r="Z88" s="36"/>
      <c r="AA88" s="5"/>
      <c r="AC88" s="40"/>
    </row>
    <row r="89" spans="14:29" x14ac:dyDescent="0.2">
      <c r="N89" s="5"/>
      <c r="O89" s="5"/>
      <c r="P89" s="35"/>
      <c r="Q89" s="36"/>
      <c r="R89" s="36"/>
      <c r="S89" s="36"/>
      <c r="T89" s="5"/>
      <c r="U89" s="36"/>
      <c r="V89" s="36"/>
      <c r="W89" s="35"/>
      <c r="X89" s="36"/>
      <c r="Y89" s="36"/>
      <c r="Z89" s="36"/>
      <c r="AA89" s="5"/>
      <c r="AC89" s="40"/>
    </row>
  </sheetData>
  <sheetProtection sheet="1" formatCells="0" formatColumns="0" formatRows="0"/>
  <autoFilter ref="B1:AC2" xr:uid="{00000000-0009-0000-0000-000003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sortState xmlns:xlrd2="http://schemas.microsoft.com/office/spreadsheetml/2017/richdata2" ref="B4:AC26">
      <sortCondition ref="F1:F37"/>
    </sortState>
  </autoFilter>
  <mergeCells count="17">
    <mergeCell ref="A1:A2"/>
    <mergeCell ref="N1:N2"/>
    <mergeCell ref="O1:O2"/>
    <mergeCell ref="P1:V1"/>
    <mergeCell ref="W1:AC1"/>
    <mergeCell ref="B1:B2"/>
    <mergeCell ref="C1:C2"/>
    <mergeCell ref="D1:D2"/>
    <mergeCell ref="E1:E2"/>
    <mergeCell ref="F1:F2"/>
    <mergeCell ref="H1:H2"/>
    <mergeCell ref="I1:I2"/>
    <mergeCell ref="J1:J2"/>
    <mergeCell ref="L1:L2"/>
    <mergeCell ref="M1:M2"/>
    <mergeCell ref="K1:K2"/>
    <mergeCell ref="G1:G2"/>
  </mergeCells>
  <conditionalFormatting sqref="A1:XFD1048576">
    <cfRule type="expression" dxfId="39" priority="5">
      <formula>IF($F1="17-21",1,0)</formula>
    </cfRule>
    <cfRule type="expression" dxfId="38" priority="6">
      <formula>IF($F1="15-16",1,0)</formula>
    </cfRule>
    <cfRule type="expression" dxfId="37" priority="7">
      <formula>IF($F1="13-14",1,0)</formula>
    </cfRule>
    <cfRule type="expression" dxfId="36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92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43" style="38" bestFit="1" customWidth="1"/>
    <col min="3" max="3" width="8.6640625" style="38" bestFit="1" customWidth="1"/>
    <col min="4" max="4" width="26" style="38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8.33203125" style="37" bestFit="1" customWidth="1"/>
    <col min="17" max="17" width="11.1640625" style="38" bestFit="1" customWidth="1"/>
    <col min="18" max="18" width="6.6640625" style="38" bestFit="1" customWidth="1"/>
    <col min="19" max="19" width="11" style="38" bestFit="1" customWidth="1"/>
    <col min="20" max="20" width="8.33203125" style="37" bestFit="1" customWidth="1"/>
    <col min="21" max="21" width="11.1640625" style="38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67" t="s">
        <v>2</v>
      </c>
      <c r="E1" s="69" t="s">
        <v>16</v>
      </c>
      <c r="F1" s="65" t="s">
        <v>17</v>
      </c>
      <c r="G1" s="65" t="s">
        <v>96</v>
      </c>
      <c r="H1" s="71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34</v>
      </c>
      <c r="P1" s="73" t="s">
        <v>121</v>
      </c>
      <c r="Q1" s="73"/>
      <c r="R1" s="73"/>
      <c r="S1" s="73"/>
      <c r="T1" s="73" t="s">
        <v>120</v>
      </c>
      <c r="U1" s="73"/>
      <c r="V1" s="73"/>
      <c r="W1" s="73"/>
    </row>
    <row r="2" spans="1:23" s="7" customFormat="1" ht="17" thickBot="1" x14ac:dyDescent="0.25">
      <c r="A2" s="66"/>
      <c r="B2" s="66"/>
      <c r="C2" s="66"/>
      <c r="D2" s="68"/>
      <c r="E2" s="70"/>
      <c r="F2" s="66"/>
      <c r="G2" s="66"/>
      <c r="H2" s="72"/>
      <c r="I2" s="66"/>
      <c r="J2" s="66"/>
      <c r="K2" s="66"/>
      <c r="L2" s="66"/>
      <c r="M2" s="66"/>
      <c r="N2" s="66"/>
      <c r="O2" s="66"/>
      <c r="P2" s="8" t="s">
        <v>20</v>
      </c>
      <c r="Q2" s="7" t="s">
        <v>21</v>
      </c>
      <c r="R2" s="7" t="s">
        <v>22</v>
      </c>
      <c r="S2" s="7" t="s">
        <v>24</v>
      </c>
      <c r="T2" s="8" t="s">
        <v>20</v>
      </c>
      <c r="U2" s="7" t="s">
        <v>21</v>
      </c>
      <c r="V2" s="7" t="s">
        <v>22</v>
      </c>
      <c r="W2" s="9" t="s">
        <v>24</v>
      </c>
    </row>
    <row r="3" spans="1:23" ht="17" thickTop="1" x14ac:dyDescent="0.2">
      <c r="A3" s="1" t="str">
        <f>IF(M3&lt;&gt;"",SUMPRODUCT((M$3:M$4&lt;&gt;"")*(F$3:F$4=F3)*(M$3:M$4&lt;M3))+1,IF(L3&lt;&gt;"",SUMPRODUCT((M$3:M$4&lt;&gt;"")*(F$3:F$4=F3))+SUMPRODUCT((L$3:L$4&lt;&gt;"")*(F$3:F$4=F3)*(L$3:L$4&lt;L3))+1,IF(K3="P",SUMPRODUCT((L$3:L$4&lt;&gt;"")*(F$3:F$4=F3))+SUMPRODUCT((M$3:M$4&lt;&gt;"")*(F$3:F$4=F3))+1+SUMPRODUCT((K$3:K$4="P")*(F$3:F$4=F3)*(H$3:H$4&gt;H3)*(L$3:L$4="")*(M$3:M$4="")),"")))</f>
        <v/>
      </c>
      <c r="B3" s="38" t="s">
        <v>97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Not Age Eligible</v>
      </c>
      <c r="G3" s="56"/>
      <c r="H3" s="4">
        <f t="shared" ref="H3" si="0">SUM(N3:O3)</f>
        <v>0</v>
      </c>
      <c r="I3" s="3" t="str">
        <f>IF(MAX(P3,R3,T3,V3)&gt;=LOOKUP(F3,'Qualifying Scores'!$A$4:$A$7,'Qualifying Scores'!$D$4:$D$7),"P","")</f>
        <v/>
      </c>
      <c r="J3" s="3" t="str">
        <f>IF(MAX(Q3,R3,U3,W3)&gt;=LOOKUP(F3,'Qualifying Scores'!$A$10:$A$13,'Qualifying Scores'!$D$10:$D$13),"P","")</f>
        <v/>
      </c>
      <c r="K3" s="3" t="str">
        <f>IF(OR(AND(P3&gt;=LOOKUP(F3,'Qualifying Scores'!$A$4:$A$7,'Qualifying Scores'!$D$4:$D$7),Q3&gt;=LOOKUP(F3,'Qualifying Scores'!$A$10:$A$13,'Qualifying Scores'!$D$10:$D$13)),AND(R3&gt;=LOOKUP(F3,'Qualifying Scores'!$A$4:$A$7,'Qualifying Scores'!$D$4:$D$7),S3&gt;=LOOKUP(F3,'Qualifying Scores'!$A$10:$A$13,'Qualifying Scores'!$D$10:$D$13)),AND(T3&gt;=LOOKUP(F3,'Qualifying Scores'!$A$4:$A$7,'Qualifying Scores'!$D$4:$D$7),U3&gt;=LOOKUP(F3,'Qualifying Scores'!$A$10:$A$13,'Qualifying Scores'!$D$10:$D$13)),AND(V3&gt;=LOOKUP(F3,'Qualifying Scores'!$A$4:$A$7,'Qualifying Scores'!$D$4:$D$7),W3&gt;=LOOKUP(F3,'Qualifying Scores'!$A$10:$A$13,'Qualifying Scores'!$D$10:$D$13))),"P","")</f>
        <v/>
      </c>
      <c r="N3" s="4">
        <f t="shared" ref="N3" si="1">MAX(P3,T3)</f>
        <v>0</v>
      </c>
      <c r="O3" s="4">
        <f t="shared" ref="O3" si="2">IF(N3=P3,MAX(R3,T3,V3),MAX(P3,R3,V3))</f>
        <v>0</v>
      </c>
      <c r="P3" s="33"/>
      <c r="Q3" s="44"/>
      <c r="R3" s="34"/>
      <c r="S3" s="44"/>
      <c r="T3" s="33"/>
      <c r="U3" s="44"/>
      <c r="V3" s="34"/>
      <c r="W3" s="39"/>
    </row>
    <row r="4" spans="1:23" x14ac:dyDescent="0.2">
      <c r="A4" s="1"/>
      <c r="F4" s="1"/>
      <c r="G4" s="56"/>
      <c r="H4" s="4"/>
      <c r="I4" s="3"/>
      <c r="J4" s="3"/>
      <c r="N4" s="4"/>
      <c r="O4" s="4"/>
      <c r="P4" s="33"/>
      <c r="Q4" s="44"/>
      <c r="R4" s="34"/>
      <c r="S4" s="44"/>
      <c r="T4" s="33"/>
      <c r="U4" s="44"/>
      <c r="V4" s="34"/>
      <c r="W4" s="39"/>
    </row>
    <row r="5" spans="1:23" x14ac:dyDescent="0.2">
      <c r="A5" s="1"/>
      <c r="F5" s="1"/>
      <c r="G5" s="56"/>
      <c r="H5" s="4"/>
      <c r="I5" s="3"/>
      <c r="J5" s="3"/>
      <c r="N5" s="4"/>
      <c r="O5" s="4"/>
      <c r="P5" s="33"/>
      <c r="Q5" s="44"/>
      <c r="R5" s="34"/>
      <c r="S5" s="44"/>
      <c r="T5" s="33"/>
      <c r="U5" s="44"/>
      <c r="V5" s="34"/>
      <c r="W5" s="39"/>
    </row>
    <row r="6" spans="1:23" x14ac:dyDescent="0.2">
      <c r="A6" s="1"/>
      <c r="F6" s="1"/>
      <c r="G6" s="56"/>
      <c r="H6" s="4"/>
      <c r="I6" s="3"/>
      <c r="J6" s="3"/>
      <c r="N6" s="4"/>
      <c r="O6" s="4"/>
      <c r="P6" s="33"/>
      <c r="Q6" s="44"/>
      <c r="R6" s="34"/>
      <c r="S6" s="44"/>
      <c r="T6" s="33"/>
      <c r="U6" s="44"/>
      <c r="V6" s="34"/>
      <c r="W6" s="39"/>
    </row>
    <row r="7" spans="1:23" x14ac:dyDescent="0.2">
      <c r="A7" s="1"/>
      <c r="F7" s="1"/>
      <c r="G7" s="56"/>
      <c r="H7" s="4"/>
      <c r="I7" s="3"/>
      <c r="J7" s="3"/>
      <c r="N7" s="4"/>
      <c r="O7" s="4"/>
      <c r="P7" s="33"/>
      <c r="Q7" s="44"/>
      <c r="R7" s="34"/>
      <c r="S7" s="44"/>
      <c r="T7" s="33"/>
      <c r="U7" s="44"/>
      <c r="V7" s="34"/>
      <c r="W7" s="39"/>
    </row>
    <row r="8" spans="1:23" x14ac:dyDescent="0.2">
      <c r="A8" s="1"/>
      <c r="F8" s="1"/>
      <c r="G8" s="56"/>
      <c r="H8" s="4"/>
      <c r="I8" s="3"/>
      <c r="J8" s="3"/>
      <c r="N8" s="4"/>
      <c r="O8" s="4"/>
      <c r="P8" s="33"/>
      <c r="Q8" s="44"/>
      <c r="R8" s="34"/>
      <c r="S8" s="45"/>
      <c r="T8" s="33"/>
      <c r="U8" s="44"/>
      <c r="V8" s="34"/>
      <c r="W8" s="39"/>
    </row>
    <row r="9" spans="1:23" x14ac:dyDescent="0.2">
      <c r="A9" s="1"/>
      <c r="F9" s="1"/>
      <c r="G9" s="56"/>
      <c r="H9" s="4"/>
      <c r="I9" s="3"/>
      <c r="J9" s="3"/>
      <c r="N9" s="4"/>
      <c r="O9" s="4"/>
      <c r="P9" s="33"/>
      <c r="Q9" s="44"/>
      <c r="R9" s="34"/>
      <c r="S9" s="44"/>
      <c r="T9" s="33"/>
      <c r="U9" s="44"/>
      <c r="V9" s="34"/>
      <c r="W9" s="39"/>
    </row>
    <row r="10" spans="1:23" x14ac:dyDescent="0.2">
      <c r="A10" s="1"/>
      <c r="F10" s="1"/>
      <c r="G10" s="56"/>
      <c r="H10" s="4"/>
      <c r="I10" s="3"/>
      <c r="J10" s="3"/>
      <c r="N10" s="4"/>
      <c r="O10" s="4"/>
      <c r="P10" s="33"/>
      <c r="Q10" s="44"/>
      <c r="R10" s="34"/>
      <c r="S10" s="44"/>
      <c r="T10" s="33"/>
      <c r="U10" s="44"/>
      <c r="V10" s="34"/>
      <c r="W10" s="39"/>
    </row>
    <row r="11" spans="1:23" x14ac:dyDescent="0.2">
      <c r="A11" s="1"/>
      <c r="F11" s="1"/>
      <c r="G11" s="56"/>
      <c r="H11" s="4"/>
      <c r="I11" s="3"/>
      <c r="J11" s="3"/>
      <c r="N11" s="4"/>
      <c r="O11" s="4"/>
      <c r="P11" s="33"/>
      <c r="Q11" s="44"/>
      <c r="R11" s="34"/>
      <c r="S11" s="44"/>
      <c r="T11" s="33"/>
      <c r="U11" s="44"/>
      <c r="V11" s="34"/>
      <c r="W11" s="39"/>
    </row>
    <row r="12" spans="1:23" x14ac:dyDescent="0.2">
      <c r="A12" s="1"/>
      <c r="F12" s="1"/>
      <c r="G12" s="56"/>
      <c r="H12" s="4"/>
      <c r="I12" s="3"/>
      <c r="J12" s="3"/>
      <c r="N12" s="4"/>
      <c r="O12" s="4"/>
      <c r="P12" s="33"/>
      <c r="Q12" s="44"/>
      <c r="R12" s="34"/>
      <c r="S12" s="44"/>
      <c r="T12" s="33"/>
      <c r="U12" s="44"/>
      <c r="V12" s="34"/>
      <c r="W12" s="39"/>
    </row>
    <row r="13" spans="1:23" x14ac:dyDescent="0.2">
      <c r="A13" s="1"/>
      <c r="F13" s="1"/>
      <c r="G13" s="56"/>
      <c r="H13" s="4"/>
      <c r="I13" s="3"/>
      <c r="J13" s="3"/>
      <c r="N13" s="4"/>
      <c r="O13" s="4"/>
      <c r="P13" s="33"/>
      <c r="Q13" s="44"/>
      <c r="R13" s="34"/>
      <c r="S13" s="44"/>
      <c r="T13" s="33"/>
      <c r="U13" s="44"/>
      <c r="V13" s="34"/>
      <c r="W13" s="39"/>
    </row>
    <row r="14" spans="1:23" x14ac:dyDescent="0.2">
      <c r="A14" s="1"/>
      <c r="F14" s="1"/>
      <c r="G14" s="56"/>
      <c r="H14" s="4"/>
      <c r="I14" s="3"/>
      <c r="J14" s="3"/>
      <c r="N14" s="4"/>
      <c r="O14" s="4"/>
      <c r="P14" s="33"/>
      <c r="Q14" s="44"/>
      <c r="R14" s="34"/>
      <c r="S14" s="44"/>
      <c r="T14" s="33"/>
      <c r="U14" s="44"/>
      <c r="V14" s="34"/>
      <c r="W14" s="39"/>
    </row>
    <row r="15" spans="1:23" x14ac:dyDescent="0.2">
      <c r="A15" s="1"/>
      <c r="F15" s="1"/>
      <c r="G15" s="56"/>
      <c r="H15" s="4"/>
      <c r="I15" s="3"/>
      <c r="J15" s="3"/>
      <c r="N15" s="4"/>
      <c r="O15" s="4"/>
      <c r="P15" s="33"/>
      <c r="Q15" s="44"/>
      <c r="R15" s="34"/>
      <c r="S15" s="44"/>
      <c r="T15" s="33"/>
      <c r="U15" s="44"/>
      <c r="V15" s="34"/>
      <c r="W15" s="39"/>
    </row>
    <row r="16" spans="1:23" x14ac:dyDescent="0.2">
      <c r="A16" s="1"/>
      <c r="F16" s="1"/>
      <c r="G16" s="56"/>
      <c r="H16" s="4"/>
      <c r="I16" s="3"/>
      <c r="J16" s="3"/>
      <c r="N16" s="4"/>
      <c r="O16" s="4"/>
      <c r="P16" s="33"/>
      <c r="Q16" s="44"/>
      <c r="R16" s="34"/>
      <c r="S16" s="44"/>
      <c r="T16" s="33"/>
      <c r="U16" s="44"/>
      <c r="V16" s="34"/>
      <c r="W16" s="39"/>
    </row>
    <row r="17" spans="1:23" x14ac:dyDescent="0.2">
      <c r="A17" s="1"/>
      <c r="F17" s="1"/>
      <c r="G17" s="56"/>
      <c r="H17" s="4"/>
      <c r="I17" s="3"/>
      <c r="J17" s="3"/>
      <c r="N17" s="4"/>
      <c r="O17" s="4"/>
      <c r="P17" s="33"/>
      <c r="Q17" s="44"/>
      <c r="R17" s="34"/>
      <c r="S17" s="44"/>
      <c r="T17" s="33"/>
      <c r="U17" s="44"/>
      <c r="V17" s="34"/>
      <c r="W17" s="39"/>
    </row>
    <row r="18" spans="1:23" x14ac:dyDescent="0.2">
      <c r="A18" s="1"/>
      <c r="F18" s="1"/>
      <c r="G18" s="56"/>
      <c r="H18" s="4"/>
      <c r="I18" s="3"/>
      <c r="J18" s="3"/>
      <c r="N18" s="4"/>
      <c r="O18" s="4"/>
      <c r="P18" s="33"/>
      <c r="Q18" s="44"/>
      <c r="R18" s="34"/>
      <c r="S18" s="44"/>
      <c r="T18" s="33"/>
      <c r="U18" s="44"/>
      <c r="V18" s="34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4"/>
      <c r="R19" s="34"/>
      <c r="S19" s="44"/>
      <c r="T19" s="33"/>
      <c r="U19" s="44"/>
      <c r="V19" s="34"/>
      <c r="W19" s="39"/>
    </row>
    <row r="20" spans="1:23" x14ac:dyDescent="0.2">
      <c r="A20" s="1"/>
      <c r="F20" s="1"/>
      <c r="G20" s="56"/>
      <c r="H20" s="4"/>
      <c r="I20" s="3"/>
      <c r="J20" s="3"/>
      <c r="N20" s="4"/>
      <c r="O20" s="4"/>
      <c r="P20" s="33"/>
      <c r="Q20" s="44"/>
      <c r="R20" s="34"/>
      <c r="S20" s="44"/>
      <c r="T20" s="33"/>
      <c r="U20" s="44"/>
      <c r="V20" s="34"/>
      <c r="W20" s="39"/>
    </row>
    <row r="21" spans="1:23" x14ac:dyDescent="0.2">
      <c r="A21" s="1"/>
      <c r="F21" s="1"/>
      <c r="G21" s="56"/>
      <c r="H21" s="4"/>
      <c r="I21" s="3"/>
      <c r="J21" s="3"/>
      <c r="N21" s="4"/>
      <c r="O21" s="4"/>
      <c r="P21" s="33"/>
      <c r="Q21" s="44"/>
      <c r="R21" s="34"/>
      <c r="S21" s="44"/>
      <c r="T21" s="33"/>
      <c r="U21" s="44"/>
      <c r="V21" s="34"/>
      <c r="W21" s="39"/>
    </row>
    <row r="22" spans="1:23" x14ac:dyDescent="0.2">
      <c r="A22" s="1"/>
      <c r="F22" s="1"/>
      <c r="G22" s="56"/>
      <c r="H22" s="4"/>
      <c r="I22" s="3"/>
      <c r="J22" s="3"/>
      <c r="N22" s="4"/>
      <c r="O22" s="4"/>
      <c r="P22" s="33"/>
      <c r="Q22" s="44"/>
      <c r="R22" s="34"/>
      <c r="S22" s="44"/>
      <c r="T22" s="33"/>
      <c r="U22" s="44"/>
      <c r="V22" s="34"/>
      <c r="W22" s="39"/>
    </row>
    <row r="23" spans="1:23" x14ac:dyDescent="0.2">
      <c r="A23" s="1"/>
      <c r="F23" s="1"/>
      <c r="G23" s="56"/>
      <c r="H23" s="4"/>
      <c r="I23" s="3"/>
      <c r="J23" s="3"/>
      <c r="N23" s="4"/>
      <c r="O23" s="4"/>
      <c r="P23" s="33"/>
      <c r="Q23" s="44"/>
      <c r="R23" s="34"/>
      <c r="S23" s="44"/>
      <c r="T23" s="33"/>
      <c r="U23" s="44"/>
      <c r="V23" s="34"/>
      <c r="W23" s="39"/>
    </row>
    <row r="24" spans="1:23" x14ac:dyDescent="0.2">
      <c r="A24" s="1"/>
      <c r="F24" s="1"/>
      <c r="G24" s="56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A25" s="1"/>
      <c r="F25" s="1"/>
      <c r="G25" s="56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A26" s="1"/>
      <c r="F26" s="1"/>
      <c r="G26" s="56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A27" s="1"/>
      <c r="F27" s="1"/>
      <c r="G27" s="56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A28" s="1"/>
      <c r="F28" s="1"/>
      <c r="G28" s="56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A29" s="1"/>
      <c r="F29" s="1"/>
      <c r="G29" s="56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4"/>
      <c r="V29" s="34"/>
      <c r="W29" s="39"/>
    </row>
    <row r="30" spans="1:23" x14ac:dyDescent="0.2">
      <c r="F30" s="1"/>
      <c r="G30" s="56"/>
      <c r="H30" s="4"/>
      <c r="I30" s="3"/>
      <c r="J30" s="3"/>
      <c r="N30" s="4"/>
      <c r="O30" s="4"/>
      <c r="P30" s="33"/>
      <c r="Q30" s="44"/>
      <c r="R30" s="34"/>
      <c r="S30" s="44"/>
      <c r="T30" s="33"/>
      <c r="U30" s="44"/>
      <c r="V30" s="34"/>
      <c r="W30" s="39"/>
    </row>
    <row r="31" spans="1:23" x14ac:dyDescent="0.2">
      <c r="F31" s="1"/>
      <c r="G31" s="56"/>
      <c r="H31" s="4"/>
      <c r="I31" s="3"/>
      <c r="J31" s="3"/>
      <c r="N31" s="4"/>
      <c r="O31" s="4"/>
      <c r="P31" s="33"/>
      <c r="Q31" s="44"/>
      <c r="R31" s="34"/>
      <c r="S31" s="44"/>
      <c r="T31" s="33"/>
      <c r="U31" s="44"/>
      <c r="V31" s="34"/>
      <c r="W31" s="39"/>
    </row>
    <row r="32" spans="1:23" x14ac:dyDescent="0.2">
      <c r="F32" s="1"/>
      <c r="G32" s="56"/>
      <c r="H32" s="4"/>
      <c r="I32" s="3"/>
      <c r="J32" s="3"/>
      <c r="N32" s="4"/>
      <c r="O32" s="4"/>
      <c r="P32" s="33"/>
      <c r="Q32" s="44"/>
      <c r="R32" s="34"/>
      <c r="S32" s="44"/>
      <c r="T32" s="33"/>
      <c r="U32" s="44"/>
      <c r="V32" s="34"/>
      <c r="W32" s="39"/>
    </row>
    <row r="33" spans="6:23" x14ac:dyDescent="0.2">
      <c r="F33" s="1"/>
      <c r="G33" s="56"/>
      <c r="H33" s="4"/>
      <c r="I33" s="3"/>
      <c r="J33" s="3"/>
      <c r="N33" s="4"/>
      <c r="O33" s="4"/>
      <c r="P33" s="33"/>
      <c r="Q33" s="44"/>
      <c r="R33" s="34"/>
      <c r="S33" s="44"/>
      <c r="T33" s="33"/>
      <c r="U33" s="44"/>
      <c r="V33" s="34"/>
      <c r="W33" s="39"/>
    </row>
    <row r="34" spans="6:23" x14ac:dyDescent="0.2">
      <c r="F34" s="1"/>
      <c r="G34" s="56"/>
      <c r="H34" s="4"/>
      <c r="I34" s="3"/>
      <c r="J34" s="3"/>
      <c r="N34" s="4"/>
      <c r="O34" s="4"/>
      <c r="P34" s="33"/>
      <c r="Q34" s="44"/>
      <c r="R34" s="34"/>
      <c r="S34" s="44"/>
      <c r="T34" s="33"/>
      <c r="U34" s="44"/>
      <c r="V34" s="34"/>
      <c r="W34" s="39"/>
    </row>
    <row r="35" spans="6:23" x14ac:dyDescent="0.2">
      <c r="F35" s="1"/>
      <c r="G35" s="56"/>
      <c r="H35" s="4"/>
      <c r="I35" s="3"/>
      <c r="J35" s="3"/>
      <c r="N35" s="4"/>
      <c r="O35" s="4"/>
      <c r="P35" s="33"/>
      <c r="Q35" s="44"/>
      <c r="R35" s="34"/>
      <c r="S35" s="44"/>
      <c r="T35" s="33"/>
      <c r="U35" s="44"/>
      <c r="V35" s="34"/>
      <c r="W35" s="39"/>
    </row>
    <row r="36" spans="6:23" x14ac:dyDescent="0.2">
      <c r="F36" s="1"/>
      <c r="G36" s="56"/>
      <c r="H36" s="4"/>
      <c r="I36" s="3"/>
      <c r="J36" s="3"/>
      <c r="N36" s="4"/>
      <c r="O36" s="4"/>
      <c r="P36" s="33"/>
      <c r="Q36" s="44"/>
      <c r="R36" s="34"/>
      <c r="S36" s="44"/>
      <c r="T36" s="33"/>
      <c r="U36" s="44"/>
      <c r="V36" s="34"/>
      <c r="W36" s="39"/>
    </row>
    <row r="37" spans="6:23" x14ac:dyDescent="0.2">
      <c r="F37" s="1"/>
      <c r="G37" s="56"/>
      <c r="H37" s="4"/>
      <c r="I37" s="3"/>
      <c r="J37" s="3"/>
      <c r="N37" s="4"/>
      <c r="O37" s="4"/>
      <c r="P37" s="33"/>
      <c r="Q37" s="44"/>
      <c r="R37" s="34"/>
      <c r="S37" s="44"/>
      <c r="T37" s="33"/>
      <c r="U37" s="44"/>
      <c r="V37" s="34"/>
      <c r="W37" s="39"/>
    </row>
    <row r="38" spans="6:23" x14ac:dyDescent="0.2">
      <c r="F38" s="1"/>
      <c r="G38" s="56"/>
      <c r="H38" s="4"/>
      <c r="I38" s="3"/>
      <c r="J38" s="3"/>
      <c r="N38" s="4"/>
      <c r="O38" s="4"/>
      <c r="P38" s="33"/>
      <c r="Q38" s="44"/>
      <c r="R38" s="34"/>
      <c r="S38" s="44"/>
      <c r="T38" s="33"/>
      <c r="U38" s="44"/>
      <c r="V38" s="34"/>
      <c r="W38" s="39"/>
    </row>
    <row r="39" spans="6:23" x14ac:dyDescent="0.2">
      <c r="F39" s="1"/>
      <c r="G39" s="56"/>
      <c r="H39" s="4"/>
      <c r="I39" s="3"/>
      <c r="J39" s="3"/>
      <c r="N39" s="4"/>
      <c r="O39" s="4"/>
      <c r="P39" s="33"/>
      <c r="Q39" s="44"/>
      <c r="R39" s="34"/>
      <c r="S39" s="44"/>
      <c r="T39" s="33"/>
      <c r="U39" s="44"/>
      <c r="V39" s="34"/>
      <c r="W39" s="39"/>
    </row>
    <row r="40" spans="6:23" x14ac:dyDescent="0.2">
      <c r="F40" s="1"/>
      <c r="G40" s="56"/>
      <c r="H40" s="4"/>
      <c r="I40" s="3"/>
      <c r="J40" s="3"/>
      <c r="N40" s="4"/>
      <c r="O40" s="4"/>
      <c r="P40" s="33"/>
      <c r="Q40" s="44"/>
      <c r="R40" s="34"/>
      <c r="S40" s="44"/>
      <c r="T40" s="33"/>
      <c r="U40" s="44"/>
      <c r="V40" s="34"/>
      <c r="W40" s="39"/>
    </row>
    <row r="41" spans="6:23" x14ac:dyDescent="0.2">
      <c r="F41" s="1"/>
      <c r="H41" s="4"/>
      <c r="I41" s="3"/>
      <c r="J41" s="3"/>
      <c r="N41" s="4"/>
      <c r="O41" s="4"/>
      <c r="P41" s="33"/>
      <c r="Q41" s="44"/>
      <c r="R41" s="34"/>
      <c r="S41" s="44"/>
      <c r="T41" s="48"/>
      <c r="U41" s="46"/>
      <c r="V41" s="43"/>
      <c r="W41" s="39"/>
    </row>
    <row r="42" spans="6:23" x14ac:dyDescent="0.2">
      <c r="F42" s="1"/>
      <c r="H42" s="4"/>
      <c r="I42" s="3"/>
      <c r="J42" s="3"/>
      <c r="N42" s="4"/>
      <c r="O42" s="4"/>
      <c r="P42" s="33"/>
      <c r="Q42" s="45"/>
      <c r="R42" s="47"/>
      <c r="S42" s="45"/>
      <c r="T42" s="33"/>
      <c r="U42" s="44"/>
      <c r="V42" s="34"/>
      <c r="W42" s="39"/>
    </row>
    <row r="43" spans="6:23" x14ac:dyDescent="0.2">
      <c r="F43" s="1"/>
      <c r="H43" s="4"/>
      <c r="I43" s="3"/>
      <c r="J43" s="3"/>
      <c r="N43" s="4"/>
      <c r="O43" s="4"/>
      <c r="P43" s="33"/>
      <c r="Q43" s="45"/>
      <c r="R43" s="47"/>
      <c r="S43" s="45"/>
      <c r="T43" s="33"/>
      <c r="U43" s="44"/>
      <c r="V43" s="34"/>
      <c r="W43" s="39"/>
    </row>
    <row r="44" spans="6:23" x14ac:dyDescent="0.2">
      <c r="F44" s="1"/>
      <c r="H44" s="4"/>
      <c r="I44" s="3"/>
      <c r="J44" s="3"/>
      <c r="N44" s="4"/>
      <c r="O44" s="4"/>
      <c r="P44" s="33"/>
      <c r="Q44" s="45"/>
      <c r="R44" s="47"/>
      <c r="S44" s="45"/>
      <c r="T44" s="33"/>
      <c r="U44" s="44"/>
      <c r="V44" s="34"/>
      <c r="W44" s="39"/>
    </row>
    <row r="45" spans="6:23" x14ac:dyDescent="0.2">
      <c r="F45" s="1"/>
      <c r="H45" s="4"/>
      <c r="I45" s="3"/>
      <c r="J45" s="3"/>
      <c r="N45" s="4"/>
      <c r="O45" s="4"/>
      <c r="P45" s="33"/>
      <c r="Q45" s="45"/>
      <c r="R45" s="47"/>
      <c r="S45" s="45"/>
      <c r="T45" s="33"/>
      <c r="U45" s="44"/>
      <c r="V45" s="34"/>
      <c r="W45" s="39"/>
    </row>
    <row r="46" spans="6:23" x14ac:dyDescent="0.2">
      <c r="F46" s="1"/>
      <c r="H46" s="4"/>
      <c r="I46" s="3"/>
      <c r="J46" s="3"/>
      <c r="N46" s="4"/>
      <c r="O46" s="4"/>
      <c r="P46" s="33"/>
      <c r="Q46" s="45"/>
      <c r="R46" s="47"/>
      <c r="S46" s="45"/>
      <c r="T46" s="33"/>
      <c r="U46" s="44"/>
      <c r="V46" s="34"/>
      <c r="W46" s="39"/>
    </row>
    <row r="47" spans="6:23" x14ac:dyDescent="0.2">
      <c r="F47" s="1"/>
      <c r="H47" s="4"/>
      <c r="I47" s="3"/>
      <c r="J47" s="3"/>
      <c r="N47" s="4"/>
      <c r="O47" s="4"/>
      <c r="P47" s="33"/>
      <c r="Q47" s="44"/>
      <c r="R47" s="34"/>
      <c r="S47" s="45"/>
      <c r="T47" s="48"/>
      <c r="U47" s="46"/>
      <c r="V47" s="43"/>
      <c r="W47" s="39"/>
    </row>
    <row r="48" spans="6:23" x14ac:dyDescent="0.2">
      <c r="F48" s="1"/>
      <c r="H48" s="4"/>
      <c r="I48" s="3"/>
      <c r="J48" s="3"/>
      <c r="N48" s="4"/>
      <c r="O48" s="4"/>
      <c r="P48" s="33"/>
      <c r="Q48" s="44"/>
      <c r="R48" s="34"/>
      <c r="S48" s="45"/>
      <c r="T48" s="33"/>
      <c r="U48" s="44"/>
      <c r="V48" s="34"/>
      <c r="W48" s="39"/>
    </row>
    <row r="49" spans="14:23" x14ac:dyDescent="0.2"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14:23" x14ac:dyDescent="0.2"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14:23" x14ac:dyDescent="0.2"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14:23" x14ac:dyDescent="0.2">
      <c r="N52" s="4"/>
      <c r="O52" s="4"/>
      <c r="P52" s="33"/>
      <c r="Q52" s="44"/>
      <c r="R52" s="34"/>
      <c r="S52" s="44"/>
      <c r="T52" s="33"/>
      <c r="U52" s="44"/>
      <c r="V52" s="34"/>
      <c r="W52" s="39"/>
    </row>
    <row r="53" spans="14:23" x14ac:dyDescent="0.2"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14:23" x14ac:dyDescent="0.2"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14:23" x14ac:dyDescent="0.2"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14:23" x14ac:dyDescent="0.2"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14:23" x14ac:dyDescent="0.2"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14:23" x14ac:dyDescent="0.2">
      <c r="N58" s="4"/>
      <c r="O58" s="4"/>
      <c r="P58" s="33"/>
      <c r="Q58" s="44"/>
      <c r="R58" s="34"/>
      <c r="S58" s="44"/>
      <c r="T58" s="33"/>
      <c r="U58" s="44"/>
      <c r="V58" s="34"/>
      <c r="W58" s="39"/>
    </row>
    <row r="59" spans="14:23" x14ac:dyDescent="0.2">
      <c r="N59" s="4"/>
      <c r="O59" s="4"/>
      <c r="P59" s="33"/>
      <c r="Q59" s="44"/>
      <c r="R59" s="34"/>
      <c r="S59" s="44"/>
      <c r="T59" s="33"/>
      <c r="U59" s="44"/>
      <c r="V59" s="34"/>
      <c r="W59" s="39"/>
    </row>
    <row r="60" spans="14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14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14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14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14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  <row r="81" spans="14:23" x14ac:dyDescent="0.2">
      <c r="N81" s="4"/>
      <c r="O81" s="4"/>
      <c r="P81" s="33"/>
      <c r="Q81" s="44"/>
      <c r="R81" s="34"/>
      <c r="S81" s="44"/>
      <c r="T81" s="33"/>
      <c r="U81" s="44"/>
      <c r="V81" s="34"/>
      <c r="W81" s="39"/>
    </row>
    <row r="82" spans="14:23" x14ac:dyDescent="0.2">
      <c r="N82" s="4"/>
      <c r="O82" s="4"/>
      <c r="P82" s="33"/>
      <c r="Q82" s="44"/>
      <c r="R82" s="34"/>
      <c r="S82" s="44"/>
      <c r="T82" s="33"/>
      <c r="U82" s="44"/>
      <c r="V82" s="34"/>
      <c r="W82" s="39"/>
    </row>
    <row r="83" spans="14:23" x14ac:dyDescent="0.2">
      <c r="N83" s="4"/>
      <c r="O83" s="4"/>
      <c r="P83" s="33"/>
      <c r="Q83" s="44"/>
      <c r="R83" s="34"/>
      <c r="S83" s="44"/>
      <c r="T83" s="33"/>
      <c r="U83" s="44"/>
      <c r="V83" s="34"/>
      <c r="W83" s="39"/>
    </row>
    <row r="84" spans="14:23" x14ac:dyDescent="0.2">
      <c r="N84" s="4"/>
      <c r="O84" s="4"/>
      <c r="P84" s="33"/>
      <c r="Q84" s="44"/>
      <c r="R84" s="34"/>
      <c r="S84" s="44"/>
      <c r="T84" s="33"/>
      <c r="U84" s="44"/>
      <c r="V84" s="34"/>
      <c r="W84" s="39"/>
    </row>
    <row r="85" spans="14:23" x14ac:dyDescent="0.2">
      <c r="N85" s="4"/>
      <c r="O85" s="4"/>
      <c r="P85" s="33"/>
      <c r="Q85" s="44"/>
      <c r="R85" s="34"/>
      <c r="S85" s="44"/>
      <c r="T85" s="33"/>
      <c r="U85" s="44"/>
      <c r="V85" s="34"/>
      <c r="W85" s="39"/>
    </row>
    <row r="86" spans="14:23" x14ac:dyDescent="0.2">
      <c r="N86" s="4"/>
      <c r="O86" s="4"/>
      <c r="P86" s="33"/>
      <c r="Q86" s="44"/>
      <c r="R86" s="34"/>
      <c r="S86" s="44"/>
      <c r="T86" s="33"/>
      <c r="U86" s="44"/>
      <c r="V86" s="34"/>
      <c r="W86" s="39"/>
    </row>
    <row r="87" spans="14:23" x14ac:dyDescent="0.2">
      <c r="N87" s="4"/>
      <c r="O87" s="4"/>
      <c r="P87" s="33"/>
      <c r="Q87" s="44"/>
      <c r="R87" s="34"/>
      <c r="S87" s="44"/>
      <c r="T87" s="33"/>
      <c r="U87" s="44"/>
      <c r="V87" s="34"/>
      <c r="W87" s="39"/>
    </row>
    <row r="88" spans="14:23" x14ac:dyDescent="0.2">
      <c r="N88" s="4"/>
      <c r="O88" s="4"/>
      <c r="P88" s="33"/>
      <c r="Q88" s="44"/>
      <c r="R88" s="34"/>
      <c r="S88" s="44"/>
      <c r="T88" s="33"/>
      <c r="U88" s="44"/>
      <c r="V88" s="34"/>
      <c r="W88" s="39"/>
    </row>
    <row r="89" spans="14:23" x14ac:dyDescent="0.2">
      <c r="N89" s="4"/>
      <c r="O89" s="4"/>
      <c r="P89" s="33"/>
      <c r="Q89" s="44"/>
      <c r="R89" s="34"/>
      <c r="S89" s="44"/>
      <c r="T89" s="33"/>
      <c r="U89" s="44"/>
      <c r="V89" s="34"/>
      <c r="W89" s="39"/>
    </row>
    <row r="90" spans="14:23" x14ac:dyDescent="0.2">
      <c r="N90" s="4"/>
      <c r="O90" s="4"/>
      <c r="P90" s="33"/>
      <c r="Q90" s="44"/>
      <c r="R90" s="34"/>
      <c r="S90" s="44"/>
      <c r="T90" s="33"/>
      <c r="U90" s="44"/>
      <c r="V90" s="34"/>
      <c r="W90" s="39"/>
    </row>
    <row r="91" spans="14:23" x14ac:dyDescent="0.2">
      <c r="N91" s="4"/>
      <c r="O91" s="4"/>
      <c r="P91" s="33"/>
      <c r="Q91" s="44"/>
      <c r="R91" s="34"/>
      <c r="S91" s="44"/>
      <c r="T91" s="33"/>
      <c r="U91" s="44"/>
      <c r="V91" s="34"/>
      <c r="W91" s="39"/>
    </row>
    <row r="92" spans="14:23" x14ac:dyDescent="0.2">
      <c r="N92" s="4"/>
      <c r="O92" s="4"/>
      <c r="P92" s="33"/>
      <c r="Q92" s="44"/>
      <c r="R92" s="34"/>
      <c r="S92" s="44"/>
      <c r="T92" s="33"/>
      <c r="U92" s="44"/>
      <c r="V92" s="34"/>
      <c r="W92" s="39"/>
    </row>
  </sheetData>
  <sheetProtection sheet="1" formatCells="0" formatColumns="0" formatRows="0"/>
  <autoFilter ref="B1:W2" xr:uid="{00000000-0009-0000-0000-000004000000}"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sortState xmlns:xlrd2="http://schemas.microsoft.com/office/spreadsheetml/2017/richdata2" ref="B4:W4">
      <sortCondition ref="F1:F37"/>
    </sortState>
  </autoFilter>
  <mergeCells count="17">
    <mergeCell ref="N1:N2"/>
    <mergeCell ref="O1:O2"/>
    <mergeCell ref="P1:S1"/>
    <mergeCell ref="T1:W1"/>
    <mergeCell ref="M1:M2"/>
    <mergeCell ref="A1:A2"/>
    <mergeCell ref="B1:B2"/>
    <mergeCell ref="C1:C2"/>
    <mergeCell ref="D1:D2"/>
    <mergeCell ref="E1:E2"/>
    <mergeCell ref="L1:L2"/>
    <mergeCell ref="F1:F2"/>
    <mergeCell ref="H1:H2"/>
    <mergeCell ref="I1:I2"/>
    <mergeCell ref="J1:J2"/>
    <mergeCell ref="K1:K2"/>
    <mergeCell ref="G1:G2"/>
  </mergeCells>
  <conditionalFormatting sqref="A1:XFD1048576">
    <cfRule type="expression" dxfId="35" priority="5">
      <formula>IF($F1="17-21",1,0)</formula>
    </cfRule>
    <cfRule type="expression" dxfId="34" priority="6">
      <formula>IF($F1="15-16",1,0)</formula>
    </cfRule>
    <cfRule type="expression" dxfId="33" priority="7">
      <formula>IF($F1="13-14",1,0)</formula>
    </cfRule>
    <cfRule type="expression" dxfId="32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W92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43" style="38" bestFit="1" customWidth="1"/>
    <col min="3" max="3" width="8.6640625" style="38" bestFit="1" customWidth="1"/>
    <col min="4" max="4" width="23.332031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8.33203125" style="37" bestFit="1" customWidth="1"/>
    <col min="17" max="17" width="11.1640625" style="38" bestFit="1" customWidth="1"/>
    <col min="18" max="18" width="6.6640625" style="38" bestFit="1" customWidth="1"/>
    <col min="19" max="19" width="11" style="38" bestFit="1" customWidth="1"/>
    <col min="20" max="20" width="8.33203125" style="37" bestFit="1" customWidth="1"/>
    <col min="21" max="21" width="11.1640625" style="38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67" t="s">
        <v>2</v>
      </c>
      <c r="E1" s="69" t="s">
        <v>16</v>
      </c>
      <c r="F1" s="65" t="s">
        <v>17</v>
      </c>
      <c r="G1" s="65" t="s">
        <v>96</v>
      </c>
      <c r="H1" s="71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34</v>
      </c>
      <c r="P1" s="73" t="s">
        <v>121</v>
      </c>
      <c r="Q1" s="73"/>
      <c r="R1" s="73"/>
      <c r="S1" s="73"/>
      <c r="T1" s="73" t="s">
        <v>120</v>
      </c>
      <c r="U1" s="73"/>
      <c r="V1" s="73"/>
      <c r="W1" s="73"/>
    </row>
    <row r="2" spans="1:23" s="7" customFormat="1" ht="17" thickBot="1" x14ac:dyDescent="0.25">
      <c r="A2" s="66"/>
      <c r="B2" s="66"/>
      <c r="C2" s="66"/>
      <c r="D2" s="68"/>
      <c r="E2" s="70"/>
      <c r="F2" s="66"/>
      <c r="G2" s="66"/>
      <c r="H2" s="72"/>
      <c r="I2" s="66"/>
      <c r="J2" s="66"/>
      <c r="K2" s="66"/>
      <c r="L2" s="66"/>
      <c r="M2" s="66"/>
      <c r="N2" s="66"/>
      <c r="O2" s="66"/>
      <c r="P2" s="8" t="s">
        <v>20</v>
      </c>
      <c r="Q2" s="7" t="s">
        <v>21</v>
      </c>
      <c r="R2" s="7" t="s">
        <v>22</v>
      </c>
      <c r="S2" s="7" t="s">
        <v>24</v>
      </c>
      <c r="T2" s="8" t="s">
        <v>20</v>
      </c>
      <c r="U2" s="7" t="s">
        <v>21</v>
      </c>
      <c r="V2" s="7" t="s">
        <v>22</v>
      </c>
      <c r="W2" s="9" t="s">
        <v>24</v>
      </c>
    </row>
    <row r="3" spans="1:23" ht="17" thickTop="1" x14ac:dyDescent="0.2">
      <c r="A3" s="1" t="str">
        <f>IF(M3&lt;&gt;"",SUMPRODUCT((M$3:M$4&lt;&gt;"")*(F$3:F$4=F3)*(M$3:M$4&lt;M3))+1,IF(L3&lt;&gt;"",SUMPRODUCT((M$3:M$4&lt;&gt;"")*(F$3:F$4=F3))+SUMPRODUCT((L$3:L$4&lt;&gt;"")*(F$3:F$4=F3)*(L$3:L$4&lt;L3))+1,IF(K3="P",SUMPRODUCT((L$3:L$4&lt;&gt;"")*(F$3:F$4=F3))+SUMPRODUCT((M$3:M$4&lt;&gt;"")*(F$3:F$4=F3))+1+SUMPRODUCT((K$3:K$4="P")*(F$3:F$4=F3)*(H$3:H$4&gt;H3)*(L$3:L$4="")*(M$3:M$4="")),"")))</f>
        <v/>
      </c>
      <c r="B3" s="38" t="s">
        <v>97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Not Age Eligible</v>
      </c>
      <c r="G3" s="56"/>
      <c r="H3" s="4">
        <f t="shared" ref="H3" si="0">SUM(N3:O3)</f>
        <v>0</v>
      </c>
      <c r="I3" s="3" t="str">
        <f>IF(MAX(P3,R3,T3,V3)&gt;=LOOKUP(F3,'Qualifying Scores'!$A$4:$A$7,'Qualifying Scores'!$E$4:$E$7),"P","")</f>
        <v/>
      </c>
      <c r="J3" s="3" t="str">
        <f>IF(MAX(Q3,R3,U3,W3)&gt;=LOOKUP(F3,'Qualifying Scores'!$A$10:$A$13,'Qualifying Scores'!$E$10:$E$13),"P","")</f>
        <v/>
      </c>
      <c r="K3" s="3" t="str">
        <f>IF(OR(AND(P3&gt;=LOOKUP(F3,'Qualifying Scores'!$A$4:$A$7,'Qualifying Scores'!$E$4:$E$7),Q3&gt;=LOOKUP(F3,'Qualifying Scores'!$A$10:$A$13,'Qualifying Scores'!$E$10:$E$13)),AND(R3&gt;=LOOKUP(F3,'Qualifying Scores'!$A$4:$A$7,'Qualifying Scores'!$E$4:$E$7),S3&gt;=LOOKUP(F3,'Qualifying Scores'!$A$10:$A$13,'Qualifying Scores'!$E$10:$E$13)),AND(T3&gt;=LOOKUP(F3,'Qualifying Scores'!$A$4:$A$7,'Qualifying Scores'!$E$4:$E$7),U3&gt;=LOOKUP(F3,'Qualifying Scores'!$A$10:$A$13,'Qualifying Scores'!$E$10:$E$13)),AND(V3&gt;=LOOKUP(F3,'Qualifying Scores'!$A$4:$A$7,'Qualifying Scores'!$E$4:$E$7),W3&gt;=LOOKUP(F3,'Qualifying Scores'!$A$10:$A$13,'Qualifying Scores'!$E$10:$E$13))),"P","")</f>
        <v/>
      </c>
      <c r="N3" s="4">
        <f t="shared" ref="N3" si="1">MAX(P3,T3)</f>
        <v>0</v>
      </c>
      <c r="O3" s="4">
        <f t="shared" ref="O3" si="2">IF(N3=P3,MAX(R3,T3,V3),MAX(P3,R3,V3))</f>
        <v>0</v>
      </c>
      <c r="P3" s="33"/>
      <c r="Q3" s="44"/>
      <c r="R3" s="34"/>
      <c r="S3" s="44"/>
      <c r="T3" s="33"/>
      <c r="U3" s="44"/>
      <c r="V3" s="34"/>
      <c r="W3" s="39"/>
    </row>
    <row r="4" spans="1:23" x14ac:dyDescent="0.2">
      <c r="A4" s="1"/>
      <c r="F4" s="1"/>
      <c r="G4" s="56"/>
      <c r="H4" s="4"/>
      <c r="I4" s="3"/>
      <c r="J4" s="3"/>
      <c r="N4" s="4"/>
      <c r="O4" s="4"/>
      <c r="P4" s="33"/>
      <c r="Q4" s="44"/>
      <c r="R4" s="34"/>
      <c r="S4" s="44"/>
      <c r="T4" s="33"/>
      <c r="U4" s="44"/>
      <c r="V4" s="34"/>
      <c r="W4" s="39"/>
    </row>
    <row r="5" spans="1:23" x14ac:dyDescent="0.2">
      <c r="A5" s="1"/>
      <c r="F5" s="1"/>
      <c r="G5" s="56"/>
      <c r="H5" s="4"/>
      <c r="I5" s="3"/>
      <c r="J5" s="3"/>
      <c r="N5" s="4"/>
      <c r="O5" s="4"/>
      <c r="P5" s="33"/>
      <c r="Q5" s="44"/>
      <c r="R5" s="34"/>
      <c r="S5" s="44"/>
      <c r="T5" s="33"/>
      <c r="U5" s="44"/>
      <c r="V5" s="34"/>
      <c r="W5" s="39"/>
    </row>
    <row r="6" spans="1:23" x14ac:dyDescent="0.2">
      <c r="A6" s="1"/>
      <c r="F6" s="1"/>
      <c r="G6" s="56"/>
      <c r="H6" s="4"/>
      <c r="I6" s="3"/>
      <c r="J6" s="3"/>
      <c r="N6" s="4"/>
      <c r="O6" s="4"/>
      <c r="P6" s="33"/>
      <c r="Q6" s="44"/>
      <c r="R6" s="34"/>
      <c r="S6" s="44"/>
      <c r="T6" s="33"/>
      <c r="U6" s="44"/>
      <c r="V6" s="34"/>
      <c r="W6" s="39"/>
    </row>
    <row r="7" spans="1:23" x14ac:dyDescent="0.2">
      <c r="A7" s="1"/>
      <c r="F7" s="1"/>
      <c r="G7" s="56"/>
      <c r="H7" s="4"/>
      <c r="I7" s="3"/>
      <c r="J7" s="3"/>
      <c r="N7" s="4"/>
      <c r="O7" s="4"/>
      <c r="P7" s="33"/>
      <c r="Q7" s="44"/>
      <c r="R7" s="34"/>
      <c r="S7" s="44"/>
      <c r="T7" s="33"/>
      <c r="U7" s="44"/>
      <c r="V7" s="34"/>
      <c r="W7" s="39"/>
    </row>
    <row r="8" spans="1:23" x14ac:dyDescent="0.2">
      <c r="A8" s="1"/>
      <c r="F8" s="1"/>
      <c r="G8" s="56"/>
      <c r="H8" s="4"/>
      <c r="I8" s="3"/>
      <c r="J8" s="3"/>
      <c r="N8" s="4"/>
      <c r="O8" s="4"/>
      <c r="P8" s="33"/>
      <c r="Q8" s="44"/>
      <c r="R8" s="34"/>
      <c r="S8" s="45"/>
      <c r="T8" s="33"/>
      <c r="U8" s="44"/>
      <c r="V8" s="34"/>
      <c r="W8" s="39"/>
    </row>
    <row r="9" spans="1:23" x14ac:dyDescent="0.2">
      <c r="A9" s="1"/>
      <c r="F9" s="1"/>
      <c r="G9" s="56"/>
      <c r="H9" s="4"/>
      <c r="I9" s="3"/>
      <c r="J9" s="3"/>
      <c r="N9" s="4"/>
      <c r="O9" s="4"/>
      <c r="P9" s="33"/>
      <c r="Q9" s="44"/>
      <c r="R9" s="34"/>
      <c r="S9" s="44"/>
      <c r="T9" s="33"/>
      <c r="U9" s="44"/>
      <c r="V9" s="34"/>
      <c r="W9" s="39"/>
    </row>
    <row r="10" spans="1:23" x14ac:dyDescent="0.2">
      <c r="A10" s="1"/>
      <c r="F10" s="1"/>
      <c r="G10" s="56"/>
      <c r="H10" s="4"/>
      <c r="I10" s="3"/>
      <c r="J10" s="3"/>
      <c r="N10" s="4"/>
      <c r="O10" s="4"/>
      <c r="P10" s="33"/>
      <c r="Q10" s="44"/>
      <c r="R10" s="34"/>
      <c r="S10" s="44"/>
      <c r="T10" s="33"/>
      <c r="U10" s="44"/>
      <c r="V10" s="34"/>
      <c r="W10" s="39"/>
    </row>
    <row r="11" spans="1:23" x14ac:dyDescent="0.2">
      <c r="A11" s="1"/>
      <c r="F11" s="1"/>
      <c r="G11" s="56"/>
      <c r="H11" s="4"/>
      <c r="I11" s="3"/>
      <c r="J11" s="3"/>
      <c r="N11" s="4"/>
      <c r="O11" s="4"/>
      <c r="P11" s="33"/>
      <c r="Q11" s="44"/>
      <c r="R11" s="34"/>
      <c r="S11" s="44"/>
      <c r="T11" s="33"/>
      <c r="U11" s="44"/>
      <c r="V11" s="34"/>
      <c r="W11" s="39"/>
    </row>
    <row r="12" spans="1:23" x14ac:dyDescent="0.2">
      <c r="A12" s="1"/>
      <c r="F12" s="1"/>
      <c r="G12" s="56"/>
      <c r="H12" s="4"/>
      <c r="I12" s="3"/>
      <c r="J12" s="3"/>
      <c r="N12" s="4"/>
      <c r="O12" s="4"/>
      <c r="P12" s="33"/>
      <c r="Q12" s="44"/>
      <c r="R12" s="34"/>
      <c r="S12" s="44"/>
      <c r="T12" s="33"/>
      <c r="U12" s="44"/>
      <c r="V12" s="34"/>
      <c r="W12" s="39"/>
    </row>
    <row r="13" spans="1:23" x14ac:dyDescent="0.2">
      <c r="A13" s="1"/>
      <c r="F13" s="1"/>
      <c r="G13" s="56"/>
      <c r="H13" s="4"/>
      <c r="I13" s="3"/>
      <c r="J13" s="3"/>
      <c r="N13" s="4"/>
      <c r="O13" s="4"/>
      <c r="P13" s="33"/>
      <c r="Q13" s="44"/>
      <c r="R13" s="34"/>
      <c r="S13" s="44"/>
      <c r="T13" s="33"/>
      <c r="U13" s="44"/>
      <c r="V13" s="34"/>
      <c r="W13" s="39"/>
    </row>
    <row r="14" spans="1:23" x14ac:dyDescent="0.2">
      <c r="A14" s="1"/>
      <c r="F14" s="1"/>
      <c r="G14" s="56"/>
      <c r="H14" s="4"/>
      <c r="I14" s="3"/>
      <c r="J14" s="3"/>
      <c r="N14" s="4"/>
      <c r="O14" s="4"/>
      <c r="P14" s="33"/>
      <c r="Q14" s="44"/>
      <c r="R14" s="34"/>
      <c r="S14" s="44"/>
      <c r="T14" s="33"/>
      <c r="U14" s="44"/>
      <c r="V14" s="34"/>
      <c r="W14" s="39"/>
    </row>
    <row r="15" spans="1:23" x14ac:dyDescent="0.2">
      <c r="A15" s="1"/>
      <c r="F15" s="1"/>
      <c r="G15" s="56"/>
      <c r="H15" s="4"/>
      <c r="I15" s="3"/>
      <c r="J15" s="3"/>
      <c r="N15" s="4"/>
      <c r="O15" s="4"/>
      <c r="P15" s="33"/>
      <c r="Q15" s="44"/>
      <c r="R15" s="34"/>
      <c r="S15" s="44"/>
      <c r="T15" s="33"/>
      <c r="U15" s="44"/>
      <c r="V15" s="34"/>
      <c r="W15" s="39"/>
    </row>
    <row r="16" spans="1:23" x14ac:dyDescent="0.2">
      <c r="A16" s="1"/>
      <c r="F16" s="1"/>
      <c r="G16" s="56"/>
      <c r="H16" s="4"/>
      <c r="I16" s="3"/>
      <c r="J16" s="3"/>
      <c r="N16" s="4"/>
      <c r="O16" s="4"/>
      <c r="P16" s="33"/>
      <c r="Q16" s="44"/>
      <c r="R16" s="34"/>
      <c r="S16" s="44"/>
      <c r="T16" s="33"/>
      <c r="U16" s="44"/>
      <c r="V16" s="34"/>
      <c r="W16" s="39"/>
    </row>
    <row r="17" spans="1:23" x14ac:dyDescent="0.2">
      <c r="A17" s="1"/>
      <c r="F17" s="1"/>
      <c r="G17" s="56"/>
      <c r="H17" s="4"/>
      <c r="I17" s="3"/>
      <c r="J17" s="3"/>
      <c r="N17" s="4"/>
      <c r="O17" s="4"/>
      <c r="P17" s="33"/>
      <c r="Q17" s="44"/>
      <c r="R17" s="34"/>
      <c r="S17" s="44"/>
      <c r="T17" s="33"/>
      <c r="U17" s="44"/>
      <c r="V17" s="34"/>
      <c r="W17" s="39"/>
    </row>
    <row r="18" spans="1:23" x14ac:dyDescent="0.2">
      <c r="A18" s="1"/>
      <c r="F18" s="1"/>
      <c r="G18" s="56"/>
      <c r="H18" s="4"/>
      <c r="I18" s="3"/>
      <c r="J18" s="3"/>
      <c r="N18" s="4"/>
      <c r="O18" s="4"/>
      <c r="P18" s="33"/>
      <c r="Q18" s="44"/>
      <c r="R18" s="34"/>
      <c r="S18" s="44"/>
      <c r="T18" s="33"/>
      <c r="U18" s="44"/>
      <c r="V18" s="34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4"/>
      <c r="R19" s="34"/>
      <c r="S19" s="44"/>
      <c r="T19" s="33"/>
      <c r="U19" s="44"/>
      <c r="V19" s="34"/>
      <c r="W19" s="39"/>
    </row>
    <row r="20" spans="1:23" x14ac:dyDescent="0.2">
      <c r="A20" s="1"/>
      <c r="F20" s="1"/>
      <c r="G20" s="56"/>
      <c r="H20" s="4"/>
      <c r="I20" s="3"/>
      <c r="J20" s="3"/>
      <c r="N20" s="4"/>
      <c r="O20" s="4"/>
      <c r="P20" s="33"/>
      <c r="Q20" s="44"/>
      <c r="R20" s="34"/>
      <c r="S20" s="44"/>
      <c r="T20" s="33"/>
      <c r="U20" s="44"/>
      <c r="V20" s="34"/>
      <c r="W20" s="39"/>
    </row>
    <row r="21" spans="1:23" x14ac:dyDescent="0.2">
      <c r="A21" s="1"/>
      <c r="F21" s="1"/>
      <c r="G21" s="56"/>
      <c r="H21" s="4"/>
      <c r="I21" s="3"/>
      <c r="J21" s="3"/>
      <c r="N21" s="4"/>
      <c r="O21" s="4"/>
      <c r="P21" s="33"/>
      <c r="Q21" s="44"/>
      <c r="R21" s="34"/>
      <c r="S21" s="44"/>
      <c r="T21" s="33"/>
      <c r="U21" s="44"/>
      <c r="V21" s="34"/>
      <c r="W21" s="39"/>
    </row>
    <row r="22" spans="1:23" x14ac:dyDescent="0.2">
      <c r="A22" s="1"/>
      <c r="F22" s="1"/>
      <c r="G22" s="56"/>
      <c r="H22" s="4"/>
      <c r="I22" s="3"/>
      <c r="J22" s="3"/>
      <c r="N22" s="4"/>
      <c r="O22" s="4"/>
      <c r="P22" s="33"/>
      <c r="Q22" s="44"/>
      <c r="R22" s="34"/>
      <c r="S22" s="44"/>
      <c r="T22" s="33"/>
      <c r="U22" s="44"/>
      <c r="V22" s="34"/>
      <c r="W22" s="39"/>
    </row>
    <row r="23" spans="1:23" x14ac:dyDescent="0.2">
      <c r="A23" s="1"/>
      <c r="F23" s="1"/>
      <c r="G23" s="56"/>
      <c r="H23" s="4"/>
      <c r="I23" s="3"/>
      <c r="J23" s="3"/>
      <c r="N23" s="4"/>
      <c r="O23" s="4"/>
      <c r="P23" s="33"/>
      <c r="Q23" s="44"/>
      <c r="R23" s="34"/>
      <c r="S23" s="44"/>
      <c r="T23" s="33"/>
      <c r="U23" s="44"/>
      <c r="V23" s="34"/>
      <c r="W23" s="39"/>
    </row>
    <row r="24" spans="1:23" x14ac:dyDescent="0.2">
      <c r="A24" s="1"/>
      <c r="F24" s="1"/>
      <c r="G24" s="56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A25" s="1"/>
      <c r="F25" s="1"/>
      <c r="G25" s="56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A26" s="1"/>
      <c r="F26" s="1"/>
      <c r="G26" s="56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A27" s="1"/>
      <c r="F27" s="1"/>
      <c r="G27" s="56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A28" s="1"/>
      <c r="F28" s="1"/>
      <c r="G28" s="56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A29" s="1"/>
      <c r="F29" s="1"/>
      <c r="G29" s="56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4"/>
      <c r="V29" s="34"/>
      <c r="W29" s="39"/>
    </row>
    <row r="30" spans="1:23" x14ac:dyDescent="0.2">
      <c r="F30" s="1"/>
      <c r="G30" s="56"/>
      <c r="H30" s="4"/>
      <c r="I30" s="3"/>
      <c r="J30" s="3"/>
      <c r="N30" s="4"/>
      <c r="O30" s="4"/>
      <c r="P30" s="33"/>
      <c r="Q30" s="44"/>
      <c r="R30" s="34"/>
      <c r="S30" s="44"/>
      <c r="T30" s="33"/>
      <c r="U30" s="44"/>
      <c r="V30" s="34"/>
      <c r="W30" s="39"/>
    </row>
    <row r="31" spans="1:23" x14ac:dyDescent="0.2">
      <c r="F31" s="1"/>
      <c r="G31" s="56"/>
      <c r="H31" s="4"/>
      <c r="I31" s="3"/>
      <c r="J31" s="3"/>
      <c r="N31" s="4"/>
      <c r="O31" s="4"/>
      <c r="P31" s="33"/>
      <c r="Q31" s="44"/>
      <c r="R31" s="34"/>
      <c r="S31" s="44"/>
      <c r="T31" s="33"/>
      <c r="U31" s="44"/>
      <c r="V31" s="34"/>
      <c r="W31" s="39"/>
    </row>
    <row r="32" spans="1:23" x14ac:dyDescent="0.2">
      <c r="F32" s="1"/>
      <c r="G32" s="56"/>
      <c r="H32" s="4"/>
      <c r="I32" s="3"/>
      <c r="J32" s="3"/>
      <c r="N32" s="4"/>
      <c r="O32" s="4"/>
      <c r="P32" s="33"/>
      <c r="Q32" s="44"/>
      <c r="R32" s="34"/>
      <c r="S32" s="44"/>
      <c r="T32" s="33"/>
      <c r="U32" s="44"/>
      <c r="V32" s="34"/>
      <c r="W32" s="39"/>
    </row>
    <row r="33" spans="6:23" x14ac:dyDescent="0.2">
      <c r="F33" s="1"/>
      <c r="G33" s="56"/>
      <c r="H33" s="4"/>
      <c r="I33" s="3"/>
      <c r="J33" s="3"/>
      <c r="N33" s="4"/>
      <c r="O33" s="4"/>
      <c r="P33" s="33"/>
      <c r="Q33" s="44"/>
      <c r="R33" s="34"/>
      <c r="S33" s="44"/>
      <c r="T33" s="33"/>
      <c r="U33" s="44"/>
      <c r="V33" s="34"/>
      <c r="W33" s="39"/>
    </row>
    <row r="34" spans="6:23" x14ac:dyDescent="0.2">
      <c r="F34" s="1"/>
      <c r="G34" s="56"/>
      <c r="H34" s="4"/>
      <c r="I34" s="3"/>
      <c r="J34" s="3"/>
      <c r="N34" s="4"/>
      <c r="O34" s="4"/>
      <c r="P34" s="33"/>
      <c r="Q34" s="44"/>
      <c r="R34" s="34"/>
      <c r="S34" s="44"/>
      <c r="T34" s="33"/>
      <c r="U34" s="44"/>
      <c r="V34" s="34"/>
      <c r="W34" s="39"/>
    </row>
    <row r="35" spans="6:23" x14ac:dyDescent="0.2">
      <c r="F35" s="1"/>
      <c r="G35" s="56"/>
      <c r="H35" s="4"/>
      <c r="I35" s="3"/>
      <c r="J35" s="3"/>
      <c r="N35" s="4"/>
      <c r="O35" s="4"/>
      <c r="P35" s="33"/>
      <c r="Q35" s="44"/>
      <c r="R35" s="34"/>
      <c r="S35" s="44"/>
      <c r="T35" s="33"/>
      <c r="U35" s="44"/>
      <c r="V35" s="34"/>
      <c r="W35" s="39"/>
    </row>
    <row r="36" spans="6:23" x14ac:dyDescent="0.2">
      <c r="F36" s="1"/>
      <c r="G36" s="56"/>
      <c r="H36" s="4"/>
      <c r="I36" s="3"/>
      <c r="J36" s="3"/>
      <c r="N36" s="4"/>
      <c r="O36" s="4"/>
      <c r="P36" s="33"/>
      <c r="Q36" s="44"/>
      <c r="R36" s="34"/>
      <c r="S36" s="44"/>
      <c r="T36" s="33"/>
      <c r="U36" s="44"/>
      <c r="V36" s="34"/>
      <c r="W36" s="39"/>
    </row>
    <row r="37" spans="6:23" x14ac:dyDescent="0.2">
      <c r="F37" s="1"/>
      <c r="G37" s="56"/>
      <c r="H37" s="4"/>
      <c r="I37" s="3"/>
      <c r="J37" s="3"/>
      <c r="N37" s="4"/>
      <c r="O37" s="4"/>
      <c r="P37" s="33"/>
      <c r="Q37" s="44"/>
      <c r="R37" s="34"/>
      <c r="S37" s="44"/>
      <c r="T37" s="33"/>
      <c r="U37" s="44"/>
      <c r="V37" s="34"/>
      <c r="W37" s="39"/>
    </row>
    <row r="38" spans="6:23" x14ac:dyDescent="0.2">
      <c r="F38" s="1"/>
      <c r="G38" s="56"/>
      <c r="H38" s="4"/>
      <c r="I38" s="3"/>
      <c r="J38" s="3"/>
      <c r="N38" s="4"/>
      <c r="O38" s="4"/>
      <c r="P38" s="33"/>
      <c r="Q38" s="44"/>
      <c r="R38" s="34"/>
      <c r="S38" s="44"/>
      <c r="T38" s="33"/>
      <c r="U38" s="44"/>
      <c r="V38" s="34"/>
      <c r="W38" s="39"/>
    </row>
    <row r="39" spans="6:23" x14ac:dyDescent="0.2">
      <c r="F39" s="1"/>
      <c r="G39" s="56"/>
      <c r="H39" s="4"/>
      <c r="I39" s="3"/>
      <c r="J39" s="3"/>
      <c r="N39" s="4"/>
      <c r="O39" s="4"/>
      <c r="P39" s="33"/>
      <c r="Q39" s="44"/>
      <c r="R39" s="34"/>
      <c r="S39" s="44"/>
      <c r="T39" s="33"/>
      <c r="U39" s="44"/>
      <c r="V39" s="34"/>
      <c r="W39" s="39"/>
    </row>
    <row r="40" spans="6:23" x14ac:dyDescent="0.2">
      <c r="F40" s="1"/>
      <c r="G40" s="56"/>
      <c r="H40" s="4"/>
      <c r="I40" s="3"/>
      <c r="J40" s="3"/>
      <c r="N40" s="4"/>
      <c r="O40" s="4"/>
      <c r="P40" s="33"/>
      <c r="Q40" s="44"/>
      <c r="R40" s="34"/>
      <c r="S40" s="44"/>
      <c r="T40" s="33"/>
      <c r="U40" s="44"/>
      <c r="V40" s="34"/>
      <c r="W40" s="39"/>
    </row>
    <row r="41" spans="6:23" x14ac:dyDescent="0.2">
      <c r="F41" s="1"/>
      <c r="G41" s="56"/>
      <c r="H41" s="4"/>
      <c r="I41" s="3"/>
      <c r="J41" s="3"/>
      <c r="N41" s="4"/>
      <c r="O41" s="4"/>
      <c r="P41" s="33"/>
      <c r="Q41" s="44"/>
      <c r="R41" s="34"/>
      <c r="S41" s="44"/>
      <c r="T41" s="48"/>
      <c r="U41" s="46"/>
      <c r="V41" s="43"/>
      <c r="W41" s="39"/>
    </row>
    <row r="42" spans="6:23" x14ac:dyDescent="0.2">
      <c r="F42" s="1"/>
      <c r="G42" s="56"/>
      <c r="H42" s="4"/>
      <c r="I42" s="3"/>
      <c r="J42" s="3"/>
      <c r="N42" s="4"/>
      <c r="O42" s="4"/>
      <c r="P42" s="33"/>
      <c r="Q42" s="45"/>
      <c r="R42" s="47"/>
      <c r="S42" s="45"/>
      <c r="T42" s="33"/>
      <c r="U42" s="44"/>
      <c r="V42" s="34"/>
      <c r="W42" s="39"/>
    </row>
    <row r="43" spans="6:23" x14ac:dyDescent="0.2">
      <c r="F43" s="1"/>
      <c r="H43" s="4"/>
      <c r="I43" s="3"/>
      <c r="J43" s="3"/>
      <c r="N43" s="4"/>
      <c r="O43" s="4"/>
      <c r="P43" s="33"/>
      <c r="Q43" s="45"/>
      <c r="R43" s="47"/>
      <c r="S43" s="45"/>
      <c r="T43" s="33"/>
      <c r="U43" s="44"/>
      <c r="V43" s="34"/>
      <c r="W43" s="39"/>
    </row>
    <row r="44" spans="6:23" x14ac:dyDescent="0.2">
      <c r="F44" s="1"/>
      <c r="H44" s="4"/>
      <c r="I44" s="3"/>
      <c r="J44" s="3"/>
      <c r="N44" s="4"/>
      <c r="O44" s="4"/>
      <c r="P44" s="33"/>
      <c r="Q44" s="45"/>
      <c r="R44" s="47"/>
      <c r="S44" s="45"/>
      <c r="T44" s="33"/>
      <c r="U44" s="44"/>
      <c r="V44" s="34"/>
      <c r="W44" s="39"/>
    </row>
    <row r="45" spans="6:23" x14ac:dyDescent="0.2">
      <c r="F45" s="1"/>
      <c r="H45" s="4"/>
      <c r="I45" s="3"/>
      <c r="J45" s="3"/>
      <c r="N45" s="4"/>
      <c r="O45" s="4"/>
      <c r="P45" s="33"/>
      <c r="Q45" s="45"/>
      <c r="R45" s="47"/>
      <c r="S45" s="45"/>
      <c r="T45" s="33"/>
      <c r="U45" s="44"/>
      <c r="V45" s="34"/>
      <c r="W45" s="39"/>
    </row>
    <row r="46" spans="6:23" x14ac:dyDescent="0.2">
      <c r="F46" s="1"/>
      <c r="H46" s="4"/>
      <c r="I46" s="3"/>
      <c r="J46" s="3"/>
      <c r="N46" s="4"/>
      <c r="O46" s="4"/>
      <c r="P46" s="33"/>
      <c r="Q46" s="45"/>
      <c r="R46" s="47"/>
      <c r="S46" s="45"/>
      <c r="T46" s="33"/>
      <c r="U46" s="44"/>
      <c r="V46" s="34"/>
      <c r="W46" s="39"/>
    </row>
    <row r="47" spans="6:23" x14ac:dyDescent="0.2">
      <c r="F47" s="1"/>
      <c r="H47" s="4"/>
      <c r="I47" s="3"/>
      <c r="J47" s="3"/>
      <c r="N47" s="4"/>
      <c r="O47" s="4"/>
      <c r="P47" s="33"/>
      <c r="Q47" s="44"/>
      <c r="R47" s="34"/>
      <c r="S47" s="45"/>
      <c r="T47" s="48"/>
      <c r="U47" s="46"/>
      <c r="V47" s="43"/>
      <c r="W47" s="39"/>
    </row>
    <row r="48" spans="6:23" x14ac:dyDescent="0.2">
      <c r="F48" s="1"/>
      <c r="H48" s="4"/>
      <c r="I48" s="3"/>
      <c r="J48" s="3"/>
      <c r="N48" s="4"/>
      <c r="O48" s="4"/>
      <c r="P48" s="33"/>
      <c r="Q48" s="44"/>
      <c r="R48" s="34"/>
      <c r="S48" s="45"/>
      <c r="T48" s="33"/>
      <c r="U48" s="44"/>
      <c r="V48" s="34"/>
      <c r="W48" s="39"/>
    </row>
    <row r="49" spans="14:23" x14ac:dyDescent="0.2"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14:23" x14ac:dyDescent="0.2"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14:23" x14ac:dyDescent="0.2"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14:23" x14ac:dyDescent="0.2">
      <c r="N52" s="4"/>
      <c r="O52" s="4"/>
      <c r="P52" s="33"/>
      <c r="Q52" s="44"/>
      <c r="R52" s="34"/>
      <c r="S52" s="44"/>
      <c r="T52" s="33"/>
      <c r="U52" s="44"/>
      <c r="V52" s="34"/>
      <c r="W52" s="39"/>
    </row>
    <row r="53" spans="14:23" x14ac:dyDescent="0.2"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14:23" x14ac:dyDescent="0.2"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14:23" x14ac:dyDescent="0.2"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14:23" x14ac:dyDescent="0.2"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14:23" x14ac:dyDescent="0.2"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14:23" x14ac:dyDescent="0.2">
      <c r="N58" s="4"/>
      <c r="O58" s="4"/>
      <c r="P58" s="33"/>
      <c r="Q58" s="44"/>
      <c r="R58" s="34"/>
      <c r="S58" s="44"/>
      <c r="T58" s="33"/>
      <c r="U58" s="44"/>
      <c r="V58" s="34"/>
      <c r="W58" s="39"/>
    </row>
    <row r="59" spans="14:23" x14ac:dyDescent="0.2">
      <c r="N59" s="4"/>
      <c r="O59" s="4"/>
      <c r="P59" s="33"/>
      <c r="Q59" s="44"/>
      <c r="R59" s="34"/>
      <c r="S59" s="44"/>
      <c r="T59" s="33"/>
      <c r="U59" s="44"/>
      <c r="V59" s="34"/>
      <c r="W59" s="39"/>
    </row>
    <row r="60" spans="14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14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14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14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14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  <row r="81" spans="14:23" x14ac:dyDescent="0.2">
      <c r="N81" s="4"/>
      <c r="O81" s="4"/>
      <c r="P81" s="33"/>
      <c r="Q81" s="44"/>
      <c r="R81" s="34"/>
      <c r="S81" s="44"/>
      <c r="T81" s="33"/>
      <c r="U81" s="44"/>
      <c r="V81" s="34"/>
      <c r="W81" s="39"/>
    </row>
    <row r="82" spans="14:23" x14ac:dyDescent="0.2">
      <c r="N82" s="4"/>
      <c r="O82" s="4"/>
      <c r="P82" s="33"/>
      <c r="Q82" s="44"/>
      <c r="R82" s="34"/>
      <c r="S82" s="44"/>
      <c r="T82" s="33"/>
      <c r="U82" s="44"/>
      <c r="V82" s="34"/>
      <c r="W82" s="39"/>
    </row>
    <row r="83" spans="14:23" x14ac:dyDescent="0.2">
      <c r="N83" s="4"/>
      <c r="O83" s="4"/>
      <c r="P83" s="33"/>
      <c r="Q83" s="44"/>
      <c r="R83" s="34"/>
      <c r="S83" s="44"/>
      <c r="T83" s="33"/>
      <c r="U83" s="44"/>
      <c r="V83" s="34"/>
      <c r="W83" s="39"/>
    </row>
    <row r="84" spans="14:23" x14ac:dyDescent="0.2">
      <c r="N84" s="4"/>
      <c r="O84" s="4"/>
      <c r="P84" s="33"/>
      <c r="Q84" s="44"/>
      <c r="R84" s="34"/>
      <c r="S84" s="44"/>
      <c r="T84" s="33"/>
      <c r="U84" s="44"/>
      <c r="V84" s="34"/>
      <c r="W84" s="39"/>
    </row>
    <row r="85" spans="14:23" x14ac:dyDescent="0.2">
      <c r="N85" s="4"/>
      <c r="O85" s="4"/>
      <c r="P85" s="33"/>
      <c r="Q85" s="44"/>
      <c r="R85" s="34"/>
      <c r="S85" s="44"/>
      <c r="T85" s="33"/>
      <c r="U85" s="44"/>
      <c r="V85" s="34"/>
      <c r="W85" s="39"/>
    </row>
    <row r="86" spans="14:23" x14ac:dyDescent="0.2">
      <c r="N86" s="4"/>
      <c r="O86" s="4"/>
      <c r="P86" s="33"/>
      <c r="Q86" s="44"/>
      <c r="R86" s="34"/>
      <c r="S86" s="44"/>
      <c r="T86" s="33"/>
      <c r="U86" s="44"/>
      <c r="V86" s="34"/>
      <c r="W86" s="39"/>
    </row>
    <row r="87" spans="14:23" x14ac:dyDescent="0.2">
      <c r="N87" s="4"/>
      <c r="O87" s="4"/>
      <c r="P87" s="33"/>
      <c r="Q87" s="44"/>
      <c r="R87" s="34"/>
      <c r="S87" s="44"/>
      <c r="T87" s="33"/>
      <c r="U87" s="44"/>
      <c r="V87" s="34"/>
      <c r="W87" s="39"/>
    </row>
    <row r="88" spans="14:23" x14ac:dyDescent="0.2">
      <c r="N88" s="4"/>
      <c r="O88" s="4"/>
      <c r="P88" s="33"/>
      <c r="Q88" s="44"/>
      <c r="R88" s="34"/>
      <c r="S88" s="44"/>
      <c r="T88" s="33"/>
      <c r="U88" s="44"/>
      <c r="V88" s="34"/>
      <c r="W88" s="39"/>
    </row>
    <row r="89" spans="14:23" x14ac:dyDescent="0.2">
      <c r="N89" s="4"/>
      <c r="O89" s="4"/>
      <c r="P89" s="33"/>
      <c r="Q89" s="44"/>
      <c r="R89" s="34"/>
      <c r="S89" s="44"/>
      <c r="T89" s="33"/>
      <c r="U89" s="44"/>
      <c r="V89" s="34"/>
      <c r="W89" s="39"/>
    </row>
    <row r="90" spans="14:23" x14ac:dyDescent="0.2">
      <c r="N90" s="4"/>
      <c r="O90" s="4"/>
      <c r="P90" s="33"/>
      <c r="Q90" s="44"/>
      <c r="R90" s="34"/>
      <c r="S90" s="44"/>
      <c r="T90" s="33"/>
      <c r="U90" s="44"/>
      <c r="V90" s="34"/>
      <c r="W90" s="39"/>
    </row>
    <row r="91" spans="14:23" x14ac:dyDescent="0.2">
      <c r="N91" s="4"/>
      <c r="O91" s="4"/>
      <c r="P91" s="33"/>
      <c r="Q91" s="44"/>
      <c r="R91" s="34"/>
      <c r="S91" s="44"/>
      <c r="T91" s="33"/>
      <c r="U91" s="44"/>
      <c r="V91" s="34"/>
      <c r="W91" s="39"/>
    </row>
    <row r="92" spans="14:23" x14ac:dyDescent="0.2">
      <c r="N92" s="4"/>
      <c r="O92" s="4"/>
      <c r="P92" s="33"/>
      <c r="Q92" s="44"/>
      <c r="R92" s="34"/>
      <c r="S92" s="44"/>
      <c r="T92" s="33"/>
      <c r="U92" s="44"/>
      <c r="V92" s="34"/>
      <c r="W92" s="39"/>
    </row>
  </sheetData>
  <sheetProtection sheet="1" formatCells="0" formatColumns="0" formatRows="0"/>
  <autoFilter ref="B1:W2" xr:uid="{00000000-0009-0000-0000-000005000000}"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sortState xmlns:xlrd2="http://schemas.microsoft.com/office/spreadsheetml/2017/richdata2" ref="B4:W4">
      <sortCondition ref="F1:F37"/>
    </sortState>
  </autoFilter>
  <mergeCells count="17">
    <mergeCell ref="N1:N2"/>
    <mergeCell ref="O1:O2"/>
    <mergeCell ref="P1:S1"/>
    <mergeCell ref="T1:W1"/>
    <mergeCell ref="M1:M2"/>
    <mergeCell ref="A1:A2"/>
    <mergeCell ref="B1:B2"/>
    <mergeCell ref="C1:C2"/>
    <mergeCell ref="D1:D2"/>
    <mergeCell ref="E1:E2"/>
    <mergeCell ref="L1:L2"/>
    <mergeCell ref="F1:F2"/>
    <mergeCell ref="H1:H2"/>
    <mergeCell ref="I1:I2"/>
    <mergeCell ref="J1:J2"/>
    <mergeCell ref="K1:K2"/>
    <mergeCell ref="G1:G2"/>
  </mergeCells>
  <conditionalFormatting sqref="A1:XFD1048576">
    <cfRule type="expression" dxfId="31" priority="9">
      <formula>IF($F1="17-21",1,0)</formula>
    </cfRule>
    <cfRule type="expression" dxfId="30" priority="10">
      <formula>IF($F1="15-16",1,0)</formula>
    </cfRule>
    <cfRule type="expression" dxfId="29" priority="11">
      <formula>IF($F1="13-14",1,0)</formula>
    </cfRule>
    <cfRule type="expression" dxfId="28" priority="12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80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19.6640625" style="38" bestFit="1" customWidth="1"/>
    <col min="3" max="3" width="8.6640625" style="38" bestFit="1" customWidth="1"/>
    <col min="4" max="4" width="39.1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10.83203125" style="37" bestFit="1" customWidth="1"/>
    <col min="17" max="17" width="11.1640625" style="38" bestFit="1" customWidth="1"/>
    <col min="18" max="18" width="6.6640625" style="38" bestFit="1" customWidth="1"/>
    <col min="19" max="19" width="11" style="38" bestFit="1" customWidth="1"/>
    <col min="20" max="20" width="10.83203125" style="37" bestFit="1" customWidth="1"/>
    <col min="21" max="21" width="11.1640625" style="38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67" t="s">
        <v>2</v>
      </c>
      <c r="E1" s="69" t="s">
        <v>16</v>
      </c>
      <c r="F1" s="65" t="s">
        <v>17</v>
      </c>
      <c r="G1" s="65" t="s">
        <v>96</v>
      </c>
      <c r="H1" s="71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61</v>
      </c>
      <c r="P1" s="73" t="s">
        <v>121</v>
      </c>
      <c r="Q1" s="73"/>
      <c r="R1" s="73"/>
      <c r="S1" s="73"/>
      <c r="T1" s="73" t="s">
        <v>120</v>
      </c>
      <c r="U1" s="73"/>
      <c r="V1" s="73"/>
      <c r="W1" s="73"/>
    </row>
    <row r="2" spans="1:23" s="7" customFormat="1" ht="17" thickBot="1" x14ac:dyDescent="0.25">
      <c r="A2" s="66"/>
      <c r="B2" s="66"/>
      <c r="C2" s="66"/>
      <c r="D2" s="68"/>
      <c r="E2" s="70"/>
      <c r="F2" s="66"/>
      <c r="G2" s="66"/>
      <c r="H2" s="72"/>
      <c r="I2" s="66"/>
      <c r="J2" s="66"/>
      <c r="K2" s="66"/>
      <c r="L2" s="66"/>
      <c r="M2" s="66"/>
      <c r="N2" s="66"/>
      <c r="O2" s="66"/>
      <c r="P2" s="8" t="s">
        <v>36</v>
      </c>
      <c r="Q2" s="7" t="s">
        <v>62</v>
      </c>
      <c r="R2" s="7" t="s">
        <v>22</v>
      </c>
      <c r="S2" s="7" t="s">
        <v>24</v>
      </c>
      <c r="T2" s="8" t="s">
        <v>36</v>
      </c>
      <c r="U2" s="7" t="s">
        <v>62</v>
      </c>
      <c r="V2" s="7" t="s">
        <v>22</v>
      </c>
      <c r="W2" s="9" t="s">
        <v>24</v>
      </c>
    </row>
    <row r="3" spans="1:23" ht="17" thickTop="1" x14ac:dyDescent="0.2">
      <c r="A3" s="1">
        <f t="shared" ref="A3:A15" si="0">IF(M3&lt;&gt;"",SUMPRODUCT((M$3:M$16&lt;&gt;"")*(F$3:F$16=F3)*(M$3:M$16&lt;M3))+1,IF(L3&lt;&gt;"",SUMPRODUCT((M$3:M$16&lt;&gt;"")*(F$3:F$16=F3))+SUMPRODUCT((L$3:L$16&lt;&gt;"")*(F$3:F$16=F3)*(L$3:L$16&lt;L3))+1,IF(K3="P",SUMPRODUCT((L$3:L$16&lt;&gt;"")*(F$3:F$16=F3))+SUMPRODUCT((M$3:M$16&lt;&gt;"")*(F$3:F$16=F3))+1+SUMPRODUCT((K$3:K$16="P")*(F$3:F$16=F3)*(H$3:H$16&gt;H3)*(L$3:L$16="")*(M$3:M$16="")),"")))</f>
        <v>1</v>
      </c>
      <c r="B3" s="38" t="s">
        <v>82</v>
      </c>
      <c r="C3" s="38" t="s">
        <v>3</v>
      </c>
      <c r="D3" s="38" t="s">
        <v>133</v>
      </c>
      <c r="E3" s="37">
        <v>2003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/>
      <c r="H3" s="4">
        <f t="shared" ref="H3:H15" si="1">SUM(N3:O3)</f>
        <v>152.5</v>
      </c>
      <c r="I3" s="3" t="str">
        <f>IF(MAX(P3,R3,T3,V3)&gt;=LOOKUP(F3,'Qualifying Scores'!$A$4:$A$7,'Qualifying Scores'!$F$4:$F$7),"P","")</f>
        <v>P</v>
      </c>
      <c r="J3" s="3" t="str">
        <f>IF(MAX(Q3,S3,U3,W3)&gt;=LOOKUP(F3,'Qualifying Scores'!$A$10:$A$13,'Qualifying Scores'!$F$10:$F$13),"P","")</f>
        <v>P</v>
      </c>
      <c r="K3" s="3" t="str">
        <f>IF(OR(AND(P3&gt;=LOOKUP(F3,'Qualifying Scores'!$A$4:$A$7,'Qualifying Scores'!$F$4:$F$7),Q3&gt;=LOOKUP(F3,'Qualifying Scores'!$A$10:$A$13,'Qualifying Scores'!$F$10:$F$13)),AND(T3&gt;=LOOKUP(F3,'Qualifying Scores'!$A$4:$A$7,'Qualifying Scores'!$F$4:$F$7),U3&gt;=LOOKUP(F3,'Qualifying Scores'!$A$10:$A$13,'Qualifying Scores'!$F$10:$F$13)),AND(R3&gt;=LOOKUP(F3,'Qualifying Scores'!$A$4:$A$7,'Qualifying Scores'!$F$4:$F$7),S3&gt;=LOOKUP(F3,'Qualifying Scores'!$A$10:$A$13,'Qualifying Scores'!$F$10:$F$13)),AND(V3&gt;=LOOKUP(F3,'Qualifying Scores'!$A$4:$A$7,'Qualifying Scores'!$F$4:$F$7),W3&gt;=LOOKUP(F3,'Qualifying Scores'!$A$10:$A$13,'Qualifying Scores'!$F$10:$F$13))),"P","")</f>
        <v>P</v>
      </c>
      <c r="M3" s="42">
        <v>1</v>
      </c>
      <c r="N3" s="4">
        <f t="shared" ref="N3:N15" si="2">MAX(P3,T3)</f>
        <v>76.5</v>
      </c>
      <c r="O3" s="4">
        <f t="shared" ref="O3:O15" si="3">IF(N3=P3,MAX(R3,T3,V3),MAX(P3,R3,V3))</f>
        <v>76</v>
      </c>
      <c r="P3" s="33">
        <v>76</v>
      </c>
      <c r="Q3" s="44">
        <f>9.2+9.2</f>
        <v>18.399999999999999</v>
      </c>
      <c r="R3" s="34">
        <v>70.400000000000006</v>
      </c>
      <c r="S3" s="44">
        <f>8.1+6.4</f>
        <v>14.5</v>
      </c>
      <c r="T3" s="33">
        <v>76.5</v>
      </c>
      <c r="U3" s="44">
        <f>9.2+9.2</f>
        <v>18.399999999999999</v>
      </c>
      <c r="V3" s="34">
        <v>47.6</v>
      </c>
      <c r="W3" s="39">
        <f>2.8+3.6</f>
        <v>6.4</v>
      </c>
    </row>
    <row r="4" spans="1:23" x14ac:dyDescent="0.2">
      <c r="A4" s="1">
        <f t="shared" si="0"/>
        <v>2</v>
      </c>
      <c r="B4" s="38" t="s">
        <v>80</v>
      </c>
      <c r="C4" s="38" t="s">
        <v>4</v>
      </c>
      <c r="D4" s="38" t="s">
        <v>13</v>
      </c>
      <c r="E4" s="37">
        <v>2003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/>
      <c r="H4" s="4">
        <f t="shared" si="1"/>
        <v>145.89999999999998</v>
      </c>
      <c r="I4" s="3" t="str">
        <f>IF(MAX(P4,R4,T4,V4)&gt;=LOOKUP(F4,'Qualifying Scores'!$A$4:$A$7,'Qualifying Scores'!$F$4:$F$7),"P","")</f>
        <v>P</v>
      </c>
      <c r="J4" s="3" t="str">
        <f>IF(MAX(Q4,S4,U4,W4)&gt;=LOOKUP(F4,'Qualifying Scores'!$A$10:$A$13,'Qualifying Scores'!$F$10:$F$13),"P","")</f>
        <v>P</v>
      </c>
      <c r="K4" s="3" t="str">
        <f>IF(OR(AND(P4&gt;=LOOKUP(F4,'Qualifying Scores'!$A$4:$A$7,'Qualifying Scores'!$F$4:$F$7),Q4&gt;=LOOKUP(F4,'Qualifying Scores'!$A$10:$A$13,'Qualifying Scores'!$F$10:$F$13)),AND(T4&gt;=LOOKUP(F4,'Qualifying Scores'!$A$4:$A$7,'Qualifying Scores'!$F$4:$F$7),U4&gt;=LOOKUP(F4,'Qualifying Scores'!$A$10:$A$13,'Qualifying Scores'!$F$10:$F$13)),AND(R4&gt;=LOOKUP(F4,'Qualifying Scores'!$A$4:$A$7,'Qualifying Scores'!$F$4:$F$7),S4&gt;=LOOKUP(F4,'Qualifying Scores'!$A$10:$A$13,'Qualifying Scores'!$F$10:$F$13)),AND(V4&gt;=LOOKUP(F4,'Qualifying Scores'!$A$4:$A$7,'Qualifying Scores'!$F$4:$F$7),W4&gt;=LOOKUP(F4,'Qualifying Scores'!$A$10:$A$13,'Qualifying Scores'!$F$10:$F$13))),"P","")</f>
        <v>P</v>
      </c>
      <c r="M4" s="42">
        <v>2</v>
      </c>
      <c r="N4" s="4">
        <f t="shared" si="2"/>
        <v>74.599999999999994</v>
      </c>
      <c r="O4" s="4">
        <f t="shared" si="3"/>
        <v>71.3</v>
      </c>
      <c r="P4" s="33">
        <v>74.599999999999994</v>
      </c>
      <c r="Q4" s="44">
        <f>8.8+8.4</f>
        <v>17.200000000000003</v>
      </c>
      <c r="R4" s="34">
        <v>61.9</v>
      </c>
      <c r="S4" s="44">
        <f>4.8+8.9</f>
        <v>13.7</v>
      </c>
      <c r="T4" s="33">
        <v>71.3</v>
      </c>
      <c r="U4" s="44">
        <f>9.2+6.8</f>
        <v>16</v>
      </c>
      <c r="V4" s="34">
        <v>70.5</v>
      </c>
      <c r="W4" s="39">
        <f>7.2+7.2</f>
        <v>14.4</v>
      </c>
    </row>
    <row r="5" spans="1:23" x14ac:dyDescent="0.2">
      <c r="A5" s="1">
        <f t="shared" si="0"/>
        <v>3</v>
      </c>
      <c r="B5" s="38" t="s">
        <v>83</v>
      </c>
      <c r="C5" s="38" t="s">
        <v>5</v>
      </c>
      <c r="D5" s="38" t="s">
        <v>6</v>
      </c>
      <c r="E5" s="37">
        <v>2002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 t="s">
        <v>158</v>
      </c>
      <c r="H5" s="4">
        <f t="shared" si="1"/>
        <v>140.69999999999999</v>
      </c>
      <c r="I5" s="3" t="str">
        <f>IF(MAX(P5,R5,T5,V5)&gt;=LOOKUP(F5,'Qualifying Scores'!$A$4:$A$7,'Qualifying Scores'!$F$4:$F$7),"P","")</f>
        <v>P</v>
      </c>
      <c r="J5" s="3" t="str">
        <f>IF(MAX(Q5,S5,U5,W5)&gt;=LOOKUP(F5,'Qualifying Scores'!$A$10:$A$13,'Qualifying Scores'!$F$10:$F$13),"P","")</f>
        <v>P</v>
      </c>
      <c r="K5" s="3" t="str">
        <f>IF(OR(AND(P5&gt;=LOOKUP(F5,'Qualifying Scores'!$A$4:$A$7,'Qualifying Scores'!$F$4:$F$7),Q5&gt;=LOOKUP(F5,'Qualifying Scores'!$A$10:$A$13,'Qualifying Scores'!$F$10:$F$13)),AND(T5&gt;=LOOKUP(F5,'Qualifying Scores'!$A$4:$A$7,'Qualifying Scores'!$F$4:$F$7),U5&gt;=LOOKUP(F5,'Qualifying Scores'!$A$10:$A$13,'Qualifying Scores'!$F$10:$F$13)),AND(R5&gt;=LOOKUP(F5,'Qualifying Scores'!$A$4:$A$7,'Qualifying Scores'!$F$4:$F$7),S5&gt;=LOOKUP(F5,'Qualifying Scores'!$A$10:$A$13,'Qualifying Scores'!$F$10:$F$13)),AND(V5&gt;=LOOKUP(F5,'Qualifying Scores'!$A$4:$A$7,'Qualifying Scores'!$F$4:$F$7),W5&gt;=LOOKUP(F5,'Qualifying Scores'!$A$10:$A$13,'Qualifying Scores'!$F$10:$F$13))),"P","")</f>
        <v>P</v>
      </c>
      <c r="M5" s="42">
        <v>3</v>
      </c>
      <c r="N5" s="4">
        <f t="shared" si="2"/>
        <v>69.900000000000006</v>
      </c>
      <c r="O5" s="4">
        <f t="shared" si="3"/>
        <v>70.8</v>
      </c>
      <c r="P5" s="33">
        <v>69.900000000000006</v>
      </c>
      <c r="Q5" s="44">
        <f>7.2+7.2</f>
        <v>14.4</v>
      </c>
      <c r="R5" s="34">
        <v>70.8</v>
      </c>
      <c r="S5" s="44">
        <f>8.1+7.7</f>
        <v>15.8</v>
      </c>
      <c r="T5" s="33">
        <v>59.3</v>
      </c>
      <c r="U5" s="44">
        <f>8.4+2.8</f>
        <v>11.2</v>
      </c>
      <c r="V5" s="34"/>
      <c r="W5" s="39"/>
    </row>
    <row r="6" spans="1:23" x14ac:dyDescent="0.2">
      <c r="A6" s="1">
        <f t="shared" si="0"/>
        <v>4</v>
      </c>
      <c r="B6" s="38" t="s">
        <v>81</v>
      </c>
      <c r="C6" s="38" t="s">
        <v>5</v>
      </c>
      <c r="D6" s="38" t="s">
        <v>50</v>
      </c>
      <c r="E6" s="37">
        <v>2003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 t="s">
        <v>158</v>
      </c>
      <c r="H6" s="4">
        <f t="shared" si="1"/>
        <v>138.9</v>
      </c>
      <c r="I6" s="3" t="str">
        <f>IF(MAX(P6,R6,T6,V6)&gt;=LOOKUP(F6,'Qualifying Scores'!$A$4:$A$7,'Qualifying Scores'!$F$4:$F$7),"P","")</f>
        <v>P</v>
      </c>
      <c r="J6" s="3" t="str">
        <f>IF(MAX(Q6,S6,U6,W6)&gt;=LOOKUP(F6,'Qualifying Scores'!$A$10:$A$13,'Qualifying Scores'!$F$10:$F$13),"P","")</f>
        <v>P</v>
      </c>
      <c r="K6" s="3" t="str">
        <f>IF(OR(AND(P6&gt;=LOOKUP(F6,'Qualifying Scores'!$A$4:$A$7,'Qualifying Scores'!$F$4:$F$7),Q6&gt;=LOOKUP(F6,'Qualifying Scores'!$A$10:$A$13,'Qualifying Scores'!$F$10:$F$13)),AND(T6&gt;=LOOKUP(F6,'Qualifying Scores'!$A$4:$A$7,'Qualifying Scores'!$F$4:$F$7),U6&gt;=LOOKUP(F6,'Qualifying Scores'!$A$10:$A$13,'Qualifying Scores'!$F$10:$F$13)),AND(R6&gt;=LOOKUP(F6,'Qualifying Scores'!$A$4:$A$7,'Qualifying Scores'!$F$4:$F$7),S6&gt;=LOOKUP(F6,'Qualifying Scores'!$A$10:$A$13,'Qualifying Scores'!$F$10:$F$13)),AND(V6&gt;=LOOKUP(F6,'Qualifying Scores'!$A$4:$A$7,'Qualifying Scores'!$F$4:$F$7),W6&gt;=LOOKUP(F6,'Qualifying Scores'!$A$10:$A$13,'Qualifying Scores'!$F$10:$F$13))),"P","")</f>
        <v>P</v>
      </c>
      <c r="M6" s="42">
        <v>4</v>
      </c>
      <c r="N6" s="4">
        <f t="shared" si="2"/>
        <v>68.900000000000006</v>
      </c>
      <c r="O6" s="4">
        <f t="shared" si="3"/>
        <v>70</v>
      </c>
      <c r="P6" s="33">
        <v>68.900000000000006</v>
      </c>
      <c r="Q6" s="44">
        <f>7.6+7.2</f>
        <v>14.8</v>
      </c>
      <c r="R6" s="34">
        <v>70</v>
      </c>
      <c r="S6" s="44">
        <f>7.6+7.2</f>
        <v>14.8</v>
      </c>
      <c r="T6" s="33">
        <v>63.2</v>
      </c>
      <c r="U6" s="44">
        <f>6.8+3.9</f>
        <v>10.7</v>
      </c>
      <c r="V6" s="34">
        <v>68.599999999999994</v>
      </c>
      <c r="W6" s="39">
        <f>8+7.2</f>
        <v>15.2</v>
      </c>
    </row>
    <row r="7" spans="1:23" x14ac:dyDescent="0.2">
      <c r="A7" s="1">
        <f t="shared" si="0"/>
        <v>5</v>
      </c>
      <c r="B7" s="38" t="s">
        <v>94</v>
      </c>
      <c r="C7" s="38" t="s">
        <v>4</v>
      </c>
      <c r="D7" s="38" t="s">
        <v>93</v>
      </c>
      <c r="E7" s="37">
        <v>2003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/>
      <c r="H7" s="4">
        <f t="shared" si="1"/>
        <v>137.80000000000001</v>
      </c>
      <c r="I7" s="3" t="str">
        <f>IF(MAX(P7,R7,T7,V7)&gt;=LOOKUP(F7,'Qualifying Scores'!$A$4:$A$7,'Qualifying Scores'!$F$4:$F$7),"P","")</f>
        <v>P</v>
      </c>
      <c r="J7" s="3" t="str">
        <f>IF(MAX(Q7,S7,U7,W7)&gt;=LOOKUP(F7,'Qualifying Scores'!$A$10:$A$13,'Qualifying Scores'!$F$10:$F$13),"P","")</f>
        <v>P</v>
      </c>
      <c r="K7" s="3" t="str">
        <f>IF(OR(AND(P7&gt;=LOOKUP(F7,'Qualifying Scores'!$A$4:$A$7,'Qualifying Scores'!$F$4:$F$7),Q7&gt;=LOOKUP(F7,'Qualifying Scores'!$A$10:$A$13,'Qualifying Scores'!$F$10:$F$13)),AND(T7&gt;=LOOKUP(F7,'Qualifying Scores'!$A$4:$A$7,'Qualifying Scores'!$F$4:$F$7),U7&gt;=LOOKUP(F7,'Qualifying Scores'!$A$10:$A$13,'Qualifying Scores'!$F$10:$F$13)),AND(R7&gt;=LOOKUP(F7,'Qualifying Scores'!$A$4:$A$7,'Qualifying Scores'!$F$4:$F$7),S7&gt;=LOOKUP(F7,'Qualifying Scores'!$A$10:$A$13,'Qualifying Scores'!$F$10:$F$13)),AND(V7&gt;=LOOKUP(F7,'Qualifying Scores'!$A$4:$A$7,'Qualifying Scores'!$F$4:$F$7),W7&gt;=LOOKUP(F7,'Qualifying Scores'!$A$10:$A$13,'Qualifying Scores'!$F$10:$F$13))),"P","")</f>
        <v>P</v>
      </c>
      <c r="N7" s="4">
        <f t="shared" si="2"/>
        <v>69.2</v>
      </c>
      <c r="O7" s="4">
        <f t="shared" si="3"/>
        <v>68.599999999999994</v>
      </c>
      <c r="P7" s="33">
        <v>68.599999999999994</v>
      </c>
      <c r="Q7" s="44">
        <f>7.3+6</f>
        <v>13.3</v>
      </c>
      <c r="R7" s="34">
        <v>56.4</v>
      </c>
      <c r="S7" s="44">
        <f>3.5+3.1</f>
        <v>6.6</v>
      </c>
      <c r="T7" s="33">
        <v>69.2</v>
      </c>
      <c r="U7" s="44">
        <f>5.6+7.7</f>
        <v>13.3</v>
      </c>
      <c r="V7" s="34">
        <v>22.4</v>
      </c>
      <c r="W7" s="39">
        <f>0+2.4</f>
        <v>2.4</v>
      </c>
    </row>
    <row r="8" spans="1:23" x14ac:dyDescent="0.2">
      <c r="A8" s="1">
        <f t="shared" si="0"/>
        <v>6</v>
      </c>
      <c r="B8" s="38" t="s">
        <v>53</v>
      </c>
      <c r="C8" s="38" t="s">
        <v>3</v>
      </c>
      <c r="D8" s="38" t="s">
        <v>54</v>
      </c>
      <c r="E8" s="37">
        <v>2000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17-21</v>
      </c>
      <c r="G8" s="56" t="s">
        <v>158</v>
      </c>
      <c r="H8" s="4">
        <f t="shared" si="1"/>
        <v>133.6</v>
      </c>
      <c r="I8" s="3" t="str">
        <f>IF(MAX(P8,R8,T8,V8)&gt;=LOOKUP(F8,'Qualifying Scores'!$A$4:$A$7,'Qualifying Scores'!$F$4:$F$7),"P","")</f>
        <v>P</v>
      </c>
      <c r="J8" s="3" t="str">
        <f>IF(MAX(Q8,S8,U8,W8)&gt;=LOOKUP(F8,'Qualifying Scores'!$A$10:$A$13,'Qualifying Scores'!$F$10:$F$13),"P","")</f>
        <v>P</v>
      </c>
      <c r="K8" s="3" t="str">
        <f>IF(OR(AND(P8&gt;=LOOKUP(F8,'Qualifying Scores'!$A$4:$A$7,'Qualifying Scores'!$F$4:$F$7),Q8&gt;=LOOKUP(F8,'Qualifying Scores'!$A$10:$A$13,'Qualifying Scores'!$F$10:$F$13)),AND(T8&gt;=LOOKUP(F8,'Qualifying Scores'!$A$4:$A$7,'Qualifying Scores'!$F$4:$F$7),U8&gt;=LOOKUP(F8,'Qualifying Scores'!$A$10:$A$13,'Qualifying Scores'!$F$10:$F$13)),AND(R8&gt;=LOOKUP(F8,'Qualifying Scores'!$A$4:$A$7,'Qualifying Scores'!$F$4:$F$7),S8&gt;=LOOKUP(F8,'Qualifying Scores'!$A$10:$A$13,'Qualifying Scores'!$F$10:$F$13)),AND(V8&gt;=LOOKUP(F8,'Qualifying Scores'!$A$4:$A$7,'Qualifying Scores'!$F$4:$F$7),W8&gt;=LOOKUP(F8,'Qualifying Scores'!$A$10:$A$13,'Qualifying Scores'!$F$10:$F$13))),"P","")</f>
        <v>P</v>
      </c>
      <c r="N8" s="4">
        <f t="shared" si="2"/>
        <v>67</v>
      </c>
      <c r="O8" s="4">
        <f t="shared" si="3"/>
        <v>66.599999999999994</v>
      </c>
      <c r="P8" s="33">
        <v>66.2</v>
      </c>
      <c r="Q8" s="44">
        <f>6+5.2</f>
        <v>11.2</v>
      </c>
      <c r="R8" s="34">
        <v>66.599999999999994</v>
      </c>
      <c r="S8" s="44">
        <f>5.2+5.2</f>
        <v>10.4</v>
      </c>
      <c r="T8" s="33">
        <v>67</v>
      </c>
      <c r="U8" s="44">
        <f>6.8+6.4</f>
        <v>13.2</v>
      </c>
      <c r="V8" s="34">
        <v>65.5</v>
      </c>
      <c r="W8" s="39">
        <f>5.2+5.2</f>
        <v>10.4</v>
      </c>
    </row>
    <row r="9" spans="1:23" x14ac:dyDescent="0.2">
      <c r="A9" s="1">
        <f t="shared" si="0"/>
        <v>7</v>
      </c>
      <c r="B9" s="38" t="s">
        <v>103</v>
      </c>
      <c r="C9" s="38" t="s">
        <v>5</v>
      </c>
      <c r="D9" s="38" t="s">
        <v>50</v>
      </c>
      <c r="E9" s="37">
        <v>2002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/>
      <c r="H9" s="4">
        <f t="shared" si="1"/>
        <v>127.7</v>
      </c>
      <c r="I9" s="3" t="str">
        <f>IF(MAX(P9,R9,T9,V9)&gt;=LOOKUP(F9,'Qualifying Scores'!$A$4:$A$7,'Qualifying Scores'!$F$4:$F$7),"P","")</f>
        <v>P</v>
      </c>
      <c r="J9" s="3" t="str">
        <f>IF(MAX(Q9,S9,U9,W9)&gt;=LOOKUP(F9,'Qualifying Scores'!$A$10:$A$13,'Qualifying Scores'!$F$10:$F$13),"P","")</f>
        <v>P</v>
      </c>
      <c r="K9" s="3" t="str">
        <f>IF(OR(AND(P9&gt;=LOOKUP(F9,'Qualifying Scores'!$A$4:$A$7,'Qualifying Scores'!$F$4:$F$7),Q9&gt;=LOOKUP(F9,'Qualifying Scores'!$A$10:$A$13,'Qualifying Scores'!$F$10:$F$13)),AND(T9&gt;=LOOKUP(F9,'Qualifying Scores'!$A$4:$A$7,'Qualifying Scores'!$F$4:$F$7),U9&gt;=LOOKUP(F9,'Qualifying Scores'!$A$10:$A$13,'Qualifying Scores'!$F$10:$F$13)),AND(R9&gt;=LOOKUP(F9,'Qualifying Scores'!$A$4:$A$7,'Qualifying Scores'!$F$4:$F$7),S9&gt;=LOOKUP(F9,'Qualifying Scores'!$A$10:$A$13,'Qualifying Scores'!$F$10:$F$13)),AND(V9&gt;=LOOKUP(F9,'Qualifying Scores'!$A$4:$A$7,'Qualifying Scores'!$F$4:$F$7),W9&gt;=LOOKUP(F9,'Qualifying Scores'!$A$10:$A$13,'Qualifying Scores'!$F$10:$F$13))),"P","")</f>
        <v>P</v>
      </c>
      <c r="N9" s="4">
        <f t="shared" si="2"/>
        <v>66.900000000000006</v>
      </c>
      <c r="O9" s="4">
        <f t="shared" si="3"/>
        <v>60.8</v>
      </c>
      <c r="P9" s="33">
        <v>66.900000000000006</v>
      </c>
      <c r="Q9" s="44">
        <f>6+6</f>
        <v>12</v>
      </c>
      <c r="R9" s="34">
        <v>60.8</v>
      </c>
      <c r="S9" s="44">
        <f>5.6+5.2</f>
        <v>10.8</v>
      </c>
      <c r="T9" s="33">
        <v>54.5</v>
      </c>
      <c r="U9" s="44">
        <f>6+2.8</f>
        <v>8.8000000000000007</v>
      </c>
      <c r="V9" s="34"/>
      <c r="W9" s="39"/>
    </row>
    <row r="10" spans="1:23" x14ac:dyDescent="0.2">
      <c r="A10" s="1" t="str">
        <f t="shared" si="0"/>
        <v/>
      </c>
      <c r="B10" s="38" t="s">
        <v>145</v>
      </c>
      <c r="C10" s="38" t="s">
        <v>8</v>
      </c>
      <c r="D10" s="38" t="s">
        <v>10</v>
      </c>
      <c r="E10" s="37">
        <v>2000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G10" s="56"/>
      <c r="H10" s="4">
        <f t="shared" si="1"/>
        <v>127.6</v>
      </c>
      <c r="I10" s="3" t="str">
        <f>IF(MAX(P10,R10,T10,V10)&gt;=LOOKUP(F10,'Qualifying Scores'!$A$4:$A$7,'Qualifying Scores'!$F$4:$F$7),"P","")</f>
        <v/>
      </c>
      <c r="J10" s="3" t="str">
        <f>IF(MAX(Q10,S10,U10,W10)&gt;=LOOKUP(F10,'Qualifying Scores'!$A$10:$A$13,'Qualifying Scores'!$F$10:$F$13),"P","")</f>
        <v>P</v>
      </c>
      <c r="K10" s="3" t="str">
        <f>IF(OR(AND(P10&gt;=LOOKUP(F10,'Qualifying Scores'!$A$4:$A$7,'Qualifying Scores'!$F$4:$F$7),Q10&gt;=LOOKUP(F10,'Qualifying Scores'!$A$10:$A$13,'Qualifying Scores'!$F$10:$F$13)),AND(T10&gt;=LOOKUP(F10,'Qualifying Scores'!$A$4:$A$7,'Qualifying Scores'!$F$4:$F$7),U10&gt;=LOOKUP(F10,'Qualifying Scores'!$A$10:$A$13,'Qualifying Scores'!$F$10:$F$13)),AND(R10&gt;=LOOKUP(F10,'Qualifying Scores'!$A$4:$A$7,'Qualifying Scores'!$F$4:$F$7),S10&gt;=LOOKUP(F10,'Qualifying Scores'!$A$10:$A$13,'Qualifying Scores'!$F$10:$F$13)),AND(V10&gt;=LOOKUP(F10,'Qualifying Scores'!$A$4:$A$7,'Qualifying Scores'!$F$4:$F$7),W10&gt;=LOOKUP(F10,'Qualifying Scores'!$A$10:$A$13,'Qualifying Scores'!$F$10:$F$13))),"P","")</f>
        <v/>
      </c>
      <c r="N10" s="4">
        <f t="shared" si="2"/>
        <v>63.6</v>
      </c>
      <c r="O10" s="4">
        <f t="shared" si="3"/>
        <v>64</v>
      </c>
      <c r="P10" s="33"/>
      <c r="Q10" s="44"/>
      <c r="R10" s="34"/>
      <c r="S10" s="44"/>
      <c r="T10" s="33">
        <v>63.6</v>
      </c>
      <c r="U10" s="44">
        <v>12</v>
      </c>
      <c r="V10" s="34">
        <v>64</v>
      </c>
      <c r="W10" s="39">
        <v>10.6</v>
      </c>
    </row>
    <row r="11" spans="1:23" x14ac:dyDescent="0.2">
      <c r="A11" s="1" t="str">
        <f t="shared" si="0"/>
        <v/>
      </c>
      <c r="B11" s="38" t="s">
        <v>146</v>
      </c>
      <c r="C11" s="38" t="s">
        <v>3</v>
      </c>
      <c r="D11" s="38" t="s">
        <v>132</v>
      </c>
      <c r="E11" s="37">
        <v>2000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/>
      <c r="H11" s="4">
        <f t="shared" si="1"/>
        <v>122.4</v>
      </c>
      <c r="I11" s="3" t="str">
        <f>IF(MAX(P11,R11,T11,V11)&gt;=LOOKUP(F11,'Qualifying Scores'!$A$4:$A$7,'Qualifying Scores'!$F$4:$F$7),"P","")</f>
        <v/>
      </c>
      <c r="J11" s="3" t="str">
        <f>IF(MAX(Q11,S11,U11,W11)&gt;=LOOKUP(F11,'Qualifying Scores'!$A$10:$A$13,'Qualifying Scores'!$F$10:$F$13),"P","")</f>
        <v>P</v>
      </c>
      <c r="K11" s="3" t="str">
        <f>IF(OR(AND(P11&gt;=LOOKUP(F11,'Qualifying Scores'!$A$4:$A$7,'Qualifying Scores'!$F$4:$F$7),Q11&gt;=LOOKUP(F11,'Qualifying Scores'!$A$10:$A$13,'Qualifying Scores'!$F$10:$F$13)),AND(T11&gt;=LOOKUP(F11,'Qualifying Scores'!$A$4:$A$7,'Qualifying Scores'!$F$4:$F$7),U11&gt;=LOOKUP(F11,'Qualifying Scores'!$A$10:$A$13,'Qualifying Scores'!$F$10:$F$13)),AND(R11&gt;=LOOKUP(F11,'Qualifying Scores'!$A$4:$A$7,'Qualifying Scores'!$F$4:$F$7),S11&gt;=LOOKUP(F11,'Qualifying Scores'!$A$10:$A$13,'Qualifying Scores'!$F$10:$F$13)),AND(V11&gt;=LOOKUP(F11,'Qualifying Scores'!$A$4:$A$7,'Qualifying Scores'!$F$4:$F$7),W11&gt;=LOOKUP(F11,'Qualifying Scores'!$A$10:$A$13,'Qualifying Scores'!$F$10:$F$13))),"P","")</f>
        <v/>
      </c>
      <c r="N11" s="4">
        <f t="shared" si="2"/>
        <v>65.900000000000006</v>
      </c>
      <c r="O11" s="4">
        <f t="shared" si="3"/>
        <v>56.5</v>
      </c>
      <c r="P11" s="33"/>
      <c r="Q11" s="44"/>
      <c r="R11" s="34"/>
      <c r="S11" s="44"/>
      <c r="T11" s="33">
        <v>65.900000000000006</v>
      </c>
      <c r="U11" s="44">
        <f>6.8+6</f>
        <v>12.8</v>
      </c>
      <c r="V11" s="34">
        <v>56.5</v>
      </c>
      <c r="W11" s="39">
        <f>3.2+6.8</f>
        <v>10</v>
      </c>
    </row>
    <row r="12" spans="1:23" x14ac:dyDescent="0.2">
      <c r="A12" s="1" t="str">
        <f t="shared" si="0"/>
        <v/>
      </c>
      <c r="B12" s="38" t="s">
        <v>104</v>
      </c>
      <c r="C12" s="38" t="s">
        <v>4</v>
      </c>
      <c r="D12" s="38" t="s">
        <v>126</v>
      </c>
      <c r="E12" s="37">
        <v>2003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/>
      <c r="H12" s="4">
        <f t="shared" si="1"/>
        <v>120.1</v>
      </c>
      <c r="I12" s="3" t="str">
        <f>IF(MAX(P12,R12,T12,V12)&gt;=LOOKUP(F12,'Qualifying Scores'!$A$4:$A$7,'Qualifying Scores'!$F$4:$F$7),"P","")</f>
        <v/>
      </c>
      <c r="J12" s="3" t="str">
        <f>IF(MAX(Q12,S12,U12,W12)&gt;=LOOKUP(F12,'Qualifying Scores'!$A$10:$A$13,'Qualifying Scores'!$F$10:$F$13),"P","")</f>
        <v/>
      </c>
      <c r="K12" s="3" t="str">
        <f>IF(OR(AND(P12&gt;=LOOKUP(F12,'Qualifying Scores'!$A$4:$A$7,'Qualifying Scores'!$F$4:$F$7),Q12&gt;=LOOKUP(F12,'Qualifying Scores'!$A$10:$A$13,'Qualifying Scores'!$F$10:$F$13)),AND(T12&gt;=LOOKUP(F12,'Qualifying Scores'!$A$4:$A$7,'Qualifying Scores'!$F$4:$F$7),U12&gt;=LOOKUP(F12,'Qualifying Scores'!$A$10:$A$13,'Qualifying Scores'!$F$10:$F$13)),AND(R12&gt;=LOOKUP(F12,'Qualifying Scores'!$A$4:$A$7,'Qualifying Scores'!$F$4:$F$7),S12&gt;=LOOKUP(F12,'Qualifying Scores'!$A$10:$A$13,'Qualifying Scores'!$F$10:$F$13)),AND(V12&gt;=LOOKUP(F12,'Qualifying Scores'!$A$4:$A$7,'Qualifying Scores'!$F$4:$F$7),W12&gt;=LOOKUP(F12,'Qualifying Scores'!$A$10:$A$13,'Qualifying Scores'!$F$10:$F$13))),"P","")</f>
        <v/>
      </c>
      <c r="N12" s="4">
        <f t="shared" si="2"/>
        <v>58.5</v>
      </c>
      <c r="O12" s="4">
        <f t="shared" si="3"/>
        <v>61.6</v>
      </c>
      <c r="P12" s="33">
        <v>58.5</v>
      </c>
      <c r="Q12" s="44">
        <f>3.6+0.7</f>
        <v>4.3</v>
      </c>
      <c r="R12" s="34">
        <v>55.5</v>
      </c>
      <c r="S12" s="44">
        <f>4.4+1.4</f>
        <v>5.8000000000000007</v>
      </c>
      <c r="T12" s="33">
        <v>52</v>
      </c>
      <c r="U12" s="44">
        <f>0.7+3.6</f>
        <v>4.3</v>
      </c>
      <c r="V12" s="34">
        <v>61.6</v>
      </c>
      <c r="W12" s="39">
        <f>4.4+3.5</f>
        <v>7.9</v>
      </c>
    </row>
    <row r="13" spans="1:23" x14ac:dyDescent="0.2">
      <c r="A13" s="1" t="str">
        <f t="shared" si="0"/>
        <v/>
      </c>
      <c r="B13" s="38" t="s">
        <v>150</v>
      </c>
      <c r="C13" s="38" t="s">
        <v>3</v>
      </c>
      <c r="D13" s="38" t="s">
        <v>149</v>
      </c>
      <c r="E13" s="37">
        <v>2002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17-21</v>
      </c>
      <c r="G13" s="56"/>
      <c r="H13" s="4">
        <f t="shared" si="1"/>
        <v>114.6</v>
      </c>
      <c r="I13" s="3" t="str">
        <f>IF(MAX(P13,R13,T13,V13)&gt;=LOOKUP(F13,'Qualifying Scores'!$A$4:$A$7,'Qualifying Scores'!$F$4:$F$7),"P","")</f>
        <v/>
      </c>
      <c r="J13" s="3" t="str">
        <f>IF(MAX(Q13,S13,U13,W13)&gt;=LOOKUP(F13,'Qualifying Scores'!$A$10:$A$13,'Qualifying Scores'!$F$10:$F$13),"P","")</f>
        <v/>
      </c>
      <c r="K13" s="3" t="str">
        <f>IF(OR(AND(P13&gt;=LOOKUP(F13,'Qualifying Scores'!$A$4:$A$7,'Qualifying Scores'!$F$4:$F$7),Q13&gt;=LOOKUP(F13,'Qualifying Scores'!$A$10:$A$13,'Qualifying Scores'!$F$10:$F$13)),AND(T13&gt;=LOOKUP(F13,'Qualifying Scores'!$A$4:$A$7,'Qualifying Scores'!$F$4:$F$7),U13&gt;=LOOKUP(F13,'Qualifying Scores'!$A$10:$A$13,'Qualifying Scores'!$F$10:$F$13)),AND(R13&gt;=LOOKUP(F13,'Qualifying Scores'!$A$4:$A$7,'Qualifying Scores'!$F$4:$F$7),S13&gt;=LOOKUP(F13,'Qualifying Scores'!$A$10:$A$13,'Qualifying Scores'!$F$10:$F$13)),AND(V13&gt;=LOOKUP(F13,'Qualifying Scores'!$A$4:$A$7,'Qualifying Scores'!$F$4:$F$7),W13&gt;=LOOKUP(F13,'Qualifying Scores'!$A$10:$A$13,'Qualifying Scores'!$F$10:$F$13))),"P","")</f>
        <v/>
      </c>
      <c r="N13" s="4">
        <f t="shared" si="2"/>
        <v>61.3</v>
      </c>
      <c r="O13" s="4">
        <f t="shared" si="3"/>
        <v>53.3</v>
      </c>
      <c r="P13" s="33"/>
      <c r="Q13" s="44"/>
      <c r="R13" s="34"/>
      <c r="S13" s="44"/>
      <c r="T13" s="33">
        <v>61.3</v>
      </c>
      <c r="U13" s="44">
        <f>3.6+4.4</f>
        <v>8</v>
      </c>
      <c r="V13" s="34">
        <v>53.3</v>
      </c>
      <c r="W13" s="39">
        <f>4.8+3.5</f>
        <v>8.3000000000000007</v>
      </c>
    </row>
    <row r="14" spans="1:23" x14ac:dyDescent="0.2">
      <c r="A14" s="1">
        <f t="shared" si="0"/>
        <v>8</v>
      </c>
      <c r="B14" s="38" t="s">
        <v>77</v>
      </c>
      <c r="C14" s="38" t="s">
        <v>4</v>
      </c>
      <c r="D14" s="38" t="s">
        <v>70</v>
      </c>
      <c r="E14" s="37">
        <v>2002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17-21</v>
      </c>
      <c r="G14" s="56"/>
      <c r="H14" s="4">
        <f t="shared" si="1"/>
        <v>67.2</v>
      </c>
      <c r="I14" s="3" t="str">
        <f>IF(MAX(P14,R14,T14,V14)&gt;=LOOKUP(F14,'Qualifying Scores'!$A$4:$A$7,'Qualifying Scores'!$F$4:$F$7),"P","")</f>
        <v>P</v>
      </c>
      <c r="J14" s="3" t="str">
        <f>IF(MAX(Q14,S14,U14,W14)&gt;=LOOKUP(F14,'Qualifying Scores'!$A$10:$A$13,'Qualifying Scores'!$F$10:$F$13),"P","")</f>
        <v>P</v>
      </c>
      <c r="K14" s="3" t="str">
        <f>IF(OR(AND(P14&gt;=LOOKUP(F14,'Qualifying Scores'!$A$4:$A$7,'Qualifying Scores'!$F$4:$F$7),Q14&gt;=LOOKUP(F14,'Qualifying Scores'!$A$10:$A$13,'Qualifying Scores'!$F$10:$F$13)),AND(T14&gt;=LOOKUP(F14,'Qualifying Scores'!$A$4:$A$7,'Qualifying Scores'!$F$4:$F$7),U14&gt;=LOOKUP(F14,'Qualifying Scores'!$A$10:$A$13,'Qualifying Scores'!$F$10:$F$13)),AND(R14&gt;=LOOKUP(F14,'Qualifying Scores'!$A$4:$A$7,'Qualifying Scores'!$F$4:$F$7),S14&gt;=LOOKUP(F14,'Qualifying Scores'!$A$10:$A$13,'Qualifying Scores'!$F$10:$F$13)),AND(V14&gt;=LOOKUP(F14,'Qualifying Scores'!$A$4:$A$7,'Qualifying Scores'!$F$4:$F$7),W14&gt;=LOOKUP(F14,'Qualifying Scores'!$A$10:$A$13,'Qualifying Scores'!$F$10:$F$13))),"P","")</f>
        <v>P</v>
      </c>
      <c r="N14" s="4">
        <f t="shared" si="2"/>
        <v>67.2</v>
      </c>
      <c r="O14" s="4">
        <f t="shared" si="3"/>
        <v>0</v>
      </c>
      <c r="P14" s="33"/>
      <c r="Q14" s="44"/>
      <c r="R14" s="34"/>
      <c r="S14" s="44"/>
      <c r="T14" s="33">
        <v>67.2</v>
      </c>
      <c r="U14" s="44">
        <f>6+6</f>
        <v>12</v>
      </c>
      <c r="V14" s="34"/>
      <c r="W14" s="39"/>
    </row>
    <row r="15" spans="1:23" x14ac:dyDescent="0.2">
      <c r="A15" s="1" t="str">
        <f t="shared" si="0"/>
        <v/>
      </c>
      <c r="B15" s="38" t="s">
        <v>148</v>
      </c>
      <c r="C15" s="38" t="s">
        <v>51</v>
      </c>
      <c r="D15" s="38" t="s">
        <v>147</v>
      </c>
      <c r="E15" s="37">
        <v>2001</v>
      </c>
      <c r="F15" s="1" t="str">
        <f>IF('Qualifying Scores'!$B$1-E15&gt;21,"Not Age Eligible",IF('Qualifying Scores'!$B$1-E15&gt;16,"17-21",IF('Qualifying Scores'!$B$1-E15&gt;14,"15-16",IF('Qualifying Scores'!$B$1-E15&gt;12,"13-14",IF('Qualifying Scores'!$B$1-E15&gt;10,"11-12,""Not Age Eligible")))))</f>
        <v>17-21</v>
      </c>
      <c r="G15" s="56"/>
      <c r="H15" s="4">
        <f t="shared" si="1"/>
        <v>53.1</v>
      </c>
      <c r="I15" s="3" t="str">
        <f>IF(MAX(P15,R15,T15,V15)&gt;=LOOKUP(F15,'Qualifying Scores'!$A$4:$A$7,'Qualifying Scores'!$F$4:$F$7),"P","")</f>
        <v/>
      </c>
      <c r="J15" s="3" t="str">
        <f>IF(MAX(Q15,S15,U15,W15)&gt;=LOOKUP(F15,'Qualifying Scores'!$A$10:$A$13,'Qualifying Scores'!$F$10:$F$13),"P","")</f>
        <v/>
      </c>
      <c r="K15" s="3" t="str">
        <f>IF(OR(AND(P15&gt;=LOOKUP(F15,'Qualifying Scores'!$A$4:$A$7,'Qualifying Scores'!$F$4:$F$7),Q15&gt;=LOOKUP(F15,'Qualifying Scores'!$A$10:$A$13,'Qualifying Scores'!$F$10:$F$13)),AND(T15&gt;=LOOKUP(F15,'Qualifying Scores'!$A$4:$A$7,'Qualifying Scores'!$F$4:$F$7),U15&gt;=LOOKUP(F15,'Qualifying Scores'!$A$10:$A$13,'Qualifying Scores'!$F$10:$F$13)),AND(R15&gt;=LOOKUP(F15,'Qualifying Scores'!$A$4:$A$7,'Qualifying Scores'!$F$4:$F$7),S15&gt;=LOOKUP(F15,'Qualifying Scores'!$A$10:$A$13,'Qualifying Scores'!$F$10:$F$13)),AND(V15&gt;=LOOKUP(F15,'Qualifying Scores'!$A$4:$A$7,'Qualifying Scores'!$F$4:$F$7),W15&gt;=LOOKUP(F15,'Qualifying Scores'!$A$10:$A$13,'Qualifying Scores'!$F$10:$F$13))),"P","")</f>
        <v/>
      </c>
      <c r="N15" s="4">
        <f t="shared" si="2"/>
        <v>53.1</v>
      </c>
      <c r="O15" s="4">
        <f t="shared" si="3"/>
        <v>0</v>
      </c>
      <c r="P15" s="33"/>
      <c r="Q15" s="44"/>
      <c r="R15" s="34"/>
      <c r="S15" s="44"/>
      <c r="T15" s="33">
        <v>53.1</v>
      </c>
      <c r="U15" s="44">
        <f>0.7+5.1</f>
        <v>5.8</v>
      </c>
      <c r="V15" s="34"/>
      <c r="W15" s="39"/>
    </row>
    <row r="16" spans="1:23" x14ac:dyDescent="0.2">
      <c r="A16" s="1"/>
      <c r="F16" s="1"/>
      <c r="G16" s="56"/>
      <c r="H16" s="4"/>
      <c r="I16" s="3"/>
      <c r="J16" s="3"/>
      <c r="N16" s="4"/>
      <c r="O16" s="4"/>
      <c r="P16" s="33"/>
      <c r="Q16" s="44"/>
      <c r="R16" s="34"/>
      <c r="S16" s="44"/>
      <c r="T16" s="33"/>
      <c r="U16" s="44"/>
      <c r="V16" s="34"/>
      <c r="W16" s="39"/>
    </row>
    <row r="17" spans="1:23" x14ac:dyDescent="0.2">
      <c r="A17" s="1"/>
      <c r="F17" s="1"/>
      <c r="G17" s="56"/>
      <c r="H17" s="4"/>
      <c r="I17" s="3"/>
      <c r="J17" s="3"/>
      <c r="N17" s="4"/>
      <c r="O17" s="4"/>
      <c r="P17" s="33"/>
      <c r="Q17" s="44"/>
      <c r="R17" s="34"/>
      <c r="S17" s="44"/>
      <c r="T17" s="33"/>
      <c r="U17" s="44"/>
      <c r="V17" s="34"/>
      <c r="W17" s="39"/>
    </row>
    <row r="18" spans="1:23" x14ac:dyDescent="0.2">
      <c r="F18" s="1"/>
      <c r="G18" s="56"/>
      <c r="H18" s="4"/>
      <c r="I18" s="3"/>
      <c r="J18" s="3"/>
      <c r="N18" s="4"/>
      <c r="O18" s="4"/>
      <c r="P18" s="33"/>
      <c r="Q18" s="44"/>
      <c r="R18" s="34"/>
      <c r="S18" s="44"/>
      <c r="T18" s="33"/>
      <c r="U18" s="44"/>
      <c r="V18" s="34"/>
      <c r="W18" s="39"/>
    </row>
    <row r="19" spans="1:23" x14ac:dyDescent="0.2">
      <c r="F19" s="1"/>
      <c r="G19" s="56"/>
      <c r="H19" s="4"/>
      <c r="I19" s="3"/>
      <c r="J19" s="3"/>
      <c r="N19" s="4"/>
      <c r="O19" s="4"/>
      <c r="P19" s="33"/>
      <c r="Q19" s="44"/>
      <c r="R19" s="34"/>
      <c r="S19" s="44"/>
      <c r="T19" s="33"/>
      <c r="U19" s="44"/>
      <c r="V19" s="34"/>
      <c r="W19" s="39"/>
    </row>
    <row r="20" spans="1:23" x14ac:dyDescent="0.2">
      <c r="F20" s="1"/>
      <c r="H20" s="4"/>
      <c r="I20" s="3"/>
      <c r="J20" s="3"/>
      <c r="N20" s="4"/>
      <c r="O20" s="4"/>
      <c r="P20" s="33"/>
      <c r="Q20" s="44"/>
      <c r="R20" s="34"/>
      <c r="S20" s="44"/>
      <c r="T20" s="33"/>
      <c r="U20" s="44"/>
      <c r="V20" s="34"/>
      <c r="W20" s="39"/>
    </row>
    <row r="21" spans="1:23" x14ac:dyDescent="0.2">
      <c r="F21" s="1"/>
      <c r="H21" s="4"/>
      <c r="I21" s="3"/>
      <c r="J21" s="3"/>
      <c r="N21" s="4"/>
      <c r="O21" s="4"/>
      <c r="P21" s="33"/>
      <c r="Q21" s="44"/>
      <c r="R21" s="34"/>
      <c r="S21" s="44"/>
      <c r="T21" s="33"/>
      <c r="U21" s="44"/>
      <c r="V21" s="34"/>
      <c r="W21" s="39"/>
    </row>
    <row r="22" spans="1:23" x14ac:dyDescent="0.2">
      <c r="F22" s="1"/>
      <c r="H22" s="4"/>
      <c r="I22" s="3"/>
      <c r="J22" s="3"/>
      <c r="N22" s="4"/>
      <c r="O22" s="4"/>
      <c r="P22" s="33"/>
      <c r="Q22" s="44"/>
      <c r="R22" s="34"/>
      <c r="S22" s="44"/>
      <c r="T22" s="33"/>
      <c r="U22" s="44"/>
      <c r="V22" s="34"/>
      <c r="W22" s="39"/>
    </row>
    <row r="23" spans="1:23" x14ac:dyDescent="0.2">
      <c r="F23" s="1"/>
      <c r="H23" s="4"/>
      <c r="I23" s="3"/>
      <c r="J23" s="3"/>
      <c r="N23" s="4"/>
      <c r="O23" s="4"/>
      <c r="P23" s="33"/>
      <c r="Q23" s="44"/>
      <c r="R23" s="34"/>
      <c r="S23" s="44"/>
      <c r="T23" s="33"/>
      <c r="U23" s="44"/>
      <c r="V23" s="34"/>
      <c r="W23" s="39"/>
    </row>
    <row r="24" spans="1:23" x14ac:dyDescent="0.2">
      <c r="F24" s="1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F25" s="1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F26" s="1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F27" s="1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F28" s="1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F29" s="1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6"/>
      <c r="V29" s="43"/>
      <c r="W29" s="39"/>
    </row>
    <row r="30" spans="1:23" x14ac:dyDescent="0.2">
      <c r="F30" s="1"/>
      <c r="H30" s="4"/>
      <c r="I30" s="3"/>
      <c r="J30" s="3"/>
      <c r="N30" s="4"/>
      <c r="O30" s="4"/>
      <c r="P30" s="33"/>
      <c r="Q30" s="45"/>
      <c r="R30" s="47"/>
      <c r="S30" s="39"/>
      <c r="T30" s="33"/>
      <c r="U30" s="44"/>
      <c r="V30" s="34"/>
      <c r="W30" s="39"/>
    </row>
    <row r="31" spans="1:23" x14ac:dyDescent="0.2">
      <c r="F31" s="1"/>
      <c r="H31" s="4"/>
      <c r="I31" s="3"/>
      <c r="J31" s="3"/>
      <c r="N31" s="4"/>
      <c r="O31" s="4"/>
      <c r="P31" s="33"/>
      <c r="Q31" s="45"/>
      <c r="R31" s="47"/>
      <c r="S31" s="39"/>
      <c r="T31" s="33"/>
      <c r="U31" s="44"/>
      <c r="V31" s="34"/>
      <c r="W31" s="39"/>
    </row>
    <row r="32" spans="1:23" x14ac:dyDescent="0.2">
      <c r="F32" s="1"/>
      <c r="H32" s="4"/>
      <c r="I32" s="3"/>
      <c r="J32" s="3"/>
      <c r="N32" s="4"/>
      <c r="O32" s="4"/>
      <c r="P32" s="33"/>
      <c r="Q32" s="45"/>
      <c r="R32" s="47"/>
      <c r="S32" s="39"/>
      <c r="T32" s="33"/>
      <c r="U32" s="44"/>
      <c r="V32" s="34"/>
      <c r="W32" s="39"/>
    </row>
    <row r="33" spans="6:23" x14ac:dyDescent="0.2">
      <c r="F33" s="1"/>
      <c r="H33" s="4"/>
      <c r="I33" s="3"/>
      <c r="J33" s="3"/>
      <c r="N33" s="4"/>
      <c r="O33" s="4"/>
      <c r="P33" s="33"/>
      <c r="Q33" s="45"/>
      <c r="R33" s="47"/>
      <c r="S33" s="39"/>
      <c r="T33" s="33"/>
      <c r="U33" s="44"/>
      <c r="V33" s="34"/>
      <c r="W33" s="39"/>
    </row>
    <row r="34" spans="6:23" x14ac:dyDescent="0.2">
      <c r="F34" s="1"/>
      <c r="H34" s="4"/>
      <c r="I34" s="3"/>
      <c r="J34" s="3"/>
      <c r="N34" s="4"/>
      <c r="O34" s="4"/>
      <c r="P34" s="33"/>
      <c r="Q34" s="45"/>
      <c r="R34" s="47"/>
      <c r="S34" s="39"/>
      <c r="T34" s="33"/>
      <c r="U34" s="44"/>
      <c r="V34" s="34"/>
      <c r="W34" s="39"/>
    </row>
    <row r="35" spans="6:23" x14ac:dyDescent="0.2">
      <c r="F35" s="1"/>
      <c r="H35" s="4"/>
      <c r="I35" s="3"/>
      <c r="J35" s="3"/>
      <c r="N35" s="4"/>
      <c r="O35" s="4"/>
      <c r="P35" s="33"/>
      <c r="Q35" s="44"/>
      <c r="R35" s="34"/>
      <c r="S35" s="45"/>
      <c r="T35" s="33"/>
      <c r="U35" s="46"/>
      <c r="V35" s="43"/>
      <c r="W35" s="39"/>
    </row>
    <row r="36" spans="6:23" x14ac:dyDescent="0.2">
      <c r="F36" s="1"/>
      <c r="H36" s="4"/>
      <c r="I36" s="3"/>
      <c r="J36" s="3"/>
      <c r="N36" s="4"/>
      <c r="O36" s="4"/>
      <c r="P36" s="33"/>
      <c r="Q36" s="44"/>
      <c r="R36" s="34"/>
      <c r="S36" s="45"/>
      <c r="T36" s="33"/>
      <c r="U36" s="44"/>
      <c r="V36" s="34"/>
      <c r="W36" s="39"/>
    </row>
    <row r="37" spans="6:23" x14ac:dyDescent="0.2">
      <c r="N37" s="4"/>
      <c r="O37" s="4"/>
      <c r="P37" s="33"/>
      <c r="Q37" s="44"/>
      <c r="R37" s="34"/>
      <c r="S37" s="44"/>
      <c r="T37" s="33"/>
      <c r="U37" s="44"/>
      <c r="V37" s="34"/>
      <c r="W37" s="39"/>
    </row>
    <row r="38" spans="6:23" x14ac:dyDescent="0.2">
      <c r="N38" s="4"/>
      <c r="O38" s="4"/>
      <c r="P38" s="33"/>
      <c r="Q38" s="44"/>
      <c r="R38" s="34"/>
      <c r="S38" s="44"/>
      <c r="T38" s="33"/>
      <c r="U38" s="44"/>
      <c r="V38" s="34"/>
      <c r="W38" s="39"/>
    </row>
    <row r="39" spans="6:23" x14ac:dyDescent="0.2">
      <c r="N39" s="4"/>
      <c r="O39" s="4"/>
      <c r="P39" s="33"/>
      <c r="Q39" s="44"/>
      <c r="R39" s="34"/>
      <c r="S39" s="44"/>
      <c r="T39" s="33"/>
      <c r="U39" s="44"/>
      <c r="V39" s="34"/>
      <c r="W39" s="39"/>
    </row>
    <row r="40" spans="6:23" x14ac:dyDescent="0.2">
      <c r="N40" s="4"/>
      <c r="O40" s="4"/>
      <c r="P40" s="33"/>
      <c r="Q40" s="44"/>
      <c r="R40" s="34"/>
      <c r="S40" s="44"/>
      <c r="T40" s="33"/>
      <c r="U40" s="44"/>
      <c r="V40" s="34"/>
      <c r="W40" s="39"/>
    </row>
    <row r="41" spans="6:23" x14ac:dyDescent="0.2">
      <c r="N41" s="4"/>
      <c r="O41" s="4"/>
      <c r="P41" s="33"/>
      <c r="Q41" s="44"/>
      <c r="R41" s="34"/>
      <c r="S41" s="44"/>
      <c r="T41" s="33"/>
      <c r="U41" s="44"/>
      <c r="V41" s="34"/>
      <c r="W41" s="39"/>
    </row>
    <row r="42" spans="6:23" x14ac:dyDescent="0.2">
      <c r="N42" s="4"/>
      <c r="O42" s="4"/>
      <c r="P42" s="33"/>
      <c r="Q42" s="44"/>
      <c r="R42" s="34"/>
      <c r="S42" s="44"/>
      <c r="T42" s="33"/>
      <c r="U42" s="44"/>
      <c r="V42" s="34"/>
      <c r="W42" s="39"/>
    </row>
    <row r="43" spans="6:23" x14ac:dyDescent="0.2">
      <c r="N43" s="4"/>
      <c r="O43" s="4"/>
      <c r="P43" s="33"/>
      <c r="Q43" s="44"/>
      <c r="R43" s="34"/>
      <c r="S43" s="44"/>
      <c r="T43" s="33"/>
      <c r="U43" s="44"/>
      <c r="V43" s="34"/>
      <c r="W43" s="39"/>
    </row>
    <row r="44" spans="6:23" x14ac:dyDescent="0.2">
      <c r="N44" s="4"/>
      <c r="O44" s="4"/>
      <c r="P44" s="33"/>
      <c r="Q44" s="44"/>
      <c r="R44" s="34"/>
      <c r="S44" s="44"/>
      <c r="T44" s="33"/>
      <c r="U44" s="44"/>
      <c r="V44" s="34"/>
      <c r="W44" s="39"/>
    </row>
    <row r="45" spans="6:23" x14ac:dyDescent="0.2">
      <c r="N45" s="4"/>
      <c r="O45" s="4"/>
      <c r="P45" s="33"/>
      <c r="Q45" s="44"/>
      <c r="R45" s="34"/>
      <c r="S45" s="44"/>
      <c r="T45" s="33"/>
      <c r="U45" s="44"/>
      <c r="V45" s="34"/>
      <c r="W45" s="39"/>
    </row>
    <row r="46" spans="6:23" x14ac:dyDescent="0.2">
      <c r="N46" s="4"/>
      <c r="O46" s="4"/>
      <c r="P46" s="33"/>
      <c r="Q46" s="44"/>
      <c r="R46" s="34"/>
      <c r="S46" s="44"/>
      <c r="T46" s="33"/>
      <c r="U46" s="44"/>
      <c r="V46" s="34"/>
      <c r="W46" s="39"/>
    </row>
    <row r="47" spans="6:23" x14ac:dyDescent="0.2">
      <c r="N47" s="4"/>
      <c r="O47" s="4"/>
      <c r="P47" s="33"/>
      <c r="Q47" s="44"/>
      <c r="R47" s="34"/>
      <c r="S47" s="44"/>
      <c r="T47" s="33"/>
      <c r="U47" s="44"/>
      <c r="V47" s="34"/>
      <c r="W47" s="39"/>
    </row>
    <row r="48" spans="6:23" x14ac:dyDescent="0.2">
      <c r="N48" s="4"/>
      <c r="O48" s="4"/>
      <c r="P48" s="33"/>
      <c r="Q48" s="44"/>
      <c r="R48" s="34"/>
      <c r="S48" s="44"/>
      <c r="T48" s="33"/>
      <c r="U48" s="44"/>
      <c r="V48" s="34"/>
      <c r="W48" s="39"/>
    </row>
    <row r="49" spans="14:23" x14ac:dyDescent="0.2"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14:23" x14ac:dyDescent="0.2"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14:23" x14ac:dyDescent="0.2"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14:23" x14ac:dyDescent="0.2">
      <c r="N52" s="4"/>
      <c r="O52" s="4"/>
      <c r="P52" s="33"/>
      <c r="Q52" s="44"/>
      <c r="R52" s="34"/>
      <c r="S52" s="44"/>
      <c r="T52" s="33"/>
      <c r="U52" s="44"/>
      <c r="V52" s="34"/>
      <c r="W52" s="39"/>
    </row>
    <row r="53" spans="14:23" x14ac:dyDescent="0.2"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14:23" x14ac:dyDescent="0.2"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14:23" x14ac:dyDescent="0.2"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14:23" x14ac:dyDescent="0.2"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14:23" x14ac:dyDescent="0.2"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14:23" x14ac:dyDescent="0.2">
      <c r="N58" s="4"/>
      <c r="O58" s="4"/>
      <c r="P58" s="33"/>
      <c r="Q58" s="44"/>
      <c r="R58" s="34"/>
      <c r="S58" s="44"/>
      <c r="T58" s="33"/>
      <c r="U58" s="44"/>
      <c r="V58" s="34"/>
      <c r="W58" s="39"/>
    </row>
    <row r="59" spans="14:23" x14ac:dyDescent="0.2">
      <c r="N59" s="4"/>
      <c r="O59" s="4"/>
      <c r="P59" s="33"/>
      <c r="Q59" s="44"/>
      <c r="R59" s="34"/>
      <c r="S59" s="44"/>
      <c r="T59" s="33"/>
      <c r="U59" s="44"/>
      <c r="V59" s="34"/>
      <c r="W59" s="39"/>
    </row>
    <row r="60" spans="14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14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14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14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14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</sheetData>
  <sheetProtection sheet="1" formatCells="0" formatColumns="0" formatRows="0"/>
  <autoFilter ref="B1:W2" xr:uid="{00000000-0009-0000-0000-000006000000}"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sortState xmlns:xlrd2="http://schemas.microsoft.com/office/spreadsheetml/2017/richdata2" ref="B4:W15">
      <sortCondition ref="F1:F37"/>
    </sortState>
  </autoFilter>
  <mergeCells count="17">
    <mergeCell ref="N1:N2"/>
    <mergeCell ref="O1:O2"/>
    <mergeCell ref="P1:S1"/>
    <mergeCell ref="T1:W1"/>
    <mergeCell ref="M1:M2"/>
    <mergeCell ref="A1:A2"/>
    <mergeCell ref="B1:B2"/>
    <mergeCell ref="C1:C2"/>
    <mergeCell ref="D1:D2"/>
    <mergeCell ref="E1:E2"/>
    <mergeCell ref="L1:L2"/>
    <mergeCell ref="F1:F2"/>
    <mergeCell ref="H1:H2"/>
    <mergeCell ref="I1:I2"/>
    <mergeCell ref="J1:J2"/>
    <mergeCell ref="K1:K2"/>
    <mergeCell ref="G1:G2"/>
  </mergeCells>
  <conditionalFormatting sqref="H1:M2 N2:W2 P9:XFD11 P3:W8 X1:XFD8 H3:O11 A1:G11 A12:XFD1048576">
    <cfRule type="expression" dxfId="27" priority="9">
      <formula>IF($F1="17-21",1,0)</formula>
    </cfRule>
    <cfRule type="expression" dxfId="26" priority="10">
      <formula>IF($F1="15-16",1,0)</formula>
    </cfRule>
    <cfRule type="expression" dxfId="25" priority="11">
      <formula>IF($F1="13-14",1,0)</formula>
    </cfRule>
    <cfRule type="expression" dxfId="24" priority="12">
      <formula>IF($F1="11-12",1,0)</formula>
    </cfRule>
  </conditionalFormatting>
  <conditionalFormatting sqref="N1:P1 T1">
    <cfRule type="expression" dxfId="23" priority="5">
      <formula>IF($F1="17-21",1,0)</formula>
    </cfRule>
    <cfRule type="expression" dxfId="22" priority="6">
      <formula>IF($F1="15-16",1,0)</formula>
    </cfRule>
    <cfRule type="expression" dxfId="21" priority="7">
      <formula>IF($F1="13-14",1,0)</formula>
    </cfRule>
    <cfRule type="expression" dxfId="20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82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24.83203125" style="38" bestFit="1" customWidth="1"/>
    <col min="3" max="3" width="8.6640625" style="38" bestFit="1" customWidth="1"/>
    <col min="4" max="4" width="37.332031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customWidth="1"/>
    <col min="13" max="13" width="18.6640625" style="42" customWidth="1"/>
    <col min="14" max="14" width="15.6640625" customWidth="1"/>
    <col min="15" max="15" width="18.6640625" customWidth="1"/>
    <col min="16" max="16" width="10.83203125" style="37" bestFit="1" customWidth="1"/>
    <col min="17" max="17" width="11.1640625" style="38" bestFit="1" customWidth="1"/>
    <col min="18" max="18" width="6.6640625" style="38" bestFit="1" customWidth="1"/>
    <col min="19" max="19" width="11" style="38" bestFit="1" customWidth="1"/>
    <col min="20" max="20" width="10.83203125" style="37" bestFit="1" customWidth="1"/>
    <col min="21" max="21" width="11.1640625" style="38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67" t="s">
        <v>2</v>
      </c>
      <c r="E1" s="69" t="s">
        <v>16</v>
      </c>
      <c r="F1" s="65" t="s">
        <v>17</v>
      </c>
      <c r="G1" s="65" t="s">
        <v>96</v>
      </c>
      <c r="H1" s="71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61</v>
      </c>
      <c r="P1" s="73" t="s">
        <v>121</v>
      </c>
      <c r="Q1" s="73"/>
      <c r="R1" s="73"/>
      <c r="S1" s="73"/>
      <c r="T1" s="73" t="s">
        <v>120</v>
      </c>
      <c r="U1" s="73"/>
      <c r="V1" s="73"/>
      <c r="W1" s="73"/>
    </row>
    <row r="2" spans="1:23" s="7" customFormat="1" ht="17" thickBot="1" x14ac:dyDescent="0.25">
      <c r="A2" s="66"/>
      <c r="B2" s="66"/>
      <c r="C2" s="66"/>
      <c r="D2" s="68"/>
      <c r="E2" s="70"/>
      <c r="F2" s="66"/>
      <c r="G2" s="66"/>
      <c r="H2" s="72"/>
      <c r="I2" s="66"/>
      <c r="J2" s="66"/>
      <c r="K2" s="66"/>
      <c r="L2" s="66"/>
      <c r="M2" s="66"/>
      <c r="N2" s="66"/>
      <c r="O2" s="66"/>
      <c r="P2" s="8" t="s">
        <v>36</v>
      </c>
      <c r="Q2" s="7" t="s">
        <v>62</v>
      </c>
      <c r="R2" s="7" t="s">
        <v>22</v>
      </c>
      <c r="S2" s="7" t="s">
        <v>24</v>
      </c>
      <c r="T2" s="8" t="s">
        <v>36</v>
      </c>
      <c r="U2" s="7" t="s">
        <v>62</v>
      </c>
      <c r="V2" s="7" t="s">
        <v>22</v>
      </c>
      <c r="W2" s="9" t="s">
        <v>24</v>
      </c>
    </row>
    <row r="3" spans="1:23" ht="17" thickTop="1" x14ac:dyDescent="0.2">
      <c r="A3" s="1">
        <f t="shared" ref="A3:A18" si="0">IF(M3&lt;&gt;"",SUMPRODUCT((M$3:M$19&lt;&gt;"")*(F$3:F$19=F3)*(M$3:M$19&lt;M3))+1,IF(L3&lt;&gt;"",SUMPRODUCT((M$3:M$19&lt;&gt;"")*(F$3:F$19=F3))+SUMPRODUCT((L$3:L$19&lt;&gt;"")*(F$3:F$19=F3)*(L$3:L$19&lt;L3))+1,IF(K3="P",SUMPRODUCT((L$3:L$19&lt;&gt;"")*(F$3:F$19=F3))+SUMPRODUCT((M$3:M$19&lt;&gt;"")*(F$3:F$19=F3))+1+SUMPRODUCT((K$3:K$19="P")*(F$3:F$19=F3)*(H$3:H$19&gt;H3)*(L$3:L$19="")*(M$3:M$19="")),"")))</f>
        <v>1</v>
      </c>
      <c r="B3" s="38" t="s">
        <v>90</v>
      </c>
      <c r="C3" s="38" t="s">
        <v>15</v>
      </c>
      <c r="D3" s="38" t="s">
        <v>124</v>
      </c>
      <c r="E3" s="37">
        <v>2002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 t="s">
        <v>158</v>
      </c>
      <c r="H3" s="4">
        <f t="shared" ref="H3:H18" si="1">SUM(N3:O3)</f>
        <v>133.80000000000001</v>
      </c>
      <c r="I3" s="3" t="str">
        <f>IF(MAX(P3,R3,T3,V3)&gt;=LOOKUP(F3,'Qualifying Scores'!$A$4:$A$7,'Qualifying Scores'!$G$4:$G$7),"P","")</f>
        <v>P</v>
      </c>
      <c r="J3" s="3" t="str">
        <f>IF(MAX(Q3,S3,U3,W3)&gt;=LOOKUP(F3,'Qualifying Scores'!$A$10:$A$13,'Qualifying Scores'!$G$10:$G$13),"P","")</f>
        <v>P</v>
      </c>
      <c r="K3" s="3" t="str">
        <f>IF(OR(AND(P3&gt;=LOOKUP(F3,'Qualifying Scores'!$A$4:$A$7,'Qualifying Scores'!$G$4:$G$7),Q3&gt;=LOOKUP(F3,'Qualifying Scores'!$A$10:$A$13,'Qualifying Scores'!$G$10:$G$13)),AND(T3&gt;=LOOKUP(F3,'Qualifying Scores'!$A$4:$A$7,'Qualifying Scores'!$G$4:$G$7),U3&gt;=LOOKUP(F3,'Qualifying Scores'!$A$10:$A$13,'Qualifying Scores'!$G$10:$G$13)),AND(R3&gt;=LOOKUP(F3,'Qualifying Scores'!$A$4:$A$7,'Qualifying Scores'!$G$4:$G$7),S3&gt;=LOOKUP(F3,'Qualifying Scores'!$A$10:$A$13,'Qualifying Scores'!$G$10:$G$13)),AND(V3&gt;=LOOKUP(F3,'Qualifying Scores'!$A$4:$A$7,'Qualifying Scores'!$G$4:$G$7),W3&gt;=LOOKUP(F3,'Qualifying Scores'!$A$10:$A$13,'Qualifying Scores'!$G$10:$G$13))),"P","")</f>
        <v>P</v>
      </c>
      <c r="M3" s="42">
        <v>2</v>
      </c>
      <c r="N3" s="4">
        <f t="shared" ref="N3:N18" si="2">MAX(P3,T3)</f>
        <v>67.3</v>
      </c>
      <c r="O3" s="4">
        <f t="shared" ref="O3:O18" si="3">IF(N3=P3,MAX(R3,T3,V3),MAX(P3,R3,V3))</f>
        <v>66.5</v>
      </c>
      <c r="P3" s="33">
        <v>66.5</v>
      </c>
      <c r="Q3" s="44">
        <f>5.6+5.6</f>
        <v>11.2</v>
      </c>
      <c r="R3" s="34">
        <v>65.2</v>
      </c>
      <c r="S3" s="44">
        <f>5.2+5.2</f>
        <v>10.4</v>
      </c>
      <c r="T3" s="33">
        <v>67.3</v>
      </c>
      <c r="U3" s="44">
        <f>5.6+5.6</f>
        <v>11.2</v>
      </c>
      <c r="V3" s="34">
        <v>52.7</v>
      </c>
      <c r="W3" s="39">
        <f>3+3.2</f>
        <v>6.2</v>
      </c>
    </row>
    <row r="4" spans="1:23" x14ac:dyDescent="0.2">
      <c r="A4" s="1">
        <f t="shared" si="0"/>
        <v>2</v>
      </c>
      <c r="B4" s="38" t="s">
        <v>33</v>
      </c>
      <c r="C4" s="38" t="s">
        <v>4</v>
      </c>
      <c r="D4" s="38" t="s">
        <v>70</v>
      </c>
      <c r="E4" s="37">
        <v>2001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 t="s">
        <v>158</v>
      </c>
      <c r="H4" s="4">
        <f t="shared" si="1"/>
        <v>123.9</v>
      </c>
      <c r="I4" s="3" t="str">
        <f>IF(MAX(P4,R4,T4,V4)&gt;=LOOKUP(F4,'Qualifying Scores'!$A$4:$A$7,'Qualifying Scores'!$G$4:$G$7),"P","")</f>
        <v>P</v>
      </c>
      <c r="J4" s="3" t="str">
        <f>IF(MAX(Q4,S4,U4,W4)&gt;=LOOKUP(F4,'Qualifying Scores'!$A$10:$A$13,'Qualifying Scores'!$G$10:$G$13),"P","")</f>
        <v>P</v>
      </c>
      <c r="K4" s="3" t="str">
        <f>IF(OR(AND(P4&gt;=LOOKUP(F4,'Qualifying Scores'!$A$4:$A$7,'Qualifying Scores'!$G$4:$G$7),Q4&gt;=LOOKUP(F4,'Qualifying Scores'!$A$10:$A$13,'Qualifying Scores'!$G$10:$G$13)),AND(T4&gt;=LOOKUP(F4,'Qualifying Scores'!$A$4:$A$7,'Qualifying Scores'!$G$4:$G$7),U4&gt;=LOOKUP(F4,'Qualifying Scores'!$A$10:$A$13,'Qualifying Scores'!$G$10:$G$13)),AND(R4&gt;=LOOKUP(F4,'Qualifying Scores'!$A$4:$A$7,'Qualifying Scores'!$G$4:$G$7),S4&gt;=LOOKUP(F4,'Qualifying Scores'!$A$10:$A$13,'Qualifying Scores'!$G$10:$G$13)),AND(V4&gt;=LOOKUP(F4,'Qualifying Scores'!$A$4:$A$7,'Qualifying Scores'!$G$4:$G$7),W4&gt;=LOOKUP(F4,'Qualifying Scores'!$A$10:$A$13,'Qualifying Scores'!$G$10:$G$13))),"P","")</f>
        <v>P</v>
      </c>
      <c r="M4" s="42">
        <v>3</v>
      </c>
      <c r="N4" s="4">
        <f t="shared" si="2"/>
        <v>68</v>
      </c>
      <c r="O4" s="4">
        <f t="shared" si="3"/>
        <v>55.9</v>
      </c>
      <c r="P4" s="33">
        <v>55.9</v>
      </c>
      <c r="Q4" s="44">
        <f>6.4+2.4</f>
        <v>8.8000000000000007</v>
      </c>
      <c r="R4" s="34">
        <v>0</v>
      </c>
      <c r="S4" s="44">
        <v>0</v>
      </c>
      <c r="T4" s="33">
        <v>68</v>
      </c>
      <c r="U4" s="44">
        <f>6.4+6</f>
        <v>12.4</v>
      </c>
      <c r="V4" s="34">
        <v>27.5</v>
      </c>
      <c r="W4" s="39">
        <f>3.1+0</f>
        <v>3.1</v>
      </c>
    </row>
    <row r="5" spans="1:23" x14ac:dyDescent="0.2">
      <c r="A5" s="1">
        <f t="shared" si="0"/>
        <v>3</v>
      </c>
      <c r="B5" s="38" t="s">
        <v>11</v>
      </c>
      <c r="C5" s="38" t="s">
        <v>5</v>
      </c>
      <c r="D5" s="38" t="s">
        <v>6</v>
      </c>
      <c r="E5" s="37">
        <v>2003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 t="s">
        <v>158</v>
      </c>
      <c r="H5" s="4">
        <f t="shared" si="1"/>
        <v>118</v>
      </c>
      <c r="I5" s="3" t="str">
        <f>IF(MAX(P5,R5,T5,V5)&gt;=LOOKUP(F5,'Qualifying Scores'!$A$4:$A$7,'Qualifying Scores'!$G$4:$G$7),"P","")</f>
        <v/>
      </c>
      <c r="J5" s="3" t="str">
        <f>IF(MAX(Q5,S5,U5,W5)&gt;=LOOKUP(F5,'Qualifying Scores'!$A$10:$A$13,'Qualifying Scores'!$G$10:$G$13),"P","")</f>
        <v>P</v>
      </c>
      <c r="K5" s="3" t="str">
        <f>IF(OR(AND(P5&gt;=LOOKUP(F5,'Qualifying Scores'!$A$4:$A$7,'Qualifying Scores'!$G$4:$G$7),Q5&gt;=LOOKUP(F5,'Qualifying Scores'!$A$10:$A$13,'Qualifying Scores'!$G$10:$G$13)),AND(T5&gt;=LOOKUP(F5,'Qualifying Scores'!$A$4:$A$7,'Qualifying Scores'!$G$4:$G$7),U5&gt;=LOOKUP(F5,'Qualifying Scores'!$A$10:$A$13,'Qualifying Scores'!$G$10:$G$13)),AND(R5&gt;=LOOKUP(F5,'Qualifying Scores'!$A$4:$A$7,'Qualifying Scores'!$G$4:$G$7),S5&gt;=LOOKUP(F5,'Qualifying Scores'!$A$10:$A$13,'Qualifying Scores'!$G$10:$G$13)),AND(V5&gt;=LOOKUP(F5,'Qualifying Scores'!$A$4:$A$7,'Qualifying Scores'!$G$4:$G$7),W5&gt;=LOOKUP(F5,'Qualifying Scores'!$A$10:$A$13,'Qualifying Scores'!$G$10:$G$13))),"P","")</f>
        <v/>
      </c>
      <c r="M5" s="42">
        <v>4</v>
      </c>
      <c r="N5" s="4">
        <f t="shared" si="2"/>
        <v>62.3</v>
      </c>
      <c r="O5" s="4">
        <f t="shared" si="3"/>
        <v>55.7</v>
      </c>
      <c r="P5" s="33">
        <v>62.3</v>
      </c>
      <c r="Q5" s="44">
        <f>6+3.6</f>
        <v>9.6</v>
      </c>
      <c r="R5" s="34">
        <v>31.8</v>
      </c>
      <c r="S5" s="44">
        <v>4.4000000000000004</v>
      </c>
      <c r="T5" s="33">
        <v>55.7</v>
      </c>
      <c r="U5" s="44">
        <f>5.6+2.4</f>
        <v>8</v>
      </c>
      <c r="V5" s="34"/>
      <c r="W5" s="39"/>
    </row>
    <row r="6" spans="1:23" x14ac:dyDescent="0.2">
      <c r="A6" s="1">
        <f t="shared" si="0"/>
        <v>4</v>
      </c>
      <c r="B6" s="38" t="s">
        <v>14</v>
      </c>
      <c r="C6" s="38" t="s">
        <v>15</v>
      </c>
      <c r="D6" s="38" t="s">
        <v>131</v>
      </c>
      <c r="E6" s="37">
        <v>2000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 t="s">
        <v>158</v>
      </c>
      <c r="H6" s="4">
        <f t="shared" si="1"/>
        <v>128.80000000000001</v>
      </c>
      <c r="I6" s="3" t="str">
        <f>IF(MAX(P6,R6,T6,V6)&gt;=LOOKUP(F6,'Qualifying Scores'!$A$4:$A$7,'Qualifying Scores'!$G$4:$G$7),"P","")</f>
        <v>P</v>
      </c>
      <c r="J6" s="3" t="str">
        <f>IF(MAX(Q6,S6,U6,W6)&gt;=LOOKUP(F6,'Qualifying Scores'!$A$10:$A$13,'Qualifying Scores'!$G$10:$G$13),"P","")</f>
        <v>P</v>
      </c>
      <c r="K6" s="3" t="str">
        <f>IF(OR(AND(P6&gt;=LOOKUP(F6,'Qualifying Scores'!$A$4:$A$7,'Qualifying Scores'!$G$4:$G$7),Q6&gt;=LOOKUP(F6,'Qualifying Scores'!$A$10:$A$13,'Qualifying Scores'!$G$10:$G$13)),AND(T6&gt;=LOOKUP(F6,'Qualifying Scores'!$A$4:$A$7,'Qualifying Scores'!$G$4:$G$7),U6&gt;=LOOKUP(F6,'Qualifying Scores'!$A$10:$A$13,'Qualifying Scores'!$G$10:$G$13)),AND(R6&gt;=LOOKUP(F6,'Qualifying Scores'!$A$4:$A$7,'Qualifying Scores'!$G$4:$G$7),S6&gt;=LOOKUP(F6,'Qualifying Scores'!$A$10:$A$13,'Qualifying Scores'!$G$10:$G$13)),AND(V6&gt;=LOOKUP(F6,'Qualifying Scores'!$A$4:$A$7,'Qualifying Scores'!$G$4:$G$7),W6&gt;=LOOKUP(F6,'Qualifying Scores'!$A$10:$A$13,'Qualifying Scores'!$G$10:$G$13))),"P","")</f>
        <v>P</v>
      </c>
      <c r="N6" s="4">
        <f t="shared" si="2"/>
        <v>64.5</v>
      </c>
      <c r="O6" s="4">
        <f t="shared" si="3"/>
        <v>64.3</v>
      </c>
      <c r="P6" s="33">
        <v>63.1</v>
      </c>
      <c r="Q6" s="44">
        <f>3.5+3.6</f>
        <v>7.1</v>
      </c>
      <c r="R6" s="34">
        <v>63.9</v>
      </c>
      <c r="S6" s="44">
        <f>5.2+3.7</f>
        <v>8.9</v>
      </c>
      <c r="T6" s="33">
        <v>64.5</v>
      </c>
      <c r="U6" s="44">
        <f>3.5+3.6</f>
        <v>7.1</v>
      </c>
      <c r="V6" s="34">
        <v>64.3</v>
      </c>
      <c r="W6" s="39">
        <f>5.2+4.4</f>
        <v>9.6000000000000014</v>
      </c>
    </row>
    <row r="7" spans="1:23" x14ac:dyDescent="0.2">
      <c r="A7" s="1">
        <f t="shared" si="0"/>
        <v>5</v>
      </c>
      <c r="B7" s="38" t="s">
        <v>86</v>
      </c>
      <c r="C7" s="38" t="s">
        <v>4</v>
      </c>
      <c r="D7" s="38" t="s">
        <v>56</v>
      </c>
      <c r="E7" s="37">
        <v>2001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/>
      <c r="H7" s="4">
        <f t="shared" si="1"/>
        <v>128.60000000000002</v>
      </c>
      <c r="I7" s="3" t="str">
        <f>IF(MAX(P7,R7,T7,V7)&gt;=LOOKUP(F7,'Qualifying Scores'!$A$4:$A$7,'Qualifying Scores'!$G$4:$G$7),"P","")</f>
        <v>P</v>
      </c>
      <c r="J7" s="3" t="str">
        <f>IF(MAX(Q7,S7,U7,W7)&gt;=LOOKUP(F7,'Qualifying Scores'!$A$10:$A$13,'Qualifying Scores'!$G$10:$G$13),"P","")</f>
        <v>P</v>
      </c>
      <c r="K7" s="3" t="str">
        <f>IF(OR(AND(P7&gt;=LOOKUP(F7,'Qualifying Scores'!$A$4:$A$7,'Qualifying Scores'!$G$4:$G$7),Q7&gt;=LOOKUP(F7,'Qualifying Scores'!$A$10:$A$13,'Qualifying Scores'!$G$10:$G$13)),AND(T7&gt;=LOOKUP(F7,'Qualifying Scores'!$A$4:$A$7,'Qualifying Scores'!$G$4:$G$7),U7&gt;=LOOKUP(F7,'Qualifying Scores'!$A$10:$A$13,'Qualifying Scores'!$G$10:$G$13)),AND(R7&gt;=LOOKUP(F7,'Qualifying Scores'!$A$4:$A$7,'Qualifying Scores'!$G$4:$G$7),S7&gt;=LOOKUP(F7,'Qualifying Scores'!$A$10:$A$13,'Qualifying Scores'!$G$10:$G$13)),AND(V7&gt;=LOOKUP(F7,'Qualifying Scores'!$A$4:$A$7,'Qualifying Scores'!$G$4:$G$7),W7&gt;=LOOKUP(F7,'Qualifying Scores'!$A$10:$A$13,'Qualifying Scores'!$G$10:$G$13))),"P","")</f>
        <v>P</v>
      </c>
      <c r="N7" s="4">
        <f t="shared" si="2"/>
        <v>64.2</v>
      </c>
      <c r="O7" s="4">
        <f t="shared" si="3"/>
        <v>64.400000000000006</v>
      </c>
      <c r="P7" s="33">
        <v>64.2</v>
      </c>
      <c r="Q7" s="44">
        <f>5.6+5.2</f>
        <v>10.8</v>
      </c>
      <c r="R7" s="34">
        <v>64.400000000000006</v>
      </c>
      <c r="S7" s="44">
        <f>5.6+5.2</f>
        <v>10.8</v>
      </c>
      <c r="T7" s="33">
        <v>63.5</v>
      </c>
      <c r="U7" s="44">
        <f>5.6+5.6</f>
        <v>11.2</v>
      </c>
      <c r="V7" s="34">
        <v>62.4</v>
      </c>
      <c r="W7" s="39">
        <f>5.2+5.2</f>
        <v>10.4</v>
      </c>
    </row>
    <row r="8" spans="1:23" x14ac:dyDescent="0.2">
      <c r="A8" s="1">
        <f t="shared" si="0"/>
        <v>6</v>
      </c>
      <c r="B8" s="38" t="s">
        <v>115</v>
      </c>
      <c r="C8" s="38" t="s">
        <v>5</v>
      </c>
      <c r="D8" s="38" t="s">
        <v>6</v>
      </c>
      <c r="E8" s="37">
        <v>2001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17-21</v>
      </c>
      <c r="G8" s="56" t="s">
        <v>158</v>
      </c>
      <c r="H8" s="4">
        <f t="shared" si="1"/>
        <v>127</v>
      </c>
      <c r="I8" s="3" t="str">
        <f>IF(MAX(P8,R8,T8,V8)&gt;=LOOKUP(F8,'Qualifying Scores'!$A$4:$A$7,'Qualifying Scores'!$G$4:$G$7),"P","")</f>
        <v>P</v>
      </c>
      <c r="J8" s="3" t="str">
        <f>IF(MAX(Q8,S8,U8,W8)&gt;=LOOKUP(F8,'Qualifying Scores'!$A$10:$A$13,'Qualifying Scores'!$G$10:$G$13),"P","")</f>
        <v>P</v>
      </c>
      <c r="K8" s="3" t="str">
        <f>IF(OR(AND(P8&gt;=LOOKUP(F8,'Qualifying Scores'!$A$4:$A$7,'Qualifying Scores'!$G$4:$G$7),Q8&gt;=LOOKUP(F8,'Qualifying Scores'!$A$10:$A$13,'Qualifying Scores'!$G$10:$G$13)),AND(T8&gt;=LOOKUP(F8,'Qualifying Scores'!$A$4:$A$7,'Qualifying Scores'!$G$4:$G$7),U8&gt;=LOOKUP(F8,'Qualifying Scores'!$A$10:$A$13,'Qualifying Scores'!$G$10:$G$13)),AND(R8&gt;=LOOKUP(F8,'Qualifying Scores'!$A$4:$A$7,'Qualifying Scores'!$G$4:$G$7),S8&gt;=LOOKUP(F8,'Qualifying Scores'!$A$10:$A$13,'Qualifying Scores'!$G$10:$G$13)),AND(V8&gt;=LOOKUP(F8,'Qualifying Scores'!$A$4:$A$7,'Qualifying Scores'!$G$4:$G$7),W8&gt;=LOOKUP(F8,'Qualifying Scores'!$A$10:$A$13,'Qualifying Scores'!$G$10:$G$13))),"P","")</f>
        <v>P</v>
      </c>
      <c r="N8" s="4">
        <f t="shared" si="2"/>
        <v>64.3</v>
      </c>
      <c r="O8" s="4">
        <f t="shared" si="3"/>
        <v>62.7</v>
      </c>
      <c r="P8" s="33">
        <v>64.3</v>
      </c>
      <c r="Q8" s="44">
        <f>5.2+3.9</f>
        <v>9.1</v>
      </c>
      <c r="R8" s="34">
        <v>59.7</v>
      </c>
      <c r="S8" s="44">
        <f>2+3.6</f>
        <v>5.6</v>
      </c>
      <c r="T8" s="33">
        <v>62.7</v>
      </c>
      <c r="U8" s="44">
        <f>4.4+4</f>
        <v>8.4</v>
      </c>
      <c r="V8" s="34">
        <v>59.8</v>
      </c>
      <c r="W8" s="39">
        <f>2.4+3.9</f>
        <v>6.3</v>
      </c>
    </row>
    <row r="9" spans="1:23" x14ac:dyDescent="0.2">
      <c r="A9" s="1" t="str">
        <f t="shared" si="0"/>
        <v/>
      </c>
      <c r="B9" s="38" t="s">
        <v>113</v>
      </c>
      <c r="C9" s="38" t="s">
        <v>8</v>
      </c>
      <c r="D9" s="38" t="s">
        <v>123</v>
      </c>
      <c r="E9" s="37">
        <v>2003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/>
      <c r="H9" s="4">
        <f t="shared" si="1"/>
        <v>125.8</v>
      </c>
      <c r="I9" s="3" t="str">
        <f>IF(MAX(P9,R9,T9,V9)&gt;=LOOKUP(F9,'Qualifying Scores'!$A$4:$A$7,'Qualifying Scores'!$G$4:$G$7),"P","")</f>
        <v/>
      </c>
      <c r="J9" s="3" t="str">
        <f>IF(MAX(Q9,S9,U9,W9)&gt;=LOOKUP(F9,'Qualifying Scores'!$A$10:$A$13,'Qualifying Scores'!$G$10:$G$13),"P","")</f>
        <v/>
      </c>
      <c r="K9" s="3" t="str">
        <f>IF(OR(AND(P9&gt;=LOOKUP(F9,'Qualifying Scores'!$A$4:$A$7,'Qualifying Scores'!$G$4:$G$7),Q9&gt;=LOOKUP(F9,'Qualifying Scores'!$A$10:$A$13,'Qualifying Scores'!$G$10:$G$13)),AND(T9&gt;=LOOKUP(F9,'Qualifying Scores'!$A$4:$A$7,'Qualifying Scores'!$G$4:$G$7),U9&gt;=LOOKUP(F9,'Qualifying Scores'!$A$10:$A$13,'Qualifying Scores'!$G$10:$G$13)),AND(R9&gt;=LOOKUP(F9,'Qualifying Scores'!$A$4:$A$7,'Qualifying Scores'!$G$4:$G$7),S9&gt;=LOOKUP(F9,'Qualifying Scores'!$A$10:$A$13,'Qualifying Scores'!$G$10:$G$13)),AND(V9&gt;=LOOKUP(F9,'Qualifying Scores'!$A$4:$A$7,'Qualifying Scores'!$G$4:$G$7),W9&gt;=LOOKUP(F9,'Qualifying Scores'!$A$10:$A$13,'Qualifying Scores'!$G$10:$G$13))),"P","")</f>
        <v/>
      </c>
      <c r="N9" s="4">
        <f t="shared" si="2"/>
        <v>62.4</v>
      </c>
      <c r="O9" s="4">
        <f t="shared" si="3"/>
        <v>63.4</v>
      </c>
      <c r="P9" s="33">
        <v>62.4</v>
      </c>
      <c r="Q9" s="44">
        <f>3.2+3.4</f>
        <v>6.6</v>
      </c>
      <c r="R9" s="34">
        <v>52.4</v>
      </c>
      <c r="S9" s="44">
        <f>3.5+0.9</f>
        <v>4.4000000000000004</v>
      </c>
      <c r="T9" s="33">
        <v>61.1</v>
      </c>
      <c r="U9" s="44">
        <f>3.4+3.2</f>
        <v>6.6</v>
      </c>
      <c r="V9" s="34">
        <v>63.4</v>
      </c>
      <c r="W9" s="39">
        <f>3.5+3.5</f>
        <v>7</v>
      </c>
    </row>
    <row r="10" spans="1:23" x14ac:dyDescent="0.2">
      <c r="A10" s="1" t="str">
        <f t="shared" si="0"/>
        <v/>
      </c>
      <c r="B10" s="38" t="s">
        <v>108</v>
      </c>
      <c r="C10" s="38" t="s">
        <v>15</v>
      </c>
      <c r="D10" s="38" t="s">
        <v>124</v>
      </c>
      <c r="E10" s="37">
        <v>2003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G10" s="56"/>
      <c r="H10" s="4">
        <f t="shared" si="1"/>
        <v>124.8</v>
      </c>
      <c r="I10" s="3" t="str">
        <f>IF(MAX(P10,R10,T10,V10)&gt;=LOOKUP(F10,'Qualifying Scores'!$A$4:$A$7,'Qualifying Scores'!$G$4:$G$7),"P","")</f>
        <v/>
      </c>
      <c r="J10" s="3" t="str">
        <f>IF(MAX(Q10,S10,U10,W10)&gt;=LOOKUP(F10,'Qualifying Scores'!$A$10:$A$13,'Qualifying Scores'!$G$10:$G$13),"P","")</f>
        <v>P</v>
      </c>
      <c r="K10" s="3" t="str">
        <f>IF(OR(AND(P10&gt;=LOOKUP(F10,'Qualifying Scores'!$A$4:$A$7,'Qualifying Scores'!$G$4:$G$7),Q10&gt;=LOOKUP(F10,'Qualifying Scores'!$A$10:$A$13,'Qualifying Scores'!$G$10:$G$13)),AND(T10&gt;=LOOKUP(F10,'Qualifying Scores'!$A$4:$A$7,'Qualifying Scores'!$G$4:$G$7),U10&gt;=LOOKUP(F10,'Qualifying Scores'!$A$10:$A$13,'Qualifying Scores'!$G$10:$G$13)),AND(R10&gt;=LOOKUP(F10,'Qualifying Scores'!$A$4:$A$7,'Qualifying Scores'!$G$4:$G$7),S10&gt;=LOOKUP(F10,'Qualifying Scores'!$A$10:$A$13,'Qualifying Scores'!$G$10:$G$13)),AND(V10&gt;=LOOKUP(F10,'Qualifying Scores'!$A$4:$A$7,'Qualifying Scores'!$G$4:$G$7),W10&gt;=LOOKUP(F10,'Qualifying Scores'!$A$10:$A$13,'Qualifying Scores'!$G$10:$G$13))),"P","")</f>
        <v/>
      </c>
      <c r="N10" s="4">
        <f t="shared" si="2"/>
        <v>61.9</v>
      </c>
      <c r="O10" s="4">
        <f t="shared" si="3"/>
        <v>62.9</v>
      </c>
      <c r="P10" s="33">
        <v>59.2</v>
      </c>
      <c r="Q10" s="44">
        <f>3.2+3.1</f>
        <v>6.3000000000000007</v>
      </c>
      <c r="R10" s="34">
        <v>61.8</v>
      </c>
      <c r="S10" s="44">
        <f>3.3+3.4</f>
        <v>6.6999999999999993</v>
      </c>
      <c r="T10" s="33">
        <v>61.9</v>
      </c>
      <c r="U10" s="44">
        <f>3.6+3.3</f>
        <v>6.9</v>
      </c>
      <c r="V10" s="34">
        <v>62.9</v>
      </c>
      <c r="W10" s="39">
        <f>3.4+4.4</f>
        <v>7.8000000000000007</v>
      </c>
    </row>
    <row r="11" spans="1:23" x14ac:dyDescent="0.2">
      <c r="A11" s="1" t="str">
        <f t="shared" si="0"/>
        <v/>
      </c>
      <c r="B11" s="38" t="s">
        <v>91</v>
      </c>
      <c r="C11" s="38" t="s">
        <v>4</v>
      </c>
      <c r="D11" s="38" t="s">
        <v>70</v>
      </c>
      <c r="E11" s="37">
        <v>2001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/>
      <c r="H11" s="4">
        <f t="shared" si="1"/>
        <v>123.5</v>
      </c>
      <c r="I11" s="3" t="str">
        <f>IF(MAX(P11,R11,T11,V11)&gt;=LOOKUP(F11,'Qualifying Scores'!$A$4:$A$7,'Qualifying Scores'!$G$4:$G$7),"P","")</f>
        <v/>
      </c>
      <c r="J11" s="3" t="str">
        <f>IF(MAX(Q11,S11,U11,W11)&gt;=LOOKUP(F11,'Qualifying Scores'!$A$10:$A$13,'Qualifying Scores'!$G$10:$G$13),"P","")</f>
        <v>P</v>
      </c>
      <c r="K11" s="3" t="str">
        <f>IF(OR(AND(P11&gt;=LOOKUP(F11,'Qualifying Scores'!$A$4:$A$7,'Qualifying Scores'!$G$4:$G$7),Q11&gt;=LOOKUP(F11,'Qualifying Scores'!$A$10:$A$13,'Qualifying Scores'!$G$10:$G$13)),AND(T11&gt;=LOOKUP(F11,'Qualifying Scores'!$A$4:$A$7,'Qualifying Scores'!$G$4:$G$7),U11&gt;=LOOKUP(F11,'Qualifying Scores'!$A$10:$A$13,'Qualifying Scores'!$G$10:$G$13)),AND(R11&gt;=LOOKUP(F11,'Qualifying Scores'!$A$4:$A$7,'Qualifying Scores'!$G$4:$G$7),S11&gt;=LOOKUP(F11,'Qualifying Scores'!$A$10:$A$13,'Qualifying Scores'!$G$10:$G$13)),AND(V11&gt;=LOOKUP(F11,'Qualifying Scores'!$A$4:$A$7,'Qualifying Scores'!$G$4:$G$7),W11&gt;=LOOKUP(F11,'Qualifying Scores'!$A$10:$A$13,'Qualifying Scores'!$G$10:$G$13))),"P","")</f>
        <v/>
      </c>
      <c r="N11" s="4">
        <f t="shared" si="2"/>
        <v>62.6</v>
      </c>
      <c r="O11" s="4">
        <f t="shared" si="3"/>
        <v>60.9</v>
      </c>
      <c r="P11" s="33">
        <v>62.6</v>
      </c>
      <c r="Q11" s="44">
        <f>4.8+4</f>
        <v>8.8000000000000007</v>
      </c>
      <c r="R11" s="34">
        <v>43.7</v>
      </c>
      <c r="S11" s="44">
        <f>2+2.4</f>
        <v>4.4000000000000004</v>
      </c>
      <c r="T11" s="33">
        <v>60.9</v>
      </c>
      <c r="U11" s="44">
        <f>4.4+3.1</f>
        <v>7.5</v>
      </c>
      <c r="V11" s="34">
        <v>49.2</v>
      </c>
      <c r="W11" s="39">
        <f>2.4+1.2</f>
        <v>3.5999999999999996</v>
      </c>
    </row>
    <row r="12" spans="1:23" x14ac:dyDescent="0.2">
      <c r="A12" s="1" t="str">
        <f t="shared" si="0"/>
        <v/>
      </c>
      <c r="B12" s="38" t="s">
        <v>143</v>
      </c>
      <c r="C12" s="38" t="s">
        <v>4</v>
      </c>
      <c r="D12" s="38" t="s">
        <v>142</v>
      </c>
      <c r="E12" s="37">
        <v>2003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/>
      <c r="H12" s="4">
        <f t="shared" si="1"/>
        <v>118</v>
      </c>
      <c r="I12" s="3" t="str">
        <f>IF(MAX(P12,R12,T12,V12)&gt;=LOOKUP(F12,'Qualifying Scores'!$A$4:$A$7,'Qualifying Scores'!$G$4:$G$7),"P","")</f>
        <v/>
      </c>
      <c r="J12" s="3" t="str">
        <f>IF(MAX(Q12,S12,U12,W12)&gt;=LOOKUP(F12,'Qualifying Scores'!$A$10:$A$13,'Qualifying Scores'!$G$10:$G$13),"P","")</f>
        <v/>
      </c>
      <c r="K12" s="3" t="str">
        <f>IF(OR(AND(P12&gt;=LOOKUP(F12,'Qualifying Scores'!$A$4:$A$7,'Qualifying Scores'!$G$4:$G$7),Q12&gt;=LOOKUP(F12,'Qualifying Scores'!$A$10:$A$13,'Qualifying Scores'!$G$10:$G$13)),AND(T12&gt;=LOOKUP(F12,'Qualifying Scores'!$A$4:$A$7,'Qualifying Scores'!$G$4:$G$7),U12&gt;=LOOKUP(F12,'Qualifying Scores'!$A$10:$A$13,'Qualifying Scores'!$G$10:$G$13)),AND(R12&gt;=LOOKUP(F12,'Qualifying Scores'!$A$4:$A$7,'Qualifying Scores'!$G$4:$G$7),S12&gt;=LOOKUP(F12,'Qualifying Scores'!$A$10:$A$13,'Qualifying Scores'!$G$10:$G$13)),AND(V12&gt;=LOOKUP(F12,'Qualifying Scores'!$A$4:$A$7,'Qualifying Scores'!$G$4:$G$7),W12&gt;=LOOKUP(F12,'Qualifying Scores'!$A$10:$A$13,'Qualifying Scores'!$G$10:$G$13))),"P","")</f>
        <v/>
      </c>
      <c r="N12" s="4">
        <f t="shared" si="2"/>
        <v>61.4</v>
      </c>
      <c r="O12" s="4">
        <f t="shared" si="3"/>
        <v>56.6</v>
      </c>
      <c r="P12" s="33"/>
      <c r="Q12" s="44"/>
      <c r="R12" s="34"/>
      <c r="S12" s="44"/>
      <c r="T12" s="33">
        <v>61.4</v>
      </c>
      <c r="U12" s="44">
        <f>2.7+3.1</f>
        <v>5.8000000000000007</v>
      </c>
      <c r="V12" s="34">
        <v>56.6</v>
      </c>
      <c r="W12" s="39">
        <f>2.9+2.7</f>
        <v>5.6</v>
      </c>
    </row>
    <row r="13" spans="1:23" x14ac:dyDescent="0.2">
      <c r="A13" s="1" t="str">
        <f t="shared" si="0"/>
        <v/>
      </c>
      <c r="B13" s="38" t="s">
        <v>151</v>
      </c>
      <c r="C13" s="38" t="s">
        <v>8</v>
      </c>
      <c r="D13" s="38" t="s">
        <v>136</v>
      </c>
      <c r="E13" s="37">
        <v>2002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17-21</v>
      </c>
      <c r="G13" s="56"/>
      <c r="H13" s="4">
        <f t="shared" si="1"/>
        <v>115.5</v>
      </c>
      <c r="I13" s="3" t="str">
        <f>IF(MAX(P13,R13,T13,V13)&gt;=LOOKUP(F13,'Qualifying Scores'!$A$4:$A$7,'Qualifying Scores'!$G$4:$G$7),"P","")</f>
        <v/>
      </c>
      <c r="J13" s="3" t="str">
        <f>IF(MAX(Q13,S13,U13,W13)&gt;=LOOKUP(F13,'Qualifying Scores'!$A$10:$A$13,'Qualifying Scores'!$G$10:$G$13),"P","")</f>
        <v/>
      </c>
      <c r="K13" s="3" t="str">
        <f>IF(OR(AND(P13&gt;=LOOKUP(F13,'Qualifying Scores'!$A$4:$A$7,'Qualifying Scores'!$G$4:$G$7),Q13&gt;=LOOKUP(F13,'Qualifying Scores'!$A$10:$A$13,'Qualifying Scores'!$G$10:$G$13)),AND(T13&gt;=LOOKUP(F13,'Qualifying Scores'!$A$4:$A$7,'Qualifying Scores'!$G$4:$G$7),U13&gt;=LOOKUP(F13,'Qualifying Scores'!$A$10:$A$13,'Qualifying Scores'!$G$10:$G$13)),AND(R13&gt;=LOOKUP(F13,'Qualifying Scores'!$A$4:$A$7,'Qualifying Scores'!$G$4:$G$7),S13&gt;=LOOKUP(F13,'Qualifying Scores'!$A$10:$A$13,'Qualifying Scores'!$G$10:$G$13)),AND(V13&gt;=LOOKUP(F13,'Qualifying Scores'!$A$4:$A$7,'Qualifying Scores'!$G$4:$G$7),W13&gt;=LOOKUP(F13,'Qualifying Scores'!$A$10:$A$13,'Qualifying Scores'!$G$10:$G$13))),"P","")</f>
        <v/>
      </c>
      <c r="N13" s="4">
        <f t="shared" si="2"/>
        <v>57.5</v>
      </c>
      <c r="O13" s="4">
        <f t="shared" si="3"/>
        <v>58</v>
      </c>
      <c r="P13" s="33"/>
      <c r="Q13" s="44"/>
      <c r="R13" s="34"/>
      <c r="S13" s="44"/>
      <c r="T13" s="33">
        <v>57.5</v>
      </c>
      <c r="U13" s="44">
        <f>2.7+1.3</f>
        <v>4</v>
      </c>
      <c r="V13" s="34">
        <v>58</v>
      </c>
      <c r="W13" s="39">
        <f>1.7+1.7</f>
        <v>3.4</v>
      </c>
    </row>
    <row r="14" spans="1:23" x14ac:dyDescent="0.2">
      <c r="A14" s="1" t="str">
        <f t="shared" si="0"/>
        <v/>
      </c>
      <c r="B14" s="38" t="s">
        <v>114</v>
      </c>
      <c r="C14" s="38" t="s">
        <v>129</v>
      </c>
      <c r="D14" s="38" t="s">
        <v>128</v>
      </c>
      <c r="E14" s="37">
        <v>2001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17-21</v>
      </c>
      <c r="G14" s="56"/>
      <c r="H14" s="4">
        <f t="shared" si="1"/>
        <v>110.69999999999999</v>
      </c>
      <c r="I14" s="3" t="str">
        <f>IF(MAX(P14,R14,T14,V14)&gt;=LOOKUP(F14,'Qualifying Scores'!$A$4:$A$7,'Qualifying Scores'!$G$4:$G$7),"P","")</f>
        <v/>
      </c>
      <c r="J14" s="3" t="str">
        <f>IF(MAX(Q14,S14,U14,W14)&gt;=LOOKUP(F14,'Qualifying Scores'!$A$10:$A$13,'Qualifying Scores'!$G$10:$G$13),"P","")</f>
        <v/>
      </c>
      <c r="K14" s="3" t="str">
        <f>IF(OR(AND(P14&gt;=LOOKUP(F14,'Qualifying Scores'!$A$4:$A$7,'Qualifying Scores'!$G$4:$G$7),Q14&gt;=LOOKUP(F14,'Qualifying Scores'!$A$10:$A$13,'Qualifying Scores'!$G$10:$G$13)),AND(T14&gt;=LOOKUP(F14,'Qualifying Scores'!$A$4:$A$7,'Qualifying Scores'!$G$4:$G$7),U14&gt;=LOOKUP(F14,'Qualifying Scores'!$A$10:$A$13,'Qualifying Scores'!$G$10:$G$13)),AND(R14&gt;=LOOKUP(F14,'Qualifying Scores'!$A$4:$A$7,'Qualifying Scores'!$G$4:$G$7),S14&gt;=LOOKUP(F14,'Qualifying Scores'!$A$10:$A$13,'Qualifying Scores'!$G$10:$G$13)),AND(V14&gt;=LOOKUP(F14,'Qualifying Scores'!$A$4:$A$7,'Qualifying Scores'!$G$4:$G$7),W14&gt;=LOOKUP(F14,'Qualifying Scores'!$A$10:$A$13,'Qualifying Scores'!$G$10:$G$13))),"P","")</f>
        <v/>
      </c>
      <c r="N14" s="4">
        <f t="shared" si="2"/>
        <v>59.9</v>
      </c>
      <c r="O14" s="4">
        <f t="shared" si="3"/>
        <v>50.8</v>
      </c>
      <c r="P14" s="33">
        <v>59.9</v>
      </c>
      <c r="Q14" s="44">
        <f>2.7+1.8</f>
        <v>4.5</v>
      </c>
      <c r="R14" s="34">
        <v>50.8</v>
      </c>
      <c r="S14" s="44">
        <f>1.8+0.5</f>
        <v>2.2999999999999998</v>
      </c>
      <c r="T14" s="33"/>
      <c r="U14" s="44"/>
      <c r="V14" s="34"/>
      <c r="W14" s="39"/>
    </row>
    <row r="15" spans="1:23" x14ac:dyDescent="0.2">
      <c r="A15" s="1" t="str">
        <f t="shared" si="0"/>
        <v/>
      </c>
      <c r="B15" s="38" t="s">
        <v>116</v>
      </c>
      <c r="C15" s="38" t="s">
        <v>4</v>
      </c>
      <c r="D15" s="38" t="s">
        <v>56</v>
      </c>
      <c r="E15" s="37">
        <v>2003</v>
      </c>
      <c r="F15" s="1" t="str">
        <f>IF('Qualifying Scores'!$B$1-E15&gt;21,"Not Age Eligible",IF('Qualifying Scores'!$B$1-E15&gt;16,"17-21",IF('Qualifying Scores'!$B$1-E15&gt;14,"15-16",IF('Qualifying Scores'!$B$1-E15&gt;12,"13-14",IF('Qualifying Scores'!$B$1-E15&gt;10,"11-12,""Not Age Eligible")))))</f>
        <v>17-21</v>
      </c>
      <c r="G15" s="56"/>
      <c r="H15" s="4">
        <f t="shared" si="1"/>
        <v>110.5</v>
      </c>
      <c r="I15" s="3" t="str">
        <f>IF(MAX(P15,R15,T15,V15)&gt;=LOOKUP(F15,'Qualifying Scores'!$A$4:$A$7,'Qualifying Scores'!$G$4:$G$7),"P","")</f>
        <v/>
      </c>
      <c r="J15" s="3" t="str">
        <f>IF(MAX(Q15,S15,U15,W15)&gt;=LOOKUP(F15,'Qualifying Scores'!$A$10:$A$13,'Qualifying Scores'!$G$10:$G$13),"P","")</f>
        <v/>
      </c>
      <c r="K15" s="3" t="str">
        <f>IF(OR(AND(P15&gt;=LOOKUP(F15,'Qualifying Scores'!$A$4:$A$7,'Qualifying Scores'!$G$4:$G$7),Q15&gt;=LOOKUP(F15,'Qualifying Scores'!$A$10:$A$13,'Qualifying Scores'!$G$10:$G$13)),AND(T15&gt;=LOOKUP(F15,'Qualifying Scores'!$A$4:$A$7,'Qualifying Scores'!$G$4:$G$7),U15&gt;=LOOKUP(F15,'Qualifying Scores'!$A$10:$A$13,'Qualifying Scores'!$G$10:$G$13)),AND(R15&gt;=LOOKUP(F15,'Qualifying Scores'!$A$4:$A$7,'Qualifying Scores'!$G$4:$G$7),S15&gt;=LOOKUP(F15,'Qualifying Scores'!$A$10:$A$13,'Qualifying Scores'!$G$10:$G$13)),AND(V15&gt;=LOOKUP(F15,'Qualifying Scores'!$A$4:$A$7,'Qualifying Scores'!$G$4:$G$7),W15&gt;=LOOKUP(F15,'Qualifying Scores'!$A$10:$A$13,'Qualifying Scores'!$G$10:$G$13))),"P","")</f>
        <v/>
      </c>
      <c r="N15" s="4">
        <f t="shared" si="2"/>
        <v>58.5</v>
      </c>
      <c r="O15" s="4">
        <f t="shared" si="3"/>
        <v>52</v>
      </c>
      <c r="P15" s="33">
        <v>58.5</v>
      </c>
      <c r="Q15" s="44">
        <f>3.3+3.1</f>
        <v>6.4</v>
      </c>
      <c r="R15" s="34">
        <v>28.9</v>
      </c>
      <c r="S15" s="44">
        <f>2.7</f>
        <v>2.7</v>
      </c>
      <c r="T15" s="33">
        <v>52</v>
      </c>
      <c r="U15" s="44">
        <f>0.7+3.3</f>
        <v>4</v>
      </c>
      <c r="V15" s="34"/>
      <c r="W15" s="39"/>
    </row>
    <row r="16" spans="1:23" x14ac:dyDescent="0.2">
      <c r="A16" s="1" t="str">
        <f t="shared" si="0"/>
        <v/>
      </c>
      <c r="B16" s="38" t="s">
        <v>110</v>
      </c>
      <c r="C16" s="38" t="s">
        <v>4</v>
      </c>
      <c r="D16" s="38" t="s">
        <v>122</v>
      </c>
      <c r="E16" s="37">
        <v>2001</v>
      </c>
      <c r="F16" s="1" t="str">
        <f>IF('Qualifying Scores'!$B$1-E16&gt;21,"Not Age Eligible",IF('Qualifying Scores'!$B$1-E16&gt;16,"17-21",IF('Qualifying Scores'!$B$1-E16&gt;14,"15-16",IF('Qualifying Scores'!$B$1-E16&gt;12,"13-14",IF('Qualifying Scores'!$B$1-E16&gt;10,"11-12,""Not Age Eligible")))))</f>
        <v>17-21</v>
      </c>
      <c r="G16" s="56" t="s">
        <v>158</v>
      </c>
      <c r="H16" s="4">
        <f t="shared" si="1"/>
        <v>93.800000000000011</v>
      </c>
      <c r="I16" s="3" t="str">
        <f>IF(MAX(P16,R16,T16,V16)&gt;=LOOKUP(F16,'Qualifying Scores'!$A$4:$A$7,'Qualifying Scores'!$G$4:$G$7),"P","")</f>
        <v/>
      </c>
      <c r="J16" s="3" t="str">
        <f>IF(MAX(Q16,S16,U16,W16)&gt;=LOOKUP(F16,'Qualifying Scores'!$A$10:$A$13,'Qualifying Scores'!$G$10:$G$13),"P","")</f>
        <v>P</v>
      </c>
      <c r="K16" s="3" t="str">
        <f>IF(OR(AND(P16&gt;=LOOKUP(F16,'Qualifying Scores'!$A$4:$A$7,'Qualifying Scores'!$G$4:$G$7),Q16&gt;=LOOKUP(F16,'Qualifying Scores'!$A$10:$A$13,'Qualifying Scores'!$G$10:$G$13)),AND(T16&gt;=LOOKUP(F16,'Qualifying Scores'!$A$4:$A$7,'Qualifying Scores'!$G$4:$G$7),U16&gt;=LOOKUP(F16,'Qualifying Scores'!$A$10:$A$13,'Qualifying Scores'!$G$10:$G$13)),AND(R16&gt;=LOOKUP(F16,'Qualifying Scores'!$A$4:$A$7,'Qualifying Scores'!$G$4:$G$7),S16&gt;=LOOKUP(F16,'Qualifying Scores'!$A$10:$A$13,'Qualifying Scores'!$G$10:$G$13)),AND(V16&gt;=LOOKUP(F16,'Qualifying Scores'!$A$4:$A$7,'Qualifying Scores'!$G$4:$G$7),W16&gt;=LOOKUP(F16,'Qualifying Scores'!$A$10:$A$13,'Qualifying Scores'!$G$10:$G$13))),"P","")</f>
        <v/>
      </c>
      <c r="N16" s="4">
        <f t="shared" si="2"/>
        <v>60.6</v>
      </c>
      <c r="O16" s="4">
        <f t="shared" si="3"/>
        <v>33.200000000000003</v>
      </c>
      <c r="P16" s="33">
        <v>60.6</v>
      </c>
      <c r="Q16" s="44">
        <f>5.2+5.2</f>
        <v>10.4</v>
      </c>
      <c r="R16" s="34">
        <v>30.8</v>
      </c>
      <c r="S16" s="44">
        <v>3.9</v>
      </c>
      <c r="T16" s="33">
        <v>33.200000000000003</v>
      </c>
      <c r="U16" s="44">
        <f>5.2+0</f>
        <v>5.2</v>
      </c>
      <c r="V16" s="34"/>
      <c r="W16" s="39"/>
    </row>
    <row r="17" spans="1:23" x14ac:dyDescent="0.2">
      <c r="A17" s="1" t="str">
        <f t="shared" si="0"/>
        <v/>
      </c>
      <c r="B17" s="38" t="s">
        <v>84</v>
      </c>
      <c r="C17" s="38" t="s">
        <v>4</v>
      </c>
      <c r="D17" s="38" t="s">
        <v>122</v>
      </c>
      <c r="E17" s="37">
        <v>2003</v>
      </c>
      <c r="F17" s="1" t="str">
        <f>IF('Qualifying Scores'!$B$1-E17&gt;21,"Not Age Eligible",IF('Qualifying Scores'!$B$1-E17&gt;16,"17-21",IF('Qualifying Scores'!$B$1-E17&gt;14,"15-16",IF('Qualifying Scores'!$B$1-E17&gt;12,"13-14",IF('Qualifying Scores'!$B$1-E17&gt;10,"11-12,""Not Age Eligible")))))</f>
        <v>17-21</v>
      </c>
      <c r="G17" s="56" t="s">
        <v>158</v>
      </c>
      <c r="H17" s="4">
        <f t="shared" si="1"/>
        <v>78.400000000000006</v>
      </c>
      <c r="I17" s="3" t="str">
        <f>IF(MAX(P17,R17,T17,V17)&gt;=LOOKUP(F17,'Qualifying Scores'!$A$4:$A$7,'Qualifying Scores'!$G$4:$G$7),"P","")</f>
        <v/>
      </c>
      <c r="J17" s="3" t="str">
        <f>IF(MAX(Q17,S17,U17,W17)&gt;=LOOKUP(F17,'Qualifying Scores'!$A$10:$A$13,'Qualifying Scores'!$G$10:$G$13),"P","")</f>
        <v>P</v>
      </c>
      <c r="K17" s="3" t="str">
        <f>IF(OR(AND(P17&gt;=LOOKUP(F17,'Qualifying Scores'!$A$4:$A$7,'Qualifying Scores'!$G$4:$G$7),Q17&gt;=LOOKUP(F17,'Qualifying Scores'!$A$10:$A$13,'Qualifying Scores'!$G$10:$G$13)),AND(T17&gt;=LOOKUP(F17,'Qualifying Scores'!$A$4:$A$7,'Qualifying Scores'!$G$4:$G$7),U17&gt;=LOOKUP(F17,'Qualifying Scores'!$A$10:$A$13,'Qualifying Scores'!$G$10:$G$13)),AND(R17&gt;=LOOKUP(F17,'Qualifying Scores'!$A$4:$A$7,'Qualifying Scores'!$G$4:$G$7),S17&gt;=LOOKUP(F17,'Qualifying Scores'!$A$10:$A$13,'Qualifying Scores'!$G$10:$G$13)),AND(V17&gt;=LOOKUP(F17,'Qualifying Scores'!$A$4:$A$7,'Qualifying Scores'!$G$4:$G$7),W17&gt;=LOOKUP(F17,'Qualifying Scores'!$A$10:$A$13,'Qualifying Scores'!$G$10:$G$13))),"P","")</f>
        <v/>
      </c>
      <c r="N17" s="4">
        <f t="shared" si="2"/>
        <v>56.2</v>
      </c>
      <c r="O17" s="4">
        <f t="shared" si="3"/>
        <v>22.2</v>
      </c>
      <c r="P17" s="33">
        <v>56.2</v>
      </c>
      <c r="Q17" s="44">
        <f>6+2.8</f>
        <v>8.8000000000000007</v>
      </c>
      <c r="R17" s="34">
        <v>0</v>
      </c>
      <c r="S17" s="44">
        <v>0</v>
      </c>
      <c r="T17" s="33">
        <v>22.2</v>
      </c>
      <c r="U17" s="44">
        <f>2.4+0</f>
        <v>2.4</v>
      </c>
      <c r="V17" s="34"/>
      <c r="W17" s="39"/>
    </row>
    <row r="18" spans="1:23" x14ac:dyDescent="0.2">
      <c r="A18" s="1" t="str">
        <f t="shared" si="0"/>
        <v/>
      </c>
      <c r="B18" s="38" t="s">
        <v>139</v>
      </c>
      <c r="C18" s="38" t="s">
        <v>4</v>
      </c>
      <c r="D18" s="38" t="s">
        <v>122</v>
      </c>
      <c r="E18" s="37">
        <v>2003</v>
      </c>
      <c r="F18" s="1" t="str">
        <f>IF('Qualifying Scores'!$B$1-E18&gt;21,"Not Age Eligible",IF('Qualifying Scores'!$B$1-E18&gt;16,"17-21",IF('Qualifying Scores'!$B$1-E18&gt;14,"15-16",IF('Qualifying Scores'!$B$1-E18&gt;12,"13-14",IF('Qualifying Scores'!$B$1-E18&gt;10,"11-12,""Not Age Eligible")))))</f>
        <v>17-21</v>
      </c>
      <c r="G18" s="56" t="s">
        <v>158</v>
      </c>
      <c r="H18" s="4">
        <f t="shared" si="1"/>
        <v>55.2</v>
      </c>
      <c r="I18" s="3" t="str">
        <f>IF(MAX(P18,R18,T18,V18)&gt;=LOOKUP(F18,'Qualifying Scores'!$A$4:$A$7,'Qualifying Scores'!$G$4:$G$7),"P","")</f>
        <v/>
      </c>
      <c r="J18" s="3" t="str">
        <f>IF(MAX(Q18,S18,U18,W18)&gt;=LOOKUP(F18,'Qualifying Scores'!$A$10:$A$13,'Qualifying Scores'!$G$10:$G$13),"P","")</f>
        <v>P</v>
      </c>
      <c r="K18" s="3" t="str">
        <f>IF(OR(AND(P18&gt;=LOOKUP(F18,'Qualifying Scores'!$A$4:$A$7,'Qualifying Scores'!$G$4:$G$7),Q18&gt;=LOOKUP(F18,'Qualifying Scores'!$A$10:$A$13,'Qualifying Scores'!$G$10:$G$13)),AND(T18&gt;=LOOKUP(F18,'Qualifying Scores'!$A$4:$A$7,'Qualifying Scores'!$G$4:$G$7),U18&gt;=LOOKUP(F18,'Qualifying Scores'!$A$10:$A$13,'Qualifying Scores'!$G$10:$G$13)),AND(R18&gt;=LOOKUP(F18,'Qualifying Scores'!$A$4:$A$7,'Qualifying Scores'!$G$4:$G$7),S18&gt;=LOOKUP(F18,'Qualifying Scores'!$A$10:$A$13,'Qualifying Scores'!$G$10:$G$13)),AND(V18&gt;=LOOKUP(F18,'Qualifying Scores'!$A$4:$A$7,'Qualifying Scores'!$G$4:$G$7),W18&gt;=LOOKUP(F18,'Qualifying Scores'!$A$10:$A$13,'Qualifying Scores'!$G$10:$G$13))),"P","")</f>
        <v/>
      </c>
      <c r="N18" s="4">
        <f t="shared" si="2"/>
        <v>55.2</v>
      </c>
      <c r="O18" s="4">
        <f t="shared" si="3"/>
        <v>0</v>
      </c>
      <c r="P18" s="33"/>
      <c r="Q18" s="44"/>
      <c r="R18" s="34"/>
      <c r="S18" s="44"/>
      <c r="T18" s="33">
        <v>55.2</v>
      </c>
      <c r="U18" s="44">
        <f>2.4+5.6</f>
        <v>8</v>
      </c>
      <c r="V18" s="34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4"/>
      <c r="R19" s="34"/>
      <c r="S19" s="44"/>
      <c r="T19" s="33"/>
      <c r="U19" s="44"/>
      <c r="V19" s="34"/>
      <c r="W19" s="39"/>
    </row>
    <row r="20" spans="1:23" x14ac:dyDescent="0.2">
      <c r="F20" s="1"/>
      <c r="G20" s="56"/>
      <c r="H20" s="4"/>
      <c r="I20" s="3"/>
      <c r="J20" s="3"/>
      <c r="N20" s="4"/>
      <c r="O20" s="4"/>
      <c r="P20" s="33"/>
      <c r="Q20" s="44"/>
      <c r="R20" s="34"/>
      <c r="S20" s="44"/>
      <c r="T20" s="33"/>
      <c r="U20" s="44"/>
      <c r="V20" s="34"/>
      <c r="W20" s="39"/>
    </row>
    <row r="21" spans="1:23" x14ac:dyDescent="0.2">
      <c r="F21" s="1"/>
      <c r="H21" s="4"/>
      <c r="I21" s="3"/>
      <c r="J21" s="3"/>
      <c r="N21" s="4"/>
      <c r="O21" s="4"/>
      <c r="P21" s="33"/>
      <c r="Q21" s="44"/>
      <c r="R21" s="34"/>
      <c r="S21" s="44"/>
      <c r="T21" s="33"/>
      <c r="U21" s="44"/>
      <c r="V21" s="34"/>
      <c r="W21" s="39"/>
    </row>
    <row r="22" spans="1:23" x14ac:dyDescent="0.2">
      <c r="F22" s="1"/>
      <c r="H22" s="4"/>
      <c r="I22" s="3"/>
      <c r="J22" s="3"/>
      <c r="N22" s="4"/>
      <c r="O22" s="4"/>
      <c r="P22" s="33"/>
      <c r="Q22" s="44"/>
      <c r="R22" s="34"/>
      <c r="S22" s="44"/>
      <c r="T22" s="33"/>
      <c r="U22" s="44"/>
      <c r="V22" s="34"/>
      <c r="W22" s="39"/>
    </row>
    <row r="23" spans="1:23" x14ac:dyDescent="0.2">
      <c r="F23" s="1"/>
      <c r="H23" s="4"/>
      <c r="I23" s="3"/>
      <c r="J23" s="3"/>
      <c r="N23" s="4"/>
      <c r="O23" s="4"/>
      <c r="P23" s="33"/>
      <c r="Q23" s="44"/>
      <c r="R23" s="34"/>
      <c r="S23" s="44"/>
      <c r="T23" s="33"/>
      <c r="U23" s="44"/>
      <c r="V23" s="34"/>
      <c r="W23" s="39"/>
    </row>
    <row r="24" spans="1:23" x14ac:dyDescent="0.2">
      <c r="F24" s="1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F25" s="1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F26" s="1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F27" s="1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F28" s="1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F29" s="1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4"/>
      <c r="V29" s="34"/>
      <c r="W29" s="39"/>
    </row>
    <row r="30" spans="1:23" x14ac:dyDescent="0.2">
      <c r="F30" s="1"/>
      <c r="H30" s="4"/>
      <c r="I30" s="3"/>
      <c r="J30" s="3"/>
      <c r="N30" s="4"/>
      <c r="O30" s="4"/>
      <c r="P30" s="33"/>
      <c r="Q30" s="44"/>
      <c r="R30" s="34"/>
      <c r="S30" s="44"/>
      <c r="T30" s="33"/>
      <c r="U30" s="44"/>
      <c r="V30" s="34"/>
      <c r="W30" s="39"/>
    </row>
    <row r="31" spans="1:23" x14ac:dyDescent="0.2">
      <c r="F31" s="1"/>
      <c r="H31" s="4"/>
      <c r="I31" s="3"/>
      <c r="J31" s="3"/>
      <c r="N31" s="4"/>
      <c r="O31" s="4"/>
      <c r="P31" s="33"/>
      <c r="Q31" s="44"/>
      <c r="R31" s="34"/>
      <c r="S31" s="44"/>
      <c r="T31" s="33"/>
      <c r="U31" s="46"/>
      <c r="V31" s="43"/>
      <c r="W31" s="39"/>
    </row>
    <row r="32" spans="1:23" x14ac:dyDescent="0.2">
      <c r="F32" s="1"/>
      <c r="H32" s="4"/>
      <c r="I32" s="3"/>
      <c r="J32" s="3"/>
      <c r="N32" s="4"/>
      <c r="O32" s="4"/>
      <c r="P32" s="33"/>
      <c r="Q32" s="45"/>
      <c r="R32" s="47"/>
      <c r="S32" s="39"/>
      <c r="T32" s="33"/>
      <c r="U32" s="44"/>
      <c r="V32" s="34"/>
      <c r="W32" s="39"/>
    </row>
    <row r="33" spans="6:23" x14ac:dyDescent="0.2">
      <c r="F33" s="1"/>
      <c r="H33" s="4"/>
      <c r="I33" s="3"/>
      <c r="J33" s="3"/>
      <c r="N33" s="4"/>
      <c r="O33" s="4"/>
      <c r="P33" s="33"/>
      <c r="Q33" s="45"/>
      <c r="R33" s="47"/>
      <c r="S33" s="39"/>
      <c r="T33" s="33"/>
      <c r="U33" s="44"/>
      <c r="V33" s="34"/>
      <c r="W33" s="39"/>
    </row>
    <row r="34" spans="6:23" x14ac:dyDescent="0.2">
      <c r="F34" s="1"/>
      <c r="H34" s="4"/>
      <c r="I34" s="3"/>
      <c r="J34" s="3"/>
      <c r="N34" s="4"/>
      <c r="O34" s="4"/>
      <c r="P34" s="33"/>
      <c r="Q34" s="45"/>
      <c r="R34" s="47"/>
      <c r="S34" s="39"/>
      <c r="T34" s="33"/>
      <c r="U34" s="44"/>
      <c r="V34" s="34"/>
      <c r="W34" s="39"/>
    </row>
    <row r="35" spans="6:23" x14ac:dyDescent="0.2">
      <c r="F35" s="1"/>
      <c r="H35" s="4"/>
      <c r="I35" s="3"/>
      <c r="J35" s="3"/>
      <c r="N35" s="4"/>
      <c r="O35" s="4"/>
      <c r="P35" s="33"/>
      <c r="Q35" s="45"/>
      <c r="R35" s="47"/>
      <c r="S35" s="39"/>
      <c r="T35" s="33"/>
      <c r="U35" s="44"/>
      <c r="V35" s="34"/>
      <c r="W35" s="39"/>
    </row>
    <row r="36" spans="6:23" x14ac:dyDescent="0.2">
      <c r="F36" s="1"/>
      <c r="H36" s="4"/>
      <c r="I36" s="3"/>
      <c r="J36" s="3"/>
      <c r="N36" s="4"/>
      <c r="O36" s="4"/>
      <c r="P36" s="33"/>
      <c r="Q36" s="45"/>
      <c r="R36" s="47"/>
      <c r="S36" s="39"/>
      <c r="T36" s="33"/>
      <c r="U36" s="44"/>
      <c r="V36" s="34"/>
      <c r="W36" s="39"/>
    </row>
    <row r="37" spans="6:23" x14ac:dyDescent="0.2">
      <c r="F37" s="1"/>
      <c r="H37" s="4"/>
      <c r="I37" s="3"/>
      <c r="J37" s="3"/>
      <c r="N37" s="4"/>
      <c r="O37" s="4"/>
      <c r="P37" s="33"/>
      <c r="Q37" s="44"/>
      <c r="R37" s="34"/>
      <c r="S37" s="45"/>
      <c r="T37" s="33"/>
      <c r="U37" s="46"/>
      <c r="V37" s="43"/>
      <c r="W37" s="39"/>
    </row>
    <row r="38" spans="6:23" x14ac:dyDescent="0.2">
      <c r="F38" s="1"/>
      <c r="H38" s="4"/>
      <c r="I38" s="3"/>
      <c r="J38" s="3"/>
      <c r="N38" s="4"/>
      <c r="O38" s="4"/>
      <c r="P38" s="33"/>
      <c r="Q38" s="44"/>
      <c r="R38" s="34"/>
      <c r="S38" s="45"/>
      <c r="T38" s="33"/>
      <c r="U38" s="44"/>
      <c r="V38" s="34"/>
      <c r="W38" s="39"/>
    </row>
    <row r="39" spans="6:23" x14ac:dyDescent="0.2">
      <c r="N39" s="4"/>
      <c r="O39" s="4"/>
      <c r="P39" s="33"/>
      <c r="Q39" s="44"/>
      <c r="R39" s="34"/>
      <c r="S39" s="44"/>
      <c r="T39" s="33"/>
      <c r="U39" s="44"/>
      <c r="V39" s="34"/>
      <c r="W39" s="39"/>
    </row>
    <row r="40" spans="6:23" x14ac:dyDescent="0.2">
      <c r="N40" s="4"/>
      <c r="O40" s="4"/>
      <c r="P40" s="33"/>
      <c r="Q40" s="44"/>
      <c r="R40" s="34"/>
      <c r="S40" s="44"/>
      <c r="T40" s="33"/>
      <c r="U40" s="44"/>
      <c r="V40" s="34"/>
      <c r="W40" s="39"/>
    </row>
    <row r="41" spans="6:23" x14ac:dyDescent="0.2">
      <c r="N41" s="4"/>
      <c r="O41" s="4"/>
      <c r="P41" s="33"/>
      <c r="Q41" s="44"/>
      <c r="R41" s="34"/>
      <c r="S41" s="44"/>
      <c r="T41" s="33"/>
      <c r="U41" s="44"/>
      <c r="V41" s="34"/>
      <c r="W41" s="39"/>
    </row>
    <row r="42" spans="6:23" x14ac:dyDescent="0.2">
      <c r="N42" s="4"/>
      <c r="O42" s="4"/>
      <c r="P42" s="33"/>
      <c r="Q42" s="44"/>
      <c r="R42" s="34"/>
      <c r="S42" s="44"/>
      <c r="T42" s="33"/>
      <c r="U42" s="44"/>
      <c r="V42" s="34"/>
      <c r="W42" s="39"/>
    </row>
    <row r="43" spans="6:23" x14ac:dyDescent="0.2">
      <c r="N43" s="4"/>
      <c r="O43" s="4"/>
      <c r="P43" s="33"/>
      <c r="Q43" s="44"/>
      <c r="R43" s="34"/>
      <c r="S43" s="44"/>
      <c r="T43" s="33"/>
      <c r="U43" s="44"/>
      <c r="V43" s="34"/>
      <c r="W43" s="39"/>
    </row>
    <row r="44" spans="6:23" x14ac:dyDescent="0.2">
      <c r="N44" s="4"/>
      <c r="O44" s="4"/>
      <c r="P44" s="33"/>
      <c r="Q44" s="44"/>
      <c r="R44" s="34"/>
      <c r="S44" s="44"/>
      <c r="T44" s="33"/>
      <c r="U44" s="44"/>
      <c r="V44" s="34"/>
      <c r="W44" s="39"/>
    </row>
    <row r="45" spans="6:23" x14ac:dyDescent="0.2">
      <c r="N45" s="4"/>
      <c r="O45" s="4"/>
      <c r="P45" s="33"/>
      <c r="Q45" s="44"/>
      <c r="R45" s="34"/>
      <c r="S45" s="44"/>
      <c r="T45" s="33"/>
      <c r="U45" s="44"/>
      <c r="V45" s="34"/>
      <c r="W45" s="39"/>
    </row>
    <row r="46" spans="6:23" x14ac:dyDescent="0.2">
      <c r="N46" s="4"/>
      <c r="O46" s="4"/>
      <c r="P46" s="33"/>
      <c r="Q46" s="44"/>
      <c r="R46" s="34"/>
      <c r="S46" s="44"/>
      <c r="T46" s="33"/>
      <c r="U46" s="44"/>
      <c r="V46" s="34"/>
      <c r="W46" s="39"/>
    </row>
    <row r="47" spans="6:23" x14ac:dyDescent="0.2">
      <c r="N47" s="4"/>
      <c r="O47" s="4"/>
      <c r="P47" s="33"/>
      <c r="Q47" s="44"/>
      <c r="R47" s="34"/>
      <c r="S47" s="44"/>
      <c r="T47" s="33"/>
      <c r="U47" s="44"/>
      <c r="V47" s="34"/>
      <c r="W47" s="39"/>
    </row>
    <row r="48" spans="6:23" x14ac:dyDescent="0.2">
      <c r="N48" s="4"/>
      <c r="O48" s="4"/>
      <c r="P48" s="33"/>
      <c r="Q48" s="44"/>
      <c r="R48" s="34"/>
      <c r="S48" s="44"/>
      <c r="T48" s="33"/>
      <c r="U48" s="44"/>
      <c r="V48" s="34"/>
      <c r="W48" s="39"/>
    </row>
    <row r="49" spans="14:23" x14ac:dyDescent="0.2"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14:23" x14ac:dyDescent="0.2"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14:23" x14ac:dyDescent="0.2"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14:23" x14ac:dyDescent="0.2">
      <c r="N52" s="4"/>
      <c r="O52" s="4"/>
      <c r="P52" s="33"/>
      <c r="Q52" s="44"/>
      <c r="R52" s="34"/>
      <c r="S52" s="44"/>
      <c r="T52" s="33"/>
      <c r="U52" s="44"/>
      <c r="V52" s="34"/>
      <c r="W52" s="39"/>
    </row>
    <row r="53" spans="14:23" x14ac:dyDescent="0.2"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14:23" x14ac:dyDescent="0.2"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14:23" x14ac:dyDescent="0.2"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14:23" x14ac:dyDescent="0.2"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14:23" x14ac:dyDescent="0.2"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14:23" x14ac:dyDescent="0.2">
      <c r="N58" s="4"/>
      <c r="O58" s="4"/>
      <c r="P58" s="33"/>
      <c r="Q58" s="44"/>
      <c r="R58" s="34"/>
      <c r="S58" s="44"/>
      <c r="T58" s="33"/>
      <c r="U58" s="44"/>
      <c r="V58" s="34"/>
      <c r="W58" s="39"/>
    </row>
    <row r="59" spans="14:23" x14ac:dyDescent="0.2">
      <c r="N59" s="4"/>
      <c r="O59" s="4"/>
      <c r="P59" s="33"/>
      <c r="Q59" s="44"/>
      <c r="R59" s="34"/>
      <c r="S59" s="44"/>
      <c r="T59" s="33"/>
      <c r="U59" s="44"/>
      <c r="V59" s="34"/>
      <c r="W59" s="39"/>
    </row>
    <row r="60" spans="14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14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14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14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14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  <row r="81" spans="14:23" x14ac:dyDescent="0.2">
      <c r="N81" s="4"/>
      <c r="O81" s="4"/>
      <c r="P81" s="33"/>
      <c r="Q81" s="44"/>
      <c r="R81" s="34"/>
      <c r="S81" s="44"/>
      <c r="T81" s="33"/>
      <c r="U81" s="44"/>
      <c r="V81" s="34"/>
      <c r="W81" s="39"/>
    </row>
    <row r="82" spans="14:23" x14ac:dyDescent="0.2">
      <c r="N82" s="4"/>
      <c r="O82" s="4"/>
      <c r="P82" s="33"/>
      <c r="Q82" s="44"/>
      <c r="R82" s="34"/>
      <c r="S82" s="44"/>
      <c r="T82" s="33"/>
      <c r="U82" s="44"/>
      <c r="V82" s="34"/>
      <c r="W82" s="39"/>
    </row>
  </sheetData>
  <sheetProtection sheet="1" formatCells="0" formatColumns="0" formatRows="0"/>
  <autoFilter ref="B1:W2" xr:uid="{00000000-0009-0000-0000-000007000000}"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sortState xmlns:xlrd2="http://schemas.microsoft.com/office/spreadsheetml/2017/richdata2" ref="B4:W18">
      <sortCondition ref="F1:F35"/>
    </sortState>
  </autoFilter>
  <mergeCells count="17">
    <mergeCell ref="N1:N2"/>
    <mergeCell ref="O1:O2"/>
    <mergeCell ref="P1:S1"/>
    <mergeCell ref="T1:W1"/>
    <mergeCell ref="M1:M2"/>
    <mergeCell ref="A1:A2"/>
    <mergeCell ref="B1:B2"/>
    <mergeCell ref="C1:C2"/>
    <mergeCell ref="D1:D2"/>
    <mergeCell ref="E1:E2"/>
    <mergeCell ref="L1:L2"/>
    <mergeCell ref="F1:F2"/>
    <mergeCell ref="H1:H2"/>
    <mergeCell ref="I1:I2"/>
    <mergeCell ref="J1:J2"/>
    <mergeCell ref="K1:K2"/>
    <mergeCell ref="G1:G2"/>
  </mergeCells>
  <conditionalFormatting sqref="X1:XFD2 A1:M2 N2:W2 A3:XFD1048576">
    <cfRule type="expression" dxfId="19" priority="25">
      <formula>IF($F1="17-21",1,0)</formula>
    </cfRule>
    <cfRule type="expression" dxfId="18" priority="26">
      <formula>IF($F1="15-16",1,0)</formula>
    </cfRule>
    <cfRule type="expression" dxfId="17" priority="27">
      <formula>IF($F1="13-14",1,0)</formula>
    </cfRule>
    <cfRule type="expression" dxfId="16" priority="28">
      <formula>IF($F1="11-12",1,0)</formula>
    </cfRule>
  </conditionalFormatting>
  <conditionalFormatting sqref="N1:P1 T1">
    <cfRule type="expression" dxfId="15" priority="5">
      <formula>IF($F1="17-21",1,0)</formula>
    </cfRule>
    <cfRule type="expression" dxfId="14" priority="6">
      <formula>IF($F1="15-16",1,0)</formula>
    </cfRule>
    <cfRule type="expression" dxfId="13" priority="7">
      <formula>IF($F1="13-14",1,0)</formula>
    </cfRule>
    <cfRule type="expression" dxfId="12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W88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17.1640625" style="38" bestFit="1" customWidth="1"/>
    <col min="3" max="3" width="8.6640625" style="38" bestFit="1" customWidth="1"/>
    <col min="4" max="4" width="23.6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7.5" style="37" bestFit="1" customWidth="1"/>
    <col min="17" max="17" width="10.5" style="38" bestFit="1" customWidth="1"/>
    <col min="18" max="18" width="6.6640625" style="38" bestFit="1" customWidth="1"/>
    <col min="19" max="19" width="11" style="38" bestFit="1" customWidth="1"/>
    <col min="20" max="20" width="7.6640625" style="37" bestFit="1" customWidth="1"/>
    <col min="21" max="21" width="10.5" style="38" bestFit="1" customWidth="1"/>
    <col min="22" max="22" width="7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67" t="s">
        <v>2</v>
      </c>
      <c r="E1" s="69" t="s">
        <v>16</v>
      </c>
      <c r="F1" s="65" t="s">
        <v>17</v>
      </c>
      <c r="G1" s="65" t="s">
        <v>96</v>
      </c>
      <c r="H1" s="71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61</v>
      </c>
      <c r="P1" s="74" t="s">
        <v>121</v>
      </c>
      <c r="Q1" s="73"/>
      <c r="R1" s="73"/>
      <c r="S1" s="75"/>
      <c r="T1" s="74" t="s">
        <v>120</v>
      </c>
      <c r="U1" s="73"/>
      <c r="V1" s="73"/>
      <c r="W1" s="75"/>
    </row>
    <row r="2" spans="1:23" s="7" customFormat="1" ht="17" thickBot="1" x14ac:dyDescent="0.25">
      <c r="A2" s="66"/>
      <c r="B2" s="66"/>
      <c r="C2" s="66"/>
      <c r="D2" s="68"/>
      <c r="E2" s="70"/>
      <c r="F2" s="66"/>
      <c r="G2" s="66"/>
      <c r="H2" s="72"/>
      <c r="I2" s="66"/>
      <c r="J2" s="66"/>
      <c r="K2" s="66"/>
      <c r="L2" s="66"/>
      <c r="M2" s="66"/>
      <c r="N2" s="66"/>
      <c r="O2" s="66"/>
      <c r="P2" s="8" t="s">
        <v>36</v>
      </c>
      <c r="Q2" s="7" t="s">
        <v>62</v>
      </c>
      <c r="R2" s="7" t="s">
        <v>22</v>
      </c>
      <c r="S2" s="7" t="s">
        <v>24</v>
      </c>
      <c r="T2" s="8" t="s">
        <v>36</v>
      </c>
      <c r="U2" s="7" t="s">
        <v>62</v>
      </c>
      <c r="V2" s="7" t="s">
        <v>22</v>
      </c>
      <c r="W2" s="9" t="s">
        <v>24</v>
      </c>
    </row>
    <row r="3" spans="1:23" ht="17" thickTop="1" x14ac:dyDescent="0.2">
      <c r="A3" s="1">
        <f>IF(M3&lt;&gt;"",SUMPRODUCT((M$3:M$6&lt;&gt;"")*(F$3:F$6=F3)*(M$3:M$6&lt;M3))+1,IF(L3&lt;&gt;"",SUMPRODUCT((M$3:M$6&lt;&gt;"")*(F$3:F$6=F3))+SUMPRODUCT((L$3:L$6&lt;&gt;"")*(F$3:F$6=F3)*(L$3:L$6&lt;L3))+1,IF(K3="P",SUMPRODUCT((L$3:L$6&lt;&gt;"")*(F$3:F$6=F3))+SUMPRODUCT((M$3:M$6&lt;&gt;"")*(F$3:F$6=F3))+1+SUMPRODUCT((K$3:K$6="P")*(F$3:F$6=F3)*(H$3:H$6&gt;H3)*(L$3:L$6="")*(M$3:M$6="")),"")))</f>
        <v>1</v>
      </c>
      <c r="B3" s="38" t="s">
        <v>83</v>
      </c>
      <c r="C3" s="38" t="s">
        <v>5</v>
      </c>
      <c r="D3" s="38" t="s">
        <v>6</v>
      </c>
      <c r="E3" s="37">
        <v>2002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 t="s">
        <v>158</v>
      </c>
      <c r="H3" s="4">
        <f>SUM(N3:O3)</f>
        <v>128</v>
      </c>
      <c r="I3" s="3" t="str">
        <f>IF(MAX(P3,R3,T3,V3)&gt;=LOOKUP(F3,'Qualifying Scores'!$A$4:$A$7,'Qualifying Scores'!$H$4:$H$7),"P","")</f>
        <v>P</v>
      </c>
      <c r="J3" s="3" t="str">
        <f>IF(MAX(Q3,S3,U3,W3)&gt;=LOOKUP(F3,'Qualifying Scores'!$A$10:$A$13,'Qualifying Scores'!$H$10:$H$13),"P","")</f>
        <v>P</v>
      </c>
      <c r="K3" s="3" t="str">
        <f>IF(OR(AND(P3&gt;=LOOKUP(F3,'Qualifying Scores'!$A$4:$A$7,'Qualifying Scores'!$H$4:$H$7),Q3&gt;=LOOKUP(F3,'Qualifying Scores'!$A$10:$A$13,'Qualifying Scores'!$H$10:$H$13)),AND(S3&gt;=LOOKUP(F3,'Qualifying Scores'!$A$4:$A$7,'Qualifying Scores'!$H$4:$H$7),R3&gt;=LOOKUP(F3,'Qualifying Scores'!$A$10:$A$13,'Qualifying Scores'!$H$10:$H$13)),AND(T3&gt;=LOOKUP(F3,'Qualifying Scores'!$A$4:$A$7,'Qualifying Scores'!$H$4:$H$7),U3&gt;=LOOKUP(F3,'Qualifying Scores'!$A$10:$A$13,'Qualifying Scores'!$H$10:$H$13)),AND(V3&gt;=LOOKUP(F3,'Qualifying Scores'!$A$4:$A$7,'Qualifying Scores'!$H$4:$H$7),W3&gt;=LOOKUP(F3,'Qualifying Scores'!$A$10:$A$13,'Qualifying Scores'!$H$10:$H$13))),"P","")</f>
        <v>P</v>
      </c>
      <c r="M3" s="42">
        <v>1</v>
      </c>
      <c r="N3" s="4">
        <f>MAX(P3,T3)</f>
        <v>63.9</v>
      </c>
      <c r="O3" s="4">
        <f>IF(N3=P3,MAX(R3,T3,V3),MAX(P3,R3,V3))</f>
        <v>64.099999999999994</v>
      </c>
      <c r="P3" s="33">
        <v>63.9</v>
      </c>
      <c r="Q3" s="44">
        <f>5.8+6.1</f>
        <v>11.899999999999999</v>
      </c>
      <c r="R3" s="34">
        <v>64.099999999999994</v>
      </c>
      <c r="S3" s="44">
        <f>6.9+5.7</f>
        <v>12.600000000000001</v>
      </c>
      <c r="T3" s="33">
        <v>50.7</v>
      </c>
      <c r="U3" s="44">
        <f>3+3.7</f>
        <v>6.7</v>
      </c>
      <c r="V3" s="34"/>
      <c r="W3" s="39"/>
    </row>
    <row r="4" spans="1:23" x14ac:dyDescent="0.2">
      <c r="A4" s="1">
        <f>IF(M4&lt;&gt;"",SUMPRODUCT((M$3:M$6&lt;&gt;"")*(F$3:F$6=F4)*(M$3:M$6&lt;M4))+1,IF(L4&lt;&gt;"",SUMPRODUCT((M$3:M$6&lt;&gt;"")*(F$3:F$6=F4))+SUMPRODUCT((L$3:L$6&lt;&gt;"")*(F$3:F$6=F4)*(L$3:L$6&lt;L4))+1,IF(K4="P",SUMPRODUCT((L$3:L$6&lt;&gt;"")*(F$3:F$6=F4))+SUMPRODUCT((M$3:M$6&lt;&gt;"")*(F$3:F$6=F4))+1+SUMPRODUCT((K$3:K$6="P")*(F$3:F$6=F4)*(H$3:H$6&gt;H4)*(L$3:L$6="")*(M$3:M$6="")),"")))</f>
        <v>2</v>
      </c>
      <c r="B4" s="38" t="s">
        <v>119</v>
      </c>
      <c r="C4" s="38" t="s">
        <v>3</v>
      </c>
      <c r="D4" s="38" t="s">
        <v>130</v>
      </c>
      <c r="E4" s="37">
        <v>2003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 t="s">
        <v>158</v>
      </c>
      <c r="H4" s="4">
        <f>SUM(N4:O4)</f>
        <v>123.5</v>
      </c>
      <c r="I4" s="3" t="str">
        <f>IF(MAX(P4,R4,T4,V4)&gt;=LOOKUP(F4,'Qualifying Scores'!$A$4:$A$7,'Qualifying Scores'!$H$4:$H$7),"P","")</f>
        <v>P</v>
      </c>
      <c r="J4" s="3" t="str">
        <f>IF(MAX(Q4,S4,U4,W4)&gt;=LOOKUP(F4,'Qualifying Scores'!$A$10:$A$13,'Qualifying Scores'!$H$10:$H$13),"P","")</f>
        <v>P</v>
      </c>
      <c r="K4" s="3" t="str">
        <f>IF(OR(AND(P4&gt;=LOOKUP(F4,'Qualifying Scores'!$A$4:$A$7,'Qualifying Scores'!$H$4:$H$7),Q4&gt;=LOOKUP(F4,'Qualifying Scores'!$A$10:$A$13,'Qualifying Scores'!$H$10:$H$13)),AND(S4&gt;=LOOKUP(F4,'Qualifying Scores'!$A$4:$A$7,'Qualifying Scores'!$H$4:$H$7),R4&gt;=LOOKUP(F4,'Qualifying Scores'!$A$10:$A$13,'Qualifying Scores'!$H$10:$H$13)),AND(T4&gt;=LOOKUP(F4,'Qualifying Scores'!$A$4:$A$7,'Qualifying Scores'!$H$4:$H$7),U4&gt;=LOOKUP(F4,'Qualifying Scores'!$A$10:$A$13,'Qualifying Scores'!$H$10:$H$13)),AND(V4&gt;=LOOKUP(F4,'Qualifying Scores'!$A$4:$A$7,'Qualifying Scores'!$H$4:$H$7),W4&gt;=LOOKUP(F4,'Qualifying Scores'!$A$10:$A$13,'Qualifying Scores'!$H$10:$H$13))),"P","")</f>
        <v>P</v>
      </c>
      <c r="N4" s="4">
        <f>MAX(P4,T4)</f>
        <v>59.3</v>
      </c>
      <c r="O4" s="4">
        <f>IF(N4=P4,MAX(R4,T4,V4),MAX(P4,R4,V4))</f>
        <v>64.2</v>
      </c>
      <c r="P4" s="33">
        <v>57.2</v>
      </c>
      <c r="Q4" s="44">
        <f>4.6+4.3</f>
        <v>8.8999999999999986</v>
      </c>
      <c r="R4" s="34">
        <v>56.4</v>
      </c>
      <c r="S4" s="44">
        <f>4.3+3.5</f>
        <v>7.8</v>
      </c>
      <c r="T4" s="33">
        <v>59.3</v>
      </c>
      <c r="U4" s="44">
        <f>5.1+1.9</f>
        <v>7</v>
      </c>
      <c r="V4" s="34">
        <v>64.2</v>
      </c>
      <c r="W4" s="39">
        <f>5.1+4.5</f>
        <v>9.6</v>
      </c>
    </row>
    <row r="5" spans="1:23" x14ac:dyDescent="0.2">
      <c r="A5" s="1" t="str">
        <f>IF(M5&lt;&gt;"",SUMPRODUCT((M$3:M$6&lt;&gt;"")*(F$3:F$6=F5)*(M$3:M$6&lt;M5))+1,IF(L5&lt;&gt;"",SUMPRODUCT((M$3:M$6&lt;&gt;"")*(F$3:F$6=F5))+SUMPRODUCT((L$3:L$6&lt;&gt;"")*(F$3:F$6=F5)*(L$3:L$6&lt;L5))+1,IF(K5="P",SUMPRODUCT((L$3:L$6&lt;&gt;"")*(F$3:F$6=F5))+SUMPRODUCT((M$3:M$6&lt;&gt;"")*(F$3:F$6=F5))+1+SUMPRODUCT((K$3:K$6="P")*(F$3:F$6=F5)*(H$3:H$6&gt;H5)*(L$3:L$6="")*(M$3:M$6="")),"")))</f>
        <v/>
      </c>
      <c r="B5" s="38" t="s">
        <v>153</v>
      </c>
      <c r="C5" s="38" t="s">
        <v>8</v>
      </c>
      <c r="D5" s="38" t="s">
        <v>152</v>
      </c>
      <c r="E5" s="37">
        <v>2003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/>
      <c r="H5" s="4">
        <f>SUM(N5:O5)</f>
        <v>117.80000000000001</v>
      </c>
      <c r="I5" s="3" t="str">
        <f>IF(MAX(P5,R5,T5,V5)&gt;=LOOKUP(F5,'Qualifying Scores'!$A$4:$A$7,'Qualifying Scores'!$H$4:$H$7),"P","")</f>
        <v/>
      </c>
      <c r="J5" s="3" t="str">
        <f>IF(MAX(Q5,S5,U5,W5)&gt;=LOOKUP(F5,'Qualifying Scores'!$A$10:$A$13,'Qualifying Scores'!$H$10:$H$13),"P","")</f>
        <v/>
      </c>
      <c r="K5" s="3" t="str">
        <f>IF(OR(AND(P5&gt;=LOOKUP(F5,'Qualifying Scores'!$A$4:$A$7,'Qualifying Scores'!$H$4:$H$7),Q5&gt;=LOOKUP(F5,'Qualifying Scores'!$A$10:$A$13,'Qualifying Scores'!$H$10:$H$13)),AND(S5&gt;=LOOKUP(F5,'Qualifying Scores'!$A$4:$A$7,'Qualifying Scores'!$H$4:$H$7),R5&gt;=LOOKUP(F5,'Qualifying Scores'!$A$10:$A$13,'Qualifying Scores'!$H$10:$H$13)),AND(T5&gt;=LOOKUP(F5,'Qualifying Scores'!$A$4:$A$7,'Qualifying Scores'!$H$4:$H$7),U5&gt;=LOOKUP(F5,'Qualifying Scores'!$A$10:$A$13,'Qualifying Scores'!$H$10:$H$13)),AND(V5&gt;=LOOKUP(F5,'Qualifying Scores'!$A$4:$A$7,'Qualifying Scores'!$H$4:$H$7),W5&gt;=LOOKUP(F5,'Qualifying Scores'!$A$10:$A$13,'Qualifying Scores'!$H$10:$H$13))),"P","")</f>
        <v/>
      </c>
      <c r="N5" s="4">
        <f>MAX(P5,T5)</f>
        <v>57.2</v>
      </c>
      <c r="O5" s="4">
        <f>IF(N5=P5,MAX(R5,T5,V5),MAX(P5,R5,V5))</f>
        <v>60.6</v>
      </c>
      <c r="P5" s="33"/>
      <c r="Q5" s="44"/>
      <c r="R5" s="34"/>
      <c r="S5" s="44"/>
      <c r="T5" s="33">
        <v>57.2</v>
      </c>
      <c r="U5" s="44">
        <f>3+2.2</f>
        <v>5.2</v>
      </c>
      <c r="V5" s="34">
        <v>60.6</v>
      </c>
      <c r="W5" s="39">
        <f>3+2.4</f>
        <v>5.4</v>
      </c>
    </row>
    <row r="6" spans="1:23" x14ac:dyDescent="0.2">
      <c r="A6" s="1"/>
      <c r="F6" s="1"/>
      <c r="G6" s="56"/>
      <c r="H6" s="4"/>
      <c r="I6" s="3"/>
      <c r="J6" s="3"/>
      <c r="N6" s="4"/>
      <c r="O6" s="4"/>
      <c r="P6" s="33"/>
      <c r="Q6" s="44"/>
      <c r="R6" s="34"/>
      <c r="S6" s="44"/>
      <c r="T6" s="33"/>
      <c r="U6" s="44"/>
      <c r="V6" s="34"/>
      <c r="W6" s="39"/>
    </row>
    <row r="7" spans="1:23" x14ac:dyDescent="0.2">
      <c r="A7" s="1"/>
      <c r="F7" s="1"/>
      <c r="G7" s="56"/>
      <c r="H7" s="4"/>
      <c r="I7" s="3"/>
      <c r="J7" s="3"/>
      <c r="N7" s="4"/>
      <c r="O7" s="4"/>
      <c r="P7" s="33"/>
      <c r="Q7" s="44"/>
      <c r="R7" s="34"/>
      <c r="S7" s="44"/>
      <c r="T7" s="33"/>
      <c r="U7" s="44"/>
      <c r="V7" s="34"/>
      <c r="W7" s="39"/>
    </row>
    <row r="8" spans="1:23" x14ac:dyDescent="0.2">
      <c r="A8" s="1"/>
      <c r="F8" s="1"/>
      <c r="G8" s="56"/>
      <c r="H8" s="4"/>
      <c r="I8" s="3"/>
      <c r="J8" s="3"/>
      <c r="N8" s="4"/>
      <c r="O8" s="4"/>
      <c r="P8" s="33"/>
      <c r="Q8" s="44"/>
      <c r="R8" s="34"/>
      <c r="S8" s="44"/>
      <c r="T8" s="33"/>
      <c r="U8" s="44"/>
      <c r="V8" s="34"/>
      <c r="W8" s="39"/>
    </row>
    <row r="9" spans="1:23" x14ac:dyDescent="0.2">
      <c r="A9" s="1"/>
      <c r="F9" s="1"/>
      <c r="G9" s="56"/>
      <c r="H9" s="4"/>
      <c r="I9" s="3"/>
      <c r="J9" s="3"/>
      <c r="N9" s="4"/>
      <c r="O9" s="4"/>
      <c r="P9" s="33"/>
      <c r="Q9" s="44"/>
      <c r="R9" s="34"/>
      <c r="S9" s="44"/>
      <c r="T9" s="33"/>
      <c r="U9" s="44"/>
      <c r="V9" s="34"/>
      <c r="W9" s="39"/>
    </row>
    <row r="10" spans="1:23" x14ac:dyDescent="0.2">
      <c r="A10" s="1"/>
      <c r="F10" s="1"/>
      <c r="G10" s="56"/>
      <c r="H10" s="4"/>
      <c r="I10" s="3"/>
      <c r="J10" s="3"/>
      <c r="N10" s="4"/>
      <c r="O10" s="4"/>
      <c r="P10" s="33"/>
      <c r="Q10" s="44"/>
      <c r="R10" s="34"/>
      <c r="S10" s="44"/>
      <c r="T10" s="33"/>
      <c r="U10" s="44"/>
      <c r="V10" s="34"/>
      <c r="W10" s="39"/>
    </row>
    <row r="11" spans="1:23" x14ac:dyDescent="0.2">
      <c r="A11" s="1"/>
      <c r="F11" s="1"/>
      <c r="G11" s="56"/>
      <c r="H11" s="4"/>
      <c r="I11" s="3"/>
      <c r="J11" s="3"/>
      <c r="N11" s="4"/>
      <c r="O11" s="4"/>
      <c r="P11" s="33"/>
      <c r="Q11" s="44"/>
      <c r="R11" s="34"/>
      <c r="S11" s="44"/>
      <c r="T11" s="33"/>
      <c r="U11" s="44"/>
      <c r="V11" s="34"/>
      <c r="W11" s="39"/>
    </row>
    <row r="12" spans="1:23" x14ac:dyDescent="0.2">
      <c r="A12" s="1"/>
      <c r="F12" s="1"/>
      <c r="G12" s="56"/>
      <c r="H12" s="4"/>
      <c r="I12" s="3"/>
      <c r="J12" s="3"/>
      <c r="N12" s="4"/>
      <c r="O12" s="4"/>
      <c r="P12" s="33"/>
      <c r="Q12" s="44"/>
      <c r="R12" s="34"/>
      <c r="S12" s="44"/>
      <c r="T12" s="33"/>
      <c r="U12" s="44"/>
      <c r="V12" s="34"/>
      <c r="W12" s="39"/>
    </row>
    <row r="13" spans="1:23" x14ac:dyDescent="0.2">
      <c r="A13" s="1"/>
      <c r="F13" s="1"/>
      <c r="G13" s="56"/>
      <c r="H13" s="4"/>
      <c r="I13" s="3"/>
      <c r="J13" s="3"/>
      <c r="N13" s="4"/>
      <c r="O13" s="4"/>
      <c r="P13" s="33"/>
      <c r="Q13" s="44"/>
      <c r="R13" s="34"/>
      <c r="S13" s="44"/>
      <c r="T13" s="33"/>
      <c r="U13" s="44"/>
      <c r="V13" s="34"/>
      <c r="W13" s="39"/>
    </row>
    <row r="14" spans="1:23" x14ac:dyDescent="0.2">
      <c r="A14" s="1"/>
      <c r="F14" s="1"/>
      <c r="G14" s="56"/>
      <c r="H14" s="4"/>
      <c r="I14" s="3"/>
      <c r="J14" s="3"/>
      <c r="N14" s="4"/>
      <c r="O14" s="4"/>
      <c r="P14" s="33"/>
      <c r="Q14" s="44"/>
      <c r="R14" s="34"/>
      <c r="S14" s="44"/>
      <c r="T14" s="33"/>
      <c r="U14" s="44"/>
      <c r="V14" s="34"/>
      <c r="W14" s="39"/>
    </row>
    <row r="15" spans="1:23" x14ac:dyDescent="0.2">
      <c r="A15" s="1"/>
      <c r="F15" s="1"/>
      <c r="G15" s="56"/>
      <c r="H15" s="4"/>
      <c r="I15" s="3"/>
      <c r="J15" s="3"/>
      <c r="N15" s="4"/>
      <c r="O15" s="4"/>
      <c r="P15" s="33"/>
      <c r="Q15" s="44"/>
      <c r="R15" s="34"/>
      <c r="S15" s="44"/>
      <c r="T15" s="33"/>
      <c r="U15" s="44"/>
      <c r="V15" s="34"/>
      <c r="W15" s="39"/>
    </row>
    <row r="16" spans="1:23" x14ac:dyDescent="0.2">
      <c r="A16" s="1"/>
      <c r="F16" s="1"/>
      <c r="G16" s="56"/>
      <c r="H16" s="4"/>
      <c r="I16" s="3"/>
      <c r="J16" s="3"/>
      <c r="N16" s="4"/>
      <c r="O16" s="4"/>
      <c r="P16" s="33"/>
      <c r="Q16" s="44"/>
      <c r="R16" s="34"/>
      <c r="S16" s="44"/>
      <c r="T16" s="33"/>
      <c r="U16" s="44"/>
      <c r="V16" s="34"/>
      <c r="W16" s="39"/>
    </row>
    <row r="17" spans="1:23" x14ac:dyDescent="0.2">
      <c r="A17" s="1"/>
      <c r="F17" s="1"/>
      <c r="G17" s="56"/>
      <c r="H17" s="4"/>
      <c r="I17" s="3"/>
      <c r="J17" s="3"/>
      <c r="N17" s="4"/>
      <c r="O17" s="4"/>
      <c r="P17" s="33"/>
      <c r="Q17" s="44"/>
      <c r="R17" s="34"/>
      <c r="S17" s="44"/>
      <c r="T17" s="33"/>
      <c r="U17" s="44"/>
      <c r="V17" s="34"/>
      <c r="W17" s="39"/>
    </row>
    <row r="18" spans="1:23" x14ac:dyDescent="0.2">
      <c r="A18" s="1"/>
      <c r="F18" s="1"/>
      <c r="G18" s="56"/>
      <c r="H18" s="4"/>
      <c r="I18" s="3"/>
      <c r="J18" s="3"/>
      <c r="N18" s="4"/>
      <c r="O18" s="4"/>
      <c r="P18" s="33"/>
      <c r="Q18" s="44"/>
      <c r="R18" s="34"/>
      <c r="S18" s="44"/>
      <c r="T18" s="33"/>
      <c r="U18" s="44"/>
      <c r="V18" s="34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4"/>
      <c r="R19" s="34"/>
      <c r="S19" s="44"/>
      <c r="T19" s="33"/>
      <c r="U19" s="44"/>
      <c r="V19" s="34"/>
      <c r="W19" s="39"/>
    </row>
    <row r="20" spans="1:23" x14ac:dyDescent="0.2">
      <c r="A20" s="1"/>
      <c r="F20" s="1"/>
      <c r="G20" s="56"/>
      <c r="H20" s="4"/>
      <c r="I20" s="3"/>
      <c r="J20" s="3"/>
      <c r="N20" s="4"/>
      <c r="O20" s="4"/>
      <c r="P20" s="33"/>
      <c r="Q20" s="44"/>
      <c r="R20" s="34"/>
      <c r="S20" s="44"/>
      <c r="T20" s="33"/>
      <c r="U20" s="44"/>
      <c r="V20" s="34"/>
      <c r="W20" s="39"/>
    </row>
    <row r="21" spans="1:23" x14ac:dyDescent="0.2">
      <c r="A21" s="1"/>
      <c r="F21" s="1"/>
      <c r="G21" s="56"/>
      <c r="H21" s="4"/>
      <c r="I21" s="3"/>
      <c r="J21" s="3"/>
      <c r="N21" s="4"/>
      <c r="O21" s="4"/>
      <c r="P21" s="33"/>
      <c r="Q21" s="44"/>
      <c r="R21" s="34"/>
      <c r="S21" s="44"/>
      <c r="T21" s="33"/>
      <c r="U21" s="44"/>
      <c r="V21" s="34"/>
      <c r="W21" s="39"/>
    </row>
    <row r="22" spans="1:23" x14ac:dyDescent="0.2">
      <c r="A22" s="1"/>
      <c r="F22" s="1"/>
      <c r="G22" s="56"/>
      <c r="H22" s="4"/>
      <c r="I22" s="3"/>
      <c r="J22" s="3"/>
      <c r="N22" s="4"/>
      <c r="O22" s="4"/>
      <c r="P22" s="33"/>
      <c r="Q22" s="44"/>
      <c r="R22" s="34"/>
      <c r="S22" s="44"/>
      <c r="T22" s="33"/>
      <c r="U22" s="44"/>
      <c r="V22" s="34"/>
      <c r="W22" s="39"/>
    </row>
    <row r="23" spans="1:23" x14ac:dyDescent="0.2">
      <c r="A23" s="1"/>
      <c r="F23" s="1"/>
      <c r="G23" s="56"/>
      <c r="H23" s="4"/>
      <c r="I23" s="3"/>
      <c r="J23" s="3"/>
      <c r="N23" s="4"/>
      <c r="O23" s="4"/>
      <c r="P23" s="33"/>
      <c r="Q23" s="44"/>
      <c r="R23" s="34"/>
      <c r="S23" s="44"/>
      <c r="T23" s="33"/>
      <c r="U23" s="44"/>
      <c r="V23" s="34"/>
      <c r="W23" s="39"/>
    </row>
    <row r="24" spans="1:23" x14ac:dyDescent="0.2">
      <c r="A24" s="1"/>
      <c r="F24" s="1"/>
      <c r="G24" s="56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A25" s="1"/>
      <c r="F25" s="1"/>
      <c r="G25" s="56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F26" s="1"/>
      <c r="G26" s="56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F27" s="1"/>
      <c r="G27" s="56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F28" s="1"/>
      <c r="G28" s="56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F29" s="1"/>
      <c r="G29" s="56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4"/>
      <c r="V29" s="34"/>
      <c r="W29" s="39"/>
    </row>
    <row r="30" spans="1:23" x14ac:dyDescent="0.2">
      <c r="F30" s="1"/>
      <c r="G30" s="56"/>
      <c r="H30" s="4"/>
      <c r="I30" s="3"/>
      <c r="J30" s="3"/>
      <c r="N30" s="4"/>
      <c r="O30" s="4"/>
      <c r="P30" s="33"/>
      <c r="Q30" s="44"/>
      <c r="R30" s="34"/>
      <c r="S30" s="44"/>
      <c r="T30" s="33"/>
      <c r="U30" s="44"/>
      <c r="V30" s="34"/>
      <c r="W30" s="39"/>
    </row>
    <row r="31" spans="1:23" x14ac:dyDescent="0.2">
      <c r="F31" s="1"/>
      <c r="G31" s="56"/>
      <c r="H31" s="4"/>
      <c r="I31" s="3"/>
      <c r="J31" s="3"/>
      <c r="N31" s="4"/>
      <c r="O31" s="4"/>
      <c r="P31" s="33"/>
      <c r="Q31" s="44"/>
      <c r="R31" s="34"/>
      <c r="S31" s="44"/>
      <c r="T31" s="33"/>
      <c r="U31" s="44"/>
      <c r="V31" s="34"/>
      <c r="W31" s="39"/>
    </row>
    <row r="32" spans="1:23" x14ac:dyDescent="0.2">
      <c r="F32" s="1"/>
      <c r="G32" s="56"/>
      <c r="H32" s="4"/>
      <c r="I32" s="3"/>
      <c r="J32" s="3"/>
      <c r="N32" s="4"/>
      <c r="O32" s="4"/>
      <c r="P32" s="33"/>
      <c r="Q32" s="44"/>
      <c r="R32" s="34"/>
      <c r="S32" s="44"/>
      <c r="T32" s="33"/>
      <c r="U32" s="44"/>
      <c r="V32" s="34"/>
      <c r="W32" s="39"/>
    </row>
    <row r="33" spans="6:23" x14ac:dyDescent="0.2">
      <c r="F33" s="1"/>
      <c r="G33" s="56"/>
      <c r="H33" s="4"/>
      <c r="I33" s="3"/>
      <c r="J33" s="3"/>
      <c r="N33" s="4"/>
      <c r="O33" s="4"/>
      <c r="P33" s="33"/>
      <c r="Q33" s="44"/>
      <c r="R33" s="34"/>
      <c r="S33" s="44"/>
      <c r="T33" s="33"/>
      <c r="U33" s="44"/>
      <c r="V33" s="34"/>
      <c r="W33" s="39"/>
    </row>
    <row r="34" spans="6:23" x14ac:dyDescent="0.2">
      <c r="F34" s="1"/>
      <c r="G34" s="56"/>
      <c r="H34" s="4"/>
      <c r="I34" s="3"/>
      <c r="J34" s="3"/>
      <c r="N34" s="4"/>
      <c r="O34" s="4"/>
      <c r="P34" s="33"/>
      <c r="Q34" s="44"/>
      <c r="R34" s="34"/>
      <c r="S34" s="44"/>
      <c r="T34" s="33"/>
      <c r="U34" s="44"/>
      <c r="V34" s="34"/>
      <c r="W34" s="39"/>
    </row>
    <row r="35" spans="6:23" x14ac:dyDescent="0.2">
      <c r="F35" s="1"/>
      <c r="G35" s="56"/>
      <c r="H35" s="4"/>
      <c r="I35" s="3"/>
      <c r="J35" s="3"/>
      <c r="N35" s="4"/>
      <c r="O35" s="4"/>
      <c r="P35" s="33"/>
      <c r="Q35" s="44"/>
      <c r="R35" s="34"/>
      <c r="S35" s="44"/>
      <c r="T35" s="33"/>
      <c r="U35" s="44"/>
      <c r="V35" s="34"/>
      <c r="W35" s="39"/>
    </row>
    <row r="36" spans="6:23" x14ac:dyDescent="0.2">
      <c r="F36" s="1"/>
      <c r="G36" s="56"/>
      <c r="H36" s="4"/>
      <c r="I36" s="3"/>
      <c r="J36" s="3"/>
      <c r="N36" s="4"/>
      <c r="O36" s="4"/>
      <c r="P36" s="33"/>
      <c r="Q36" s="44"/>
      <c r="R36" s="34"/>
      <c r="S36" s="44"/>
      <c r="T36" s="33"/>
      <c r="U36" s="44"/>
      <c r="V36" s="34"/>
      <c r="W36" s="39"/>
    </row>
    <row r="37" spans="6:23" x14ac:dyDescent="0.2">
      <c r="F37" s="1"/>
      <c r="G37" s="56"/>
      <c r="H37" s="4"/>
      <c r="I37" s="3"/>
      <c r="J37" s="3"/>
      <c r="N37" s="4"/>
      <c r="O37" s="4"/>
      <c r="P37" s="33"/>
      <c r="Q37" s="44"/>
      <c r="R37" s="34"/>
      <c r="S37" s="44"/>
      <c r="T37" s="33"/>
      <c r="U37" s="46"/>
      <c r="V37" s="43"/>
      <c r="W37" s="39"/>
    </row>
    <row r="38" spans="6:23" x14ac:dyDescent="0.2">
      <c r="F38" s="1"/>
      <c r="G38" s="56"/>
      <c r="H38" s="4"/>
      <c r="I38" s="3"/>
      <c r="J38" s="3"/>
      <c r="N38" s="4"/>
      <c r="O38" s="4"/>
      <c r="P38" s="33"/>
      <c r="Q38" s="45"/>
      <c r="R38" s="47"/>
      <c r="S38" s="45"/>
      <c r="T38" s="33"/>
      <c r="U38" s="44"/>
      <c r="V38" s="34"/>
      <c r="W38" s="39"/>
    </row>
    <row r="39" spans="6:23" x14ac:dyDescent="0.2">
      <c r="F39" s="1"/>
      <c r="G39" s="56"/>
      <c r="H39" s="4"/>
      <c r="I39" s="3"/>
      <c r="J39" s="3"/>
      <c r="N39" s="4"/>
      <c r="O39" s="4"/>
      <c r="P39" s="33"/>
      <c r="Q39" s="45"/>
      <c r="R39" s="47"/>
      <c r="S39" s="45"/>
      <c r="T39" s="33"/>
      <c r="U39" s="44"/>
      <c r="V39" s="34"/>
      <c r="W39" s="39"/>
    </row>
    <row r="40" spans="6:23" x14ac:dyDescent="0.2">
      <c r="F40" s="1"/>
      <c r="G40" s="56"/>
      <c r="H40" s="4"/>
      <c r="I40" s="3"/>
      <c r="J40" s="3"/>
      <c r="N40" s="4"/>
      <c r="O40" s="4"/>
      <c r="P40" s="33"/>
      <c r="Q40" s="45"/>
      <c r="R40" s="47"/>
      <c r="S40" s="45"/>
      <c r="T40" s="33"/>
      <c r="U40" s="44"/>
      <c r="V40" s="34"/>
      <c r="W40" s="39"/>
    </row>
    <row r="41" spans="6:23" x14ac:dyDescent="0.2">
      <c r="F41" s="1"/>
      <c r="H41" s="4"/>
      <c r="I41" s="3"/>
      <c r="J41" s="3"/>
      <c r="N41" s="4"/>
      <c r="O41" s="4"/>
      <c r="P41" s="33"/>
      <c r="Q41" s="45"/>
      <c r="R41" s="47"/>
      <c r="S41" s="45"/>
      <c r="T41" s="33"/>
      <c r="U41" s="44"/>
      <c r="V41" s="34"/>
      <c r="W41" s="39"/>
    </row>
    <row r="42" spans="6:23" x14ac:dyDescent="0.2">
      <c r="F42" s="1"/>
      <c r="H42" s="4"/>
      <c r="I42" s="3"/>
      <c r="J42" s="3"/>
      <c r="N42" s="4"/>
      <c r="O42" s="4"/>
      <c r="P42" s="33"/>
      <c r="Q42" s="45"/>
      <c r="R42" s="47"/>
      <c r="S42" s="45"/>
      <c r="T42" s="33"/>
      <c r="U42" s="44"/>
      <c r="V42" s="34"/>
      <c r="W42" s="39"/>
    </row>
    <row r="43" spans="6:23" x14ac:dyDescent="0.2">
      <c r="F43" s="1"/>
      <c r="H43" s="4"/>
      <c r="I43" s="3"/>
      <c r="J43" s="3"/>
      <c r="N43" s="4"/>
      <c r="O43" s="4"/>
      <c r="P43" s="33"/>
      <c r="Q43" s="44"/>
      <c r="R43" s="34"/>
      <c r="S43" s="45"/>
      <c r="T43" s="33"/>
      <c r="U43" s="46"/>
      <c r="V43" s="43"/>
      <c r="W43" s="39"/>
    </row>
    <row r="44" spans="6:23" x14ac:dyDescent="0.2">
      <c r="F44" s="1"/>
      <c r="H44" s="4"/>
      <c r="I44" s="3"/>
      <c r="J44" s="3"/>
      <c r="N44" s="4"/>
      <c r="O44" s="4"/>
      <c r="P44" s="33"/>
      <c r="Q44" s="44"/>
      <c r="R44" s="34"/>
      <c r="S44" s="45"/>
      <c r="T44" s="33"/>
      <c r="U44" s="44"/>
      <c r="V44" s="34"/>
      <c r="W44" s="39"/>
    </row>
    <row r="45" spans="6:23" x14ac:dyDescent="0.2">
      <c r="N45" s="4"/>
      <c r="O45" s="4"/>
      <c r="P45" s="33"/>
      <c r="Q45" s="44"/>
      <c r="R45" s="34"/>
      <c r="S45" s="44"/>
      <c r="T45" s="33"/>
      <c r="U45" s="44"/>
      <c r="V45" s="34"/>
      <c r="W45" s="39"/>
    </row>
    <row r="46" spans="6:23" x14ac:dyDescent="0.2">
      <c r="N46" s="4"/>
      <c r="O46" s="4"/>
      <c r="P46" s="33"/>
      <c r="Q46" s="44"/>
      <c r="R46" s="34"/>
      <c r="S46" s="44"/>
      <c r="T46" s="33"/>
      <c r="U46" s="44"/>
      <c r="V46" s="34"/>
      <c r="W46" s="39"/>
    </row>
    <row r="47" spans="6:23" x14ac:dyDescent="0.2">
      <c r="N47" s="4"/>
      <c r="O47" s="4"/>
      <c r="P47" s="33"/>
      <c r="Q47" s="44"/>
      <c r="R47" s="34"/>
      <c r="S47" s="44"/>
      <c r="T47" s="33"/>
      <c r="U47" s="44"/>
      <c r="V47" s="34"/>
      <c r="W47" s="39"/>
    </row>
    <row r="48" spans="6:23" x14ac:dyDescent="0.2">
      <c r="N48" s="4"/>
      <c r="O48" s="4"/>
      <c r="P48" s="33"/>
      <c r="Q48" s="44"/>
      <c r="R48" s="34"/>
      <c r="S48" s="44"/>
      <c r="T48" s="33"/>
      <c r="U48" s="44"/>
      <c r="V48" s="34"/>
      <c r="W48" s="39"/>
    </row>
    <row r="49" spans="14:23" x14ac:dyDescent="0.2"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14:23" x14ac:dyDescent="0.2"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14:23" x14ac:dyDescent="0.2"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14:23" x14ac:dyDescent="0.2">
      <c r="N52" s="4"/>
      <c r="O52" s="4"/>
      <c r="P52" s="33"/>
      <c r="Q52" s="44"/>
      <c r="R52" s="34"/>
      <c r="S52" s="44"/>
      <c r="T52" s="33"/>
      <c r="U52" s="44"/>
      <c r="V52" s="34"/>
      <c r="W52" s="39"/>
    </row>
    <row r="53" spans="14:23" x14ac:dyDescent="0.2"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14:23" x14ac:dyDescent="0.2"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14:23" x14ac:dyDescent="0.2"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14:23" x14ac:dyDescent="0.2"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14:23" x14ac:dyDescent="0.2"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14:23" x14ac:dyDescent="0.2">
      <c r="N58" s="4"/>
      <c r="O58" s="4"/>
      <c r="P58" s="33"/>
      <c r="Q58" s="44"/>
      <c r="R58" s="34"/>
      <c r="S58" s="44"/>
      <c r="T58" s="33"/>
      <c r="U58" s="44"/>
      <c r="V58" s="34"/>
      <c r="W58" s="39"/>
    </row>
    <row r="59" spans="14:23" x14ac:dyDescent="0.2">
      <c r="N59" s="4"/>
      <c r="O59" s="4"/>
      <c r="P59" s="33"/>
      <c r="Q59" s="44"/>
      <c r="R59" s="34"/>
      <c r="S59" s="44"/>
      <c r="T59" s="33"/>
      <c r="U59" s="44"/>
      <c r="V59" s="34"/>
      <c r="W59" s="39"/>
    </row>
    <row r="60" spans="14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14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14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14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14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  <row r="81" spans="14:23" x14ac:dyDescent="0.2">
      <c r="N81" s="4"/>
      <c r="O81" s="4"/>
      <c r="P81" s="33"/>
      <c r="Q81" s="44"/>
      <c r="R81" s="34"/>
      <c r="S81" s="44"/>
      <c r="T81" s="33"/>
      <c r="U81" s="44"/>
      <c r="V81" s="34"/>
      <c r="W81" s="39"/>
    </row>
    <row r="82" spans="14:23" x14ac:dyDescent="0.2">
      <c r="N82" s="4"/>
      <c r="O82" s="4"/>
      <c r="P82" s="33"/>
      <c r="Q82" s="44"/>
      <c r="R82" s="34"/>
      <c r="S82" s="44"/>
      <c r="T82" s="33"/>
      <c r="U82" s="44"/>
      <c r="V82" s="34"/>
      <c r="W82" s="39"/>
    </row>
    <row r="83" spans="14:23" x14ac:dyDescent="0.2">
      <c r="N83" s="4"/>
      <c r="O83" s="4"/>
      <c r="P83" s="33"/>
      <c r="Q83" s="44"/>
      <c r="R83" s="34"/>
      <c r="S83" s="44"/>
      <c r="T83" s="33"/>
      <c r="U83" s="44"/>
      <c r="V83" s="34"/>
      <c r="W83" s="39"/>
    </row>
    <row r="84" spans="14:23" x14ac:dyDescent="0.2">
      <c r="N84" s="4"/>
      <c r="O84" s="4"/>
      <c r="P84" s="33"/>
      <c r="Q84" s="44"/>
      <c r="R84" s="34"/>
      <c r="S84" s="44"/>
      <c r="T84" s="33"/>
      <c r="U84" s="44"/>
      <c r="V84" s="34"/>
      <c r="W84" s="39"/>
    </row>
    <row r="85" spans="14:23" x14ac:dyDescent="0.2">
      <c r="N85" s="4"/>
      <c r="O85" s="4"/>
      <c r="P85" s="33"/>
      <c r="Q85" s="44"/>
      <c r="R85" s="34"/>
      <c r="S85" s="44"/>
      <c r="T85" s="33"/>
      <c r="U85" s="44"/>
      <c r="V85" s="34"/>
      <c r="W85" s="39"/>
    </row>
    <row r="86" spans="14:23" x14ac:dyDescent="0.2">
      <c r="N86" s="4"/>
      <c r="O86" s="4"/>
      <c r="P86" s="33"/>
      <c r="Q86" s="44"/>
      <c r="R86" s="34"/>
      <c r="S86" s="44"/>
      <c r="T86" s="33"/>
      <c r="U86" s="44"/>
      <c r="V86" s="34"/>
      <c r="W86" s="39"/>
    </row>
    <row r="87" spans="14:23" x14ac:dyDescent="0.2">
      <c r="N87" s="4"/>
      <c r="O87" s="4"/>
      <c r="P87" s="33"/>
      <c r="Q87" s="44"/>
      <c r="R87" s="34"/>
      <c r="S87" s="44"/>
      <c r="T87" s="33"/>
      <c r="U87" s="44"/>
      <c r="V87" s="34"/>
      <c r="W87" s="39"/>
    </row>
    <row r="88" spans="14:23" x14ac:dyDescent="0.2">
      <c r="N88" s="4"/>
      <c r="O88" s="4"/>
      <c r="P88" s="33"/>
      <c r="Q88" s="44"/>
      <c r="R88" s="34"/>
      <c r="S88" s="44"/>
      <c r="T88" s="33"/>
      <c r="U88" s="44"/>
      <c r="V88" s="34"/>
      <c r="W88" s="39"/>
    </row>
  </sheetData>
  <sheetProtection sheet="1" formatCells="0" formatColumns="0" formatRows="0"/>
  <autoFilter ref="A1:AE2" xr:uid="{00000000-0009-0000-0000-000008000000}">
    <filterColumn colId="15" showButton="0"/>
    <filterColumn colId="16" showButton="0"/>
    <filterColumn colId="17" showButton="0"/>
    <filterColumn colId="19" showButton="0"/>
    <filterColumn colId="20" showButton="0"/>
    <filterColumn colId="21" showButton="0"/>
    <sortState xmlns:xlrd2="http://schemas.microsoft.com/office/spreadsheetml/2017/richdata2" ref="A4:W5">
      <sortCondition ref="F1:F37"/>
    </sortState>
  </autoFilter>
  <mergeCells count="17">
    <mergeCell ref="L1:L2"/>
    <mergeCell ref="F1:F2"/>
    <mergeCell ref="H1:H2"/>
    <mergeCell ref="I1:I2"/>
    <mergeCell ref="J1:J2"/>
    <mergeCell ref="K1:K2"/>
    <mergeCell ref="G1:G2"/>
    <mergeCell ref="A1:A2"/>
    <mergeCell ref="B1:B2"/>
    <mergeCell ref="C1:C2"/>
    <mergeCell ref="D1:D2"/>
    <mergeCell ref="E1:E2"/>
    <mergeCell ref="N1:N2"/>
    <mergeCell ref="O1:O2"/>
    <mergeCell ref="P1:S1"/>
    <mergeCell ref="T1:W1"/>
    <mergeCell ref="M1:M2"/>
  </mergeCells>
  <conditionalFormatting sqref="X1:XFD1 H1:O1 A1:G5 H2:XFD5 A6:XFD1048576">
    <cfRule type="expression" dxfId="11" priority="9">
      <formula>IF($F1="17-21",1,0)</formula>
    </cfRule>
    <cfRule type="expression" dxfId="10" priority="10">
      <formula>IF($F1="15-16",1,0)</formula>
    </cfRule>
    <cfRule type="expression" dxfId="9" priority="11">
      <formula>IF($F1="13-14",1,0)</formula>
    </cfRule>
    <cfRule type="expression" dxfId="8" priority="12">
      <formula>IF($F1="11-12",1,0)</formula>
    </cfRule>
  </conditionalFormatting>
  <conditionalFormatting sqref="P1 T1">
    <cfRule type="expression" dxfId="7" priority="5">
      <formula>IF($F1="17-21",1,0)</formula>
    </cfRule>
    <cfRule type="expression" dxfId="6" priority="6">
      <formula>IF($F1="15-16",1,0)</formula>
    </cfRule>
    <cfRule type="expression" dxfId="5" priority="7">
      <formula>IF($F1="13-14",1,0)</formula>
    </cfRule>
    <cfRule type="expression" dxfId="4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W86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18.83203125" style="38" bestFit="1" customWidth="1"/>
    <col min="3" max="3" width="8.6640625" style="38" bestFit="1" customWidth="1"/>
    <col min="4" max="4" width="33.1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22" bestFit="1" customWidth="1"/>
    <col min="15" max="15" width="18.6640625" bestFit="1" customWidth="1"/>
    <col min="16" max="16" width="7.5" style="37" bestFit="1" customWidth="1"/>
    <col min="17" max="17" width="11.1640625" style="49" bestFit="1" customWidth="1"/>
    <col min="18" max="18" width="6.6640625" style="38" bestFit="1" customWidth="1"/>
    <col min="19" max="19" width="11" style="38" bestFit="1" customWidth="1"/>
    <col min="20" max="20" width="7.6640625" style="37" bestFit="1" customWidth="1"/>
    <col min="21" max="21" width="11.1640625" style="49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67" t="s">
        <v>2</v>
      </c>
      <c r="E1" s="69" t="s">
        <v>16</v>
      </c>
      <c r="F1" s="65" t="s">
        <v>17</v>
      </c>
      <c r="G1" s="65" t="s">
        <v>96</v>
      </c>
      <c r="H1" s="71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61</v>
      </c>
      <c r="P1" s="74" t="s">
        <v>121</v>
      </c>
      <c r="Q1" s="73"/>
      <c r="R1" s="73"/>
      <c r="S1" s="75"/>
      <c r="T1" s="74" t="s">
        <v>120</v>
      </c>
      <c r="U1" s="73"/>
      <c r="V1" s="73"/>
      <c r="W1" s="75"/>
    </row>
    <row r="2" spans="1:23" s="7" customFormat="1" ht="17" thickBot="1" x14ac:dyDescent="0.25">
      <c r="A2" s="66"/>
      <c r="B2" s="66"/>
      <c r="C2" s="66"/>
      <c r="D2" s="68"/>
      <c r="E2" s="70"/>
      <c r="F2" s="66"/>
      <c r="G2" s="66"/>
      <c r="H2" s="72"/>
      <c r="I2" s="66"/>
      <c r="J2" s="66"/>
      <c r="K2" s="66"/>
      <c r="L2" s="66"/>
      <c r="M2" s="66"/>
      <c r="N2" s="66"/>
      <c r="O2" s="66"/>
      <c r="P2" s="8" t="s">
        <v>36</v>
      </c>
      <c r="Q2" s="7" t="s">
        <v>95</v>
      </c>
      <c r="R2" s="7" t="s">
        <v>22</v>
      </c>
      <c r="S2" s="7" t="s">
        <v>24</v>
      </c>
      <c r="T2" s="8" t="s">
        <v>36</v>
      </c>
      <c r="U2" s="7" t="s">
        <v>95</v>
      </c>
      <c r="V2" s="7" t="s">
        <v>22</v>
      </c>
      <c r="W2" s="9" t="s">
        <v>24</v>
      </c>
    </row>
    <row r="3" spans="1:23" ht="17" thickTop="1" x14ac:dyDescent="0.2">
      <c r="A3" s="1">
        <f t="shared" ref="A3:A12" si="0">IF(M3&lt;&gt;"",SUMPRODUCT((M$3:M$13&lt;&gt;"")*(F$3:F$13=F3)*(M$3:M$13&lt;M3))+1,IF(L3&lt;&gt;"",SUMPRODUCT((M$3:M$13&lt;&gt;"")*(F$3:F$13=F3))+SUMPRODUCT((L$3:L$13&lt;&gt;"")*(F$3:F$13=F3)*(L$3:L$13&lt;L3))+1,IF(K3="P",SUMPRODUCT((L$3:L$13&lt;&gt;"")*(F$3:F$13=F3))+SUMPRODUCT((M$3:M$13&lt;&gt;"")*(F$3:F$13=F3))+1+SUMPRODUCT((K$3:K$13="P")*(F$3:F$13=F3)*(H$3:H$13&gt;H3)*(L$3:L$13="")*(M$3:M$13="")),"")))</f>
        <v>1</v>
      </c>
      <c r="B3" s="38" t="s">
        <v>88</v>
      </c>
      <c r="C3" s="38" t="s">
        <v>3</v>
      </c>
      <c r="D3" s="38" t="s">
        <v>57</v>
      </c>
      <c r="E3" s="37">
        <v>2003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/>
      <c r="H3" s="4">
        <f t="shared" ref="H3:H12" si="1">SUM(N3:O3)</f>
        <v>120.7</v>
      </c>
      <c r="I3" s="3" t="str">
        <f>IF(MAX(P3,R3,T3,V3)&gt;=LOOKUP(F3,'Qualifying Scores'!$A$4:$A$7,'Qualifying Scores'!$I$4:$I$7),"P","")</f>
        <v>P</v>
      </c>
      <c r="J3" s="3" t="str">
        <f>IF(MAX(Q3,S3,U3,W3)&gt;=LOOKUP(F3,'Qualifying Scores'!$A$10:$A$13,'Qualifying Scores'!$I$10:$I$13),"P","")</f>
        <v>P</v>
      </c>
      <c r="K3" s="3" t="str">
        <f>IF(OR(AND(P3&gt;=LOOKUP(F3,'Qualifying Scores'!$A$4:$A$7,'Qualifying Scores'!$I$4:$I$7),Q3&gt;=LOOKUP(F3,'Qualifying Scores'!$A$10:$A$13,'Qualifying Scores'!$I$10:$I$13)),AND(R3&gt;=LOOKUP(F3,'Qualifying Scores'!$A$4:$A$7,'Qualifying Scores'!$I$4:$I$7),S3&gt;=LOOKUP(F3,'Qualifying Scores'!$A$10:$A$13,'Qualifying Scores'!$I$10:$I$13)),AND(T3&gt;=LOOKUP(F3,'Qualifying Scores'!$A$4:$A$7,'Qualifying Scores'!$I$4:$I$7),U3&gt;=LOOKUP(F3,'Qualifying Scores'!$A$10:$A$13,'Qualifying Scores'!$I$10:$I$13)),AND(V3&gt;=LOOKUP(F3,'Qualifying Scores'!$A$4:$A$7,'Qualifying Scores'!$I$4:$I$7),W3&gt;=LOOKUP(F3,'Qualifying Scores'!$A$10:$A$13,'Qualifying Scores'!$I$10:$I$13))),"P","")</f>
        <v>P</v>
      </c>
      <c r="N3" s="4">
        <f t="shared" ref="N3:N12" si="2">MAX(P3,T3)</f>
        <v>60</v>
      </c>
      <c r="O3" s="4">
        <f t="shared" ref="O3:O12" si="3">IF(N3=P3,MAX(R3,T3,V3),MAX(P3,R3,V3))</f>
        <v>60.7</v>
      </c>
      <c r="P3" s="33">
        <v>59</v>
      </c>
      <c r="Q3" s="45">
        <f>4.1+3.9</f>
        <v>8</v>
      </c>
      <c r="R3" s="34">
        <v>58.8</v>
      </c>
      <c r="S3" s="44">
        <f>4.1+3.9</f>
        <v>8</v>
      </c>
      <c r="T3" s="33">
        <v>60</v>
      </c>
      <c r="U3" s="45">
        <f>3.9+4.1</f>
        <v>8</v>
      </c>
      <c r="V3" s="47">
        <v>60.7</v>
      </c>
      <c r="W3" s="39">
        <f>3.9+4.1</f>
        <v>8</v>
      </c>
    </row>
    <row r="4" spans="1:23" x14ac:dyDescent="0.2">
      <c r="A4" s="1">
        <f t="shared" si="0"/>
        <v>2</v>
      </c>
      <c r="B4" s="38" t="s">
        <v>155</v>
      </c>
      <c r="C4" s="38" t="s">
        <v>3</v>
      </c>
      <c r="D4" s="38" t="s">
        <v>154</v>
      </c>
      <c r="E4" s="37">
        <v>2003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/>
      <c r="H4" s="4">
        <f t="shared" si="1"/>
        <v>117.9</v>
      </c>
      <c r="I4" s="3" t="str">
        <f>IF(MAX(P4,R4,T4,V4)&gt;=LOOKUP(F4,'Qualifying Scores'!$A$4:$A$7,'Qualifying Scores'!$I$4:$I$7),"P","")</f>
        <v>P</v>
      </c>
      <c r="J4" s="3" t="str">
        <f>IF(MAX(Q4,S4,U4,W4)&gt;=LOOKUP(F4,'Qualifying Scores'!$A$10:$A$13,'Qualifying Scores'!$I$10:$I$13),"P","")</f>
        <v>P</v>
      </c>
      <c r="K4" s="3" t="str">
        <f>IF(OR(AND(P4&gt;=LOOKUP(F4,'Qualifying Scores'!$A$4:$A$7,'Qualifying Scores'!$I$4:$I$7),Q4&gt;=LOOKUP(F4,'Qualifying Scores'!$A$10:$A$13,'Qualifying Scores'!$I$10:$I$13)),AND(R4&gt;=LOOKUP(F4,'Qualifying Scores'!$A$4:$A$7,'Qualifying Scores'!$I$4:$I$7),S4&gt;=LOOKUP(F4,'Qualifying Scores'!$A$10:$A$13,'Qualifying Scores'!$I$10:$I$13)),AND(T4&gt;=LOOKUP(F4,'Qualifying Scores'!$A$4:$A$7,'Qualifying Scores'!$I$4:$I$7),U4&gt;=LOOKUP(F4,'Qualifying Scores'!$A$10:$A$13,'Qualifying Scores'!$I$10:$I$13)),AND(V4&gt;=LOOKUP(F4,'Qualifying Scores'!$A$4:$A$7,'Qualifying Scores'!$I$4:$I$7),W4&gt;=LOOKUP(F4,'Qualifying Scores'!$A$10:$A$13,'Qualifying Scores'!$I$10:$I$13))),"P","")</f>
        <v>P</v>
      </c>
      <c r="N4" s="4">
        <f t="shared" si="2"/>
        <v>58.7</v>
      </c>
      <c r="O4" s="4">
        <f t="shared" si="3"/>
        <v>59.2</v>
      </c>
      <c r="P4" s="33"/>
      <c r="Q4" s="45"/>
      <c r="R4" s="34"/>
      <c r="S4" s="44"/>
      <c r="T4" s="33">
        <v>58.7</v>
      </c>
      <c r="U4" s="45">
        <f>3.6+4.5</f>
        <v>8.1</v>
      </c>
      <c r="V4" s="47">
        <v>59.2</v>
      </c>
      <c r="W4" s="39">
        <f>3.6+4.5</f>
        <v>8.1</v>
      </c>
    </row>
    <row r="5" spans="1:23" x14ac:dyDescent="0.2">
      <c r="A5" s="1" t="str">
        <f t="shared" si="0"/>
        <v/>
      </c>
      <c r="B5" s="38" t="s">
        <v>117</v>
      </c>
      <c r="C5" s="38" t="s">
        <v>3</v>
      </c>
      <c r="D5" s="38" t="s">
        <v>130</v>
      </c>
      <c r="E5" s="37">
        <v>2003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/>
      <c r="H5" s="4">
        <f t="shared" si="1"/>
        <v>115.5</v>
      </c>
      <c r="I5" s="3" t="str">
        <f>IF(MAX(P5,R5,T5,V5)&gt;=LOOKUP(F5,'Qualifying Scores'!$A$4:$A$7,'Qualifying Scores'!$I$4:$I$7),"P","")</f>
        <v>P</v>
      </c>
      <c r="J5" s="3" t="str">
        <f>IF(MAX(Q5,S5,U5,W5)&gt;=LOOKUP(F5,'Qualifying Scores'!$A$10:$A$13,'Qualifying Scores'!$I$10:$I$13),"P","")</f>
        <v/>
      </c>
      <c r="K5" s="3" t="str">
        <f>IF(OR(AND(P5&gt;=LOOKUP(F5,'Qualifying Scores'!$A$4:$A$7,'Qualifying Scores'!$I$4:$I$7),Q5&gt;=LOOKUP(F5,'Qualifying Scores'!$A$10:$A$13,'Qualifying Scores'!$I$10:$I$13)),AND(R5&gt;=LOOKUP(F5,'Qualifying Scores'!$A$4:$A$7,'Qualifying Scores'!$I$4:$I$7),S5&gt;=LOOKUP(F5,'Qualifying Scores'!$A$10:$A$13,'Qualifying Scores'!$I$10:$I$13)),AND(T5&gt;=LOOKUP(F5,'Qualifying Scores'!$A$4:$A$7,'Qualifying Scores'!$I$4:$I$7),U5&gt;=LOOKUP(F5,'Qualifying Scores'!$A$10:$A$13,'Qualifying Scores'!$I$10:$I$13)),AND(V5&gt;=LOOKUP(F5,'Qualifying Scores'!$A$4:$A$7,'Qualifying Scores'!$I$4:$I$7),W5&gt;=LOOKUP(F5,'Qualifying Scores'!$A$10:$A$13,'Qualifying Scores'!$I$10:$I$13))),"P","")</f>
        <v/>
      </c>
      <c r="N5" s="4">
        <f t="shared" si="2"/>
        <v>56.7</v>
      </c>
      <c r="O5" s="4">
        <f t="shared" si="3"/>
        <v>58.8</v>
      </c>
      <c r="P5" s="33">
        <v>56.4</v>
      </c>
      <c r="Q5" s="45">
        <f>2.1+2.5</f>
        <v>4.5999999999999996</v>
      </c>
      <c r="R5" s="34">
        <v>57.6</v>
      </c>
      <c r="S5" s="44">
        <f>2.1+1.5</f>
        <v>3.6</v>
      </c>
      <c r="T5" s="33">
        <v>56.7</v>
      </c>
      <c r="U5" s="45">
        <f>2.5+2.1</f>
        <v>4.5999999999999996</v>
      </c>
      <c r="V5" s="47">
        <v>58.8</v>
      </c>
      <c r="W5" s="39">
        <f>2.1+1.5</f>
        <v>3.6</v>
      </c>
    </row>
    <row r="6" spans="1:23" x14ac:dyDescent="0.2">
      <c r="A6" s="1" t="str">
        <f t="shared" si="0"/>
        <v/>
      </c>
      <c r="B6" s="38" t="s">
        <v>85</v>
      </c>
      <c r="C6" s="38" t="s">
        <v>5</v>
      </c>
      <c r="D6" s="38" t="s">
        <v>50</v>
      </c>
      <c r="E6" s="37">
        <v>2002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 t="s">
        <v>158</v>
      </c>
      <c r="H6" s="4">
        <f t="shared" si="1"/>
        <v>115.2</v>
      </c>
      <c r="I6" s="3" t="str">
        <f>IF(MAX(P6,R6,T6,V6)&gt;=LOOKUP(F6,'Qualifying Scores'!$A$4:$A$7,'Qualifying Scores'!$I$4:$I$7),"P","")</f>
        <v/>
      </c>
      <c r="J6" s="3" t="str">
        <f>IF(MAX(Q6,S6,U6,W6)&gt;=LOOKUP(F6,'Qualifying Scores'!$A$10:$A$13,'Qualifying Scores'!$I$10:$I$13),"P","")</f>
        <v>P</v>
      </c>
      <c r="K6" s="3" t="str">
        <f>IF(OR(AND(P6&gt;=LOOKUP(F6,'Qualifying Scores'!$A$4:$A$7,'Qualifying Scores'!$I$4:$I$7),Q6&gt;=LOOKUP(F6,'Qualifying Scores'!$A$10:$A$13,'Qualifying Scores'!$I$10:$I$13)),AND(R6&gt;=LOOKUP(F6,'Qualifying Scores'!$A$4:$A$7,'Qualifying Scores'!$I$4:$I$7),S6&gt;=LOOKUP(F6,'Qualifying Scores'!$A$10:$A$13,'Qualifying Scores'!$I$10:$I$13)),AND(T6&gt;=LOOKUP(F6,'Qualifying Scores'!$A$4:$A$7,'Qualifying Scores'!$I$4:$I$7),U6&gt;=LOOKUP(F6,'Qualifying Scores'!$A$10:$A$13,'Qualifying Scores'!$I$10:$I$13)),AND(V6&gt;=LOOKUP(F6,'Qualifying Scores'!$A$4:$A$7,'Qualifying Scores'!$I$4:$I$7),W6&gt;=LOOKUP(F6,'Qualifying Scores'!$A$10:$A$13,'Qualifying Scores'!$I$10:$I$13))),"P","")</f>
        <v/>
      </c>
      <c r="N6" s="4">
        <f t="shared" si="2"/>
        <v>57</v>
      </c>
      <c r="O6" s="4">
        <f t="shared" si="3"/>
        <v>58.2</v>
      </c>
      <c r="P6" s="33">
        <v>57</v>
      </c>
      <c r="Q6" s="45">
        <f>3.9+4.1</f>
        <v>8</v>
      </c>
      <c r="R6" s="34">
        <v>56.3</v>
      </c>
      <c r="S6" s="44">
        <f>3.9+4.1</f>
        <v>8</v>
      </c>
      <c r="T6" s="33">
        <v>55.7</v>
      </c>
      <c r="U6" s="45">
        <f>3.9+2.4</f>
        <v>6.3</v>
      </c>
      <c r="V6" s="47">
        <v>58.2</v>
      </c>
      <c r="W6" s="39">
        <f>3.9+4.1</f>
        <v>8</v>
      </c>
    </row>
    <row r="7" spans="1:23" x14ac:dyDescent="0.2">
      <c r="A7" s="1" t="str">
        <f t="shared" si="0"/>
        <v/>
      </c>
      <c r="B7" s="38" t="s">
        <v>86</v>
      </c>
      <c r="C7" s="38" t="s">
        <v>4</v>
      </c>
      <c r="D7" s="38" t="s">
        <v>59</v>
      </c>
      <c r="E7" s="37">
        <v>2001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/>
      <c r="H7" s="4">
        <f t="shared" si="1"/>
        <v>114.3</v>
      </c>
      <c r="I7" s="3" t="str">
        <f>IF(MAX(P7,R7,T7,V7)&gt;=LOOKUP(F7,'Qualifying Scores'!$A$4:$A$7,'Qualifying Scores'!$I$4:$I$7),"P","")</f>
        <v/>
      </c>
      <c r="J7" s="3" t="str">
        <f>IF(MAX(Q7,S7,U7,W7)&gt;=LOOKUP(F7,'Qualifying Scores'!$A$10:$A$13,'Qualifying Scores'!$I$10:$I$13),"P","")</f>
        <v/>
      </c>
      <c r="K7" s="3" t="str">
        <f>IF(OR(AND(P7&gt;=LOOKUP(F7,'Qualifying Scores'!$A$4:$A$7,'Qualifying Scores'!$I$4:$I$7),Q7&gt;=LOOKUP(F7,'Qualifying Scores'!$A$10:$A$13,'Qualifying Scores'!$I$10:$I$13)),AND(R7&gt;=LOOKUP(F7,'Qualifying Scores'!$A$4:$A$7,'Qualifying Scores'!$I$4:$I$7),S7&gt;=LOOKUP(F7,'Qualifying Scores'!$A$10:$A$13,'Qualifying Scores'!$I$10:$I$13)),AND(T7&gt;=LOOKUP(F7,'Qualifying Scores'!$A$4:$A$7,'Qualifying Scores'!$I$4:$I$7),U7&gt;=LOOKUP(F7,'Qualifying Scores'!$A$10:$A$13,'Qualifying Scores'!$I$10:$I$13)),AND(V7&gt;=LOOKUP(F7,'Qualifying Scores'!$A$4:$A$7,'Qualifying Scores'!$I$4:$I$7),W7&gt;=LOOKUP(F7,'Qualifying Scores'!$A$10:$A$13,'Qualifying Scores'!$I$10:$I$13))),"P","")</f>
        <v/>
      </c>
      <c r="N7" s="4">
        <f t="shared" si="2"/>
        <v>57.9</v>
      </c>
      <c r="O7" s="4">
        <f t="shared" si="3"/>
        <v>56.4</v>
      </c>
      <c r="P7" s="33">
        <v>50.4</v>
      </c>
      <c r="Q7" s="45">
        <f>1.2+2.4</f>
        <v>3.5999999999999996</v>
      </c>
      <c r="R7" s="34">
        <v>0</v>
      </c>
      <c r="S7" s="44">
        <v>0</v>
      </c>
      <c r="T7" s="33">
        <v>57.9</v>
      </c>
      <c r="U7" s="45">
        <f>3.4+2.8</f>
        <v>6.1999999999999993</v>
      </c>
      <c r="V7" s="47">
        <v>56.4</v>
      </c>
      <c r="W7" s="39">
        <f>1.8+2.8</f>
        <v>4.5999999999999996</v>
      </c>
    </row>
    <row r="8" spans="1:23" x14ac:dyDescent="0.2">
      <c r="A8" s="1" t="str">
        <f t="shared" si="0"/>
        <v/>
      </c>
      <c r="B8" s="38" t="s">
        <v>118</v>
      </c>
      <c r="C8" s="38" t="s">
        <v>8</v>
      </c>
      <c r="D8" s="38" t="s">
        <v>10</v>
      </c>
      <c r="E8" s="37">
        <v>2001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17-21</v>
      </c>
      <c r="G8" s="56"/>
      <c r="H8" s="4">
        <f t="shared" si="1"/>
        <v>113.69999999999999</v>
      </c>
      <c r="I8" s="3" t="str">
        <f>IF(MAX(P8,R8,T8,V8)&gt;=LOOKUP(F8,'Qualifying Scores'!$A$4:$A$7,'Qualifying Scores'!$I$4:$I$7),"P","")</f>
        <v/>
      </c>
      <c r="J8" s="3" t="str">
        <f>IF(MAX(Q8,S8,U8,W8)&gt;=LOOKUP(F8,'Qualifying Scores'!$A$10:$A$13,'Qualifying Scores'!$I$10:$I$13),"P","")</f>
        <v/>
      </c>
      <c r="K8" s="3" t="str">
        <f>IF(OR(AND(P8&gt;=LOOKUP(F8,'Qualifying Scores'!$A$4:$A$7,'Qualifying Scores'!$I$4:$I$7),Q8&gt;=LOOKUP(F8,'Qualifying Scores'!$A$10:$A$13,'Qualifying Scores'!$I$10:$I$13)),AND(R8&gt;=LOOKUP(F8,'Qualifying Scores'!$A$4:$A$7,'Qualifying Scores'!$I$4:$I$7),S8&gt;=LOOKUP(F8,'Qualifying Scores'!$A$10:$A$13,'Qualifying Scores'!$I$10:$I$13)),AND(T8&gt;=LOOKUP(F8,'Qualifying Scores'!$A$4:$A$7,'Qualifying Scores'!$I$4:$I$7),U8&gt;=LOOKUP(F8,'Qualifying Scores'!$A$10:$A$13,'Qualifying Scores'!$I$10:$I$13)),AND(V8&gt;=LOOKUP(F8,'Qualifying Scores'!$A$4:$A$7,'Qualifying Scores'!$I$4:$I$7),W8&gt;=LOOKUP(F8,'Qualifying Scores'!$A$10:$A$13,'Qualifying Scores'!$I$10:$I$13))),"P","")</f>
        <v/>
      </c>
      <c r="N8" s="4">
        <f t="shared" si="2"/>
        <v>56.4</v>
      </c>
      <c r="O8" s="4">
        <f t="shared" si="3"/>
        <v>57.3</v>
      </c>
      <c r="P8" s="33">
        <v>56.4</v>
      </c>
      <c r="Q8" s="45">
        <f>2.1+2.2</f>
        <v>4.3000000000000007</v>
      </c>
      <c r="R8" s="34">
        <v>57.3</v>
      </c>
      <c r="S8" s="44">
        <f>2.1+1.5</f>
        <v>3.6</v>
      </c>
      <c r="T8" s="33">
        <v>51.3</v>
      </c>
      <c r="U8" s="45">
        <f>1.9+2.3</f>
        <v>4.1999999999999993</v>
      </c>
      <c r="V8" s="47">
        <v>54</v>
      </c>
      <c r="W8" s="39">
        <f>2.1+0.2</f>
        <v>2.3000000000000003</v>
      </c>
    </row>
    <row r="9" spans="1:23" x14ac:dyDescent="0.2">
      <c r="A9" s="1" t="str">
        <f t="shared" si="0"/>
        <v/>
      </c>
      <c r="B9" s="38" t="s">
        <v>157</v>
      </c>
      <c r="C9" s="38" t="s">
        <v>8</v>
      </c>
      <c r="D9" s="38" t="s">
        <v>156</v>
      </c>
      <c r="E9" s="37">
        <v>2001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/>
      <c r="H9" s="4">
        <f t="shared" si="1"/>
        <v>112.1</v>
      </c>
      <c r="I9" s="3" t="str">
        <f>IF(MAX(P9,R9,T9,V9)&gt;=LOOKUP(F9,'Qualifying Scores'!$A$4:$A$7,'Qualifying Scores'!$I$4:$I$7),"P","")</f>
        <v/>
      </c>
      <c r="J9" s="3" t="str">
        <f>IF(MAX(Q9,S9,U9,W9)&gt;=LOOKUP(F9,'Qualifying Scores'!$A$10:$A$13,'Qualifying Scores'!$I$10:$I$13),"P","")</f>
        <v/>
      </c>
      <c r="K9" s="3" t="str">
        <f>IF(OR(AND(P9&gt;=LOOKUP(F9,'Qualifying Scores'!$A$4:$A$7,'Qualifying Scores'!$I$4:$I$7),Q9&gt;=LOOKUP(F9,'Qualifying Scores'!$A$10:$A$13,'Qualifying Scores'!$I$10:$I$13)),AND(R9&gt;=LOOKUP(F9,'Qualifying Scores'!$A$4:$A$7,'Qualifying Scores'!$I$4:$I$7),S9&gt;=LOOKUP(F9,'Qualifying Scores'!$A$10:$A$13,'Qualifying Scores'!$I$10:$I$13)),AND(T9&gt;=LOOKUP(F9,'Qualifying Scores'!$A$4:$A$7,'Qualifying Scores'!$I$4:$I$7),U9&gt;=LOOKUP(F9,'Qualifying Scores'!$A$10:$A$13,'Qualifying Scores'!$I$10:$I$13)),AND(V9&gt;=LOOKUP(F9,'Qualifying Scores'!$A$4:$A$7,'Qualifying Scores'!$I$4:$I$7),W9&gt;=LOOKUP(F9,'Qualifying Scores'!$A$10:$A$13,'Qualifying Scores'!$I$10:$I$13))),"P","")</f>
        <v/>
      </c>
      <c r="N9" s="4">
        <f t="shared" si="2"/>
        <v>55.3</v>
      </c>
      <c r="O9" s="4">
        <f t="shared" si="3"/>
        <v>56.8</v>
      </c>
      <c r="P9" s="33"/>
      <c r="Q9" s="45"/>
      <c r="R9" s="34"/>
      <c r="S9" s="44"/>
      <c r="T9" s="33">
        <v>55.3</v>
      </c>
      <c r="U9" s="45">
        <f>2.1+2.3</f>
        <v>4.4000000000000004</v>
      </c>
      <c r="V9" s="47">
        <v>56.8</v>
      </c>
      <c r="W9" s="39">
        <f>2.1+1.3</f>
        <v>3.4000000000000004</v>
      </c>
    </row>
    <row r="10" spans="1:23" x14ac:dyDescent="0.2">
      <c r="A10" s="1" t="str">
        <f t="shared" si="0"/>
        <v/>
      </c>
      <c r="B10" s="38" t="s">
        <v>87</v>
      </c>
      <c r="C10" s="38" t="s">
        <v>5</v>
      </c>
      <c r="D10" s="38" t="s">
        <v>58</v>
      </c>
      <c r="E10" s="37">
        <v>2001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G10" s="56" t="s">
        <v>158</v>
      </c>
      <c r="H10" s="4">
        <f t="shared" si="1"/>
        <v>109.5</v>
      </c>
      <c r="I10" s="3" t="str">
        <f>IF(MAX(P10,R10,T10,V10)&gt;=LOOKUP(F10,'Qualifying Scores'!$A$4:$A$7,'Qualifying Scores'!$I$4:$I$7),"P","")</f>
        <v/>
      </c>
      <c r="J10" s="3" t="str">
        <f>IF(MAX(Q10,S10,U10,W10)&gt;=LOOKUP(F10,'Qualifying Scores'!$A$10:$A$13,'Qualifying Scores'!$I$10:$I$13),"P","")</f>
        <v>P</v>
      </c>
      <c r="K10" s="3" t="str">
        <f>IF(OR(AND(P10&gt;=LOOKUP(F10,'Qualifying Scores'!$A$4:$A$7,'Qualifying Scores'!$I$4:$I$7),Q10&gt;=LOOKUP(F10,'Qualifying Scores'!$A$10:$A$13,'Qualifying Scores'!$I$10:$I$13)),AND(R10&gt;=LOOKUP(F10,'Qualifying Scores'!$A$4:$A$7,'Qualifying Scores'!$I$4:$I$7),S10&gt;=LOOKUP(F10,'Qualifying Scores'!$A$10:$A$13,'Qualifying Scores'!$I$10:$I$13)),AND(T10&gt;=LOOKUP(F10,'Qualifying Scores'!$A$4:$A$7,'Qualifying Scores'!$I$4:$I$7),U10&gt;=LOOKUP(F10,'Qualifying Scores'!$A$10:$A$13,'Qualifying Scores'!$I$10:$I$13)),AND(V10&gt;=LOOKUP(F10,'Qualifying Scores'!$A$4:$A$7,'Qualifying Scores'!$I$4:$I$7),W10&gt;=LOOKUP(F10,'Qualifying Scores'!$A$10:$A$13,'Qualifying Scores'!$I$10:$I$13))),"P","")</f>
        <v/>
      </c>
      <c r="N10" s="4">
        <f t="shared" si="2"/>
        <v>56.6</v>
      </c>
      <c r="O10" s="4">
        <f t="shared" si="3"/>
        <v>52.9</v>
      </c>
      <c r="P10" s="33">
        <v>50.7</v>
      </c>
      <c r="Q10" s="45">
        <f>3.4+1.9</f>
        <v>5.3</v>
      </c>
      <c r="R10" s="34">
        <v>0</v>
      </c>
      <c r="S10" s="44">
        <v>0</v>
      </c>
      <c r="T10" s="33">
        <v>56.6</v>
      </c>
      <c r="U10" s="45">
        <f>3.4+3.9</f>
        <v>7.3</v>
      </c>
      <c r="V10" s="47">
        <v>52.9</v>
      </c>
      <c r="W10" s="39">
        <f>1.2+3.2</f>
        <v>4.4000000000000004</v>
      </c>
    </row>
    <row r="11" spans="1:23" x14ac:dyDescent="0.2">
      <c r="A11" s="1" t="str">
        <f t="shared" si="0"/>
        <v/>
      </c>
      <c r="B11" s="38" t="s">
        <v>84</v>
      </c>
      <c r="C11" s="38" t="s">
        <v>4</v>
      </c>
      <c r="D11" s="38" t="s">
        <v>122</v>
      </c>
      <c r="E11" s="37">
        <v>2003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 t="s">
        <v>158</v>
      </c>
      <c r="H11" s="4">
        <f t="shared" si="1"/>
        <v>106.6</v>
      </c>
      <c r="I11" s="3" t="str">
        <f>IF(MAX(P11,R11,T11,V11)&gt;=LOOKUP(F11,'Qualifying Scores'!$A$4:$A$7,'Qualifying Scores'!$I$4:$I$7),"P","")</f>
        <v/>
      </c>
      <c r="J11" s="3" t="str">
        <f>IF(MAX(Q11,S11,U11,W11)&gt;=LOOKUP(F11,'Qualifying Scores'!$A$10:$A$13,'Qualifying Scores'!$I$10:$I$13),"P","")</f>
        <v/>
      </c>
      <c r="K11" s="3" t="str">
        <f>IF(OR(AND(P11&gt;=LOOKUP(F11,'Qualifying Scores'!$A$4:$A$7,'Qualifying Scores'!$I$4:$I$7),Q11&gt;=LOOKUP(F11,'Qualifying Scores'!$A$10:$A$13,'Qualifying Scores'!$I$10:$I$13)),AND(R11&gt;=LOOKUP(F11,'Qualifying Scores'!$A$4:$A$7,'Qualifying Scores'!$I$4:$I$7),S11&gt;=LOOKUP(F11,'Qualifying Scores'!$A$10:$A$13,'Qualifying Scores'!$I$10:$I$13)),AND(T11&gt;=LOOKUP(F11,'Qualifying Scores'!$A$4:$A$7,'Qualifying Scores'!$I$4:$I$7),U11&gt;=LOOKUP(F11,'Qualifying Scores'!$A$10:$A$13,'Qualifying Scores'!$I$10:$I$13)),AND(V11&gt;=LOOKUP(F11,'Qualifying Scores'!$A$4:$A$7,'Qualifying Scores'!$I$4:$I$7),W11&gt;=LOOKUP(F11,'Qualifying Scores'!$A$10:$A$13,'Qualifying Scores'!$I$10:$I$13))),"P","")</f>
        <v/>
      </c>
      <c r="N11" s="4">
        <f t="shared" si="2"/>
        <v>51.1</v>
      </c>
      <c r="O11" s="4">
        <f t="shared" si="3"/>
        <v>55.5</v>
      </c>
      <c r="P11" s="33">
        <v>43.6</v>
      </c>
      <c r="Q11" s="45">
        <f>1.2+1.6</f>
        <v>2.8</v>
      </c>
      <c r="R11" s="34">
        <v>0</v>
      </c>
      <c r="S11" s="44">
        <v>0</v>
      </c>
      <c r="T11" s="33">
        <v>51.1</v>
      </c>
      <c r="U11" s="45">
        <f>1.9+2.1</f>
        <v>4</v>
      </c>
      <c r="V11" s="47">
        <v>55.5</v>
      </c>
      <c r="W11" s="39">
        <f>1.9+2.2</f>
        <v>4.0999999999999996</v>
      </c>
    </row>
    <row r="12" spans="1:23" x14ac:dyDescent="0.2">
      <c r="A12" s="1" t="str">
        <f t="shared" si="0"/>
        <v/>
      </c>
      <c r="B12" s="38" t="s">
        <v>31</v>
      </c>
      <c r="C12" s="38" t="s">
        <v>5</v>
      </c>
      <c r="D12" s="38" t="s">
        <v>6</v>
      </c>
      <c r="E12" s="37">
        <v>2002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 t="s">
        <v>158</v>
      </c>
      <c r="H12" s="4">
        <f t="shared" si="1"/>
        <v>46.4</v>
      </c>
      <c r="I12" s="3" t="str">
        <f>IF(MAX(P12,R12,T12,V12)&gt;=LOOKUP(F12,'Qualifying Scores'!$A$4:$A$7,'Qualifying Scores'!$I$4:$I$7),"P","")</f>
        <v/>
      </c>
      <c r="J12" s="3" t="str">
        <f>IF(MAX(Q12,S12,U12,W12)&gt;=LOOKUP(F12,'Qualifying Scores'!$A$10:$A$13,'Qualifying Scores'!$I$10:$I$13),"P","")</f>
        <v/>
      </c>
      <c r="K12" s="3" t="str">
        <f>IF(OR(AND(P12&gt;=LOOKUP(F12,'Qualifying Scores'!$A$4:$A$7,'Qualifying Scores'!$I$4:$I$7),Q12&gt;=LOOKUP(F12,'Qualifying Scores'!$A$10:$A$13,'Qualifying Scores'!$I$10:$I$13)),AND(R12&gt;=LOOKUP(F12,'Qualifying Scores'!$A$4:$A$7,'Qualifying Scores'!$I$4:$I$7),S12&gt;=LOOKUP(F12,'Qualifying Scores'!$A$10:$A$13,'Qualifying Scores'!$I$10:$I$13)),AND(T12&gt;=LOOKUP(F12,'Qualifying Scores'!$A$4:$A$7,'Qualifying Scores'!$I$4:$I$7),U12&gt;=LOOKUP(F12,'Qualifying Scores'!$A$10:$A$13,'Qualifying Scores'!$I$10:$I$13)),AND(V12&gt;=LOOKUP(F12,'Qualifying Scores'!$A$4:$A$7,'Qualifying Scores'!$I$4:$I$7),W12&gt;=LOOKUP(F12,'Qualifying Scores'!$A$10:$A$13,'Qualifying Scores'!$I$10:$I$13))),"P","")</f>
        <v/>
      </c>
      <c r="N12" s="4">
        <f t="shared" si="2"/>
        <v>46.4</v>
      </c>
      <c r="O12" s="4">
        <f t="shared" si="3"/>
        <v>0</v>
      </c>
      <c r="P12" s="33"/>
      <c r="Q12" s="45"/>
      <c r="R12" s="34"/>
      <c r="S12" s="44"/>
      <c r="T12" s="33">
        <v>46.4</v>
      </c>
      <c r="U12" s="45">
        <f>3.4+1.4</f>
        <v>4.8</v>
      </c>
      <c r="V12" s="47"/>
      <c r="W12" s="39"/>
    </row>
    <row r="13" spans="1:23" x14ac:dyDescent="0.2">
      <c r="A13" s="1"/>
      <c r="F13" s="1"/>
      <c r="G13" s="56"/>
      <c r="H13" s="4"/>
      <c r="I13" s="3"/>
      <c r="J13" s="3"/>
      <c r="N13" s="4"/>
      <c r="O13" s="4"/>
      <c r="P13" s="33"/>
      <c r="Q13" s="45"/>
      <c r="R13" s="34"/>
      <c r="S13" s="44"/>
      <c r="T13" s="33"/>
      <c r="U13" s="45"/>
      <c r="V13" s="47"/>
      <c r="W13" s="39"/>
    </row>
    <row r="14" spans="1:23" x14ac:dyDescent="0.2">
      <c r="A14" s="1"/>
      <c r="F14" s="1"/>
      <c r="G14" s="56"/>
      <c r="H14" s="4"/>
      <c r="I14" s="3"/>
      <c r="J14" s="3"/>
      <c r="N14" s="4"/>
      <c r="O14" s="4"/>
      <c r="P14" s="33"/>
      <c r="Q14" s="45"/>
      <c r="R14" s="34"/>
      <c r="S14" s="44"/>
      <c r="T14" s="33"/>
      <c r="U14" s="45"/>
      <c r="V14" s="47"/>
      <c r="W14" s="39"/>
    </row>
    <row r="15" spans="1:23" x14ac:dyDescent="0.2">
      <c r="A15" s="1"/>
      <c r="F15" s="1"/>
      <c r="G15" s="56"/>
      <c r="H15" s="4"/>
      <c r="I15" s="3"/>
      <c r="J15" s="3"/>
      <c r="N15" s="4"/>
      <c r="O15" s="4"/>
      <c r="P15" s="33"/>
      <c r="Q15" s="45"/>
      <c r="R15" s="34"/>
      <c r="S15" s="44"/>
      <c r="T15" s="33"/>
      <c r="U15" s="45"/>
      <c r="V15" s="47"/>
      <c r="W15" s="39"/>
    </row>
    <row r="16" spans="1:23" x14ac:dyDescent="0.2">
      <c r="A16" s="1"/>
      <c r="F16" s="1"/>
      <c r="G16" s="56"/>
      <c r="H16" s="4"/>
      <c r="I16" s="3"/>
      <c r="J16" s="3"/>
      <c r="N16" s="4"/>
      <c r="O16" s="4"/>
      <c r="P16" s="33"/>
      <c r="Q16" s="45"/>
      <c r="R16" s="34"/>
      <c r="S16" s="44"/>
      <c r="T16" s="33"/>
      <c r="U16" s="45"/>
      <c r="V16" s="47"/>
      <c r="W16" s="39"/>
    </row>
    <row r="17" spans="1:23" x14ac:dyDescent="0.2">
      <c r="A17" s="1"/>
      <c r="F17" s="1"/>
      <c r="G17" s="56"/>
      <c r="H17" s="4"/>
      <c r="I17" s="3"/>
      <c r="J17" s="3"/>
      <c r="N17" s="4"/>
      <c r="O17" s="4"/>
      <c r="P17" s="33"/>
      <c r="Q17" s="45"/>
      <c r="R17" s="34"/>
      <c r="S17" s="44"/>
      <c r="T17" s="33"/>
      <c r="U17" s="45"/>
      <c r="V17" s="47"/>
      <c r="W17" s="39"/>
    </row>
    <row r="18" spans="1:23" x14ac:dyDescent="0.2">
      <c r="A18" s="1"/>
      <c r="F18" s="1"/>
      <c r="G18" s="56"/>
      <c r="H18" s="4"/>
      <c r="I18" s="3"/>
      <c r="J18" s="3"/>
      <c r="N18" s="4"/>
      <c r="O18" s="4"/>
      <c r="P18" s="33"/>
      <c r="Q18" s="45"/>
      <c r="R18" s="34"/>
      <c r="S18" s="44"/>
      <c r="T18" s="33"/>
      <c r="U18" s="45"/>
      <c r="V18" s="47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5"/>
      <c r="R19" s="34"/>
      <c r="S19" s="44"/>
      <c r="T19" s="33"/>
      <c r="U19" s="45"/>
      <c r="V19" s="47"/>
      <c r="W19" s="39"/>
    </row>
    <row r="20" spans="1:23" x14ac:dyDescent="0.2">
      <c r="A20" s="1"/>
      <c r="F20" s="1"/>
      <c r="G20" s="56"/>
      <c r="H20" s="4"/>
      <c r="I20" s="3"/>
      <c r="J20" s="3"/>
      <c r="N20" s="4"/>
      <c r="O20" s="4"/>
      <c r="P20" s="33"/>
      <c r="Q20" s="45"/>
      <c r="R20" s="34"/>
      <c r="S20" s="44"/>
      <c r="T20" s="33"/>
      <c r="U20" s="45"/>
      <c r="V20" s="47"/>
      <c r="W20" s="39"/>
    </row>
    <row r="21" spans="1:23" x14ac:dyDescent="0.2">
      <c r="A21" s="1"/>
      <c r="F21" s="1"/>
      <c r="G21" s="56"/>
      <c r="H21" s="4"/>
      <c r="I21" s="3"/>
      <c r="J21" s="3"/>
      <c r="N21" s="4"/>
      <c r="O21" s="4"/>
      <c r="P21" s="33"/>
      <c r="Q21" s="45"/>
      <c r="R21" s="34"/>
      <c r="S21" s="44"/>
      <c r="T21" s="33"/>
      <c r="U21" s="45"/>
      <c r="V21" s="47"/>
      <c r="W21" s="39"/>
    </row>
    <row r="22" spans="1:23" x14ac:dyDescent="0.2">
      <c r="A22" s="1"/>
      <c r="F22" s="1"/>
      <c r="G22" s="56"/>
      <c r="H22" s="4"/>
      <c r="I22" s="3"/>
      <c r="J22" s="3"/>
      <c r="N22" s="4"/>
      <c r="O22" s="4"/>
      <c r="P22" s="33"/>
      <c r="Q22" s="45"/>
      <c r="R22" s="34"/>
      <c r="S22" s="44"/>
      <c r="T22" s="33"/>
      <c r="U22" s="45"/>
      <c r="V22" s="47"/>
      <c r="W22" s="39"/>
    </row>
    <row r="23" spans="1:23" x14ac:dyDescent="0.2">
      <c r="A23" s="1"/>
      <c r="F23" s="1"/>
      <c r="G23" s="56"/>
      <c r="H23" s="4"/>
      <c r="I23" s="3"/>
      <c r="J23" s="3"/>
      <c r="N23" s="4"/>
      <c r="O23" s="4"/>
      <c r="P23" s="33"/>
      <c r="Q23" s="45"/>
      <c r="R23" s="34"/>
      <c r="S23" s="44"/>
      <c r="T23" s="33"/>
      <c r="U23" s="45"/>
      <c r="V23" s="34"/>
      <c r="W23" s="39"/>
    </row>
    <row r="24" spans="1:23" x14ac:dyDescent="0.2">
      <c r="F24" s="1"/>
      <c r="G24" s="56"/>
      <c r="H24" s="4"/>
      <c r="I24" s="3"/>
      <c r="J24" s="3"/>
      <c r="N24" s="4"/>
      <c r="O24" s="4"/>
      <c r="P24" s="33"/>
      <c r="Q24" s="45"/>
      <c r="R24" s="34"/>
      <c r="S24" s="44"/>
      <c r="T24" s="33"/>
      <c r="U24" s="45"/>
      <c r="V24" s="34"/>
      <c r="W24" s="39"/>
    </row>
    <row r="25" spans="1:23" x14ac:dyDescent="0.2">
      <c r="F25" s="1"/>
      <c r="G25" s="56"/>
      <c r="H25" s="4"/>
      <c r="I25" s="3"/>
      <c r="J25" s="3"/>
      <c r="N25" s="4"/>
      <c r="O25" s="4"/>
      <c r="P25" s="33"/>
      <c r="Q25" s="45"/>
      <c r="R25" s="34"/>
      <c r="S25" s="44"/>
      <c r="T25" s="33"/>
      <c r="U25" s="45"/>
      <c r="V25" s="34"/>
      <c r="W25" s="39"/>
    </row>
    <row r="26" spans="1:23" x14ac:dyDescent="0.2">
      <c r="F26" s="1"/>
      <c r="G26" s="56"/>
      <c r="H26" s="4"/>
      <c r="I26" s="3"/>
      <c r="J26" s="3"/>
      <c r="N26" s="4"/>
      <c r="O26" s="4"/>
      <c r="P26" s="33"/>
      <c r="Q26" s="45"/>
      <c r="R26" s="34"/>
      <c r="S26" s="44"/>
      <c r="T26" s="33"/>
      <c r="U26" s="45"/>
      <c r="V26" s="34"/>
      <c r="W26" s="39"/>
    </row>
    <row r="27" spans="1:23" x14ac:dyDescent="0.2">
      <c r="F27" s="1"/>
      <c r="G27" s="56"/>
      <c r="H27" s="4"/>
      <c r="I27" s="3"/>
      <c r="J27" s="3"/>
      <c r="N27" s="4"/>
      <c r="O27" s="4"/>
      <c r="P27" s="33"/>
      <c r="Q27" s="45"/>
      <c r="R27" s="34"/>
      <c r="S27" s="44"/>
      <c r="T27" s="33"/>
      <c r="U27" s="45"/>
      <c r="V27" s="34"/>
      <c r="W27" s="39"/>
    </row>
    <row r="28" spans="1:23" x14ac:dyDescent="0.2">
      <c r="F28" s="1"/>
      <c r="G28" s="56"/>
      <c r="H28" s="4"/>
      <c r="I28" s="3"/>
      <c r="J28" s="3"/>
      <c r="N28" s="4"/>
      <c r="O28" s="4"/>
      <c r="P28" s="33"/>
      <c r="Q28" s="45"/>
      <c r="R28" s="34"/>
      <c r="S28" s="44"/>
      <c r="T28" s="33"/>
      <c r="U28" s="45"/>
      <c r="V28" s="34"/>
      <c r="W28" s="39"/>
    </row>
    <row r="29" spans="1:23" x14ac:dyDescent="0.2">
      <c r="F29" s="1"/>
      <c r="G29" s="56"/>
      <c r="H29" s="4"/>
      <c r="I29" s="3"/>
      <c r="J29" s="3"/>
      <c r="N29" s="4"/>
      <c r="O29" s="4"/>
      <c r="P29" s="33"/>
      <c r="Q29" s="45"/>
      <c r="R29" s="34"/>
      <c r="S29" s="44"/>
      <c r="T29" s="33"/>
      <c r="U29" s="45"/>
      <c r="V29" s="34"/>
      <c r="W29" s="39"/>
    </row>
    <row r="30" spans="1:23" x14ac:dyDescent="0.2">
      <c r="F30" s="1"/>
      <c r="G30" s="56"/>
      <c r="H30" s="4"/>
      <c r="I30" s="3"/>
      <c r="J30" s="3"/>
      <c r="N30" s="4"/>
      <c r="O30" s="4"/>
      <c r="P30" s="33"/>
      <c r="Q30" s="45"/>
      <c r="R30" s="34"/>
      <c r="S30" s="44"/>
      <c r="T30" s="33"/>
      <c r="U30" s="45"/>
      <c r="V30" s="34"/>
      <c r="W30" s="39"/>
    </row>
    <row r="31" spans="1:23" x14ac:dyDescent="0.2">
      <c r="F31" s="1"/>
      <c r="G31" s="56"/>
      <c r="H31" s="4"/>
      <c r="I31" s="3"/>
      <c r="J31" s="3"/>
      <c r="N31" s="4"/>
      <c r="O31" s="4"/>
      <c r="P31" s="33"/>
      <c r="Q31" s="45"/>
      <c r="R31" s="34"/>
      <c r="S31" s="44"/>
      <c r="T31" s="33"/>
      <c r="U31" s="45"/>
      <c r="V31" s="34"/>
      <c r="W31" s="39"/>
    </row>
    <row r="32" spans="1:23" x14ac:dyDescent="0.2">
      <c r="F32" s="1"/>
      <c r="G32" s="56"/>
      <c r="H32" s="4"/>
      <c r="I32" s="3"/>
      <c r="J32" s="3"/>
      <c r="N32" s="4"/>
      <c r="O32" s="4"/>
      <c r="P32" s="33"/>
      <c r="Q32" s="45"/>
      <c r="R32" s="34"/>
      <c r="S32" s="44"/>
      <c r="T32" s="33"/>
      <c r="U32" s="45"/>
      <c r="V32" s="34"/>
      <c r="W32" s="39"/>
    </row>
    <row r="33" spans="6:23" x14ac:dyDescent="0.2">
      <c r="F33" s="1"/>
      <c r="G33" s="56"/>
      <c r="H33" s="4"/>
      <c r="I33" s="3"/>
      <c r="J33" s="3"/>
      <c r="N33" s="4"/>
      <c r="O33" s="4"/>
      <c r="P33" s="33"/>
      <c r="Q33" s="45"/>
      <c r="R33" s="34"/>
      <c r="S33" s="44"/>
      <c r="T33" s="33"/>
      <c r="U33" s="45"/>
      <c r="V33" s="34"/>
      <c r="W33" s="39"/>
    </row>
    <row r="34" spans="6:23" x14ac:dyDescent="0.2">
      <c r="F34" s="1"/>
      <c r="G34" s="56"/>
      <c r="H34" s="4"/>
      <c r="I34" s="3"/>
      <c r="J34" s="3"/>
      <c r="N34" s="4"/>
      <c r="O34" s="4"/>
      <c r="P34" s="33"/>
      <c r="Q34" s="45"/>
      <c r="R34" s="34"/>
      <c r="S34" s="44"/>
      <c r="T34" s="33"/>
      <c r="U34" s="45"/>
      <c r="V34" s="34"/>
      <c r="W34" s="39"/>
    </row>
    <row r="35" spans="6:23" x14ac:dyDescent="0.2">
      <c r="F35" s="1"/>
      <c r="G35" s="56"/>
      <c r="H35" s="4"/>
      <c r="I35" s="3"/>
      <c r="J35" s="3"/>
      <c r="N35" s="4"/>
      <c r="O35" s="4"/>
      <c r="P35" s="33"/>
      <c r="Q35" s="45"/>
      <c r="R35" s="34"/>
      <c r="S35" s="44"/>
      <c r="T35" s="33"/>
      <c r="U35" s="46"/>
      <c r="V35" s="43"/>
      <c r="W35" s="39"/>
    </row>
    <row r="36" spans="6:23" x14ac:dyDescent="0.2">
      <c r="F36" s="1"/>
      <c r="G36" s="56"/>
      <c r="H36" s="4"/>
      <c r="I36" s="3"/>
      <c r="J36" s="3"/>
      <c r="N36" s="4"/>
      <c r="O36" s="4"/>
      <c r="P36" s="33"/>
      <c r="Q36" s="45"/>
      <c r="R36" s="47"/>
      <c r="S36" s="45"/>
      <c r="T36" s="33"/>
      <c r="U36" s="45"/>
      <c r="V36" s="34"/>
      <c r="W36" s="39"/>
    </row>
    <row r="37" spans="6:23" x14ac:dyDescent="0.2">
      <c r="F37" s="1"/>
      <c r="G37" s="56"/>
      <c r="H37" s="4"/>
      <c r="I37" s="3"/>
      <c r="J37" s="3"/>
      <c r="N37" s="4"/>
      <c r="O37" s="4"/>
      <c r="P37" s="33"/>
      <c r="Q37" s="45"/>
      <c r="R37" s="47"/>
      <c r="S37" s="45"/>
      <c r="T37" s="33"/>
      <c r="U37" s="45"/>
      <c r="V37" s="34"/>
      <c r="W37" s="39"/>
    </row>
    <row r="38" spans="6:23" x14ac:dyDescent="0.2">
      <c r="F38" s="1"/>
      <c r="H38" s="4"/>
      <c r="I38" s="3"/>
      <c r="J38" s="3"/>
      <c r="N38" s="4"/>
      <c r="O38" s="4"/>
      <c r="P38" s="33"/>
      <c r="Q38" s="45"/>
      <c r="R38" s="47"/>
      <c r="S38" s="45"/>
      <c r="T38" s="33"/>
      <c r="U38" s="45"/>
      <c r="V38" s="34"/>
      <c r="W38" s="39"/>
    </row>
    <row r="39" spans="6:23" x14ac:dyDescent="0.2">
      <c r="F39" s="1"/>
      <c r="H39" s="4"/>
      <c r="I39" s="3"/>
      <c r="J39" s="3"/>
      <c r="N39" s="4"/>
      <c r="O39" s="4"/>
      <c r="P39" s="33"/>
      <c r="Q39" s="45"/>
      <c r="R39" s="47"/>
      <c r="S39" s="45"/>
      <c r="T39" s="33"/>
      <c r="U39" s="45"/>
      <c r="V39" s="34"/>
      <c r="W39" s="39"/>
    </row>
    <row r="40" spans="6:23" x14ac:dyDescent="0.2">
      <c r="F40" s="1"/>
      <c r="H40" s="4"/>
      <c r="I40" s="3"/>
      <c r="J40" s="3"/>
      <c r="N40" s="4"/>
      <c r="O40" s="4"/>
      <c r="P40" s="33"/>
      <c r="Q40" s="45"/>
      <c r="R40" s="47"/>
      <c r="S40" s="45"/>
      <c r="T40" s="33"/>
      <c r="U40" s="45"/>
      <c r="V40" s="34"/>
      <c r="W40" s="39"/>
    </row>
    <row r="41" spans="6:23" x14ac:dyDescent="0.2">
      <c r="F41" s="1"/>
      <c r="H41" s="4"/>
      <c r="I41" s="3"/>
      <c r="J41" s="3"/>
      <c r="N41" s="4"/>
      <c r="O41" s="4"/>
      <c r="P41" s="33"/>
      <c r="Q41" s="45"/>
      <c r="R41" s="34"/>
      <c r="S41" s="45"/>
      <c r="T41" s="33"/>
      <c r="U41" s="46"/>
      <c r="V41" s="43"/>
      <c r="W41" s="39"/>
    </row>
    <row r="42" spans="6:23" x14ac:dyDescent="0.2">
      <c r="F42" s="1"/>
      <c r="H42" s="4"/>
      <c r="I42" s="3"/>
      <c r="J42" s="3"/>
      <c r="N42" s="4"/>
      <c r="O42" s="4"/>
      <c r="P42" s="33"/>
      <c r="Q42" s="45"/>
      <c r="R42" s="34"/>
      <c r="S42" s="45"/>
      <c r="T42" s="33"/>
      <c r="U42" s="45"/>
      <c r="V42" s="34"/>
      <c r="W42" s="39"/>
    </row>
    <row r="43" spans="6:23" x14ac:dyDescent="0.2">
      <c r="N43" s="4"/>
      <c r="O43" s="4"/>
      <c r="P43" s="33"/>
      <c r="Q43" s="45"/>
      <c r="R43" s="34"/>
      <c r="S43" s="44"/>
      <c r="T43" s="33"/>
      <c r="U43" s="45"/>
      <c r="V43" s="34"/>
      <c r="W43" s="39"/>
    </row>
    <row r="44" spans="6:23" x14ac:dyDescent="0.2">
      <c r="N44" s="4"/>
      <c r="O44" s="4"/>
      <c r="P44" s="33"/>
      <c r="Q44" s="45"/>
      <c r="R44" s="34"/>
      <c r="S44" s="44"/>
      <c r="T44" s="33"/>
      <c r="U44" s="45"/>
      <c r="V44" s="34"/>
      <c r="W44" s="39"/>
    </row>
    <row r="45" spans="6:23" x14ac:dyDescent="0.2">
      <c r="N45" s="4"/>
      <c r="O45" s="4"/>
      <c r="P45" s="33"/>
      <c r="Q45" s="45"/>
      <c r="R45" s="34"/>
      <c r="S45" s="44"/>
      <c r="T45" s="33"/>
      <c r="U45" s="45"/>
      <c r="V45" s="34"/>
      <c r="W45" s="39"/>
    </row>
    <row r="46" spans="6:23" x14ac:dyDescent="0.2">
      <c r="N46" s="4"/>
      <c r="O46" s="4"/>
      <c r="P46" s="33"/>
      <c r="Q46" s="45"/>
      <c r="R46" s="34"/>
      <c r="S46" s="44"/>
      <c r="T46" s="33"/>
      <c r="U46" s="45"/>
      <c r="V46" s="34"/>
      <c r="W46" s="39"/>
    </row>
    <row r="47" spans="6:23" x14ac:dyDescent="0.2">
      <c r="N47" s="4"/>
      <c r="O47" s="4"/>
      <c r="P47" s="33"/>
      <c r="Q47" s="45"/>
      <c r="R47" s="34"/>
      <c r="S47" s="44"/>
      <c r="T47" s="33"/>
      <c r="U47" s="45"/>
      <c r="V47" s="34"/>
      <c r="W47" s="39"/>
    </row>
    <row r="48" spans="6:23" x14ac:dyDescent="0.2">
      <c r="N48" s="4"/>
      <c r="O48" s="4"/>
      <c r="P48" s="33"/>
      <c r="Q48" s="45"/>
      <c r="R48" s="34"/>
      <c r="S48" s="44"/>
      <c r="T48" s="33"/>
      <c r="U48" s="45"/>
      <c r="V48" s="34"/>
      <c r="W48" s="39"/>
    </row>
    <row r="49" spans="14:23" x14ac:dyDescent="0.2">
      <c r="N49" s="4"/>
      <c r="O49" s="4"/>
      <c r="P49" s="33"/>
      <c r="Q49" s="45"/>
      <c r="R49" s="34"/>
      <c r="S49" s="44"/>
      <c r="T49" s="33"/>
      <c r="U49" s="45"/>
      <c r="V49" s="34"/>
      <c r="W49" s="39"/>
    </row>
    <row r="50" spans="14:23" x14ac:dyDescent="0.2">
      <c r="N50" s="4"/>
      <c r="O50" s="4"/>
      <c r="P50" s="33"/>
      <c r="Q50" s="45"/>
      <c r="R50" s="34"/>
      <c r="S50" s="44"/>
      <c r="T50" s="33"/>
      <c r="U50" s="45"/>
      <c r="V50" s="34"/>
      <c r="W50" s="39"/>
    </row>
    <row r="51" spans="14:23" x14ac:dyDescent="0.2">
      <c r="N51" s="4"/>
      <c r="O51" s="4"/>
      <c r="P51" s="33"/>
      <c r="Q51" s="45"/>
      <c r="R51" s="34"/>
      <c r="S51" s="44"/>
      <c r="T51" s="33"/>
      <c r="U51" s="45"/>
      <c r="V51" s="34"/>
      <c r="W51" s="39"/>
    </row>
    <row r="52" spans="14:23" x14ac:dyDescent="0.2">
      <c r="N52" s="4"/>
      <c r="O52" s="4"/>
      <c r="P52" s="33"/>
      <c r="Q52" s="45"/>
      <c r="R52" s="34"/>
      <c r="S52" s="44"/>
      <c r="T52" s="33"/>
      <c r="U52" s="45"/>
      <c r="V52" s="34"/>
      <c r="W52" s="39"/>
    </row>
    <row r="53" spans="14:23" x14ac:dyDescent="0.2">
      <c r="N53" s="4"/>
      <c r="O53" s="4"/>
      <c r="P53" s="33"/>
      <c r="Q53" s="45"/>
      <c r="R53" s="34"/>
      <c r="S53" s="44"/>
      <c r="T53" s="33"/>
      <c r="U53" s="45"/>
      <c r="V53" s="34"/>
      <c r="W53" s="39"/>
    </row>
    <row r="54" spans="14:23" x14ac:dyDescent="0.2">
      <c r="N54" s="4"/>
      <c r="O54" s="4"/>
      <c r="P54" s="33"/>
      <c r="Q54" s="45"/>
      <c r="R54" s="34"/>
      <c r="S54" s="44"/>
      <c r="T54" s="33"/>
      <c r="U54" s="45"/>
      <c r="V54" s="34"/>
      <c r="W54" s="39"/>
    </row>
    <row r="55" spans="14:23" x14ac:dyDescent="0.2">
      <c r="N55" s="4"/>
      <c r="O55" s="4"/>
      <c r="P55" s="33"/>
      <c r="Q55" s="45"/>
      <c r="R55" s="34"/>
      <c r="S55" s="44"/>
      <c r="T55" s="33"/>
      <c r="U55" s="45"/>
      <c r="V55" s="34"/>
      <c r="W55" s="39"/>
    </row>
    <row r="56" spans="14:23" x14ac:dyDescent="0.2">
      <c r="N56" s="4"/>
      <c r="O56" s="4"/>
      <c r="P56" s="33"/>
      <c r="Q56" s="45"/>
      <c r="R56" s="34"/>
      <c r="S56" s="44"/>
      <c r="T56" s="33"/>
      <c r="U56" s="45"/>
      <c r="V56" s="34"/>
      <c r="W56" s="39"/>
    </row>
    <row r="57" spans="14:23" x14ac:dyDescent="0.2">
      <c r="N57" s="4"/>
      <c r="O57" s="4"/>
      <c r="P57" s="33"/>
      <c r="Q57" s="45"/>
      <c r="R57" s="34"/>
      <c r="S57" s="44"/>
      <c r="T57" s="33"/>
      <c r="U57" s="45"/>
      <c r="V57" s="34"/>
      <c r="W57" s="39"/>
    </row>
    <row r="58" spans="14:23" x14ac:dyDescent="0.2">
      <c r="N58" s="4"/>
      <c r="O58" s="4"/>
      <c r="P58" s="33"/>
      <c r="Q58" s="45"/>
      <c r="R58" s="34"/>
      <c r="S58" s="44"/>
      <c r="T58" s="33"/>
      <c r="U58" s="45"/>
      <c r="V58" s="34"/>
      <c r="W58" s="39"/>
    </row>
    <row r="59" spans="14:23" x14ac:dyDescent="0.2">
      <c r="N59" s="4"/>
      <c r="O59" s="4"/>
      <c r="P59" s="33"/>
      <c r="Q59" s="45"/>
      <c r="R59" s="34"/>
      <c r="S59" s="44"/>
      <c r="T59" s="33"/>
      <c r="U59" s="45"/>
      <c r="V59" s="34"/>
      <c r="W59" s="39"/>
    </row>
    <row r="60" spans="14:23" x14ac:dyDescent="0.2">
      <c r="N60" s="4"/>
      <c r="O60" s="4"/>
      <c r="P60" s="33"/>
      <c r="Q60" s="45"/>
      <c r="R60" s="34"/>
      <c r="S60" s="44"/>
      <c r="T60" s="33"/>
      <c r="U60" s="45"/>
      <c r="V60" s="34"/>
      <c r="W60" s="39"/>
    </row>
    <row r="61" spans="14:23" x14ac:dyDescent="0.2">
      <c r="N61" s="4"/>
      <c r="O61" s="4"/>
      <c r="P61" s="33"/>
      <c r="Q61" s="45"/>
      <c r="R61" s="34"/>
      <c r="S61" s="44"/>
      <c r="T61" s="33"/>
      <c r="U61" s="45"/>
      <c r="V61" s="34"/>
      <c r="W61" s="39"/>
    </row>
    <row r="62" spans="14:23" x14ac:dyDescent="0.2">
      <c r="N62" s="4"/>
      <c r="O62" s="4"/>
      <c r="P62" s="33"/>
      <c r="Q62" s="45"/>
      <c r="R62" s="34"/>
      <c r="S62" s="44"/>
      <c r="T62" s="33"/>
      <c r="U62" s="45"/>
      <c r="V62" s="34"/>
      <c r="W62" s="39"/>
    </row>
    <row r="63" spans="14:23" x14ac:dyDescent="0.2">
      <c r="N63" s="4"/>
      <c r="O63" s="4"/>
      <c r="P63" s="33"/>
      <c r="Q63" s="45"/>
      <c r="R63" s="34"/>
      <c r="S63" s="44"/>
      <c r="T63" s="33"/>
      <c r="U63" s="45"/>
      <c r="V63" s="34"/>
      <c r="W63" s="39"/>
    </row>
    <row r="64" spans="14:23" x14ac:dyDescent="0.2">
      <c r="N64" s="4"/>
      <c r="O64" s="4"/>
      <c r="P64" s="33"/>
      <c r="Q64" s="45"/>
      <c r="R64" s="34"/>
      <c r="S64" s="44"/>
      <c r="T64" s="33"/>
      <c r="U64" s="45"/>
      <c r="V64" s="34"/>
      <c r="W64" s="39"/>
    </row>
    <row r="65" spans="14:23" x14ac:dyDescent="0.2">
      <c r="N65" s="4"/>
      <c r="O65" s="4"/>
      <c r="P65" s="33"/>
      <c r="Q65" s="45"/>
      <c r="R65" s="34"/>
      <c r="S65" s="44"/>
      <c r="T65" s="33"/>
      <c r="U65" s="45"/>
      <c r="V65" s="34"/>
      <c r="W65" s="39"/>
    </row>
    <row r="66" spans="14:23" x14ac:dyDescent="0.2">
      <c r="N66" s="4"/>
      <c r="O66" s="4"/>
      <c r="P66" s="33"/>
      <c r="Q66" s="45"/>
      <c r="R66" s="34"/>
      <c r="S66" s="44"/>
      <c r="T66" s="33"/>
      <c r="U66" s="45"/>
      <c r="V66" s="34"/>
      <c r="W66" s="39"/>
    </row>
    <row r="67" spans="14:23" x14ac:dyDescent="0.2">
      <c r="N67" s="4"/>
      <c r="O67" s="4"/>
      <c r="P67" s="33"/>
      <c r="Q67" s="45"/>
      <c r="R67" s="34"/>
      <c r="S67" s="44"/>
      <c r="T67" s="33"/>
      <c r="U67" s="45"/>
      <c r="V67" s="34"/>
      <c r="W67" s="39"/>
    </row>
    <row r="68" spans="14:23" x14ac:dyDescent="0.2">
      <c r="N68" s="4"/>
      <c r="O68" s="4"/>
      <c r="P68" s="33"/>
      <c r="Q68" s="45"/>
      <c r="R68" s="34"/>
      <c r="S68" s="44"/>
      <c r="T68" s="33"/>
      <c r="U68" s="45"/>
      <c r="V68" s="34"/>
      <c r="W68" s="39"/>
    </row>
    <row r="69" spans="14:23" x14ac:dyDescent="0.2">
      <c r="N69" s="4"/>
      <c r="O69" s="4"/>
      <c r="P69" s="33"/>
      <c r="Q69" s="45"/>
      <c r="R69" s="34"/>
      <c r="S69" s="44"/>
      <c r="T69" s="33"/>
      <c r="U69" s="45"/>
      <c r="V69" s="34"/>
      <c r="W69" s="39"/>
    </row>
    <row r="70" spans="14:23" x14ac:dyDescent="0.2">
      <c r="N70" s="4"/>
      <c r="O70" s="4"/>
      <c r="P70" s="33"/>
      <c r="Q70" s="45"/>
      <c r="R70" s="34"/>
      <c r="S70" s="44"/>
      <c r="T70" s="33"/>
      <c r="U70" s="45"/>
      <c r="V70" s="34"/>
      <c r="W70" s="39"/>
    </row>
    <row r="71" spans="14:23" x14ac:dyDescent="0.2">
      <c r="N71" s="4"/>
      <c r="O71" s="4"/>
      <c r="P71" s="33"/>
      <c r="Q71" s="45"/>
      <c r="R71" s="34"/>
      <c r="S71" s="44"/>
      <c r="T71" s="33"/>
      <c r="U71" s="45"/>
      <c r="V71" s="34"/>
      <c r="W71" s="39"/>
    </row>
    <row r="72" spans="14:23" x14ac:dyDescent="0.2">
      <c r="N72" s="4"/>
      <c r="O72" s="4"/>
      <c r="P72" s="33"/>
      <c r="Q72" s="45"/>
      <c r="R72" s="34"/>
      <c r="S72" s="44"/>
      <c r="T72" s="33"/>
      <c r="U72" s="45"/>
      <c r="V72" s="34"/>
      <c r="W72" s="39"/>
    </row>
    <row r="73" spans="14:23" x14ac:dyDescent="0.2">
      <c r="N73" s="4"/>
      <c r="O73" s="4"/>
      <c r="P73" s="33"/>
      <c r="Q73" s="45"/>
      <c r="R73" s="34"/>
      <c r="S73" s="44"/>
      <c r="T73" s="33"/>
      <c r="U73" s="45"/>
      <c r="V73" s="34"/>
      <c r="W73" s="39"/>
    </row>
    <row r="74" spans="14:23" x14ac:dyDescent="0.2">
      <c r="N74" s="4"/>
      <c r="O74" s="4"/>
      <c r="P74" s="33"/>
      <c r="Q74" s="45"/>
      <c r="R74" s="34"/>
      <c r="S74" s="44"/>
      <c r="T74" s="33"/>
      <c r="U74" s="45"/>
      <c r="V74" s="34"/>
      <c r="W74" s="39"/>
    </row>
    <row r="75" spans="14:23" x14ac:dyDescent="0.2">
      <c r="N75" s="4"/>
      <c r="O75" s="4"/>
      <c r="P75" s="33"/>
      <c r="Q75" s="45"/>
      <c r="R75" s="34"/>
      <c r="S75" s="44"/>
      <c r="T75" s="33"/>
      <c r="U75" s="45"/>
      <c r="V75" s="34"/>
      <c r="W75" s="39"/>
    </row>
    <row r="76" spans="14:23" x14ac:dyDescent="0.2">
      <c r="N76" s="4"/>
      <c r="O76" s="4"/>
      <c r="P76" s="33"/>
      <c r="Q76" s="45"/>
      <c r="R76" s="34"/>
      <c r="S76" s="44"/>
      <c r="T76" s="33"/>
      <c r="U76" s="45"/>
      <c r="V76" s="34"/>
      <c r="W76" s="39"/>
    </row>
    <row r="77" spans="14:23" x14ac:dyDescent="0.2">
      <c r="N77" s="4"/>
      <c r="O77" s="4"/>
      <c r="P77" s="33"/>
      <c r="Q77" s="45"/>
      <c r="R77" s="34"/>
      <c r="S77" s="44"/>
      <c r="T77" s="33"/>
      <c r="U77" s="45"/>
      <c r="V77" s="34"/>
      <c r="W77" s="39"/>
    </row>
    <row r="78" spans="14:23" x14ac:dyDescent="0.2">
      <c r="N78" s="4"/>
      <c r="O78" s="4"/>
      <c r="P78" s="33"/>
      <c r="Q78" s="45"/>
      <c r="R78" s="34"/>
      <c r="S78" s="44"/>
      <c r="T78" s="33"/>
      <c r="U78" s="45"/>
      <c r="V78" s="34"/>
      <c r="W78" s="39"/>
    </row>
    <row r="79" spans="14:23" x14ac:dyDescent="0.2">
      <c r="N79" s="4"/>
      <c r="O79" s="4"/>
      <c r="P79" s="33"/>
      <c r="Q79" s="45"/>
      <c r="R79" s="34"/>
      <c r="S79" s="44"/>
      <c r="T79" s="33"/>
      <c r="U79" s="45"/>
      <c r="V79" s="34"/>
      <c r="W79" s="39"/>
    </row>
    <row r="80" spans="14:23" x14ac:dyDescent="0.2">
      <c r="N80" s="4"/>
      <c r="O80" s="4"/>
      <c r="P80" s="33"/>
      <c r="Q80" s="45"/>
      <c r="R80" s="34"/>
      <c r="S80" s="44"/>
      <c r="T80" s="33"/>
      <c r="U80" s="45"/>
      <c r="V80" s="34"/>
      <c r="W80" s="39"/>
    </row>
    <row r="81" spans="14:23" x14ac:dyDescent="0.2">
      <c r="N81" s="4"/>
      <c r="O81" s="4"/>
      <c r="P81" s="33"/>
      <c r="Q81" s="45"/>
      <c r="R81" s="34"/>
      <c r="S81" s="44"/>
      <c r="T81" s="33"/>
      <c r="U81" s="45"/>
      <c r="V81" s="34"/>
      <c r="W81" s="39"/>
    </row>
    <row r="82" spans="14:23" x14ac:dyDescent="0.2">
      <c r="N82" s="4"/>
      <c r="O82" s="4"/>
      <c r="P82" s="33"/>
      <c r="Q82" s="45"/>
      <c r="R82" s="34"/>
      <c r="S82" s="44"/>
      <c r="T82" s="33"/>
      <c r="U82" s="45"/>
      <c r="V82" s="34"/>
      <c r="W82" s="39"/>
    </row>
    <row r="83" spans="14:23" x14ac:dyDescent="0.2">
      <c r="N83" s="4"/>
      <c r="O83" s="4"/>
      <c r="P83" s="33"/>
      <c r="Q83" s="45"/>
      <c r="R83" s="34"/>
      <c r="S83" s="44"/>
      <c r="T83" s="33"/>
      <c r="U83" s="45"/>
      <c r="V83" s="34"/>
      <c r="W83" s="39"/>
    </row>
    <row r="84" spans="14:23" x14ac:dyDescent="0.2">
      <c r="N84" s="4"/>
      <c r="O84" s="4"/>
      <c r="P84" s="33"/>
      <c r="Q84" s="45"/>
      <c r="R84" s="34"/>
      <c r="S84" s="44"/>
      <c r="T84" s="33"/>
      <c r="U84" s="45"/>
      <c r="V84" s="34"/>
      <c r="W84" s="39"/>
    </row>
    <row r="85" spans="14:23" x14ac:dyDescent="0.2">
      <c r="N85" s="4"/>
      <c r="O85" s="4"/>
      <c r="P85" s="33"/>
      <c r="Q85" s="45"/>
      <c r="R85" s="34"/>
      <c r="S85" s="44"/>
      <c r="T85" s="33"/>
      <c r="U85" s="45"/>
      <c r="V85" s="34"/>
      <c r="W85" s="39"/>
    </row>
    <row r="86" spans="14:23" x14ac:dyDescent="0.2">
      <c r="N86" s="4"/>
      <c r="O86" s="4"/>
      <c r="P86" s="33"/>
      <c r="Q86" s="45"/>
      <c r="R86" s="34"/>
      <c r="S86" s="44"/>
      <c r="T86" s="33"/>
      <c r="U86" s="45"/>
      <c r="V86" s="34"/>
      <c r="W86" s="39"/>
    </row>
  </sheetData>
  <sheetProtection sheet="1" formatCells="0" formatColumns="0" formatRows="0"/>
  <autoFilter ref="A1:W2" xr:uid="{00000000-0009-0000-0000-000009000000}">
    <filterColumn colId="15" showButton="0"/>
    <filterColumn colId="16" showButton="0"/>
    <filterColumn colId="17" showButton="0"/>
    <filterColumn colId="19" showButton="0"/>
    <filterColumn colId="20" showButton="0"/>
    <filterColumn colId="21" showButton="0"/>
    <sortState xmlns:xlrd2="http://schemas.microsoft.com/office/spreadsheetml/2017/richdata2" ref="A4:W12">
      <sortCondition ref="F1:F37"/>
    </sortState>
  </autoFilter>
  <mergeCells count="17">
    <mergeCell ref="L1:L2"/>
    <mergeCell ref="F1:F2"/>
    <mergeCell ref="H1:H2"/>
    <mergeCell ref="I1:I2"/>
    <mergeCell ref="J1:J2"/>
    <mergeCell ref="K1:K2"/>
    <mergeCell ref="G1:G2"/>
    <mergeCell ref="A1:A2"/>
    <mergeCell ref="B1:B2"/>
    <mergeCell ref="C1:C2"/>
    <mergeCell ref="D1:D2"/>
    <mergeCell ref="E1:E2"/>
    <mergeCell ref="N1:N2"/>
    <mergeCell ref="O1:O2"/>
    <mergeCell ref="P1:S1"/>
    <mergeCell ref="T1:W1"/>
    <mergeCell ref="M1:M2"/>
  </mergeCells>
  <conditionalFormatting sqref="T1 X1:XFD1 P2:XFD10 A1:P10 A11:XFD1048576">
    <cfRule type="expression" dxfId="3" priority="21">
      <formula>IF($F1="17-21",1,0)</formula>
    </cfRule>
    <cfRule type="expression" dxfId="2" priority="22">
      <formula>IF($F1="15-16",1,0)</formula>
    </cfRule>
    <cfRule type="expression" dxfId="1" priority="23">
      <formula>IF($F1="13-14",1,0)</formula>
    </cfRule>
    <cfRule type="expression" dxfId="0" priority="24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Qualifying Scores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2021-10-28T21:32:09Z</dcterms:modified>
</cp:coreProperties>
</file>