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AA0E9E6-41BD-ED45-A25B-9FA2213ED7D1}" xr6:coauthVersionLast="47" xr6:coauthVersionMax="47" xr10:uidLastSave="{00000000-0000-0000-0000-000000000000}"/>
  <bookViews>
    <workbookView xWindow="30240" yWindow="-10580" windowWidth="38400" windowHeight="211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2" l="1"/>
  <c r="H6" i="12" l="1"/>
  <c r="L6" i="12" s="1"/>
  <c r="S6" i="12"/>
  <c r="T6" i="12"/>
  <c r="Y6" i="12"/>
  <c r="AF6" i="12"/>
  <c r="A6" i="12" a="1"/>
  <c r="A6" i="12" s="1"/>
  <c r="R6" i="12" s="1"/>
  <c r="D6" i="12"/>
  <c r="N6" i="12" l="1"/>
  <c r="B6" i="12" s="1" a="1"/>
  <c r="B6" i="12" s="1"/>
  <c r="M6" i="12"/>
  <c r="K6" i="12"/>
  <c r="R5" i="16" l="1"/>
  <c r="S5" i="16" s="1"/>
  <c r="J5" i="16" s="1"/>
  <c r="R4" i="16"/>
  <c r="S4" i="16" s="1"/>
  <c r="R6" i="16"/>
  <c r="S6" i="16" s="1"/>
  <c r="R16" i="16"/>
  <c r="S16" i="16" s="1"/>
  <c r="R9" i="16"/>
  <c r="S9" i="16" s="1"/>
  <c r="R32" i="16"/>
  <c r="S32" i="16" s="1"/>
  <c r="R33" i="16"/>
  <c r="S33" i="16" s="1"/>
  <c r="R39" i="16"/>
  <c r="S39" i="16" s="1"/>
  <c r="J39" i="16" s="1"/>
  <c r="R37" i="16"/>
  <c r="S37" i="16" s="1"/>
  <c r="J37" i="16" s="1"/>
  <c r="R10" i="16"/>
  <c r="S10" i="16" s="1"/>
  <c r="R13" i="16"/>
  <c r="S13" i="16" s="1"/>
  <c r="R7" i="16"/>
  <c r="S7" i="16" s="1"/>
  <c r="R8" i="16"/>
  <c r="S8" i="16" s="1"/>
  <c r="R20" i="16"/>
  <c r="S20" i="16" s="1"/>
  <c r="R15" i="16"/>
  <c r="S15" i="16" s="1"/>
  <c r="J15" i="16" s="1"/>
  <c r="R31" i="16"/>
  <c r="S31" i="16" s="1"/>
  <c r="R46" i="16"/>
  <c r="S46" i="16" s="1"/>
  <c r="R34" i="16"/>
  <c r="S34" i="16" s="1"/>
  <c r="R35" i="16"/>
  <c r="S35" i="16" s="1"/>
  <c r="R38" i="16"/>
  <c r="S38" i="16" s="1"/>
  <c r="R36" i="16"/>
  <c r="S36" i="16" s="1"/>
  <c r="R40" i="16"/>
  <c r="S40" i="16" s="1"/>
  <c r="J40" i="16" s="1"/>
  <c r="R43" i="16"/>
  <c r="S43" i="16" s="1"/>
  <c r="J43" i="16" s="1"/>
  <c r="R42" i="16"/>
  <c r="S42" i="16" s="1"/>
  <c r="R44" i="16"/>
  <c r="S44" i="16" s="1"/>
  <c r="R41" i="16"/>
  <c r="S41" i="16" s="1"/>
  <c r="R45" i="16"/>
  <c r="S45" i="16" s="1"/>
  <c r="R11" i="16"/>
  <c r="S11" i="16" s="1"/>
  <c r="J11" i="16" s="1"/>
  <c r="R14" i="16"/>
  <c r="S14" i="16" s="1"/>
  <c r="J14" i="16" s="1"/>
  <c r="R12" i="16"/>
  <c r="S12" i="16" s="1"/>
  <c r="R19" i="16"/>
  <c r="S19" i="16" s="1"/>
  <c r="R17" i="16"/>
  <c r="S17" i="16" s="1"/>
  <c r="R18" i="16"/>
  <c r="S18" i="16" s="1"/>
  <c r="R21" i="16"/>
  <c r="S21" i="16" s="1"/>
  <c r="R22" i="16"/>
  <c r="S22" i="16" s="1"/>
  <c r="R23" i="16"/>
  <c r="S23" i="16" s="1"/>
  <c r="J23" i="16" s="1"/>
  <c r="R24" i="16"/>
  <c r="S24" i="16" s="1"/>
  <c r="R25" i="16"/>
  <c r="S25" i="16" s="1"/>
  <c r="R26" i="16"/>
  <c r="S26" i="16" s="1"/>
  <c r="R27" i="16"/>
  <c r="S27" i="16" s="1"/>
  <c r="R28" i="16"/>
  <c r="S28" i="16" s="1"/>
  <c r="R29" i="16"/>
  <c r="S29" i="16" s="1"/>
  <c r="R30" i="16"/>
  <c r="S30" i="16" s="1"/>
  <c r="J30" i="16" s="1"/>
  <c r="R3" i="16"/>
  <c r="R4" i="15"/>
  <c r="S4" i="15" s="1"/>
  <c r="J4" i="15" s="1"/>
  <c r="R5" i="15"/>
  <c r="S5" i="15" s="1"/>
  <c r="J5" i="15" s="1"/>
  <c r="R7" i="15"/>
  <c r="S7" i="15" s="1"/>
  <c r="J7" i="15" s="1"/>
  <c r="R6" i="15"/>
  <c r="S6" i="15" s="1"/>
  <c r="R11" i="15"/>
  <c r="S11" i="15" s="1"/>
  <c r="R8" i="15"/>
  <c r="S8" i="15" s="1"/>
  <c r="R30" i="15"/>
  <c r="R12" i="15"/>
  <c r="S12" i="15" s="1"/>
  <c r="J12" i="15" s="1"/>
  <c r="R13" i="15"/>
  <c r="S13" i="15" s="1"/>
  <c r="R9" i="15"/>
  <c r="S9" i="15" s="1"/>
  <c r="J9" i="15" s="1"/>
  <c r="R10" i="15"/>
  <c r="S10" i="15" s="1"/>
  <c r="J10" i="15" s="1"/>
  <c r="R15" i="15"/>
  <c r="S15" i="15" s="1"/>
  <c r="J15" i="15" s="1"/>
  <c r="R14" i="15"/>
  <c r="S14" i="15" s="1"/>
  <c r="R18" i="15"/>
  <c r="R24" i="15"/>
  <c r="R32" i="15"/>
  <c r="S32" i="15" s="1"/>
  <c r="R26" i="15"/>
  <c r="S26" i="15" s="1"/>
  <c r="R27" i="15"/>
  <c r="S27" i="15" s="1"/>
  <c r="J27" i="15" s="1"/>
  <c r="R28" i="15"/>
  <c r="S28" i="15" s="1"/>
  <c r="R29" i="15"/>
  <c r="S29" i="15" s="1"/>
  <c r="R16" i="15"/>
  <c r="R19" i="15"/>
  <c r="S19" i="15" s="1"/>
  <c r="R17" i="15"/>
  <c r="S17" i="15" s="1"/>
  <c r="R20" i="15"/>
  <c r="S20" i="15" s="1"/>
  <c r="R21" i="15"/>
  <c r="S21" i="15" s="1"/>
  <c r="R22" i="15"/>
  <c r="S22" i="15" s="1"/>
  <c r="R23" i="15"/>
  <c r="S23" i="15" s="1"/>
  <c r="R25" i="15"/>
  <c r="R31" i="15"/>
  <c r="S31" i="15" s="1"/>
  <c r="J31" i="15" s="1"/>
  <c r="R33" i="15"/>
  <c r="S33" i="15" s="1"/>
  <c r="R3" i="15"/>
  <c r="S3" i="15" s="1"/>
  <c r="J3" i="15" s="1"/>
  <c r="R4" i="14"/>
  <c r="R5" i="14"/>
  <c r="S5" i="14" s="1"/>
  <c r="J5" i="14" s="1"/>
  <c r="R7" i="14"/>
  <c r="S7" i="14" s="1"/>
  <c r="R9" i="14"/>
  <c r="S9" i="14" s="1"/>
  <c r="R8" i="14"/>
  <c r="S8" i="14" s="1"/>
  <c r="R39" i="14"/>
  <c r="S39" i="14" s="1"/>
  <c r="R43" i="14"/>
  <c r="S43" i="14" s="1"/>
  <c r="R44" i="14"/>
  <c r="S44" i="14" s="1"/>
  <c r="R46" i="14"/>
  <c r="S46" i="14" s="1"/>
  <c r="R45" i="14"/>
  <c r="S45" i="14" s="1"/>
  <c r="R48" i="14"/>
  <c r="S48" i="14" s="1"/>
  <c r="R52" i="14"/>
  <c r="S52" i="14" s="1"/>
  <c r="J52" i="14" s="1"/>
  <c r="R47" i="14"/>
  <c r="S47" i="14" s="1"/>
  <c r="R57" i="14"/>
  <c r="S57" i="14" s="1"/>
  <c r="R58" i="14"/>
  <c r="S58" i="14" s="1"/>
  <c r="R6" i="14"/>
  <c r="S6" i="14" s="1"/>
  <c r="R10" i="14"/>
  <c r="S10" i="14" s="1"/>
  <c r="R16" i="14"/>
  <c r="S16" i="14" s="1"/>
  <c r="R11" i="14"/>
  <c r="S11" i="14" s="1"/>
  <c r="R22" i="14"/>
  <c r="S22" i="14" s="1"/>
  <c r="R12" i="14"/>
  <c r="S12" i="14" s="1"/>
  <c r="R13" i="14"/>
  <c r="S13" i="14" s="1"/>
  <c r="R14" i="14"/>
  <c r="S14" i="14" s="1"/>
  <c r="R21" i="14"/>
  <c r="S21" i="14" s="1"/>
  <c r="J21" i="14" s="1"/>
  <c r="R30" i="14"/>
  <c r="S30" i="14" s="1"/>
  <c r="R31" i="14"/>
  <c r="S31" i="14" s="1"/>
  <c r="J31" i="14" s="1"/>
  <c r="R35" i="14"/>
  <c r="S35" i="14" s="1"/>
  <c r="R37" i="14"/>
  <c r="S37" i="14" s="1"/>
  <c r="R38" i="14"/>
  <c r="S38" i="14" s="1"/>
  <c r="J38" i="14" s="1"/>
  <c r="R40" i="14"/>
  <c r="S40" i="14" s="1"/>
  <c r="R42" i="14"/>
  <c r="S42" i="14" s="1"/>
  <c r="R60" i="14"/>
  <c r="S60" i="14" s="1"/>
  <c r="R61" i="14"/>
  <c r="R63" i="14"/>
  <c r="S63" i="14" s="1"/>
  <c r="R62" i="14"/>
  <c r="S62" i="14" s="1"/>
  <c r="R66" i="14"/>
  <c r="S66" i="14" s="1"/>
  <c r="R64" i="14"/>
  <c r="S64" i="14" s="1"/>
  <c r="R65" i="14"/>
  <c r="R49" i="14"/>
  <c r="S49" i="14" s="1"/>
  <c r="R50" i="14"/>
  <c r="S50" i="14" s="1"/>
  <c r="J50" i="14" s="1"/>
  <c r="R53" i="14"/>
  <c r="S53" i="14" s="1"/>
  <c r="R51" i="14"/>
  <c r="S51" i="14" s="1"/>
  <c r="R55" i="14"/>
  <c r="S55" i="14" s="1"/>
  <c r="J55" i="14" s="1"/>
  <c r="R54" i="14"/>
  <c r="S54" i="14" s="1"/>
  <c r="R56" i="14"/>
  <c r="R59" i="14"/>
  <c r="S59" i="14" s="1"/>
  <c r="R15" i="14"/>
  <c r="R17" i="14"/>
  <c r="S17" i="14" s="1"/>
  <c r="R18" i="14"/>
  <c r="S18" i="14" s="1"/>
  <c r="R20" i="14"/>
  <c r="S20" i="14" s="1"/>
  <c r="R19" i="14"/>
  <c r="S19" i="14" s="1"/>
  <c r="R23" i="14"/>
  <c r="S23" i="14" s="1"/>
  <c r="R24" i="14"/>
  <c r="S24" i="14" s="1"/>
  <c r="J24" i="14" s="1"/>
  <c r="R25" i="14"/>
  <c r="S25" i="14" s="1"/>
  <c r="J25" i="14" s="1"/>
  <c r="R26" i="14"/>
  <c r="S26" i="14" s="1"/>
  <c r="R27" i="14"/>
  <c r="S27" i="14" s="1"/>
  <c r="R28" i="14"/>
  <c r="S28" i="14" s="1"/>
  <c r="R29" i="14"/>
  <c r="S29" i="14" s="1"/>
  <c r="R32" i="14"/>
  <c r="R33" i="14"/>
  <c r="S33" i="14" s="1"/>
  <c r="R34" i="14"/>
  <c r="R36" i="14"/>
  <c r="S36" i="14" s="1"/>
  <c r="R41" i="14"/>
  <c r="S41" i="14" s="1"/>
  <c r="R3" i="14"/>
  <c r="S3" i="14" s="1"/>
  <c r="J3" i="14" s="1"/>
  <c r="R3" i="6"/>
  <c r="S3" i="6" s="1"/>
  <c r="J3" i="6" s="1"/>
  <c r="R5" i="6"/>
  <c r="S5" i="6" s="1"/>
  <c r="J5" i="6" s="1"/>
  <c r="R9" i="6"/>
  <c r="S9" i="6" s="1"/>
  <c r="J9" i="6" s="1"/>
  <c r="R6" i="6"/>
  <c r="S6" i="6" s="1"/>
  <c r="J6" i="6" s="1"/>
  <c r="R13" i="6"/>
  <c r="S13" i="6" s="1"/>
  <c r="R15" i="6"/>
  <c r="S15" i="6" s="1"/>
  <c r="J15" i="6" s="1"/>
  <c r="R8" i="6"/>
  <c r="S8" i="6" s="1"/>
  <c r="J8" i="6" s="1"/>
  <c r="R7" i="6"/>
  <c r="S7" i="6" s="1"/>
  <c r="R29" i="6"/>
  <c r="S29" i="6" s="1"/>
  <c r="J29" i="6" s="1"/>
  <c r="R30" i="6"/>
  <c r="S30" i="6" s="1"/>
  <c r="J30" i="6" s="1"/>
  <c r="R10" i="6"/>
  <c r="S10" i="6" s="1"/>
  <c r="R31" i="6"/>
  <c r="S31" i="6" s="1"/>
  <c r="R32" i="6"/>
  <c r="S32" i="6" s="1"/>
  <c r="R33" i="6"/>
  <c r="S33" i="6" s="1"/>
  <c r="R34" i="6"/>
  <c r="S34" i="6" s="1"/>
  <c r="J34" i="6" s="1"/>
  <c r="R11" i="6"/>
  <c r="S11" i="6" s="1"/>
  <c r="J11" i="6" s="1"/>
  <c r="R36" i="6"/>
  <c r="S36" i="6" s="1"/>
  <c r="J36" i="6" s="1"/>
  <c r="R55" i="6"/>
  <c r="S55" i="6" s="1"/>
  <c r="J55" i="6" s="1"/>
  <c r="R38" i="6"/>
  <c r="S38" i="6" s="1"/>
  <c r="J38" i="6" s="1"/>
  <c r="R39" i="6"/>
  <c r="R40" i="6"/>
  <c r="S40" i="6" s="1"/>
  <c r="R56" i="6"/>
  <c r="S56" i="6" s="1"/>
  <c r="R41" i="6"/>
  <c r="S41" i="6" s="1"/>
  <c r="R48" i="6"/>
  <c r="S48" i="6" s="1"/>
  <c r="R52" i="6"/>
  <c r="S52" i="6" s="1"/>
  <c r="R12" i="6"/>
  <c r="R14" i="6"/>
  <c r="S14" i="6" s="1"/>
  <c r="R17" i="6"/>
  <c r="S17" i="6" s="1"/>
  <c r="R19" i="6"/>
  <c r="S19" i="6" s="1"/>
  <c r="R18" i="6"/>
  <c r="S18" i="6" s="1"/>
  <c r="R26" i="6"/>
  <c r="S26" i="6" s="1"/>
  <c r="R22" i="6"/>
  <c r="S22" i="6" s="1"/>
  <c r="J22" i="6" s="1"/>
  <c r="R16" i="6"/>
  <c r="S16" i="6" s="1"/>
  <c r="R35" i="6"/>
  <c r="S35" i="6" s="1"/>
  <c r="R60" i="6"/>
  <c r="S60" i="6" s="1"/>
  <c r="R59" i="6"/>
  <c r="S59" i="6" s="1"/>
  <c r="R57" i="6"/>
  <c r="S57" i="6" s="1"/>
  <c r="R58" i="6"/>
  <c r="S58" i="6" s="1"/>
  <c r="R62" i="6"/>
  <c r="S62" i="6" s="1"/>
  <c r="R65" i="6"/>
  <c r="S65" i="6" s="1"/>
  <c r="R64" i="6"/>
  <c r="S64" i="6" s="1"/>
  <c r="R61" i="6"/>
  <c r="S61" i="6" s="1"/>
  <c r="R66" i="6"/>
  <c r="S66" i="6" s="1"/>
  <c r="J66" i="6" s="1"/>
  <c r="R67" i="6"/>
  <c r="S67" i="6" s="1"/>
  <c r="J67" i="6" s="1"/>
  <c r="R63" i="6"/>
  <c r="S63" i="6" s="1"/>
  <c r="R68" i="6"/>
  <c r="S68" i="6" s="1"/>
  <c r="R50" i="6"/>
  <c r="S50" i="6" s="1"/>
  <c r="J50" i="6" s="1"/>
  <c r="R42" i="6"/>
  <c r="S42" i="6" s="1"/>
  <c r="R45" i="6"/>
  <c r="S45" i="6" s="1"/>
  <c r="R44" i="6"/>
  <c r="S44" i="6" s="1"/>
  <c r="R46" i="6"/>
  <c r="S46" i="6" s="1"/>
  <c r="J46" i="6" s="1"/>
  <c r="R47" i="6"/>
  <c r="S47" i="6" s="1"/>
  <c r="R49" i="6"/>
  <c r="S49" i="6" s="1"/>
  <c r="R43" i="6"/>
  <c r="S43" i="6" s="1"/>
  <c r="J43" i="6" s="1"/>
  <c r="R51" i="6"/>
  <c r="S51" i="6" s="1"/>
  <c r="J51" i="6" s="1"/>
  <c r="R53" i="6"/>
  <c r="S53" i="6" s="1"/>
  <c r="R54" i="6"/>
  <c r="S54" i="6" s="1"/>
  <c r="R24" i="6"/>
  <c r="S24" i="6" s="1"/>
  <c r="R20" i="6"/>
  <c r="S20" i="6" s="1"/>
  <c r="J20" i="6" s="1"/>
  <c r="R23" i="6"/>
  <c r="S23" i="6" s="1"/>
  <c r="J23" i="6" s="1"/>
  <c r="R27" i="6"/>
  <c r="S27" i="6" s="1"/>
  <c r="J27" i="6" s="1"/>
  <c r="R21" i="6"/>
  <c r="S21" i="6" s="1"/>
  <c r="J21" i="6" s="1"/>
  <c r="R25" i="6"/>
  <c r="S25" i="6" s="1"/>
  <c r="R28" i="6"/>
  <c r="S28" i="6" s="1"/>
  <c r="R37" i="6"/>
  <c r="S37" i="6" s="1"/>
  <c r="R4" i="6"/>
  <c r="S4" i="6" s="1"/>
  <c r="J4" i="6" s="1"/>
  <c r="C38" i="17"/>
  <c r="D38" i="17" s="1"/>
  <c r="G38" i="17"/>
  <c r="D66" i="6"/>
  <c r="D67" i="6"/>
  <c r="D63" i="6"/>
  <c r="D68" i="6"/>
  <c r="D50" i="6"/>
  <c r="D42" i="6"/>
  <c r="D45" i="6"/>
  <c r="D44" i="6"/>
  <c r="D46" i="6"/>
  <c r="D47" i="6"/>
  <c r="D49" i="6"/>
  <c r="D43" i="6"/>
  <c r="D51" i="6"/>
  <c r="D53" i="6"/>
  <c r="D54" i="6"/>
  <c r="D24" i="6"/>
  <c r="D20" i="6"/>
  <c r="D23" i="6"/>
  <c r="D27" i="6"/>
  <c r="D21" i="6"/>
  <c r="D25" i="6"/>
  <c r="D28" i="6"/>
  <c r="D37" i="6"/>
  <c r="A66" i="6" a="1"/>
  <c r="A66" i="6" s="1"/>
  <c r="A67" i="6" a="1"/>
  <c r="A67" i="6" s="1"/>
  <c r="A63" i="6" a="1"/>
  <c r="A63" i="6" s="1"/>
  <c r="A68" i="6" a="1"/>
  <c r="A68" i="6" s="1"/>
  <c r="A50" i="6" a="1"/>
  <c r="A50" i="6" s="1"/>
  <c r="A42" i="6" a="1"/>
  <c r="A42" i="6" s="1"/>
  <c r="A45" i="6" a="1"/>
  <c r="A45" i="6" s="1"/>
  <c r="A44" i="6" a="1"/>
  <c r="A44" i="6" s="1"/>
  <c r="A46" i="6" a="1"/>
  <c r="A46" i="6" s="1"/>
  <c r="A47" i="6" a="1"/>
  <c r="A47" i="6" s="1"/>
  <c r="A49" i="6" a="1"/>
  <c r="A49" i="6" s="1"/>
  <c r="A43" i="6" a="1"/>
  <c r="A43" i="6" s="1"/>
  <c r="A51" i="6" a="1"/>
  <c r="A51" i="6" s="1"/>
  <c r="A53" i="6" a="1"/>
  <c r="A53" i="6" s="1"/>
  <c r="A54" i="6" a="1"/>
  <c r="A54" i="6" s="1"/>
  <c r="A24" i="6" a="1"/>
  <c r="A24" i="6" s="1"/>
  <c r="A20" i="6" a="1"/>
  <c r="A20" i="6" s="1"/>
  <c r="A23" i="6" a="1"/>
  <c r="A23" i="6" s="1"/>
  <c r="A27" i="6" a="1"/>
  <c r="A27" i="6" s="1"/>
  <c r="A21" i="6" a="1"/>
  <c r="A21" i="6" s="1"/>
  <c r="A25" i="6" a="1"/>
  <c r="A25" i="6" s="1"/>
  <c r="A28" i="6" a="1"/>
  <c r="A28" i="6" s="1"/>
  <c r="A37" i="6" a="1"/>
  <c r="A37" i="6" s="1"/>
  <c r="G66" i="6"/>
  <c r="M66" i="6" s="1"/>
  <c r="B66" i="6" s="1" a="1"/>
  <c r="B66" i="6" s="1"/>
  <c r="G67" i="6"/>
  <c r="L67" i="6" s="1"/>
  <c r="G63" i="6"/>
  <c r="K63" i="6" s="1"/>
  <c r="G68" i="6"/>
  <c r="M68" i="6" s="1"/>
  <c r="G50" i="6"/>
  <c r="K50" i="6" s="1"/>
  <c r="G42" i="6"/>
  <c r="K42" i="6" s="1"/>
  <c r="G45" i="6"/>
  <c r="M45" i="6" s="1"/>
  <c r="B45" i="6" s="1" a="1"/>
  <c r="B45" i="6" s="1"/>
  <c r="G44" i="6"/>
  <c r="M44" i="6" s="1"/>
  <c r="B44" i="6" s="1" a="1"/>
  <c r="B44" i="6" s="1"/>
  <c r="G46" i="6"/>
  <c r="L46" i="6" s="1"/>
  <c r="G47" i="6"/>
  <c r="L47" i="6" s="1"/>
  <c r="G49" i="6"/>
  <c r="M49" i="6" s="1"/>
  <c r="B49" i="6" s="1" a="1"/>
  <c r="B49" i="6" s="1"/>
  <c r="G43" i="6"/>
  <c r="L43" i="6" s="1"/>
  <c r="G51" i="6"/>
  <c r="K51" i="6" s="1"/>
  <c r="G53" i="6"/>
  <c r="L53" i="6" s="1"/>
  <c r="G54" i="6"/>
  <c r="K54" i="6" s="1"/>
  <c r="G24" i="6"/>
  <c r="M24" i="6" s="1"/>
  <c r="B24" i="6" s="1" a="1"/>
  <c r="B24" i="6" s="1"/>
  <c r="G20" i="6"/>
  <c r="K20" i="6" s="1"/>
  <c r="G23" i="6"/>
  <c r="M23" i="6" s="1"/>
  <c r="B23" i="6" s="1" a="1"/>
  <c r="B23" i="6" s="1"/>
  <c r="G27" i="6"/>
  <c r="K27" i="6" s="1"/>
  <c r="G21" i="6"/>
  <c r="K21" i="6" s="1"/>
  <c r="G25" i="6"/>
  <c r="K25" i="6" s="1"/>
  <c r="G28" i="6"/>
  <c r="L28" i="6" s="1"/>
  <c r="G37" i="6"/>
  <c r="K37" i="6" s="1"/>
  <c r="C70" i="17"/>
  <c r="D70" i="17" s="1"/>
  <c r="E70" i="17"/>
  <c r="F70" i="17" s="1"/>
  <c r="G26" i="17"/>
  <c r="H26" i="17" s="1"/>
  <c r="A17" i="15" a="1"/>
  <c r="A17" i="15" s="1"/>
  <c r="Q17" i="15" s="1"/>
  <c r="D17" i="15"/>
  <c r="G17" i="15"/>
  <c r="M17" i="15" s="1"/>
  <c r="B17" i="15" s="1" a="1"/>
  <c r="B17" i="15" s="1"/>
  <c r="A20" i="15" a="1"/>
  <c r="A20" i="15" s="1"/>
  <c r="Q20" i="15" s="1"/>
  <c r="D20" i="15"/>
  <c r="G20" i="15"/>
  <c r="L20" i="15" s="1"/>
  <c r="A21" i="15" a="1"/>
  <c r="A21" i="15" s="1"/>
  <c r="Q21" i="15" s="1"/>
  <c r="D21" i="15"/>
  <c r="G21" i="15"/>
  <c r="K21" i="15" s="1"/>
  <c r="A22" i="15" a="1"/>
  <c r="A22" i="15" s="1"/>
  <c r="Q22" i="15" s="1"/>
  <c r="D22" i="15"/>
  <c r="G22" i="15"/>
  <c r="K22" i="15" s="1"/>
  <c r="A23" i="15" a="1"/>
  <c r="A23" i="15" s="1"/>
  <c r="Q23" i="15" s="1"/>
  <c r="D23" i="15"/>
  <c r="G23" i="15"/>
  <c r="M23" i="15" s="1"/>
  <c r="B23" i="15" s="1" a="1"/>
  <c r="B23" i="15" s="1"/>
  <c r="A25" i="15" a="1"/>
  <c r="A25" i="15" s="1"/>
  <c r="Q25" i="15" s="1"/>
  <c r="D25" i="15"/>
  <c r="G25" i="15"/>
  <c r="M25" i="15" s="1"/>
  <c r="A31" i="15" a="1"/>
  <c r="A31" i="15" s="1"/>
  <c r="Q31" i="15" s="1"/>
  <c r="D31" i="15"/>
  <c r="G31" i="15"/>
  <c r="M31" i="15" s="1"/>
  <c r="B31" i="15" s="1" a="1"/>
  <c r="B31" i="15" s="1"/>
  <c r="A33" i="15" a="1"/>
  <c r="A33" i="15" s="1"/>
  <c r="Q33" i="15" s="1"/>
  <c r="D33" i="15"/>
  <c r="G33" i="15"/>
  <c r="K33" i="15" s="1"/>
  <c r="G24" i="17"/>
  <c r="H24" i="17" s="1"/>
  <c r="G34" i="17"/>
  <c r="H34" i="17" s="1"/>
  <c r="A41" i="3" a="1"/>
  <c r="A41" i="3" s="1"/>
  <c r="Q41" i="3" s="1"/>
  <c r="D41" i="3"/>
  <c r="G41" i="3"/>
  <c r="L41" i="3" s="1"/>
  <c r="X41" i="3"/>
  <c r="AE41" i="3"/>
  <c r="A42" i="3" a="1"/>
  <c r="A42" i="3" s="1"/>
  <c r="Q42" i="3" s="1"/>
  <c r="D42" i="3"/>
  <c r="G42" i="3"/>
  <c r="K42" i="3" s="1"/>
  <c r="X42" i="3"/>
  <c r="AE42" i="3"/>
  <c r="A43" i="3" a="1"/>
  <c r="A43" i="3" s="1"/>
  <c r="Q43" i="3" s="1"/>
  <c r="D43" i="3"/>
  <c r="G43" i="3"/>
  <c r="S43" i="3" s="1"/>
  <c r="X43" i="3"/>
  <c r="AE43" i="3"/>
  <c r="A46" i="3" a="1"/>
  <c r="A46" i="3" s="1"/>
  <c r="Q46" i="3" s="1"/>
  <c r="D46" i="3"/>
  <c r="G46" i="3"/>
  <c r="R46" i="3" s="1"/>
  <c r="X46" i="3"/>
  <c r="AE46" i="3"/>
  <c r="D4" i="14"/>
  <c r="D5" i="14"/>
  <c r="D7" i="14"/>
  <c r="D9" i="14"/>
  <c r="D8" i="14"/>
  <c r="D39" i="14"/>
  <c r="D43" i="14"/>
  <c r="D44" i="14"/>
  <c r="D46" i="14"/>
  <c r="D45" i="14"/>
  <c r="D48" i="14"/>
  <c r="D52" i="14"/>
  <c r="D47" i="14"/>
  <c r="D57" i="14"/>
  <c r="D58" i="14"/>
  <c r="D6" i="14"/>
  <c r="D10" i="14"/>
  <c r="D16" i="14"/>
  <c r="D11" i="14"/>
  <c r="D22" i="14"/>
  <c r="D12" i="14"/>
  <c r="D13" i="14"/>
  <c r="D14" i="14"/>
  <c r="D21" i="14"/>
  <c r="D30" i="14"/>
  <c r="D31" i="14"/>
  <c r="D35" i="14"/>
  <c r="D37" i="14"/>
  <c r="D38" i="14"/>
  <c r="D40" i="14"/>
  <c r="D42" i="14"/>
  <c r="D60" i="14"/>
  <c r="D61" i="14"/>
  <c r="D63" i="14"/>
  <c r="D62" i="14"/>
  <c r="D66" i="14"/>
  <c r="D64" i="14"/>
  <c r="D65" i="14"/>
  <c r="D49" i="14"/>
  <c r="D50" i="14"/>
  <c r="D53" i="14"/>
  <c r="D51" i="14"/>
  <c r="D55" i="14"/>
  <c r="D54" i="14"/>
  <c r="D56" i="14"/>
  <c r="D59" i="14"/>
  <c r="D15" i="14"/>
  <c r="D17" i="14"/>
  <c r="D18" i="14"/>
  <c r="D20" i="14"/>
  <c r="D19" i="14"/>
  <c r="D23" i="14"/>
  <c r="D24" i="14"/>
  <c r="D25" i="14"/>
  <c r="D26" i="14"/>
  <c r="D27" i="14"/>
  <c r="D28" i="14"/>
  <c r="D29" i="14"/>
  <c r="D32" i="14"/>
  <c r="D33" i="14"/>
  <c r="D34" i="14"/>
  <c r="D36" i="14"/>
  <c r="D41" i="14"/>
  <c r="D6" i="3"/>
  <c r="D6" i="11"/>
  <c r="G15" i="17"/>
  <c r="H15" i="17" s="1"/>
  <c r="C59" i="17"/>
  <c r="D59" i="17" s="1"/>
  <c r="K45" i="6" l="1"/>
  <c r="K66" i="6"/>
  <c r="L44" i="6"/>
  <c r="K44" i="6"/>
  <c r="K67" i="6"/>
  <c r="M27" i="6"/>
  <c r="B27" i="6" s="1" a="1"/>
  <c r="B27" i="6" s="1"/>
  <c r="K47" i="6"/>
  <c r="L66" i="6"/>
  <c r="L54" i="6"/>
  <c r="K53" i="6"/>
  <c r="M50" i="6"/>
  <c r="B50" i="6" s="1" a="1"/>
  <c r="B50" i="6" s="1"/>
  <c r="K28" i="6"/>
  <c r="L50" i="6"/>
  <c r="K43" i="6"/>
  <c r="L25" i="6"/>
  <c r="K24" i="6"/>
  <c r="L20" i="6"/>
  <c r="M47" i="6"/>
  <c r="B47" i="6" s="1" a="1"/>
  <c r="B47" i="6" s="1"/>
  <c r="M20" i="6"/>
  <c r="B20" i="6" s="1" a="1"/>
  <c r="B20" i="6" s="1"/>
  <c r="M63" i="6"/>
  <c r="L24" i="6"/>
  <c r="L63" i="6"/>
  <c r="J31" i="16"/>
  <c r="J46" i="16"/>
  <c r="K20" i="15"/>
  <c r="K23" i="15"/>
  <c r="S41" i="3"/>
  <c r="R41" i="3"/>
  <c r="M41" i="3"/>
  <c r="B41" i="3" s="1" a="1"/>
  <c r="B41" i="3" s="1"/>
  <c r="K46" i="3"/>
  <c r="S4" i="14"/>
  <c r="J4" i="14" s="1"/>
  <c r="J20" i="14"/>
  <c r="J29" i="14"/>
  <c r="J14" i="14"/>
  <c r="J28" i="14"/>
  <c r="J40" i="14"/>
  <c r="J13" i="14"/>
  <c r="J48" i="14"/>
  <c r="J7" i="14"/>
  <c r="J30" i="14"/>
  <c r="J45" i="14"/>
  <c r="J10" i="14"/>
  <c r="J46" i="14"/>
  <c r="J49" i="14"/>
  <c r="J42" i="14"/>
  <c r="J6" i="14"/>
  <c r="J19" i="14"/>
  <c r="J44" i="14"/>
  <c r="J58" i="14"/>
  <c r="J64" i="14"/>
  <c r="J54" i="14"/>
  <c r="J66" i="14"/>
  <c r="J60" i="14"/>
  <c r="J16" i="14"/>
  <c r="J9" i="14"/>
  <c r="J33" i="14"/>
  <c r="J59" i="14"/>
  <c r="J23" i="14"/>
  <c r="S32" i="14"/>
  <c r="J32" i="14" s="1"/>
  <c r="S56" i="14"/>
  <c r="J56" i="14" s="1"/>
  <c r="S65" i="14"/>
  <c r="J65" i="14" s="1"/>
  <c r="J37" i="14"/>
  <c r="J12" i="14"/>
  <c r="J57" i="14"/>
  <c r="J43" i="14"/>
  <c r="J41" i="14"/>
  <c r="J27" i="14"/>
  <c r="J18" i="14"/>
  <c r="J51" i="14"/>
  <c r="J62" i="14"/>
  <c r="J35" i="14"/>
  <c r="J22" i="14"/>
  <c r="J47" i="14"/>
  <c r="J39" i="14"/>
  <c r="J36" i="14"/>
  <c r="J26" i="14"/>
  <c r="J17" i="14"/>
  <c r="J53" i="14"/>
  <c r="J63" i="14"/>
  <c r="S34" i="14"/>
  <c r="J34" i="14" s="1"/>
  <c r="S15" i="14"/>
  <c r="J15" i="14" s="1"/>
  <c r="J11" i="14"/>
  <c r="J8" i="14"/>
  <c r="K46" i="6"/>
  <c r="M25" i="6"/>
  <c r="B25" i="6" s="1" a="1"/>
  <c r="B25" i="6" s="1"/>
  <c r="M54" i="6"/>
  <c r="M67" i="6"/>
  <c r="B67" i="6" s="1" a="1"/>
  <c r="B67" i="6" s="1"/>
  <c r="L45" i="6"/>
  <c r="L49" i="6"/>
  <c r="K49" i="6"/>
  <c r="M53" i="6"/>
  <c r="M46" i="6"/>
  <c r="B46" i="6" s="1" a="1"/>
  <c r="B46" i="6" s="1"/>
  <c r="L68" i="6"/>
  <c r="M28" i="6"/>
  <c r="B28" i="6" s="1" a="1"/>
  <c r="B28" i="6" s="1"/>
  <c r="M43" i="6"/>
  <c r="B43" i="6" s="1" a="1"/>
  <c r="B43" i="6" s="1"/>
  <c r="K68" i="6"/>
  <c r="J45" i="16"/>
  <c r="J41" i="16"/>
  <c r="J44" i="16"/>
  <c r="J19" i="16"/>
  <c r="J4" i="16"/>
  <c r="J16" i="16"/>
  <c r="J42" i="16"/>
  <c r="J6" i="16"/>
  <c r="J35" i="16"/>
  <c r="J10" i="16"/>
  <c r="J13" i="16"/>
  <c r="J12" i="16"/>
  <c r="J29" i="16"/>
  <c r="J36" i="16"/>
  <c r="J18" i="16"/>
  <c r="S3" i="16"/>
  <c r="J3" i="16" s="1"/>
  <c r="J22" i="16"/>
  <c r="J33" i="16"/>
  <c r="J21" i="16"/>
  <c r="J8" i="16"/>
  <c r="J9" i="16"/>
  <c r="J17" i="16"/>
  <c r="J24" i="16"/>
  <c r="J20" i="16"/>
  <c r="J28" i="16"/>
  <c r="J32" i="16"/>
  <c r="J27" i="16"/>
  <c r="J26" i="16"/>
  <c r="J34" i="16"/>
  <c r="J25" i="16"/>
  <c r="J26" i="15"/>
  <c r="L17" i="15"/>
  <c r="K17" i="15"/>
  <c r="J13" i="15"/>
  <c r="M21" i="15"/>
  <c r="B21" i="15" s="1" a="1"/>
  <c r="B21" i="15" s="1"/>
  <c r="L21" i="15"/>
  <c r="J33" i="15"/>
  <c r="L23" i="15"/>
  <c r="J17" i="15"/>
  <c r="J20" i="15"/>
  <c r="J32" i="15"/>
  <c r="J22" i="15"/>
  <c r="J21" i="15"/>
  <c r="J14" i="15"/>
  <c r="J28" i="15"/>
  <c r="J11" i="15"/>
  <c r="J29" i="15"/>
  <c r="J6" i="15"/>
  <c r="J23" i="15"/>
  <c r="J8" i="15"/>
  <c r="J19" i="15"/>
  <c r="S24" i="15"/>
  <c r="J24" i="15" s="1"/>
  <c r="L25" i="15"/>
  <c r="S25" i="15"/>
  <c r="J25" i="15" s="1"/>
  <c r="S16" i="15"/>
  <c r="J16" i="15" s="1"/>
  <c r="S18" i="15"/>
  <c r="J18" i="15" s="1"/>
  <c r="S30" i="15"/>
  <c r="J30" i="15" s="1"/>
  <c r="R43" i="3"/>
  <c r="J43" i="3" s="1"/>
  <c r="L43" i="3"/>
  <c r="M43" i="3"/>
  <c r="B43" i="3" s="1" a="1"/>
  <c r="B43" i="3" s="1"/>
  <c r="K43" i="3"/>
  <c r="M46" i="3"/>
  <c r="B46" i="3" s="1" a="1"/>
  <c r="B46" i="3" s="1"/>
  <c r="L46" i="3"/>
  <c r="J38" i="16"/>
  <c r="J7" i="16"/>
  <c r="S61" i="14"/>
  <c r="J61" i="14" s="1"/>
  <c r="S12" i="6"/>
  <c r="J12" i="6" s="1"/>
  <c r="J52" i="6"/>
  <c r="J48" i="6"/>
  <c r="S39" i="6"/>
  <c r="J39" i="6" s="1"/>
  <c r="J40" i="6"/>
  <c r="J61" i="6"/>
  <c r="J32" i="6"/>
  <c r="J31" i="6"/>
  <c r="J45" i="6"/>
  <c r="J14" i="6"/>
  <c r="J37" i="6"/>
  <c r="J35" i="6"/>
  <c r="J28" i="6"/>
  <c r="J59" i="6"/>
  <c r="J56" i="6"/>
  <c r="J17" i="6"/>
  <c r="J65" i="6"/>
  <c r="J49" i="6"/>
  <c r="J58" i="6"/>
  <c r="J18" i="6"/>
  <c r="J33" i="6"/>
  <c r="J53" i="6"/>
  <c r="J54" i="6"/>
  <c r="J47" i="6"/>
  <c r="L27" i="6"/>
  <c r="J25" i="6"/>
  <c r="J24" i="6"/>
  <c r="J68" i="6"/>
  <c r="L37" i="6"/>
  <c r="L23" i="6"/>
  <c r="J42" i="6"/>
  <c r="M37" i="6"/>
  <c r="K23" i="6"/>
  <c r="J44" i="6"/>
  <c r="J63" i="6"/>
  <c r="M21" i="6"/>
  <c r="B21" i="6" s="1" a="1"/>
  <c r="B21" i="6" s="1"/>
  <c r="M42" i="6"/>
  <c r="B42" i="6" s="1" a="1"/>
  <c r="B42" i="6" s="1"/>
  <c r="L21" i="6"/>
  <c r="L51" i="6"/>
  <c r="L42" i="6"/>
  <c r="M51" i="6"/>
  <c r="B51" i="6" s="1" a="1"/>
  <c r="B51" i="6" s="1"/>
  <c r="M22" i="15"/>
  <c r="B22" i="15" s="1" a="1"/>
  <c r="B22" i="15" s="1"/>
  <c r="L22" i="15"/>
  <c r="K25" i="15"/>
  <c r="M20" i="15"/>
  <c r="B20" i="15" s="1" a="1"/>
  <c r="B20" i="15" s="1"/>
  <c r="M33" i="15"/>
  <c r="B33" i="15" s="1" a="1"/>
  <c r="B33" i="15" s="1"/>
  <c r="L31" i="15"/>
  <c r="L33" i="15"/>
  <c r="K31" i="15"/>
  <c r="R42" i="3"/>
  <c r="M42" i="3"/>
  <c r="B42" i="3" s="1" a="1"/>
  <c r="B42" i="3" s="1"/>
  <c r="L42" i="3"/>
  <c r="S42" i="3"/>
  <c r="K41" i="3"/>
  <c r="S46" i="3"/>
  <c r="J46" i="3" s="1"/>
  <c r="J16" i="6"/>
  <c r="J64" i="6"/>
  <c r="J57" i="6"/>
  <c r="J13" i="6"/>
  <c r="J19" i="6"/>
  <c r="J7" i="6"/>
  <c r="J62" i="6"/>
  <c r="J60" i="6"/>
  <c r="J26" i="6"/>
  <c r="J41" i="6"/>
  <c r="J10" i="6"/>
  <c r="D39" i="3"/>
  <c r="G30" i="14"/>
  <c r="L30" i="14" s="1"/>
  <c r="A35" i="14" a="1"/>
  <c r="A35" i="14" s="1"/>
  <c r="Q35" i="14" s="1"/>
  <c r="G35" i="14"/>
  <c r="L35" i="14" s="1"/>
  <c r="A66" i="14" a="1"/>
  <c r="A66" i="14" s="1"/>
  <c r="Q66" i="14" s="1"/>
  <c r="G66" i="14"/>
  <c r="K66" i="14" s="1"/>
  <c r="A21" i="14" a="1"/>
  <c r="A21" i="14" s="1"/>
  <c r="Q21" i="14" s="1"/>
  <c r="G21" i="14"/>
  <c r="L21" i="14" s="1"/>
  <c r="J41" i="3" l="1"/>
  <c r="J42" i="3"/>
  <c r="K30" i="14"/>
  <c r="K35" i="14"/>
  <c r="M35" i="14"/>
  <c r="M66" i="14"/>
  <c r="L66" i="14"/>
  <c r="M30" i="14"/>
  <c r="A30" i="14" s="1" a="1"/>
  <c r="A30" i="14" s="1"/>
  <c r="Q30" i="14" s="1"/>
  <c r="K21" i="14"/>
  <c r="M21" i="14"/>
  <c r="C21" i="17" l="1"/>
  <c r="D21" i="17" s="1"/>
  <c r="D6" i="13"/>
  <c r="A6" i="13" a="1"/>
  <c r="A6" i="13" s="1"/>
  <c r="R6" i="13" s="1"/>
  <c r="H6" i="13"/>
  <c r="M6" i="13" s="1"/>
  <c r="S6" i="13"/>
  <c r="T6" i="13"/>
  <c r="Y6" i="13"/>
  <c r="AF6" i="13"/>
  <c r="AF3" i="12"/>
  <c r="AF8" i="12"/>
  <c r="AF7" i="12"/>
  <c r="AF4" i="12"/>
  <c r="AF9" i="12"/>
  <c r="AF10" i="12"/>
  <c r="AF5" i="12"/>
  <c r="K6" i="13" l="1"/>
  <c r="L6" i="13"/>
  <c r="N6" i="13"/>
  <c r="A24" i="15" a="1"/>
  <c r="A24" i="15" s="1"/>
  <c r="A11" i="15" a="1"/>
  <c r="A11" i="15" s="1"/>
  <c r="A30" i="15" a="1"/>
  <c r="A30" i="15" s="1"/>
  <c r="Q30" i="15" s="1"/>
  <c r="A10" i="15" a="1"/>
  <c r="A10" i="15" s="1"/>
  <c r="A13" i="15" a="1"/>
  <c r="A13" i="15" s="1"/>
  <c r="A9" i="15" a="1"/>
  <c r="A9" i="15" s="1"/>
  <c r="A19" i="15" a="1"/>
  <c r="A19" i="15" s="1"/>
  <c r="A16" i="15" a="1"/>
  <c r="A16" i="15" s="1"/>
  <c r="A27" i="15" a="1"/>
  <c r="A27" i="15" s="1"/>
  <c r="A15" i="15" a="1"/>
  <c r="A15" i="15" s="1"/>
  <c r="A14" i="15" a="1"/>
  <c r="A14" i="15" s="1"/>
  <c r="C43" i="17"/>
  <c r="D43" i="17" s="1"/>
  <c r="D4" i="16"/>
  <c r="D9" i="16"/>
  <c r="D5" i="16"/>
  <c r="D25" i="16"/>
  <c r="D32" i="16"/>
  <c r="D16" i="16"/>
  <c r="D33" i="16"/>
  <c r="D20" i="16"/>
  <c r="D31" i="16"/>
  <c r="D34" i="16"/>
  <c r="D40" i="16"/>
  <c r="D14" i="16"/>
  <c r="D24" i="16"/>
  <c r="D22" i="16"/>
  <c r="D26" i="16"/>
  <c r="D30" i="16"/>
  <c r="D27" i="16"/>
  <c r="D29" i="16"/>
  <c r="D39" i="16"/>
  <c r="D38" i="16"/>
  <c r="D42" i="16"/>
  <c r="D41" i="16"/>
  <c r="D45" i="16"/>
  <c r="D11" i="16"/>
  <c r="D12" i="16"/>
  <c r="D17" i="16"/>
  <c r="D18" i="16"/>
  <c r="D23" i="16"/>
  <c r="D13" i="16"/>
  <c r="D35" i="16"/>
  <c r="D8" i="16"/>
  <c r="D37" i="16"/>
  <c r="D10" i="16"/>
  <c r="D7" i="16"/>
  <c r="D15" i="16"/>
  <c r="D46" i="16"/>
  <c r="D36" i="16"/>
  <c r="D43" i="16"/>
  <c r="D44" i="16"/>
  <c r="D19" i="16"/>
  <c r="D21" i="16"/>
  <c r="D6" i="16"/>
  <c r="D28" i="16"/>
  <c r="A19" i="16" a="1"/>
  <c r="A19" i="16" s="1"/>
  <c r="Q19" i="16" s="1"/>
  <c r="G19" i="16"/>
  <c r="L19" i="16" s="1"/>
  <c r="A21" i="16" a="1"/>
  <c r="A21" i="16" s="1"/>
  <c r="Q21" i="16" s="1"/>
  <c r="G21" i="16"/>
  <c r="M21" i="16" s="1"/>
  <c r="G6" i="16"/>
  <c r="L6" i="16" s="1"/>
  <c r="G28" i="16"/>
  <c r="M28" i="16" s="1"/>
  <c r="A35" i="16" a="1"/>
  <c r="A35" i="16" s="1"/>
  <c r="Q35" i="16" s="1"/>
  <c r="G35" i="16"/>
  <c r="M35" i="16" s="1"/>
  <c r="A8" i="16" a="1"/>
  <c r="A8" i="16" s="1"/>
  <c r="Q8" i="16" s="1"/>
  <c r="G8" i="16"/>
  <c r="M8" i="16" s="1"/>
  <c r="A37" i="16" a="1"/>
  <c r="A37" i="16" s="1"/>
  <c r="Q37" i="16" s="1"/>
  <c r="G37" i="16"/>
  <c r="K37" i="16" s="1"/>
  <c r="A10" i="16" a="1"/>
  <c r="A10" i="16" s="1"/>
  <c r="Q10" i="16" s="1"/>
  <c r="G10" i="16"/>
  <c r="M10" i="16" s="1"/>
  <c r="A7" i="16" a="1"/>
  <c r="A7" i="16" s="1"/>
  <c r="Q7" i="16" s="1"/>
  <c r="G7" i="16"/>
  <c r="L7" i="16" s="1"/>
  <c r="G15" i="16"/>
  <c r="M15" i="16" s="1"/>
  <c r="A46" i="16" a="1"/>
  <c r="A46" i="16" s="1"/>
  <c r="Q46" i="16" s="1"/>
  <c r="G46" i="16"/>
  <c r="M46" i="16" s="1"/>
  <c r="A36" i="16" a="1"/>
  <c r="A36" i="16" s="1"/>
  <c r="Q36" i="16" s="1"/>
  <c r="G36" i="16"/>
  <c r="L36" i="16" s="1"/>
  <c r="A43" i="16" a="1"/>
  <c r="A43" i="16" s="1"/>
  <c r="Q43" i="16" s="1"/>
  <c r="G43" i="16"/>
  <c r="M43" i="16" s="1"/>
  <c r="A44" i="16" a="1"/>
  <c r="A44" i="16" s="1"/>
  <c r="Q44" i="16" s="1"/>
  <c r="G44" i="16"/>
  <c r="K44" i="16" s="1"/>
  <c r="G13" i="16"/>
  <c r="M13" i="16" s="1"/>
  <c r="B13" i="16" s="1" a="1"/>
  <c r="B13" i="16" s="1"/>
  <c r="D11" i="15"/>
  <c r="D5" i="15"/>
  <c r="D7" i="15"/>
  <c r="D6" i="15"/>
  <c r="D18" i="15"/>
  <c r="D8" i="15"/>
  <c r="D30" i="15"/>
  <c r="D12" i="15"/>
  <c r="D10" i="15"/>
  <c r="D13" i="15"/>
  <c r="D9" i="15"/>
  <c r="D28" i="15"/>
  <c r="D32" i="15"/>
  <c r="D19" i="15"/>
  <c r="D29" i="15"/>
  <c r="D16" i="15"/>
  <c r="D26" i="15"/>
  <c r="D27" i="15"/>
  <c r="D15" i="15"/>
  <c r="D4" i="15"/>
  <c r="D24" i="15"/>
  <c r="D3" i="15"/>
  <c r="G5" i="15"/>
  <c r="L5" i="15" s="1"/>
  <c r="G30" i="15"/>
  <c r="M30" i="15" s="1"/>
  <c r="G12" i="15"/>
  <c r="L12" i="15" s="1"/>
  <c r="G4" i="15"/>
  <c r="M4" i="15" s="1"/>
  <c r="A15" i="16" l="1" a="1"/>
  <c r="A15" i="16" s="1"/>
  <c r="Q15" i="16" s="1"/>
  <c r="A13" i="16" a="1"/>
  <c r="A13" i="16" s="1"/>
  <c r="Q13" i="16" s="1"/>
  <c r="A28" i="16" a="1"/>
  <c r="A28" i="16" s="1"/>
  <c r="Q28" i="16" s="1"/>
  <c r="K10" i="16"/>
  <c r="K46" i="16"/>
  <c r="L35" i="16"/>
  <c r="L15" i="16"/>
  <c r="K36" i="16"/>
  <c r="L43" i="16"/>
  <c r="K8" i="16"/>
  <c r="K19" i="16"/>
  <c r="K7" i="16"/>
  <c r="M36" i="16"/>
  <c r="K15" i="16"/>
  <c r="K4" i="15"/>
  <c r="M44" i="16"/>
  <c r="K43" i="16"/>
  <c r="K35" i="16"/>
  <c r="L44" i="16"/>
  <c r="M6" i="16"/>
  <c r="L46" i="16"/>
  <c r="K6" i="16"/>
  <c r="M19" i="16"/>
  <c r="L21" i="16"/>
  <c r="K21" i="16"/>
  <c r="M37" i="16"/>
  <c r="L13" i="16"/>
  <c r="M7" i="16"/>
  <c r="L37" i="16"/>
  <c r="L28" i="16"/>
  <c r="K13" i="16"/>
  <c r="L10" i="16"/>
  <c r="L8" i="16"/>
  <c r="K28" i="16"/>
  <c r="M5" i="15"/>
  <c r="K5" i="15"/>
  <c r="M12" i="15"/>
  <c r="L30" i="15"/>
  <c r="L4" i="15"/>
  <c r="K12" i="15"/>
  <c r="K30" i="15"/>
  <c r="A25" i="16" l="1" a="1"/>
  <c r="A25" i="16" s="1"/>
  <c r="A33" i="16" a="1"/>
  <c r="A33" i="16" s="1"/>
  <c r="A20" i="16" a="1"/>
  <c r="A20" i="16" s="1"/>
  <c r="A34" i="16" a="1"/>
  <c r="A34" i="16" s="1"/>
  <c r="A40" i="16" a="1"/>
  <c r="A40" i="16" s="1"/>
  <c r="A14" i="16" a="1"/>
  <c r="A14" i="16" s="1"/>
  <c r="A26" i="16" a="1"/>
  <c r="A26" i="16" s="1"/>
  <c r="A30" i="16" a="1"/>
  <c r="A30" i="16" s="1"/>
  <c r="A27" i="16" a="1"/>
  <c r="A27" i="16" s="1"/>
  <c r="A39" i="16" a="1"/>
  <c r="A39" i="16" s="1"/>
  <c r="A38" i="16" a="1"/>
  <c r="A38" i="16" s="1"/>
  <c r="A42" i="16" a="1"/>
  <c r="A42" i="16" s="1"/>
  <c r="A41" i="16" a="1"/>
  <c r="A41" i="16" s="1"/>
  <c r="A11" i="16" a="1"/>
  <c r="A11" i="16" s="1"/>
  <c r="A12" i="16" a="1"/>
  <c r="A12" i="16" s="1"/>
  <c r="A17" i="16" a="1"/>
  <c r="A17" i="16" s="1"/>
  <c r="A23" i="16" a="1"/>
  <c r="A23" i="16" s="1"/>
  <c r="Q15" i="15"/>
  <c r="G3" i="17" s="1"/>
  <c r="H3" i="17" s="1"/>
  <c r="A53" i="14" a="1"/>
  <c r="A53" i="14" s="1"/>
  <c r="A54" i="14" a="1"/>
  <c r="A54" i="14" s="1"/>
  <c r="A9" i="14" a="1"/>
  <c r="A9" i="14" s="1"/>
  <c r="A43" i="14" a="1"/>
  <c r="A43" i="14" s="1"/>
  <c r="A8" i="14" a="1"/>
  <c r="A8" i="14" s="1"/>
  <c r="A39" i="14" a="1"/>
  <c r="A39" i="14" s="1"/>
  <c r="Q39" i="14" s="1"/>
  <c r="A10" i="14" a="1"/>
  <c r="A10" i="14" s="1"/>
  <c r="A45" i="14" a="1"/>
  <c r="A45" i="14" s="1"/>
  <c r="A38" i="14" a="1"/>
  <c r="A38" i="14" s="1"/>
  <c r="Q38" i="14" s="1"/>
  <c r="A34" i="14" a="1"/>
  <c r="A34" i="14" s="1"/>
  <c r="Q34" i="14" s="1"/>
  <c r="A61" i="14" a="1"/>
  <c r="A61" i="14" s="1"/>
  <c r="A46" i="14" a="1"/>
  <c r="A46" i="14" s="1"/>
  <c r="A37" i="14" a="1"/>
  <c r="A37" i="14" s="1"/>
  <c r="A64" i="14" a="1"/>
  <c r="A64" i="14" s="1"/>
  <c r="A28" i="14" a="1"/>
  <c r="A28" i="14" s="1"/>
  <c r="A33" i="14" a="1"/>
  <c r="A33" i="14" s="1"/>
  <c r="A32" i="14" a="1"/>
  <c r="A32" i="14" s="1"/>
  <c r="A56" i="14" a="1"/>
  <c r="A56" i="14" s="1"/>
  <c r="A59" i="14" a="1"/>
  <c r="A59" i="14" s="1"/>
  <c r="A55" i="14" a="1"/>
  <c r="A55" i="14" s="1"/>
  <c r="Q55" i="14" s="1"/>
  <c r="A18" i="14" a="1"/>
  <c r="A18" i="14" s="1"/>
  <c r="A20" i="14" a="1"/>
  <c r="A20" i="14" s="1"/>
  <c r="Q20" i="14" s="1"/>
  <c r="A27" i="14" a="1"/>
  <c r="A27" i="14" s="1"/>
  <c r="Q27" i="14" s="1"/>
  <c r="A29" i="14" a="1"/>
  <c r="A29" i="14" s="1"/>
  <c r="Q29" i="14" s="1"/>
  <c r="A41" i="14" a="1"/>
  <c r="A41" i="14" s="1"/>
  <c r="Q41" i="14" s="1"/>
  <c r="A15" i="14" a="1"/>
  <c r="A15" i="14" s="1"/>
  <c r="Q15" i="14" s="1"/>
  <c r="A19" i="14" a="1"/>
  <c r="A19" i="14" s="1"/>
  <c r="Q19" i="14" s="1"/>
  <c r="E49" i="17" s="1"/>
  <c r="F49" i="17" s="1"/>
  <c r="A24" i="14" a="1"/>
  <c r="A24" i="14" s="1"/>
  <c r="A17" i="14" a="1"/>
  <c r="A17" i="14" s="1"/>
  <c r="Q17" i="14" s="1"/>
  <c r="A26" i="14" a="1"/>
  <c r="A26" i="14" s="1"/>
  <c r="A25" i="14" a="1"/>
  <c r="A25" i="14" s="1"/>
  <c r="Q25" i="14" s="1"/>
  <c r="A23" i="14" a="1"/>
  <c r="A23" i="14" s="1"/>
  <c r="Q23" i="14" s="1"/>
  <c r="A52" i="14" a="1"/>
  <c r="A52" i="14" s="1"/>
  <c r="Q52" i="14" s="1"/>
  <c r="A6" i="14" a="1"/>
  <c r="A6" i="14" s="1"/>
  <c r="Q6" i="14" s="1"/>
  <c r="E26" i="17" s="1"/>
  <c r="F26" i="17" s="1"/>
  <c r="A47" i="14" a="1"/>
  <c r="A47" i="14" s="1"/>
  <c r="A11" i="14" a="1"/>
  <c r="A11" i="14" s="1"/>
  <c r="A40" i="14" a="1"/>
  <c r="A40" i="14" s="1"/>
  <c r="A42" i="14" a="1"/>
  <c r="A42" i="14" s="1"/>
  <c r="A62" i="14" a="1"/>
  <c r="A62" i="14" s="1"/>
  <c r="A65" i="14" a="1"/>
  <c r="A65" i="14" s="1"/>
  <c r="A16" i="14" a="1"/>
  <c r="A16" i="14" s="1"/>
  <c r="A63" i="14" a="1"/>
  <c r="A63" i="14" s="1"/>
  <c r="A60" i="14" a="1"/>
  <c r="A60" i="14" s="1"/>
  <c r="A7" i="14" a="1"/>
  <c r="A7" i="14" s="1"/>
  <c r="A7" i="6" a="1"/>
  <c r="A7" i="6" s="1"/>
  <c r="A39" i="6" a="1"/>
  <c r="A39" i="6" s="1"/>
  <c r="A33" i="6" a="1"/>
  <c r="A33" i="6" s="1"/>
  <c r="Q33" i="6" s="1"/>
  <c r="A52" i="6" a="1"/>
  <c r="A52" i="6" s="1"/>
  <c r="A19" i="6" a="1"/>
  <c r="A19" i="6" s="1"/>
  <c r="A17" i="6" a="1"/>
  <c r="A17" i="6" s="1"/>
  <c r="Q17" i="6" s="1"/>
  <c r="A13" i="6" a="1"/>
  <c r="A13" i="6" s="1"/>
  <c r="A10" i="6" a="1"/>
  <c r="A10" i="6" s="1"/>
  <c r="Q10" i="6" s="1"/>
  <c r="A32" i="6" a="1"/>
  <c r="A32" i="6" s="1"/>
  <c r="A36" i="6" a="1"/>
  <c r="A36" i="6" s="1"/>
  <c r="Q36" i="6" s="1"/>
  <c r="A40" i="6" a="1"/>
  <c r="A40" i="6" s="1"/>
  <c r="E42" i="17"/>
  <c r="F42" i="17" s="1"/>
  <c r="A55" i="6" a="1"/>
  <c r="A55" i="6" s="1"/>
  <c r="A61" i="6" a="1"/>
  <c r="A61" i="6" s="1"/>
  <c r="A26" i="6" a="1"/>
  <c r="A26" i="6" s="1"/>
  <c r="A18" i="6" a="1"/>
  <c r="A18" i="6" s="1"/>
  <c r="A64" i="6" a="1"/>
  <c r="A64" i="6" s="1"/>
  <c r="A12" i="6" a="1"/>
  <c r="A12" i="6" s="1"/>
  <c r="A22" i="6" a="1"/>
  <c r="A22" i="6" s="1"/>
  <c r="A35" i="6" a="1"/>
  <c r="A35" i="6" s="1"/>
  <c r="Q35" i="6" s="1"/>
  <c r="A16" i="6" a="1"/>
  <c r="A16" i="6" s="1"/>
  <c r="Q16" i="6" s="1"/>
  <c r="A59" i="6" a="1"/>
  <c r="A59" i="6" s="1"/>
  <c r="Q59" i="6" s="1"/>
  <c r="A57" i="6" a="1"/>
  <c r="A57" i="6" s="1"/>
  <c r="A62" i="6" a="1"/>
  <c r="A62" i="6" s="1"/>
  <c r="Q62" i="6" s="1"/>
  <c r="A58" i="6" a="1"/>
  <c r="A58" i="6" s="1"/>
  <c r="A11" i="6" a="1"/>
  <c r="A11" i="6" s="1"/>
  <c r="A9" i="13" a="1"/>
  <c r="A9" i="13" s="1"/>
  <c r="A12" i="13" a="1"/>
  <c r="A12" i="13" s="1"/>
  <c r="R12" i="13" s="1"/>
  <c r="A7" i="13" a="1"/>
  <c r="A7" i="13" s="1"/>
  <c r="A14" i="13" a="1"/>
  <c r="A14" i="13" s="1"/>
  <c r="R14" i="13" s="1"/>
  <c r="A3" i="13" a="1"/>
  <c r="A3" i="13" s="1"/>
  <c r="R3" i="13" s="1"/>
  <c r="A8" i="13" a="1"/>
  <c r="A8" i="13" s="1"/>
  <c r="R8" i="13" s="1"/>
  <c r="A11" i="13" a="1"/>
  <c r="A11" i="13" s="1"/>
  <c r="R11" i="13" s="1"/>
  <c r="A10" i="13" a="1"/>
  <c r="A10" i="13" s="1"/>
  <c r="A4" i="13" a="1"/>
  <c r="A4" i="13" s="1"/>
  <c r="A5" i="13" a="1"/>
  <c r="A5" i="13" s="1"/>
  <c r="R5" i="13" s="1"/>
  <c r="A8" i="12" a="1"/>
  <c r="A8" i="12" s="1"/>
  <c r="R8" i="12" s="1"/>
  <c r="A7" i="12" a="1"/>
  <c r="A7" i="12" s="1"/>
  <c r="A4" i="12" a="1"/>
  <c r="A4" i="12" s="1"/>
  <c r="A9" i="12" a="1"/>
  <c r="A9" i="12" s="1"/>
  <c r="R9" i="12" s="1"/>
  <c r="A5" i="12" a="1"/>
  <c r="A5" i="12" s="1"/>
  <c r="R5" i="12" s="1"/>
  <c r="A3" i="11" a="1"/>
  <c r="A3" i="11" s="1"/>
  <c r="Q3" i="11" s="1"/>
  <c r="A25" i="11" a="1"/>
  <c r="A25" i="11" s="1"/>
  <c r="A21" i="11" a="1"/>
  <c r="A21" i="11" s="1"/>
  <c r="A19" i="11" a="1"/>
  <c r="A19" i="11" s="1"/>
  <c r="A46" i="11" a="1"/>
  <c r="A46" i="11" s="1"/>
  <c r="A56" i="11" a="1"/>
  <c r="A56" i="11" s="1"/>
  <c r="A66" i="11" a="1"/>
  <c r="A66" i="11" s="1"/>
  <c r="Q66" i="11" s="1"/>
  <c r="C22" i="17" s="1"/>
  <c r="D22" i="17" s="1"/>
  <c r="A67" i="11" a="1"/>
  <c r="A67" i="11" s="1"/>
  <c r="A6" i="11" a="1"/>
  <c r="A6" i="11" s="1"/>
  <c r="A17" i="11" a="1"/>
  <c r="A17" i="11" s="1"/>
  <c r="Q17" i="11" s="1"/>
  <c r="A22" i="11" a="1"/>
  <c r="A22" i="11" s="1"/>
  <c r="A45" i="11" a="1"/>
  <c r="A45" i="11" s="1"/>
  <c r="A54" i="11" a="1"/>
  <c r="A54" i="11" s="1"/>
  <c r="A61" i="11" a="1"/>
  <c r="A61" i="11" s="1"/>
  <c r="A71" i="11" a="1"/>
  <c r="A71" i="11" s="1"/>
  <c r="A8" i="11" a="1"/>
  <c r="A8" i="11" s="1"/>
  <c r="A15" i="11" a="1"/>
  <c r="A15" i="11" s="1"/>
  <c r="A30" i="11" a="1"/>
  <c r="A30" i="11" s="1"/>
  <c r="A38" i="11" a="1"/>
  <c r="A38" i="11" s="1"/>
  <c r="Q38" i="11" s="1"/>
  <c r="A34" i="11" a="1"/>
  <c r="A34" i="11" s="1"/>
  <c r="Q34" i="11" s="1"/>
  <c r="A31" i="11" a="1"/>
  <c r="A31" i="11" s="1"/>
  <c r="A47" i="11" a="1"/>
  <c r="A47" i="11" s="1"/>
  <c r="C62" i="17"/>
  <c r="D62" i="17" s="1"/>
  <c r="A14" i="11" a="1"/>
  <c r="A14" i="11" s="1"/>
  <c r="A57" i="11" a="1"/>
  <c r="A57" i="11" s="1"/>
  <c r="A41" i="11" a="1"/>
  <c r="A41" i="11" s="1"/>
  <c r="Q41" i="11" s="1"/>
  <c r="A28" i="11" a="1"/>
  <c r="A28" i="11" s="1"/>
  <c r="Q28" i="11" s="1"/>
  <c r="A35" i="11" a="1"/>
  <c r="A35" i="11" s="1"/>
  <c r="A37" i="11" a="1"/>
  <c r="A37" i="11" s="1"/>
  <c r="A36" i="11" a="1"/>
  <c r="A36" i="11" s="1"/>
  <c r="A32" i="11" a="1"/>
  <c r="A32" i="11" s="1"/>
  <c r="Q32" i="11" s="1"/>
  <c r="A39" i="11" a="1"/>
  <c r="A39" i="11" s="1"/>
  <c r="Q39" i="11" s="1"/>
  <c r="C39" i="17" s="1"/>
  <c r="D39" i="17" s="1"/>
  <c r="A42" i="11" a="1"/>
  <c r="A42" i="11" s="1"/>
  <c r="A44" i="11" a="1"/>
  <c r="A44" i="11" s="1"/>
  <c r="A10" i="11" a="1"/>
  <c r="A10" i="11" s="1"/>
  <c r="A7" i="11" a="1"/>
  <c r="A7" i="11" s="1"/>
  <c r="Q7" i="11" s="1"/>
  <c r="A24" i="11" a="1"/>
  <c r="A24" i="11" s="1"/>
  <c r="A9" i="11" a="1"/>
  <c r="A9" i="11" s="1"/>
  <c r="A72" i="11" a="1"/>
  <c r="A72" i="11" s="1"/>
  <c r="Q72" i="11" s="1"/>
  <c r="A70" i="11" a="1"/>
  <c r="A70" i="11" s="1"/>
  <c r="A26" i="11" a="1"/>
  <c r="A26" i="11" s="1"/>
  <c r="A33" i="11" a="1"/>
  <c r="A33" i="11" s="1"/>
  <c r="Q33" i="11" s="1"/>
  <c r="A48" i="11" a="1"/>
  <c r="A48" i="11" s="1"/>
  <c r="Q48" i="11" s="1"/>
  <c r="A43" i="11" a="1"/>
  <c r="A43" i="11" s="1"/>
  <c r="Q43" i="11" s="1"/>
  <c r="A51" i="11" a="1"/>
  <c r="A51" i="11" s="1"/>
  <c r="A74" i="11" a="1"/>
  <c r="A74" i="11" s="1"/>
  <c r="Q74" i="11" s="1"/>
  <c r="A27" i="11" a="1"/>
  <c r="A27" i="11" s="1"/>
  <c r="A73" i="11" a="1"/>
  <c r="A73" i="11" s="1"/>
  <c r="A64" i="11" a="1"/>
  <c r="A64" i="11" s="1"/>
  <c r="A68" i="11" a="1"/>
  <c r="A68" i="11" s="1"/>
  <c r="Q68" i="11" s="1"/>
  <c r="A4" i="11" a="1"/>
  <c r="A4" i="11" s="1"/>
  <c r="Q4" i="11" s="1"/>
  <c r="A40" i="11" a="1"/>
  <c r="A40" i="11" s="1"/>
  <c r="Q40" i="11" s="1"/>
  <c r="A49" i="11" a="1"/>
  <c r="A49" i="11" s="1"/>
  <c r="Q49" i="11" s="1"/>
  <c r="A69" i="11" a="1"/>
  <c r="A69" i="11" s="1"/>
  <c r="Q69" i="11" s="1"/>
  <c r="A7" i="3" a="1"/>
  <c r="A7" i="3" s="1"/>
  <c r="Q7" i="3" s="1"/>
  <c r="A50" i="3" a="1"/>
  <c r="A50" i="3" s="1"/>
  <c r="Q50" i="3" s="1"/>
  <c r="A70" i="3" a="1"/>
  <c r="A70" i="3" s="1"/>
  <c r="Q70" i="3" s="1"/>
  <c r="A39" i="3" a="1"/>
  <c r="A39" i="3" s="1"/>
  <c r="Q39" i="3" s="1"/>
  <c r="A48" i="3" a="1"/>
  <c r="A48" i="3" s="1"/>
  <c r="Q48" i="3" s="1"/>
  <c r="A55" i="3" a="1"/>
  <c r="A55" i="3" s="1"/>
  <c r="Q55" i="3" s="1"/>
  <c r="A9" i="3" a="1"/>
  <c r="A9" i="3" s="1"/>
  <c r="Q9" i="3" s="1"/>
  <c r="A59" i="3" a="1"/>
  <c r="A59" i="3" s="1"/>
  <c r="Q59" i="3" s="1"/>
  <c r="A19" i="3" a="1"/>
  <c r="A19" i="3" s="1"/>
  <c r="Q19" i="3" s="1"/>
  <c r="A32" i="3" a="1"/>
  <c r="A32" i="3" s="1"/>
  <c r="Q32" i="3" s="1"/>
  <c r="A35" i="3" a="1"/>
  <c r="A35" i="3" s="1"/>
  <c r="Q35" i="3" s="1"/>
  <c r="A25" i="3" a="1"/>
  <c r="A25" i="3" s="1"/>
  <c r="Q25" i="3" s="1"/>
  <c r="A26" i="3" a="1"/>
  <c r="A26" i="3" s="1"/>
  <c r="Q26" i="3" s="1"/>
  <c r="A37" i="3" a="1"/>
  <c r="A37" i="3" s="1"/>
  <c r="Q37" i="3" s="1"/>
  <c r="A38" i="3" a="1"/>
  <c r="A38" i="3" s="1"/>
  <c r="Q38" i="3" s="1"/>
  <c r="A67" i="3" a="1"/>
  <c r="A67" i="3" s="1"/>
  <c r="Q67" i="3" s="1"/>
  <c r="A62" i="3" a="1"/>
  <c r="A62" i="3" s="1"/>
  <c r="Q62" i="3" s="1"/>
  <c r="A63" i="3" a="1"/>
  <c r="A63" i="3" s="1"/>
  <c r="A68" i="3" a="1"/>
  <c r="A68" i="3" s="1"/>
  <c r="Q68" i="3" s="1"/>
  <c r="A54" i="3" a="1"/>
  <c r="A54" i="3" s="1"/>
  <c r="Q54" i="3" s="1"/>
  <c r="A17" i="3" a="1"/>
  <c r="A17" i="3" s="1"/>
  <c r="Q17" i="3" s="1"/>
  <c r="A20" i="3" a="1"/>
  <c r="A20" i="3" s="1"/>
  <c r="Q20" i="3" s="1"/>
  <c r="A28" i="3" a="1"/>
  <c r="A28" i="3" s="1"/>
  <c r="Q28" i="3" s="1"/>
  <c r="A24" i="3" a="1"/>
  <c r="A24" i="3" s="1"/>
  <c r="Q24" i="3" s="1"/>
  <c r="A29" i="3" a="1"/>
  <c r="A29" i="3" s="1"/>
  <c r="Q29" i="3" s="1"/>
  <c r="A40" i="3" a="1"/>
  <c r="A40" i="3" s="1"/>
  <c r="Q40" i="3" s="1"/>
  <c r="A30" i="3" a="1"/>
  <c r="A30" i="3" s="1"/>
  <c r="Q30" i="3" s="1"/>
  <c r="A18" i="3" a="1"/>
  <c r="A18" i="3" s="1"/>
  <c r="Q18" i="3" s="1"/>
  <c r="A33" i="3" a="1"/>
  <c r="A33" i="3" s="1"/>
  <c r="Q33" i="3" s="1"/>
  <c r="A61" i="3" a="1"/>
  <c r="A61" i="3" s="1"/>
  <c r="Q61" i="3" s="1"/>
  <c r="A52" i="3" a="1"/>
  <c r="A52" i="3" s="1"/>
  <c r="Q52" i="3" s="1"/>
  <c r="A56" i="3" a="1"/>
  <c r="A56" i="3" s="1"/>
  <c r="Q56" i="3" s="1"/>
  <c r="A15" i="3" a="1"/>
  <c r="A15" i="3" s="1"/>
  <c r="Q15" i="3" s="1"/>
  <c r="A23" i="3" a="1"/>
  <c r="A23" i="3" s="1"/>
  <c r="Q23" i="3" s="1"/>
  <c r="A64" i="3" a="1"/>
  <c r="A64" i="3" s="1"/>
  <c r="Q64" i="3" s="1"/>
  <c r="C34" i="17" s="1"/>
  <c r="D34" i="17" s="1"/>
  <c r="A12" i="3" a="1"/>
  <c r="A12" i="3" s="1"/>
  <c r="Q12" i="3" s="1"/>
  <c r="A27" i="3" a="1"/>
  <c r="A27" i="3" s="1"/>
  <c r="Q27" i="3" s="1"/>
  <c r="A34" i="3" a="1"/>
  <c r="A34" i="3" s="1"/>
  <c r="Q34" i="3" s="1"/>
  <c r="A13" i="3" a="1"/>
  <c r="A13" i="3" s="1"/>
  <c r="Q13" i="3" s="1"/>
  <c r="A8" i="3" a="1"/>
  <c r="A8" i="3" s="1"/>
  <c r="Q8" i="3" s="1"/>
  <c r="D4" i="11"/>
  <c r="G4" i="11"/>
  <c r="X4" i="11"/>
  <c r="AE4" i="11"/>
  <c r="D23" i="11"/>
  <c r="G23" i="11"/>
  <c r="X23" i="11"/>
  <c r="AE23" i="11"/>
  <c r="D40" i="11"/>
  <c r="G40" i="11"/>
  <c r="X40" i="11"/>
  <c r="AE40" i="11"/>
  <c r="D16" i="11"/>
  <c r="G16" i="11"/>
  <c r="K16" i="11" s="1"/>
  <c r="X16" i="11"/>
  <c r="AE16" i="11"/>
  <c r="D49" i="11"/>
  <c r="G49" i="11"/>
  <c r="L49" i="11" s="1"/>
  <c r="X49" i="11"/>
  <c r="AE49" i="11"/>
  <c r="D69" i="11"/>
  <c r="G69" i="11"/>
  <c r="X69" i="11"/>
  <c r="AE69" i="11"/>
  <c r="D12" i="3"/>
  <c r="G12" i="3"/>
  <c r="X12" i="3"/>
  <c r="AE12" i="3"/>
  <c r="D27" i="3"/>
  <c r="G27" i="3"/>
  <c r="L27" i="3" s="1"/>
  <c r="X27" i="3"/>
  <c r="AE27" i="3"/>
  <c r="D34" i="3"/>
  <c r="G34" i="3"/>
  <c r="X34" i="3"/>
  <c r="AE34" i="3"/>
  <c r="D13" i="3"/>
  <c r="G13" i="3"/>
  <c r="X13" i="3"/>
  <c r="AE13" i="3"/>
  <c r="D62" i="6"/>
  <c r="G62" i="6"/>
  <c r="L62" i="6" s="1"/>
  <c r="G38" i="14"/>
  <c r="L38" i="14" s="1"/>
  <c r="G55" i="14"/>
  <c r="K55" i="14" s="1"/>
  <c r="G26" i="15"/>
  <c r="K26" i="15" s="1"/>
  <c r="G15" i="15"/>
  <c r="K15" i="15" s="1"/>
  <c r="G5" i="14"/>
  <c r="G7" i="14"/>
  <c r="G4" i="14"/>
  <c r="G51" i="14"/>
  <c r="G50" i="14"/>
  <c r="G9" i="14"/>
  <c r="G45" i="14"/>
  <c r="G54" i="14"/>
  <c r="G49" i="14"/>
  <c r="G8" i="14"/>
  <c r="G48" i="14"/>
  <c r="G64" i="14"/>
  <c r="G43" i="14"/>
  <c r="G28" i="14"/>
  <c r="G33" i="14"/>
  <c r="G32" i="14"/>
  <c r="G53" i="14"/>
  <c r="G24" i="14"/>
  <c r="G56" i="14"/>
  <c r="G61" i="14"/>
  <c r="G10" i="14"/>
  <c r="G26" i="14"/>
  <c r="G37" i="14"/>
  <c r="G46" i="14"/>
  <c r="G47" i="14"/>
  <c r="G59" i="14"/>
  <c r="G11" i="14"/>
  <c r="G58" i="14"/>
  <c r="G18" i="14"/>
  <c r="G57" i="14"/>
  <c r="G44" i="14"/>
  <c r="G22" i="14"/>
  <c r="G31" i="14"/>
  <c r="G40" i="14"/>
  <c r="G42" i="14"/>
  <c r="G13" i="14"/>
  <c r="G12" i="14"/>
  <c r="G65" i="14"/>
  <c r="G16" i="14"/>
  <c r="G62" i="14"/>
  <c r="G14" i="14"/>
  <c r="G63" i="14"/>
  <c r="G60" i="14"/>
  <c r="G39" i="14"/>
  <c r="L39" i="14" s="1"/>
  <c r="G34" i="14"/>
  <c r="K34" i="14" s="1"/>
  <c r="G20" i="14"/>
  <c r="M20" i="14" s="1"/>
  <c r="G27" i="14"/>
  <c r="K27" i="14" s="1"/>
  <c r="G29" i="14"/>
  <c r="G41" i="14"/>
  <c r="K41" i="14" s="1"/>
  <c r="G36" i="14"/>
  <c r="K36" i="14" s="1"/>
  <c r="G15" i="14"/>
  <c r="L15" i="14" s="1"/>
  <c r="G19" i="14"/>
  <c r="M19" i="14" s="1"/>
  <c r="G17" i="14"/>
  <c r="G25" i="14"/>
  <c r="M25" i="14" s="1"/>
  <c r="G23" i="14"/>
  <c r="K23" i="14" s="1"/>
  <c r="G52" i="14"/>
  <c r="G6" i="14"/>
  <c r="K6" i="14" s="1"/>
  <c r="G3" i="14"/>
  <c r="K3" i="14" s="1"/>
  <c r="D29" i="6"/>
  <c r="G29" i="6"/>
  <c r="L29" i="6" s="1"/>
  <c r="D33" i="6"/>
  <c r="G33" i="6"/>
  <c r="K33" i="6" s="1"/>
  <c r="D17" i="6"/>
  <c r="G17" i="6"/>
  <c r="K17" i="6" s="1"/>
  <c r="D36" i="6"/>
  <c r="G36" i="6"/>
  <c r="L36" i="6" s="1"/>
  <c r="D55" i="6"/>
  <c r="G55" i="6"/>
  <c r="K55" i="6" s="1"/>
  <c r="D35" i="6"/>
  <c r="G35" i="6"/>
  <c r="L35" i="6" s="1"/>
  <c r="D10" i="6"/>
  <c r="G10" i="6"/>
  <c r="L10" i="6" s="1"/>
  <c r="D16" i="6"/>
  <c r="G16" i="6"/>
  <c r="K16" i="6" s="1"/>
  <c r="D59" i="6"/>
  <c r="G59" i="6"/>
  <c r="M59" i="6" s="1"/>
  <c r="C8" i="17"/>
  <c r="D8" i="17" s="1"/>
  <c r="G8" i="17"/>
  <c r="H8" i="17" s="1"/>
  <c r="E62" i="17"/>
  <c r="F62" i="17" s="1"/>
  <c r="G62" i="17"/>
  <c r="H62" i="17" s="1"/>
  <c r="E39" i="17"/>
  <c r="F39" i="17" s="1"/>
  <c r="G39" i="17"/>
  <c r="H39" i="17" s="1"/>
  <c r="E22" i="17"/>
  <c r="F22" i="17" s="1"/>
  <c r="G22" i="17"/>
  <c r="H22" i="17" s="1"/>
  <c r="D52" i="11"/>
  <c r="D66" i="11"/>
  <c r="D17" i="11"/>
  <c r="D38" i="11"/>
  <c r="D34" i="11"/>
  <c r="D41" i="11"/>
  <c r="D28" i="11"/>
  <c r="D32" i="11"/>
  <c r="D39" i="11"/>
  <c r="D7" i="11"/>
  <c r="D72" i="11"/>
  <c r="D33" i="11"/>
  <c r="D18" i="11"/>
  <c r="D43" i="11"/>
  <c r="D74" i="11"/>
  <c r="D50" i="11"/>
  <c r="D68" i="11"/>
  <c r="G66" i="11"/>
  <c r="X66" i="11"/>
  <c r="AE66" i="11"/>
  <c r="G17" i="11"/>
  <c r="X17" i="11"/>
  <c r="AE17" i="11"/>
  <c r="G38" i="11"/>
  <c r="X38" i="11"/>
  <c r="AE38" i="11"/>
  <c r="G34" i="11"/>
  <c r="X34" i="11"/>
  <c r="AE34" i="11"/>
  <c r="G41" i="11"/>
  <c r="X41" i="11"/>
  <c r="AE41" i="11"/>
  <c r="G28" i="11"/>
  <c r="L28" i="11" s="1"/>
  <c r="X28" i="11"/>
  <c r="AE28" i="11"/>
  <c r="G32" i="11"/>
  <c r="X32" i="11"/>
  <c r="AE32" i="11"/>
  <c r="G39" i="11"/>
  <c r="X39" i="11"/>
  <c r="AE39" i="11"/>
  <c r="G7" i="11"/>
  <c r="K7" i="11" s="1"/>
  <c r="X7" i="11"/>
  <c r="AE7" i="11"/>
  <c r="G72" i="11"/>
  <c r="L72" i="11" s="1"/>
  <c r="X72" i="11"/>
  <c r="AE72" i="11"/>
  <c r="G33" i="11"/>
  <c r="X33" i="11"/>
  <c r="AE33" i="11"/>
  <c r="G18" i="11"/>
  <c r="X18" i="11"/>
  <c r="AE18" i="11"/>
  <c r="G43" i="11"/>
  <c r="X43" i="11"/>
  <c r="AE43" i="11"/>
  <c r="G74" i="11"/>
  <c r="X74" i="11"/>
  <c r="AE74" i="11"/>
  <c r="G50" i="11"/>
  <c r="X50" i="11"/>
  <c r="AE50" i="11"/>
  <c r="G68" i="11"/>
  <c r="X68" i="11"/>
  <c r="AE68" i="11"/>
  <c r="G52" i="11"/>
  <c r="L52" i="11" s="1"/>
  <c r="X52" i="11"/>
  <c r="AE52" i="11"/>
  <c r="G42" i="17"/>
  <c r="H42" i="17" s="1"/>
  <c r="D33" i="3"/>
  <c r="G33" i="3"/>
  <c r="L33" i="3" s="1"/>
  <c r="X33" i="3"/>
  <c r="AE33" i="3"/>
  <c r="D61" i="3"/>
  <c r="G61" i="3"/>
  <c r="X61" i="3"/>
  <c r="AE61" i="3"/>
  <c r="D52" i="3"/>
  <c r="G52" i="3"/>
  <c r="X52" i="3"/>
  <c r="AE52" i="3"/>
  <c r="D56" i="3"/>
  <c r="G56" i="3"/>
  <c r="X56" i="3"/>
  <c r="AE56" i="3"/>
  <c r="D7" i="3"/>
  <c r="G7" i="3"/>
  <c r="K7" i="3" s="1"/>
  <c r="X7" i="3"/>
  <c r="AE7" i="3"/>
  <c r="G39" i="3"/>
  <c r="L39" i="3" s="1"/>
  <c r="X39" i="3"/>
  <c r="AE39" i="3"/>
  <c r="D18" i="3"/>
  <c r="G18" i="3"/>
  <c r="X18" i="3"/>
  <c r="AE18" i="3"/>
  <c r="G49" i="17"/>
  <c r="H49" i="17" s="1"/>
  <c r="D5" i="3"/>
  <c r="G5" i="3"/>
  <c r="L5" i="3" s="1"/>
  <c r="X5" i="3"/>
  <c r="AE5" i="3"/>
  <c r="D32" i="3"/>
  <c r="G32" i="3"/>
  <c r="X32" i="3"/>
  <c r="AE32" i="3"/>
  <c r="D35" i="3"/>
  <c r="G35" i="3"/>
  <c r="X35" i="3"/>
  <c r="AE35" i="3"/>
  <c r="D63" i="3"/>
  <c r="G63" i="3"/>
  <c r="X63" i="3"/>
  <c r="AE63" i="3"/>
  <c r="D68" i="3"/>
  <c r="G68" i="3"/>
  <c r="X68" i="3"/>
  <c r="AE68" i="3"/>
  <c r="D54" i="3"/>
  <c r="G54" i="3"/>
  <c r="X54" i="3"/>
  <c r="AE54" i="3"/>
  <c r="D24" i="3"/>
  <c r="G24" i="3"/>
  <c r="L24" i="3" s="1"/>
  <c r="X24" i="3"/>
  <c r="AE24" i="3"/>
  <c r="D29" i="3"/>
  <c r="G29" i="3"/>
  <c r="X29" i="3"/>
  <c r="AE29" i="3"/>
  <c r="D40" i="3"/>
  <c r="G40" i="3"/>
  <c r="X40" i="3"/>
  <c r="AE40" i="3"/>
  <c r="E4" i="17"/>
  <c r="F4" i="17" s="1"/>
  <c r="G4" i="17"/>
  <c r="H4" i="17" s="1"/>
  <c r="C5" i="17"/>
  <c r="D5" i="17" s="1"/>
  <c r="E13" i="17"/>
  <c r="F13" i="17" s="1"/>
  <c r="G13" i="17"/>
  <c r="H13" i="17" s="1"/>
  <c r="D12" i="13"/>
  <c r="H12" i="13"/>
  <c r="L12" i="13" s="1"/>
  <c r="S12" i="13"/>
  <c r="T12" i="13"/>
  <c r="Y12" i="13"/>
  <c r="AF12" i="13"/>
  <c r="D5" i="13"/>
  <c r="H5" i="13"/>
  <c r="L5" i="13" s="1"/>
  <c r="S5" i="13"/>
  <c r="T5" i="13"/>
  <c r="Y5" i="13"/>
  <c r="AF5" i="13"/>
  <c r="D14" i="13"/>
  <c r="H14" i="13"/>
  <c r="M14" i="13" s="1"/>
  <c r="S14" i="13"/>
  <c r="T14" i="13"/>
  <c r="Y14" i="13"/>
  <c r="AF14" i="13"/>
  <c r="D3" i="13"/>
  <c r="H3" i="13"/>
  <c r="N3" i="13" s="1"/>
  <c r="S3" i="13"/>
  <c r="T3" i="13"/>
  <c r="Y3" i="13"/>
  <c r="AF3" i="13"/>
  <c r="D8" i="13"/>
  <c r="H8" i="13"/>
  <c r="L8" i="13" s="1"/>
  <c r="S8" i="13"/>
  <c r="T8" i="13"/>
  <c r="Y8" i="13"/>
  <c r="AF8" i="13"/>
  <c r="D11" i="13"/>
  <c r="H11" i="13"/>
  <c r="N11" i="13" s="1"/>
  <c r="S11" i="13"/>
  <c r="T11" i="13"/>
  <c r="Y11" i="13"/>
  <c r="AF11" i="13"/>
  <c r="D10" i="12"/>
  <c r="H10" i="12"/>
  <c r="M10" i="12" s="1"/>
  <c r="S10" i="12"/>
  <c r="T10" i="12"/>
  <c r="Y10" i="12"/>
  <c r="D3" i="12"/>
  <c r="M3" i="12"/>
  <c r="S3" i="12"/>
  <c r="T3" i="12"/>
  <c r="Y3" i="12"/>
  <c r="D9" i="12"/>
  <c r="D5" i="12"/>
  <c r="D8" i="12"/>
  <c r="D7" i="12"/>
  <c r="D4" i="12"/>
  <c r="H9" i="12"/>
  <c r="M9" i="12" s="1"/>
  <c r="S9" i="12"/>
  <c r="T9" i="12"/>
  <c r="Y9" i="12"/>
  <c r="H5" i="12"/>
  <c r="L5" i="12" s="1"/>
  <c r="S5" i="12"/>
  <c r="T5" i="12"/>
  <c r="Y5" i="12"/>
  <c r="H8" i="12"/>
  <c r="L8" i="12" s="1"/>
  <c r="S8" i="12"/>
  <c r="T8" i="12"/>
  <c r="Y8" i="12"/>
  <c r="S9" i="13"/>
  <c r="T9" i="13"/>
  <c r="S10" i="13"/>
  <c r="T10" i="13"/>
  <c r="S4" i="13"/>
  <c r="T4" i="13"/>
  <c r="S7" i="13"/>
  <c r="T7" i="13"/>
  <c r="S13" i="13"/>
  <c r="T13" i="13"/>
  <c r="S4" i="12"/>
  <c r="T4" i="12"/>
  <c r="T7" i="12"/>
  <c r="S7" i="12"/>
  <c r="D58" i="11"/>
  <c r="G58" i="11"/>
  <c r="L58" i="11" s="1"/>
  <c r="X58" i="11"/>
  <c r="AE58" i="11"/>
  <c r="D3" i="11"/>
  <c r="G3" i="11"/>
  <c r="X3" i="11"/>
  <c r="AE3" i="11"/>
  <c r="D48" i="11"/>
  <c r="G48" i="11"/>
  <c r="K48" i="11" s="1"/>
  <c r="X48" i="11"/>
  <c r="AE48" i="11"/>
  <c r="X38" i="3"/>
  <c r="K10" i="12" l="1"/>
  <c r="K5" i="13"/>
  <c r="K12" i="13"/>
  <c r="K14" i="13"/>
  <c r="K7" i="13"/>
  <c r="K9" i="13"/>
  <c r="K10" i="13"/>
  <c r="K3" i="13"/>
  <c r="K4" i="13"/>
  <c r="K8" i="13"/>
  <c r="K11" i="13"/>
  <c r="K13" i="13"/>
  <c r="K7" i="12"/>
  <c r="K5" i="12"/>
  <c r="K4" i="12"/>
  <c r="K3" i="12"/>
  <c r="K8" i="12"/>
  <c r="K9" i="12"/>
  <c r="M66" i="11"/>
  <c r="M3" i="11"/>
  <c r="K3" i="11"/>
  <c r="Q55" i="6"/>
  <c r="E59" i="17" s="1"/>
  <c r="F59" i="17" s="1"/>
  <c r="K69" i="11"/>
  <c r="K63" i="3"/>
  <c r="C3" i="17"/>
  <c r="D3" i="17" s="1"/>
  <c r="Q63" i="3"/>
  <c r="M29" i="3"/>
  <c r="M61" i="3"/>
  <c r="K54" i="3"/>
  <c r="R56" i="3"/>
  <c r="K35" i="3"/>
  <c r="K40" i="11"/>
  <c r="K68" i="3"/>
  <c r="K32" i="3"/>
  <c r="R52" i="3"/>
  <c r="R40" i="3"/>
  <c r="M33" i="11"/>
  <c r="M4" i="11"/>
  <c r="K34" i="11"/>
  <c r="K32" i="11"/>
  <c r="K18" i="3"/>
  <c r="R74" i="11"/>
  <c r="R17" i="11"/>
  <c r="R43" i="11"/>
  <c r="R41" i="11"/>
  <c r="R18" i="11"/>
  <c r="N5" i="13"/>
  <c r="L16" i="11"/>
  <c r="M40" i="11"/>
  <c r="M34" i="3"/>
  <c r="M49" i="11"/>
  <c r="R49" i="11"/>
  <c r="R40" i="11"/>
  <c r="R23" i="11"/>
  <c r="K49" i="11"/>
  <c r="L40" i="11"/>
  <c r="R16" i="11"/>
  <c r="M23" i="11"/>
  <c r="L23" i="11"/>
  <c r="L4" i="11"/>
  <c r="M16" i="11"/>
  <c r="K23" i="11"/>
  <c r="K4" i="11"/>
  <c r="R69" i="11"/>
  <c r="M69" i="11"/>
  <c r="L69" i="11"/>
  <c r="R4" i="11"/>
  <c r="K27" i="3"/>
  <c r="K12" i="3"/>
  <c r="R13" i="3"/>
  <c r="R27" i="3"/>
  <c r="M13" i="3"/>
  <c r="L34" i="3"/>
  <c r="L13" i="3"/>
  <c r="K34" i="3"/>
  <c r="K13" i="3"/>
  <c r="R12" i="3"/>
  <c r="R34" i="3"/>
  <c r="M12" i="3"/>
  <c r="M27" i="3"/>
  <c r="L12" i="3"/>
  <c r="M55" i="14"/>
  <c r="L55" i="14"/>
  <c r="L25" i="14"/>
  <c r="K38" i="14"/>
  <c r="K35" i="6"/>
  <c r="M36" i="6"/>
  <c r="K36" i="6"/>
  <c r="M10" i="6"/>
  <c r="K10" i="6"/>
  <c r="K62" i="6"/>
  <c r="K59" i="6"/>
  <c r="M26" i="15"/>
  <c r="M11" i="13"/>
  <c r="L11" i="13"/>
  <c r="M5" i="13"/>
  <c r="N12" i="13"/>
  <c r="N8" i="13"/>
  <c r="N14" i="13"/>
  <c r="M8" i="13"/>
  <c r="L14" i="13"/>
  <c r="L9" i="12"/>
  <c r="L10" i="12"/>
  <c r="M43" i="11"/>
  <c r="R38" i="11"/>
  <c r="L33" i="11"/>
  <c r="L38" i="11"/>
  <c r="K38" i="11"/>
  <c r="M18" i="11"/>
  <c r="R34" i="11"/>
  <c r="L34" i="11"/>
  <c r="L66" i="11"/>
  <c r="M41" i="11"/>
  <c r="L18" i="11"/>
  <c r="K41" i="11"/>
  <c r="M50" i="11"/>
  <c r="K43" i="11"/>
  <c r="K72" i="11"/>
  <c r="M17" i="11"/>
  <c r="K17" i="11"/>
  <c r="M74" i="11"/>
  <c r="L43" i="11"/>
  <c r="L41" i="11"/>
  <c r="M34" i="11"/>
  <c r="M38" i="11"/>
  <c r="L17" i="11"/>
  <c r="L74" i="11"/>
  <c r="M52" i="11"/>
  <c r="L50" i="11"/>
  <c r="K74" i="11"/>
  <c r="K28" i="11"/>
  <c r="K50" i="11"/>
  <c r="M40" i="3"/>
  <c r="L61" i="3"/>
  <c r="M32" i="3"/>
  <c r="K61" i="3"/>
  <c r="M35" i="3"/>
  <c r="L29" i="3"/>
  <c r="L35" i="3"/>
  <c r="L32" i="3"/>
  <c r="K33" i="3"/>
  <c r="R7" i="3"/>
  <c r="M56" i="3"/>
  <c r="M52" i="3"/>
  <c r="R39" i="3"/>
  <c r="M7" i="3"/>
  <c r="L56" i="3"/>
  <c r="K39" i="3"/>
  <c r="L7" i="3"/>
  <c r="K56" i="3"/>
  <c r="L40" i="3"/>
  <c r="L52" i="3"/>
  <c r="M62" i="6"/>
  <c r="M38" i="14"/>
  <c r="L26" i="15"/>
  <c r="M15" i="15"/>
  <c r="L15" i="15"/>
  <c r="L16" i="6"/>
  <c r="L59" i="6"/>
  <c r="M35" i="6"/>
  <c r="M17" i="6"/>
  <c r="K29" i="6"/>
  <c r="E8" i="17"/>
  <c r="F8" i="17" s="1"/>
  <c r="K25" i="14"/>
  <c r="L19" i="14"/>
  <c r="M23" i="14"/>
  <c r="L23" i="14"/>
  <c r="M41" i="14"/>
  <c r="M36" i="14"/>
  <c r="A36" i="14" s="1" a="1"/>
  <c r="A36" i="14" s="1"/>
  <c r="Q36" i="14" s="1"/>
  <c r="L41" i="14"/>
  <c r="L36" i="14"/>
  <c r="K19" i="14"/>
  <c r="K15" i="14"/>
  <c r="M16" i="6"/>
  <c r="M55" i="6"/>
  <c r="L17" i="6"/>
  <c r="M33" i="6"/>
  <c r="L55" i="6"/>
  <c r="L33" i="6"/>
  <c r="M29" i="6"/>
  <c r="M34" i="14"/>
  <c r="M27" i="14"/>
  <c r="L34" i="14"/>
  <c r="M6" i="14"/>
  <c r="L27" i="14"/>
  <c r="L20" i="14"/>
  <c r="L6" i="14"/>
  <c r="K20" i="14"/>
  <c r="K52" i="14"/>
  <c r="L52" i="14"/>
  <c r="M52" i="14"/>
  <c r="K17" i="14"/>
  <c r="L17" i="14"/>
  <c r="M17" i="14"/>
  <c r="K29" i="14"/>
  <c r="L29" i="14"/>
  <c r="M29" i="14"/>
  <c r="K5" i="14"/>
  <c r="L5" i="14"/>
  <c r="M5" i="14"/>
  <c r="M15" i="14"/>
  <c r="K39" i="14"/>
  <c r="M39" i="14"/>
  <c r="C4" i="17"/>
  <c r="D4" i="17" s="1"/>
  <c r="K68" i="11"/>
  <c r="K18" i="11"/>
  <c r="R7" i="11"/>
  <c r="M32" i="11"/>
  <c r="R28" i="11"/>
  <c r="C49" i="17"/>
  <c r="D49" i="17" s="1"/>
  <c r="R50" i="11"/>
  <c r="L32" i="11"/>
  <c r="M28" i="11"/>
  <c r="R32" i="11"/>
  <c r="R68" i="11"/>
  <c r="K39" i="11"/>
  <c r="L39" i="11"/>
  <c r="M39" i="11"/>
  <c r="R39" i="11"/>
  <c r="K33" i="11"/>
  <c r="K66" i="11"/>
  <c r="S7" i="11"/>
  <c r="R72" i="11"/>
  <c r="M68" i="11"/>
  <c r="R33" i="11"/>
  <c r="M7" i="11"/>
  <c r="R66" i="11"/>
  <c r="L68" i="11"/>
  <c r="M72" i="11"/>
  <c r="L7" i="11"/>
  <c r="K52" i="11"/>
  <c r="R52" i="11"/>
  <c r="M39" i="3"/>
  <c r="C42" i="17"/>
  <c r="D42" i="17" s="1"/>
  <c r="K52" i="3"/>
  <c r="K24" i="3"/>
  <c r="R18" i="3"/>
  <c r="M18" i="3"/>
  <c r="R33" i="3"/>
  <c r="L18" i="3"/>
  <c r="R61" i="3"/>
  <c r="M33" i="3"/>
  <c r="R63" i="3"/>
  <c r="M63" i="3"/>
  <c r="L63" i="3"/>
  <c r="K5" i="3"/>
  <c r="R35" i="3"/>
  <c r="R32" i="3"/>
  <c r="K40" i="3"/>
  <c r="K29" i="3"/>
  <c r="R68" i="3"/>
  <c r="R54" i="3"/>
  <c r="R24" i="3"/>
  <c r="M68" i="3"/>
  <c r="R5" i="3"/>
  <c r="R29" i="3"/>
  <c r="M54" i="3"/>
  <c r="L68" i="3"/>
  <c r="M24" i="3"/>
  <c r="L54" i="3"/>
  <c r="M5" i="3"/>
  <c r="M3" i="13"/>
  <c r="L3" i="13"/>
  <c r="M12" i="13"/>
  <c r="N10" i="12"/>
  <c r="A10" i="12" s="1" a="1"/>
  <c r="A10" i="12" s="1"/>
  <c r="R10" i="12" s="1"/>
  <c r="L3" i="12"/>
  <c r="N3" i="12"/>
  <c r="A3" i="12" s="1" a="1"/>
  <c r="A3" i="12" s="1"/>
  <c r="R3" i="12" s="1"/>
  <c r="N5" i="12"/>
  <c r="M5" i="12"/>
  <c r="N9" i="12"/>
  <c r="N8" i="12"/>
  <c r="M8" i="12"/>
  <c r="L3" i="11"/>
  <c r="R3" i="11"/>
  <c r="R48" i="11"/>
  <c r="R58" i="11"/>
  <c r="K58" i="11"/>
  <c r="M48" i="11"/>
  <c r="L48" i="11"/>
  <c r="M58" i="11"/>
  <c r="J7" i="11" l="1"/>
  <c r="S43" i="11"/>
  <c r="J43" i="11" s="1"/>
  <c r="S18" i="11"/>
  <c r="J18" i="11" s="1"/>
  <c r="S74" i="11"/>
  <c r="J74" i="11" s="1"/>
  <c r="S17" i="11"/>
  <c r="J17" i="11" s="1"/>
  <c r="S7" i="3"/>
  <c r="J7" i="3" s="1"/>
  <c r="S56" i="3"/>
  <c r="J56" i="3" s="1"/>
  <c r="S52" i="3"/>
  <c r="J52" i="3" s="1"/>
  <c r="S4" i="11"/>
  <c r="J4" i="11" s="1"/>
  <c r="S41" i="11"/>
  <c r="J41" i="11" s="1"/>
  <c r="S34" i="11"/>
  <c r="J34" i="11" s="1"/>
  <c r="S40" i="11"/>
  <c r="J40" i="11" s="1"/>
  <c r="S39" i="11"/>
  <c r="J39" i="11" s="1"/>
  <c r="S32" i="11"/>
  <c r="J32" i="11" s="1"/>
  <c r="S23" i="11"/>
  <c r="J23" i="11" s="1"/>
  <c r="S3" i="11"/>
  <c r="J3" i="11" s="1"/>
  <c r="S16" i="11"/>
  <c r="J16" i="11" s="1"/>
  <c r="S28" i="11"/>
  <c r="J28" i="11" s="1"/>
  <c r="S38" i="11"/>
  <c r="J38" i="11" s="1"/>
  <c r="S48" i="11"/>
  <c r="J48" i="11" s="1"/>
  <c r="S49" i="11"/>
  <c r="J49" i="11" s="1"/>
  <c r="S68" i="11"/>
  <c r="J68" i="11" s="1"/>
  <c r="S33" i="11"/>
  <c r="J33" i="11" s="1"/>
  <c r="S50" i="11"/>
  <c r="J50" i="11" s="1"/>
  <c r="S13" i="3"/>
  <c r="J13" i="3" s="1"/>
  <c r="S54" i="3"/>
  <c r="J54" i="3" s="1"/>
  <c r="S5" i="3"/>
  <c r="J5" i="3" s="1"/>
  <c r="S68" i="3"/>
  <c r="J68" i="3" s="1"/>
  <c r="S33" i="3"/>
  <c r="J33" i="3" s="1"/>
  <c r="S39" i="3"/>
  <c r="J39" i="3" s="1"/>
  <c r="S18" i="3"/>
  <c r="J18" i="3" s="1"/>
  <c r="S63" i="3"/>
  <c r="J63" i="3" s="1"/>
  <c r="S32" i="3"/>
  <c r="J32" i="3" s="1"/>
  <c r="S40" i="3"/>
  <c r="J40" i="3" s="1"/>
  <c r="S61" i="3"/>
  <c r="J61" i="3" s="1"/>
  <c r="S27" i="3"/>
  <c r="J27" i="3" s="1"/>
  <c r="A3" i="14" a="1"/>
  <c r="A3" i="14" s="1"/>
  <c r="A44" i="14" a="1"/>
  <c r="A44" i="14" s="1"/>
  <c r="A57" i="14" a="1"/>
  <c r="A57" i="14" s="1"/>
  <c r="A26" i="15" a="1"/>
  <c r="A26" i="15" s="1"/>
  <c r="Q26" i="15" s="1"/>
  <c r="A52" i="11" a="1"/>
  <c r="A52" i="11" s="1"/>
  <c r="Q52" i="11" s="1"/>
  <c r="A58" i="11" a="1"/>
  <c r="A58" i="11" s="1"/>
  <c r="Q58" i="11" s="1"/>
  <c r="A18" i="11" a="1"/>
  <c r="A18" i="11" s="1"/>
  <c r="Q18" i="11" s="1"/>
  <c r="A23" i="11" a="1"/>
  <c r="A23" i="11" s="1"/>
  <c r="Q23" i="11" s="1"/>
  <c r="A16" i="11" a="1"/>
  <c r="A16" i="11" s="1"/>
  <c r="Q16" i="11" s="1"/>
  <c r="A50" i="11" a="1"/>
  <c r="A50" i="11" s="1"/>
  <c r="Q50" i="11" s="1"/>
  <c r="S69" i="11"/>
  <c r="J69" i="11" s="1"/>
  <c r="S34" i="3"/>
  <c r="J34" i="3" s="1"/>
  <c r="S12" i="3"/>
  <c r="J12" i="3" s="1"/>
  <c r="S72" i="11"/>
  <c r="J72" i="11" s="1"/>
  <c r="S66" i="11"/>
  <c r="J66" i="11" s="1"/>
  <c r="S52" i="11"/>
  <c r="J52" i="11" s="1"/>
  <c r="S35" i="3"/>
  <c r="J35" i="3" s="1"/>
  <c r="S29" i="3"/>
  <c r="J29" i="3" s="1"/>
  <c r="S24" i="3"/>
  <c r="J24" i="3" s="1"/>
  <c r="S58" i="11"/>
  <c r="J58" i="11" s="1"/>
  <c r="AE10" i="11" l="1"/>
  <c r="D14" i="15" l="1"/>
  <c r="D52" i="6"/>
  <c r="D8" i="6"/>
  <c r="D30" i="6"/>
  <c r="D19" i="6"/>
  <c r="D64" i="6"/>
  <c r="D57" i="6"/>
  <c r="D58" i="6"/>
  <c r="D12" i="6"/>
  <c r="D65" i="6"/>
  <c r="D41" i="6"/>
  <c r="D60" i="6"/>
  <c r="D11" i="6"/>
  <c r="D4" i="6"/>
  <c r="D15" i="6"/>
  <c r="D48" i="6"/>
  <c r="D7" i="6"/>
  <c r="D5" i="6"/>
  <c r="D56" i="6"/>
  <c r="D38" i="6"/>
  <c r="D6" i="6"/>
  <c r="D9" i="6"/>
  <c r="D39" i="6"/>
  <c r="D18" i="6"/>
  <c r="D13" i="6"/>
  <c r="D32" i="6"/>
  <c r="D3" i="6"/>
  <c r="D14" i="6"/>
  <c r="D34" i="6"/>
  <c r="D31" i="6"/>
  <c r="D26" i="6"/>
  <c r="D40" i="6"/>
  <c r="D22" i="6"/>
  <c r="D61" i="6"/>
  <c r="D7" i="13"/>
  <c r="D13" i="13"/>
  <c r="D9" i="13"/>
  <c r="D10" i="13"/>
  <c r="D4" i="13"/>
  <c r="D15" i="11"/>
  <c r="D11" i="11"/>
  <c r="D31" i="11"/>
  <c r="D57" i="11"/>
  <c r="D46" i="11"/>
  <c r="D36" i="11"/>
  <c r="D62" i="11"/>
  <c r="D60" i="11"/>
  <c r="D63" i="11"/>
  <c r="D65" i="11"/>
  <c r="D64" i="11"/>
  <c r="D55" i="11"/>
  <c r="D73" i="11"/>
  <c r="D12" i="11"/>
  <c r="D20" i="11"/>
  <c r="D56" i="11"/>
  <c r="D54" i="11"/>
  <c r="D71" i="11"/>
  <c r="D24" i="11"/>
  <c r="D53" i="11"/>
  <c r="D27" i="11"/>
  <c r="D70" i="11"/>
  <c r="D5" i="11"/>
  <c r="D9" i="11"/>
  <c r="D59" i="11"/>
  <c r="D45" i="11"/>
  <c r="D30" i="11"/>
  <c r="D22" i="11"/>
  <c r="D67" i="11"/>
  <c r="D8" i="11"/>
  <c r="D26" i="11"/>
  <c r="D10" i="11"/>
  <c r="D37" i="11"/>
  <c r="D35" i="11"/>
  <c r="D29" i="11"/>
  <c r="D47" i="11"/>
  <c r="D44" i="11"/>
  <c r="D61" i="11"/>
  <c r="D42" i="11"/>
  <c r="D13" i="11"/>
  <c r="D14" i="11"/>
  <c r="D19" i="11"/>
  <c r="D51" i="11"/>
  <c r="D25" i="11"/>
  <c r="D21" i="11"/>
  <c r="D62" i="3"/>
  <c r="D37" i="3"/>
  <c r="D17" i="3"/>
  <c r="D30" i="3"/>
  <c r="D47" i="3"/>
  <c r="D16" i="3"/>
  <c r="D66" i="3"/>
  <c r="D45" i="3"/>
  <c r="D51" i="3"/>
  <c r="D64" i="3"/>
  <c r="D50" i="3"/>
  <c r="D11" i="3"/>
  <c r="D57" i="3"/>
  <c r="D21" i="3"/>
  <c r="D10" i="3"/>
  <c r="D48" i="3"/>
  <c r="D53" i="3"/>
  <c r="D19" i="3"/>
  <c r="D49" i="3"/>
  <c r="D8" i="3"/>
  <c r="D31" i="3"/>
  <c r="D3" i="3"/>
  <c r="D28" i="3"/>
  <c r="D26" i="3"/>
  <c r="D59" i="3"/>
  <c r="D20" i="3"/>
  <c r="D23" i="3"/>
  <c r="D4" i="3"/>
  <c r="D70" i="3"/>
  <c r="D9" i="3"/>
  <c r="D25" i="3"/>
  <c r="D55" i="3"/>
  <c r="D36" i="3"/>
  <c r="D38" i="3"/>
  <c r="D60" i="3"/>
  <c r="D67" i="3"/>
  <c r="D44" i="3"/>
  <c r="D58" i="3"/>
  <c r="D65" i="3"/>
  <c r="D69" i="3"/>
  <c r="D22" i="3"/>
  <c r="D15" i="3"/>
  <c r="D14" i="3"/>
  <c r="G69" i="17" l="1"/>
  <c r="H69" i="17" s="1"/>
  <c r="G71" i="17"/>
  <c r="H71" i="17" s="1"/>
  <c r="G7" i="17"/>
  <c r="H7" i="17" s="1"/>
  <c r="E11" i="17"/>
  <c r="F11" i="17" s="1"/>
  <c r="G11" i="17"/>
  <c r="H11" i="17" s="1"/>
  <c r="C45" i="17"/>
  <c r="D45" i="17" s="1"/>
  <c r="E51" i="17"/>
  <c r="F51" i="17" s="1"/>
  <c r="G51" i="17"/>
  <c r="H51" i="17" s="1"/>
  <c r="G57" i="17"/>
  <c r="H57" i="17" s="1"/>
  <c r="G10" i="15" l="1"/>
  <c r="G29" i="15"/>
  <c r="G9" i="15"/>
  <c r="G7" i="15"/>
  <c r="G3" i="15"/>
  <c r="K3" i="15" s="1"/>
  <c r="Q11" i="15"/>
  <c r="G11" i="15"/>
  <c r="G8" i="15"/>
  <c r="Q16" i="15"/>
  <c r="G16" i="15"/>
  <c r="G28" i="15"/>
  <c r="G31" i="16"/>
  <c r="G28" i="17"/>
  <c r="H28" i="17" s="1"/>
  <c r="G5" i="16"/>
  <c r="Q23" i="16"/>
  <c r="G23" i="16"/>
  <c r="G29" i="16"/>
  <c r="G22" i="16"/>
  <c r="Q25" i="16"/>
  <c r="G25" i="16"/>
  <c r="Q12" i="16"/>
  <c r="G12" i="16"/>
  <c r="Q39" i="16"/>
  <c r="G39" i="16"/>
  <c r="G18" i="16"/>
  <c r="G32" i="16"/>
  <c r="E53" i="17"/>
  <c r="F53" i="17" s="1"/>
  <c r="Q40" i="14"/>
  <c r="Q37" i="14"/>
  <c r="Q11" i="14"/>
  <c r="Q62" i="14"/>
  <c r="Q63" i="14"/>
  <c r="Q32" i="14"/>
  <c r="Q64" i="6"/>
  <c r="G64" i="6"/>
  <c r="Q12" i="6"/>
  <c r="G12" i="6"/>
  <c r="Q18" i="6"/>
  <c r="G18" i="6"/>
  <c r="G30" i="6"/>
  <c r="Q57" i="6"/>
  <c r="E34" i="17" s="1"/>
  <c r="F34" i="17" s="1"/>
  <c r="G57" i="6"/>
  <c r="G15" i="6"/>
  <c r="Q11" i="6"/>
  <c r="G11" i="6"/>
  <c r="G8" i="6"/>
  <c r="Q58" i="6"/>
  <c r="G58" i="6"/>
  <c r="G48" i="6"/>
  <c r="G5" i="6"/>
  <c r="Q19" i="6"/>
  <c r="G19" i="6"/>
  <c r="Q7" i="6"/>
  <c r="G7" i="6"/>
  <c r="G41" i="6"/>
  <c r="G60" i="6"/>
  <c r="G4" i="6"/>
  <c r="K4" i="6" s="1"/>
  <c r="H13" i="13"/>
  <c r="Y13" i="13"/>
  <c r="AF13" i="13"/>
  <c r="R7" i="13"/>
  <c r="H7" i="13"/>
  <c r="Y7" i="13"/>
  <c r="AF7" i="13"/>
  <c r="H10" i="13"/>
  <c r="Y10" i="13"/>
  <c r="AF10" i="13"/>
  <c r="R4" i="13"/>
  <c r="H4" i="13"/>
  <c r="Y4" i="13"/>
  <c r="AF4" i="13"/>
  <c r="R9" i="13"/>
  <c r="H9" i="13"/>
  <c r="Y9" i="13"/>
  <c r="AF9" i="13"/>
  <c r="R4" i="12"/>
  <c r="H4" i="12"/>
  <c r="L4" i="12" s="1"/>
  <c r="Y4" i="12"/>
  <c r="H7" i="12"/>
  <c r="Y7" i="12"/>
  <c r="Q51" i="11"/>
  <c r="G51" i="11"/>
  <c r="X51" i="11"/>
  <c r="AE51" i="11"/>
  <c r="G21" i="11"/>
  <c r="X21" i="11"/>
  <c r="AE21" i="11"/>
  <c r="G45" i="11"/>
  <c r="X45" i="11"/>
  <c r="AE45" i="11"/>
  <c r="G13" i="11"/>
  <c r="X13" i="11"/>
  <c r="AE13" i="11"/>
  <c r="Q14" i="11"/>
  <c r="G14" i="11"/>
  <c r="X14" i="11"/>
  <c r="AE14" i="11"/>
  <c r="Q9" i="11"/>
  <c r="G9" i="11"/>
  <c r="X9" i="11"/>
  <c r="AE9" i="11"/>
  <c r="G60" i="11"/>
  <c r="X60" i="11"/>
  <c r="AE60" i="11"/>
  <c r="Q15" i="11"/>
  <c r="G15" i="11"/>
  <c r="X15" i="11"/>
  <c r="AE15" i="11"/>
  <c r="Q54" i="11"/>
  <c r="G54" i="11"/>
  <c r="X54" i="11"/>
  <c r="AE54" i="11"/>
  <c r="Q70" i="11"/>
  <c r="G70" i="11"/>
  <c r="X70" i="11"/>
  <c r="AE70" i="11"/>
  <c r="Q31" i="11"/>
  <c r="G31" i="11"/>
  <c r="X31" i="11"/>
  <c r="AE31" i="11"/>
  <c r="Q73" i="11"/>
  <c r="G73" i="11"/>
  <c r="X73" i="11"/>
  <c r="AE73" i="11"/>
  <c r="G20" i="11"/>
  <c r="X20" i="11"/>
  <c r="AE20" i="11"/>
  <c r="Q36" i="11"/>
  <c r="G36" i="11"/>
  <c r="X36" i="11"/>
  <c r="AE36" i="11"/>
  <c r="G55" i="11"/>
  <c r="X55" i="11"/>
  <c r="AE55" i="11"/>
  <c r="G5" i="11"/>
  <c r="X5" i="11"/>
  <c r="AE5" i="11"/>
  <c r="G12" i="11"/>
  <c r="X12" i="11"/>
  <c r="AE12" i="11"/>
  <c r="G65" i="11"/>
  <c r="X65" i="11"/>
  <c r="AE65" i="11"/>
  <c r="G65" i="3"/>
  <c r="X65" i="3"/>
  <c r="AE65" i="3"/>
  <c r="G11" i="3"/>
  <c r="X11" i="3"/>
  <c r="AE11" i="3"/>
  <c r="G48" i="3"/>
  <c r="X48" i="3"/>
  <c r="AE48" i="3"/>
  <c r="G70" i="3"/>
  <c r="X70" i="3"/>
  <c r="AE70" i="3"/>
  <c r="G4" i="3"/>
  <c r="X4" i="3"/>
  <c r="AE4" i="3"/>
  <c r="G14" i="3"/>
  <c r="X14" i="3"/>
  <c r="AE14" i="3"/>
  <c r="G66" i="3"/>
  <c r="X66" i="3"/>
  <c r="AE66" i="3"/>
  <c r="G3" i="3"/>
  <c r="X3" i="3"/>
  <c r="AE3" i="3"/>
  <c r="G31" i="3"/>
  <c r="X31" i="3"/>
  <c r="AE31" i="3"/>
  <c r="C2" i="17"/>
  <c r="D2" i="17" s="1"/>
  <c r="G53" i="3"/>
  <c r="X53" i="3"/>
  <c r="AE53" i="3"/>
  <c r="G45" i="3"/>
  <c r="X45" i="3"/>
  <c r="AE45" i="3"/>
  <c r="G16" i="3"/>
  <c r="X16" i="3"/>
  <c r="AE16" i="3"/>
  <c r="G50" i="3"/>
  <c r="X50" i="3"/>
  <c r="AE50" i="3"/>
  <c r="G57" i="3"/>
  <c r="X57" i="3"/>
  <c r="AE57" i="3"/>
  <c r="G37" i="3"/>
  <c r="X37" i="3"/>
  <c r="AE37" i="3"/>
  <c r="R20" i="11" l="1"/>
  <c r="R13" i="11"/>
  <c r="R65" i="11"/>
  <c r="R54" i="11"/>
  <c r="R14" i="11"/>
  <c r="R21" i="11"/>
  <c r="R36" i="11"/>
  <c r="R60" i="11"/>
  <c r="R51" i="11"/>
  <c r="S51" i="11"/>
  <c r="R5" i="11"/>
  <c r="R31" i="11"/>
  <c r="R45" i="11"/>
  <c r="R12" i="11"/>
  <c r="R55" i="11"/>
  <c r="R73" i="11"/>
  <c r="R70" i="11"/>
  <c r="S70" i="11" s="1"/>
  <c r="R15" i="11"/>
  <c r="R9" i="11"/>
  <c r="R65" i="3"/>
  <c r="R37" i="3"/>
  <c r="R11" i="3"/>
  <c r="R31" i="3"/>
  <c r="R50" i="3"/>
  <c r="R66" i="3"/>
  <c r="R57" i="3"/>
  <c r="R3" i="3"/>
  <c r="R53" i="3"/>
  <c r="R4" i="3"/>
  <c r="R14" i="3"/>
  <c r="R16" i="3"/>
  <c r="R45" i="3"/>
  <c r="R70" i="3"/>
  <c r="R48" i="3"/>
  <c r="E17" i="17"/>
  <c r="F17" i="17" s="1"/>
  <c r="M11" i="14"/>
  <c r="K14" i="14"/>
  <c r="K51" i="14"/>
  <c r="K44" i="14"/>
  <c r="M60" i="14"/>
  <c r="K62" i="14"/>
  <c r="K37" i="14"/>
  <c r="K40" i="14"/>
  <c r="M32" i="14"/>
  <c r="M63" i="14"/>
  <c r="M13" i="14"/>
  <c r="K57" i="14"/>
  <c r="M11" i="6"/>
  <c r="M30" i="6"/>
  <c r="M41" i="6"/>
  <c r="K58" i="6"/>
  <c r="K18" i="6"/>
  <c r="K64" i="6"/>
  <c r="K7" i="6"/>
  <c r="K48" i="6"/>
  <c r="K15" i="6"/>
  <c r="M19" i="6"/>
  <c r="K8" i="6"/>
  <c r="K60" i="6"/>
  <c r="K5" i="6"/>
  <c r="M57" i="6"/>
  <c r="M12" i="6"/>
  <c r="M23" i="16"/>
  <c r="K32" i="16"/>
  <c r="K39" i="16"/>
  <c r="M22" i="16"/>
  <c r="M31" i="16"/>
  <c r="M18" i="16"/>
  <c r="M12" i="16"/>
  <c r="M25" i="16"/>
  <c r="L29" i="16"/>
  <c r="K5" i="16"/>
  <c r="K8" i="15"/>
  <c r="K9" i="15"/>
  <c r="L28" i="15"/>
  <c r="M11" i="15"/>
  <c r="K29" i="15"/>
  <c r="K16" i="15"/>
  <c r="K7" i="15"/>
  <c r="K10" i="15"/>
  <c r="L7" i="13"/>
  <c r="M4" i="13"/>
  <c r="M13" i="13"/>
  <c r="M9" i="13"/>
  <c r="M10" i="13"/>
  <c r="N7" i="12"/>
  <c r="G50" i="17"/>
  <c r="H50" i="17" s="1"/>
  <c r="M73" i="11"/>
  <c r="M31" i="11"/>
  <c r="M70" i="11"/>
  <c r="M54" i="11"/>
  <c r="M60" i="11"/>
  <c r="K51" i="11"/>
  <c r="K65" i="11"/>
  <c r="M5" i="11"/>
  <c r="L20" i="11"/>
  <c r="K15" i="11"/>
  <c r="M9" i="11"/>
  <c r="K13" i="11"/>
  <c r="L21" i="11"/>
  <c r="K53" i="3"/>
  <c r="L14" i="3"/>
  <c r="M70" i="3"/>
  <c r="M65" i="3"/>
  <c r="L50" i="3"/>
  <c r="L16" i="3"/>
  <c r="M4" i="3"/>
  <c r="K48" i="3"/>
  <c r="M11" i="3"/>
  <c r="M51" i="14"/>
  <c r="A51" i="14" s="1" a="1"/>
  <c r="A51" i="14" s="1"/>
  <c r="Q51" i="14" s="1"/>
  <c r="G23" i="17"/>
  <c r="H23" i="17" s="1"/>
  <c r="L13" i="14"/>
  <c r="L11" i="14"/>
  <c r="K11" i="14"/>
  <c r="K41" i="6"/>
  <c r="K11" i="6"/>
  <c r="L12" i="6"/>
  <c r="L41" i="6"/>
  <c r="M9" i="15"/>
  <c r="L9" i="15"/>
  <c r="M55" i="11"/>
  <c r="L9" i="11"/>
  <c r="L73" i="11"/>
  <c r="K21" i="11"/>
  <c r="L70" i="3"/>
  <c r="M53" i="3"/>
  <c r="M10" i="15"/>
  <c r="L10" i="15"/>
  <c r="L3" i="15"/>
  <c r="M16" i="15"/>
  <c r="L16" i="15"/>
  <c r="M8" i="15"/>
  <c r="L8" i="15"/>
  <c r="L11" i="15"/>
  <c r="K11" i="15"/>
  <c r="M3" i="15"/>
  <c r="B25" i="15" s="1" a="1"/>
  <c r="B25" i="15" s="1"/>
  <c r="M29" i="15"/>
  <c r="L29" i="15"/>
  <c r="M7" i="15"/>
  <c r="L7" i="15"/>
  <c r="K28" i="15"/>
  <c r="M28" i="15"/>
  <c r="L31" i="16"/>
  <c r="K31" i="16"/>
  <c r="L22" i="16"/>
  <c r="K22" i="16"/>
  <c r="M29" i="16"/>
  <c r="M32" i="16"/>
  <c r="K29" i="16"/>
  <c r="L23" i="16"/>
  <c r="K23" i="16"/>
  <c r="M5" i="16"/>
  <c r="L5" i="16"/>
  <c r="M39" i="16"/>
  <c r="L11" i="3"/>
  <c r="M14" i="3"/>
  <c r="K11" i="3"/>
  <c r="N7" i="13"/>
  <c r="L10" i="13"/>
  <c r="L18" i="16"/>
  <c r="L12" i="16"/>
  <c r="L25" i="16"/>
  <c r="K18" i="16"/>
  <c r="K12" i="16"/>
  <c r="K25" i="16"/>
  <c r="L32" i="16"/>
  <c r="L39" i="16"/>
  <c r="M40" i="14"/>
  <c r="L40" i="14"/>
  <c r="L60" i="14"/>
  <c r="M14" i="14"/>
  <c r="L14" i="14"/>
  <c r="L63" i="14"/>
  <c r="K63" i="14"/>
  <c r="K13" i="14"/>
  <c r="K60" i="14"/>
  <c r="M62" i="14"/>
  <c r="M44" i="14"/>
  <c r="M37" i="14"/>
  <c r="M57" i="14"/>
  <c r="L37" i="14"/>
  <c r="L57" i="14"/>
  <c r="L51" i="14"/>
  <c r="L62" i="14"/>
  <c r="L32" i="14"/>
  <c r="K32" i="14"/>
  <c r="L44" i="14"/>
  <c r="M60" i="6"/>
  <c r="L19" i="6"/>
  <c r="L64" i="6"/>
  <c r="M8" i="6"/>
  <c r="L8" i="6"/>
  <c r="L11" i="6"/>
  <c r="M18" i="6"/>
  <c r="L18" i="6"/>
  <c r="L30" i="6"/>
  <c r="K30" i="6"/>
  <c r="L57" i="6"/>
  <c r="K57" i="6"/>
  <c r="M15" i="6"/>
  <c r="M64" i="6"/>
  <c r="M4" i="6"/>
  <c r="M7" i="6"/>
  <c r="K19" i="6"/>
  <c r="M5" i="6"/>
  <c r="M48" i="6"/>
  <c r="K12" i="6"/>
  <c r="L15" i="6"/>
  <c r="M58" i="6"/>
  <c r="L58" i="6"/>
  <c r="L4" i="6"/>
  <c r="L60" i="6"/>
  <c r="L7" i="6"/>
  <c r="L5" i="6"/>
  <c r="L48" i="6"/>
  <c r="L13" i="13"/>
  <c r="L9" i="13"/>
  <c r="L4" i="13"/>
  <c r="N10" i="13"/>
  <c r="M7" i="13"/>
  <c r="N9" i="13"/>
  <c r="N4" i="13"/>
  <c r="N13" i="13"/>
  <c r="L7" i="12"/>
  <c r="N4" i="12"/>
  <c r="M7" i="12"/>
  <c r="M4" i="12"/>
  <c r="K36" i="11"/>
  <c r="M45" i="11"/>
  <c r="L55" i="11"/>
  <c r="M21" i="11"/>
  <c r="M51" i="11"/>
  <c r="L51" i="11"/>
  <c r="M13" i="11"/>
  <c r="L13" i="11"/>
  <c r="L45" i="11"/>
  <c r="K45" i="11"/>
  <c r="M14" i="11"/>
  <c r="L14" i="11"/>
  <c r="K14" i="11"/>
  <c r="K73" i="11"/>
  <c r="L70" i="11"/>
  <c r="K70" i="11"/>
  <c r="K9" i="11"/>
  <c r="K12" i="11"/>
  <c r="L5" i="11"/>
  <c r="L31" i="11"/>
  <c r="L54" i="11"/>
  <c r="L60" i="11"/>
  <c r="K31" i="11"/>
  <c r="K54" i="11"/>
  <c r="M15" i="11"/>
  <c r="K60" i="11"/>
  <c r="L15" i="11"/>
  <c r="M36" i="11"/>
  <c r="M20" i="11"/>
  <c r="K20" i="11"/>
  <c r="M65" i="11"/>
  <c r="M12" i="11"/>
  <c r="K5" i="11"/>
  <c r="K55" i="11"/>
  <c r="L12" i="11"/>
  <c r="L65" i="11"/>
  <c r="L36" i="11"/>
  <c r="K50" i="3"/>
  <c r="K14" i="3"/>
  <c r="L53" i="3"/>
  <c r="K70" i="3"/>
  <c r="M50" i="3"/>
  <c r="M66" i="3"/>
  <c r="L65" i="3"/>
  <c r="K65" i="3"/>
  <c r="L4" i="3"/>
  <c r="K4" i="3"/>
  <c r="M48" i="3"/>
  <c r="L48" i="3"/>
  <c r="L66" i="3"/>
  <c r="M37" i="3"/>
  <c r="M57" i="3"/>
  <c r="L57" i="3"/>
  <c r="K57" i="3"/>
  <c r="K16" i="3"/>
  <c r="M16" i="3"/>
  <c r="M45" i="3"/>
  <c r="M31" i="3"/>
  <c r="M3" i="3"/>
  <c r="K66" i="3"/>
  <c r="L45" i="3"/>
  <c r="L31" i="3"/>
  <c r="L3" i="3"/>
  <c r="K45" i="3"/>
  <c r="K31" i="3"/>
  <c r="K3" i="3"/>
  <c r="L37" i="3"/>
  <c r="K37" i="3"/>
  <c r="G2" i="17"/>
  <c r="H2" i="17" s="1"/>
  <c r="D3" i="16"/>
  <c r="D3" i="14"/>
  <c r="G3" i="16"/>
  <c r="G26" i="16"/>
  <c r="G9" i="16"/>
  <c r="G20" i="16"/>
  <c r="G14" i="16"/>
  <c r="G27" i="16"/>
  <c r="G38" i="16"/>
  <c r="G16" i="16"/>
  <c r="G42" i="16"/>
  <c r="G24" i="16"/>
  <c r="G33" i="16"/>
  <c r="G40" i="16"/>
  <c r="AE62" i="11"/>
  <c r="AE24" i="11"/>
  <c r="AE57" i="11"/>
  <c r="AE63" i="11"/>
  <c r="AE64" i="11"/>
  <c r="AE59" i="11"/>
  <c r="AE46" i="11"/>
  <c r="AE71" i="11"/>
  <c r="AE53" i="11"/>
  <c r="AE6" i="11"/>
  <c r="AE27" i="11"/>
  <c r="AE11" i="11"/>
  <c r="AE29" i="11"/>
  <c r="AE56" i="11"/>
  <c r="AE30" i="11"/>
  <c r="AE67" i="11"/>
  <c r="AE42" i="11"/>
  <c r="AE61" i="11"/>
  <c r="AE35" i="11"/>
  <c r="AE37" i="11"/>
  <c r="AE44" i="11"/>
  <c r="AE22" i="11"/>
  <c r="AE8" i="11"/>
  <c r="AE47" i="11"/>
  <c r="AE26" i="11"/>
  <c r="AE19" i="11"/>
  <c r="AE25" i="11"/>
  <c r="AE17" i="3"/>
  <c r="AE6" i="3"/>
  <c r="AE19" i="3"/>
  <c r="AE47" i="3"/>
  <c r="AE49" i="3"/>
  <c r="AE10" i="3"/>
  <c r="AE62" i="3"/>
  <c r="AE64" i="3"/>
  <c r="AE30" i="3"/>
  <c r="AE8" i="3"/>
  <c r="AE51" i="3"/>
  <c r="AE21" i="3"/>
  <c r="AE26" i="3"/>
  <c r="AE59" i="3"/>
  <c r="AE28" i="3"/>
  <c r="AE69" i="3"/>
  <c r="AE55" i="3"/>
  <c r="AE36" i="3"/>
  <c r="AE67" i="3"/>
  <c r="AE20" i="3"/>
  <c r="AE38" i="3"/>
  <c r="AE60" i="3"/>
  <c r="AE44" i="3"/>
  <c r="AE23" i="3"/>
  <c r="AE25" i="3"/>
  <c r="AE9" i="3"/>
  <c r="AE22" i="3"/>
  <c r="AE58" i="3"/>
  <c r="AE15" i="3"/>
  <c r="X17" i="3"/>
  <c r="X6" i="3"/>
  <c r="X19" i="3"/>
  <c r="X47" i="3"/>
  <c r="X49" i="3"/>
  <c r="X10" i="3"/>
  <c r="X62" i="3"/>
  <c r="X64" i="3"/>
  <c r="X30" i="3"/>
  <c r="X8" i="3"/>
  <c r="X51" i="3"/>
  <c r="X21" i="3"/>
  <c r="X26" i="3"/>
  <c r="X59" i="3"/>
  <c r="X28" i="3"/>
  <c r="X69" i="3"/>
  <c r="X55" i="3"/>
  <c r="X36" i="3"/>
  <c r="X67" i="3"/>
  <c r="X20" i="3"/>
  <c r="X60" i="3"/>
  <c r="X44" i="3"/>
  <c r="X23" i="3"/>
  <c r="X25" i="3"/>
  <c r="X9" i="3"/>
  <c r="X22" i="3"/>
  <c r="X58" i="3"/>
  <c r="X15" i="3"/>
  <c r="X62" i="11"/>
  <c r="X24" i="11"/>
  <c r="X57" i="11"/>
  <c r="X63" i="11"/>
  <c r="X64" i="11"/>
  <c r="X59" i="11"/>
  <c r="X46" i="11"/>
  <c r="X71" i="11"/>
  <c r="X53" i="11"/>
  <c r="X6" i="11"/>
  <c r="X27" i="11"/>
  <c r="X11" i="11"/>
  <c r="X29" i="11"/>
  <c r="X56" i="11"/>
  <c r="X30" i="11"/>
  <c r="X67" i="11"/>
  <c r="X42" i="11"/>
  <c r="X61" i="11"/>
  <c r="X10" i="11"/>
  <c r="X35" i="11"/>
  <c r="X37" i="11"/>
  <c r="X44" i="11"/>
  <c r="X22" i="11"/>
  <c r="X8" i="11"/>
  <c r="X47" i="11"/>
  <c r="X26" i="11"/>
  <c r="X19" i="11"/>
  <c r="X25" i="11"/>
  <c r="G59" i="11"/>
  <c r="G46" i="11"/>
  <c r="G71" i="11"/>
  <c r="G53" i="11"/>
  <c r="G6" i="11"/>
  <c r="G27" i="11"/>
  <c r="G11" i="11"/>
  <c r="G29" i="11"/>
  <c r="G56" i="11"/>
  <c r="G30" i="11"/>
  <c r="G60" i="3"/>
  <c r="G44" i="3"/>
  <c r="G23" i="3"/>
  <c r="G25" i="3"/>
  <c r="G9" i="3"/>
  <c r="G22" i="3"/>
  <c r="G58" i="3"/>
  <c r="G15" i="3"/>
  <c r="G6" i="3"/>
  <c r="K6" i="3" s="1"/>
  <c r="G19" i="3"/>
  <c r="G47" i="3"/>
  <c r="G49" i="3"/>
  <c r="G10" i="3"/>
  <c r="G62" i="3"/>
  <c r="G64" i="3"/>
  <c r="G30" i="3"/>
  <c r="G8" i="3"/>
  <c r="G51" i="3"/>
  <c r="G21" i="3"/>
  <c r="G26" i="3"/>
  <c r="G59" i="3"/>
  <c r="G28" i="3"/>
  <c r="G69" i="3"/>
  <c r="G55" i="3"/>
  <c r="G36" i="3"/>
  <c r="G67" i="3"/>
  <c r="G20" i="3"/>
  <c r="G38" i="3"/>
  <c r="G47" i="11"/>
  <c r="G26" i="11"/>
  <c r="G19" i="11"/>
  <c r="G25" i="11"/>
  <c r="G62" i="11"/>
  <c r="G24" i="11"/>
  <c r="G57" i="11"/>
  <c r="G63" i="11"/>
  <c r="G64" i="11"/>
  <c r="G67" i="11"/>
  <c r="G42" i="11"/>
  <c r="G61" i="11"/>
  <c r="G10" i="11"/>
  <c r="G35" i="11"/>
  <c r="G37" i="11"/>
  <c r="G44" i="11"/>
  <c r="G22" i="11"/>
  <c r="G8" i="11"/>
  <c r="G17" i="16"/>
  <c r="G11" i="16"/>
  <c r="G45" i="16"/>
  <c r="G4" i="16"/>
  <c r="G30" i="16"/>
  <c r="G41" i="16"/>
  <c r="G34" i="16"/>
  <c r="G18" i="15"/>
  <c r="G24" i="15"/>
  <c r="G14" i="15"/>
  <c r="G6" i="15"/>
  <c r="G13" i="15"/>
  <c r="G27" i="15"/>
  <c r="G32" i="15"/>
  <c r="G19" i="15"/>
  <c r="G6" i="6"/>
  <c r="G52" i="6"/>
  <c r="G9" i="6"/>
  <c r="G32" i="6"/>
  <c r="G65" i="6"/>
  <c r="G56" i="6"/>
  <c r="G38" i="6"/>
  <c r="G39" i="6"/>
  <c r="G40" i="6"/>
  <c r="G13" i="6"/>
  <c r="G34" i="6"/>
  <c r="G31" i="6"/>
  <c r="G3" i="6"/>
  <c r="G61" i="6"/>
  <c r="G22" i="6"/>
  <c r="G26" i="6"/>
  <c r="G14" i="6"/>
  <c r="G17" i="3"/>
  <c r="B68" i="6" l="1" a="1"/>
  <c r="B68" i="6" s="1"/>
  <c r="B54" i="6" a="1"/>
  <c r="B54" i="6" s="1"/>
  <c r="B63" i="6" a="1"/>
  <c r="B63" i="6" s="1"/>
  <c r="B53" i="6" a="1"/>
  <c r="B53" i="6" s="1"/>
  <c r="B37" i="6" a="1"/>
  <c r="B37" i="6" s="1"/>
  <c r="J51" i="11"/>
  <c r="J70" i="11"/>
  <c r="S60" i="11"/>
  <c r="J60" i="11" s="1"/>
  <c r="S36" i="11"/>
  <c r="J36" i="11" s="1"/>
  <c r="S9" i="11"/>
  <c r="J9" i="11" s="1"/>
  <c r="S45" i="11"/>
  <c r="J45" i="11" s="1"/>
  <c r="S14" i="11"/>
  <c r="J14" i="11" s="1"/>
  <c r="S15" i="11"/>
  <c r="J15" i="11" s="1"/>
  <c r="S31" i="11"/>
  <c r="J31" i="11" s="1"/>
  <c r="S54" i="11"/>
  <c r="J54" i="11" s="1"/>
  <c r="S21" i="11"/>
  <c r="J21" i="11" s="1"/>
  <c r="S5" i="11"/>
  <c r="J5" i="11" s="1"/>
  <c r="S65" i="11"/>
  <c r="J65" i="11" s="1"/>
  <c r="S55" i="11"/>
  <c r="J55" i="11" s="1"/>
  <c r="S13" i="11"/>
  <c r="J13" i="11" s="1"/>
  <c r="S12" i="11"/>
  <c r="J12" i="11" s="1"/>
  <c r="S73" i="11"/>
  <c r="J73" i="11" s="1"/>
  <c r="S20" i="11"/>
  <c r="J20" i="11" s="1"/>
  <c r="S4" i="3"/>
  <c r="J4" i="3" s="1"/>
  <c r="S37" i="3"/>
  <c r="J37" i="3" s="1"/>
  <c r="S53" i="3"/>
  <c r="J53" i="3" s="1"/>
  <c r="S65" i="3"/>
  <c r="J65" i="3" s="1"/>
  <c r="S11" i="3"/>
  <c r="J11" i="3" s="1"/>
  <c r="S3" i="3"/>
  <c r="J3" i="3" s="1"/>
  <c r="S48" i="3"/>
  <c r="J48" i="3" s="1"/>
  <c r="S57" i="3"/>
  <c r="J57" i="3" s="1"/>
  <c r="S70" i="3"/>
  <c r="J70" i="3" s="1"/>
  <c r="S66" i="3"/>
  <c r="J66" i="3" s="1"/>
  <c r="S45" i="3"/>
  <c r="J45" i="3" s="1"/>
  <c r="S50" i="3"/>
  <c r="J50" i="3" s="1"/>
  <c r="S31" i="3"/>
  <c r="J31" i="3" s="1"/>
  <c r="B9" i="13" a="1"/>
  <c r="B9" i="13" s="1"/>
  <c r="A28" i="15" a="1"/>
  <c r="A28" i="15" s="1"/>
  <c r="A13" i="13" a="1"/>
  <c r="A13" i="13" s="1"/>
  <c r="A14" i="14" a="1"/>
  <c r="A14" i="14" s="1"/>
  <c r="Q14" i="14" s="1"/>
  <c r="A60" i="6" a="1"/>
  <c r="A60" i="6" s="1"/>
  <c r="A56" i="6" a="1"/>
  <c r="A56" i="6" s="1"/>
  <c r="Q63" i="6" s="1"/>
  <c r="A65" i="6" a="1"/>
  <c r="A65" i="6" s="1"/>
  <c r="A4" i="6" a="1"/>
  <c r="A4" i="6" s="1"/>
  <c r="A41" i="6" a="1"/>
  <c r="A41" i="6" s="1"/>
  <c r="A5" i="6" a="1"/>
  <c r="A5" i="6" s="1"/>
  <c r="A9" i="16" a="1"/>
  <c r="A9" i="16" s="1"/>
  <c r="A32" i="16" a="1"/>
  <c r="A32" i="16" s="1"/>
  <c r="Q32" i="16" s="1"/>
  <c r="A31" i="16" a="1"/>
  <c r="A31" i="16" s="1"/>
  <c r="Q31" i="16" s="1"/>
  <c r="A3" i="16" a="1"/>
  <c r="A3" i="16" s="1"/>
  <c r="A29" i="16" a="1"/>
  <c r="A29" i="16" s="1"/>
  <c r="Q29" i="16" s="1"/>
  <c r="A22" i="16" a="1"/>
  <c r="A22" i="16" s="1"/>
  <c r="Q22" i="16" s="1"/>
  <c r="A18" i="16" a="1"/>
  <c r="A18" i="16" s="1"/>
  <c r="Q18" i="16" s="1"/>
  <c r="A45" i="16" a="1"/>
  <c r="A45" i="16" s="1"/>
  <c r="A4" i="16" a="1"/>
  <c r="A4" i="16" s="1"/>
  <c r="A29" i="15" a="1"/>
  <c r="A29" i="15" s="1"/>
  <c r="Q29" i="15" s="1"/>
  <c r="A4" i="15" a="1"/>
  <c r="A4" i="15" s="1"/>
  <c r="A8" i="15" a="1"/>
  <c r="A8" i="15" s="1"/>
  <c r="Q8" i="15" s="1"/>
  <c r="A3" i="15" a="1"/>
  <c r="A3" i="15" s="1"/>
  <c r="B10" i="12" a="1"/>
  <c r="B10" i="12" s="1"/>
  <c r="A5" i="11" a="1"/>
  <c r="A5" i="11" s="1"/>
  <c r="Q5" i="11" s="1"/>
  <c r="A60" i="11" a="1"/>
  <c r="A60" i="11" s="1"/>
  <c r="Q60" i="11" s="1"/>
  <c r="A55" i="11" a="1"/>
  <c r="A55" i="11" s="1"/>
  <c r="Q55" i="11" s="1"/>
  <c r="A12" i="11" a="1"/>
  <c r="A12" i="11" s="1"/>
  <c r="Q12" i="11" s="1"/>
  <c r="A65" i="11" a="1"/>
  <c r="A65" i="11" s="1"/>
  <c r="Q65" i="11" s="1"/>
  <c r="C68" i="17" s="1"/>
  <c r="D68" i="17" s="1"/>
  <c r="A20" i="11" a="1"/>
  <c r="A20" i="11" s="1"/>
  <c r="Q20" i="11" s="1"/>
  <c r="A13" i="11" a="1"/>
  <c r="A13" i="11" s="1"/>
  <c r="Q13" i="11" s="1"/>
  <c r="A14" i="3" a="1"/>
  <c r="A14" i="3" s="1"/>
  <c r="Q14" i="3" s="1"/>
  <c r="A16" i="3" a="1"/>
  <c r="A16" i="3" s="1"/>
  <c r="Q16" i="3" s="1"/>
  <c r="C53" i="17" s="1"/>
  <c r="D53" i="17" s="1"/>
  <c r="A53" i="3" a="1"/>
  <c r="A53" i="3" s="1"/>
  <c r="Q53" i="3" s="1"/>
  <c r="A65" i="3" a="1"/>
  <c r="A65" i="3" s="1"/>
  <c r="Q65" i="3" s="1"/>
  <c r="A45" i="3" a="1"/>
  <c r="A45" i="3" s="1"/>
  <c r="Q45" i="3" s="1"/>
  <c r="A66" i="3" a="1"/>
  <c r="A66" i="3" s="1"/>
  <c r="Q66" i="3" s="1"/>
  <c r="A11" i="3" a="1"/>
  <c r="A11" i="3" s="1"/>
  <c r="Q11" i="3" s="1"/>
  <c r="B6" i="13" a="1"/>
  <c r="B6" i="13" s="1"/>
  <c r="B4" i="12" a="1"/>
  <c r="B4" i="12" s="1"/>
  <c r="B7" i="12" a="1"/>
  <c r="B7" i="12" s="1"/>
  <c r="B5" i="12" a="1"/>
  <c r="B5" i="12" s="1"/>
  <c r="B3" i="12" a="1"/>
  <c r="B3" i="12" s="1"/>
  <c r="B8" i="12" a="1"/>
  <c r="B8" i="12" s="1"/>
  <c r="B9" i="12" a="1"/>
  <c r="B9" i="12" s="1"/>
  <c r="B11" i="13" a="1"/>
  <c r="B11" i="13" s="1"/>
  <c r="B12" i="13" a="1"/>
  <c r="B12" i="13" s="1"/>
  <c r="B8" i="13" a="1"/>
  <c r="B8" i="13" s="1"/>
  <c r="B5" i="13" a="1"/>
  <c r="B5" i="13" s="1"/>
  <c r="B3" i="13" a="1"/>
  <c r="B3" i="13" s="1"/>
  <c r="B14" i="13" a="1"/>
  <c r="B14" i="13" s="1"/>
  <c r="B10" i="13" a="1"/>
  <c r="B10" i="13" s="1"/>
  <c r="B4" i="13" a="1"/>
  <c r="B4" i="13" s="1"/>
  <c r="B7" i="13" a="1"/>
  <c r="B7" i="13" s="1"/>
  <c r="B13" i="13" a="1"/>
  <c r="B13" i="13" s="1"/>
  <c r="R24" i="11"/>
  <c r="R61" i="11"/>
  <c r="R6" i="11"/>
  <c r="S6" i="11"/>
  <c r="R25" i="11"/>
  <c r="R29" i="11"/>
  <c r="R67" i="11"/>
  <c r="R22" i="11"/>
  <c r="R27" i="11"/>
  <c r="R37" i="11"/>
  <c r="R57" i="11"/>
  <c r="R8" i="11"/>
  <c r="R19" i="11"/>
  <c r="R46" i="11"/>
  <c r="R64" i="11"/>
  <c r="R30" i="11"/>
  <c r="R63" i="11"/>
  <c r="R42" i="11"/>
  <c r="R11" i="11"/>
  <c r="R26" i="11"/>
  <c r="R44" i="11"/>
  <c r="R47" i="11"/>
  <c r="R59" i="11"/>
  <c r="R35" i="11"/>
  <c r="R62" i="11"/>
  <c r="R53" i="11"/>
  <c r="R10" i="11"/>
  <c r="R56" i="11"/>
  <c r="R71" i="11"/>
  <c r="R26" i="3"/>
  <c r="R9" i="3"/>
  <c r="S14" i="3"/>
  <c r="J14" i="3" s="1"/>
  <c r="R30" i="3"/>
  <c r="R21" i="3"/>
  <c r="R25" i="3"/>
  <c r="R36" i="3"/>
  <c r="R19" i="3"/>
  <c r="R17" i="3"/>
  <c r="R62" i="3"/>
  <c r="R51" i="3"/>
  <c r="R55" i="3"/>
  <c r="R49" i="3"/>
  <c r="R6" i="3"/>
  <c r="S16" i="3"/>
  <c r="J16" i="3" s="1"/>
  <c r="R64" i="3"/>
  <c r="R10" i="3"/>
  <c r="R69" i="3"/>
  <c r="R44" i="3"/>
  <c r="S44" i="3"/>
  <c r="R67" i="3"/>
  <c r="R23" i="3"/>
  <c r="R8" i="3"/>
  <c r="S8" i="3"/>
  <c r="R15" i="3"/>
  <c r="R38" i="3"/>
  <c r="R28" i="3"/>
  <c r="R47" i="3"/>
  <c r="R58" i="3"/>
  <c r="R60" i="3"/>
  <c r="S60" i="3" s="1"/>
  <c r="R20" i="3"/>
  <c r="R59" i="3"/>
  <c r="R22" i="3"/>
  <c r="M26" i="11"/>
  <c r="Q10" i="15"/>
  <c r="Q45" i="11"/>
  <c r="Q60" i="14"/>
  <c r="K61" i="14"/>
  <c r="K33" i="14"/>
  <c r="K65" i="14"/>
  <c r="M8" i="14"/>
  <c r="M28" i="14"/>
  <c r="M12" i="14"/>
  <c r="K47" i="14"/>
  <c r="M53" i="14"/>
  <c r="K10" i="14"/>
  <c r="K22" i="14"/>
  <c r="K16" i="14"/>
  <c r="K4" i="14"/>
  <c r="M48" i="14"/>
  <c r="L45" i="14"/>
  <c r="M18" i="14"/>
  <c r="K46" i="14"/>
  <c r="K59" i="14"/>
  <c r="K56" i="14"/>
  <c r="K50" i="14"/>
  <c r="K9" i="14"/>
  <c r="K42" i="14"/>
  <c r="K43" i="14"/>
  <c r="M31" i="14"/>
  <c r="A31" i="14" s="1" a="1"/>
  <c r="A31" i="14" s="1"/>
  <c r="K24" i="14"/>
  <c r="K7" i="14"/>
  <c r="M54" i="14"/>
  <c r="M26" i="14"/>
  <c r="L49" i="14"/>
  <c r="L58" i="14"/>
  <c r="K64" i="14"/>
  <c r="M22" i="6"/>
  <c r="M32" i="6"/>
  <c r="L26" i="6"/>
  <c r="M61" i="6"/>
  <c r="M40" i="6"/>
  <c r="L31" i="6"/>
  <c r="L9" i="6"/>
  <c r="M34" i="6"/>
  <c r="M39" i="6"/>
  <c r="M6" i="6"/>
  <c r="L13" i="6"/>
  <c r="L56" i="6"/>
  <c r="M14" i="6"/>
  <c r="M38" i="6"/>
  <c r="M65" i="6"/>
  <c r="B65" i="6" s="1" a="1"/>
  <c r="B65" i="6" s="1"/>
  <c r="M24" i="16"/>
  <c r="M17" i="16"/>
  <c r="L16" i="16"/>
  <c r="L9" i="16"/>
  <c r="K33" i="16"/>
  <c r="M34" i="16"/>
  <c r="M41" i="16"/>
  <c r="K45" i="16"/>
  <c r="K38" i="16"/>
  <c r="K4" i="16"/>
  <c r="K27" i="16"/>
  <c r="K3" i="16"/>
  <c r="K42" i="16"/>
  <c r="K11" i="16"/>
  <c r="K14" i="16"/>
  <c r="K20" i="16"/>
  <c r="K30" i="16"/>
  <c r="K26" i="16"/>
  <c r="K24" i="15"/>
  <c r="L14" i="15"/>
  <c r="K32" i="15"/>
  <c r="K27" i="15"/>
  <c r="K18" i="15"/>
  <c r="L13" i="15"/>
  <c r="M6" i="15"/>
  <c r="M52" i="6"/>
  <c r="L67" i="11"/>
  <c r="K29" i="11"/>
  <c r="L44" i="11"/>
  <c r="M25" i="11"/>
  <c r="K11" i="11"/>
  <c r="M71" i="11"/>
  <c r="M22" i="11"/>
  <c r="K53" i="11"/>
  <c r="K19" i="11"/>
  <c r="L6" i="11"/>
  <c r="L46" i="11"/>
  <c r="K10" i="11"/>
  <c r="L26" i="11"/>
  <c r="L61" i="11"/>
  <c r="L24" i="11"/>
  <c r="K47" i="11"/>
  <c r="K56" i="11"/>
  <c r="M35" i="11"/>
  <c r="L8" i="11"/>
  <c r="K42" i="11"/>
  <c r="K59" i="11"/>
  <c r="L49" i="3"/>
  <c r="L67" i="3"/>
  <c r="L9" i="3"/>
  <c r="L19" i="3"/>
  <c r="K25" i="3"/>
  <c r="L23" i="3"/>
  <c r="L26" i="3"/>
  <c r="L21" i="3"/>
  <c r="M15" i="3"/>
  <c r="K38" i="3"/>
  <c r="M44" i="3"/>
  <c r="K20" i="3"/>
  <c r="K22" i="3"/>
  <c r="L40" i="16"/>
  <c r="K19" i="15"/>
  <c r="Q54" i="14"/>
  <c r="Q32" i="6"/>
  <c r="Q39" i="6"/>
  <c r="Q52" i="6"/>
  <c r="Q41" i="16"/>
  <c r="Q34" i="16"/>
  <c r="Q17" i="16"/>
  <c r="G70" i="17" s="1"/>
  <c r="H70" i="17" s="1"/>
  <c r="Q71" i="11"/>
  <c r="Q35" i="11"/>
  <c r="M30" i="11"/>
  <c r="M63" i="11"/>
  <c r="K62" i="11"/>
  <c r="K64" i="11"/>
  <c r="K57" i="11"/>
  <c r="K28" i="3"/>
  <c r="K51" i="3"/>
  <c r="M64" i="3"/>
  <c r="K17" i="3"/>
  <c r="M36" i="3"/>
  <c r="M56" i="14"/>
  <c r="L14" i="6"/>
  <c r="L32" i="6"/>
  <c r="K6" i="15"/>
  <c r="K46" i="11"/>
  <c r="K24" i="11"/>
  <c r="L11" i="11"/>
  <c r="M69" i="3"/>
  <c r="M30" i="3"/>
  <c r="M11" i="11"/>
  <c r="K44" i="11"/>
  <c r="K22" i="11"/>
  <c r="L71" i="11"/>
  <c r="K71" i="11"/>
  <c r="K23" i="3"/>
  <c r="M9" i="16"/>
  <c r="M40" i="16"/>
  <c r="B40" i="16" s="1" a="1"/>
  <c r="B40" i="16" s="1"/>
  <c r="M20" i="16"/>
  <c r="M3" i="16"/>
  <c r="B31" i="16" s="1" a="1"/>
  <c r="B31" i="16" s="1"/>
  <c r="L20" i="16"/>
  <c r="K9" i="16"/>
  <c r="K17" i="16"/>
  <c r="M42" i="16"/>
  <c r="L6" i="15"/>
  <c r="K14" i="15"/>
  <c r="M27" i="15"/>
  <c r="L27" i="15"/>
  <c r="L47" i="14"/>
  <c r="L54" i="14"/>
  <c r="M10" i="14"/>
  <c r="L48" i="14"/>
  <c r="M59" i="14"/>
  <c r="M50" i="14"/>
  <c r="K45" i="14"/>
  <c r="L7" i="14"/>
  <c r="L12" i="14"/>
  <c r="L8" i="14"/>
  <c r="M22" i="14"/>
  <c r="M3" i="14"/>
  <c r="K49" i="14"/>
  <c r="K48" i="14"/>
  <c r="K8" i="14"/>
  <c r="K28" i="14"/>
  <c r="L26" i="14"/>
  <c r="M42" i="14"/>
  <c r="K31" i="14"/>
  <c r="L59" i="14"/>
  <c r="M7" i="14"/>
  <c r="L56" i="14"/>
  <c r="M47" i="14"/>
  <c r="K54" i="14"/>
  <c r="L50" i="14"/>
  <c r="K12" i="14"/>
  <c r="L28" i="14"/>
  <c r="L31" i="14"/>
  <c r="K58" i="14"/>
  <c r="M9" i="14"/>
  <c r="L42" i="14"/>
  <c r="L9" i="14"/>
  <c r="M64" i="14"/>
  <c r="L18" i="14"/>
  <c r="L10" i="14"/>
  <c r="M24" i="14"/>
  <c r="L22" i="14"/>
  <c r="L3" i="14"/>
  <c r="K26" i="14"/>
  <c r="K53" i="14"/>
  <c r="L64" i="14"/>
  <c r="M43" i="14"/>
  <c r="K18" i="14"/>
  <c r="M61" i="14"/>
  <c r="L24" i="14"/>
  <c r="M33" i="14"/>
  <c r="M65" i="14"/>
  <c r="L53" i="14"/>
  <c r="L43" i="14"/>
  <c r="M46" i="14"/>
  <c r="L61" i="14"/>
  <c r="M16" i="14"/>
  <c r="L33" i="14"/>
  <c r="M4" i="14"/>
  <c r="A4" i="14" s="1" a="1"/>
  <c r="A4" i="14" s="1"/>
  <c r="L65" i="14"/>
  <c r="M45" i="14"/>
  <c r="L46" i="14"/>
  <c r="L16" i="14"/>
  <c r="M49" i="14"/>
  <c r="A49" i="14" s="1" a="1"/>
  <c r="A49" i="14" s="1"/>
  <c r="L4" i="14"/>
  <c r="M58" i="14"/>
  <c r="L22" i="6"/>
  <c r="L34" i="6"/>
  <c r="L52" i="6"/>
  <c r="L40" i="6"/>
  <c r="K14" i="6"/>
  <c r="K32" i="6"/>
  <c r="K31" i="6"/>
  <c r="K13" i="6"/>
  <c r="L61" i="6"/>
  <c r="L39" i="6"/>
  <c r="L6" i="6"/>
  <c r="M31" i="6"/>
  <c r="M13" i="6"/>
  <c r="K26" i="6"/>
  <c r="K56" i="6"/>
  <c r="K9" i="6"/>
  <c r="L3" i="6"/>
  <c r="L38" i="6"/>
  <c r="L65" i="6"/>
  <c r="M26" i="6"/>
  <c r="M56" i="6"/>
  <c r="M9" i="6"/>
  <c r="K22" i="6"/>
  <c r="K34" i="6"/>
  <c r="K40" i="6"/>
  <c r="K52" i="6"/>
  <c r="K61" i="6"/>
  <c r="K39" i="6"/>
  <c r="K6" i="6"/>
  <c r="K3" i="6"/>
  <c r="K38" i="6"/>
  <c r="K65" i="6"/>
  <c r="M3" i="6"/>
  <c r="B59" i="6" s="1" a="1"/>
  <c r="B59" i="6" s="1"/>
  <c r="M44" i="11"/>
  <c r="M42" i="11"/>
  <c r="K67" i="11"/>
  <c r="K61" i="11"/>
  <c r="M6" i="3"/>
  <c r="K8" i="3"/>
  <c r="M10" i="3"/>
  <c r="L15" i="3"/>
  <c r="L51" i="3"/>
  <c r="K59" i="3"/>
  <c r="M26" i="3"/>
  <c r="K62" i="3"/>
  <c r="K9" i="3"/>
  <c r="K26" i="3"/>
  <c r="L36" i="3"/>
  <c r="K36" i="3"/>
  <c r="M8" i="3"/>
  <c r="L8" i="3"/>
  <c r="M23" i="3"/>
  <c r="M32" i="15"/>
  <c r="L32" i="15"/>
  <c r="K40" i="16"/>
  <c r="L42" i="16"/>
  <c r="L24" i="16"/>
  <c r="M33" i="16"/>
  <c r="K24" i="16"/>
  <c r="L3" i="16"/>
  <c r="M45" i="16"/>
  <c r="L33" i="16"/>
  <c r="M16" i="16"/>
  <c r="M27" i="16"/>
  <c r="L45" i="16"/>
  <c r="K16" i="16"/>
  <c r="M38" i="16"/>
  <c r="L38" i="16"/>
  <c r="L27" i="16"/>
  <c r="M14" i="16"/>
  <c r="L14" i="16"/>
  <c r="M26" i="16"/>
  <c r="L26" i="16"/>
  <c r="L34" i="16"/>
  <c r="M56" i="11"/>
  <c r="L56" i="11"/>
  <c r="K6" i="11"/>
  <c r="M61" i="11"/>
  <c r="M46" i="11"/>
  <c r="K8" i="11"/>
  <c r="L63" i="11"/>
  <c r="K27" i="11"/>
  <c r="L30" i="11"/>
  <c r="K30" i="11"/>
  <c r="M27" i="11"/>
  <c r="L27" i="11"/>
  <c r="M29" i="11"/>
  <c r="M53" i="11"/>
  <c r="M59" i="11"/>
  <c r="L29" i="11"/>
  <c r="M6" i="11"/>
  <c r="L53" i="11"/>
  <c r="L59" i="11"/>
  <c r="L64" i="11"/>
  <c r="K63" i="11"/>
  <c r="M19" i="11"/>
  <c r="M47" i="11"/>
  <c r="M8" i="11"/>
  <c r="L35" i="11"/>
  <c r="M62" i="11"/>
  <c r="L19" i="11"/>
  <c r="L47" i="11"/>
  <c r="K35" i="11"/>
  <c r="L62" i="11"/>
  <c r="L25" i="11"/>
  <c r="K26" i="11"/>
  <c r="M64" i="11"/>
  <c r="M49" i="3"/>
  <c r="L60" i="3"/>
  <c r="M38" i="3"/>
  <c r="K60" i="3"/>
  <c r="L38" i="3"/>
  <c r="K10" i="3"/>
  <c r="M25" i="3"/>
  <c r="L25" i="3"/>
  <c r="K67" i="3"/>
  <c r="L44" i="3"/>
  <c r="K44" i="3"/>
  <c r="M60" i="3"/>
  <c r="A60" i="3" s="1" a="1"/>
  <c r="A60" i="3" s="1"/>
  <c r="Q60" i="3" s="1"/>
  <c r="M9" i="3"/>
  <c r="K69" i="3"/>
  <c r="K21" i="3"/>
  <c r="M51" i="3"/>
  <c r="L10" i="3"/>
  <c r="L30" i="3"/>
  <c r="L64" i="3"/>
  <c r="K30" i="3"/>
  <c r="K64" i="3"/>
  <c r="M28" i="3"/>
  <c r="M21" i="3"/>
  <c r="L6" i="3"/>
  <c r="M22" i="3"/>
  <c r="L69" i="3"/>
  <c r="L28" i="3"/>
  <c r="K19" i="3"/>
  <c r="L22" i="3"/>
  <c r="K15" i="3"/>
  <c r="M58" i="3"/>
  <c r="L58" i="3"/>
  <c r="K58" i="3"/>
  <c r="M55" i="3"/>
  <c r="M47" i="3"/>
  <c r="M20" i="3"/>
  <c r="L55" i="3"/>
  <c r="M59" i="3"/>
  <c r="M62" i="3"/>
  <c r="K49" i="3"/>
  <c r="L47" i="3"/>
  <c r="L20" i="3"/>
  <c r="M67" i="3"/>
  <c r="K55" i="3"/>
  <c r="L59" i="3"/>
  <c r="L62" i="3"/>
  <c r="K47" i="3"/>
  <c r="M19" i="3"/>
  <c r="M17" i="3"/>
  <c r="L17" i="3"/>
  <c r="K25" i="11"/>
  <c r="L22" i="11"/>
  <c r="M37" i="11"/>
  <c r="L42" i="11"/>
  <c r="L37" i="11"/>
  <c r="M10" i="11"/>
  <c r="M57" i="11"/>
  <c r="K37" i="11"/>
  <c r="L10" i="11"/>
  <c r="M67" i="11"/>
  <c r="L57" i="11"/>
  <c r="M24" i="11"/>
  <c r="K34" i="16"/>
  <c r="L41" i="16"/>
  <c r="K41" i="16"/>
  <c r="L17" i="16"/>
  <c r="M30" i="16"/>
  <c r="M11" i="16"/>
  <c r="L30" i="16"/>
  <c r="M4" i="16"/>
  <c r="L11" i="16"/>
  <c r="L4" i="16"/>
  <c r="M19" i="15"/>
  <c r="L19" i="15"/>
  <c r="M24" i="15"/>
  <c r="K13" i="15"/>
  <c r="M14" i="15"/>
  <c r="L24" i="15"/>
  <c r="M18" i="15"/>
  <c r="M13" i="15"/>
  <c r="L18" i="15"/>
  <c r="Q67" i="6" l="1"/>
  <c r="Q66" i="6"/>
  <c r="Q68" i="6"/>
  <c r="B26" i="16" a="1"/>
  <c r="B26" i="16" s="1"/>
  <c r="B4" i="16" a="1"/>
  <c r="B4" i="16" s="1"/>
  <c r="B9" i="16" a="1"/>
  <c r="B9" i="16" s="1"/>
  <c r="J6" i="11"/>
  <c r="J60" i="3"/>
  <c r="J44" i="3"/>
  <c r="J8" i="3"/>
  <c r="S53" i="11"/>
  <c r="J53" i="11" s="1"/>
  <c r="S38" i="3"/>
  <c r="J38" i="3" s="1"/>
  <c r="B30" i="15" a="1"/>
  <c r="B30" i="15" s="1"/>
  <c r="B9" i="15" a="1"/>
  <c r="B9" i="15" s="1"/>
  <c r="B13" i="11" a="1"/>
  <c r="B13" i="11" s="1"/>
  <c r="B37" i="11" a="1"/>
  <c r="B37" i="11" s="1"/>
  <c r="B38" i="16" a="1"/>
  <c r="B38" i="16" s="1"/>
  <c r="B15" i="3" a="1"/>
  <c r="B15" i="3" s="1"/>
  <c r="B60" i="6" a="1"/>
  <c r="B60" i="6" s="1"/>
  <c r="B29" i="16" a="1"/>
  <c r="B29" i="16" s="1"/>
  <c r="B30" i="16" a="1"/>
  <c r="B30" i="16" s="1"/>
  <c r="B70" i="3" a="1"/>
  <c r="B70" i="3" s="1"/>
  <c r="B13" i="3" a="1"/>
  <c r="B13" i="3" s="1"/>
  <c r="B32" i="3" a="1"/>
  <c r="B32" i="3" s="1"/>
  <c r="B27" i="3" a="1"/>
  <c r="B27" i="3" s="1"/>
  <c r="B12" i="3" a="1"/>
  <c r="B12" i="3" s="1"/>
  <c r="B41" i="6" a="1"/>
  <c r="B41" i="6" s="1"/>
  <c r="B13" i="15" a="1"/>
  <c r="B13" i="15" s="1"/>
  <c r="B23" i="3" a="1"/>
  <c r="B23" i="3" s="1"/>
  <c r="B39" i="16" a="1"/>
  <c r="B39" i="16" s="1"/>
  <c r="B40" i="6" a="1"/>
  <c r="B40" i="6" s="1"/>
  <c r="B28" i="11" a="1"/>
  <c r="B28" i="11" s="1"/>
  <c r="B58" i="11" a="1"/>
  <c r="B58" i="11" s="1"/>
  <c r="B39" i="11" a="1"/>
  <c r="B39" i="11" s="1"/>
  <c r="B32" i="11" a="1"/>
  <c r="B32" i="11" s="1"/>
  <c r="B72" i="11" a="1"/>
  <c r="B72" i="11" s="1"/>
  <c r="B33" i="11" a="1"/>
  <c r="B33" i="11" s="1"/>
  <c r="B34" i="11" a="1"/>
  <c r="B34" i="11" s="1"/>
  <c r="B49" i="11" a="1"/>
  <c r="B49" i="11" s="1"/>
  <c r="B41" i="11" a="1"/>
  <c r="B41" i="11" s="1"/>
  <c r="B27" i="16" a="1"/>
  <c r="B27" i="16" s="1"/>
  <c r="B15" i="11" a="1"/>
  <c r="B15" i="11" s="1"/>
  <c r="B66" i="3" a="1"/>
  <c r="B66" i="3" s="1"/>
  <c r="B29" i="15" a="1"/>
  <c r="B29" i="15" s="1"/>
  <c r="B16" i="6" a="1"/>
  <c r="B16" i="6" s="1"/>
  <c r="B55" i="3" a="1"/>
  <c r="B55" i="3" s="1"/>
  <c r="B12" i="11" a="1"/>
  <c r="B12" i="11" s="1"/>
  <c r="B62" i="6" a="1"/>
  <c r="B62" i="6" s="1"/>
  <c r="B42" i="11" a="1"/>
  <c r="B42" i="11" s="1"/>
  <c r="B35" i="6" a="1"/>
  <c r="B35" i="6" s="1"/>
  <c r="B65" i="3" a="1"/>
  <c r="B65" i="3" s="1"/>
  <c r="B31" i="11" a="1"/>
  <c r="B31" i="11" s="1"/>
  <c r="B26" i="15" a="1"/>
  <c r="B26" i="15" s="1"/>
  <c r="B44" i="11" a="1"/>
  <c r="B44" i="11" s="1"/>
  <c r="B22" i="6" a="1"/>
  <c r="B22" i="6" s="1"/>
  <c r="B60" i="11" a="1"/>
  <c r="B60" i="11" s="1"/>
  <c r="B15" i="15" a="1"/>
  <c r="B15" i="15" s="1"/>
  <c r="B26" i="3" a="1"/>
  <c r="B26" i="3" s="1"/>
  <c r="B26" i="6" a="1"/>
  <c r="B26" i="6" s="1"/>
  <c r="B10" i="16" a="1"/>
  <c r="B10" i="16" s="1"/>
  <c r="B8" i="16" a="1"/>
  <c r="B8" i="16" s="1"/>
  <c r="B35" i="16" a="1"/>
  <c r="B35" i="16" s="1"/>
  <c r="B15" i="16" a="1"/>
  <c r="B15" i="16" s="1"/>
  <c r="B46" i="16" a="1"/>
  <c r="B46" i="16" s="1"/>
  <c r="B28" i="16" a="1"/>
  <c r="B28" i="16" s="1"/>
  <c r="B36" i="16" a="1"/>
  <c r="B36" i="16" s="1"/>
  <c r="B7" i="16" a="1"/>
  <c r="B7" i="16" s="1"/>
  <c r="B37" i="16" a="1"/>
  <c r="B37" i="16" s="1"/>
  <c r="B53" i="3" a="1"/>
  <c r="B53" i="3" s="1"/>
  <c r="B57" i="6" a="1"/>
  <c r="B57" i="6" s="1"/>
  <c r="B58" i="6" a="1"/>
  <c r="B58" i="6" s="1"/>
  <c r="B14" i="16" a="1"/>
  <c r="B14" i="16" s="1"/>
  <c r="B30" i="11" a="1"/>
  <c r="B30" i="11" s="1"/>
  <c r="B16" i="15" a="1"/>
  <c r="B16" i="15" s="1"/>
  <c r="B36" i="11" a="1"/>
  <c r="B36" i="11" s="1"/>
  <c r="B8" i="11" a="1"/>
  <c r="B8" i="11" s="1"/>
  <c r="B20" i="16" a="1"/>
  <c r="B20" i="16" s="1"/>
  <c r="B10" i="14" a="1"/>
  <c r="B10" i="14" s="1"/>
  <c r="B16" i="3" a="1"/>
  <c r="B16" i="3" s="1"/>
  <c r="B55" i="6" a="1"/>
  <c r="B55" i="6" s="1"/>
  <c r="B9" i="11" a="1"/>
  <c r="B9" i="11" s="1"/>
  <c r="B34" i="16" a="1"/>
  <c r="B34" i="16" s="1"/>
  <c r="B36" i="6" a="1"/>
  <c r="B36" i="6" s="1"/>
  <c r="B10" i="15" a="1"/>
  <c r="B10" i="15" s="1"/>
  <c r="B64" i="11" a="1"/>
  <c r="B64" i="11" s="1"/>
  <c r="B46" i="11" a="1"/>
  <c r="B46" i="11" s="1"/>
  <c r="B14" i="3" a="1"/>
  <c r="B14" i="3" s="1"/>
  <c r="B46" i="14" a="1"/>
  <c r="B46" i="14" s="1"/>
  <c r="B8" i="14" a="1"/>
  <c r="B8" i="14" s="1"/>
  <c r="B35" i="11" a="1"/>
  <c r="B35" i="11" s="1"/>
  <c r="B39" i="14" a="1"/>
  <c r="B39" i="14" s="1"/>
  <c r="B38" i="11" a="1"/>
  <c r="B38" i="11" s="1"/>
  <c r="B40" i="11" a="1"/>
  <c r="B40" i="11" s="1"/>
  <c r="S11" i="11"/>
  <c r="J11" i="11" s="1"/>
  <c r="S19" i="11"/>
  <c r="J19" i="11" s="1"/>
  <c r="S67" i="11"/>
  <c r="J67" i="11" s="1"/>
  <c r="S42" i="11"/>
  <c r="J42" i="11" s="1"/>
  <c r="S8" i="11"/>
  <c r="J8" i="11" s="1"/>
  <c r="S29" i="11"/>
  <c r="J29" i="11" s="1"/>
  <c r="S62" i="11"/>
  <c r="J62" i="11" s="1"/>
  <c r="S63" i="11"/>
  <c r="J63" i="11" s="1"/>
  <c r="S57" i="11"/>
  <c r="J57" i="11" s="1"/>
  <c r="S25" i="11"/>
  <c r="J25" i="11" s="1"/>
  <c r="S10" i="11"/>
  <c r="J10" i="11" s="1"/>
  <c r="B50" i="11" s="1" a="1"/>
  <c r="B50" i="11" s="1"/>
  <c r="S22" i="11"/>
  <c r="J22" i="11" s="1"/>
  <c r="S35" i="11"/>
  <c r="J35" i="11" s="1"/>
  <c r="S30" i="11"/>
  <c r="J30" i="11" s="1"/>
  <c r="S37" i="11"/>
  <c r="J37" i="11" s="1"/>
  <c r="S27" i="11"/>
  <c r="J27" i="11" s="1"/>
  <c r="S59" i="11"/>
  <c r="J59" i="11" s="1"/>
  <c r="S64" i="11"/>
  <c r="J64" i="11" s="1"/>
  <c r="S56" i="11"/>
  <c r="J56" i="11" s="1"/>
  <c r="B21" i="11" a="1"/>
  <c r="B21" i="11" s="1"/>
  <c r="S44" i="11"/>
  <c r="J44" i="11" s="1"/>
  <c r="S46" i="11"/>
  <c r="J46" i="11" s="1"/>
  <c r="S24" i="11"/>
  <c r="J24" i="11" s="1"/>
  <c r="S26" i="11"/>
  <c r="J26" i="11" s="1"/>
  <c r="S71" i="11"/>
  <c r="J71" i="11" s="1"/>
  <c r="S47" i="11"/>
  <c r="J47" i="11" s="1"/>
  <c r="S61" i="11"/>
  <c r="J61" i="11" s="1"/>
  <c r="S64" i="3"/>
  <c r="J64" i="3" s="1"/>
  <c r="S23" i="3"/>
  <c r="J23" i="3" s="1"/>
  <c r="S22" i="3"/>
  <c r="J22" i="3" s="1"/>
  <c r="S28" i="3"/>
  <c r="J28" i="3" s="1"/>
  <c r="S49" i="3"/>
  <c r="J49" i="3" s="1"/>
  <c r="S25" i="3"/>
  <c r="J25" i="3" s="1"/>
  <c r="S47" i="3"/>
  <c r="J47" i="3" s="1"/>
  <c r="S19" i="3"/>
  <c r="J19" i="3" s="1"/>
  <c r="S59" i="3"/>
  <c r="J59" i="3" s="1"/>
  <c r="B39" i="3" s="1" a="1"/>
  <c r="B39" i="3" s="1"/>
  <c r="S21" i="3"/>
  <c r="J21" i="3" s="1"/>
  <c r="S6" i="3"/>
  <c r="J6" i="3" s="1"/>
  <c r="B44" i="3" s="1" a="1"/>
  <c r="B44" i="3" s="1"/>
  <c r="S20" i="3"/>
  <c r="J20" i="3" s="1"/>
  <c r="S55" i="3"/>
  <c r="J55" i="3" s="1"/>
  <c r="S30" i="3"/>
  <c r="J30" i="3" s="1"/>
  <c r="S17" i="3"/>
  <c r="J17" i="3" s="1"/>
  <c r="S15" i="3"/>
  <c r="J15" i="3" s="1"/>
  <c r="S51" i="3"/>
  <c r="J51" i="3" s="1"/>
  <c r="S58" i="3"/>
  <c r="J58" i="3" s="1"/>
  <c r="S26" i="3"/>
  <c r="J26" i="3" s="1"/>
  <c r="S67" i="3"/>
  <c r="J67" i="3" s="1"/>
  <c r="S36" i="3"/>
  <c r="J36" i="3" s="1"/>
  <c r="S10" i="3"/>
  <c r="J10" i="3" s="1"/>
  <c r="S62" i="3"/>
  <c r="J62" i="3" s="1"/>
  <c r="S9" i="3"/>
  <c r="J9" i="3" s="1"/>
  <c r="B14" i="14" a="1"/>
  <c r="B14" i="14" s="1"/>
  <c r="B24" i="15" a="1"/>
  <c r="B24" i="15" s="1"/>
  <c r="B61" i="6" a="1"/>
  <c r="B61" i="6" s="1"/>
  <c r="B13" i="6" a="1"/>
  <c r="B13" i="6" s="1"/>
  <c r="B54" i="14" a="1"/>
  <c r="B54" i="14" s="1"/>
  <c r="B7" i="14" a="1"/>
  <c r="B7" i="14" s="1"/>
  <c r="B52" i="6" a="1"/>
  <c r="B52" i="6" s="1"/>
  <c r="B22" i="16" a="1"/>
  <c r="B22" i="16" s="1"/>
  <c r="B41" i="16" a="1"/>
  <c r="B41" i="16" s="1"/>
  <c r="B11" i="16" a="1"/>
  <c r="B11" i="16" s="1"/>
  <c r="B14" i="15" a="1"/>
  <c r="B14" i="15" s="1"/>
  <c r="B3" i="15" a="1"/>
  <c r="B3" i="15" s="1"/>
  <c r="B16" i="14" a="1"/>
  <c r="B16" i="14" s="1"/>
  <c r="B21" i="14" a="1"/>
  <c r="B21" i="14" s="1"/>
  <c r="B66" i="14" a="1"/>
  <c r="B66" i="14" s="1"/>
  <c r="B38" i="14" a="1"/>
  <c r="B38" i="14" s="1"/>
  <c r="B34" i="14" a="1"/>
  <c r="B34" i="14" s="1"/>
  <c r="B55" i="14" a="1"/>
  <c r="B55" i="14" s="1"/>
  <c r="B63" i="14" a="1"/>
  <c r="B63" i="14" s="1"/>
  <c r="B62" i="14" a="1"/>
  <c r="B62" i="14" s="1"/>
  <c r="B60" i="14" a="1"/>
  <c r="B60" i="14" s="1"/>
  <c r="B44" i="14" a="1"/>
  <c r="B44" i="14" s="1"/>
  <c r="B57" i="14" a="1"/>
  <c r="B57" i="14" s="1"/>
  <c r="B12" i="6" a="1"/>
  <c r="B12" i="6" s="1"/>
  <c r="B19" i="6" a="1"/>
  <c r="B19" i="6" s="1"/>
  <c r="B17" i="6" a="1"/>
  <c r="B17" i="6" s="1"/>
  <c r="B32" i="6" a="1"/>
  <c r="B32" i="6" s="1"/>
  <c r="B4" i="6" a="1"/>
  <c r="B4" i="6" s="1"/>
  <c r="B10" i="6" a="1"/>
  <c r="B10" i="6" s="1"/>
  <c r="B18" i="6" a="1"/>
  <c r="B18" i="6" s="1"/>
  <c r="B11" i="6" a="1"/>
  <c r="B11" i="6" s="1"/>
  <c r="B64" i="6" a="1"/>
  <c r="B64" i="6" s="1"/>
  <c r="B42" i="16" a="1"/>
  <c r="B42" i="16" s="1"/>
  <c r="B3" i="16" a="1"/>
  <c r="B3" i="16" s="1"/>
  <c r="B43" i="16" a="1"/>
  <c r="B43" i="16" s="1"/>
  <c r="B21" i="16" a="1"/>
  <c r="B21" i="16" s="1"/>
  <c r="B44" i="16" a="1"/>
  <c r="B44" i="16" s="1"/>
  <c r="B19" i="16" a="1"/>
  <c r="B19" i="16" s="1"/>
  <c r="B45" i="16" a="1"/>
  <c r="B45" i="16" s="1"/>
  <c r="B33" i="16" a="1"/>
  <c r="B33" i="16" s="1"/>
  <c r="B18" i="16" a="1"/>
  <c r="B18" i="16" s="1"/>
  <c r="B17" i="16" a="1"/>
  <c r="B17" i="16" s="1"/>
  <c r="B23" i="16" a="1"/>
  <c r="B23" i="16" s="1"/>
  <c r="B25" i="16" a="1"/>
  <c r="B25" i="16" s="1"/>
  <c r="B32" i="16" a="1"/>
  <c r="B32" i="16" s="1"/>
  <c r="B12" i="16" a="1"/>
  <c r="B12" i="16" s="1"/>
  <c r="B19" i="15" a="1"/>
  <c r="B19" i="15" s="1"/>
  <c r="B8" i="15" a="1"/>
  <c r="B8" i="15" s="1"/>
  <c r="B27" i="15" a="1"/>
  <c r="B27" i="15" s="1"/>
  <c r="B28" i="15" a="1"/>
  <c r="B28" i="15" s="1"/>
  <c r="B11" i="15" a="1"/>
  <c r="B11" i="15" s="1"/>
  <c r="B4" i="15" a="1"/>
  <c r="B4" i="15" s="1"/>
  <c r="B3" i="14" a="1"/>
  <c r="B3" i="14" s="1"/>
  <c r="A12" i="15" a="1"/>
  <c r="A12" i="15" s="1"/>
  <c r="Q12" i="15" s="1"/>
  <c r="G21" i="17" s="1"/>
  <c r="H21" i="17" s="1"/>
  <c r="B12" i="15" a="1"/>
  <c r="B12" i="15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13" i="14" a="1"/>
  <c r="A13" i="14" s="1"/>
  <c r="A29" i="6" a="1"/>
  <c r="A29" i="6" s="1"/>
  <c r="A18" i="15" a="1"/>
  <c r="A18" i="15" s="1"/>
  <c r="Q18" i="15" s="1"/>
  <c r="B58" i="14" a="1"/>
  <c r="B58" i="14" s="1"/>
  <c r="A58" i="14" a="1"/>
  <c r="A58" i="14" s="1"/>
  <c r="Q58" i="14" s="1"/>
  <c r="A5" i="14" a="1"/>
  <c r="A5" i="14" s="1"/>
  <c r="Q5" i="14" s="1"/>
  <c r="B12" i="14" a="1"/>
  <c r="B12" i="14" s="1"/>
  <c r="A12" i="14" a="1"/>
  <c r="A12" i="14" s="1"/>
  <c r="Q12" i="14" s="1"/>
  <c r="B50" i="14" a="1"/>
  <c r="B50" i="14" s="1"/>
  <c r="A50" i="14" a="1"/>
  <c r="A50" i="14" s="1"/>
  <c r="Q50" i="14" s="1"/>
  <c r="B48" i="14" a="1"/>
  <c r="B48" i="14" s="1"/>
  <c r="A48" i="14" a="1"/>
  <c r="A48" i="14" s="1"/>
  <c r="Q48" i="14" s="1"/>
  <c r="B22" i="14" a="1"/>
  <c r="B22" i="14" s="1"/>
  <c r="A22" i="14" a="1"/>
  <c r="A22" i="14" s="1"/>
  <c r="A3" i="6" a="1"/>
  <c r="A3" i="6" s="1"/>
  <c r="Q3" i="6" s="1"/>
  <c r="A34" i="6" a="1"/>
  <c r="A34" i="6" s="1"/>
  <c r="A8" i="6" a="1"/>
  <c r="A8" i="6" s="1"/>
  <c r="Q8" i="6" s="1"/>
  <c r="B14" i="6" a="1"/>
  <c r="B14" i="6" s="1"/>
  <c r="A14" i="6" a="1"/>
  <c r="A14" i="6" s="1"/>
  <c r="Q14" i="6" s="1"/>
  <c r="A6" i="6" a="1"/>
  <c r="A6" i="6" s="1"/>
  <c r="Q6" i="6" s="1"/>
  <c r="A30" i="6" a="1"/>
  <c r="A30" i="6" s="1"/>
  <c r="Q30" i="6" s="1"/>
  <c r="A48" i="6" a="1"/>
  <c r="A48" i="6" s="1"/>
  <c r="Q48" i="6" s="1"/>
  <c r="B31" i="6" a="1"/>
  <c r="B31" i="6" s="1"/>
  <c r="A31" i="6" a="1"/>
  <c r="A31" i="6" s="1"/>
  <c r="A38" i="6" a="1"/>
  <c r="A38" i="6" s="1"/>
  <c r="A9" i="6" a="1"/>
  <c r="A9" i="6" s="1"/>
  <c r="Q9" i="6" s="1"/>
  <c r="A15" i="6" a="1"/>
  <c r="A15" i="6" s="1"/>
  <c r="Q15" i="6" s="1"/>
  <c r="A5" i="16" a="1"/>
  <c r="A5" i="16" s="1"/>
  <c r="Q5" i="16" s="1"/>
  <c r="A6" i="16" a="1"/>
  <c r="A6" i="16" s="1"/>
  <c r="Q6" i="16" s="1"/>
  <c r="B16" i="16" a="1"/>
  <c r="B16" i="16" s="1"/>
  <c r="A16" i="16" a="1"/>
  <c r="A16" i="16" s="1"/>
  <c r="Q16" i="16" s="1"/>
  <c r="B24" i="16" a="1"/>
  <c r="B24" i="16" s="1"/>
  <c r="A24" i="16" a="1"/>
  <c r="A24" i="16" s="1"/>
  <c r="Q24" i="16" s="1"/>
  <c r="A6" i="15" a="1"/>
  <c r="A6" i="15" s="1"/>
  <c r="Q6" i="15" s="1"/>
  <c r="A7" i="15" a="1"/>
  <c r="A7" i="15" s="1"/>
  <c r="A5" i="15" a="1"/>
  <c r="A5" i="15" s="1"/>
  <c r="B32" i="15" a="1"/>
  <c r="B32" i="15" s="1"/>
  <c r="A32" i="15" a="1"/>
  <c r="A32" i="15" s="1"/>
  <c r="Q32" i="15" s="1"/>
  <c r="G35" i="17"/>
  <c r="H35" i="17" s="1"/>
  <c r="R13" i="13"/>
  <c r="A63" i="11" a="1"/>
  <c r="A63" i="11" s="1"/>
  <c r="Q63" i="11" s="1"/>
  <c r="B29" i="11" a="1"/>
  <c r="B29" i="11" s="1"/>
  <c r="A29" i="11" a="1"/>
  <c r="A29" i="11" s="1"/>
  <c r="Q29" i="11" s="1"/>
  <c r="A62" i="11" a="1"/>
  <c r="A62" i="11" s="1"/>
  <c r="Q62" i="11" s="1"/>
  <c r="A53" i="11" a="1"/>
  <c r="A53" i="11" s="1"/>
  <c r="Q53" i="11" s="1"/>
  <c r="A11" i="11" a="1"/>
  <c r="A11" i="11" s="1"/>
  <c r="Q11" i="11" s="1"/>
  <c r="A44" i="3" a="1"/>
  <c r="A44" i="3" s="1"/>
  <c r="Q44" i="3" s="1"/>
  <c r="B47" i="3" a="1"/>
  <c r="B47" i="3" s="1"/>
  <c r="A47" i="3" a="1"/>
  <c r="A47" i="3" s="1"/>
  <c r="Q47" i="3" s="1"/>
  <c r="B22" i="3" a="1"/>
  <c r="B22" i="3" s="1"/>
  <c r="A22" i="3" a="1"/>
  <c r="A22" i="3" s="1"/>
  <c r="Q22" i="3" s="1"/>
  <c r="B69" i="3" a="1"/>
  <c r="B69" i="3" s="1"/>
  <c r="A69" i="3" a="1"/>
  <c r="A69" i="3" s="1"/>
  <c r="Q69" i="3" s="1"/>
  <c r="B51" i="3" a="1"/>
  <c r="B51" i="3" s="1"/>
  <c r="A51" i="3" a="1"/>
  <c r="A51" i="3" s="1"/>
  <c r="Q51" i="3" s="1"/>
  <c r="B58" i="3" a="1"/>
  <c r="B58" i="3" s="1"/>
  <c r="A58" i="3" a="1"/>
  <c r="A58" i="3" s="1"/>
  <c r="Q58" i="3" s="1"/>
  <c r="B64" i="3" a="1"/>
  <c r="B64" i="3" s="1"/>
  <c r="B56" i="14" a="1"/>
  <c r="B56" i="14" s="1"/>
  <c r="B35" i="14" a="1"/>
  <c r="B35" i="14" s="1"/>
  <c r="B30" i="14" a="1"/>
  <c r="B30" i="14" s="1"/>
  <c r="B9" i="14" a="1"/>
  <c r="B9" i="14" s="1"/>
  <c r="B65" i="14" a="1"/>
  <c r="B65" i="14" s="1"/>
  <c r="B51" i="14" a="1"/>
  <c r="B51" i="14" s="1"/>
  <c r="B42" i="14" a="1"/>
  <c r="B42" i="14" s="1"/>
  <c r="B40" i="14" a="1"/>
  <c r="B40" i="14" s="1"/>
  <c r="B18" i="14" a="1"/>
  <c r="B18" i="14" s="1"/>
  <c r="B43" i="14" a="1"/>
  <c r="B43" i="14" s="1"/>
  <c r="B24" i="14" a="1"/>
  <c r="B24" i="14" s="1"/>
  <c r="B20" i="14" a="1"/>
  <c r="B20" i="14" s="1"/>
  <c r="B25" i="14" a="1"/>
  <c r="B25" i="14" s="1"/>
  <c r="B19" i="14" a="1"/>
  <c r="B19" i="14" s="1"/>
  <c r="B6" i="14" a="1"/>
  <c r="B6" i="14" s="1"/>
  <c r="B23" i="14" a="1"/>
  <c r="B23" i="14" s="1"/>
  <c r="B29" i="14" a="1"/>
  <c r="B29" i="14" s="1"/>
  <c r="B41" i="14" a="1"/>
  <c r="B41" i="14" s="1"/>
  <c r="B17" i="14" a="1"/>
  <c r="B17" i="14" s="1"/>
  <c r="B27" i="14" a="1"/>
  <c r="B27" i="14" s="1"/>
  <c r="B36" i="14" a="1"/>
  <c r="B36" i="14" s="1"/>
  <c r="B15" i="14" a="1"/>
  <c r="B15" i="14" s="1"/>
  <c r="B52" i="14" a="1"/>
  <c r="B52" i="14" s="1"/>
  <c r="B49" i="14" a="1"/>
  <c r="B49" i="14" s="1"/>
  <c r="B53" i="14" a="1"/>
  <c r="B53" i="14" s="1"/>
  <c r="B32" i="14" a="1"/>
  <c r="B32" i="14" s="1"/>
  <c r="B4" i="14" a="1"/>
  <c r="B4" i="14" s="1"/>
  <c r="B59" i="14" a="1"/>
  <c r="B59" i="14" s="1"/>
  <c r="B26" i="14" a="1"/>
  <c r="B26" i="14" s="1"/>
  <c r="B11" i="14" a="1"/>
  <c r="B11" i="14" s="1"/>
  <c r="B64" i="14" a="1"/>
  <c r="B64" i="14" s="1"/>
  <c r="B28" i="14" a="1"/>
  <c r="B28" i="14" s="1"/>
  <c r="B31" i="14" a="1"/>
  <c r="B31" i="14" s="1"/>
  <c r="B33" i="14" a="1"/>
  <c r="B33" i="14" s="1"/>
  <c r="B45" i="14" a="1"/>
  <c r="B45" i="14" s="1"/>
  <c r="B61" i="14" a="1"/>
  <c r="B61" i="14" s="1"/>
  <c r="B47" i="14" a="1"/>
  <c r="B47" i="14" s="1"/>
  <c r="B37" i="14" a="1"/>
  <c r="B37" i="14" s="1"/>
  <c r="B7" i="15" a="1"/>
  <c r="B7" i="15" s="1"/>
  <c r="B18" i="15" a="1"/>
  <c r="B18" i="15" s="1"/>
  <c r="B5" i="16" a="1"/>
  <c r="B5" i="16" s="1"/>
  <c r="B6" i="15" a="1"/>
  <c r="B6" i="15" s="1"/>
  <c r="B6" i="16" a="1"/>
  <c r="B6" i="16" s="1"/>
  <c r="B5" i="15" a="1"/>
  <c r="B5" i="15" s="1"/>
  <c r="B7" i="6" a="1"/>
  <c r="B7" i="6" s="1"/>
  <c r="B5" i="14" a="1"/>
  <c r="B5" i="14" s="1"/>
  <c r="B13" i="14" a="1"/>
  <c r="B13" i="14" s="1"/>
  <c r="B34" i="6" a="1"/>
  <c r="B34" i="6" s="1"/>
  <c r="B5" i="6" a="1"/>
  <c r="B5" i="6" s="1"/>
  <c r="B56" i="6" a="1"/>
  <c r="B56" i="6" s="1"/>
  <c r="B9" i="6" a="1"/>
  <c r="B9" i="6" s="1"/>
  <c r="B48" i="6" a="1"/>
  <c r="B48" i="6" s="1"/>
  <c r="B3" i="6" a="1"/>
  <c r="B3" i="6" s="1"/>
  <c r="B29" i="6" a="1"/>
  <c r="B29" i="6" s="1"/>
  <c r="B6" i="6" a="1"/>
  <c r="B6" i="6" s="1"/>
  <c r="B8" i="6" a="1"/>
  <c r="B8" i="6" s="1"/>
  <c r="B38" i="6" a="1"/>
  <c r="B38" i="6" s="1"/>
  <c r="B39" i="6" a="1"/>
  <c r="B39" i="6" s="1"/>
  <c r="B30" i="6" a="1"/>
  <c r="B30" i="6" s="1"/>
  <c r="B15" i="6" a="1"/>
  <c r="B15" i="6" s="1"/>
  <c r="B33" i="6" a="1"/>
  <c r="B33" i="6" s="1"/>
  <c r="B67" i="11" a="1"/>
  <c r="B67" i="11" s="1"/>
  <c r="B24" i="11" a="1"/>
  <c r="B24" i="11" s="1"/>
  <c r="B10" i="11" a="1"/>
  <c r="B10" i="11" s="1"/>
  <c r="B66" i="11" a="1"/>
  <c r="B66" i="11" s="1"/>
  <c r="B61" i="11" a="1"/>
  <c r="B61" i="11" s="1"/>
  <c r="B11" i="3" a="1"/>
  <c r="B11" i="3" s="1"/>
  <c r="S69" i="3"/>
  <c r="J69" i="3" s="1"/>
  <c r="A36" i="3" a="1"/>
  <c r="A36" i="3" s="1"/>
  <c r="Q36" i="3" s="1"/>
  <c r="Q42" i="16"/>
  <c r="Q61" i="11"/>
  <c r="Q27" i="15"/>
  <c r="G5" i="17" s="1"/>
  <c r="H5" i="17" s="1"/>
  <c r="Q37" i="11"/>
  <c r="C26" i="17" s="1"/>
  <c r="D26" i="17" s="1"/>
  <c r="Q28" i="15"/>
  <c r="G59" i="17" s="1"/>
  <c r="H59" i="17" s="1"/>
  <c r="Q11" i="16"/>
  <c r="Q22" i="11"/>
  <c r="Q18" i="14"/>
  <c r="Q28" i="14"/>
  <c r="Q26" i="6"/>
  <c r="Q42" i="14"/>
  <c r="Q56" i="14"/>
  <c r="Q46" i="14"/>
  <c r="Q24" i="14"/>
  <c r="E15" i="17"/>
  <c r="F15" i="17" s="1"/>
  <c r="Q49" i="14"/>
  <c r="Q33" i="14"/>
  <c r="Q47" i="14"/>
  <c r="Q59" i="14"/>
  <c r="Q61" i="14"/>
  <c r="Q43" i="14"/>
  <c r="Q4" i="14"/>
  <c r="Q7" i="14"/>
  <c r="Q13" i="6"/>
  <c r="Q61" i="6"/>
  <c r="E52" i="17"/>
  <c r="F52" i="17" s="1"/>
  <c r="Q30" i="16"/>
  <c r="Q33" i="16"/>
  <c r="G17" i="17" s="1"/>
  <c r="H17" i="17" s="1"/>
  <c r="G20" i="17"/>
  <c r="H20" i="17" s="1"/>
  <c r="Q27" i="16"/>
  <c r="Q45" i="16"/>
  <c r="Q26" i="16"/>
  <c r="Q38" i="16"/>
  <c r="Q14" i="15"/>
  <c r="Q24" i="15"/>
  <c r="G32" i="17" s="1"/>
  <c r="H32" i="17" s="1"/>
  <c r="Q44" i="11"/>
  <c r="Q67" i="11"/>
  <c r="Q57" i="11"/>
  <c r="Q10" i="11"/>
  <c r="Q24" i="11"/>
  <c r="Q26" i="11"/>
  <c r="Q6" i="11"/>
  <c r="Q30" i="11"/>
  <c r="Q64" i="11"/>
  <c r="Q47" i="11"/>
  <c r="Q46" i="11"/>
  <c r="Q56" i="11"/>
  <c r="Q8" i="11"/>
  <c r="Q27" i="11"/>
  <c r="Q42" i="11"/>
  <c r="B5" i="11" l="1" a="1"/>
  <c r="B5" i="11" s="1"/>
  <c r="B9" i="3" a="1"/>
  <c r="B9" i="3" s="1"/>
  <c r="B53" i="11" a="1"/>
  <c r="B53" i="11" s="1"/>
  <c r="Q27" i="6"/>
  <c r="Q24" i="6"/>
  <c r="Q25" i="6"/>
  <c r="Q21" i="6"/>
  <c r="Q54" i="6"/>
  <c r="E71" i="17" s="1"/>
  <c r="Q50" i="6"/>
  <c r="Q47" i="6"/>
  <c r="Q53" i="6"/>
  <c r="Q44" i="6"/>
  <c r="E24" i="17" s="1"/>
  <c r="Q43" i="6"/>
  <c r="Q46" i="6"/>
  <c r="Q45" i="6"/>
  <c r="Q51" i="6"/>
  <c r="Q42" i="6"/>
  <c r="Q49" i="6"/>
  <c r="Q20" i="6"/>
  <c r="Q23" i="6"/>
  <c r="Q37" i="6"/>
  <c r="Q28" i="6"/>
  <c r="E5" i="17" s="1"/>
  <c r="G58" i="17"/>
  <c r="H58" i="17" s="1"/>
  <c r="G68" i="17"/>
  <c r="H68" i="17" s="1"/>
  <c r="G43" i="17"/>
  <c r="H43" i="17" s="1"/>
  <c r="E43" i="17"/>
  <c r="F43" i="17" s="1"/>
  <c r="B34" i="3" a="1"/>
  <c r="B34" i="3" s="1"/>
  <c r="B35" i="3" a="1"/>
  <c r="B35" i="3" s="1"/>
  <c r="B56" i="11" a="1"/>
  <c r="B56" i="11" s="1"/>
  <c r="B4" i="11" a="1"/>
  <c r="B4" i="11" s="1"/>
  <c r="B19" i="11" a="1"/>
  <c r="B19" i="11" s="1"/>
  <c r="B25" i="11" a="1"/>
  <c r="B25" i="11" s="1"/>
  <c r="B22" i="11" a="1"/>
  <c r="B22" i="11" s="1"/>
  <c r="B65" i="11" a="1"/>
  <c r="B65" i="11" s="1"/>
  <c r="C15" i="17"/>
  <c r="D15" i="17" s="1"/>
  <c r="B11" i="11" a="1"/>
  <c r="B11" i="11" s="1"/>
  <c r="D186" i="2" a="1"/>
  <c r="D186" i="2" s="1"/>
  <c r="B16" i="11" a="1"/>
  <c r="B16" i="11" s="1"/>
  <c r="B71" i="11" a="1"/>
  <c r="B71" i="11" s="1"/>
  <c r="B63" i="11" a="1"/>
  <c r="B63" i="11" s="1"/>
  <c r="B57" i="11" a="1"/>
  <c r="B57" i="11" s="1"/>
  <c r="B6" i="11" a="1"/>
  <c r="B6" i="11" s="1"/>
  <c r="B47" i="11" a="1"/>
  <c r="B47" i="11" s="1"/>
  <c r="B26" i="11" a="1"/>
  <c r="B26" i="11" s="1"/>
  <c r="B54" i="11" a="1"/>
  <c r="B54" i="11" s="1"/>
  <c r="B23" i="11" a="1"/>
  <c r="B23" i="11" s="1"/>
  <c r="B18" i="11" a="1"/>
  <c r="B18" i="11" s="1"/>
  <c r="B7" i="11" a="1"/>
  <c r="B7" i="11" s="1"/>
  <c r="B74" i="11" a="1"/>
  <c r="B74" i="11" s="1"/>
  <c r="B43" i="11" a="1"/>
  <c r="B43" i="11" s="1"/>
  <c r="B14" i="11" a="1"/>
  <c r="B14" i="11" s="1"/>
  <c r="B52" i="11" a="1"/>
  <c r="B52" i="11" s="1"/>
  <c r="B27" i="11" a="1"/>
  <c r="B27" i="11" s="1"/>
  <c r="B68" i="11" a="1"/>
  <c r="B68" i="11" s="1"/>
  <c r="B62" i="11" a="1"/>
  <c r="B62" i="11" s="1"/>
  <c r="B45" i="11" a="1"/>
  <c r="B45" i="11" s="1"/>
  <c r="B69" i="11" a="1"/>
  <c r="B69" i="11" s="1"/>
  <c r="B20" i="11" a="1"/>
  <c r="B20" i="11" s="1"/>
  <c r="B73" i="11" a="1"/>
  <c r="B73" i="11" s="1"/>
  <c r="B17" i="11" a="1"/>
  <c r="B17" i="11" s="1"/>
  <c r="B48" i="11" a="1"/>
  <c r="B48" i="11" s="1"/>
  <c r="B55" i="11" a="1"/>
  <c r="B55" i="11" s="1"/>
  <c r="B51" i="11" a="1"/>
  <c r="B51" i="11" s="1"/>
  <c r="B70" i="11" a="1"/>
  <c r="B70" i="11" s="1"/>
  <c r="B7" i="3" a="1"/>
  <c r="B7" i="3" s="1"/>
  <c r="B45" i="3" a="1"/>
  <c r="B45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9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44" i="14"/>
  <c r="G9" i="17"/>
  <c r="Q5" i="15"/>
  <c r="Q3" i="14"/>
  <c r="Q13" i="14"/>
  <c r="Q57" i="14"/>
  <c r="Q22" i="14"/>
  <c r="E50" i="17"/>
  <c r="F50" i="17" s="1"/>
  <c r="Q41" i="6"/>
  <c r="Q60" i="6"/>
  <c r="Q4" i="6"/>
  <c r="Q65" i="6"/>
  <c r="E38" i="17" s="1"/>
  <c r="F38" i="17" s="1"/>
  <c r="Q5" i="6"/>
  <c r="E45" i="17" s="1"/>
  <c r="F45" i="17" s="1"/>
  <c r="Q9" i="16"/>
  <c r="Q3" i="16"/>
  <c r="G66" i="17" s="1"/>
  <c r="Q4" i="16"/>
  <c r="Q3" i="15"/>
  <c r="G53" i="17"/>
  <c r="Q4" i="15"/>
  <c r="Q7" i="15"/>
  <c r="A59" i="11" a="1"/>
  <c r="A59" i="11" s="1"/>
  <c r="B20" i="3" a="1"/>
  <c r="B20" i="3" s="1"/>
  <c r="B21" i="3" a="1"/>
  <c r="B21" i="3" s="1"/>
  <c r="B28" i="3" a="1"/>
  <c r="B28" i="3" s="1"/>
  <c r="B5" i="3" a="1"/>
  <c r="B5" i="3" s="1"/>
  <c r="B38" i="3" a="1"/>
  <c r="B38" i="3" s="1"/>
  <c r="B30" i="3" a="1"/>
  <c r="B30" i="3" s="1"/>
  <c r="B19" i="3" a="1"/>
  <c r="B19" i="3" s="1"/>
  <c r="B67" i="3" a="1"/>
  <c r="B67" i="3" s="1"/>
  <c r="B60" i="3" a="1"/>
  <c r="B60" i="3" s="1"/>
  <c r="B36" i="3" a="1"/>
  <c r="B36" i="3" s="1"/>
  <c r="B10" i="3" a="1"/>
  <c r="B10" i="3" s="1"/>
  <c r="B62" i="3" a="1"/>
  <c r="B62" i="3" s="1"/>
  <c r="B25" i="3" a="1"/>
  <c r="B25" i="3" s="1"/>
  <c r="B59" i="3" a="1"/>
  <c r="B59" i="3" s="1"/>
  <c r="A31" i="3" a="1"/>
  <c r="A31" i="3" s="1"/>
  <c r="Q31" i="3" s="1"/>
  <c r="A6" i="3" a="1"/>
  <c r="A6" i="3" s="1"/>
  <c r="Q6" i="3" s="1"/>
  <c r="B17" i="3" a="1"/>
  <c r="B17" i="3" s="1"/>
  <c r="B54" i="3" a="1"/>
  <c r="B54" i="3" s="1"/>
  <c r="B52" i="3" a="1"/>
  <c r="B52" i="3" s="1"/>
  <c r="A4" i="3" a="1"/>
  <c r="A4" i="3" s="1"/>
  <c r="B48" i="3" a="1"/>
  <c r="B48" i="3" s="1"/>
  <c r="B4" i="3" a="1"/>
  <c r="B4" i="3" s="1"/>
  <c r="B50" i="3" a="1"/>
  <c r="B50" i="3" s="1"/>
  <c r="B37" i="3" a="1"/>
  <c r="B37" i="3" s="1"/>
  <c r="B24" i="3" a="1"/>
  <c r="B24" i="3" s="1"/>
  <c r="A49" i="3" a="1"/>
  <c r="A49" i="3" s="1"/>
  <c r="C32" i="17"/>
  <c r="D32" i="17" s="1"/>
  <c r="C12" i="17"/>
  <c r="A57" i="3" a="1"/>
  <c r="A57" i="3" s="1"/>
  <c r="B61" i="3" a="1"/>
  <c r="B61" i="3" s="1"/>
  <c r="A5" i="3" a="1"/>
  <c r="A5" i="3" s="1"/>
  <c r="Q5" i="3" s="1"/>
  <c r="A21" i="3" a="1"/>
  <c r="A21" i="3" s="1"/>
  <c r="Q21" i="3" s="1"/>
  <c r="B29" i="3" a="1"/>
  <c r="B29" i="3" s="1"/>
  <c r="B63" i="3" a="1"/>
  <c r="B63" i="3" s="1"/>
  <c r="B68" i="3" a="1"/>
  <c r="B68" i="3" s="1"/>
  <c r="B56" i="3" a="1"/>
  <c r="B56" i="3" s="1"/>
  <c r="A10" i="3" a="1"/>
  <c r="A10" i="3" s="1"/>
  <c r="B33" i="3" a="1"/>
  <c r="B33" i="3" s="1"/>
  <c r="B18" i="3" a="1"/>
  <c r="B18" i="3" s="1"/>
  <c r="B40" i="3" a="1"/>
  <c r="B40" i="3" s="1"/>
  <c r="B57" i="3" a="1"/>
  <c r="B57" i="3" s="1"/>
  <c r="A3" i="3" a="1"/>
  <c r="A3" i="3" s="1"/>
  <c r="Q3" i="3" s="1"/>
  <c r="B59" i="11" a="1"/>
  <c r="B59" i="11" s="1"/>
  <c r="B3" i="11" a="1"/>
  <c r="B3" i="11" s="1"/>
  <c r="B49" i="3" a="1"/>
  <c r="B49" i="3" s="1"/>
  <c r="B8" i="3" a="1"/>
  <c r="B8" i="3" s="1"/>
  <c r="B3" i="3" a="1"/>
  <c r="B3" i="3" s="1"/>
  <c r="B6" i="3" a="1"/>
  <c r="B6" i="3" s="1"/>
  <c r="B31" i="3" a="1"/>
  <c r="B31" i="3" s="1"/>
  <c r="G67" i="17"/>
  <c r="H67" i="17" s="1"/>
  <c r="G54" i="17"/>
  <c r="H54" i="17" s="1"/>
  <c r="G65" i="17"/>
  <c r="H65" i="17" s="1"/>
  <c r="G29" i="17"/>
  <c r="H29" i="17" s="1"/>
  <c r="G44" i="17"/>
  <c r="H44" i="17" s="1"/>
  <c r="G60" i="17"/>
  <c r="E25" i="17"/>
  <c r="F25" i="17" s="1"/>
  <c r="E60" i="17"/>
  <c r="F60" i="17" s="1"/>
  <c r="E2" i="17"/>
  <c r="F2" i="17" s="1"/>
  <c r="C52" i="17"/>
  <c r="D52" i="17" s="1"/>
  <c r="C64" i="17"/>
  <c r="D64" i="17" s="1"/>
  <c r="C25" i="17"/>
  <c r="D25" i="17" s="1"/>
  <c r="C47" i="17"/>
  <c r="D47" i="17" s="1"/>
  <c r="Q26" i="14"/>
  <c r="Q40" i="6"/>
  <c r="Q64" i="14"/>
  <c r="E27" i="17"/>
  <c r="R7" i="12"/>
  <c r="Q10" i="14"/>
  <c r="C50" i="17"/>
  <c r="D50" i="17" s="1"/>
  <c r="Q25" i="11"/>
  <c r="R10" i="13"/>
  <c r="Q22" i="6"/>
  <c r="E29" i="17" s="1"/>
  <c r="Q38" i="6"/>
  <c r="E47" i="17" s="1"/>
  <c r="Q14" i="16"/>
  <c r="G12" i="17" s="1"/>
  <c r="H12" i="17" s="1"/>
  <c r="Q9" i="15"/>
  <c r="G55" i="17" s="1"/>
  <c r="Q21" i="11"/>
  <c r="G18" i="17"/>
  <c r="H18" i="17" s="1"/>
  <c r="Q45" i="14"/>
  <c r="E18" i="17"/>
  <c r="F18" i="17" s="1"/>
  <c r="G61" i="17"/>
  <c r="H61" i="17" s="1"/>
  <c r="C66" i="17"/>
  <c r="D66" i="17" s="1"/>
  <c r="C46" i="17"/>
  <c r="D46" i="17" s="1"/>
  <c r="E64" i="17"/>
  <c r="C18" i="17"/>
  <c r="D18" i="17" s="1"/>
  <c r="C48" i="17"/>
  <c r="D48" i="17" s="1"/>
  <c r="Q65" i="14"/>
  <c r="Q9" i="14"/>
  <c r="E67" i="17" s="1"/>
  <c r="F67" i="17" s="1"/>
  <c r="Q53" i="14"/>
  <c r="Q8" i="14"/>
  <c r="E61" i="17" s="1"/>
  <c r="F61" i="17" s="1"/>
  <c r="Q31" i="14"/>
  <c r="E3" i="17" s="1"/>
  <c r="F3" i="17" s="1"/>
  <c r="Q16" i="14"/>
  <c r="E68" i="17" s="1"/>
  <c r="F68" i="17" s="1"/>
  <c r="E32" i="17"/>
  <c r="F32" i="17" s="1"/>
  <c r="Q31" i="6"/>
  <c r="Q56" i="6"/>
  <c r="Q34" i="6"/>
  <c r="Q20" i="16"/>
  <c r="G63" i="17"/>
  <c r="Q40" i="16"/>
  <c r="G25" i="17" s="1"/>
  <c r="H25" i="17" s="1"/>
  <c r="Q19" i="15"/>
  <c r="G37" i="17" s="1"/>
  <c r="H37" i="17" s="1"/>
  <c r="Q13" i="15"/>
  <c r="C71" i="17"/>
  <c r="D71" i="17" s="1"/>
  <c r="Q19" i="11"/>
  <c r="E23" i="17" l="1"/>
  <c r="E58" i="17"/>
  <c r="E65" i="17"/>
  <c r="E44" i="17"/>
  <c r="E69" i="17"/>
  <c r="F69" i="17" s="1"/>
  <c r="G30" i="17"/>
  <c r="H30" i="17" s="1"/>
  <c r="G16" i="17"/>
  <c r="E21" i="17"/>
  <c r="F21" i="17" s="1"/>
  <c r="E33" i="17"/>
  <c r="F33" i="17" s="1"/>
  <c r="C56" i="17"/>
  <c r="D56" i="17" s="1"/>
  <c r="Q4" i="3"/>
  <c r="Q49" i="3"/>
  <c r="C7" i="17"/>
  <c r="D7" i="17" s="1"/>
  <c r="Q10" i="3"/>
  <c r="C27" i="17" s="1"/>
  <c r="D27" i="17" s="1"/>
  <c r="Q57" i="3"/>
  <c r="E46" i="17"/>
  <c r="F46" i="17" s="1"/>
  <c r="E37" i="17"/>
  <c r="F37" i="17" s="1"/>
  <c r="E56" i="17"/>
  <c r="E66" i="17"/>
  <c r="G14" i="17"/>
  <c r="H14" i="17" s="1"/>
  <c r="C65" i="17"/>
  <c r="C10" i="17"/>
  <c r="D10" i="17" s="1"/>
  <c r="Q59" i="11"/>
  <c r="C13" i="17" s="1"/>
  <c r="D13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7" i="17"/>
  <c r="E55" i="17"/>
  <c r="E10" i="17"/>
  <c r="E20" i="17"/>
  <c r="C44" i="17"/>
  <c r="C61" i="17"/>
  <c r="D61" i="17" s="1"/>
  <c r="C11" i="17"/>
  <c r="G33" i="17"/>
  <c r="H33" i="17" s="1"/>
  <c r="G27" i="17"/>
  <c r="H27" i="17" s="1"/>
  <c r="E6" i="17"/>
  <c r="F44" i="17" s="1"/>
  <c r="G36" i="17"/>
  <c r="H36" i="17" s="1"/>
  <c r="G47" i="17"/>
  <c r="G40" i="17"/>
  <c r="G41" i="17"/>
  <c r="G31" i="17"/>
  <c r="H31" i="17" s="1"/>
  <c r="G46" i="17"/>
  <c r="H46" i="17" s="1"/>
  <c r="G64" i="17"/>
  <c r="G56" i="17"/>
  <c r="H56" i="17" s="1"/>
  <c r="G10" i="17"/>
  <c r="G6" i="17"/>
  <c r="H6" i="17" s="1"/>
  <c r="E30" i="17"/>
  <c r="F30" i="17" s="1"/>
  <c r="E31" i="17"/>
  <c r="E40" i="17"/>
  <c r="E54" i="17"/>
  <c r="E35" i="17"/>
  <c r="F35" i="17" s="1"/>
  <c r="E12" i="17"/>
  <c r="E9" i="17"/>
  <c r="F9" i="17" s="1"/>
  <c r="E7" i="17"/>
  <c r="E41" i="17"/>
  <c r="C14" i="17"/>
  <c r="C35" i="17"/>
  <c r="D35" i="17" s="1"/>
  <c r="C55" i="17"/>
  <c r="D55" i="17" s="1"/>
  <c r="C69" i="17"/>
  <c r="C60" i="17"/>
  <c r="D60" i="17" s="1"/>
  <c r="C36" i="17"/>
  <c r="E63" i="17"/>
  <c r="C33" i="17"/>
  <c r="G19" i="17"/>
  <c r="E36" i="17"/>
  <c r="E28" i="17"/>
  <c r="E16" i="17"/>
  <c r="G48" i="17"/>
  <c r="G45" i="17"/>
  <c r="E14" i="17"/>
  <c r="G52" i="17"/>
  <c r="E48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56" i="17" l="1"/>
  <c r="F5" i="17"/>
  <c r="F58" i="17"/>
  <c r="F23" i="17"/>
  <c r="F29" i="17"/>
  <c r="F24" i="17"/>
  <c r="C30" i="17"/>
  <c r="C24" i="17"/>
  <c r="D24" i="17" s="1"/>
  <c r="C40" i="17"/>
  <c r="D40" i="17" s="1"/>
  <c r="C23" i="17"/>
  <c r="D23" i="17" s="1"/>
  <c r="C51" i="17"/>
  <c r="H53" i="17"/>
  <c r="H9" i="17"/>
  <c r="F20" i="17"/>
  <c r="F71" i="17"/>
  <c r="H16" i="17"/>
  <c r="H40" i="17"/>
  <c r="F12" i="17"/>
  <c r="F31" i="17"/>
  <c r="F7" i="17"/>
  <c r="H41" i="17"/>
  <c r="F41" i="17"/>
  <c r="F55" i="17"/>
  <c r="F66" i="17"/>
  <c r="H66" i="17"/>
  <c r="F57" i="17"/>
  <c r="F10" i="17"/>
  <c r="F64" i="17"/>
  <c r="F65" i="17"/>
  <c r="F27" i="17"/>
  <c r="F28" i="17"/>
  <c r="F54" i="17"/>
  <c r="H10" i="17"/>
  <c r="F40" i="17"/>
  <c r="F16" i="17"/>
  <c r="F19" i="17"/>
  <c r="F6" i="17"/>
  <c r="F48" i="17"/>
  <c r="F36" i="17"/>
  <c r="F14" i="17"/>
  <c r="F63" i="17"/>
  <c r="F47" i="17"/>
  <c r="H45" i="17"/>
  <c r="H52" i="17"/>
  <c r="H19" i="17"/>
  <c r="H60" i="17"/>
  <c r="H63" i="17"/>
  <c r="H47" i="17"/>
  <c r="H55" i="17"/>
  <c r="H48" i="17"/>
  <c r="H64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7" i="17" l="1"/>
  <c r="D37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9" i="17" l="1"/>
  <c r="D29" i="17" s="1"/>
  <c r="C63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7" i="17"/>
  <c r="C54" i="17"/>
  <c r="D54" i="17" s="1"/>
  <c r="C58" i="17" l="1"/>
  <c r="C41" i="17"/>
  <c r="C16" i="17"/>
  <c r="C19" i="17"/>
  <c r="D19" i="17" s="1"/>
  <c r="C28" i="17"/>
  <c r="C17" i="17"/>
  <c r="C9" i="17"/>
  <c r="D9" i="17" s="1"/>
  <c r="D6" i="17"/>
  <c r="C20" i="17"/>
  <c r="C57" i="17"/>
  <c r="C31" i="17"/>
  <c r="D31" i="17" s="1"/>
  <c r="D69" i="17" l="1"/>
  <c r="D14" i="17"/>
  <c r="D11" i="17"/>
  <c r="D12" i="17"/>
  <c r="D41" i="17"/>
  <c r="D67" i="17"/>
  <c r="D16" i="17"/>
  <c r="D30" i="17"/>
  <c r="D44" i="17"/>
  <c r="D28" i="17"/>
  <c r="D36" i="17"/>
  <c r="D20" i="17"/>
  <c r="D33" i="17"/>
  <c r="D17" i="17"/>
  <c r="D63" i="17"/>
  <c r="D51" i="17"/>
  <c r="D65" i="17"/>
  <c r="D58" i="17"/>
  <c r="D5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<sst xmlns="http://schemas.openxmlformats.org/spreadsheetml/2006/main" count="1805" uniqueCount="395">
  <si>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</si>
  <si>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</si>
  <si>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</si>
  <si>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</si>
  <si>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</si>
  <si>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</si>
  <si>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</si>
  <si>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</si>
  <si>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</si>
  <si>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</si>
  <si>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</si>
  <si>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</si>
  <si>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</si>
  <si>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</si>
  <si>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</si>
  <si>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</si>
  <si>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</si>
  <si>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</si>
  <si>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</si>
  <si>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</si>
  <si>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</si>
  <si>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</si>
  <si>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</si>
  <si>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</si>
  <si>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</si>
  <si>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</si>
  <si>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</si>
  <si>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</si>
  <si>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</si>
  <si>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</si>
  <si>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</si>
  <si>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</si>
  <si>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</si>
  <si>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</si>
  <si>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</si>
  <si>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</si>
  <si>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</si>
  <si>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</si>
  <si>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</si>
  <si>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</si>
  <si>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</si>
  <si>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</si>
  <si>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</si>
  <si>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</si>
  <si>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</si>
  <si>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</si>
  <si>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</si>
  <si>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</si>
  <si>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</si>
  <si>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</si>
  <si>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</si>
  <si>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</si>
  <si>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</si>
  <si>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</si>
  <si>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</si>
  <si>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</si>
  <si>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</si>
  <si>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</si>
  <si>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</si>
  <si>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</si>
  <si>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</si>
  <si>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</si>
  <si>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</si>
  <si>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</si>
  <si>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</si>
  <si>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</si>
  <si>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</si>
  <si>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</si>
  <si>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</si>
  <si>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</si>
  <si>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</si>
  <si>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</si>
  <si>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</si>
  <si>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</si>
  <si>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</si>
  <si>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</si>
  <si>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</si>
  <si>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</si>
  <si>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</si>
  <si>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</si>
  <si>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</si>
  <si>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</si>
  <si>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</si>
  <si>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</si>
  <si>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</si>
  <si>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</si>
  <si>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</si>
  <si>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</si>
  <si>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</si>
  <si>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</si>
  <si>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</si>
  <si>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</si>
  <si>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</si>
  <si>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</si>
  <si>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</si>
  <si>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</si>
  <si>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</si>
  <si>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</si>
  <si>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</si>
  <si>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</si>
  <si>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</si>
  <si>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</si>
  <si>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</si>
  <si>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</si>
  <si>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</si>
  <si>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</si>
  <si>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</si>
  <si>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</si>
  <si>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</si>
  <si>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</si>
  <si>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</si>
  <si>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</si>
  <si>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</si>
  <si>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</si>
  <si>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</si>
  <si>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</si>
  <si>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</si>
  <si>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</si>
  <si>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</si>
  <si>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</si>
  <si>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</si>
  <si>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</si>
  <si>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</si>
  <si>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</si>
  <si>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</si>
  <si>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</si>
  <si>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</si>
  <si>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</si>
  <si>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</si>
  <si>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</si>
  <si>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</si>
  <si>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</si>
  <si>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</si>
  <si>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</si>
  <si>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</si>
  <si>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</si>
  <si>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</si>
  <si>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</si>
  <si>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</si>
  <si>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</si>
  <si>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</si>
  <si>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</si>
  <si>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</si>
  <si>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</si>
  <si>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</si>
  <si>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</si>
  <si>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</si>
  <si>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</si>
  <si>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</si>
  <si>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</si>
  <si>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</si>
  <si>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</si>
  <si>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</si>
  <si>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</si>
  <si>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</si>
  <si>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</si>
  <si>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</si>
  <si>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</si>
  <si>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</si>
  <si>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</si>
  <si>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</si>
  <si>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</si>
  <si>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</si>
  <si>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</si>
  <si>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</si>
  <si>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</si>
  <si>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</si>
  <si>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</si>
  <si>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</si>
  <si>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</si>
  <si>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</si>
  <si>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</si>
  <si>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</si>
  <si>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</si>
  <si>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</si>
  <si>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</si>
  <si>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</si>
  <si>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</si>
  <si>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</si>
  <si>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</si>
  <si>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</si>
  <si>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2025 Elite Canada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</si>
  <si>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</si>
  <si>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</si>
  <si>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</si>
  <si>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</si>
  <si>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</si>
  <si>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</si>
  <si>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</si>
  <si>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</si>
  <si>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</si>
  <si>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</si>
  <si>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</si>
  <si>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</si>
  <si>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</si>
  <si>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</si>
  <si>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</si>
  <si>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</si>
  <si>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</si>
  <si>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</si>
  <si>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</si>
  <si>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</si>
  <si>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</si>
  <si>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</si>
  <si>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</si>
  <si>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</si>
  <si>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</si>
  <si>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</si>
  <si>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</si>
  <si>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</si>
  <si>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</si>
  <si>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</si>
  <si>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</si>
  <si>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</si>
  <si>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</si>
  <si>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</si>
  <si>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</si>
  <si>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</si>
  <si>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</si>
  <si>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</si>
  <si>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</si>
  <si>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</si>
  <si>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</si>
  <si>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</si>
  <si>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</si>
  <si>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</si>
  <si>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</si>
  <si>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</si>
  <si>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</si>
  <si>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</si>
  <si>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</si>
  <si>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</si>
  <si>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</si>
  <si>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</si>
  <si>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</si>
  <si>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</si>
  <si>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</si>
  <si>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</si>
  <si>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</si>
  <si>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</si>
  <si>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</si>
  <si>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</si>
  <si>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</si>
  <si>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</si>
  <si>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</si>
  <si>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</si>
  <si>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</si>
  <si>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</si>
  <si>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</si>
  <si>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</si>
  <si>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</si>
  <si>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</si>
  <si>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</si>
  <si>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</si>
  <si>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</si>
  <si>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</si>
  <si>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</si>
  <si>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</si>
  <si>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</si>
  <si>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</si>
  <si>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</si>
  <si>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</si>
  <si>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</si>
  <si>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</si>
  <si>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</si>
  <si>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</si>
  <si>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</si>
  <si>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</si>
  <si>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</si>
  <si>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</si>
  <si>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</si>
  <si>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</si>
  <si>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</si>
  <si>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</si>
  <si>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</si>
  <si>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</si>
  <si>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</si>
  <si>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</si>
  <si>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</si>
  <si>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</si>
  <si>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</si>
  <si>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</si>
  <si>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</si>
  <si>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</si>
  <si>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</si>
  <si>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</si>
  <si>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</si>
  <si>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</si>
  <si>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</si>
  <si>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</si>
  <si>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</si>
  <si>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</si>
  <si>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</si>
  <si>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</si>
  <si>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</si>
  <si>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</si>
  <si>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</si>
  <si>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</si>
  <si>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</si>
  <si>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</si>
  <si>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</si>
  <si>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</si>
  <si>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</si>
  <si>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</si>
  <si>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</si>
  <si>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</si>
  <si>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</si>
  <si>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</si>
  <si>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</si>
  <si>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</si>
  <si>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</si>
  <si>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</si>
  <si>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</si>
  <si>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</si>
  <si>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</si>
  <si>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</si>
  <si>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</si>
  <si>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</si>
  <si>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</si>
  <si>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</si>
  <si>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</si>
  <si>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</si>
  <si>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</si>
  <si>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</si>
  <si>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</si>
  <si>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</si>
  <si>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</si>
  <si>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</si>
  <si>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</si>
  <si>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</si>
  <si>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</si>
  <si>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</si>
  <si>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</si>
  <si>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</si>
  <si>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</si>
  <si>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</si>
  <si>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</si>
  <si>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</si>
  <si>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</si>
  <si>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</si>
  <si>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</si>
  <si>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</si>
  <si>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</si>
  <si>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</si>
  <si>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</si>
  <si>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</si>
  <si>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</si>
  <si>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</si>
  <si>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</si>
  <si>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</si>
  <si>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</si>
  <si>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</si>
  <si>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</si>
  <si>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</si>
  <si>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</si>
  <si>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</si>
  <si>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</si>
  <si>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</si>
  <si>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</si>
  <si>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</si>
  <si>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</si>
  <si>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</si>
  <si>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</si>
  <si>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</si>
  <si>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</si>
  <si>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</si>
  <si>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</si>
  <si>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</si>
  <si>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</si>
  <si>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</si>
  <si>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</si>
  <si>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</si>
  <si>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</si>
  <si>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</si>
  <si>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</si>
  <si>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</si>
  <si>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</si>
  <si>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</si>
  <si>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</si>
  <si>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</si>
  <si>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</si>
  <si>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</si>
  <si>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</si>
  <si>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</si>
  <si>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</si>
  <si>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</si>
  <si>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</si>
  <si>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</si>
  <si>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</si>
  <si>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</si>
  <si>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</si>
  <si>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</si>
  <si>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</si>
  <si>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Added SYN</t>
  </si>
  <si>
    <t>Removed SYN if age groups differed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</si>
</sst>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45760</v>
      </c>
      <c r="C231" s="62"/>
      <c r="D231" s="62"/>
    </row>
    <row r="232" spans="1:6" x14ac:dyDescent="0.2">
      <c r="A232" s="55"/>
      <c r="B232" s="64" t="s">
        <v>181</v>
      </c>
      <c r="C232" s="64"/>
      <c r="D232" s="64"/>
    </row>
    <row r="233" spans="1:6" x14ac:dyDescent="0.2">
      <c r="B233" s="52" t="s">
        <v>393</v>
      </c>
    </row>
    <row r="234" spans="1:6" x14ac:dyDescent="0.2">
      <c r="B234" s="52" t="s">
        <v>394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1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7" si="0">IF(C2&gt;0,RANK(C2,C$2:C$71),"")</f>
        <v/>
      </c>
      <c r="E2" s="43">
        <f>SUMIF('DMT-M'!E:E,A2,'DMT-M'!Q:Q)+SUMIF('DMT-W'!E:E,A2,'DMT-W'!Q:Q)</f>
        <v>0</v>
      </c>
      <c r="F2" s="45" t="str">
        <f t="shared" ref="F2:F37" si="1">IF(E2&gt;0,RANK(E2,E$2:E$71),"")</f>
        <v/>
      </c>
      <c r="G2" s="43">
        <f>SUMIF('TUM-M'!E:E,A2,'TUM-M'!Q:Q)+SUMIF('TUM-W'!E:E,A2,'TUM-W'!Q:Q)</f>
        <v>0</v>
      </c>
      <c r="H2" s="45" t="str">
        <f t="shared" ref="H2:H37" si="2">IF(G2&gt;0,RANK(G2,G$2:G$71),"")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90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92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79</v>
      </c>
      <c r="B11" s="1" t="s">
        <v>98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91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141</v>
      </c>
      <c r="B13" s="1" t="s">
        <v>98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94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175</v>
      </c>
      <c r="B15" s="1" t="s">
        <v>90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IF(C15&gt;0,RANK(C15,C$2:C$71),"")</f>
        <v/>
      </c>
      <c r="E15" s="46">
        <f>SUMIF('DMT-M'!E:E,A15,'DMT-M'!Q:Q)+SUMIF('DMT-W'!E:E,A15,'DMT-W'!Q:Q)</f>
        <v>0</v>
      </c>
      <c r="F15" s="47" t="str">
        <f t="shared" ref="F15" si="4">IF(E15&gt;0,RANK(E15,E$2:E$71),"")</f>
        <v/>
      </c>
      <c r="G15" s="46">
        <f>SUMIF('TUM-M'!E:E,A15,'TUM-M'!Q:Q)+SUMIF('TUM-W'!E:E,A15,'TUM-W'!Q:Q)</f>
        <v>0</v>
      </c>
      <c r="H15" s="47" t="str">
        <f t="shared" ref="H15" si="5">IF(G15&gt;0,RANK(G15,G$2:G$71),"")</f>
        <v/>
      </c>
    </row>
    <row r="16" spans="1:8" x14ac:dyDescent="0.2">
      <c r="A16" s="59" t="s">
        <v>3</v>
      </c>
      <c r="B16" s="1" t="s">
        <v>93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129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132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64</v>
      </c>
      <c r="B19" s="1" t="s">
        <v>92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94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163</v>
      </c>
      <c r="B21" s="1" t="s">
        <v>97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150</v>
      </c>
      <c r="B22" s="1" t="s">
        <v>90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133</v>
      </c>
      <c r="B23" s="1" t="s">
        <v>90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210</v>
      </c>
      <c r="B24" s="1" t="s">
        <v>93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ref="D24" si="6">IF(C24&gt;0,RANK(C24,C$2:C$71),"")</f>
        <v/>
      </c>
      <c r="E24" s="46">
        <f>SUMIF('DMT-M'!E:E,A24,'DMT-M'!Q:Q)+SUMIF('DMT-W'!E:E,A24,'DMT-W'!Q:Q)</f>
        <v>0</v>
      </c>
      <c r="F24" s="47" t="str">
        <f t="shared" ref="F24" si="7">IF(E24&gt;0,RANK(E24,E$2:E$71),"")</f>
        <v/>
      </c>
      <c r="G24" s="46">
        <f>SUMIF('TUM-M'!E:E,A24,'TUM-M'!Q:Q)+SUMIF('TUM-W'!E:E,A24,'TUM-W'!Q:Q)</f>
        <v>0</v>
      </c>
      <c r="H24" s="47" t="str">
        <f t="shared" ref="H24" si="8">IF(G24&gt;0,RANK(G24,G$2:G$71),"")</f>
        <v/>
      </c>
    </row>
    <row r="25" spans="1:19" x14ac:dyDescent="0.2">
      <c r="A25" s="59" t="s">
        <v>99</v>
      </c>
      <c r="B25" s="1" t="s">
        <v>93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288</v>
      </c>
      <c r="B26" s="1" t="s">
        <v>91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9">IF(C26&gt;0,RANK(C26,C$2:C$71),"")</f>
        <v/>
      </c>
      <c r="E26" s="46">
        <f>SUMIF('DMT-M'!E:E,A26,'DMT-M'!Q:Q)+SUMIF('DMT-W'!E:E,A26,'DMT-W'!Q:Q)</f>
        <v>0</v>
      </c>
      <c r="F26" s="47" t="str">
        <f t="shared" ref="F26" si="10">IF(E26&gt;0,RANK(E26,E$2:E$71),"")</f>
        <v/>
      </c>
      <c r="G26" s="46">
        <f>SUMIF('TUM-M'!E:E,A26,'TUM-M'!Q:Q)+SUMIF('TUM-W'!E:E,A26,'TUM-W'!Q:Q)</f>
        <v>0</v>
      </c>
      <c r="H26" s="47" t="str">
        <f t="shared" ref="H26" si="11">IF(G26&gt;0,RANK(G26,G$2:G$71),"")</f>
        <v/>
      </c>
    </row>
    <row r="27" spans="1:19" x14ac:dyDescent="0.2">
      <c r="A27" s="59" t="s">
        <v>70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84</v>
      </c>
      <c r="B28" s="1" t="s">
        <v>90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149</v>
      </c>
      <c r="B29" s="1" t="s">
        <v>94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59</v>
      </c>
      <c r="B30" s="1" t="s">
        <v>94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76</v>
      </c>
      <c r="B31" s="1" t="s">
        <v>90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46</v>
      </c>
      <c r="B32" s="1" t="s">
        <v>96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134</v>
      </c>
      <c r="B33" s="1" t="s">
        <v>93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209</v>
      </c>
      <c r="B34" s="1" t="s">
        <v>93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ref="D34" si="12">IF(C34&gt;0,RANK(C34,C$2:C$71),"")</f>
        <v/>
      </c>
      <c r="E34" s="46">
        <f>SUMIF('DMT-M'!E:E,A34,'DMT-M'!Q:Q)+SUMIF('DMT-W'!E:E,A34,'DMT-W'!Q:Q)</f>
        <v>0</v>
      </c>
      <c r="F34" s="47" t="str">
        <f t="shared" ref="F34" si="13">IF(E34&gt;0,RANK(E34,E$2:E$71),"")</f>
        <v/>
      </c>
      <c r="G34" s="46">
        <f>SUMIF('TUM-M'!E:E,A34,'TUM-M'!Q:Q)+SUMIF('TUM-W'!E:E,A34,'TUM-W'!Q:Q)</f>
        <v>0</v>
      </c>
      <c r="H34" s="47" t="str">
        <f t="shared" ref="H34" si="14">IF(G34&gt;0,RANK(G34,G$2:G$71),"")</f>
        <v/>
      </c>
    </row>
    <row r="35" spans="1:8" x14ac:dyDescent="0.2">
      <c r="A35" s="59" t="s">
        <v>67</v>
      </c>
      <c r="B35" s="1" t="s">
        <v>90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89</v>
      </c>
      <c r="B36" s="1" t="s">
        <v>90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60</v>
      </c>
      <c r="B37" s="1" t="s">
        <v>94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0"/>
        <v/>
      </c>
      <c r="E37" s="46">
        <f>SUMIF('DMT-M'!E:E,A37,'DMT-M'!Q:Q)+SUMIF('DMT-W'!E:E,A37,'DMT-W'!Q:Q)</f>
        <v>0</v>
      </c>
      <c r="F37" s="47" t="str">
        <f t="shared" si="1"/>
        <v/>
      </c>
      <c r="G37" s="46">
        <f>SUMIF('TUM-M'!E:E,A37,'TUM-M'!Q:Q)+SUMIF('TUM-W'!E:E,A37,'TUM-W'!Q:Q)</f>
        <v>0</v>
      </c>
      <c r="H37" s="47" t="str">
        <f t="shared" si="2"/>
        <v/>
      </c>
    </row>
    <row r="38" spans="1:8" x14ac:dyDescent="0.2">
      <c r="A38" s="59" t="s">
        <v>362</v>
      </c>
      <c r="B38" s="1" t="s">
        <v>92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15">IF(C38&gt;0,RANK(C38,C$2:C$71),"")</f>
        <v/>
      </c>
      <c r="E38" s="46">
        <f>SUMIF('DMT-M'!E:E,A38,'DMT-M'!Q:Q)+SUMIF('DMT-W'!E:E,A38,'DMT-W'!Q:Q)</f>
        <v>0</v>
      </c>
      <c r="F38" s="47" t="str">
        <f t="shared" ref="F38" si="16">IF(E38&gt;0,RANK(E38,E$2:E$71),"")</f>
        <v/>
      </c>
      <c r="G38" s="46">
        <f>SUMIF('TUM-M'!E:E,A38,'TUM-M'!Q:Q)+SUMIF('TUM-W'!E:E,A38,'TUM-W'!Q:Q)</f>
        <v>0</v>
      </c>
      <c r="H38" s="47"/>
    </row>
    <row r="39" spans="1:8" x14ac:dyDescent="0.2">
      <c r="A39" s="59" t="s">
        <v>152</v>
      </c>
      <c r="B39" s="1" t="s">
        <v>94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ref="D39:D71" si="17">IF(C39&gt;0,RANK(C39,C$2:C$71),"")</f>
        <v/>
      </c>
      <c r="E39" s="46">
        <f>SUMIF('DMT-M'!E:E,A39,'DMT-M'!Q:Q)+SUMIF('DMT-W'!E:E,A39,'DMT-W'!Q:Q)</f>
        <v>0</v>
      </c>
      <c r="F39" s="47" t="str">
        <f t="shared" ref="F39:F71" si="18">IF(E39&gt;0,RANK(E39,E$2:E$71),"")</f>
        <v/>
      </c>
      <c r="G39" s="46">
        <f>SUMIF('TUM-M'!E:E,A39,'TUM-M'!Q:Q)+SUMIF('TUM-W'!E:E,A39,'TUM-W'!Q:Q)</f>
        <v>0</v>
      </c>
      <c r="H39" s="47" t="str">
        <f t="shared" ref="H39:H71" si="19">IF(G39&gt;0,RANK(G39,G$2:G$71),"")</f>
        <v/>
      </c>
    </row>
    <row r="40" spans="1:8" x14ac:dyDescent="0.2">
      <c r="A40" s="59" t="s">
        <v>56</v>
      </c>
      <c r="B40" s="1" t="s">
        <v>92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17"/>
        <v/>
      </c>
      <c r="E40" s="46">
        <f>SUMIF('DMT-M'!E:E,A40,'DMT-M'!Q:Q)+SUMIF('DMT-W'!E:E,A40,'DMT-W'!Q:Q)</f>
        <v>0</v>
      </c>
      <c r="F40" s="47" t="str">
        <f t="shared" si="18"/>
        <v/>
      </c>
      <c r="G40" s="46">
        <f>SUMIF('TUM-M'!E:E,A40,'TUM-M'!Q:Q)+SUMIF('TUM-W'!E:E,A40,'TUM-W'!Q:Q)</f>
        <v>0</v>
      </c>
      <c r="H40" s="47" t="str">
        <f t="shared" si="19"/>
        <v/>
      </c>
    </row>
    <row r="41" spans="1:8" x14ac:dyDescent="0.2">
      <c r="A41" s="59" t="s">
        <v>62</v>
      </c>
      <c r="B41" s="1" t="s">
        <v>92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17"/>
        <v/>
      </c>
      <c r="E41" s="46">
        <f>SUMIF('DMT-M'!E:E,A41,'DMT-M'!Q:Q)+SUMIF('DMT-W'!E:E,A41,'DMT-W'!Q:Q)</f>
        <v>0</v>
      </c>
      <c r="F41" s="47" t="str">
        <f t="shared" si="18"/>
        <v/>
      </c>
      <c r="G41" s="46">
        <f>SUMIF('TUM-M'!E:E,A41,'TUM-M'!Q:Q)+SUMIF('TUM-W'!E:E,A41,'TUM-W'!Q:Q)</f>
        <v>0</v>
      </c>
      <c r="H41" s="47" t="str">
        <f t="shared" si="19"/>
        <v/>
      </c>
    </row>
    <row r="42" spans="1:8" x14ac:dyDescent="0.2">
      <c r="A42" s="59" t="s">
        <v>147</v>
      </c>
      <c r="B42" s="1" t="s">
        <v>94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17"/>
        <v/>
      </c>
      <c r="E42" s="46">
        <f>SUMIF('DMT-M'!E:E,A42,'DMT-M'!Q:Q)+SUMIF('DMT-W'!E:E,A42,'DMT-W'!Q:Q)</f>
        <v>0</v>
      </c>
      <c r="F42" s="47" t="str">
        <f t="shared" si="18"/>
        <v/>
      </c>
      <c r="G42" s="46">
        <f>SUMIF('TUM-M'!E:E,A42,'TUM-M'!Q:Q)+SUMIF('TUM-W'!E:E,A42,'TUM-W'!Q:Q)</f>
        <v>0</v>
      </c>
      <c r="H42" s="47" t="str">
        <f t="shared" si="19"/>
        <v/>
      </c>
    </row>
    <row r="43" spans="1:8" x14ac:dyDescent="0.2">
      <c r="A43" s="59" t="s">
        <v>162</v>
      </c>
      <c r="B43" s="1" t="s">
        <v>90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17"/>
        <v/>
      </c>
      <c r="E43" s="46">
        <f>SUMIF('DMT-M'!E:E,A43,'DMT-M'!Q:Q)+SUMIF('DMT-W'!E:E,A43,'DMT-W'!Q:Q)</f>
        <v>0</v>
      </c>
      <c r="F43" s="47" t="str">
        <f t="shared" si="18"/>
        <v/>
      </c>
      <c r="G43" s="46">
        <f>SUMIF('TUM-M'!E:E,A43,'TUM-M'!Q:Q)+SUMIF('TUM-W'!E:E,A43,'TUM-W'!Q:Q)</f>
        <v>0</v>
      </c>
      <c r="H43" s="47" t="str">
        <f t="shared" si="19"/>
        <v/>
      </c>
    </row>
    <row r="44" spans="1:8" x14ac:dyDescent="0.2">
      <c r="A44" s="59" t="s">
        <v>125</v>
      </c>
      <c r="B44" s="1" t="s">
        <v>93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17"/>
        <v/>
      </c>
      <c r="E44" s="46">
        <f>SUMIF('DMT-M'!E:E,A44,'DMT-M'!Q:Q)+SUMIF('DMT-W'!E:E,A44,'DMT-W'!Q:Q)</f>
        <v>0</v>
      </c>
      <c r="F44" s="47" t="str">
        <f t="shared" si="18"/>
        <v/>
      </c>
      <c r="G44" s="46">
        <f>SUMIF('TUM-M'!E:E,A44,'TUM-M'!Q:Q)+SUMIF('TUM-W'!E:E,A44,'TUM-W'!Q:Q)</f>
        <v>0</v>
      </c>
      <c r="H44" s="47" t="str">
        <f t="shared" si="19"/>
        <v/>
      </c>
    </row>
    <row r="45" spans="1:8" x14ac:dyDescent="0.2">
      <c r="A45" s="59" t="s">
        <v>87</v>
      </c>
      <c r="B45" s="1" t="s">
        <v>90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17"/>
        <v/>
      </c>
      <c r="E45" s="46">
        <f>SUMIF('DMT-M'!E:E,A45,'DMT-M'!Q:Q)+SUMIF('DMT-W'!E:E,A45,'DMT-W'!Q:Q)</f>
        <v>0</v>
      </c>
      <c r="F45" s="47" t="str">
        <f t="shared" si="18"/>
        <v/>
      </c>
      <c r="G45" s="46">
        <f>SUMIF('TUM-M'!E:E,A45,'TUM-M'!Q:Q)+SUMIF('TUM-W'!E:E,A45,'TUM-W'!Q:Q)</f>
        <v>0</v>
      </c>
      <c r="H45" s="47" t="str">
        <f t="shared" si="19"/>
        <v/>
      </c>
    </row>
    <row r="46" spans="1:8" x14ac:dyDescent="0.2">
      <c r="A46" s="59" t="s">
        <v>122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17"/>
        <v/>
      </c>
      <c r="E46" s="46">
        <f>SUMIF('DMT-M'!E:E,A46,'DMT-M'!Q:Q)+SUMIF('DMT-W'!E:E,A46,'DMT-W'!Q:Q)</f>
        <v>0</v>
      </c>
      <c r="F46" s="47" t="str">
        <f t="shared" si="18"/>
        <v/>
      </c>
      <c r="G46" s="46">
        <f>SUMIF('TUM-M'!E:E,A46,'TUM-M'!Q:Q)+SUMIF('TUM-W'!E:E,A46,'TUM-W'!Q:Q)</f>
        <v>0</v>
      </c>
      <c r="H46" s="47" t="str">
        <f t="shared" si="19"/>
        <v/>
      </c>
    </row>
    <row r="47" spans="1:8" x14ac:dyDescent="0.2">
      <c r="A47" s="59" t="s">
        <v>88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17"/>
        <v/>
      </c>
      <c r="E47" s="46">
        <f>SUMIF('DMT-M'!E:E,A47,'DMT-M'!Q:Q)+SUMIF('DMT-W'!E:E,A47,'DMT-W'!Q:Q)</f>
        <v>0</v>
      </c>
      <c r="F47" s="47" t="str">
        <f t="shared" si="18"/>
        <v/>
      </c>
      <c r="G47" s="46">
        <f>SUMIF('TUM-M'!E:E,A47,'TUM-M'!Q:Q)+SUMIF('TUM-W'!E:E,A47,'TUM-W'!Q:Q)</f>
        <v>0</v>
      </c>
      <c r="H47" s="47" t="str">
        <f t="shared" si="19"/>
        <v/>
      </c>
    </row>
    <row r="48" spans="1:8" x14ac:dyDescent="0.2">
      <c r="A48" s="59" t="s">
        <v>127</v>
      </c>
      <c r="B48" s="1" t="s">
        <v>95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17"/>
        <v/>
      </c>
      <c r="E48" s="46">
        <f>SUMIF('DMT-M'!E:E,A48,'DMT-M'!Q:Q)+SUMIF('DMT-W'!E:E,A48,'DMT-W'!Q:Q)</f>
        <v>0</v>
      </c>
      <c r="F48" s="47" t="str">
        <f t="shared" si="18"/>
        <v/>
      </c>
      <c r="G48" s="46">
        <f>SUMIF('TUM-M'!E:E,A48,'TUM-M'!Q:Q)+SUMIF('TUM-W'!E:E,A48,'TUM-W'!Q:Q)</f>
        <v>0</v>
      </c>
      <c r="H48" s="47" t="str">
        <f t="shared" si="19"/>
        <v/>
      </c>
    </row>
    <row r="49" spans="1:8" x14ac:dyDescent="0.2">
      <c r="A49" s="59" t="s">
        <v>145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17"/>
        <v/>
      </c>
      <c r="E49" s="46">
        <f>SUMIF('DMT-M'!E:E,A49,'DMT-M'!Q:Q)+SUMIF('DMT-W'!E:E,A49,'DMT-W'!Q:Q)</f>
        <v>0</v>
      </c>
      <c r="F49" s="47" t="str">
        <f t="shared" si="18"/>
        <v/>
      </c>
      <c r="G49" s="46">
        <f>SUMIF('TUM-M'!E:E,A49,'TUM-M'!Q:Q)+SUMIF('TUM-W'!E:E,A49,'TUM-W'!Q:Q)</f>
        <v>0</v>
      </c>
      <c r="H49" s="47" t="str">
        <f t="shared" si="19"/>
        <v/>
      </c>
    </row>
    <row r="50" spans="1:8" x14ac:dyDescent="0.2">
      <c r="A50" s="59" t="s">
        <v>36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17"/>
        <v/>
      </c>
      <c r="E50" s="46">
        <f>SUMIF('DMT-M'!E:E,A50,'DMT-M'!Q:Q)+SUMIF('DMT-W'!E:E,A50,'DMT-W'!Q:Q)</f>
        <v>0</v>
      </c>
      <c r="F50" s="47" t="str">
        <f t="shared" si="18"/>
        <v/>
      </c>
      <c r="G50" s="46">
        <f>SUMIF('TUM-M'!E:E,A50,'TUM-M'!Q:Q)+SUMIF('TUM-W'!E:E,A50,'TUM-W'!Q:Q)</f>
        <v>0</v>
      </c>
      <c r="H50" s="47" t="str">
        <f t="shared" si="19"/>
        <v/>
      </c>
    </row>
    <row r="51" spans="1:8" x14ac:dyDescent="0.2">
      <c r="A51" s="59" t="s">
        <v>37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17"/>
        <v/>
      </c>
      <c r="E51" s="46">
        <f>SUMIF('DMT-M'!E:E,A51,'DMT-M'!Q:Q)+SUMIF('DMT-W'!E:E,A51,'DMT-W'!Q:Q)</f>
        <v>0</v>
      </c>
      <c r="F51" s="47" t="str">
        <f t="shared" si="18"/>
        <v/>
      </c>
      <c r="G51" s="46">
        <f>SUMIF('TUM-M'!E:E,A51,'TUM-M'!Q:Q)+SUMIF('TUM-W'!E:E,A51,'TUM-W'!Q:Q)</f>
        <v>0</v>
      </c>
      <c r="H51" s="47" t="str">
        <f t="shared" si="19"/>
        <v/>
      </c>
    </row>
    <row r="52" spans="1:8" x14ac:dyDescent="0.2">
      <c r="A52" s="59" t="s">
        <v>123</v>
      </c>
      <c r="B52" s="1" t="s">
        <v>90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17"/>
        <v/>
      </c>
      <c r="E52" s="46">
        <f>SUMIF('DMT-M'!E:E,A52,'DMT-M'!Q:Q)+SUMIF('DMT-W'!E:E,A52,'DMT-W'!Q:Q)</f>
        <v>0</v>
      </c>
      <c r="F52" s="47" t="str">
        <f t="shared" si="18"/>
        <v/>
      </c>
      <c r="G52" s="46">
        <f>SUMIF('TUM-M'!E:E,A52,'TUM-M'!Q:Q)+SUMIF('TUM-W'!E:E,A52,'TUM-W'!Q:Q)</f>
        <v>0</v>
      </c>
      <c r="H52" s="47" t="str">
        <f t="shared" si="19"/>
        <v/>
      </c>
    </row>
    <row r="53" spans="1:8" x14ac:dyDescent="0.2">
      <c r="A53" s="59" t="s">
        <v>130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17"/>
        <v/>
      </c>
      <c r="E53" s="46">
        <f>SUMIF('DMT-M'!E:E,A53,'DMT-M'!Q:Q)+SUMIF('DMT-W'!E:E,A53,'DMT-W'!Q:Q)</f>
        <v>0</v>
      </c>
      <c r="F53" s="47" t="str">
        <f t="shared" si="18"/>
        <v/>
      </c>
      <c r="G53" s="46">
        <f>SUMIF('TUM-M'!E:E,A53,'TUM-M'!Q:Q)+SUMIF('TUM-W'!E:E,A53,'TUM-W'!Q:Q)</f>
        <v>0</v>
      </c>
      <c r="H53" s="47" t="str">
        <f t="shared" si="19"/>
        <v/>
      </c>
    </row>
    <row r="54" spans="1:8" x14ac:dyDescent="0.2">
      <c r="A54" s="59" t="s">
        <v>173</v>
      </c>
      <c r="B54" s="1" t="s">
        <v>91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17"/>
        <v/>
      </c>
      <c r="E54" s="46">
        <f>SUMIF('DMT-M'!E:E,A54,'DMT-M'!Q:Q)+SUMIF('DMT-W'!E:E,A54,'DMT-W'!Q:Q)</f>
        <v>0</v>
      </c>
      <c r="F54" s="47" t="str">
        <f t="shared" si="18"/>
        <v/>
      </c>
      <c r="G54" s="46">
        <f>SUMIF('TUM-M'!E:E,A54,'TUM-M'!Q:Q)+SUMIF('TUM-W'!E:E,A54,'TUM-W'!Q:Q)</f>
        <v>0</v>
      </c>
      <c r="H54" s="47" t="str">
        <f t="shared" si="19"/>
        <v/>
      </c>
    </row>
    <row r="55" spans="1:8" x14ac:dyDescent="0.2">
      <c r="A55" s="59" t="s">
        <v>55</v>
      </c>
      <c r="B55" s="1" t="s">
        <v>94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si="17"/>
        <v/>
      </c>
      <c r="E55" s="46">
        <f>SUMIF('DMT-M'!E:E,A55,'DMT-M'!Q:Q)+SUMIF('DMT-W'!E:E,A55,'DMT-W'!Q:Q)</f>
        <v>0</v>
      </c>
      <c r="F55" s="47" t="str">
        <f t="shared" si="18"/>
        <v/>
      </c>
      <c r="G55" s="46">
        <f>SUMIF('TUM-M'!E:E,A55,'TUM-M'!Q:Q)+SUMIF('TUM-W'!E:E,A55,'TUM-W'!Q:Q)</f>
        <v>0</v>
      </c>
      <c r="H55" s="47" t="str">
        <f t="shared" si="19"/>
        <v/>
      </c>
    </row>
    <row r="56" spans="1:8" x14ac:dyDescent="0.2">
      <c r="A56" s="59" t="s">
        <v>63</v>
      </c>
      <c r="B56" s="1" t="s">
        <v>97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17"/>
        <v/>
      </c>
      <c r="E56" s="46">
        <f>SUMIF('DMT-M'!E:E,A56,'DMT-M'!Q:Q)+SUMIF('DMT-W'!E:E,A56,'DMT-W'!Q:Q)</f>
        <v>0</v>
      </c>
      <c r="F56" s="47" t="str">
        <f t="shared" si="18"/>
        <v/>
      </c>
      <c r="G56" s="46">
        <f>SUMIF('TUM-M'!E:E,A56,'TUM-M'!Q:Q)+SUMIF('TUM-W'!E:E,A56,'TUM-W'!Q:Q)</f>
        <v>0</v>
      </c>
      <c r="H56" s="47" t="str">
        <f t="shared" si="19"/>
        <v/>
      </c>
    </row>
    <row r="57" spans="1:8" x14ac:dyDescent="0.2">
      <c r="A57" s="59" t="s">
        <v>39</v>
      </c>
      <c r="B57" s="1" t="s">
        <v>92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17"/>
        <v/>
      </c>
      <c r="E57" s="46">
        <f>SUMIF('DMT-M'!E:E,A57,'DMT-M'!Q:Q)+SUMIF('DMT-W'!E:E,A57,'DMT-W'!Q:Q)</f>
        <v>0</v>
      </c>
      <c r="F57" s="47" t="str">
        <f t="shared" si="18"/>
        <v/>
      </c>
      <c r="G57" s="46">
        <f>SUMIF('TUM-M'!E:E,A57,'TUM-M'!Q:Q)+SUMIF('TUM-W'!E:E,A57,'TUM-W'!Q:Q)</f>
        <v>0</v>
      </c>
      <c r="H57" s="47" t="str">
        <f t="shared" si="19"/>
        <v/>
      </c>
    </row>
    <row r="58" spans="1:8" x14ac:dyDescent="0.2">
      <c r="A58" s="59" t="s">
        <v>86</v>
      </c>
      <c r="B58" s="1" t="s">
        <v>95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17"/>
        <v/>
      </c>
      <c r="E58" s="46">
        <f>SUMIF('DMT-M'!E:E,A58,'DMT-M'!Q:Q)+SUMIF('DMT-W'!E:E,A58,'DMT-W'!Q:Q)</f>
        <v>0</v>
      </c>
      <c r="F58" s="47" t="str">
        <f t="shared" si="18"/>
        <v/>
      </c>
      <c r="G58" s="46">
        <f>SUMIF('TUM-M'!E:E,A58,'TUM-M'!Q:Q)+SUMIF('TUM-W'!E:E,A58,'TUM-W'!Q:Q)</f>
        <v>0</v>
      </c>
      <c r="H58" s="47" t="str">
        <f t="shared" si="19"/>
        <v/>
      </c>
    </row>
    <row r="59" spans="1:8" x14ac:dyDescent="0.2">
      <c r="A59" s="47" t="s">
        <v>176</v>
      </c>
      <c r="B59" s="1" t="s">
        <v>90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ref="D59" si="20">IF(C59&gt;0,RANK(C59,C$2:C$71),"")</f>
        <v/>
      </c>
      <c r="E59" s="46">
        <f>SUMIF('DMT-M'!E:E,A59,'DMT-M'!Q:Q)+SUMIF('DMT-W'!E:E,A59,'DMT-W'!Q:Q)</f>
        <v>0</v>
      </c>
      <c r="F59" s="47" t="str">
        <f t="shared" ref="F59" si="21">IF(E59&gt;0,RANK(E59,E$2:E$71),"")</f>
        <v/>
      </c>
      <c r="G59" s="46">
        <f>SUMIF('TUM-M'!E:E,A59,'TUM-M'!Q:Q)+SUMIF('TUM-W'!E:E,A59,'TUM-W'!Q:Q)</f>
        <v>0</v>
      </c>
      <c r="H59" s="47" t="str">
        <f t="shared" ref="H59" si="22">IF(G59&gt;0,RANK(G59,G$2:G$71),"")</f>
        <v/>
      </c>
    </row>
    <row r="60" spans="1:8" x14ac:dyDescent="0.2">
      <c r="A60" s="47" t="s">
        <v>57</v>
      </c>
      <c r="B60" s="1" t="s">
        <v>93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17"/>
        <v/>
      </c>
      <c r="E60" s="46">
        <f>SUMIF('DMT-M'!E:E,A60,'DMT-M'!Q:Q)+SUMIF('DMT-W'!E:E,A60,'DMT-W'!Q:Q)</f>
        <v>0</v>
      </c>
      <c r="F60" s="47" t="str">
        <f t="shared" si="18"/>
        <v/>
      </c>
      <c r="G60" s="46">
        <f>SUMIF('TUM-M'!E:E,A60,'TUM-M'!Q:Q)+SUMIF('TUM-W'!E:E,A60,'TUM-W'!Q:Q)</f>
        <v>0</v>
      </c>
      <c r="H60" s="47" t="str">
        <f t="shared" si="19"/>
        <v/>
      </c>
    </row>
    <row r="61" spans="1:8" x14ac:dyDescent="0.2">
      <c r="A61" s="47" t="s">
        <v>135</v>
      </c>
      <c r="B61" s="1" t="s">
        <v>90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17"/>
        <v/>
      </c>
      <c r="E61" s="46">
        <f>SUMIF('DMT-M'!E:E,A61,'DMT-M'!Q:Q)+SUMIF('DMT-W'!E:E,A61,'DMT-W'!Q:Q)</f>
        <v>0</v>
      </c>
      <c r="F61" s="47" t="str">
        <f t="shared" si="18"/>
        <v/>
      </c>
      <c r="G61" s="46">
        <f>SUMIF('TUM-M'!E:E,A61,'TUM-M'!Q:Q)+SUMIF('TUM-W'!E:E,A61,'TUM-W'!Q:Q)</f>
        <v>0</v>
      </c>
      <c r="H61" s="47" t="str">
        <f t="shared" si="19"/>
        <v/>
      </c>
    </row>
    <row r="62" spans="1:8" x14ac:dyDescent="0.2">
      <c r="A62" s="47" t="s">
        <v>151</v>
      </c>
      <c r="B62" s="1" t="s">
        <v>90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17"/>
        <v/>
      </c>
      <c r="E62" s="46">
        <f>SUMIF('DMT-M'!E:E,A62,'DMT-M'!Q:Q)+SUMIF('DMT-W'!E:E,A62,'DMT-W'!Q:Q)</f>
        <v>0</v>
      </c>
      <c r="F62" s="47" t="str">
        <f t="shared" si="18"/>
        <v/>
      </c>
      <c r="G62" s="46">
        <f>SUMIF('TUM-M'!E:E,A62,'TUM-M'!Q:Q)+SUMIF('TUM-W'!E:E,A62,'TUM-W'!Q:Q)</f>
        <v>0</v>
      </c>
      <c r="H62" s="47" t="str">
        <f t="shared" si="19"/>
        <v/>
      </c>
    </row>
    <row r="63" spans="1:8" x14ac:dyDescent="0.2">
      <c r="A63" s="47" t="s">
        <v>124</v>
      </c>
      <c r="B63" s="1" t="s">
        <v>93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17"/>
        <v/>
      </c>
      <c r="E63" s="46">
        <f>SUMIF('DMT-M'!E:E,A63,'DMT-M'!Q:Q)+SUMIF('DMT-W'!E:E,A63,'DMT-W'!Q:Q)</f>
        <v>0</v>
      </c>
      <c r="F63" s="47" t="str">
        <f t="shared" si="18"/>
        <v/>
      </c>
      <c r="G63" s="46">
        <f>SUMIF('TUM-M'!E:E,A63,'TUM-M'!Q:Q)+SUMIF('TUM-W'!E:E,A63,'TUM-W'!Q:Q)</f>
        <v>0</v>
      </c>
      <c r="H63" s="47" t="str">
        <f t="shared" si="19"/>
        <v/>
      </c>
    </row>
    <row r="64" spans="1:8" x14ac:dyDescent="0.2">
      <c r="A64" s="47" t="s">
        <v>126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17"/>
        <v/>
      </c>
      <c r="E64" s="46">
        <f>SUMIF('DMT-M'!E:E,A64,'DMT-M'!Q:Q)+SUMIF('DMT-W'!E:E,A64,'DMT-W'!Q:Q)</f>
        <v>0</v>
      </c>
      <c r="F64" s="47" t="str">
        <f t="shared" si="18"/>
        <v/>
      </c>
      <c r="G64" s="46">
        <f>SUMIF('TUM-M'!E:E,A64,'TUM-M'!Q:Q)+SUMIF('TUM-W'!E:E,A64,'TUM-W'!Q:Q)</f>
        <v>0</v>
      </c>
      <c r="H64" s="47" t="str">
        <f t="shared" si="19"/>
        <v/>
      </c>
    </row>
    <row r="65" spans="1:8" x14ac:dyDescent="0.2">
      <c r="A65" s="47" t="s">
        <v>75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17"/>
        <v/>
      </c>
      <c r="E65" s="46">
        <f>SUMIF('DMT-M'!E:E,A65,'DMT-M'!Q:Q)+SUMIF('DMT-W'!E:E,A65,'DMT-W'!Q:Q)</f>
        <v>0</v>
      </c>
      <c r="F65" s="47" t="str">
        <f t="shared" si="18"/>
        <v/>
      </c>
      <c r="G65" s="46">
        <f>SUMIF('TUM-M'!E:E,A65,'TUM-M'!Q:Q)+SUMIF('TUM-W'!E:E,A65,'TUM-W'!Q:Q)</f>
        <v>0</v>
      </c>
      <c r="H65" s="47" t="str">
        <f t="shared" si="19"/>
        <v/>
      </c>
    </row>
    <row r="66" spans="1:8" x14ac:dyDescent="0.2">
      <c r="A66" s="47" t="s">
        <v>66</v>
      </c>
      <c r="B66" s="1" t="s">
        <v>94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17"/>
        <v/>
      </c>
      <c r="E66" s="46">
        <f>SUMIF('DMT-M'!E:E,A66,'DMT-M'!Q:Q)+SUMIF('DMT-W'!E:E,A66,'DMT-W'!Q:Q)</f>
        <v>0</v>
      </c>
      <c r="F66" s="47" t="str">
        <f t="shared" si="18"/>
        <v/>
      </c>
      <c r="G66" s="46">
        <f>SUMIF('TUM-M'!E:E,A66,'TUM-M'!Q:Q)+SUMIF('TUM-W'!E:E,A66,'TUM-W'!Q:Q)</f>
        <v>0</v>
      </c>
      <c r="H66" s="47" t="str">
        <f t="shared" si="19"/>
        <v/>
      </c>
    </row>
    <row r="67" spans="1:8" x14ac:dyDescent="0.2">
      <c r="A67" s="47" t="s">
        <v>72</v>
      </c>
      <c r="B67" s="1" t="s">
        <v>93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17"/>
        <v/>
      </c>
      <c r="E67" s="46">
        <f>SUMIF('DMT-M'!E:E,A67,'DMT-M'!Q:Q)+SUMIF('DMT-W'!E:E,A67,'DMT-W'!Q:Q)</f>
        <v>0</v>
      </c>
      <c r="F67" s="47" t="str">
        <f t="shared" si="18"/>
        <v/>
      </c>
      <c r="G67" s="46">
        <f>SUMIF('TUM-M'!E:E,A67,'TUM-M'!Q:Q)+SUMIF('TUM-W'!E:E,A67,'TUM-W'!Q:Q)</f>
        <v>0</v>
      </c>
      <c r="H67" s="47" t="str">
        <f t="shared" si="19"/>
        <v/>
      </c>
    </row>
    <row r="68" spans="1:8" x14ac:dyDescent="0.2">
      <c r="A68" s="47" t="s">
        <v>144</v>
      </c>
      <c r="B68" s="1" t="s">
        <v>92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17"/>
        <v/>
      </c>
      <c r="E68" s="46">
        <f>SUMIF('DMT-M'!E:E,A68,'DMT-M'!Q:Q)+SUMIF('DMT-W'!E:E,A68,'DMT-W'!Q:Q)</f>
        <v>0</v>
      </c>
      <c r="F68" s="47" t="str">
        <f t="shared" si="18"/>
        <v/>
      </c>
      <c r="G68" s="46">
        <f>SUMIF('TUM-M'!E:E,A68,'TUM-M'!Q:Q)+SUMIF('TUM-W'!E:E,A68,'TUM-W'!Q:Q)</f>
        <v>0</v>
      </c>
      <c r="H68" s="47" t="str">
        <f t="shared" si="19"/>
        <v/>
      </c>
    </row>
    <row r="69" spans="1:8" x14ac:dyDescent="0.2">
      <c r="A69" s="47" t="s">
        <v>128</v>
      </c>
      <c r="B69" s="1" t="s">
        <v>94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17"/>
        <v/>
      </c>
      <c r="E69" s="46">
        <f>SUMIF('DMT-M'!E:E,A69,'DMT-M'!Q:Q)+SUMIF('DMT-W'!E:E,A69,'DMT-W'!Q:Q)</f>
        <v>0</v>
      </c>
      <c r="F69" s="47" t="str">
        <f t="shared" si="18"/>
        <v/>
      </c>
      <c r="G69" s="46">
        <f>SUMIF('TUM-M'!E:E,A69,'TUM-M'!Q:Q)+SUMIF('TUM-W'!E:E,A69,'TUM-W'!Q:Q)</f>
        <v>0</v>
      </c>
      <c r="H69" s="47" t="str">
        <f t="shared" si="19"/>
        <v/>
      </c>
    </row>
    <row r="70" spans="1:8" x14ac:dyDescent="0.2">
      <c r="A70" s="47" t="s">
        <v>327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ref="D70" si="23">IF(C70&gt;0,RANK(C70,C$2:C$71),"")</f>
        <v/>
      </c>
      <c r="E70" s="46">
        <f>SUMIF('DMT-M'!E:E,A70,'DMT-M'!Q:Q)+SUMIF('DMT-W'!E:E,A70,'DMT-W'!Q:Q)</f>
        <v>0</v>
      </c>
      <c r="F70" s="47" t="str">
        <f t="shared" ref="F70" si="24">IF(E70&gt;0,RANK(E70,E$2:E$71),"")</f>
        <v/>
      </c>
      <c r="G70" s="46">
        <f>SUMIF('TUM-M'!E:E,A70,'TUM-M'!Q:Q)+SUMIF('TUM-W'!E:E,A70,'TUM-W'!Q:Q)</f>
        <v>0</v>
      </c>
      <c r="H70" s="47" t="str">
        <f t="shared" ref="H70" si="25">IF(G70&gt;0,RANK(G70,G$2:G$71),"")</f>
        <v/>
      </c>
    </row>
    <row r="71" spans="1:8" x14ac:dyDescent="0.2">
      <c r="A71" s="50" t="s">
        <v>174</v>
      </c>
      <c r="B71" s="49" t="s">
        <v>93</v>
      </c>
      <c r="C71" s="48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50" t="str">
        <f t="shared" si="17"/>
        <v/>
      </c>
      <c r="E71" s="48">
        <f>SUMIF('DMT-M'!E:E,A71,'DMT-M'!Q:Q)+SUMIF('DMT-W'!E:E,A71,'DMT-W'!Q:Q)</f>
        <v>0</v>
      </c>
      <c r="F71" s="50" t="str">
        <f t="shared" si="18"/>
        <v/>
      </c>
      <c r="G71" s="48">
        <f>SUMIF('TUM-M'!E:E,A71,'TUM-M'!Q:Q)+SUMIF('TUM-W'!E:E,A71,'TUM-W'!Q:Q)</f>
        <v>0</v>
      </c>
      <c r="H71" s="50" t="str">
        <f t="shared" si="19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7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106.58020000000002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54.59</v>
      </c>
      <c r="S3" s="4">
        <f>IF(G3="17-21",LARGE(CHOOSE({1,2,3,4,5,6},T3,V3,Y3,AA3,AC3,AF3),2),IF(R3=X3,MAX(Y3,AA3,AC3,AF3),IF(R3=AE3,MAX(AF3,T3,V3,Y3),0)))</f>
        <v>51.99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77</v>
      </c>
      <c r="D4" t="str">
        <f>IF(E4="","",VLOOKUP(E4,'Coaching Points'!A:B,2,0))</f>
        <v>QC</v>
      </c>
      <c r="E4" s="35" t="s">
        <v>72</v>
      </c>
      <c r="F4" s="34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42.170200000000001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/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/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/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35.85</v>
      </c>
      <c r="S4" s="4">
        <f>IF(G4="17-21",LARGE(CHOOSE({1,2,3,4,5,6},T4,V4,Y4,AA4,AC4,AF4),2),IF(R4=X4,MAX(Y4,AA4,AC4,AF4),IF(R4=AE4,MAX(AF4,T4,V4,Y4),0)))</f>
        <v>6.32</v>
      </c>
      <c r="T4" s="32">
        <v>6.32</v>
      </c>
      <c r="U4" s="37">
        <v>2</v>
      </c>
      <c r="V4" s="33">
        <v>35.85</v>
      </c>
      <c r="W4" s="37">
        <v>9</v>
      </c>
      <c r="X4" s="4">
        <f>IF(H4="Senior",MAX(T4,V4),T4+V4)</f>
        <v>35.85</v>
      </c>
      <c r="Y4" s="33"/>
      <c r="Z4" s="37"/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R5+S5+IF(OR(H5="Junior",H5="Senior"),0.0002,IF(OR(H5="L7",H5="L6"),0.0001,0))+IF(G5="17-21",MAX(AA5,AC5,AF5),AE5)*0.0000001</f>
        <v>109.3302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54.92</v>
      </c>
      <c r="S5" s="4">
        <f>IF(G5="17-21",LARGE(CHOOSE({1,2,3,4,5,6},T5,V5,Y5,AA5,AC5,AF5),2),IF(R5=X5,MAX(Y5,AA5,AC5,AF5),IF(R5=AE5,MAX(AF5,T5,V5,Y5),0)))</f>
        <v>54.41</v>
      </c>
      <c r="T5" s="32">
        <v>54.92</v>
      </c>
      <c r="U5" s="37">
        <v>14.9</v>
      </c>
      <c r="V5" s="33">
        <v>51.75</v>
      </c>
      <c r="W5" s="37">
        <v>13.7</v>
      </c>
      <c r="X5" s="4">
        <f>IF(H5="Senior",MAX(T5,V5),T5+V5)</f>
        <v>54.92</v>
      </c>
      <c r="Y5" s="33">
        <v>54.41</v>
      </c>
      <c r="Z5" s="37">
        <v>14.9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182</v>
      </c>
      <c r="D6" t="str">
        <f>IF(E6="","",VLOOKUP(E6,'Coaching Points'!A:B,2,0))</f>
        <v>ON</v>
      </c>
      <c r="E6" s="35" t="s">
        <v>37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R6+S6+IF(OR(H6="Junior",H6="Senior"),0.0002,IF(OR(H6="L7",H6="L6"),0.0001,0))+IF(G6="17-21",MAX(AA6,AC6,AF6),AE6)*0.0000001</f>
        <v>105.11020000000001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4</v>
      </c>
      <c r="Q6" s="1" t="str">
        <f>IF(A6&lt;5,IF(_xlfn.MAXIFS(A:A,G:G,G6)&gt;3,5-A6,_xlfn.MAXIFS(A:A,G:G,G6)+1-A6),"")</f>
        <v/>
      </c>
      <c r="R6" s="4">
        <f>IF(G6="17-21",MAX(T6,V6,Y6,AA6,AC6,AF6),MAX(X6,AE6))</f>
        <v>54.74</v>
      </c>
      <c r="S6" s="4">
        <f>IF(G6="17-21",LARGE(CHOOSE({1,2,3,4,5,6},T6,V6,Y6,AA6,AC6,AF6),2),IF(R6=X6,MAX(Y6,AA6,AC6,AF6),IF(R6=AE6,MAX(AF6,T6,V6,Y6),0)))</f>
        <v>50.37</v>
      </c>
      <c r="T6" s="32">
        <v>46.53</v>
      </c>
      <c r="U6" s="37">
        <v>12.8</v>
      </c>
      <c r="V6" s="33">
        <v>50.37</v>
      </c>
      <c r="W6" s="37">
        <v>12.6</v>
      </c>
      <c r="X6" s="4">
        <f>IF(H6="Senior",MAX(T6,V6),T6+V6)</f>
        <v>50.37</v>
      </c>
      <c r="Y6" s="33">
        <v>54.74</v>
      </c>
      <c r="Z6" s="37">
        <v>15.1</v>
      </c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81</v>
      </c>
      <c r="D7" t="str">
        <f>IF(E7="","",VLOOKUP(E7,'Coaching Points'!A:B,2,0))</f>
        <v>ON</v>
      </c>
      <c r="E7" s="35" t="s">
        <v>67</v>
      </c>
      <c r="F7" s="34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R7+S7+IF(OR(H7="Junior",H7="Senior"),0.0002,IF(OR(H7="L7",H7="L6"),0.0001,0))+IF(G7="17-21",MAX(AA7,AC7,AF7),AE7)*0.0000001</f>
        <v>99.3202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/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/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/>
      </c>
      <c r="O7" s="36">
        <v>3</v>
      </c>
      <c r="Q7" s="1" t="str">
        <f>IF(A7&lt;5,IF(_xlfn.MAXIFS(A:A,G:G,G7)&gt;3,5-A7,_xlfn.MAXIFS(A:A,G:G,G7)+1-A7),"")</f>
        <v/>
      </c>
      <c r="R7" s="4">
        <f>IF(G7="17-21",MAX(T7,V7,Y7,AA7,AC7,AF7),MAX(X7,AE7))</f>
        <v>51.75</v>
      </c>
      <c r="S7" s="4">
        <f>IF(G7="17-21",LARGE(CHOOSE({1,2,3,4,5,6},T7,V7,Y7,AA7,AC7,AF7),2),IF(R7=X7,MAX(Y7,AA7,AC7,AF7),IF(R7=AE7,MAX(AF7,T7,V7,Y7),0)))</f>
        <v>47.57</v>
      </c>
      <c r="T7" s="32">
        <v>47.57</v>
      </c>
      <c r="U7" s="37">
        <v>12.5</v>
      </c>
      <c r="V7" s="33">
        <v>51.75</v>
      </c>
      <c r="W7" s="37">
        <v>13.9</v>
      </c>
      <c r="X7" s="4">
        <f>IF(H7="Senior",MAX(T7,V7),T7+V7)</f>
        <v>51.75</v>
      </c>
      <c r="Y7" s="33">
        <v>6.32</v>
      </c>
      <c r="Z7" s="37">
        <v>2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110</v>
      </c>
      <c r="D8" t="str">
        <f>IF(E8="","",VLOOKUP(E8,'Coaching Points'!A:B,2,0))</f>
        <v>AB</v>
      </c>
      <c r="E8" s="35" t="s">
        <v>39</v>
      </c>
      <c r="F8" s="34">
        <v>2007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R8+S8+IF(OR(H8="Junior",H8="Senior"),0.0002,IF(OR(H8="L7",H8="L6"),0.0001,0))+IF(G8="17-21",MAX(AA8,AC8,AF8),AE8)*0.0000001</f>
        <v>82.510199999999998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1</v>
      </c>
      <c r="Q8" s="1" t="str">
        <f>IF(A8&lt;5,IF(_xlfn.MAXIFS(A:A,G:G,G8)&gt;3,5-A8,_xlfn.MAXIFS(A:A,G:G,G8)+1-A8),"")</f>
        <v/>
      </c>
      <c r="R8" s="4">
        <f>IF(G8="17-21",MAX(T8,V8,Y8,AA8,AC8,AF8),MAX(X8,AE8))</f>
        <v>55.41</v>
      </c>
      <c r="S8" s="4">
        <f>IF(G8="17-21",LARGE(CHOOSE({1,2,3,4,5,6},T8,V8,Y8,AA8,AC8,AF8),2),IF(R8=X8,MAX(Y8,AA8,AC8,AF8),IF(R8=AE8,MAX(AF8,T8,V8,Y8),0)))</f>
        <v>27.1</v>
      </c>
      <c r="T8" s="32">
        <v>55.41</v>
      </c>
      <c r="U8" s="37">
        <v>14.4</v>
      </c>
      <c r="V8" s="33">
        <v>6.27</v>
      </c>
      <c r="W8" s="37">
        <v>2</v>
      </c>
      <c r="X8" s="4">
        <f>IF(H8="Senior",MAX(T8,V8),T8+V8)</f>
        <v>55.41</v>
      </c>
      <c r="Y8" s="33">
        <v>27.1</v>
      </c>
      <c r="Z8" s="37">
        <v>7.6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80</v>
      </c>
      <c r="D9" t="str">
        <f>IF(E9="","",VLOOKUP(E9,'Coaching Points'!A:B,2,0))</f>
        <v>AB</v>
      </c>
      <c r="E9" s="35" t="s">
        <v>28</v>
      </c>
      <c r="F9" s="34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104.8801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53.91</v>
      </c>
      <c r="S9" s="4">
        <f>IF(G9="17-21",LARGE(CHOOSE({1,2,3,4,5,6},T9,V9,Y9,AA9,AC9,AF9),2),IF(R9=X9,MAX(Y9,AA9,AC9,AF9),IF(R9=AE9,MAX(AF9,T9,V9,Y9),0)))</f>
        <v>50.97</v>
      </c>
      <c r="T9" s="32">
        <v>50.97</v>
      </c>
      <c r="U9" s="37">
        <v>14.5</v>
      </c>
      <c r="V9" s="33">
        <v>36.21</v>
      </c>
      <c r="W9" s="37">
        <v>10.4</v>
      </c>
      <c r="X9" s="4">
        <f>IF(H9="Senior",MAX(T9,V9),T9+V9)</f>
        <v>87.18</v>
      </c>
      <c r="Y9" s="33">
        <v>53.91</v>
      </c>
      <c r="Z9" s="37">
        <v>14.9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165</v>
      </c>
      <c r="D10" t="str">
        <f>IF(E10="","",VLOOKUP(E10,'Coaching Points'!A:B,2,0))</f>
        <v>QC</v>
      </c>
      <c r="E10" s="35" t="s">
        <v>70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105.0001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54.44</v>
      </c>
      <c r="S10" s="4">
        <f>IF(G10="17-21",LARGE(CHOOSE({1,2,3,4,5,6},T10,V10,Y10,AA10,AC10,AF10),2),IF(R10=X10,MAX(Y10,AA10,AC10,AF10),IF(R10=AE10,MAX(AF10,T10,V10,Y10),0)))</f>
        <v>50.56</v>
      </c>
      <c r="T10" s="32">
        <v>50.56</v>
      </c>
      <c r="U10" s="37">
        <v>13.4</v>
      </c>
      <c r="V10" s="33">
        <v>54.44</v>
      </c>
      <c r="W10" s="37">
        <v>13.8</v>
      </c>
      <c r="X10" s="4">
        <f>IF(H10="Senior",MAX(T10,V10),T10+V10)</f>
        <v>105</v>
      </c>
      <c r="Y10" s="33">
        <v>46.42</v>
      </c>
      <c r="Z10" s="37">
        <v>12.3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111</v>
      </c>
      <c r="D11" t="str">
        <f>IF(E11="","",VLOOKUP(E11,'Coaching Points'!A:B,2,0))</f>
        <v>AB</v>
      </c>
      <c r="E11" s="35" t="s">
        <v>62</v>
      </c>
      <c r="F11" s="34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102.6101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51.33</v>
      </c>
      <c r="S11" s="4">
        <f>IF(G11="17-21",LARGE(CHOOSE({1,2,3,4,5,6},T11,V11,Y11,AA11,AC11,AF11),2),IF(R11=X11,MAX(Y11,AA11,AC11,AF11),IF(R11=AE11,MAX(AF11,T11,V11,Y11),0)))</f>
        <v>51.28</v>
      </c>
      <c r="T11" s="32">
        <v>47.17</v>
      </c>
      <c r="U11" s="37">
        <v>12.6</v>
      </c>
      <c r="V11" s="33">
        <v>51.33</v>
      </c>
      <c r="W11" s="37">
        <v>13.8</v>
      </c>
      <c r="X11" s="4">
        <f>IF(H11="Senior",MAX(T11,V11),T11+V11)</f>
        <v>98.5</v>
      </c>
      <c r="Y11" s="33">
        <v>51.28</v>
      </c>
      <c r="Z11" s="37">
        <v>13.8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82</v>
      </c>
      <c r="D12" t="str">
        <f>IF(E12="","",VLOOKUP(E12,'Coaching Points'!A:B,2,0))</f>
        <v>BC</v>
      </c>
      <c r="E12" s="35" t="s">
        <v>40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100.2801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52.05</v>
      </c>
      <c r="S12" s="4">
        <f>IF(G12="17-21",LARGE(CHOOSE({1,2,3,4,5,6},T12,V12,Y12,AA12,AC12,AF12),2),IF(R12=X12,MAX(Y12,AA12,AC12,AF12),IF(R12=AE12,MAX(AF12,T12,V12,Y12),0)))</f>
        <v>48.23</v>
      </c>
      <c r="T12" s="32">
        <v>52.05</v>
      </c>
      <c r="U12" s="37">
        <v>14.9</v>
      </c>
      <c r="V12" s="33">
        <v>11.13</v>
      </c>
      <c r="W12" s="37">
        <v>3.3</v>
      </c>
      <c r="X12" s="4">
        <f>IF(H12="Senior",MAX(T12,V12),T12+V12)</f>
        <v>63.18</v>
      </c>
      <c r="Y12" s="33">
        <v>48.23</v>
      </c>
      <c r="Z12" s="37">
        <v>13.2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68</v>
      </c>
      <c r="D13" t="str">
        <f>IF(E13="","",VLOOKUP(E13,'Coaching Points'!A:B,2,0))</f>
        <v>ON</v>
      </c>
      <c r="E13" s="35" t="s">
        <v>135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R13+S13+IF(OR(H13="Junior",H13="Senior"),0.0002,IF(OR(H13="L7",H13="L6"),0.0001,0))+IF(G13="17-21",MAX(AA13,AC13,AF13),AE13)*0.0000001</f>
        <v>97.860100000000003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48.95</v>
      </c>
      <c r="S13" s="4">
        <f>IF(G13="17-21",LARGE(CHOOSE({1,2,3,4,5,6},T13,V13,Y13,AA13,AC13,AF13),2),IF(R13=X13,MAX(Y13,AA13,AC13,AF13),IF(R13=AE13,MAX(AF13,T13,V13,Y13),0)))</f>
        <v>48.91</v>
      </c>
      <c r="T13" s="32">
        <v>48.95</v>
      </c>
      <c r="U13" s="37">
        <v>14.1</v>
      </c>
      <c r="V13" s="33">
        <v>5.4</v>
      </c>
      <c r="W13" s="37">
        <v>2</v>
      </c>
      <c r="X13" s="4">
        <f>IF(H13="Senior",MAX(T13,V13),T13+V13)</f>
        <v>54.35</v>
      </c>
      <c r="Y13" s="33">
        <v>48.91</v>
      </c>
      <c r="Z13" s="37">
        <v>12.7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161</v>
      </c>
      <c r="D14" t="str">
        <f>IF(E14="","",VLOOKUP(E14,'Coaching Points'!A:B,2,0))</f>
        <v>NL</v>
      </c>
      <c r="E14" s="35" t="s">
        <v>79</v>
      </c>
      <c r="F14" s="34">
        <v>2007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97.710100000000011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49.6</v>
      </c>
      <c r="S14" s="4">
        <f>IF(G14="17-21",LARGE(CHOOSE({1,2,3,4,5,6},T14,V14,Y14,AA14,AC14,AF14),2),IF(R14=X14,MAX(Y14,AA14,AC14,AF14),IF(R14=AE14,MAX(AF14,T14,V14,Y14),0)))</f>
        <v>48.11</v>
      </c>
      <c r="T14" s="32">
        <v>38.119999999999997</v>
      </c>
      <c r="U14" s="37">
        <v>0</v>
      </c>
      <c r="V14" s="33">
        <v>48.11</v>
      </c>
      <c r="W14" s="37">
        <v>11.1</v>
      </c>
      <c r="X14" s="4">
        <f>IF(H14="Senior",MAX(T14,V14),T14+V14)</f>
        <v>86.22999999999999</v>
      </c>
      <c r="Y14" s="33">
        <v>49.6</v>
      </c>
      <c r="Z14" s="37">
        <v>11.2</v>
      </c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78</v>
      </c>
      <c r="D15" t="str">
        <f>IF(E15="","",VLOOKUP(E15,'Coaching Points'!A:B,2,0))</f>
        <v>BC</v>
      </c>
      <c r="E15" s="35" t="s">
        <v>60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R15+S15+IF(OR(H15="Junior",H15="Senior"),0.0002,IF(OR(H15="L7",H15="L6"),0.0001,0))+IF(G15="17-21",MAX(AA15,AC15,AF15),AE15)*0.0000001</f>
        <v>96.8001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50.11</v>
      </c>
      <c r="S15" s="4">
        <f>IF(G15="17-21",LARGE(CHOOSE({1,2,3,4,5,6},T15,V15,Y15,AA15,AC15,AF15),2),IF(R15=X15,MAX(Y15,AA15,AC15,AF15),IF(R15=AE15,MAX(AF15,T15,V15,Y15),0)))</f>
        <v>46.69</v>
      </c>
      <c r="T15" s="32">
        <v>41.31</v>
      </c>
      <c r="U15" s="37">
        <v>0</v>
      </c>
      <c r="V15" s="33">
        <v>46.69</v>
      </c>
      <c r="W15" s="37">
        <v>10.3</v>
      </c>
      <c r="X15" s="4">
        <f>IF(H15="Senior",MAX(T15,V15),T15+V15)</f>
        <v>88</v>
      </c>
      <c r="Y15" s="33">
        <v>50.11</v>
      </c>
      <c r="Z15" s="37">
        <v>11.8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202</v>
      </c>
      <c r="D16" t="str">
        <f>IF(E16="","",VLOOKUP(E16,'Coaching Points'!A:B,2,0))</f>
        <v>ON</v>
      </c>
      <c r="E16" s="35" t="s">
        <v>130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R16+S16+IF(OR(H16="Junior",H16="Senior"),0.0002,IF(OR(H16="L7",H16="L6"),0.0001,0))+IF(G16="17-21",MAX(AA16,AC16,AF16),AE16)*0.0000001</f>
        <v>95.61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48.1</v>
      </c>
      <c r="S16" s="4">
        <f>IF(G16="17-21",LARGE(CHOOSE({1,2,3,4,5,6},T16,V16,Y16,AA16,AC16,AF16),2),IF(R16=X16,MAX(Y16,AA16,AC16,AF16),IF(R16=AE16,MAX(AF16,T16,V16,Y16),0)))</f>
        <v>47.51</v>
      </c>
      <c r="T16" s="32">
        <v>40.53</v>
      </c>
      <c r="U16" s="37">
        <v>0</v>
      </c>
      <c r="V16" s="33">
        <v>47.51</v>
      </c>
      <c r="W16" s="37">
        <v>10.4</v>
      </c>
      <c r="X16" s="4">
        <f>IF(H16="Senior",MAX(T16,V16),T16+V16)</f>
        <v>88.039999999999992</v>
      </c>
      <c r="Y16" s="33">
        <v>48.1</v>
      </c>
      <c r="Z16" s="37">
        <v>10.5</v>
      </c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201</v>
      </c>
      <c r="D17" t="str">
        <f>IF(E17="","",VLOOKUP(E17,'Coaching Points'!A:B,2,0))</f>
        <v>QC</v>
      </c>
      <c r="E17" s="35" t="s">
        <v>70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R17+S17+IF(OR(H17="Junior",H17="Senior"),0.0002,IF(OR(H17="L7",H17="L6"),0.0001,0))+IF(G17="17-21",MAX(AA17,AC17,AF17),AE17)*0.0000001</f>
        <v>95.28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49.32</v>
      </c>
      <c r="S17" s="4">
        <f>IF(G17="17-21",LARGE(CHOOSE({1,2,3,4,5,6},T17,V17,Y17,AA17,AC17,AF17),2),IF(R17=X17,MAX(Y17,AA17,AC17,AF17),IF(R17=AE17,MAX(AF17,T17,V17,Y17),0)))</f>
        <v>45.96</v>
      </c>
      <c r="T17" s="32">
        <v>40.25</v>
      </c>
      <c r="U17" s="37">
        <v>0</v>
      </c>
      <c r="V17" s="33">
        <v>45.96</v>
      </c>
      <c r="W17" s="37">
        <v>9</v>
      </c>
      <c r="X17" s="4">
        <f>IF(H17="Senior",MAX(T17,V17),T17+V17)</f>
        <v>86.210000000000008</v>
      </c>
      <c r="Y17" s="33">
        <v>49.32</v>
      </c>
      <c r="Z17" s="37">
        <v>9.4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112</v>
      </c>
      <c r="D18" t="str">
        <f>IF(E18="","",VLOOKUP(E18,'Coaching Points'!A:B,2,0))</f>
        <v>QC</v>
      </c>
      <c r="E18" s="35" t="s">
        <v>3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R18+S18+IF(OR(H18="Junior",H18="Senior"),0.0002,IF(OR(H18="L7",H18="L6"),0.0001,0))+IF(G18="17-21",MAX(AA18,AC18,AF18),AE18)*0.0000001</f>
        <v>95.27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48.23</v>
      </c>
      <c r="S18" s="4">
        <f>IF(G18="17-21",LARGE(CHOOSE({1,2,3,4,5,6},T18,V18,Y18,AA18,AC18,AF18),2),IF(R18=X18,MAX(Y18,AA18,AC18,AF18),IF(R18=AE18,MAX(AF18,T18,V18,Y18),0)))</f>
        <v>47.04</v>
      </c>
      <c r="T18" s="32">
        <v>39.130000000000003</v>
      </c>
      <c r="U18" s="37">
        <v>0</v>
      </c>
      <c r="V18" s="33">
        <v>48.23</v>
      </c>
      <c r="W18" s="37">
        <v>10.1</v>
      </c>
      <c r="X18" s="4">
        <f>IF(H18="Senior",MAX(T18,V18),T18+V18)</f>
        <v>87.36</v>
      </c>
      <c r="Y18" s="33">
        <v>47.04</v>
      </c>
      <c r="Z18" s="37">
        <v>10.1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92.040099999999995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48.08</v>
      </c>
      <c r="S19" s="4">
        <f>IF(G19="17-21",LARGE(CHOOSE({1,2,3,4,5,6},T19,V19,Y19,AA19,AC19,AF19),2),IF(R19=X19,MAX(Y19,AA19,AC19,AF19),IF(R19=AE19,MAX(AF19,T19,V19,Y19),0)))</f>
        <v>43.96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203</v>
      </c>
      <c r="D20" t="str">
        <f>IF(E20="","",VLOOKUP(E20,'Coaching Points'!A:B,2,0))</f>
        <v>NS</v>
      </c>
      <c r="E20" s="35" t="s">
        <v>86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91.289999999999992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46.06</v>
      </c>
      <c r="S20" s="4">
        <f>IF(G20="17-21",LARGE(CHOOSE({1,2,3,4,5,6},T20,V20,Y20,AA20,AC20,AF20),2),IF(R20=X20,MAX(Y20,AA20,AC20,AF20),IF(R20=AE20,MAX(AF20,T20,V20,Y20),0)))</f>
        <v>45.23</v>
      </c>
      <c r="T20" s="32">
        <v>38.369999999999997</v>
      </c>
      <c r="U20" s="37">
        <v>0</v>
      </c>
      <c r="V20" s="33">
        <v>45.23</v>
      </c>
      <c r="W20" s="37">
        <v>8.4</v>
      </c>
      <c r="X20" s="4">
        <f>IF(H20="Senior",MAX(T20,V20),T20+V20)</f>
        <v>83.6</v>
      </c>
      <c r="Y20" s="33">
        <v>46.06</v>
      </c>
      <c r="Z20" s="37">
        <v>8.4</v>
      </c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118</v>
      </c>
      <c r="D21" t="str">
        <f>IF(E21="","",VLOOKUP(E21,'Coaching Points'!A:B,2,0))</f>
        <v>MB</v>
      </c>
      <c r="E21" s="35" t="s">
        <v>63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R21+S21+IF(OR(H21="Junior",H21="Senior"),0.0002,IF(OR(H21="L7",H21="L6"),0.0001,0))+IF(G21="17-21",MAX(AA21,AC21,AF21),AE21)*0.0000001</f>
        <v>89.09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44.7</v>
      </c>
      <c r="S21" s="4">
        <f>IF(G21="17-21",LARGE(CHOOSE({1,2,3,4,5,6},T21,V21,Y21,AA21,AC21,AF21),2),IF(R21=X21,MAX(Y21,AA21,AC21,AF21),IF(R21=AE21,MAX(AF21,T21,V21,Y21),0)))</f>
        <v>44.39</v>
      </c>
      <c r="T21" s="32">
        <v>37.56</v>
      </c>
      <c r="U21" s="37">
        <v>0</v>
      </c>
      <c r="V21" s="33">
        <v>44.7</v>
      </c>
      <c r="W21" s="37">
        <v>10.1</v>
      </c>
      <c r="X21" s="4">
        <f>IF(H21="Senior",MAX(T21,V21),T21+V21)</f>
        <v>82.26</v>
      </c>
      <c r="Y21" s="33">
        <v>44.39</v>
      </c>
      <c r="Z21" s="37">
        <v>10.3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187</v>
      </c>
      <c r="D22" t="str">
        <f>IF(E22="","",VLOOKUP(E22,'Coaching Points'!A:B,2,0))</f>
        <v>BC</v>
      </c>
      <c r="E22" s="35" t="s">
        <v>122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88.760099999999994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49.04</v>
      </c>
      <c r="S22" s="4">
        <f>IF(G22="17-21",LARGE(CHOOSE({1,2,3,4,5,6},T22,V22,Y22,AA22,AC22,AF22),2),IF(R22=X22,MAX(Y22,AA22,AC22,AF22),IF(R22=AE22,MAX(AF22,T22,V22,Y22),0)))</f>
        <v>39.72</v>
      </c>
      <c r="T22" s="32">
        <v>39.72</v>
      </c>
      <c r="U22" s="37">
        <v>0</v>
      </c>
      <c r="V22" s="33">
        <v>49.04</v>
      </c>
      <c r="W22" s="37">
        <v>10.7</v>
      </c>
      <c r="X22" s="4">
        <f>IF(H22="Senior",MAX(T22,V22),T22+V22)</f>
        <v>88.759999999999991</v>
      </c>
      <c r="Y22" s="33">
        <v>5.6</v>
      </c>
      <c r="Z22" s="37">
        <v>1.3</v>
      </c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184</v>
      </c>
      <c r="D23" t="str">
        <f>IF(E23="","",VLOOKUP(E23,'Coaching Points'!A:B,2,0))</f>
        <v>QC</v>
      </c>
      <c r="E23" s="35" t="s">
        <v>75</v>
      </c>
      <c r="F23" s="34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86.990100000000012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48.32</v>
      </c>
      <c r="S23" s="4">
        <f>IF(G23="17-21",LARGE(CHOOSE({1,2,3,4,5,6},T23,V23,Y23,AA23,AC23,AF23),2),IF(R23=X23,MAX(Y23,AA23,AC23,AF23),IF(R23=AE23,MAX(AF23,T23,V23,Y23),0)))</f>
        <v>38.67</v>
      </c>
      <c r="T23" s="32">
        <v>38.67</v>
      </c>
      <c r="U23" s="37">
        <v>0</v>
      </c>
      <c r="V23" s="33">
        <v>48.32</v>
      </c>
      <c r="W23" s="37">
        <v>10.8</v>
      </c>
      <c r="X23" s="4">
        <f>IF(H23="Senior",MAX(T23,V23),T23+V23)</f>
        <v>86.990000000000009</v>
      </c>
      <c r="Y23" s="33">
        <v>19.64</v>
      </c>
      <c r="Z23" s="37">
        <v>3.9</v>
      </c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172</v>
      </c>
      <c r="D24" t="str">
        <f>IF(E24="","",VLOOKUP(E24,'Coaching Points'!A:B,2,0))</f>
        <v>ON</v>
      </c>
      <c r="E24" s="35" t="s">
        <v>84</v>
      </c>
      <c r="F24" s="34">
        <v>2007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R24+S24+IF(OR(H24="Junior",H24="Senior"),0.0002,IF(OR(H24="L7",H24="L6"),0.0001,0))+IF(G24="17-21",MAX(AA24,AC24,AF24),AE24)*0.0000001</f>
        <v>86.41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44.37</v>
      </c>
      <c r="S24" s="4">
        <f>IF(G24="17-21",LARGE(CHOOSE({1,2,3,4,5,6},T24,V24,Y24,AA24,AC24,AF24),2),IF(R24=X24,MAX(Y24,AA24,AC24,AF24),IF(R24=AE24,MAX(AF24,T24,V24,Y24),0)))</f>
        <v>42.04</v>
      </c>
      <c r="T24" s="32">
        <v>37.99</v>
      </c>
      <c r="U24" s="37">
        <v>0</v>
      </c>
      <c r="V24" s="33">
        <v>42.04</v>
      </c>
      <c r="W24" s="37">
        <v>8.5</v>
      </c>
      <c r="X24" s="4">
        <f>IF(H24="Senior",MAX(T24,V24),T24+V24)</f>
        <v>80.03</v>
      </c>
      <c r="Y24" s="33">
        <v>44.37</v>
      </c>
      <c r="Z24" s="37">
        <v>8.5</v>
      </c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154</v>
      </c>
      <c r="D25" t="str">
        <f>IF(E25="","",VLOOKUP(E25,'Coaching Points'!A:B,2,0))</f>
        <v>AB</v>
      </c>
      <c r="E25" s="35" t="s">
        <v>28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85.210100000000011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48.28</v>
      </c>
      <c r="S25" s="4">
        <f>IF(G25="17-21",LARGE(CHOOSE({1,2,3,4,5,6},T25,V25,Y25,AA25,AC25,AF25),2),IF(R25=X25,MAX(Y25,AA25,AC25,AF25),IF(R25=AE25,MAX(AF25,T25,V25,Y25),0)))</f>
        <v>36.93</v>
      </c>
      <c r="T25" s="32">
        <v>36.93</v>
      </c>
      <c r="U25" s="37">
        <v>0</v>
      </c>
      <c r="V25" s="33">
        <v>36.82</v>
      </c>
      <c r="W25" s="37">
        <v>9.1999999999999993</v>
      </c>
      <c r="X25" s="4">
        <f>IF(H25="Senior",MAX(T25,V25),T25+V25)</f>
        <v>73.75</v>
      </c>
      <c r="Y25" s="33">
        <v>48.28</v>
      </c>
      <c r="Z25" s="37">
        <v>12.2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186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84.400100000000009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47.67</v>
      </c>
      <c r="S26" s="4">
        <f>IF(G26="17-21",LARGE(CHOOSE({1,2,3,4,5,6},T26,V26,Y26,AA26,AC26,AF26),2),IF(R26=X26,MAX(Y26,AA26,AC26,AF26),IF(R26=AE26,MAX(AF26,T26,V26,Y26),0)))</f>
        <v>36.729999999999997</v>
      </c>
      <c r="T26" s="32">
        <v>36.729999999999997</v>
      </c>
      <c r="U26" s="37">
        <v>0</v>
      </c>
      <c r="V26" s="33">
        <v>47.67</v>
      </c>
      <c r="W26" s="37">
        <v>11.6</v>
      </c>
      <c r="X26" s="4">
        <f>IF(H26="Senior",MAX(T26,V26),T26+V26)</f>
        <v>84.4</v>
      </c>
      <c r="Y26" s="33">
        <v>5.62</v>
      </c>
      <c r="Z26" s="37">
        <v>1.5</v>
      </c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185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84.39009999999999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46.98</v>
      </c>
      <c r="S27" s="4">
        <f>IF(G27="17-21",LARGE(CHOOSE({1,2,3,4,5,6},T27,V27,Y27,AA27,AC27,AF27),2),IF(R27=X27,MAX(Y27,AA27,AC27,AF27),IF(R27=AE27,MAX(AF27,T27,V27,Y27),0)))</f>
        <v>37.409999999999997</v>
      </c>
      <c r="T27" s="32">
        <v>37.409999999999997</v>
      </c>
      <c r="U27" s="37">
        <v>0</v>
      </c>
      <c r="V27" s="33">
        <v>46.98</v>
      </c>
      <c r="W27" s="37">
        <v>11.1</v>
      </c>
      <c r="X27" s="4">
        <f>IF(H27="Senior",MAX(T27,V27),T27+V27)</f>
        <v>84.389999999999986</v>
      </c>
      <c r="Y27" s="33">
        <v>19.2</v>
      </c>
      <c r="Z27" s="37">
        <v>5.2</v>
      </c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159</v>
      </c>
      <c r="D28" t="str">
        <f>IF(E28="","",VLOOKUP(E28,'Coaching Points'!A:B,2,0))</f>
        <v>BC</v>
      </c>
      <c r="E28" s="35" t="s">
        <v>59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84.11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42.13</v>
      </c>
      <c r="S28" s="4">
        <f>IF(G28="17-21",LARGE(CHOOSE({1,2,3,4,5,6},T28,V28,Y28,AA28,AC28,AF28),2),IF(R28=X28,MAX(Y28,AA28,AC28,AF28),IF(R28=AE28,MAX(AF28,T28,V28,Y28),0)))</f>
        <v>41.98</v>
      </c>
      <c r="T28" s="32">
        <v>35.909999999999997</v>
      </c>
      <c r="U28" s="37">
        <v>0</v>
      </c>
      <c r="V28" s="33">
        <v>42.13</v>
      </c>
      <c r="W28" s="37">
        <v>8.4</v>
      </c>
      <c r="X28" s="4">
        <f>IF(H28="Senior",MAX(T28,V28),T28+V28)</f>
        <v>78.039999999999992</v>
      </c>
      <c r="Y28" s="33">
        <v>41.98</v>
      </c>
      <c r="Z28" s="37">
        <v>8.6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204</v>
      </c>
      <c r="D29" t="str">
        <f>IF(E29="","",VLOOKUP(E29,'Coaching Points'!A:B,2,0))</f>
        <v>BC</v>
      </c>
      <c r="E29" s="35" t="s">
        <v>40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83.710000000000008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45.09</v>
      </c>
      <c r="S29" s="4">
        <f>IF(G29="17-21",LARGE(CHOOSE({1,2,3,4,5,6},T29,V29,Y29,AA29,AC29,AF29),2),IF(R29=X29,MAX(Y29,AA29,AC29,AF29),IF(R29=AE29,MAX(AF29,T29,V29,Y29),0)))</f>
        <v>38.619999999999997</v>
      </c>
      <c r="T29" s="32">
        <v>38.619999999999997</v>
      </c>
      <c r="U29" s="37">
        <v>0</v>
      </c>
      <c r="V29" s="33">
        <v>45.09</v>
      </c>
      <c r="W29" s="37">
        <v>8.9</v>
      </c>
      <c r="X29" s="4">
        <f>IF(H29="Senior",MAX(T29,V29),T29+V29)</f>
        <v>83.710000000000008</v>
      </c>
      <c r="Y29" s="33">
        <v>26.78</v>
      </c>
      <c r="Z29" s="37">
        <v>5.6</v>
      </c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205</v>
      </c>
      <c r="D30" t="str">
        <f>IF(E30="","",VLOOKUP(E30,'Coaching Points'!A:B,2,0))</f>
        <v>QC</v>
      </c>
      <c r="E30" s="35" t="s">
        <v>75</v>
      </c>
      <c r="F30" s="34">
        <v>2008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80.2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43.57</v>
      </c>
      <c r="S30" s="4">
        <f>IF(G30="17-21",LARGE(CHOOSE({1,2,3,4,5,6},T30,V30,Y30,AA30,AC30,AF30),2),IF(R30=X30,MAX(Y30,AA30,AC30,AF30),IF(R30=AE30,MAX(AF30,T30,V30,Y30),0)))</f>
        <v>36.630000000000003</v>
      </c>
      <c r="T30" s="32">
        <v>36.630000000000003</v>
      </c>
      <c r="U30" s="37">
        <v>0</v>
      </c>
      <c r="V30" s="33">
        <v>43.57</v>
      </c>
      <c r="W30" s="37">
        <v>8.4</v>
      </c>
      <c r="X30" s="4">
        <f>IF(H30="Senior",MAX(T30,V30),T30+V30)</f>
        <v>80.2</v>
      </c>
      <c r="Y30" s="33">
        <v>14.2</v>
      </c>
      <c r="Z30" s="37">
        <v>3</v>
      </c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69</v>
      </c>
      <c r="D31" t="str">
        <f>IF(E31="","",VLOOKUP(E31,'Coaching Points'!A:B,2,0))</f>
        <v>QC</v>
      </c>
      <c r="E31" s="35" t="s">
        <v>70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R31+S31+IF(OR(H31="Junior",H31="Senior"),0.0002,IF(OR(H31="L7",H31="L6"),0.0001,0))+IF(G31="17-21",MAX(AA31,AC31,AF31),AE31)*0.0000001</f>
        <v>79.690200000000004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50.71</v>
      </c>
      <c r="S31" s="4">
        <f>IF(G31="17-21",LARGE(CHOOSE({1,2,3,4,5,6},T31,V31,Y31,AA31,AC31,AF31),2),IF(R31=X31,MAX(Y31,AA31,AC31,AF31),IF(R31=AE31,MAX(AF31,T31,V31,Y31),0)))</f>
        <v>28.98</v>
      </c>
      <c r="T31" s="32">
        <v>50.71</v>
      </c>
      <c r="U31" s="37">
        <v>13.4</v>
      </c>
      <c r="V31" s="33">
        <v>17.73</v>
      </c>
      <c r="W31" s="37">
        <v>5</v>
      </c>
      <c r="X31" s="4">
        <f>IF(H31="Senior",MAX(T31,V31),T31+V31)</f>
        <v>50.71</v>
      </c>
      <c r="Y31" s="33">
        <v>28.98</v>
      </c>
      <c r="Z31" s="37">
        <v>6.9</v>
      </c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71</v>
      </c>
      <c r="D32" t="str">
        <f>IF(E32="","",VLOOKUP(E32,'Coaching Points'!A:B,2,0))</f>
        <v>AB</v>
      </c>
      <c r="E32" s="35" t="s">
        <v>62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70.900100000000009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49.97</v>
      </c>
      <c r="S32" s="4">
        <f>IF(G32="17-21",LARGE(CHOOSE({1,2,3,4,5,6},T32,V32,Y32,AA32,AC32,AF32),2),IF(R32=X32,MAX(Y32,AA32,AC32,AF32),IF(R32=AE32,MAX(AF32,T32,V32,Y32),0)))</f>
        <v>20.93</v>
      </c>
      <c r="T32" s="32">
        <v>49.97</v>
      </c>
      <c r="U32" s="37">
        <v>12.9</v>
      </c>
      <c r="V32" s="33">
        <v>20.93</v>
      </c>
      <c r="W32" s="37">
        <v>5.2</v>
      </c>
      <c r="X32" s="4">
        <f>IF(H32="Senior",MAX(T32,V32),T32+V32)</f>
        <v>70.900000000000006</v>
      </c>
      <c r="Y32" s="33">
        <v>5.73</v>
      </c>
      <c r="Z32" s="37">
        <v>2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74</v>
      </c>
      <c r="D33" t="str">
        <f>IF(E33="","",VLOOKUP(E33,'Coaching Points'!A:B,2,0))</f>
        <v>AB</v>
      </c>
      <c r="E33" s="35" t="s">
        <v>62</v>
      </c>
      <c r="F33" s="34">
        <v>2005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R33+S33+IF(OR(H33="Junior",H33="Senior"),0.0002,IF(OR(H33="L7",H33="L6"),0.0001,0))+IF(G33="17-21",MAX(AA33,AC33,AF33),AE33)*0.0000001</f>
        <v>62.32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36.15</v>
      </c>
      <c r="S33" s="4">
        <f>IF(G33="17-21",LARGE(CHOOSE({1,2,3,4,5,6},T33,V33,Y33,AA33,AC33,AF33),2),IF(R33=X33,MAX(Y33,AA33,AC33,AF33),IF(R33=AE33,MAX(AF33,T33,V33,Y33),0)))</f>
        <v>26.17</v>
      </c>
      <c r="T33" s="32">
        <v>36.15</v>
      </c>
      <c r="U33" s="37">
        <v>0</v>
      </c>
      <c r="V33" s="33">
        <v>26.17</v>
      </c>
      <c r="W33" s="37">
        <v>4.8</v>
      </c>
      <c r="X33" s="4">
        <f>IF(H33="Senior",MAX(T33,V33),T33+V33)</f>
        <v>62.32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62.150100000000002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40.57</v>
      </c>
      <c r="S34" s="4">
        <f>IF(G34="17-21",LARGE(CHOOSE({1,2,3,4,5,6},T34,V34,Y34,AA34,AC34,AF34),2),IF(R34=X34,MAX(Y34,AA34,AC34,AF34),IF(R34=AE34,MAX(AF34,T34,V34,Y34),0)))</f>
        <v>21.58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113</v>
      </c>
      <c r="D35" t="str">
        <f>IF(E35="","",VLOOKUP(E35,'Coaching Points'!A:B,2,0))</f>
        <v>NB</v>
      </c>
      <c r="E35" s="35" t="s">
        <v>46</v>
      </c>
      <c r="F35" s="34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58.770099999999999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30.43</v>
      </c>
      <c r="S35" s="4">
        <f>IF(G35="17-21",LARGE(CHOOSE({1,2,3,4,5,6},T35,V35,Y35,AA35,AC35,AF35),2),IF(R35=X35,MAX(Y35,AA35,AC35,AF35),IF(R35=AE35,MAX(AF35,T35,V35,Y35),0)))</f>
        <v>28.34</v>
      </c>
      <c r="T35" s="32">
        <v>30.43</v>
      </c>
      <c r="U35" s="37">
        <v>9.3000000000000007</v>
      </c>
      <c r="V35" s="33">
        <v>28.34</v>
      </c>
      <c r="W35" s="37">
        <v>7.8</v>
      </c>
      <c r="X35" s="4">
        <f>IF(H35="Senior",MAX(T35,V35),T35+V35)</f>
        <v>58.769999999999996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166</v>
      </c>
      <c r="D36" t="str">
        <f>IF(E36="","",VLOOKUP(E36,'Coaching Points'!A:B,2,0))</f>
        <v>AB</v>
      </c>
      <c r="E36" s="35" t="s">
        <v>56</v>
      </c>
      <c r="F36" s="34">
        <v>2008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56.68010000000001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37.56</v>
      </c>
      <c r="S36" s="4">
        <f>IF(G36="17-21",LARGE(CHOOSE({1,2,3,4,5,6},T36,V36,Y36,AA36,AC36,AF36),2),IF(R36=X36,MAX(Y36,AA36,AC36,AF36),IF(R36=AE36,MAX(AF36,T36,V36,Y36),0)))</f>
        <v>19.12</v>
      </c>
      <c r="T36" s="32">
        <v>37.56</v>
      </c>
      <c r="U36" s="37">
        <v>0</v>
      </c>
      <c r="V36" s="33">
        <v>19.12</v>
      </c>
      <c r="W36" s="37">
        <v>4.7</v>
      </c>
      <c r="X36" s="4">
        <f>IF(H36="Senior",MAX(T36,V36),T36+V36)</f>
        <v>56.680000000000007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119</v>
      </c>
      <c r="D37" t="str">
        <f>IF(E37="","",VLOOKUP(E37,'Coaching Points'!A:B,2,0))</f>
        <v>AB</v>
      </c>
      <c r="E37" s="35" t="s">
        <v>62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56.430100000000003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36.68</v>
      </c>
      <c r="S37" s="4">
        <f>IF(G37="17-21",LARGE(CHOOSE({1,2,3,4,5,6},T37,V37,Y37,AA37,AC37,AF37),2),IF(R37=X37,MAX(Y37,AA37,AC37,AF37),IF(R37=AE37,MAX(AF37,T37,V37,Y37),0)))</f>
        <v>19.75</v>
      </c>
      <c r="T37" s="32">
        <v>36.68</v>
      </c>
      <c r="U37" s="37">
        <v>0</v>
      </c>
      <c r="V37" s="33">
        <v>19.75</v>
      </c>
      <c r="W37" s="37">
        <v>5.0999999999999996</v>
      </c>
      <c r="X37" s="4">
        <f>IF(H37="Senior",MAX(T37,V37),T37+V37)</f>
        <v>56.43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73</v>
      </c>
      <c r="D38" t="str">
        <f>IF(E38="","",VLOOKUP(E38,'Coaching Points'!A:B,2,0))</f>
        <v>BC</v>
      </c>
      <c r="E38" s="35" t="s">
        <v>66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55.620100000000008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38.68</v>
      </c>
      <c r="S38" s="4">
        <f>IF(G38="17-21",LARGE(CHOOSE({1,2,3,4,5,6},T38,V38,Y38,AA38,AC38,AF38),2),IF(R38=X38,MAX(Y38,AA38,AC38,AF38),IF(R38=AE38,MAX(AF38,T38,V38,Y38),0)))</f>
        <v>16.940000000000001</v>
      </c>
      <c r="T38" s="32">
        <v>38.68</v>
      </c>
      <c r="U38" s="37">
        <v>0</v>
      </c>
      <c r="V38" s="33">
        <v>16.940000000000001</v>
      </c>
      <c r="W38" s="37">
        <v>1.5</v>
      </c>
      <c r="X38" s="4">
        <f>IF(H38="Senior",MAX(T38,V38),T38+V38)</f>
        <v>55.620000000000005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148</v>
      </c>
      <c r="D39" t="str">
        <f>IF(E39="","",VLOOKUP(E39,'Coaching Points'!A:B,2,0))</f>
        <v>AB</v>
      </c>
      <c r="E39" s="35" t="s">
        <v>28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R39+S39+IF(OR(H39="Junior",H39="Senior"),0.0002,IF(OR(H39="L7",H39="L6"),0.0001,0))+IF(G39="17-21",MAX(AA39,AC39,AF39),AE39)*0.0000001</f>
        <v>54.260199999999998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43.16</v>
      </c>
      <c r="S39" s="4">
        <f>IF(G39="17-21",LARGE(CHOOSE({1,2,3,4,5,6},T39,V39,Y39,AA39,AC39,AF39),2),IF(R39=X39,MAX(Y39,AA39,AC39,AF39),IF(R39=AE39,MAX(AF39,T39,V39,Y39),0)))</f>
        <v>11.1</v>
      </c>
      <c r="T39" s="32">
        <v>43.16</v>
      </c>
      <c r="U39" s="37">
        <v>11.7</v>
      </c>
      <c r="V39" s="33">
        <v>11.1</v>
      </c>
      <c r="W39" s="37">
        <v>3.3</v>
      </c>
      <c r="X39" s="4">
        <f>IF(H39="Senior",MAX(T39,V39),T39+V39)</f>
        <v>43.16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206</v>
      </c>
      <c r="D40" t="str">
        <f>IF(E40="","",VLOOKUP(E40,'Coaching Points'!A:B,2,0))</f>
        <v>NS</v>
      </c>
      <c r="E40" s="35" t="s">
        <v>86</v>
      </c>
      <c r="F40" s="34">
        <v>2005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48.82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35.53</v>
      </c>
      <c r="S40" s="4">
        <f>IF(G40="17-21",LARGE(CHOOSE({1,2,3,4,5,6},T40,V40,Y40,AA40,AC40,AF40),2),IF(R40=X40,MAX(Y40,AA40,AC40,AF40),IF(R40=AE40,MAX(AF40,T40,V40,Y40),0)))</f>
        <v>13.29</v>
      </c>
      <c r="T40" s="32">
        <v>35.53</v>
      </c>
      <c r="U40" s="37">
        <v>0</v>
      </c>
      <c r="V40" s="33">
        <v>13.29</v>
      </c>
      <c r="W40" s="37">
        <v>3.5</v>
      </c>
      <c r="X40" s="4">
        <f>IF(H40="Senior",MAX(T40,V40),T40+V40)</f>
        <v>48.82</v>
      </c>
      <c r="Y40" s="33"/>
      <c r="Z40" s="37"/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207</v>
      </c>
      <c r="D41" t="str">
        <f>IF(E41="","",VLOOKUP(E41,'Coaching Points'!A:B,2,0))</f>
        <v>SK</v>
      </c>
      <c r="E41" s="35" t="s">
        <v>58</v>
      </c>
      <c r="F41" s="34">
        <v>2007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R41+S41+IF(OR(H41="Junior",H41="Senior"),0.0002,IF(OR(H41="L7",H41="L6"),0.0001,0))+IF(G41="17-21",MAX(AA41,AC41,AF41),AE41)*0.0000001</f>
        <v>46.74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37.28</v>
      </c>
      <c r="S41" s="4">
        <f>IF(G41="17-21",LARGE(CHOOSE({1,2,3,4,5,6},T41,V41,Y41,AA41,AC41,AF41),2),IF(R41=X41,MAX(Y41,AA41,AC41,AF41),IF(R41=AE41,MAX(AF41,T41,V41,Y41),0)))</f>
        <v>9.4600000000000009</v>
      </c>
      <c r="T41" s="32">
        <v>37.28</v>
      </c>
      <c r="U41" s="37">
        <v>0</v>
      </c>
      <c r="V41" s="33">
        <v>9.4600000000000009</v>
      </c>
      <c r="W41" s="37">
        <v>2</v>
      </c>
      <c r="X41" s="4">
        <f>IF(H41="Senior",MAX(T41,V41),T41+V41)</f>
        <v>46.74</v>
      </c>
      <c r="Y41" s="33"/>
      <c r="Z41" s="37"/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116</v>
      </c>
      <c r="D42" t="str">
        <f>IF(E42="","",VLOOKUP(E42,'Coaching Points'!A:B,2,0))</f>
        <v>BC</v>
      </c>
      <c r="E42" s="35" t="s">
        <v>40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43.9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38.35</v>
      </c>
      <c r="S42" s="4">
        <f>IF(G42="17-21",LARGE(CHOOSE({1,2,3,4,5,6},T42,V42,Y42,AA42,AC42,AF42),2),IF(R42=X42,MAX(Y42,AA42,AC42,AF42),IF(R42=AE42,MAX(AF42,T42,V42,Y42),0)))</f>
        <v>5.55</v>
      </c>
      <c r="T42" s="32">
        <v>38.35</v>
      </c>
      <c r="U42" s="37">
        <v>0</v>
      </c>
      <c r="V42" s="33">
        <v>5.55</v>
      </c>
      <c r="W42" s="37">
        <v>1.7</v>
      </c>
      <c r="X42" s="4">
        <f>IF(H42="Senior",MAX(T42,V42),T42+V42)</f>
        <v>43.9</v>
      </c>
      <c r="Y42" s="33"/>
      <c r="Z42" s="37"/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208</v>
      </c>
      <c r="D43" t="str">
        <f>IF(E43="","",VLOOKUP(E43,'Coaching Points'!A:B,2,0))</f>
        <v>ON</v>
      </c>
      <c r="E43" s="35" t="s">
        <v>84</v>
      </c>
      <c r="F43" s="34">
        <v>2007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215</v>
      </c>
      <c r="I43" s="40"/>
      <c r="J43" s="4">
        <f>R43+S43+IF(OR(H43="Junior",H43="Senior"),0.0002,IF(OR(H43="L7",H43="L6"),0.0001,0))+IF(G43="17-21",MAX(AA43,AC43,AF43),AE43)*0.0000001</f>
        <v>41.11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36.14</v>
      </c>
      <c r="S43" s="4">
        <f>IF(G43="17-21",LARGE(CHOOSE({1,2,3,4,5,6},T43,V43,Y43,AA43,AC43,AF43),2),IF(R43=X43,MAX(Y43,AA43,AC43,AF43),IF(R43=AE43,MAX(AF43,T43,V43,Y43),0)))</f>
        <v>4.97</v>
      </c>
      <c r="T43" s="32">
        <v>36.14</v>
      </c>
      <c r="U43" s="37">
        <v>0</v>
      </c>
      <c r="V43" s="33">
        <v>4.97</v>
      </c>
      <c r="W43" s="37">
        <v>1.5</v>
      </c>
      <c r="X43" s="4">
        <f>IF(H43="Senior",MAX(T43,V43),T43+V43)</f>
        <v>41.11</v>
      </c>
      <c r="Y43" s="33"/>
      <c r="Z43" s="37"/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83</v>
      </c>
      <c r="D44" t="str">
        <f>IF(E44="","",VLOOKUP(E44,'Coaching Points'!A:B,2,0))</f>
        <v>ON</v>
      </c>
      <c r="E44" s="35" t="s">
        <v>84</v>
      </c>
      <c r="F44" s="34">
        <v>2005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211</v>
      </c>
      <c r="I44" s="40"/>
      <c r="J44" s="4">
        <f>R44+S44+IF(OR(H44="Junior",H44="Senior"),0.0002,IF(OR(H44="L7",H44="L6"),0.0001,0))+IF(G44="17-21",MAX(AA44,AC44,AF44),AE44)*0.0000001</f>
        <v>37.990200000000002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21.73</v>
      </c>
      <c r="S44" s="4">
        <f>IF(G44="17-21",LARGE(CHOOSE({1,2,3,4,5,6},T44,V44,Y44,AA44,AC44,AF44),2),IF(R44=X44,MAX(Y44,AA44,AC44,AF44),IF(R44=AE44,MAX(AF44,T44,V44,Y44),0)))</f>
        <v>16.260000000000002</v>
      </c>
      <c r="T44" s="32">
        <v>16.260000000000002</v>
      </c>
      <c r="U44" s="37">
        <v>4.7</v>
      </c>
      <c r="V44" s="33">
        <v>21.73</v>
      </c>
      <c r="W44" s="37">
        <v>6.4</v>
      </c>
      <c r="X44" s="4">
        <f>IF(H44="Senior",MAX(T44,V44),T44+V44)</f>
        <v>21.73</v>
      </c>
      <c r="Y44" s="33"/>
      <c r="Z44" s="37"/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36.680100000000003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25.98</v>
      </c>
      <c r="S45" s="4">
        <f>IF(G45="17-21",LARGE(CHOOSE({1,2,3,4,5,6},T45,V45,Y45,AA45,AC45,AF45),2),IF(R45=X45,MAX(Y45,AA45,AC45,AF45),IF(R45=AE45,MAX(AF45,T45,V45,Y45),0)))</f>
        <v>10.7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146</v>
      </c>
      <c r="D46" t="str">
        <f>IF(E46="","",VLOOKUP(E46,'Coaching Points'!A:B,2,0))</f>
        <v>AB</v>
      </c>
      <c r="E46" s="35" t="s">
        <v>62</v>
      </c>
      <c r="F46" s="34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31.68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26.94</v>
      </c>
      <c r="S46" s="4">
        <f>IF(G46="17-21",LARGE(CHOOSE({1,2,3,4,5,6},T46,V46,Y46,AA46,AC46,AF46),2),IF(R46=X46,MAX(Y46,AA46,AC46,AF46),IF(R46=AE46,MAX(AF46,T46,V46,Y46),0)))</f>
        <v>4.74</v>
      </c>
      <c r="T46" s="32">
        <v>26.94</v>
      </c>
      <c r="U46" s="37">
        <v>0</v>
      </c>
      <c r="V46" s="33">
        <v>4.74</v>
      </c>
      <c r="W46" s="37">
        <v>1.3</v>
      </c>
      <c r="X46" s="4">
        <f>IF(H46="Senior",MAX(T46,V46),T46+V46)</f>
        <v>31.68</v>
      </c>
      <c r="Y46" s="33"/>
      <c r="Z46" s="37"/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167</v>
      </c>
      <c r="D47" t="str">
        <f>IF(E47="","",VLOOKUP(E47,'Coaching Points'!A:B,2,0))</f>
        <v>ON</v>
      </c>
      <c r="E47" s="35" t="s">
        <v>84</v>
      </c>
      <c r="F47" s="34">
        <v>2010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136.56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87.33</v>
      </c>
      <c r="S47" s="4">
        <f>IF(G47="17-21",LARGE(CHOOSE({1,2,3,4,5,6},T47,V47,Y47,AA47,AC47,AF47),2),IF(R47=X47,MAX(Y47,AA47,AC47,AF47),IF(R47=AE47,MAX(AF47,T47,V47,Y47),0)))</f>
        <v>49.23</v>
      </c>
      <c r="T47" s="32">
        <v>40.909999999999997</v>
      </c>
      <c r="U47" s="37">
        <v>0</v>
      </c>
      <c r="V47" s="33">
        <v>46.42</v>
      </c>
      <c r="W47" s="37">
        <v>10.5</v>
      </c>
      <c r="X47" s="4">
        <f>IF(H47="Senior",MAX(T47,V47),T47+V47)</f>
        <v>87.33</v>
      </c>
      <c r="Y47" s="33">
        <v>49.23</v>
      </c>
      <c r="Z47" s="37">
        <v>10.1</v>
      </c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183</v>
      </c>
      <c r="D48" t="str">
        <f>IF(E48="","",VLOOKUP(E48,'Coaching Points'!A:B,2,0))</f>
        <v>QC</v>
      </c>
      <c r="E48" s="35" t="s">
        <v>125</v>
      </c>
      <c r="F48" s="34">
        <v>2009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131.3502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85.89</v>
      </c>
      <c r="S48" s="4">
        <f>IF(G48="17-21",LARGE(CHOOSE({1,2,3,4,5,6},T48,V48,Y48,AA48,AC48,AF48),2),IF(R48=X48,MAX(Y48,AA48,AC48,AF48),IF(R48=AE48,MAX(AF48,T48,V48,Y48),0)))</f>
        <v>45.46</v>
      </c>
      <c r="T48" s="32">
        <v>38.54</v>
      </c>
      <c r="U48" s="37">
        <v>0</v>
      </c>
      <c r="V48" s="33">
        <v>47.35</v>
      </c>
      <c r="W48" s="37">
        <v>10.3</v>
      </c>
      <c r="X48" s="4">
        <f>IF(H48="Senior",MAX(T48,V48),T48+V48)</f>
        <v>85.89</v>
      </c>
      <c r="Y48" s="33">
        <v>45.46</v>
      </c>
      <c r="Z48" s="37">
        <v>8.8000000000000007</v>
      </c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198</v>
      </c>
      <c r="D49" t="str">
        <f>IF(E49="","",VLOOKUP(E49,'Coaching Points'!A:B,2,0))</f>
        <v>QC</v>
      </c>
      <c r="E49" s="35" t="s">
        <v>210</v>
      </c>
      <c r="F49" s="34">
        <v>2009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130.01999999999998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82.85</v>
      </c>
      <c r="S49" s="4">
        <f>IF(G49="17-21",LARGE(CHOOSE({1,2,3,4,5,6},T49,V49,Y49,AA49,AC49,AF49),2),IF(R49=X49,MAX(Y49,AA49,AC49,AF49),IF(R49=AE49,MAX(AF49,T49,V49,Y49),0)))</f>
        <v>47.17</v>
      </c>
      <c r="T49" s="32">
        <v>36.979999999999997</v>
      </c>
      <c r="U49" s="37">
        <v>0</v>
      </c>
      <c r="V49" s="33">
        <v>45.87</v>
      </c>
      <c r="W49" s="37">
        <v>8.6999999999999993</v>
      </c>
      <c r="X49" s="4">
        <f>IF(H49="Senior",MAX(T49,V49),T49+V49)</f>
        <v>82.85</v>
      </c>
      <c r="Y49" s="33">
        <v>47.17</v>
      </c>
      <c r="Z49" s="37">
        <v>8.6999999999999993</v>
      </c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168</v>
      </c>
      <c r="D50" t="str">
        <f>IF(E50="","",VLOOKUP(E50,'Coaching Points'!A:B,2,0))</f>
        <v>QC</v>
      </c>
      <c r="E50" s="35" t="s">
        <v>125</v>
      </c>
      <c r="F50" s="34">
        <v>2010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212</v>
      </c>
      <c r="I50" s="40"/>
      <c r="J50" s="4">
        <f>R50+S50+IF(OR(H50="Junior",H50="Senior"),0.0002,IF(OR(H50="L7",H50="L6"),0.0001,0))+IF(G50="17-21",MAX(AA50,AC50,AF50),AE50)*0.0000001</f>
        <v>127.2702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86.16</v>
      </c>
      <c r="S50" s="4">
        <f>IF(G50="17-21",LARGE(CHOOSE({1,2,3,4,5,6},T50,V50,Y50,AA50,AC50,AF50),2),IF(R50=X50,MAX(Y50,AA50,AC50,AF50),IF(R50=AE50,MAX(AF50,T50,V50,Y50),0)))</f>
        <v>41.11</v>
      </c>
      <c r="T50" s="32">
        <v>39.340000000000003</v>
      </c>
      <c r="U50" s="37">
        <v>0</v>
      </c>
      <c r="V50" s="33">
        <v>46.82</v>
      </c>
      <c r="W50" s="37">
        <v>10.1</v>
      </c>
      <c r="X50" s="4">
        <f>IF(H50="Senior",MAX(T50,V50),T50+V50)</f>
        <v>86.16</v>
      </c>
      <c r="Y50" s="33">
        <v>41.11</v>
      </c>
      <c r="Z50" s="37">
        <v>8.8000000000000007</v>
      </c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169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R51+S51+IF(OR(H51="Junior",H51="Senior"),0.0002,IF(OR(H51="L7",H51="L6"),0.0001,0))+IF(G51="17-21",MAX(AA51,AC51,AF51),AE51)*0.0000001</f>
        <v>127.06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83.9</v>
      </c>
      <c r="S51" s="4">
        <f>IF(G51="17-21",LARGE(CHOOSE({1,2,3,4,5,6},T51,V51,Y51,AA51,AC51,AF51),2),IF(R51=X51,MAX(Y51,AA51,AC51,AF51),IF(R51=AE51,MAX(AF51,T51,V51,Y51),0)))</f>
        <v>43.16</v>
      </c>
      <c r="T51" s="32">
        <v>38.659999999999997</v>
      </c>
      <c r="U51" s="37">
        <v>0</v>
      </c>
      <c r="V51" s="33">
        <v>45.24</v>
      </c>
      <c r="W51" s="37">
        <v>10.1</v>
      </c>
      <c r="X51" s="4">
        <f>IF(H51="Senior",MAX(T51,V51),T51+V51)</f>
        <v>83.9</v>
      </c>
      <c r="Y51" s="33">
        <v>43.16</v>
      </c>
      <c r="Z51" s="37">
        <v>8.8000000000000007</v>
      </c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199</v>
      </c>
      <c r="D52" t="str">
        <f>IF(E52="","",VLOOKUP(E52,'Coaching Points'!A:B,2,0))</f>
        <v>QC</v>
      </c>
      <c r="E52" s="35" t="s">
        <v>3</v>
      </c>
      <c r="F52" s="34">
        <v>2010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215</v>
      </c>
      <c r="I52" s="40"/>
      <c r="J52" s="4">
        <f>R52+S52+IF(OR(H52="Junior",H52="Senior"),0.0002,IF(OR(H52="L7",H52="L6"),0.0001,0))+IF(G52="17-21",MAX(AA52,AC52,AF52),AE52)*0.0000001</f>
        <v>122.33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79.22</v>
      </c>
      <c r="S52" s="4">
        <f>IF(G52="17-21",LARGE(CHOOSE({1,2,3,4,5,6},T52,V52,Y52,AA52,AC52,AF52),2),IF(R52=X52,MAX(Y52,AA52,AC52,AF52),IF(R52=AE52,MAX(AF52,T52,V52,Y52),0)))</f>
        <v>43.11</v>
      </c>
      <c r="T52" s="32">
        <v>37.74</v>
      </c>
      <c r="U52" s="37">
        <v>0</v>
      </c>
      <c r="V52" s="33">
        <v>41.48</v>
      </c>
      <c r="W52" s="37">
        <v>7.7</v>
      </c>
      <c r="X52" s="4">
        <f>IF(H52="Senior",MAX(T52,V52),T52+V52)</f>
        <v>79.22</v>
      </c>
      <c r="Y52" s="33">
        <v>43.11</v>
      </c>
      <c r="Z52" s="37">
        <v>7.7</v>
      </c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117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R53+S53+IF(OR(H53="Junior",H53="Senior"),0.0002,IF(OR(H53="L7",H53="L6"),0.0001,0))+IF(G53="17-21",MAX(AA53,AC53,AF53),AE53)*0.0000001</f>
        <v>111.99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83.46</v>
      </c>
      <c r="S53" s="4">
        <f>IF(G53="17-21",LARGE(CHOOSE({1,2,3,4,5,6},T53,V53,Y53,AA53,AC53,AF53),2),IF(R53=X53,MAX(Y53,AA53,AC53,AF53),IF(R53=AE53,MAX(AF53,T53,V53,Y53),0)))</f>
        <v>28.53</v>
      </c>
      <c r="T53" s="32">
        <v>38.799999999999997</v>
      </c>
      <c r="U53" s="37">
        <v>0</v>
      </c>
      <c r="V53" s="33">
        <v>44.66</v>
      </c>
      <c r="W53" s="37">
        <v>10.5</v>
      </c>
      <c r="X53" s="4">
        <f>IF(H53="Senior",MAX(T53,V53),T53+V53)</f>
        <v>83.46</v>
      </c>
      <c r="Y53" s="33">
        <v>28.53</v>
      </c>
      <c r="Z53" s="37">
        <v>6.7</v>
      </c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171</v>
      </c>
      <c r="D54" t="str">
        <f>IF(E54="","",VLOOKUP(E54,'Coaching Points'!A:B,2,0))</f>
        <v>AB</v>
      </c>
      <c r="E54" s="35" t="s">
        <v>56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R54+S54+IF(OR(H54="Junior",H54="Senior"),0.0002,IF(OR(H54="L7",H54="L6"),0.0001,0))+IF(G54="17-21",MAX(AA54,AC54,AF54),AE54)*0.0000001</f>
        <v>110.28999999999999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63</v>
      </c>
      <c r="S54" s="4">
        <f>IF(G54="17-21",LARGE(CHOOSE({1,2,3,4,5,6},T54,V54,Y54,AA54,AC54,AF54),2),IF(R54=X54,MAX(Y54,AA54,AC54,AF54),IF(R54=AE54,MAX(AF54,T54,V54,Y54),0)))</f>
        <v>47.29</v>
      </c>
      <c r="T54" s="32">
        <v>39.18</v>
      </c>
      <c r="U54" s="37">
        <v>0</v>
      </c>
      <c r="V54" s="33">
        <v>23.82</v>
      </c>
      <c r="W54" s="37">
        <v>5.8</v>
      </c>
      <c r="X54" s="4">
        <f>IF(H54="Senior",MAX(T54,V54),T54+V54)</f>
        <v>63</v>
      </c>
      <c r="Y54" s="33">
        <v>47.29</v>
      </c>
      <c r="Z54" s="37">
        <v>9.5</v>
      </c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158</v>
      </c>
      <c r="D55" t="str">
        <f>IF(E55="","",VLOOKUP(E55,'Coaching Points'!A:B,2,0))</f>
        <v>BC</v>
      </c>
      <c r="E55" s="35" t="s">
        <v>128</v>
      </c>
      <c r="F55" s="34">
        <v>2009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212</v>
      </c>
      <c r="I55" s="40"/>
      <c r="J55" s="4">
        <f>R55+S55+IF(OR(H55="Junior",H55="Senior"),0.0002,IF(OR(H55="L7",H55="L6"),0.0001,0))+IF(G55="17-21",MAX(AA55,AC55,AF55),AE55)*0.0000001</f>
        <v>108.1202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88.38</v>
      </c>
      <c r="S55" s="4">
        <f>IF(G55="17-21",LARGE(CHOOSE({1,2,3,4,5,6},T55,V55,Y55,AA55,AC55,AF55),2),IF(R55=X55,MAX(Y55,AA55,AC55,AF55),IF(R55=AE55,MAX(AF55,T55,V55,Y55),0)))</f>
        <v>19.739999999999998</v>
      </c>
      <c r="T55" s="32">
        <v>39.96</v>
      </c>
      <c r="U55" s="37">
        <v>0</v>
      </c>
      <c r="V55" s="33">
        <v>48.42</v>
      </c>
      <c r="W55" s="37">
        <v>11</v>
      </c>
      <c r="X55" s="4">
        <f>IF(H55="Senior",MAX(T55,V55),T55+V55)</f>
        <v>88.38</v>
      </c>
      <c r="Y55" s="33">
        <v>19.739999999999998</v>
      </c>
      <c r="Z55" s="37">
        <v>4.8</v>
      </c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197</v>
      </c>
      <c r="D56" t="str">
        <f>IF(E56="","",VLOOKUP(E56,'Coaching Points'!A:B,2,0))</f>
        <v>ON</v>
      </c>
      <c r="E56" s="35" t="s">
        <v>135</v>
      </c>
      <c r="F56" s="34">
        <v>2010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R56+S56+IF(OR(H56="Junior",H56="Senior"),0.0002,IF(OR(H56="L7",H56="L6"),0.0001,0))+IF(G56="17-21",MAX(AA56,AC56,AF56),AE56)*0.0000001</f>
        <v>105.46000000000001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58.010000000000005</v>
      </c>
      <c r="S56" s="4">
        <f>IF(G56="17-21",LARGE(CHOOSE({1,2,3,4,5,6},T56,V56,Y56,AA56,AC56,AF56),2),IF(R56=X56,MAX(Y56,AA56,AC56,AF56),IF(R56=AE56,MAX(AF56,T56,V56,Y56),0)))</f>
        <v>47.45</v>
      </c>
      <c r="T56" s="32">
        <v>39.200000000000003</v>
      </c>
      <c r="U56" s="37">
        <v>0</v>
      </c>
      <c r="V56" s="33">
        <v>18.809999999999999</v>
      </c>
      <c r="W56" s="37">
        <v>3.2</v>
      </c>
      <c r="X56" s="4">
        <f>IF(H56="Senior",MAX(T56,V56),T56+V56)</f>
        <v>58.010000000000005</v>
      </c>
      <c r="Y56" s="33">
        <v>47.45</v>
      </c>
      <c r="Z56" s="37">
        <v>9.9</v>
      </c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200</v>
      </c>
      <c r="D57" t="str">
        <f>IF(E57="","",VLOOKUP(E57,'Coaching Points'!A:B,2,0))</f>
        <v>ON</v>
      </c>
      <c r="E57" s="35" t="s">
        <v>133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215</v>
      </c>
      <c r="I57" s="40"/>
      <c r="J57" s="4">
        <f>R57+S57+IF(OR(H57="Junior",H57="Senior"),0.0002,IF(OR(H57="L7",H57="L6"),0.0001,0))+IF(G57="17-21",MAX(AA57,AC57,AF57),AE57)*0.0000001</f>
        <v>88.97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83.78</v>
      </c>
      <c r="S57" s="4">
        <f>IF(G57="17-21",LARGE(CHOOSE({1,2,3,4,5,6},T57,V57,Y57,AA57,AC57,AF57),2),IF(R57=X57,MAX(Y57,AA57,AC57,AF57),IF(R57=AE57,MAX(AF57,T57,V57,Y57),0)))</f>
        <v>5.19</v>
      </c>
      <c r="T57" s="32">
        <v>38.93</v>
      </c>
      <c r="U57" s="37">
        <v>0</v>
      </c>
      <c r="V57" s="33">
        <v>44.85</v>
      </c>
      <c r="W57" s="37">
        <v>10.1</v>
      </c>
      <c r="X57" s="4">
        <f>IF(H57="Senior",MAX(T57,V57),T57+V57)</f>
        <v>83.78</v>
      </c>
      <c r="Y57" s="33">
        <v>5.19</v>
      </c>
      <c r="Z57" s="37">
        <v>1.5</v>
      </c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170</v>
      </c>
      <c r="D58" t="str">
        <f>IF(E58="","",VLOOKUP(E58,'Coaching Points'!A:B,2,0))</f>
        <v>BC</v>
      </c>
      <c r="E58" s="35" t="s">
        <v>44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81.569999999999993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55.65</v>
      </c>
      <c r="S58" s="4">
        <f>IF(G58="17-21",LARGE(CHOOSE({1,2,3,4,5,6},T58,V58,Y58,AA58,AC58,AF58),2),IF(R58=X58,MAX(Y58,AA58,AC58,AF58),IF(R58=AE58,MAX(AF58,T58,V58,Y58),0)))</f>
        <v>25.92</v>
      </c>
      <c r="T58" s="32">
        <v>37.44</v>
      </c>
      <c r="U58" s="37">
        <v>0</v>
      </c>
      <c r="V58" s="33">
        <v>18.21</v>
      </c>
      <c r="W58" s="37">
        <v>3.8</v>
      </c>
      <c r="X58" s="4">
        <f>IF(H58="Senior",MAX(T58,V58),T58+V58)</f>
        <v>55.65</v>
      </c>
      <c r="Y58" s="33">
        <v>25.92</v>
      </c>
      <c r="Z58" s="37">
        <v>6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157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212</v>
      </c>
      <c r="I59" s="40"/>
      <c r="J59" s="4">
        <f>R59+S59+IF(OR(H59="Junior",H59="Senior"),0.0002,IF(OR(H59="L7",H59="L6"),0.0001,0))+IF(G59="17-21",MAX(AA59,AC59,AF59),AE59)*0.0000001</f>
        <v>54.810200000000002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54.81</v>
      </c>
      <c r="S59" s="4">
        <f>IF(G59="17-21",LARGE(CHOOSE({1,2,3,4,5,6},T59,V59,Y59,AA59,AC59,AF59),2),IF(R59=X59,MAX(Y59,AA59,AC59,AF59),IF(R59=AE59,MAX(AF59,T59,V59,Y59),0)))</f>
        <v>0</v>
      </c>
      <c r="T59" s="32">
        <v>36.18</v>
      </c>
      <c r="U59" s="37">
        <v>0</v>
      </c>
      <c r="V59" s="33">
        <v>18.63</v>
      </c>
      <c r="W59" s="37">
        <v>5</v>
      </c>
      <c r="X59" s="4">
        <f>IF(H59="Senior",MAX(T59,V59),T59+V59)</f>
        <v>54.81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160</v>
      </c>
      <c r="D60" t="str">
        <f>IF(E60="","",VLOOKUP(E60,'Coaching Points'!A:B,2,0))</f>
        <v>BC</v>
      </c>
      <c r="E60" s="35" t="s">
        <v>60</v>
      </c>
      <c r="F60" s="34">
        <v>2012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212</v>
      </c>
      <c r="I60" s="40"/>
      <c r="J60" s="4">
        <f>R60+S60+IF(OR(H60="Junior",H60="Senior"),0.0002,IF(OR(H60="L7",H60="L6"),0.0001,0))+IF(G60="17-21",MAX(AA60,AC60,AF60),AE60)*0.0000001</f>
        <v>136.9402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>P</v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88.32</v>
      </c>
      <c r="S60" s="4">
        <f>IF(G60="17-21",LARGE(CHOOSE({1,2,3,4,5,6},T60,V60,Y60,AA60,AC60,AF60),2),IF(R60=X60,MAX(Y60,AA60,AC60,AF60),IF(R60=AE60,MAX(AF60,T60,V60,Y60),0)))</f>
        <v>48.62</v>
      </c>
      <c r="T60" s="32">
        <v>40.130000000000003</v>
      </c>
      <c r="U60" s="37">
        <v>0</v>
      </c>
      <c r="V60" s="33">
        <v>48.19</v>
      </c>
      <c r="W60" s="37">
        <v>10.9</v>
      </c>
      <c r="X60" s="4">
        <f>IF(H60="Senior",MAX(T60,V60),T60+V60)</f>
        <v>88.32</v>
      </c>
      <c r="Y60" s="33">
        <v>48.62</v>
      </c>
      <c r="Z60" s="37">
        <v>10.9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192</v>
      </c>
      <c r="D61" t="str">
        <f>IF(E61="","",VLOOKUP(E61,'Coaching Points'!A:B,2,0))</f>
        <v>BC</v>
      </c>
      <c r="E61" s="35" t="s">
        <v>40</v>
      </c>
      <c r="F61" s="34">
        <v>2012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126.44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82.38</v>
      </c>
      <c r="S61" s="4">
        <f>IF(G61="17-21",LARGE(CHOOSE({1,2,3,4,5,6},T61,V61,Y61,AA61,AC61,AF61),2),IF(R61=X61,MAX(Y61,AA61,AC61,AF61),IF(R61=AE61,MAX(AF61,T61,V61,Y61),0)))</f>
        <v>44.06</v>
      </c>
      <c r="T61" s="32">
        <v>38.03</v>
      </c>
      <c r="U61" s="37">
        <v>0</v>
      </c>
      <c r="V61" s="33">
        <v>44.35</v>
      </c>
      <c r="W61" s="37">
        <v>10</v>
      </c>
      <c r="X61" s="4">
        <f>IF(H61="Senior",MAX(T61,V61),T61+V61)</f>
        <v>82.38</v>
      </c>
      <c r="Y61" s="33">
        <v>44.06</v>
      </c>
      <c r="Z61" s="37">
        <v>10.199999999999999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189</v>
      </c>
      <c r="D62" t="str">
        <f>IF(E62="","",VLOOKUP(E62,'Coaching Points'!A:B,2,0))</f>
        <v>BC</v>
      </c>
      <c r="E62" s="35" t="s">
        <v>128</v>
      </c>
      <c r="F62" s="34">
        <v>2012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126.07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80.759999999999991</v>
      </c>
      <c r="S62" s="4">
        <f>IF(G62="17-21",LARGE(CHOOSE({1,2,3,4,5,6},T62,V62,Y62,AA62,AC62,AF62),2),IF(R62=X62,MAX(Y62,AA62,AC62,AF62),IF(R62=AE62,MAX(AF62,T62,V62,Y62),0)))</f>
        <v>45.31</v>
      </c>
      <c r="T62" s="32">
        <v>37.36</v>
      </c>
      <c r="U62" s="37">
        <v>0</v>
      </c>
      <c r="V62" s="33">
        <v>43.4</v>
      </c>
      <c r="W62" s="37">
        <v>8.8000000000000007</v>
      </c>
      <c r="X62" s="4">
        <f>IF(H62="Senior",MAX(T62,V62),T62+V62)</f>
        <v>80.759999999999991</v>
      </c>
      <c r="Y62" s="33">
        <v>45.31</v>
      </c>
      <c r="Z62" s="37">
        <v>10.1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136</v>
      </c>
      <c r="D63" t="str">
        <f>IF(E63="","",VLOOKUP(E63,'Coaching Points'!A:B,2,0))</f>
        <v>BC</v>
      </c>
      <c r="E63" s="35" t="s">
        <v>60</v>
      </c>
      <c r="F63" s="34">
        <v>2011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102.21000000000001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56.92</v>
      </c>
      <c r="S63" s="4">
        <f>IF(G63="17-21",LARGE(CHOOSE({1,2,3,4,5,6},T63,V63,Y63,AA63,AC63,AF63),2),IF(R63=X63,MAX(Y63,AA63,AC63,AF63),IF(R63=AE63,MAX(AF63,T63,V63,Y63),0)))</f>
        <v>45.29</v>
      </c>
      <c r="T63" s="32">
        <v>38.130000000000003</v>
      </c>
      <c r="U63" s="37">
        <v>0</v>
      </c>
      <c r="V63" s="33">
        <v>18.79</v>
      </c>
      <c r="W63" s="37">
        <v>5</v>
      </c>
      <c r="X63" s="4">
        <f>IF(H63="Senior",MAX(T63,V63),T63+V63)</f>
        <v>56.92</v>
      </c>
      <c r="Y63" s="33">
        <v>45.29</v>
      </c>
      <c r="Z63" s="37">
        <v>10.1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194</v>
      </c>
      <c r="D64" t="str">
        <f>IF(E64="","",VLOOKUP(E64,'Coaching Points'!A:B,2,0))</f>
        <v>QC</v>
      </c>
      <c r="E64" s="35" t="s">
        <v>209</v>
      </c>
      <c r="F64" s="34">
        <v>2011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100.78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86.24</v>
      </c>
      <c r="S64" s="4">
        <f>IF(G64="17-21",LARGE(CHOOSE({1,2,3,4,5,6},T64,V64,Y64,AA64,AC64,AF64),2),IF(R64=X64,MAX(Y64,AA64,AC64,AF64),IF(R64=AE64,MAX(AF64,T64,V64,Y64),0)))</f>
        <v>14.54</v>
      </c>
      <c r="T64" s="32">
        <v>38.94</v>
      </c>
      <c r="U64" s="37">
        <v>0</v>
      </c>
      <c r="V64" s="33">
        <v>47.3</v>
      </c>
      <c r="W64" s="37">
        <v>10.7</v>
      </c>
      <c r="X64" s="4">
        <f>IF(H64="Senior",MAX(T64,V64),T64+V64)</f>
        <v>86.24</v>
      </c>
      <c r="Y64" s="33">
        <v>14.54</v>
      </c>
      <c r="Z64" s="37">
        <v>3.9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195</v>
      </c>
      <c r="D65" t="str">
        <f>IF(E65="","",VLOOKUP(E65,'Coaching Points'!A:B,2,0))</f>
        <v>BC</v>
      </c>
      <c r="E65" s="35" t="s">
        <v>40</v>
      </c>
      <c r="F65" s="34">
        <v>2012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73.53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60.1</v>
      </c>
      <c r="S65" s="4">
        <f>IF(G65="17-21",LARGE(CHOOSE({1,2,3,4,5,6},T65,V65,Y65,AA65,AC65,AF65),2),IF(R65=X65,MAX(Y65,AA65,AC65,AF65),IF(R65=AE65,MAX(AF65,T65,V65,Y65),0)))</f>
        <v>13.43</v>
      </c>
      <c r="T65" s="32">
        <v>37.18</v>
      </c>
      <c r="U65" s="37">
        <v>0</v>
      </c>
      <c r="V65" s="33">
        <v>22.92</v>
      </c>
      <c r="W65" s="37">
        <v>5.7</v>
      </c>
      <c r="X65" s="4">
        <f>IF(H65="Senior",MAX(T65,V65),T65+V65)</f>
        <v>60.1</v>
      </c>
      <c r="Y65" s="33">
        <v>13.43</v>
      </c>
      <c r="Z65" s="37">
        <v>3.1</v>
      </c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196</v>
      </c>
      <c r="D66" t="str">
        <f>IF(E66="","",VLOOKUP(E66,'Coaching Points'!A:B,2,0))</f>
        <v>NL</v>
      </c>
      <c r="E66" s="35" t="s">
        <v>79</v>
      </c>
      <c r="F66" s="34">
        <v>2012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R66+S66+IF(OR(H66="Junior",H66="Senior"),0.0002,IF(OR(H66="L7",H66="L6"),0.0001,0))+IF(G66="17-21",MAX(AA66,AC66,AF66),AE66)*0.0000001</f>
        <v>47.04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47.04</v>
      </c>
      <c r="S66" s="4">
        <f>IF(G66="17-21",LARGE(CHOOSE({1,2,3,4,5,6},T66,V66,Y66,AA66,AC66,AF66),2),IF(R66=X66,MAX(Y66,AA66,AC66,AF66),IF(R66=AE66,MAX(AF66,T66,V66,Y66),0)))</f>
        <v>0</v>
      </c>
      <c r="T66" s="32">
        <v>33.33</v>
      </c>
      <c r="U66" s="37">
        <v>0</v>
      </c>
      <c r="V66" s="33">
        <v>13.71</v>
      </c>
      <c r="W66" s="37">
        <v>2.9</v>
      </c>
      <c r="X66" s="4">
        <f>IF(H66="Senior",MAX(T66,V66),T66+V66)</f>
        <v>47.04</v>
      </c>
      <c r="Y66" s="33"/>
      <c r="Z66" s="37"/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188</v>
      </c>
      <c r="D67" t="str">
        <f>IF(E67="","",VLOOKUP(E67,'Coaching Points'!A:B,2,0))</f>
        <v>BC</v>
      </c>
      <c r="E67" s="35" t="s">
        <v>40</v>
      </c>
      <c r="F67" s="34">
        <v>2013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R67+S67+IF(OR(H67="Junior",H67="Senior"),0.0002,IF(OR(H67="L7",H67="L6"),0.0001,0))+IF(G67="17-21",MAX(AA67,AC67,AF67),AE67)*0.0000001</f>
        <v>127.46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>P</v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81.539999999999992</v>
      </c>
      <c r="S67" s="4">
        <f>IF(G67="17-21",LARGE(CHOOSE({1,2,3,4,5,6},T67,V67,Y67,AA67,AC67,AF67),2),IF(R67=X67,MAX(Y67,AA67,AC67,AF67),IF(R67=AE67,MAX(AF67,T67,V67,Y67),0)))</f>
        <v>45.92</v>
      </c>
      <c r="T67" s="32">
        <v>37.1</v>
      </c>
      <c r="U67" s="37">
        <v>0</v>
      </c>
      <c r="V67" s="33">
        <v>44.44</v>
      </c>
      <c r="W67" s="37">
        <v>9.5</v>
      </c>
      <c r="X67" s="4">
        <f>IF(H67="Senior",MAX(T67,V67),T67+V67)</f>
        <v>81.539999999999992</v>
      </c>
      <c r="Y67" s="33">
        <v>45.92</v>
      </c>
      <c r="Z67" s="37">
        <v>9.5</v>
      </c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191</v>
      </c>
      <c r="D68" t="str">
        <f>IF(E68="","",VLOOKUP(E68,'Coaching Points'!A:B,2,0))</f>
        <v>QC</v>
      </c>
      <c r="E68" s="35" t="s">
        <v>3</v>
      </c>
      <c r="F68" s="34">
        <v>2013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125.1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80.849999999999994</v>
      </c>
      <c r="S68" s="4">
        <f>IF(G68="17-21",LARGE(CHOOSE({1,2,3,4,5,6},T68,V68,Y68,AA68,AC68,AF68),2),IF(R68=X68,MAX(Y68,AA68,AC68,AF68),IF(R68=AE68,MAX(AF68,T68,V68,Y68),0)))</f>
        <v>44.25</v>
      </c>
      <c r="T68" s="32">
        <v>36.85</v>
      </c>
      <c r="U68" s="37">
        <v>0</v>
      </c>
      <c r="V68" s="33">
        <v>44</v>
      </c>
      <c r="W68" s="37">
        <v>7.7</v>
      </c>
      <c r="X68" s="4">
        <f>IF(H68="Senior",MAX(T68,V68),T68+V68)</f>
        <v>80.849999999999994</v>
      </c>
      <c r="Y68" s="33">
        <v>44.25</v>
      </c>
      <c r="Z68" s="37">
        <v>7.7</v>
      </c>
      <c r="AA68" s="32"/>
      <c r="AB68" s="37"/>
      <c r="AC68" s="33"/>
      <c r="AD68" s="37"/>
      <c r="AE68" s="4">
        <f>IF(H68="Senior",MAX(AA68,AC68),AA68+AC68)</f>
        <v>0</v>
      </c>
      <c r="AF68" s="33"/>
      <c r="AG68" s="37"/>
    </row>
    <row r="69" spans="1:33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193</v>
      </c>
      <c r="D69" t="str">
        <f>IF(E69="","",VLOOKUP(E69,'Coaching Points'!A:B,2,0))</f>
        <v>BC</v>
      </c>
      <c r="E69" s="35" t="s">
        <v>44</v>
      </c>
      <c r="F69" s="34">
        <v>2013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11-12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122.02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>P</v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79.86</v>
      </c>
      <c r="S69" s="4">
        <f>IF(G69="17-21",LARGE(CHOOSE({1,2,3,4,5,6},T69,V69,Y69,AA69,AC69,AF69),2),IF(R69=X69,MAX(Y69,AA69,AC69,AF69),IF(R69=AE69,MAX(AF69,T69,V69,Y69),0)))</f>
        <v>42.16</v>
      </c>
      <c r="T69" s="32">
        <v>37.229999999999997</v>
      </c>
      <c r="U69" s="37">
        <v>0</v>
      </c>
      <c r="V69" s="33">
        <v>42.63</v>
      </c>
      <c r="W69" s="37">
        <v>8.6</v>
      </c>
      <c r="X69" s="4">
        <f>IF(H69="Senior",MAX(T69,V69),T69+V69)</f>
        <v>79.86</v>
      </c>
      <c r="Y69" s="33">
        <v>42.16</v>
      </c>
      <c r="Z69" s="37">
        <v>8</v>
      </c>
      <c r="AA69" s="32"/>
      <c r="AB69" s="37"/>
      <c r="AC69" s="33"/>
      <c r="AD69" s="37"/>
      <c r="AE69" s="4">
        <f>IF(H69="Senior",MAX(AA69,AC69),AA69+AC69)</f>
        <v>0</v>
      </c>
      <c r="AF69" s="33"/>
      <c r="AG69" s="37"/>
    </row>
    <row r="70" spans="1:33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190</v>
      </c>
      <c r="D70" t="str">
        <f>IF(E70="","",VLOOKUP(E70,'Coaching Points'!A:B,2,0))</f>
        <v>BC</v>
      </c>
      <c r="E70" s="35" t="s">
        <v>149</v>
      </c>
      <c r="F70" s="34">
        <v>2013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11-12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97.02000000000001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52.38</v>
      </c>
      <c r="S70" s="4">
        <f>IF(G70="17-21",LARGE(CHOOSE({1,2,3,4,5,6},T70,V70,Y70,AA70,AC70,AF70),2),IF(R70=X70,MAX(Y70,AA70,AC70,AF70),IF(R70=AE70,MAX(AF70,T70,V70,Y70),0)))</f>
        <v>44.64</v>
      </c>
      <c r="T70" s="32">
        <v>35.770000000000003</v>
      </c>
      <c r="U70" s="37">
        <v>0</v>
      </c>
      <c r="V70" s="33">
        <v>16.61</v>
      </c>
      <c r="W70" s="37">
        <v>3.4</v>
      </c>
      <c r="X70" s="4">
        <f>IF(H70="Senior",MAX(T70,V70),T70+V70)</f>
        <v>52.38</v>
      </c>
      <c r="Y70" s="33">
        <v>44.64</v>
      </c>
      <c r="Z70" s="37">
        <v>8.1999999999999993</v>
      </c>
      <c r="AA70" s="32"/>
      <c r="AB70" s="37"/>
      <c r="AC70" s="33"/>
      <c r="AD70" s="37"/>
      <c r="AE70" s="4">
        <f>IF(H70="Senior",MAX(AA70,AC70),AA70+AC70)</f>
        <v>0</v>
      </c>
      <c r="AF70" s="33"/>
      <c r="AG7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0">
      <sortCondition descending="1" ref="G1:G71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216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102.95020514900001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7</v>
      </c>
      <c r="Q3" s="1" t="str">
        <f>IF(A3&lt;5,IF(_xlfn.MAXIFS(A:A,G:G,G3)&gt;3,5-A3,_xlfn.MAXIFS(A:A,G:G,G3)+1-A3),"")</f>
        <v/>
      </c>
      <c r="R3" s="4">
        <f>IF(G3="17-21",MAX(T3,V3,Y3,AA3,AC3,AF3),MAX(X3,AE3))</f>
        <v>51.49</v>
      </c>
      <c r="S3" s="4">
        <f>IF(G3="17-21",LARGE(CHOOSE({1,2,3,4,5,6},T3,V3,Y3,AA3,AC3,AF3),2),IF(R3=X3,MAX(Y3,AA3,AC3,AF3),IF(R3=AE3,MAX(AF3,T3,V3,Y3),0)))</f>
        <v>51.46</v>
      </c>
      <c r="T3" s="32"/>
      <c r="U3" s="37"/>
      <c r="V3" s="33"/>
      <c r="W3" s="37"/>
      <c r="X3" s="4">
        <f>IF(H3="Senior",MAX(T3,V3),T3+V3)</f>
        <v>0</v>
      </c>
      <c r="Y3" s="33"/>
      <c r="Z3" s="37"/>
      <c r="AA3" s="32">
        <v>49.05</v>
      </c>
      <c r="AB3" s="37">
        <v>12.4</v>
      </c>
      <c r="AC3" s="33">
        <v>51.49</v>
      </c>
      <c r="AD3" s="37">
        <v>13.4</v>
      </c>
      <c r="AE3" s="4">
        <f>IF(H3="Senior",MAX(AA3,AC3),AA3+AC3)</f>
        <v>51.49</v>
      </c>
      <c r="AF3" s="33">
        <v>51.46</v>
      </c>
      <c r="AG3" s="37">
        <v>14.3</v>
      </c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217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102.04020511499999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51.15</v>
      </c>
      <c r="S4" s="4">
        <f>IF(G4="17-21",LARGE(CHOOSE({1,2,3,4,5,6},T4,V4,Y4,AA4,AC4,AF4),2),IF(R4=X4,MAX(Y4,AA4,AC4,AF4),IF(R4=AE4,MAX(AF4,T4,V4,Y4),0)))</f>
        <v>50.89</v>
      </c>
      <c r="T4" s="32"/>
      <c r="U4" s="37"/>
      <c r="V4" s="33"/>
      <c r="W4" s="37"/>
      <c r="X4" s="4">
        <f>IF(H4="Senior",MAX(T4,V4),T4+V4)</f>
        <v>0</v>
      </c>
      <c r="Y4" s="33"/>
      <c r="Z4" s="37"/>
      <c r="AA4" s="32">
        <v>51.15</v>
      </c>
      <c r="AB4" s="37">
        <v>13.9</v>
      </c>
      <c r="AC4" s="33">
        <v>5.85</v>
      </c>
      <c r="AD4" s="37">
        <v>2</v>
      </c>
      <c r="AE4" s="4">
        <f>IF(H4="Senior",MAX(AA4,AC4),AA4+AC4)</f>
        <v>51.15</v>
      </c>
      <c r="AF4" s="33">
        <v>50.89</v>
      </c>
      <c r="AG4" s="37">
        <v>14.3</v>
      </c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226</v>
      </c>
      <c r="D5" t="str">
        <f>IF(E5="","",VLOOKUP(E5,'Coaching Points'!A:B,2,0))</f>
        <v>ON</v>
      </c>
      <c r="E5" s="35" t="s">
        <v>37</v>
      </c>
      <c r="F5" s="34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213</v>
      </c>
      <c r="I5" s="40"/>
      <c r="J5" s="4">
        <f>R5+S5+IF(OR(H5="Junior",H5="Senior"),0.0002,IF(OR(H5="L7",H5="L6"),0.0001,0))+IF(G5="17-21",MAX(AA5,AC5,AF5),AE5)*0.0000001</f>
        <v>95.850104807999998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/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/>
      </c>
      <c r="O5" s="36">
        <v>1</v>
      </c>
      <c r="Q5" s="1" t="str">
        <f>IF(A5&lt;5,IF(_xlfn.MAXIFS(A:A,G:G,G5)&gt;3,5-A5,_xlfn.MAXIFS(A:A,G:G,G5)+1-A5),"")</f>
        <v/>
      </c>
      <c r="R5" s="4">
        <f>IF(G5="17-21",MAX(T5,V5,Y5,AA5,AC5,AF5),MAX(X5,AE5))</f>
        <v>48.08</v>
      </c>
      <c r="S5" s="4">
        <f>IF(G5="17-21",LARGE(CHOOSE({1,2,3,4,5,6},T5,V5,Y5,AA5,AC5,AF5),2),IF(R5=X5,MAX(Y5,AA5,AC5,AF5),IF(R5=AE5,MAX(AF5,T5,V5,Y5),0)))</f>
        <v>47.77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48.08</v>
      </c>
      <c r="AB5" s="37">
        <v>10.9</v>
      </c>
      <c r="AC5" s="33">
        <v>44.71</v>
      </c>
      <c r="AD5" s="37">
        <v>9.6</v>
      </c>
      <c r="AE5" s="4">
        <f>IF(H5="Senior",MAX(AA5,AC5),AA5+AC5)</f>
        <v>92.789999999999992</v>
      </c>
      <c r="AF5" s="33">
        <v>47.77</v>
      </c>
      <c r="AG5" s="37">
        <v>11.6</v>
      </c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227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213</v>
      </c>
      <c r="I6" s="40"/>
      <c r="J6" s="4">
        <f>R6+S6+IF(OR(H6="Junior",H6="Senior"),0.0002,IF(OR(H6="L7",H6="L6"),0.0001,0))+IF(G6="17-21",MAX(AA6,AC6,AF6),AE6)*0.0000001</f>
        <v>72.230104700999988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47.01</v>
      </c>
      <c r="S6" s="4">
        <f>IF(G6="17-21",LARGE(CHOOSE({1,2,3,4,5,6},T6,V6,Y6,AA6,AC6,AF6),2),IF(R6=X6,MAX(Y6,AA6,AC6,AF6),IF(R6=AE6,MAX(AF6,T6,V6,Y6),0)))</f>
        <v>25.22</v>
      </c>
      <c r="T6" s="32"/>
      <c r="U6" s="37"/>
      <c r="V6" s="33"/>
      <c r="W6" s="37"/>
      <c r="X6" s="4">
        <f>IF(H6="Senior",MAX(T6,V6),T6+V6)</f>
        <v>0</v>
      </c>
      <c r="Y6" s="33"/>
      <c r="Z6" s="37"/>
      <c r="AA6" s="32">
        <v>47.01</v>
      </c>
      <c r="AB6" s="37">
        <v>10.3</v>
      </c>
      <c r="AC6" s="33">
        <v>25.22</v>
      </c>
      <c r="AD6" s="37">
        <v>5.8</v>
      </c>
      <c r="AE6" s="4">
        <f>IF(H6="Senior",MAX(AA6,AC6),AA6+AC6)</f>
        <v>72.22999999999999</v>
      </c>
      <c r="AF6" s="33">
        <v>20.11</v>
      </c>
      <c r="AG6" s="37">
        <v>4.7</v>
      </c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t="str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/>
      </c>
      <c r="C7" s="35" t="s">
        <v>228</v>
      </c>
      <c r="D7" t="str">
        <f>IF(E7="","",VLOOKUP(E7,'Coaching Points'!A:B,2,0))</f>
        <v>QC</v>
      </c>
      <c r="E7" s="35" t="s">
        <v>75</v>
      </c>
      <c r="F7" s="34">
        <v>2007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R7+S7+IF(OR(H7="Junior",H7="Senior"),0.0002,IF(OR(H7="L7",H7="L6"),0.0001,0))+IF(G7="17-21",MAX(AA7,AC7,AF7),AE7)*0.0000001</f>
        <v>94.240104716000005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/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Q7" s="1" t="str">
        <f>IF(A7&lt;5,IF(_xlfn.MAXIFS(A:A,G:G,G7)&gt;3,5-A7,_xlfn.MAXIFS(A:A,G:G,G7)+1-A7),"")</f>
        <v/>
      </c>
      <c r="R7" s="4">
        <f>IF(G7="17-21",MAX(T7,V7,Y7,AA7,AC7,AF7),MAX(X7,AE7))</f>
        <v>47.16</v>
      </c>
      <c r="S7" s="4">
        <f>IF(G7="17-21",LARGE(CHOOSE({1,2,3,4,5,6},T7,V7,Y7,AA7,AC7,AF7),2),IF(R7=X7,MAX(Y7,AA7,AC7,AF7),IF(R7=AE7,MAX(AF7,T7,V7,Y7),0)))</f>
        <v>47.08</v>
      </c>
      <c r="T7" s="32"/>
      <c r="U7" s="37"/>
      <c r="V7" s="33"/>
      <c r="W7" s="37"/>
      <c r="X7" s="4">
        <f>IF(H7="Senior",MAX(T7,V7),T7+V7)</f>
        <v>0</v>
      </c>
      <c r="Y7" s="33"/>
      <c r="Z7" s="37"/>
      <c r="AA7" s="32">
        <v>38.979999999999997</v>
      </c>
      <c r="AB7" s="37">
        <v>0</v>
      </c>
      <c r="AC7" s="33">
        <v>47.08</v>
      </c>
      <c r="AD7" s="37">
        <v>9.1999999999999993</v>
      </c>
      <c r="AE7" s="4">
        <f>IF(H7="Senior",MAX(AA7,AC7),AA7+AC7)</f>
        <v>86.06</v>
      </c>
      <c r="AF7" s="33">
        <v>47.16</v>
      </c>
      <c r="AG7" s="37">
        <v>9.1999999999999993</v>
      </c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5" t="s">
        <v>261</v>
      </c>
      <c r="D8" t="str">
        <f>IF(E8="","",VLOOKUP(E8,'Coaching Points'!A:B,2,0))</f>
        <v>BC</v>
      </c>
      <c r="E8" s="35" t="s">
        <v>36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215</v>
      </c>
      <c r="I8" s="40"/>
      <c r="J8" s="4">
        <f>R8+S8+IF(OR(H8="Junior",H8="Senior"),0.0002,IF(OR(H8="L7",H8="L6"),0.0001,0))+IF(G8="17-21",MAX(AA8,AC8,AF8),AE8)*0.0000001</f>
        <v>93.740004731000013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47.31</v>
      </c>
      <c r="S8" s="4">
        <f>IF(G8="17-21",LARGE(CHOOSE({1,2,3,4,5,6},T8,V8,Y8,AA8,AC8,AF8),2),IF(R8=X8,MAX(Y8,AA8,AC8,AF8),IF(R8=AE8,MAX(AF8,T8,V8,Y8),0)))</f>
        <v>46.43</v>
      </c>
      <c r="T8" s="32"/>
      <c r="U8" s="37"/>
      <c r="V8" s="33"/>
      <c r="W8" s="37"/>
      <c r="X8" s="4">
        <f>IF(H8="Senior",MAX(T8,V8),T8+V8)</f>
        <v>0</v>
      </c>
      <c r="Y8" s="33"/>
      <c r="Z8" s="37"/>
      <c r="AA8" s="32">
        <v>36.79</v>
      </c>
      <c r="AB8" s="37">
        <v>0</v>
      </c>
      <c r="AC8" s="33">
        <v>47.31</v>
      </c>
      <c r="AD8" s="37">
        <v>8.6</v>
      </c>
      <c r="AE8" s="4">
        <f>IF(H8="Senior",MAX(AA8,AC8),AA8+AC8)</f>
        <v>84.1</v>
      </c>
      <c r="AF8" s="33">
        <v>46.43</v>
      </c>
      <c r="AG8" s="37">
        <v>8.6</v>
      </c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5" t="s">
        <v>260</v>
      </c>
      <c r="D9" t="str">
        <f>IF(E9="","",VLOOKUP(E9,'Coaching Points'!A:B,2,0))</f>
        <v>QC</v>
      </c>
      <c r="E9" s="35" t="s">
        <v>57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215</v>
      </c>
      <c r="I9" s="40"/>
      <c r="J9" s="4">
        <f>R9+S9+IF(OR(H9="Junior",H9="Senior"),0.0002,IF(OR(H9="L7",H9="L6"),0.0001,0))+IF(G9="17-21",MAX(AA9,AC9,AF9),AE9)*0.0000001</f>
        <v>92.270004671999999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46.72</v>
      </c>
      <c r="S9" s="4">
        <f>IF(G9="17-21",LARGE(CHOOSE({1,2,3,4,5,6},T9,V9,Y9,AA9,AC9,AF9),2),IF(R9=X9,MAX(Y9,AA9,AC9,AF9),IF(R9=AE9,MAX(AF9,T9,V9,Y9),0)))</f>
        <v>45.55</v>
      </c>
      <c r="T9" s="32"/>
      <c r="U9" s="37"/>
      <c r="V9" s="33"/>
      <c r="W9" s="37"/>
      <c r="X9" s="4">
        <f>IF(H9="Senior",MAX(T9,V9),T9+V9)</f>
        <v>0</v>
      </c>
      <c r="Y9" s="33"/>
      <c r="Z9" s="37"/>
      <c r="AA9" s="32">
        <v>37.9</v>
      </c>
      <c r="AB9" s="37">
        <v>0</v>
      </c>
      <c r="AC9" s="33">
        <v>45.55</v>
      </c>
      <c r="AD9" s="37">
        <v>7.7</v>
      </c>
      <c r="AE9" s="4">
        <f>IF(H9="Senior",MAX(AA9,AC9),AA9+AC9)</f>
        <v>83.449999999999989</v>
      </c>
      <c r="AF9" s="33">
        <v>46.72</v>
      </c>
      <c r="AG9" s="37">
        <v>7.7</v>
      </c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5" t="s">
        <v>230</v>
      </c>
      <c r="D10" t="str">
        <f>IF(E10="","",VLOOKUP(E10,'Coaching Points'!A:B,2,0))</f>
        <v>NS</v>
      </c>
      <c r="E10" s="35" t="s">
        <v>86</v>
      </c>
      <c r="F10" s="34">
        <v>2007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R10+S10+IF(OR(H10="Junior",H10="Senior"),0.0002,IF(OR(H10="L7",H10="L6"),0.0001,0))+IF(G10="17-21",MAX(AA10,AC10,AF10),AE10)*0.0000001</f>
        <v>91.920104627000001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46.27</v>
      </c>
      <c r="S10" s="4">
        <f>IF(G10="17-21",LARGE(CHOOSE({1,2,3,4,5,6},T10,V10,Y10,AA10,AC10,AF10),2),IF(R10=X10,MAX(Y10,AA10,AC10,AF10),IF(R10=AE10,MAX(AF10,T10,V10,Y10),0)))</f>
        <v>45.65</v>
      </c>
      <c r="T10" s="32"/>
      <c r="U10" s="37"/>
      <c r="V10" s="33"/>
      <c r="W10" s="37"/>
      <c r="X10" s="4">
        <f>IF(H10="Senior",MAX(T10,V10),T10+V10)</f>
        <v>0</v>
      </c>
      <c r="Y10" s="33"/>
      <c r="Z10" s="37"/>
      <c r="AA10" s="32">
        <v>38.21</v>
      </c>
      <c r="AB10" s="37">
        <v>0</v>
      </c>
      <c r="AC10" s="33">
        <v>45.65</v>
      </c>
      <c r="AD10" s="37">
        <v>9.1999999999999993</v>
      </c>
      <c r="AE10" s="4">
        <f>IF(H10="Senior",MAX(AA10,AC10),AA10+AC10)</f>
        <v>83.86</v>
      </c>
      <c r="AF10" s="33">
        <v>46.27</v>
      </c>
      <c r="AG10" s="37">
        <v>9.1999999999999993</v>
      </c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262</v>
      </c>
      <c r="D11" t="str">
        <f>IF(E11="","",VLOOKUP(E11,'Coaching Points'!A:B,2,0))</f>
        <v>ON</v>
      </c>
      <c r="E11" s="35" t="s">
        <v>45</v>
      </c>
      <c r="F11" s="34">
        <v>2008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215</v>
      </c>
      <c r="I11" s="40"/>
      <c r="J11" s="4">
        <f>R11+S11+IF(OR(H11="Junior",H11="Senior"),0.0002,IF(OR(H11="L7",H11="L6"),0.0001,0))+IF(G11="17-21",MAX(AA11,AC11,AF11),AE11)*0.0000001</f>
        <v>91.700004618999984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46.19</v>
      </c>
      <c r="S11" s="4">
        <f>IF(G11="17-21",LARGE(CHOOSE({1,2,3,4,5,6},T11,V11,Y11,AA11,AC11,AF11),2),IF(R11=X11,MAX(Y11,AA11,AC11,AF11),IF(R11=AE11,MAX(AF11,T11,V11,Y11),0)))</f>
        <v>45.51</v>
      </c>
      <c r="T11" s="32"/>
      <c r="U11" s="37"/>
      <c r="V11" s="33"/>
      <c r="W11" s="37"/>
      <c r="X11" s="4">
        <f>IF(H11="Senior",MAX(T11,V11),T11+V11)</f>
        <v>0</v>
      </c>
      <c r="Y11" s="33"/>
      <c r="Z11" s="37"/>
      <c r="AA11" s="32">
        <v>36.39</v>
      </c>
      <c r="AB11" s="37">
        <v>0</v>
      </c>
      <c r="AC11" s="33">
        <v>46.19</v>
      </c>
      <c r="AD11" s="37">
        <v>9.1</v>
      </c>
      <c r="AE11" s="4">
        <f>IF(H11="Senior",MAX(AA11,AC11),AA11+AC11)</f>
        <v>82.58</v>
      </c>
      <c r="AF11" s="33">
        <v>45.51</v>
      </c>
      <c r="AG11" s="37">
        <v>9.6</v>
      </c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229</v>
      </c>
      <c r="D12" t="str">
        <f>IF(E12="","",VLOOKUP(E12,'Coaching Points'!A:B,2,0))</f>
        <v>QC</v>
      </c>
      <c r="E12" s="35" t="s">
        <v>125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R12+S12+IF(OR(H12="Junior",H12="Senior"),0.0002,IF(OR(H12="L7",H12="L6"),0.0001,0))+IF(G12="17-21",MAX(AA12,AC12,AF12),AE12)*0.0000001</f>
        <v>90.430104653000015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46.53</v>
      </c>
      <c r="S12" s="4">
        <f>IF(G12="17-21",LARGE(CHOOSE({1,2,3,4,5,6},T12,V12,Y12,AA12,AC12,AF12),2),IF(R12=X12,MAX(Y12,AA12,AC12,AF12),IF(R12=AE12,MAX(AF12,T12,V12,Y12),0)))</f>
        <v>43.9</v>
      </c>
      <c r="T12" s="32"/>
      <c r="U12" s="37"/>
      <c r="V12" s="33"/>
      <c r="W12" s="37"/>
      <c r="X12" s="4">
        <f>IF(H12="Senior",MAX(T12,V12),T12+V12)</f>
        <v>0</v>
      </c>
      <c r="Y12" s="33"/>
      <c r="Z12" s="37"/>
      <c r="AA12" s="32">
        <v>39.6</v>
      </c>
      <c r="AB12" s="37">
        <v>0</v>
      </c>
      <c r="AC12" s="33">
        <v>43.9</v>
      </c>
      <c r="AD12" s="37">
        <v>9.1999999999999993</v>
      </c>
      <c r="AE12" s="4">
        <f>IF(H12="Senior",MAX(AA12,AC12),AA12+AC12)</f>
        <v>83.5</v>
      </c>
      <c r="AF12" s="33">
        <v>46.53</v>
      </c>
      <c r="AG12" s="37">
        <v>9.1999999999999993</v>
      </c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263</v>
      </c>
      <c r="D13" t="str">
        <f>IF(E13="","",VLOOKUP(E13,'Coaching Points'!A:B,2,0))</f>
        <v>QC</v>
      </c>
      <c r="E13" s="35" t="s">
        <v>3</v>
      </c>
      <c r="F13" s="34">
        <v>2008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215</v>
      </c>
      <c r="I13" s="40"/>
      <c r="J13" s="4">
        <f>R13+S13+IF(OR(H13="Junior",H13="Senior"),0.0002,IF(OR(H13="L7",H13="L6"),0.0001,0))+IF(G13="17-21",MAX(AA13,AC13,AF13),AE13)*0.0000001</f>
        <v>90.290004545000002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45.45</v>
      </c>
      <c r="S13" s="4">
        <f>IF(G13="17-21",LARGE(CHOOSE({1,2,3,4,5,6},T13,V13,Y13,AA13,AC13,AF13),2),IF(R13=X13,MAX(Y13,AA13,AC13,AF13),IF(R13=AE13,MAX(AF13,T13,V13,Y13),0)))</f>
        <v>44.84</v>
      </c>
      <c r="T13" s="32"/>
      <c r="U13" s="37"/>
      <c r="V13" s="33"/>
      <c r="W13" s="37"/>
      <c r="X13" s="4">
        <f>IF(H13="Senior",MAX(T13,V13),T13+V13)</f>
        <v>0</v>
      </c>
      <c r="Y13" s="33"/>
      <c r="Z13" s="37"/>
      <c r="AA13" s="32">
        <v>40.049999999999997</v>
      </c>
      <c r="AB13" s="37">
        <v>0</v>
      </c>
      <c r="AC13" s="33">
        <v>44.84</v>
      </c>
      <c r="AD13" s="37">
        <v>7.7</v>
      </c>
      <c r="AE13" s="4">
        <f>IF(H13="Senior",MAX(AA13,AC13),AA13+AC13)</f>
        <v>84.89</v>
      </c>
      <c r="AF13" s="33">
        <v>45.45</v>
      </c>
      <c r="AG13" s="37">
        <v>7.7</v>
      </c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264</v>
      </c>
      <c r="D14" t="str">
        <f>IF(E14="","",VLOOKUP(E14,'Coaching Points'!A:B,2,0))</f>
        <v>QC</v>
      </c>
      <c r="E14" s="35" t="s">
        <v>174</v>
      </c>
      <c r="F14" s="34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R14+S14+IF(OR(H14="Junior",H14="Senior"),0.0002,IF(OR(H14="L7",H14="L6"),0.0001,0))+IF(G14="17-21",MAX(AA14,AC14,AF14),AE14)*0.0000001</f>
        <v>89.620004518000002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45.18</v>
      </c>
      <c r="S14" s="4">
        <f>IF(G14="17-21",LARGE(CHOOSE({1,2,3,4,5,6},T14,V14,Y14,AA14,AC14,AF14),2),IF(R14=X14,MAX(Y14,AA14,AC14,AF14),IF(R14=AE14,MAX(AF14,T14,V14,Y14),0)))</f>
        <v>44.44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38.76</v>
      </c>
      <c r="AB14" s="37">
        <v>0</v>
      </c>
      <c r="AC14" s="33">
        <v>45.18</v>
      </c>
      <c r="AD14" s="37">
        <v>8.6</v>
      </c>
      <c r="AE14" s="4">
        <f>IF(H14="Senior",MAX(AA14,AC14),AA14+AC14)</f>
        <v>83.94</v>
      </c>
      <c r="AF14" s="33">
        <v>44.44</v>
      </c>
      <c r="AG14" s="37">
        <v>8.6</v>
      </c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265</v>
      </c>
      <c r="D15" t="str">
        <f>IF(E15="","",VLOOKUP(E15,'Coaching Points'!A:B,2,0))</f>
        <v>NL</v>
      </c>
      <c r="E15" s="35" t="s">
        <v>79</v>
      </c>
      <c r="F15" s="34">
        <v>2008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215</v>
      </c>
      <c r="I15" s="40"/>
      <c r="J15" s="4">
        <f>R15+S15+IF(OR(H15="Junior",H15="Senior"),0.0002,IF(OR(H15="L7",H15="L6"),0.0001,0))+IF(G15="17-21",MAX(AA15,AC15,AF15),AE15)*0.0000001</f>
        <v>88.630004475999996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44.76</v>
      </c>
      <c r="S15" s="4">
        <f>IF(G15="17-21",LARGE(CHOOSE({1,2,3,4,5,6},T15,V15,Y15,AA15,AC15,AF15),2),IF(R15=X15,MAX(Y15,AA15,AC15,AF15),IF(R15=AE15,MAX(AF15,T15,V15,Y15),0)))</f>
        <v>43.87</v>
      </c>
      <c r="T15" s="32"/>
      <c r="U15" s="37"/>
      <c r="V15" s="33"/>
      <c r="W15" s="37"/>
      <c r="X15" s="4">
        <f>IF(H15="Senior",MAX(T15,V15),T15+V15)</f>
        <v>0</v>
      </c>
      <c r="Y15" s="33"/>
      <c r="Z15" s="37"/>
      <c r="AA15" s="32">
        <v>37.229999999999997</v>
      </c>
      <c r="AB15" s="37">
        <v>0</v>
      </c>
      <c r="AC15" s="33">
        <v>44.76</v>
      </c>
      <c r="AD15" s="37">
        <v>8.6</v>
      </c>
      <c r="AE15" s="4">
        <f>IF(H15="Senior",MAX(AA15,AC15),AA15+AC15)</f>
        <v>81.99</v>
      </c>
      <c r="AF15" s="33">
        <v>43.87</v>
      </c>
      <c r="AG15" s="37">
        <v>8.1</v>
      </c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232</v>
      </c>
      <c r="D16" t="str">
        <f>IF(E16="","",VLOOKUP(E16,'Coaching Points'!A:B,2,0))</f>
        <v>BC</v>
      </c>
      <c r="E16" s="35" t="s">
        <v>55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R16+S16+IF(OR(H16="Junior",H16="Senior"),0.0002,IF(OR(H16="L7",H16="L6"),0.0001,0))+IF(G16="17-21",MAX(AA16,AC16,AF16),AE16)*0.0000001</f>
        <v>88.130104428999999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44.29</v>
      </c>
      <c r="S16" s="4">
        <f>IF(G16="17-21",LARGE(CHOOSE({1,2,3,4,5,6},T16,V16,Y16,AA16,AC16,AF16),2),IF(R16=X16,MAX(Y16,AA16,AC16,AF16),IF(R16=AE16,MAX(AF16,T16,V16,Y16),0)))</f>
        <v>43.84</v>
      </c>
      <c r="T16" s="32"/>
      <c r="U16" s="37"/>
      <c r="V16" s="33"/>
      <c r="W16" s="37"/>
      <c r="X16" s="4">
        <f>IF(H16="Senior",MAX(T16,V16),T16+V16)</f>
        <v>0</v>
      </c>
      <c r="Y16" s="33"/>
      <c r="Z16" s="37"/>
      <c r="AA16" s="32">
        <v>37.64</v>
      </c>
      <c r="AB16" s="37">
        <v>0</v>
      </c>
      <c r="AC16" s="33">
        <v>44.29</v>
      </c>
      <c r="AD16" s="37">
        <v>10</v>
      </c>
      <c r="AE16" s="4">
        <f>IF(H16="Senior",MAX(AA16,AC16),AA16+AC16)</f>
        <v>81.93</v>
      </c>
      <c r="AF16" s="33">
        <v>43.84</v>
      </c>
      <c r="AG16" s="37">
        <v>9.1999999999999993</v>
      </c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233</v>
      </c>
      <c r="D17" t="str">
        <f>IF(E17="","",VLOOKUP(E17,'Coaching Points'!A:B,2,0))</f>
        <v>QC</v>
      </c>
      <c r="E17" s="35" t="s">
        <v>57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87.710104552000004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45.52</v>
      </c>
      <c r="S17" s="4">
        <f>IF(G17="17-21",LARGE(CHOOSE({1,2,3,4,5,6},T17,V17,Y17,AA17,AC17,AF17),2),IF(R17=X17,MAX(Y17,AA17,AC17,AF17),IF(R17=AE17,MAX(AF17,T17,V17,Y17),0)))</f>
        <v>42.19</v>
      </c>
      <c r="T17" s="32"/>
      <c r="U17" s="37"/>
      <c r="V17" s="33"/>
      <c r="W17" s="37"/>
      <c r="X17" s="4">
        <f>IF(H17="Senior",MAX(T17,V17),T17+V17)</f>
        <v>0</v>
      </c>
      <c r="Y17" s="33"/>
      <c r="Z17" s="37"/>
      <c r="AA17" s="32">
        <v>38.36</v>
      </c>
      <c r="AB17" s="37">
        <v>0</v>
      </c>
      <c r="AC17" s="33">
        <v>45.52</v>
      </c>
      <c r="AD17" s="37">
        <v>9.1999999999999993</v>
      </c>
      <c r="AE17" s="4">
        <f>IF(H17="Senior",MAX(AA17,AC17),AA17+AC17)</f>
        <v>83.88</v>
      </c>
      <c r="AF17" s="33">
        <v>42.19</v>
      </c>
      <c r="AG17" s="37">
        <v>7.9</v>
      </c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231</v>
      </c>
      <c r="D18" t="str">
        <f>IF(E18="","",VLOOKUP(E18,'Coaching Points'!A:B,2,0))</f>
        <v>AB</v>
      </c>
      <c r="E18" s="35" t="s">
        <v>28</v>
      </c>
      <c r="F18" s="34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87.280104409000003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44.09</v>
      </c>
      <c r="S18" s="4">
        <f>IF(G18="17-21",LARGE(CHOOSE({1,2,3,4,5,6},T18,V18,Y18,AA18,AC18,AF18),2),IF(R18=X18,MAX(Y18,AA18,AC18,AF18),IF(R18=AE18,MAX(AF18,T18,V18,Y18),0)))</f>
        <v>43.19</v>
      </c>
      <c r="T18" s="32"/>
      <c r="U18" s="37"/>
      <c r="V18" s="33"/>
      <c r="W18" s="37"/>
      <c r="X18" s="4">
        <f>IF(H18="Senior",MAX(T18,V18),T18+V18)</f>
        <v>0</v>
      </c>
      <c r="Y18" s="33"/>
      <c r="Z18" s="37"/>
      <c r="AA18" s="32">
        <v>38.57</v>
      </c>
      <c r="AB18" s="37">
        <v>0</v>
      </c>
      <c r="AC18" s="33">
        <v>43.19</v>
      </c>
      <c r="AD18" s="37">
        <v>8.6999999999999993</v>
      </c>
      <c r="AE18" s="4">
        <f>IF(H18="Senior",MAX(AA18,AC18),AA18+AC18)</f>
        <v>81.759999999999991</v>
      </c>
      <c r="AF18" s="33">
        <v>44.09</v>
      </c>
      <c r="AG18" s="37">
        <v>9.3000000000000007</v>
      </c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267</v>
      </c>
      <c r="D19" t="str">
        <f>IF(E19="","",VLOOKUP(E19,'Coaching Points'!A:B,2,0))</f>
        <v>QC</v>
      </c>
      <c r="E19" s="35" t="s">
        <v>3</v>
      </c>
      <c r="F19" s="34">
        <v>2007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R19+S19+IF(OR(H19="Junior",H19="Senior"),0.0002,IF(OR(H19="L7",H19="L6"),0.0001,0))+IF(G19="17-21",MAX(AA19,AC19,AF19),AE19)*0.0000001</f>
        <v>86.300004377000008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43.77</v>
      </c>
      <c r="S19" s="4">
        <f>IF(G19="17-21",LARGE(CHOOSE({1,2,3,4,5,6},T19,V19,Y19,AA19,AC19,AF19),2),IF(R19=X19,MAX(Y19,AA19,AC19,AF19),IF(R19=AE19,MAX(AF19,T19,V19,Y19),0)))</f>
        <v>42.53</v>
      </c>
      <c r="T19" s="32"/>
      <c r="U19" s="37"/>
      <c r="V19" s="33"/>
      <c r="W19" s="37"/>
      <c r="X19" s="4">
        <f>IF(H19="Senior",MAX(T19,V19),T19+V19)</f>
        <v>0</v>
      </c>
      <c r="Y19" s="33"/>
      <c r="Z19" s="37"/>
      <c r="AA19" s="32">
        <v>39.049999999999997</v>
      </c>
      <c r="AB19" s="37">
        <v>0</v>
      </c>
      <c r="AC19" s="33">
        <v>43.77</v>
      </c>
      <c r="AD19" s="37">
        <v>7.8</v>
      </c>
      <c r="AE19" s="4">
        <f>IF(H19="Senior",MAX(AA19,AC19),AA19+AC19)</f>
        <v>82.82</v>
      </c>
      <c r="AF19" s="33">
        <v>42.53</v>
      </c>
      <c r="AG19" s="37">
        <v>7.2</v>
      </c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266</v>
      </c>
      <c r="D20" t="str">
        <f>IF(E20="","",VLOOKUP(E20,'Coaching Points'!A:B,2,0))</f>
        <v>ON</v>
      </c>
      <c r="E20" s="35" t="s">
        <v>84</v>
      </c>
      <c r="F20" s="34">
        <v>2007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86.300004361999996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43.62</v>
      </c>
      <c r="S20" s="4">
        <f>IF(G20="17-21",LARGE(CHOOSE({1,2,3,4,5,6},T20,V20,Y20,AA20,AC20,AF20),2),IF(R20=X20,MAX(Y20,AA20,AC20,AF20),IF(R20=AE20,MAX(AF20,T20,V20,Y20),0)))</f>
        <v>42.68</v>
      </c>
      <c r="T20" s="32"/>
      <c r="U20" s="37"/>
      <c r="V20" s="33"/>
      <c r="W20" s="37"/>
      <c r="X20" s="4">
        <f>IF(H20="Senior",MAX(T20,V20),T20+V20)</f>
        <v>0</v>
      </c>
      <c r="Y20" s="33"/>
      <c r="Z20" s="37"/>
      <c r="AA20" s="32">
        <v>37.82</v>
      </c>
      <c r="AB20" s="37">
        <v>0</v>
      </c>
      <c r="AC20" s="33">
        <v>42.68</v>
      </c>
      <c r="AD20" s="37">
        <v>7.9</v>
      </c>
      <c r="AE20" s="4">
        <f>IF(H20="Senior",MAX(AA20,AC20),AA20+AC20)</f>
        <v>80.5</v>
      </c>
      <c r="AF20" s="33">
        <v>43.62</v>
      </c>
      <c r="AG20" s="37">
        <v>7.9</v>
      </c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269</v>
      </c>
      <c r="D21" t="str">
        <f>IF(E21="","",VLOOKUP(E21,'Coaching Points'!A:B,2,0))</f>
        <v>NL</v>
      </c>
      <c r="E21" s="35" t="s">
        <v>141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R21+S21+IF(OR(H21="Junior",H21="Senior"),0.0002,IF(OR(H21="L7",H21="L6"),0.0001,0))+IF(G21="17-21",MAX(AA21,AC21,AF21),AE21)*0.0000001</f>
        <v>83.530004430000005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44.3</v>
      </c>
      <c r="S21" s="4">
        <f>IF(G21="17-21",LARGE(CHOOSE({1,2,3,4,5,6},T21,V21,Y21,AA21,AC21,AF21),2),IF(R21=X21,MAX(Y21,AA21,AC21,AF21),IF(R21=AE21,MAX(AF21,T21,V21,Y21),0)))</f>
        <v>39.229999999999997</v>
      </c>
      <c r="T21" s="32"/>
      <c r="U21" s="37"/>
      <c r="V21" s="33"/>
      <c r="W21" s="37"/>
      <c r="X21" s="4">
        <f>IF(H21="Senior",MAX(T21,V21),T21+V21)</f>
        <v>0</v>
      </c>
      <c r="Y21" s="33"/>
      <c r="Z21" s="37"/>
      <c r="AA21" s="32">
        <v>39.229999999999997</v>
      </c>
      <c r="AB21" s="37">
        <v>0</v>
      </c>
      <c r="AC21" s="33">
        <v>44.3</v>
      </c>
      <c r="AD21" s="37">
        <v>8.4</v>
      </c>
      <c r="AE21" s="4">
        <f>IF(H21="Senior",MAX(AA21,AC21),AA21+AC21)</f>
        <v>83.53</v>
      </c>
      <c r="AF21" s="33">
        <v>4.68</v>
      </c>
      <c r="AG21" s="37">
        <v>1.3</v>
      </c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235</v>
      </c>
      <c r="D22" t="str">
        <f>IF(E22="","",VLOOKUP(E22,'Coaching Points'!A:B,2,0))</f>
        <v>QC</v>
      </c>
      <c r="E22" s="35" t="s">
        <v>72</v>
      </c>
      <c r="F22" s="34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83.300104544000007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45.44</v>
      </c>
      <c r="S22" s="4">
        <f>IF(G22="17-21",LARGE(CHOOSE({1,2,3,4,5,6},T22,V22,Y22,AA22,AC22,AF22),2),IF(R22=X22,MAX(Y22,AA22,AC22,AF22),IF(R22=AE22,MAX(AF22,T22,V22,Y22),0)))</f>
        <v>37.86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37.86</v>
      </c>
      <c r="AB22" s="37">
        <v>0</v>
      </c>
      <c r="AC22" s="33">
        <v>45.44</v>
      </c>
      <c r="AD22" s="37">
        <v>8.6</v>
      </c>
      <c r="AE22" s="4">
        <f>IF(H22="Senior",MAX(AA22,AC22),AA22+AC22)</f>
        <v>83.3</v>
      </c>
      <c r="AF22" s="33">
        <v>9.98</v>
      </c>
      <c r="AG22" s="37">
        <v>1.9</v>
      </c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218</v>
      </c>
      <c r="D23" t="str">
        <f>IF(E23="","",VLOOKUP(E23,'Coaching Points'!A:B,2,0))</f>
        <v>AB</v>
      </c>
      <c r="E23" s="35" t="s">
        <v>39</v>
      </c>
      <c r="F23" s="34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211</v>
      </c>
      <c r="I23" s="40"/>
      <c r="J23" s="4">
        <f>R23+S23+IF(OR(H23="Junior",H23="Senior"),0.0002,IF(OR(H23="L7",H23="L6"),0.0001,0))+IF(G23="17-21",MAX(AA23,AC23,AF23),AE23)*0.0000001</f>
        <v>82.820204145000005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41.45</v>
      </c>
      <c r="S23" s="4">
        <f>IF(G23="17-21",LARGE(CHOOSE({1,2,3,4,5,6},T23,V23,Y23,AA23,AC23,AF23),2),IF(R23=X23,MAX(Y23,AA23,AC23,AF23),IF(R23=AE23,MAX(AF23,T23,V23,Y23),0)))</f>
        <v>41.37</v>
      </c>
      <c r="T23" s="32"/>
      <c r="U23" s="37"/>
      <c r="V23" s="33"/>
      <c r="W23" s="37"/>
      <c r="X23" s="4">
        <f>IF(H23="Senior",MAX(T23,V23),T23+V23)</f>
        <v>0</v>
      </c>
      <c r="Y23" s="33"/>
      <c r="Z23" s="37"/>
      <c r="AA23" s="32">
        <v>23.55</v>
      </c>
      <c r="AB23" s="37">
        <v>5.8</v>
      </c>
      <c r="AC23" s="33">
        <v>41.37</v>
      </c>
      <c r="AD23" s="37">
        <v>7.6</v>
      </c>
      <c r="AE23" s="4">
        <f>IF(H23="Senior",MAX(AA23,AC23),AA23+AC23)</f>
        <v>41.37</v>
      </c>
      <c r="AF23" s="33">
        <v>41.45</v>
      </c>
      <c r="AG23" s="37">
        <v>9.1</v>
      </c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234</v>
      </c>
      <c r="D24" t="str">
        <f>IF(E24="","",VLOOKUP(E24,'Coaching Points'!A:B,2,0))</f>
        <v>AB</v>
      </c>
      <c r="E24" s="35" t="s">
        <v>28</v>
      </c>
      <c r="F24" s="34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82.810104254999999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42.55</v>
      </c>
      <c r="S24" s="4">
        <f>IF(G24="17-21",LARGE(CHOOSE({1,2,3,4,5,6},T24,V24,Y24,AA24,AC24,AF24),2),IF(R24=X24,MAX(Y24,AA24,AC24,AF24),IF(R24=AE24,MAX(AF24,T24,V24,Y24),0)))</f>
        <v>40.26</v>
      </c>
      <c r="T24" s="32"/>
      <c r="U24" s="37"/>
      <c r="V24" s="33"/>
      <c r="W24" s="37"/>
      <c r="X24" s="4">
        <f>IF(H24="Senior",MAX(T24,V24),T24+V24)</f>
        <v>0</v>
      </c>
      <c r="Y24" s="33"/>
      <c r="Z24" s="37"/>
      <c r="AA24" s="32">
        <v>38.71</v>
      </c>
      <c r="AB24" s="37">
        <v>0</v>
      </c>
      <c r="AC24" s="33">
        <v>42.55</v>
      </c>
      <c r="AD24" s="37">
        <v>9.1</v>
      </c>
      <c r="AE24" s="4">
        <f>IF(H24="Senior",MAX(AA24,AC24),AA24+AC24)</f>
        <v>81.259999999999991</v>
      </c>
      <c r="AF24" s="33">
        <v>40.26</v>
      </c>
      <c r="AG24" s="37">
        <v>8.1</v>
      </c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268</v>
      </c>
      <c r="D25" t="str">
        <f>IF(E25="","",VLOOKUP(E25,'Coaching Points'!A:B,2,0))</f>
        <v>AB</v>
      </c>
      <c r="E25" s="35" t="s">
        <v>39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R25+S25+IF(OR(H25="Junior",H25="Senior"),0.0002,IF(OR(H25="L7",H25="L6"),0.0001,0))+IF(G25="17-21",MAX(AA25,AC25,AF25),AE25)*0.0000001</f>
        <v>82.650004378000006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43.78</v>
      </c>
      <c r="S25" s="4">
        <f>IF(G25="17-21",LARGE(CHOOSE({1,2,3,4,5,6},T25,V25,Y25,AA25,AC25,AF25),2),IF(R25=X25,MAX(Y25,AA25,AC25,AF25),IF(R25=AE25,MAX(AF25,T25,V25,Y25),0)))</f>
        <v>38.869999999999997</v>
      </c>
      <c r="T25" s="32"/>
      <c r="U25" s="37"/>
      <c r="V25" s="33"/>
      <c r="W25" s="37"/>
      <c r="X25" s="4">
        <f>IF(H25="Senior",MAX(T25,V25),T25+V25)</f>
        <v>0</v>
      </c>
      <c r="Y25" s="33"/>
      <c r="Z25" s="37"/>
      <c r="AA25" s="32">
        <v>37.24</v>
      </c>
      <c r="AB25" s="37">
        <v>0</v>
      </c>
      <c r="AC25" s="33">
        <v>43.78</v>
      </c>
      <c r="AD25" s="37">
        <v>8.6999999999999993</v>
      </c>
      <c r="AE25" s="4">
        <f>IF(H25="Senior",MAX(AA25,AC25),AA25+AC25)</f>
        <v>81.02000000000001</v>
      </c>
      <c r="AF25" s="33">
        <v>38.869999999999997</v>
      </c>
      <c r="AG25" s="37">
        <v>7.4</v>
      </c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236</v>
      </c>
      <c r="D26" t="str">
        <f>IF(E26="","",VLOOKUP(E26,'Coaching Points'!A:B,2,0))</f>
        <v>AB</v>
      </c>
      <c r="E26" s="35" t="s">
        <v>28</v>
      </c>
      <c r="F26" s="34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81.460104506000008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>P</v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45.06</v>
      </c>
      <c r="S26" s="4">
        <f>IF(G26="17-21",LARGE(CHOOSE({1,2,3,4,5,6},T26,V26,Y26,AA26,AC26,AF26),2),IF(R26=X26,MAX(Y26,AA26,AC26,AF26),IF(R26=AE26,MAX(AF26,T26,V26,Y26),0)))</f>
        <v>36.4</v>
      </c>
      <c r="T26" s="32"/>
      <c r="U26" s="37"/>
      <c r="V26" s="33"/>
      <c r="W26" s="37"/>
      <c r="X26" s="4">
        <f>IF(H26="Senior",MAX(T26,V26),T26+V26)</f>
        <v>0</v>
      </c>
      <c r="Y26" s="33"/>
      <c r="Z26" s="37"/>
      <c r="AA26" s="32">
        <v>36.4</v>
      </c>
      <c r="AB26" s="37">
        <v>0</v>
      </c>
      <c r="AC26" s="33">
        <v>45.06</v>
      </c>
      <c r="AD26" s="37">
        <v>10.9</v>
      </c>
      <c r="AE26" s="4">
        <f>IF(H26="Senior",MAX(AA26,AC26),AA26+AC26)</f>
        <v>81.460000000000008</v>
      </c>
      <c r="AF26" s="33">
        <v>9.75</v>
      </c>
      <c r="AG26" s="37">
        <v>2.8</v>
      </c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237</v>
      </c>
      <c r="D27" t="str">
        <f>IF(E27="","",VLOOKUP(E27,'Coaching Points'!A:B,2,0))</f>
        <v>QC</v>
      </c>
      <c r="E27" s="35" t="s">
        <v>57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80.750104094000008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40.94</v>
      </c>
      <c r="S27" s="4">
        <f>IF(G27="17-21",LARGE(CHOOSE({1,2,3,4,5,6},T27,V27,Y27,AA27,AC27,AF27),2),IF(R27=X27,MAX(Y27,AA27,AC27,AF27),IF(R27=AE27,MAX(AF27,T27,V27,Y27),0)))</f>
        <v>39.81</v>
      </c>
      <c r="T27" s="32"/>
      <c r="U27" s="37"/>
      <c r="V27" s="33"/>
      <c r="W27" s="37"/>
      <c r="X27" s="4">
        <f>IF(H27="Senior",MAX(T27,V27),T27+V27)</f>
        <v>0</v>
      </c>
      <c r="Y27" s="33"/>
      <c r="Z27" s="37"/>
      <c r="AA27" s="32">
        <v>39.81</v>
      </c>
      <c r="AB27" s="37">
        <v>0</v>
      </c>
      <c r="AC27" s="33">
        <v>40.94</v>
      </c>
      <c r="AD27" s="37">
        <v>8</v>
      </c>
      <c r="AE27" s="4">
        <f>IF(H27="Senior",MAX(AA27,AC27),AA27+AC27)</f>
        <v>80.75</v>
      </c>
      <c r="AF27" s="33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270</v>
      </c>
      <c r="D28" t="str">
        <f>IF(E28="","",VLOOKUP(E28,'Coaching Points'!A:B,2,0))</f>
        <v>SK</v>
      </c>
      <c r="E28" s="35" t="s">
        <v>58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79.910004389999997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43.9</v>
      </c>
      <c r="S28" s="4">
        <f>IF(G28="17-21",LARGE(CHOOSE({1,2,3,4,5,6},T28,V28,Y28,AA28,AC28,AF28),2),IF(R28=X28,MAX(Y28,AA28,AC28,AF28),IF(R28=AE28,MAX(AF28,T28,V28,Y28),0)))</f>
        <v>36.01</v>
      </c>
      <c r="T28" s="32"/>
      <c r="U28" s="37"/>
      <c r="V28" s="33"/>
      <c r="W28" s="37"/>
      <c r="X28" s="4">
        <f>IF(H28="Senior",MAX(T28,V28),T28+V28)</f>
        <v>0</v>
      </c>
      <c r="Y28" s="33"/>
      <c r="Z28" s="37"/>
      <c r="AA28" s="32">
        <v>36.01</v>
      </c>
      <c r="AB28" s="37">
        <v>0</v>
      </c>
      <c r="AC28" s="33">
        <v>43.9</v>
      </c>
      <c r="AD28" s="37">
        <v>8.6</v>
      </c>
      <c r="AE28" s="4">
        <f>IF(H28="Senior",MAX(AA28,AC28),AA28+AC28)</f>
        <v>79.91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271</v>
      </c>
      <c r="D29" t="str">
        <f>IF(E29="","",VLOOKUP(E29,'Coaching Points'!A:B,2,0))</f>
        <v>AB</v>
      </c>
      <c r="E29" s="35" t="s">
        <v>28</v>
      </c>
      <c r="F29" s="34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78.750004320000002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43.2</v>
      </c>
      <c r="S29" s="4">
        <f>IF(G29="17-21",LARGE(CHOOSE({1,2,3,4,5,6},T29,V29,Y29,AA29,AC29,AF29),2),IF(R29=X29,MAX(Y29,AA29,AC29,AF29),IF(R29=AE29,MAX(AF29,T29,V29,Y29),0)))</f>
        <v>35.549999999999997</v>
      </c>
      <c r="T29" s="32"/>
      <c r="U29" s="37"/>
      <c r="V29" s="33"/>
      <c r="W29" s="37"/>
      <c r="X29" s="4">
        <f>IF(H29="Senior",MAX(T29,V29),T29+V29)</f>
        <v>0</v>
      </c>
      <c r="Y29" s="33"/>
      <c r="Z29" s="37"/>
      <c r="AA29" s="32">
        <v>35.549999999999997</v>
      </c>
      <c r="AB29" s="37">
        <v>0</v>
      </c>
      <c r="AC29" s="33">
        <v>43.2</v>
      </c>
      <c r="AD29" s="37">
        <v>8.5</v>
      </c>
      <c r="AE29" s="4">
        <f>IF(H29="Senior",MAX(AA29,AC29),AA29+AC29)</f>
        <v>78.75</v>
      </c>
      <c r="AF29" s="33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273</v>
      </c>
      <c r="D30" t="str">
        <f>IF(E30="","",VLOOKUP(E30,'Coaching Points'!A:B,2,0))</f>
        <v>BC</v>
      </c>
      <c r="E30" s="35" t="s">
        <v>40</v>
      </c>
      <c r="F30" s="34">
        <v>2008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78.600004356999989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43.57</v>
      </c>
      <c r="S30" s="4">
        <f>IF(G30="17-21",LARGE(CHOOSE({1,2,3,4,5,6},T30,V30,Y30,AA30,AC30,AF30),2),IF(R30=X30,MAX(Y30,AA30,AC30,AF30),IF(R30=AE30,MAX(AF30,T30,V30,Y30),0)))</f>
        <v>35.03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35.03</v>
      </c>
      <c r="AB30" s="37">
        <v>0</v>
      </c>
      <c r="AC30" s="33">
        <v>43.57</v>
      </c>
      <c r="AD30" s="37">
        <v>9</v>
      </c>
      <c r="AE30" s="4">
        <f>IF(H30="Senior",MAX(AA30,AC30),AA30+AC30)</f>
        <v>78.599999999999994</v>
      </c>
      <c r="AF30" s="33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272</v>
      </c>
      <c r="D31" t="str">
        <f>IF(E31="","",VLOOKUP(E31,'Coaching Points'!A:B,2,0))</f>
        <v>QC</v>
      </c>
      <c r="E31" s="35" t="s">
        <v>3</v>
      </c>
      <c r="F31" s="34">
        <v>2007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215</v>
      </c>
      <c r="I31" s="40"/>
      <c r="J31" s="4">
        <f>R31+S31+IF(OR(H31="Junior",H31="Senior"),0.0002,IF(OR(H31="L7",H31="L6"),0.0001,0))+IF(G31="17-21",MAX(AA31,AC31,AF31),AE31)*0.0000001</f>
        <v>78.600004263999992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42.64</v>
      </c>
      <c r="S31" s="4">
        <f>IF(G31="17-21",LARGE(CHOOSE({1,2,3,4,5,6},T31,V31,Y31,AA31,AC31,AF31),2),IF(R31=X31,MAX(Y31,AA31,AC31,AF31),IF(R31=AE31,MAX(AF31,T31,V31,Y31),0)))</f>
        <v>35.96</v>
      </c>
      <c r="T31" s="32"/>
      <c r="U31" s="37"/>
      <c r="V31" s="33"/>
      <c r="W31" s="37"/>
      <c r="X31" s="4">
        <f>IF(H31="Senior",MAX(T31,V31),T31+V31)</f>
        <v>0</v>
      </c>
      <c r="Y31" s="33"/>
      <c r="Z31" s="37"/>
      <c r="AA31" s="32">
        <v>35.96</v>
      </c>
      <c r="AB31" s="37">
        <v>0</v>
      </c>
      <c r="AC31" s="33">
        <v>42.64</v>
      </c>
      <c r="AD31" s="37">
        <v>8.3000000000000007</v>
      </c>
      <c r="AE31" s="4">
        <f>IF(H31="Senior",MAX(AA31,AC31),AA31+AC31)</f>
        <v>78.599999999999994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274</v>
      </c>
      <c r="D32" t="str">
        <f>IF(E32="","",VLOOKUP(E32,'Coaching Points'!A:B,2,0))</f>
        <v>QC</v>
      </c>
      <c r="E32" s="35" t="s">
        <v>174</v>
      </c>
      <c r="F32" s="34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215</v>
      </c>
      <c r="I32" s="40"/>
      <c r="J32" s="4">
        <f>R32+S32+IF(OR(H32="Junior",H32="Senior"),0.0002,IF(OR(H32="L7",H32="L6"),0.0001,0))+IF(G32="17-21",MAX(AA32,AC32,AF32),AE32)*0.0000001</f>
        <v>77.110003993000007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39.93</v>
      </c>
      <c r="S32" s="4">
        <f>IF(G32="17-21",LARGE(CHOOSE({1,2,3,4,5,6},T32,V32,Y32,AA32,AC32,AF32),2),IF(R32=X32,MAX(Y32,AA32,AC32,AF32),IF(R32=AE32,MAX(AF32,T32,V32,Y32),0)))</f>
        <v>37.18</v>
      </c>
      <c r="T32" s="32"/>
      <c r="U32" s="37"/>
      <c r="V32" s="33"/>
      <c r="W32" s="37"/>
      <c r="X32" s="4">
        <f>IF(H32="Senior",MAX(T32,V32),T32+V32)</f>
        <v>0</v>
      </c>
      <c r="Y32" s="33"/>
      <c r="Z32" s="37"/>
      <c r="AA32" s="32">
        <v>39.93</v>
      </c>
      <c r="AB32" s="37">
        <v>0</v>
      </c>
      <c r="AC32" s="33">
        <v>37.18</v>
      </c>
      <c r="AD32" s="37">
        <v>6.5</v>
      </c>
      <c r="AE32" s="4">
        <f>IF(H32="Senior",MAX(AA32,AC32),AA32+AC32)</f>
        <v>77.11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238</v>
      </c>
      <c r="D33" t="str">
        <f>IF(E33="","",VLOOKUP(E33,'Coaching Points'!A:B,2,0))</f>
        <v>BC</v>
      </c>
      <c r="E33" s="35" t="s">
        <v>44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76.940103964000002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39.64</v>
      </c>
      <c r="S33" s="4">
        <f>IF(G33="17-21",LARGE(CHOOSE({1,2,3,4,5,6},T33,V33,Y33,AA33,AC33,AF33),2),IF(R33=X33,MAX(Y33,AA33,AC33,AF33),IF(R33=AE33,MAX(AF33,T33,V33,Y33),0)))</f>
        <v>37.299999999999997</v>
      </c>
      <c r="T33" s="32"/>
      <c r="U33" s="37"/>
      <c r="V33" s="33"/>
      <c r="W33" s="37"/>
      <c r="X33" s="4">
        <f>IF(H33="Senior",MAX(T33,V33),T33+V33)</f>
        <v>0</v>
      </c>
      <c r="Y33" s="33"/>
      <c r="Z33" s="37"/>
      <c r="AA33" s="32">
        <v>39.64</v>
      </c>
      <c r="AB33" s="37">
        <v>0</v>
      </c>
      <c r="AC33" s="33">
        <v>37.299999999999997</v>
      </c>
      <c r="AD33" s="37">
        <v>8.6</v>
      </c>
      <c r="AE33" s="4">
        <f>IF(H33="Senior",MAX(AA33,AC33),AA33+AC33)</f>
        <v>76.94</v>
      </c>
      <c r="AF33" s="33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275</v>
      </c>
      <c r="D34" t="str">
        <f>IF(E34="","",VLOOKUP(E34,'Coaching Points'!A:B,2,0))</f>
        <v>ON</v>
      </c>
      <c r="E34" s="35" t="s">
        <v>45</v>
      </c>
      <c r="F34" s="34">
        <v>2007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R34+S34+IF(OR(H34="Junior",H34="Senior"),0.0002,IF(OR(H34="L7",H34="L6"),0.0001,0))+IF(G34="17-21",MAX(AA34,AC34,AF34),AE34)*0.0000001</f>
        <v>76.330004141999993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41.42</v>
      </c>
      <c r="S34" s="4">
        <f>IF(G34="17-21",LARGE(CHOOSE({1,2,3,4,5,6},T34,V34,Y34,AA34,AC34,AF34),2),IF(R34=X34,MAX(Y34,AA34,AC34,AF34),IF(R34=AE34,MAX(AF34,T34,V34,Y34),0)))</f>
        <v>34.909999999999997</v>
      </c>
      <c r="T34" s="32"/>
      <c r="U34" s="37"/>
      <c r="V34" s="33"/>
      <c r="W34" s="37"/>
      <c r="X34" s="4">
        <f>IF(H34="Senior",MAX(T34,V34),T34+V34)</f>
        <v>0</v>
      </c>
      <c r="Y34" s="33"/>
      <c r="Z34" s="37"/>
      <c r="AA34" s="32">
        <v>34.909999999999997</v>
      </c>
      <c r="AB34" s="37">
        <v>0</v>
      </c>
      <c r="AC34" s="33">
        <v>41.42</v>
      </c>
      <c r="AD34" s="37">
        <v>7.8</v>
      </c>
      <c r="AE34" s="4">
        <f>IF(H34="Senior",MAX(AA34,AC34),AA34+AC34)</f>
        <v>76.33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276</v>
      </c>
      <c r="D35" t="str">
        <f>IF(E35="","",VLOOKUP(E35,'Coaching Points'!A:B,2,0))</f>
        <v>BC</v>
      </c>
      <c r="E35" s="35" t="s">
        <v>60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215</v>
      </c>
      <c r="I35" s="40"/>
      <c r="J35" s="4">
        <f>R35+S35+IF(OR(H35="Junior",H35="Senior"),0.0002,IF(OR(H35="L7",H35="L6"),0.0001,0))+IF(G35="17-21",MAX(AA35,AC35,AF35),AE35)*0.0000001</f>
        <v>76.160004149000002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41.49</v>
      </c>
      <c r="S35" s="4">
        <f>IF(G35="17-21",LARGE(CHOOSE({1,2,3,4,5,6},T35,V35,Y35,AA35,AC35,AF35),2),IF(R35=X35,MAX(Y35,AA35,AC35,AF35),IF(R35=AE35,MAX(AF35,T35,V35,Y35),0)))</f>
        <v>34.67</v>
      </c>
      <c r="T35" s="32"/>
      <c r="U35" s="37"/>
      <c r="V35" s="33"/>
      <c r="W35" s="37"/>
      <c r="X35" s="4">
        <f>IF(H35="Senior",MAX(T35,V35),T35+V35)</f>
        <v>0</v>
      </c>
      <c r="Y35" s="33"/>
      <c r="Z35" s="37"/>
      <c r="AA35" s="32">
        <v>34.67</v>
      </c>
      <c r="AB35" s="37">
        <v>0</v>
      </c>
      <c r="AC35" s="33">
        <v>41.49</v>
      </c>
      <c r="AD35" s="37">
        <v>8.6999999999999993</v>
      </c>
      <c r="AE35" s="4">
        <f>IF(H35="Senior",MAX(AA35,AC35),AA35+AC35)</f>
        <v>76.16</v>
      </c>
      <c r="AF35" s="33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277</v>
      </c>
      <c r="D36" t="str">
        <f>IF(E36="","",VLOOKUP(E36,'Coaching Points'!A:B,2,0))</f>
        <v>AB</v>
      </c>
      <c r="E36" s="35" t="s">
        <v>61</v>
      </c>
      <c r="F36" s="34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R36+S36+IF(OR(H36="Junior",H36="Senior"),0.0002,IF(OR(H36="L7",H36="L6"),0.0001,0))+IF(G36="17-21",MAX(AA36,AC36,AF36),AE36)*0.0000001</f>
        <v>75.520004250000014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42.5</v>
      </c>
      <c r="S36" s="4">
        <f>IF(G36="17-21",LARGE(CHOOSE({1,2,3,4,5,6},T36,V36,Y36,AA36,AC36,AF36),2),IF(R36=X36,MAX(Y36,AA36,AC36,AF36),IF(R36=AE36,MAX(AF36,T36,V36,Y36),0)))</f>
        <v>33.020000000000003</v>
      </c>
      <c r="T36" s="32"/>
      <c r="U36" s="37"/>
      <c r="V36" s="33"/>
      <c r="W36" s="37"/>
      <c r="X36" s="4">
        <f>IF(H36="Senior",MAX(T36,V36),T36+V36)</f>
        <v>0</v>
      </c>
      <c r="Y36" s="33"/>
      <c r="Z36" s="37"/>
      <c r="AA36" s="32">
        <v>33.020000000000003</v>
      </c>
      <c r="AB36" s="37">
        <v>0</v>
      </c>
      <c r="AC36" s="33">
        <v>42.5</v>
      </c>
      <c r="AD36" s="37">
        <v>8.6999999999999993</v>
      </c>
      <c r="AE36" s="4">
        <f>IF(H36="Senior",MAX(AA36,AC36),AA36+AC36)</f>
        <v>75.52000000000001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278</v>
      </c>
      <c r="D37" t="str">
        <f>IF(E37="","",VLOOKUP(E37,'Coaching Points'!A:B,2,0))</f>
        <v>SK</v>
      </c>
      <c r="E37" s="35" t="s">
        <v>288</v>
      </c>
      <c r="F37" s="34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R37+S37+IF(OR(H37="Junior",H37="Senior"),0.0002,IF(OR(H37="L7",H37="L6"),0.0001,0))+IF(G37="17-21",MAX(AA37,AC37,AF37),AE37)*0.0000001</f>
        <v>74.510004407999986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44.08</v>
      </c>
      <c r="S37" s="4">
        <f>IF(G37="17-21",LARGE(CHOOSE({1,2,3,4,5,6},T37,V37,Y37,AA37,AC37,AF37),2),IF(R37=X37,MAX(Y37,AA37,AC37,AF37),IF(R37=AE37,MAX(AF37,T37,V37,Y37),0)))</f>
        <v>30.43</v>
      </c>
      <c r="T37" s="32"/>
      <c r="U37" s="37"/>
      <c r="V37" s="33"/>
      <c r="W37" s="37"/>
      <c r="X37" s="4">
        <f>IF(H37="Senior",MAX(T37,V37),T37+V37)</f>
        <v>0</v>
      </c>
      <c r="Y37" s="33"/>
      <c r="Z37" s="37"/>
      <c r="AA37" s="32">
        <v>30.43</v>
      </c>
      <c r="AB37" s="37">
        <v>0</v>
      </c>
      <c r="AC37" s="33">
        <v>44.08</v>
      </c>
      <c r="AD37" s="37">
        <v>9.1999999999999993</v>
      </c>
      <c r="AE37" s="4">
        <f>IF(H37="Senior",MAX(AA37,AC37),AA37+AC37)</f>
        <v>74.509999999999991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279</v>
      </c>
      <c r="D38" t="str">
        <f>IF(E38="","",VLOOKUP(E38,'Coaching Points'!A:B,2,0))</f>
        <v>AB</v>
      </c>
      <c r="E38" s="35" t="s">
        <v>62</v>
      </c>
      <c r="F38" s="34">
        <v>2004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215</v>
      </c>
      <c r="I38" s="40"/>
      <c r="J38" s="4">
        <f>R38+S38+IF(OR(H38="Junior",H38="Senior"),0.0002,IF(OR(H38="L7",H38="L6"),0.0001,0))+IF(G38="17-21",MAX(AA38,AC38,AF38),AE38)*0.0000001</f>
        <v>74.140003820000004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38.200000000000003</v>
      </c>
      <c r="S38" s="4">
        <f>IF(G38="17-21",LARGE(CHOOSE({1,2,3,4,5,6},T38,V38,Y38,AA38,AC38,AF38),2),IF(R38=X38,MAX(Y38,AA38,AC38,AF38),IF(R38=AE38,MAX(AF38,T38,V38,Y38),0)))</f>
        <v>35.94</v>
      </c>
      <c r="T38" s="32"/>
      <c r="U38" s="37"/>
      <c r="V38" s="33"/>
      <c r="W38" s="37"/>
      <c r="X38" s="4">
        <f>IF(H38="Senior",MAX(T38,V38),T38+V38)</f>
        <v>0</v>
      </c>
      <c r="Y38" s="33"/>
      <c r="Z38" s="37"/>
      <c r="AA38" s="32">
        <v>35.94</v>
      </c>
      <c r="AB38" s="37">
        <v>0</v>
      </c>
      <c r="AC38" s="33">
        <v>38.200000000000003</v>
      </c>
      <c r="AD38" s="37">
        <v>5.8</v>
      </c>
      <c r="AE38" s="4">
        <f>IF(H38="Senior",MAX(AA38,AC38),AA38+AC38)</f>
        <v>74.14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280</v>
      </c>
      <c r="D39" t="str">
        <f>IF(E39="","",VLOOKUP(E39,'Coaching Points'!A:B,2,0))</f>
        <v>ON</v>
      </c>
      <c r="E39" s="35" t="s">
        <v>84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215</v>
      </c>
      <c r="I39" s="40"/>
      <c r="J39" s="4">
        <f>R39+S39+IF(OR(H39="Junior",H39="Senior"),0.0002,IF(OR(H39="L7",H39="L6"),0.0001,0))+IF(G39="17-21",MAX(AA39,AC39,AF39),AE39)*0.0000001</f>
        <v>73.710003842000006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38.42</v>
      </c>
      <c r="S39" s="4">
        <f>IF(G39="17-21",LARGE(CHOOSE({1,2,3,4,5,6},T39,V39,Y39,AA39,AC39,AF39),2),IF(R39=X39,MAX(Y39,AA39,AC39,AF39),IF(R39=AE39,MAX(AF39,T39,V39,Y39),0)))</f>
        <v>35.29</v>
      </c>
      <c r="T39" s="32"/>
      <c r="U39" s="37"/>
      <c r="V39" s="33"/>
      <c r="W39" s="37"/>
      <c r="X39" s="4">
        <f>IF(H39="Senior",MAX(T39,V39),T39+V39)</f>
        <v>0</v>
      </c>
      <c r="Y39" s="33"/>
      <c r="Z39" s="37"/>
      <c r="AA39" s="32">
        <v>35.29</v>
      </c>
      <c r="AB39" s="37">
        <v>0</v>
      </c>
      <c r="AC39" s="33">
        <v>38.42</v>
      </c>
      <c r="AD39" s="37">
        <v>6.1</v>
      </c>
      <c r="AE39" s="4">
        <f>IF(H39="Senior",MAX(AA39,AC39),AA39+AC39)</f>
        <v>73.710000000000008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281</v>
      </c>
      <c r="D40" t="str">
        <f>IF(E40="","",VLOOKUP(E40,'Coaching Points'!A:B,2,0))</f>
        <v>SK</v>
      </c>
      <c r="E40" s="35" t="s">
        <v>58</v>
      </c>
      <c r="F40" s="34">
        <v>2007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73.690003954999995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39.549999999999997</v>
      </c>
      <c r="S40" s="4">
        <f>IF(G40="17-21",LARGE(CHOOSE({1,2,3,4,5,6},T40,V40,Y40,AA40,AC40,AF40),2),IF(R40=X40,MAX(Y40,AA40,AC40,AF40),IF(R40=AE40,MAX(AF40,T40,V40,Y40),0)))</f>
        <v>34.14</v>
      </c>
      <c r="T40" s="32"/>
      <c r="U40" s="37"/>
      <c r="V40" s="33"/>
      <c r="W40" s="37"/>
      <c r="X40" s="4">
        <f>IF(H40="Senior",MAX(T40,V40),T40+V40)</f>
        <v>0</v>
      </c>
      <c r="Y40" s="33"/>
      <c r="Z40" s="37"/>
      <c r="AA40" s="32">
        <v>34.14</v>
      </c>
      <c r="AB40" s="37">
        <v>0</v>
      </c>
      <c r="AC40" s="33">
        <v>39.549999999999997</v>
      </c>
      <c r="AD40" s="37">
        <v>8.1</v>
      </c>
      <c r="AE40" s="4">
        <f>IF(H40="Senior",MAX(AA40,AC40),AA40+AC40)</f>
        <v>73.69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282</v>
      </c>
      <c r="D41" t="str">
        <f>IF(E41="","",VLOOKUP(E41,'Coaching Points'!A:B,2,0))</f>
        <v>BC</v>
      </c>
      <c r="E41" s="35" t="s">
        <v>66</v>
      </c>
      <c r="F41" s="34">
        <v>2005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R41+S41+IF(OR(H41="Junior",H41="Senior"),0.0002,IF(OR(H41="L7",H41="L6"),0.0001,0))+IF(G41="17-21",MAX(AA41,AC41,AF41),AE41)*0.0000001</f>
        <v>73.640003934999996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39.35</v>
      </c>
      <c r="S41" s="4">
        <f>IF(G41="17-21",LARGE(CHOOSE({1,2,3,4,5,6},T41,V41,Y41,AA41,AC41,AF41),2),IF(R41=X41,MAX(Y41,AA41,AC41,AF41),IF(R41=AE41,MAX(AF41,T41,V41,Y41),0)))</f>
        <v>34.29</v>
      </c>
      <c r="T41" s="32"/>
      <c r="U41" s="37"/>
      <c r="V41" s="33"/>
      <c r="W41" s="37"/>
      <c r="X41" s="4">
        <f>IF(H41="Senior",MAX(T41,V41),T41+V41)</f>
        <v>0</v>
      </c>
      <c r="Y41" s="33"/>
      <c r="Z41" s="37"/>
      <c r="AA41" s="32">
        <v>34.29</v>
      </c>
      <c r="AB41" s="37">
        <v>0</v>
      </c>
      <c r="AC41" s="33">
        <v>39.35</v>
      </c>
      <c r="AD41" s="37">
        <v>6.5</v>
      </c>
      <c r="AE41" s="4">
        <f>IF(H41="Senior",MAX(AA41,AC41),AA41+AC41)</f>
        <v>73.64</v>
      </c>
      <c r="AF41" s="33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283</v>
      </c>
      <c r="D42" t="str">
        <f>IF(E42="","",VLOOKUP(E42,'Coaching Points'!A:B,2,0))</f>
        <v>BC</v>
      </c>
      <c r="E42" s="35" t="s">
        <v>36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68.400003565000006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35.65</v>
      </c>
      <c r="S42" s="4">
        <f>IF(G42="17-21",LARGE(CHOOSE({1,2,3,4,5,6},T42,V42,Y42,AA42,AC42,AF42),2),IF(R42=X42,MAX(Y42,AA42,AC42,AF42),IF(R42=AE42,MAX(AF42,T42,V42,Y42),0)))</f>
        <v>32.75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32.75</v>
      </c>
      <c r="AB42" s="37">
        <v>0</v>
      </c>
      <c r="AC42" s="33">
        <v>35.65</v>
      </c>
      <c r="AD42" s="37">
        <v>4.8</v>
      </c>
      <c r="AE42" s="4">
        <f>IF(H42="Senior",MAX(AA42,AC42),AA42+AC42)</f>
        <v>68.400000000000006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239</v>
      </c>
      <c r="D43" t="str">
        <f>IF(E43="","",VLOOKUP(E43,'Coaching Points'!A:B,2,0))</f>
        <v>SK</v>
      </c>
      <c r="E43" s="35" t="s">
        <v>58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68.270103805000005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38.049999999999997</v>
      </c>
      <c r="S43" s="4">
        <f>IF(G43="17-21",LARGE(CHOOSE({1,2,3,4,5,6},T43,V43,Y43,AA43,AC43,AF43),2),IF(R43=X43,MAX(Y43,AA43,AC43,AF43),IF(R43=AE43,MAX(AF43,T43,V43,Y43),0)))</f>
        <v>30.22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38.049999999999997</v>
      </c>
      <c r="AB43" s="37">
        <v>0</v>
      </c>
      <c r="AC43" s="33">
        <v>30.22</v>
      </c>
      <c r="AD43" s="37">
        <v>6.8</v>
      </c>
      <c r="AE43" s="4">
        <f>IF(H43="Senior",MAX(AA43,AC43),AA43+AC43)</f>
        <v>68.27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284</v>
      </c>
      <c r="D44" t="str">
        <f>IF(E44="","",VLOOKUP(E44,'Coaching Points'!A:B,2,0))</f>
        <v>QC</v>
      </c>
      <c r="E44" s="35" t="s">
        <v>57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215</v>
      </c>
      <c r="I44" s="40"/>
      <c r="J44" s="4">
        <f>R44+S44+IF(OR(H44="Junior",H44="Senior"),0.0002,IF(OR(H44="L7",H44="L6"),0.0001,0))+IF(G44="17-21",MAX(AA44,AC44,AF44),AE44)*0.0000001</f>
        <v>67.120003801999999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38.020000000000003</v>
      </c>
      <c r="S44" s="4">
        <f>IF(G44="17-21",LARGE(CHOOSE({1,2,3,4,5,6},T44,V44,Y44,AA44,AC44,AF44),2),IF(R44=X44,MAX(Y44,AA44,AC44,AF44),IF(R44=AE44,MAX(AF44,T44,V44,Y44),0)))</f>
        <v>29.1</v>
      </c>
      <c r="T44" s="32"/>
      <c r="U44" s="37"/>
      <c r="V44" s="33"/>
      <c r="W44" s="37"/>
      <c r="X44" s="4">
        <f>IF(H44="Senior",MAX(T44,V44),T44+V44)</f>
        <v>0</v>
      </c>
      <c r="Y44" s="33"/>
      <c r="Z44" s="37"/>
      <c r="AA44" s="32">
        <v>38.020000000000003</v>
      </c>
      <c r="AB44" s="37">
        <v>0</v>
      </c>
      <c r="AC44" s="33">
        <v>29.1</v>
      </c>
      <c r="AD44" s="37">
        <v>5.2</v>
      </c>
      <c r="AE44" s="4">
        <f>IF(H44="Senior",MAX(AA44,AC44),AA44+AC44)</f>
        <v>67.12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240</v>
      </c>
      <c r="D45" t="str">
        <f>IF(E45="","",VLOOKUP(E45,'Coaching Points'!A:B,2,0))</f>
        <v>QC</v>
      </c>
      <c r="E45" s="35" t="s">
        <v>72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62.430103979000002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39.79</v>
      </c>
      <c r="S45" s="4">
        <f>IF(G45="17-21",LARGE(CHOOSE({1,2,3,4,5,6},T45,V45,Y45,AA45,AC45,AF45),2),IF(R45=X45,MAX(Y45,AA45,AC45,AF45),IF(R45=AE45,MAX(AF45,T45,V45,Y45),0)))</f>
        <v>22.64</v>
      </c>
      <c r="T45" s="32"/>
      <c r="U45" s="37"/>
      <c r="V45" s="33"/>
      <c r="W45" s="37"/>
      <c r="X45" s="4">
        <f>IF(H45="Senior",MAX(T45,V45),T45+V45)</f>
        <v>0</v>
      </c>
      <c r="Y45" s="33"/>
      <c r="Z45" s="37"/>
      <c r="AA45" s="32">
        <v>39.79</v>
      </c>
      <c r="AB45" s="37">
        <v>0</v>
      </c>
      <c r="AC45" s="33">
        <v>22.64</v>
      </c>
      <c r="AD45" s="37">
        <v>4.8</v>
      </c>
      <c r="AE45" s="4">
        <f>IF(H45="Senior",MAX(AA45,AC45),AA45+AC45)</f>
        <v>62.43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285</v>
      </c>
      <c r="D46" t="str">
        <f>IF(E46="","",VLOOKUP(E46,'Coaching Points'!A:B,2,0))</f>
        <v>BC</v>
      </c>
      <c r="E46" s="35" t="s">
        <v>122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61.710003596999996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35.97</v>
      </c>
      <c r="S46" s="4">
        <f>IF(G46="17-21",LARGE(CHOOSE({1,2,3,4,5,6},T46,V46,Y46,AA46,AC46,AF46),2),IF(R46=X46,MAX(Y46,AA46,AC46,AF46),IF(R46=AE46,MAX(AF46,T46,V46,Y46),0)))</f>
        <v>25.74</v>
      </c>
      <c r="T46" s="32"/>
      <c r="U46" s="37"/>
      <c r="V46" s="33"/>
      <c r="W46" s="37"/>
      <c r="X46" s="4">
        <f>IF(H46="Senior",MAX(T46,V46),T46+V46)</f>
        <v>0</v>
      </c>
      <c r="Y46" s="33"/>
      <c r="Z46" s="37"/>
      <c r="AA46" s="32">
        <v>35.97</v>
      </c>
      <c r="AB46" s="37">
        <v>0</v>
      </c>
      <c r="AC46" s="33">
        <v>25.74</v>
      </c>
      <c r="AD46" s="37">
        <v>4.7</v>
      </c>
      <c r="AE46" s="4">
        <f>IF(H46="Senior",MAX(AA46,AC46),AA46+AC46)</f>
        <v>61.709999999999994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286</v>
      </c>
      <c r="D47" t="str">
        <f>IF(E47="","",VLOOKUP(E47,'Coaching Points'!A:B,2,0))</f>
        <v>ON</v>
      </c>
      <c r="E47" s="35" t="s">
        <v>126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60.410004121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41.21</v>
      </c>
      <c r="S47" s="4">
        <f>IF(G47="17-21",LARGE(CHOOSE({1,2,3,4,5,6},T47,V47,Y47,AA47,AC47,AF47),2),IF(R47=X47,MAX(Y47,AA47,AC47,AF47),IF(R47=AE47,MAX(AF47,T47,V47,Y47),0)))</f>
        <v>19.2</v>
      </c>
      <c r="T47" s="32"/>
      <c r="U47" s="37"/>
      <c r="V47" s="33"/>
      <c r="W47" s="37"/>
      <c r="X47" s="4">
        <f>IF(H47="Senior",MAX(T47,V47),T47+V47)</f>
        <v>0</v>
      </c>
      <c r="Y47" s="33"/>
      <c r="Z47" s="37"/>
      <c r="AA47" s="32">
        <v>19.2</v>
      </c>
      <c r="AB47" s="37">
        <v>0</v>
      </c>
      <c r="AC47" s="33">
        <v>41.21</v>
      </c>
      <c r="AD47" s="37">
        <v>7.8</v>
      </c>
      <c r="AE47" s="4">
        <f>IF(H47="Senior",MAX(AA47,AC47),AA47+AC47)</f>
        <v>60.41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241</v>
      </c>
      <c r="D48" t="str">
        <f>IF(E48="","",VLOOKUP(E48,'Coaching Points'!A:B,2,0))</f>
        <v>AB</v>
      </c>
      <c r="E48" s="35" t="s">
        <v>62</v>
      </c>
      <c r="F48" s="34">
        <v>2008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56.330103799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37.99</v>
      </c>
      <c r="S48" s="4">
        <f>IF(G48="17-21",LARGE(CHOOSE({1,2,3,4,5,6},T48,V48,Y48,AA48,AC48,AF48),2),IF(R48=X48,MAX(Y48,AA48,AC48,AF48),IF(R48=AE48,MAX(AF48,T48,V48,Y48),0)))</f>
        <v>18.34</v>
      </c>
      <c r="T48" s="32"/>
      <c r="U48" s="37"/>
      <c r="V48" s="33"/>
      <c r="W48" s="37"/>
      <c r="X48" s="4">
        <f>IF(H48="Senior",MAX(T48,V48),T48+V48)</f>
        <v>0</v>
      </c>
      <c r="Y48" s="33"/>
      <c r="Z48" s="37"/>
      <c r="AA48" s="32">
        <v>37.99</v>
      </c>
      <c r="AB48" s="37">
        <v>0</v>
      </c>
      <c r="AC48" s="33">
        <v>18.34</v>
      </c>
      <c r="AD48" s="37">
        <v>4.4000000000000004</v>
      </c>
      <c r="AE48" s="4">
        <f>IF(H48="Senior",MAX(AA48,AC48),AA48+AC48)</f>
        <v>56.33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287</v>
      </c>
      <c r="D49" t="str">
        <f>IF(E49="","",VLOOKUP(E49,'Coaching Points'!A:B,2,0))</f>
        <v>AB</v>
      </c>
      <c r="E49" s="35" t="s">
        <v>131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49.760003235999996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32.36</v>
      </c>
      <c r="S49" s="4">
        <f>IF(G49="17-21",LARGE(CHOOSE({1,2,3,4,5,6},T49,V49,Y49,AA49,AC49,AF49),2),IF(R49=X49,MAX(Y49,AA49,AC49,AF49),IF(R49=AE49,MAX(AF49,T49,V49,Y49),0)))</f>
        <v>17.399999999999999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32.36</v>
      </c>
      <c r="AB49" s="37">
        <v>0</v>
      </c>
      <c r="AC49" s="33">
        <v>17.399999999999999</v>
      </c>
      <c r="AD49" s="37">
        <v>3.5</v>
      </c>
      <c r="AE49" s="4">
        <f>IF(H49="Senior",MAX(AA49,AC49),AA49+AC49)</f>
        <v>49.76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242</v>
      </c>
      <c r="D50" t="str">
        <f>IF(E50="","",VLOOKUP(E50,'Coaching Points'!A:B,2,0))</f>
        <v>ON</v>
      </c>
      <c r="E50" s="35" t="s">
        <v>84</v>
      </c>
      <c r="F50" s="34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46.91010377700001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37.770000000000003</v>
      </c>
      <c r="S50" s="4">
        <f>IF(G50="17-21",LARGE(CHOOSE({1,2,3,4,5,6},T50,V50,Y50,AA50,AC50,AF50),2),IF(R50=X50,MAX(Y50,AA50,AC50,AF50),IF(R50=AE50,MAX(AF50,T50,V50,Y50),0)))</f>
        <v>9.14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37.770000000000003</v>
      </c>
      <c r="AB50" s="37">
        <v>0</v>
      </c>
      <c r="AC50" s="33">
        <v>9.14</v>
      </c>
      <c r="AD50" s="37">
        <v>2</v>
      </c>
      <c r="AE50" s="4">
        <f>IF(H50="Senior",MAX(AA50,AC50),AA50+AC50)</f>
        <v>46.910000000000004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243</v>
      </c>
      <c r="D51" t="str">
        <f>IF(E51="","",VLOOKUP(E51,'Coaching Points'!A:B,2,0))</f>
        <v>QC</v>
      </c>
      <c r="E51" s="35" t="s">
        <v>72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46.350104082000001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40.82</v>
      </c>
      <c r="S51" s="4">
        <f>IF(G51="17-21",LARGE(CHOOSE({1,2,3,4,5,6},T51,V51,Y51,AA51,AC51,AF51),2),IF(R51=X51,MAX(Y51,AA51,AC51,AF51),IF(R51=AE51,MAX(AF51,T51,V51,Y51),0)))</f>
        <v>5.53</v>
      </c>
      <c r="T51" s="32"/>
      <c r="U51" s="37"/>
      <c r="V51" s="33"/>
      <c r="W51" s="37"/>
      <c r="X51" s="4">
        <f>IF(H51="Senior",MAX(T51,V51),T51+V51)</f>
        <v>0</v>
      </c>
      <c r="Y51" s="33"/>
      <c r="Z51" s="37"/>
      <c r="AA51" s="32">
        <v>40.82</v>
      </c>
      <c r="AB51" s="37">
        <v>0</v>
      </c>
      <c r="AC51" s="33">
        <v>5.53</v>
      </c>
      <c r="AD51" s="37">
        <v>1.5</v>
      </c>
      <c r="AE51" s="4">
        <f>IF(H51="Senior",MAX(AA51,AC51),AA51+AC51)</f>
        <v>46.35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>1</v>
      </c>
      <c r="C52" s="35" t="s">
        <v>219</v>
      </c>
      <c r="D52" t="str">
        <f>IF(E52="","",VLOOKUP(E52,'Coaching Points'!A:B,2,0))</f>
        <v>QC</v>
      </c>
      <c r="E52" s="35" t="s">
        <v>75</v>
      </c>
      <c r="F52" s="34">
        <v>2009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R52+S52+IF(OR(H52="Junior",H52="Senior"),0.0002,IF(OR(H52="L7",H52="L6"),0.0001,0))+IF(G52="17-21",MAX(AA52,AC52,AF52),AE52)*0.0000001</f>
        <v>139.25020909700001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>P</v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>P</v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>P</v>
      </c>
      <c r="N52" s="36">
        <v>1</v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90.97</v>
      </c>
      <c r="S52" s="4">
        <f>IF(G52="17-21",LARGE(CHOOSE({1,2,3,4,5,6},T52,V52,Y52,AA52,AC52,AF52),2),IF(R52=X52,MAX(Y52,AA52,AC52,AF52),IF(R52=AE52,MAX(AF52,T52,V52,Y52),0)))</f>
        <v>48.28</v>
      </c>
      <c r="T52" s="32"/>
      <c r="U52" s="37"/>
      <c r="V52" s="33"/>
      <c r="W52" s="37"/>
      <c r="X52" s="4">
        <f>IF(H52="Senior",MAX(T52,V52),T52+V52)</f>
        <v>0</v>
      </c>
      <c r="Y52" s="33"/>
      <c r="Z52" s="37"/>
      <c r="AA52" s="32">
        <v>40.520000000000003</v>
      </c>
      <c r="AB52" s="37">
        <v>0</v>
      </c>
      <c r="AC52" s="33">
        <v>50.45</v>
      </c>
      <c r="AD52" s="37">
        <v>11.3</v>
      </c>
      <c r="AE52" s="4">
        <f>IF(H52="Senior",MAX(AA52,AC52),AA52+AC52)</f>
        <v>90.97</v>
      </c>
      <c r="AF52" s="33">
        <v>48.28</v>
      </c>
      <c r="AG52" s="37">
        <v>11.1</v>
      </c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>2</v>
      </c>
      <c r="C53" s="35" t="s">
        <v>221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212</v>
      </c>
      <c r="I53" s="40"/>
      <c r="J53" s="4">
        <f>R53+S53+IF(OR(H53="Junior",H53="Senior"),0.0002,IF(OR(H53="L7",H53="L6"),0.0001,0))+IF(G53="17-21",MAX(AA53,AC53,AF53),AE53)*0.0000001</f>
        <v>135.41020889600003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>P</v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>P</v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>P</v>
      </c>
      <c r="N53" s="36">
        <v>2</v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88.960000000000008</v>
      </c>
      <c r="S53" s="4">
        <f>IF(G53="17-21",LARGE(CHOOSE({1,2,3,4,5,6},T53,V53,Y53,AA53,AC53,AF53),2),IF(R53=X53,MAX(Y53,AA53,AC53,AF53),IF(R53=AE53,MAX(AF53,T53,V53,Y53),0)))</f>
        <v>46.45</v>
      </c>
      <c r="T53" s="32"/>
      <c r="U53" s="37"/>
      <c r="V53" s="33"/>
      <c r="W53" s="37"/>
      <c r="X53" s="4">
        <f>IF(H53="Senior",MAX(T53,V53),T53+V53)</f>
        <v>0</v>
      </c>
      <c r="Y53" s="33"/>
      <c r="Z53" s="37"/>
      <c r="AA53" s="32">
        <v>41.13</v>
      </c>
      <c r="AB53" s="37">
        <v>0</v>
      </c>
      <c r="AC53" s="33">
        <v>47.83</v>
      </c>
      <c r="AD53" s="37">
        <v>12</v>
      </c>
      <c r="AE53" s="4">
        <f>IF(H53="Senior",MAX(AA53,AC53),AA53+AC53)</f>
        <v>88.960000000000008</v>
      </c>
      <c r="AF53" s="33">
        <v>46.45</v>
      </c>
      <c r="AG53" s="37">
        <v>11.2</v>
      </c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5" t="s">
        <v>222</v>
      </c>
      <c r="D54" t="str">
        <f>IF(E54="","",VLOOKUP(E54,'Coaching Points'!A:B,2,0))</f>
        <v>ON</v>
      </c>
      <c r="E54" s="35" t="s">
        <v>135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212</v>
      </c>
      <c r="I54" s="40"/>
      <c r="J54" s="4">
        <f>R54+S54+IF(OR(H54="Junior",H54="Senior"),0.0002,IF(OR(H54="L7",H54="L6"),0.0001,0))+IF(G54="17-21",MAX(AA54,AC54,AF54),AE54)*0.0000001</f>
        <v>129.55020835200003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83.52000000000001</v>
      </c>
      <c r="S54" s="4">
        <f>IF(G54="17-21",LARGE(CHOOSE({1,2,3,4,5,6},T54,V54,Y54,AA54,AC54,AF54),2),IF(R54=X54,MAX(Y54,AA54,AC54,AF54),IF(R54=AE54,MAX(AF54,T54,V54,Y54),0)))</f>
        <v>46.03</v>
      </c>
      <c r="T54" s="32"/>
      <c r="U54" s="37"/>
      <c r="V54" s="33"/>
      <c r="W54" s="37"/>
      <c r="X54" s="4">
        <f>IF(H54="Senior",MAX(T54,V54),T54+V54)</f>
        <v>0</v>
      </c>
      <c r="Y54" s="33"/>
      <c r="Z54" s="37"/>
      <c r="AA54" s="32">
        <v>39.35</v>
      </c>
      <c r="AB54" s="37">
        <v>0</v>
      </c>
      <c r="AC54" s="33">
        <v>44.17</v>
      </c>
      <c r="AD54" s="37">
        <v>9</v>
      </c>
      <c r="AE54" s="4">
        <f>IF(H54="Senior",MAX(AA54,AC54),AA54+AC54)</f>
        <v>83.52000000000001</v>
      </c>
      <c r="AF54" s="33">
        <v>46.03</v>
      </c>
      <c r="AG54" s="37">
        <v>9</v>
      </c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251</v>
      </c>
      <c r="D55" t="str">
        <f>IF(E55="","",VLOOKUP(E55,'Coaching Points'!A:B,2,0))</f>
        <v>BC</v>
      </c>
      <c r="E55" s="35" t="s">
        <v>40</v>
      </c>
      <c r="F55" s="34">
        <v>2010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R55+S55+IF(OR(H55="Junior",H55="Senior"),0.0002,IF(OR(H55="L7",H55="L6"),0.0001,0))+IF(G55="17-21",MAX(AA55,AC55,AF55),AE55)*0.0000001</f>
        <v>128.45000835500002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83.550000000000011</v>
      </c>
      <c r="S55" s="4">
        <f>IF(G55="17-21",LARGE(CHOOSE({1,2,3,4,5,6},T55,V55,Y55,AA55,AC55,AF55),2),IF(R55=X55,MAX(Y55,AA55,AC55,AF55),IF(R55=AE55,MAX(AF55,T55,V55,Y55),0)))</f>
        <v>44.9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39.78</v>
      </c>
      <c r="AB55" s="37">
        <v>0</v>
      </c>
      <c r="AC55" s="33">
        <v>43.77</v>
      </c>
      <c r="AD55" s="37">
        <v>9.6</v>
      </c>
      <c r="AE55" s="4">
        <f>IF(H55="Senior",MAX(AA55,AC55),AA55+AC55)</f>
        <v>83.550000000000011</v>
      </c>
      <c r="AF55" s="33">
        <v>44.9</v>
      </c>
      <c r="AG55" s="37">
        <v>9.6</v>
      </c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212</v>
      </c>
      <c r="I56" s="40"/>
      <c r="J56" s="4">
        <f>R56+S56+IF(OR(H56="Junior",H56="Senior"),0.0002,IF(OR(H56="L7",H56="L6"),0.0001,0))+IF(G56="17-21",MAX(AA56,AC56,AF56),AE56)*0.0000001</f>
        <v>128.24020807800002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80.78</v>
      </c>
      <c r="S56" s="4">
        <f>IF(G56="17-21",LARGE(CHOOSE({1,2,3,4,5,6},T56,V56,Y56,AA56,AC56,AF56),2),IF(R56=X56,MAX(Y56,AA56,AC56,AF56),IF(R56=AE56,MAX(AF56,T56,V56,Y56),0)))</f>
        <v>47.46</v>
      </c>
      <c r="T56" s="32"/>
      <c r="U56" s="37"/>
      <c r="V56" s="33"/>
      <c r="W56" s="37"/>
      <c r="X56" s="4">
        <f>IF(H56="Senior",MAX(T56,V56),T56+V56)</f>
        <v>0</v>
      </c>
      <c r="Y56" s="33"/>
      <c r="Z56" s="37"/>
      <c r="AA56" s="32">
        <v>39.53</v>
      </c>
      <c r="AB56" s="37">
        <v>0</v>
      </c>
      <c r="AC56" s="33">
        <v>41.25</v>
      </c>
      <c r="AD56" s="37">
        <v>8.4</v>
      </c>
      <c r="AE56" s="4">
        <f>IF(H56="Senior",MAX(AA56,AC56),AA56+AC56)</f>
        <v>80.78</v>
      </c>
      <c r="AF56" s="33">
        <v>47.46</v>
      </c>
      <c r="AG56" s="37">
        <v>11</v>
      </c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223</v>
      </c>
      <c r="D57" t="str">
        <f>IF(E57="","",VLOOKUP(E57,'Coaching Points'!A:B,2,0))</f>
        <v>AB</v>
      </c>
      <c r="E57" s="35" t="s">
        <v>39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R57+S57+IF(OR(H57="Junior",H57="Senior"),0.0002,IF(OR(H57="L7",H57="L6"),0.0001,0))+IF(G57="17-21",MAX(AA57,AC57,AF57),AE57)*0.0000001</f>
        <v>128.22020827599999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82.759999999999991</v>
      </c>
      <c r="S57" s="4">
        <f>IF(G57="17-21",LARGE(CHOOSE({1,2,3,4,5,6},T57,V57,Y57,AA57,AC57,AF57),2),IF(R57=X57,MAX(Y57,AA57,AC57,AF57),IF(R57=AE57,MAX(AF57,T57,V57,Y57),0)))</f>
        <v>45.46</v>
      </c>
      <c r="T57" s="32"/>
      <c r="U57" s="37"/>
      <c r="V57" s="33"/>
      <c r="W57" s="37"/>
      <c r="X57" s="4">
        <f>IF(H57="Senior",MAX(T57,V57),T57+V57)</f>
        <v>0</v>
      </c>
      <c r="Y57" s="33"/>
      <c r="Z57" s="37"/>
      <c r="AA57" s="32">
        <v>37.29</v>
      </c>
      <c r="AB57" s="37">
        <v>0</v>
      </c>
      <c r="AC57" s="33">
        <v>45.47</v>
      </c>
      <c r="AD57" s="37">
        <v>10.1</v>
      </c>
      <c r="AE57" s="4">
        <f>IF(H57="Senior",MAX(AA57,AC57),AA57+AC57)</f>
        <v>82.759999999999991</v>
      </c>
      <c r="AF57" s="33">
        <v>45.46</v>
      </c>
      <c r="AG57" s="37">
        <v>10.1</v>
      </c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250</v>
      </c>
      <c r="D58" t="str">
        <f>IF(E58="","",VLOOKUP(E58,'Coaching Points'!A:B,2,0))</f>
        <v>BC</v>
      </c>
      <c r="E58" s="35" t="s">
        <v>36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127.99000824399999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82.44</v>
      </c>
      <c r="S58" s="4">
        <f>IF(G58="17-21",LARGE(CHOOSE({1,2,3,4,5,6},T58,V58,Y58,AA58,AC58,AF58),2),IF(R58=X58,MAX(Y58,AA58,AC58,AF58),IF(R58=AE58,MAX(AF58,T58,V58,Y58),0)))</f>
        <v>45.55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37.44</v>
      </c>
      <c r="AB58" s="37">
        <v>0</v>
      </c>
      <c r="AC58" s="33">
        <v>45</v>
      </c>
      <c r="AD58" s="37">
        <v>8</v>
      </c>
      <c r="AE58" s="4">
        <f>IF(H58="Senior",MAX(AA58,AC58),AA58+AC58)</f>
        <v>82.44</v>
      </c>
      <c r="AF58" s="33">
        <v>45.55</v>
      </c>
      <c r="AG58" s="37">
        <v>8.5</v>
      </c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254</v>
      </c>
      <c r="D59" t="str">
        <f>IF(E59="","",VLOOKUP(E59,'Coaching Points'!A:B,2,0))</f>
        <v>NL</v>
      </c>
      <c r="E59" s="35" t="s">
        <v>141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R59+S59+IF(OR(H59="Junior",H59="Senior"),0.0002,IF(OR(H59="L7",H59="L6"),0.0001,0))+IF(G59="17-21",MAX(AA59,AC59,AF59),AE59)*0.0000001</f>
        <v>125.790008224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82.240000000000009</v>
      </c>
      <c r="S59" s="4">
        <f>IF(G59="17-21",LARGE(CHOOSE({1,2,3,4,5,6},T59,V59,Y59,AA59,AC59,AF59),2),IF(R59=X59,MAX(Y59,AA59,AC59,AF59),IF(R59=AE59,MAX(AF59,T59,V59,Y59),0)))</f>
        <v>43.55</v>
      </c>
      <c r="T59" s="32"/>
      <c r="U59" s="37"/>
      <c r="V59" s="33"/>
      <c r="W59" s="37"/>
      <c r="X59" s="4">
        <f>IF(H59="Senior",MAX(T59,V59),T59+V59)</f>
        <v>0</v>
      </c>
      <c r="Y59" s="33"/>
      <c r="Z59" s="37"/>
      <c r="AA59" s="32">
        <v>37.5</v>
      </c>
      <c r="AB59" s="37">
        <v>0</v>
      </c>
      <c r="AC59" s="33">
        <v>44.74</v>
      </c>
      <c r="AD59" s="37">
        <v>7.9</v>
      </c>
      <c r="AE59" s="4">
        <f>IF(H59="Senior",MAX(AA59,AC59),AA59+AC59)</f>
        <v>82.240000000000009</v>
      </c>
      <c r="AF59" s="33">
        <v>43.55</v>
      </c>
      <c r="AG59" s="37">
        <v>7.9</v>
      </c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253</v>
      </c>
      <c r="D60" t="str">
        <f>IF(E60="","",VLOOKUP(E60,'Coaching Points'!A:B,2,0))</f>
        <v>QC</v>
      </c>
      <c r="E60" s="35" t="s">
        <v>75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215</v>
      </c>
      <c r="I60" s="40"/>
      <c r="J60" s="4">
        <f>R60+S60+IF(OR(H60="Junior",H60="Senior"),0.0002,IF(OR(H60="L7",H60="L6"),0.0001,0))+IF(G60="17-21",MAX(AA60,AC60,AF60),AE60)*0.0000001</f>
        <v>124.05000796700001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79.67</v>
      </c>
      <c r="S60" s="4">
        <f>IF(G60="17-21",LARGE(CHOOSE({1,2,3,4,5,6},T60,V60,Y60,AA60,AC60,AF60),2),IF(R60=X60,MAX(Y60,AA60,AC60,AF60),IF(R60=AE60,MAX(AF60,T60,V60,Y60),0)))</f>
        <v>44.38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36.21</v>
      </c>
      <c r="AB60" s="37">
        <v>0</v>
      </c>
      <c r="AC60" s="33">
        <v>43.46</v>
      </c>
      <c r="AD60" s="37">
        <v>7.9</v>
      </c>
      <c r="AE60" s="4">
        <f>IF(H60="Senior",MAX(AA60,AC60),AA60+AC60)</f>
        <v>79.67</v>
      </c>
      <c r="AF60" s="33">
        <v>44.38</v>
      </c>
      <c r="AG60" s="37">
        <v>8.5</v>
      </c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252</v>
      </c>
      <c r="D61" t="str">
        <f>IF(E61="","",VLOOKUP(E61,'Coaching Points'!A:B,2,0))</f>
        <v>ON</v>
      </c>
      <c r="E61" s="35" t="s">
        <v>135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120.750007614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76.14</v>
      </c>
      <c r="S61" s="4">
        <f>IF(G61="17-21",LARGE(CHOOSE({1,2,3,4,5,6},T61,V61,Y61,AA61,AC61,AF61),2),IF(R61=X61,MAX(Y61,AA61,AC61,AF61),IF(R61=AE61,MAX(AF61,T61,V61,Y61),0)))</f>
        <v>44.61</v>
      </c>
      <c r="T61" s="32"/>
      <c r="U61" s="37"/>
      <c r="V61" s="33"/>
      <c r="W61" s="37"/>
      <c r="X61" s="4">
        <f>IF(H61="Senior",MAX(T61,V61),T61+V61)</f>
        <v>0</v>
      </c>
      <c r="Y61" s="33"/>
      <c r="Z61" s="37"/>
      <c r="AA61" s="32">
        <v>32.22</v>
      </c>
      <c r="AB61" s="37">
        <v>0</v>
      </c>
      <c r="AC61" s="33">
        <v>43.92</v>
      </c>
      <c r="AD61" s="37">
        <v>7.7</v>
      </c>
      <c r="AE61" s="4">
        <f>IF(H61="Senior",MAX(AA61,AC61),AA61+AC61)</f>
        <v>76.14</v>
      </c>
      <c r="AF61" s="33">
        <v>44.61</v>
      </c>
      <c r="AG61" s="37">
        <v>7.7</v>
      </c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255</v>
      </c>
      <c r="D62" t="str">
        <f>IF(E62="","",VLOOKUP(E62,'Coaching Points'!A:B,2,0))</f>
        <v>SK</v>
      </c>
      <c r="E62" s="35" t="s">
        <v>58</v>
      </c>
      <c r="F62" s="34">
        <v>2009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120.23000768000001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76.800000000000011</v>
      </c>
      <c r="S62" s="4">
        <f>IF(G62="17-21",LARGE(CHOOSE({1,2,3,4,5,6},T62,V62,Y62,AA62,AC62,AF62),2),IF(R62=X62,MAX(Y62,AA62,AC62,AF62),IF(R62=AE62,MAX(AF62,T62,V62,Y62),0)))</f>
        <v>43.43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33.06</v>
      </c>
      <c r="AB62" s="37">
        <v>0</v>
      </c>
      <c r="AC62" s="33">
        <v>43.74</v>
      </c>
      <c r="AD62" s="37">
        <v>8.6999999999999993</v>
      </c>
      <c r="AE62" s="4">
        <f>IF(H62="Senior",MAX(AA62,AC62),AA62+AC62)</f>
        <v>76.800000000000011</v>
      </c>
      <c r="AF62" s="33">
        <v>43.43</v>
      </c>
      <c r="AG62" s="37">
        <v>8.6999999999999993</v>
      </c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256</v>
      </c>
      <c r="D63" t="str">
        <f>IF(E63="","",VLOOKUP(E63,'Coaching Points'!A:B,2,0))</f>
        <v>AB</v>
      </c>
      <c r="E63" s="35" t="s">
        <v>28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119.620008059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80.59</v>
      </c>
      <c r="S63" s="4">
        <f>IF(G63="17-21",LARGE(CHOOSE({1,2,3,4,5,6},T63,V63,Y63,AA63,AC63,AF63),2),IF(R63=X63,MAX(Y63,AA63,AC63,AF63),IF(R63=AE63,MAX(AF63,T63,V63,Y63),0)))</f>
        <v>39.03</v>
      </c>
      <c r="T63" s="32"/>
      <c r="U63" s="37"/>
      <c r="V63" s="33"/>
      <c r="W63" s="37"/>
      <c r="X63" s="4">
        <f>IF(H63="Senior",MAX(T63,V63),T63+V63)</f>
        <v>0</v>
      </c>
      <c r="Y63" s="33"/>
      <c r="Z63" s="37"/>
      <c r="AA63" s="32">
        <v>36.67</v>
      </c>
      <c r="AB63" s="37">
        <v>0</v>
      </c>
      <c r="AC63" s="33">
        <v>43.92</v>
      </c>
      <c r="AD63" s="37">
        <v>7.8</v>
      </c>
      <c r="AE63" s="4">
        <f>IF(H63="Senior",MAX(AA63,AC63),AA63+AC63)</f>
        <v>80.59</v>
      </c>
      <c r="AF63" s="33">
        <v>39.03</v>
      </c>
      <c r="AG63" s="37">
        <v>6.5</v>
      </c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257</v>
      </c>
      <c r="D64" t="str">
        <f>IF(E64="","",VLOOKUP(E64,'Coaching Points'!A:B,2,0))</f>
        <v>ON</v>
      </c>
      <c r="E64" s="35" t="s">
        <v>84</v>
      </c>
      <c r="F64" s="34">
        <v>2010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97.630006514999991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65.150000000000006</v>
      </c>
      <c r="S64" s="4">
        <f>IF(G64="17-21",LARGE(CHOOSE({1,2,3,4,5,6},T64,V64,Y64,AA64,AC64,AF64),2),IF(R64=X64,MAX(Y64,AA64,AC64,AF64),IF(R64=AE64,MAX(AF64,T64,V64,Y64),0)))</f>
        <v>32.479999999999997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28.14</v>
      </c>
      <c r="AB64" s="37">
        <v>0</v>
      </c>
      <c r="AC64" s="33">
        <v>37.01</v>
      </c>
      <c r="AD64" s="37">
        <v>0</v>
      </c>
      <c r="AE64" s="4">
        <f>IF(H64="Senior",MAX(AA64,AC64),AA64+AC64)</f>
        <v>65.150000000000006</v>
      </c>
      <c r="AF64" s="33">
        <v>32.479999999999997</v>
      </c>
      <c r="AG64" s="37">
        <v>6.9</v>
      </c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258</v>
      </c>
      <c r="D65" t="str">
        <f>IF(E65="","",VLOOKUP(E65,'Coaching Points'!A:B,2,0))</f>
        <v>AB</v>
      </c>
      <c r="E65" s="35" t="s">
        <v>28</v>
      </c>
      <c r="F65" s="34">
        <v>2009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97.030007768000004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77.680000000000007</v>
      </c>
      <c r="S65" s="4">
        <f>IF(G65="17-21",LARGE(CHOOSE({1,2,3,4,5,6},T65,V65,Y65,AA65,AC65,AF65),2),IF(R65=X65,MAX(Y65,AA65,AC65,AF65),IF(R65=AE65,MAX(AF65,T65,V65,Y65),0)))</f>
        <v>19.350000000000001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37.57</v>
      </c>
      <c r="AB65" s="37">
        <v>0</v>
      </c>
      <c r="AC65" s="33">
        <v>40.11</v>
      </c>
      <c r="AD65" s="37">
        <v>5.6</v>
      </c>
      <c r="AE65" s="4">
        <f>IF(H65="Senior",MAX(AA65,AC65),AA65+AC65)</f>
        <v>77.680000000000007</v>
      </c>
      <c r="AF65" s="33">
        <v>19.350000000000001</v>
      </c>
      <c r="AG65" s="37">
        <v>3.5</v>
      </c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224</v>
      </c>
      <c r="D66" t="str">
        <f>IF(E66="","",VLOOKUP(E66,'Coaching Points'!A:B,2,0))</f>
        <v>ON</v>
      </c>
      <c r="E66" s="35" t="s">
        <v>84</v>
      </c>
      <c r="F66" s="34">
        <v>2010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212</v>
      </c>
      <c r="I66" s="40"/>
      <c r="J66" s="4">
        <f>R66+S66+IF(OR(H66="Junior",H66="Senior"),0.0002,IF(OR(H66="L7",H66="L6"),0.0001,0))+IF(G66="17-21",MAX(AA66,AC66,AF66),AE66)*0.0000001</f>
        <v>93.180208793999995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>P</v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87.94</v>
      </c>
      <c r="S66" s="4">
        <f>IF(G66="17-21",LARGE(CHOOSE({1,2,3,4,5,6},T66,V66,Y66,AA66,AC66,AF66),2),IF(R66=X66,MAX(Y66,AA66,AC66,AF66),IF(R66=AE66,MAX(AF66,T66,V66,Y66),0)))</f>
        <v>5.24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39.630000000000003</v>
      </c>
      <c r="AB66" s="37">
        <v>0</v>
      </c>
      <c r="AC66" s="33">
        <v>48.31</v>
      </c>
      <c r="AD66" s="37">
        <v>10.9</v>
      </c>
      <c r="AE66" s="4">
        <f>IF(H66="Senior",MAX(AA66,AC66),AA66+AC66)</f>
        <v>87.94</v>
      </c>
      <c r="AF66" s="33">
        <v>5.24</v>
      </c>
      <c r="AG66" s="37">
        <v>1.5</v>
      </c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225</v>
      </c>
      <c r="D67" t="str">
        <f>IF(E67="","",VLOOKUP(E67,'Coaching Points'!A:B,2,0))</f>
        <v>AB</v>
      </c>
      <c r="E67" s="35" t="s">
        <v>39</v>
      </c>
      <c r="F67" s="34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212</v>
      </c>
      <c r="I67" s="40"/>
      <c r="J67" s="4">
        <f>R67+S67+IF(OR(H67="Junior",H67="Senior"),0.0002,IF(OR(H67="L7",H67="L6"),0.0001,0))+IF(G67="17-21",MAX(AA67,AC67,AF67),AE67)*0.0000001</f>
        <v>78.640207864000004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78.64</v>
      </c>
      <c r="S67" s="4">
        <f>IF(G67="17-21",LARGE(CHOOSE({1,2,3,4,5,6},T67,V67,Y67,AA67,AC67,AF67),2),IF(R67=X67,MAX(Y67,AA67,AC67,AF67),IF(R67=AE67,MAX(AF67,T67,V67,Y67),0)))</f>
        <v>0</v>
      </c>
      <c r="T67" s="32"/>
      <c r="U67" s="37"/>
      <c r="V67" s="33"/>
      <c r="W67" s="37"/>
      <c r="X67" s="4">
        <f>IF(H67="Senior",MAX(T67,V67),T67+V67)</f>
        <v>0</v>
      </c>
      <c r="Y67" s="33"/>
      <c r="Z67" s="37"/>
      <c r="AA67" s="32">
        <v>37.64</v>
      </c>
      <c r="AB67" s="37">
        <v>0</v>
      </c>
      <c r="AC67" s="33">
        <v>41</v>
      </c>
      <c r="AD67" s="37">
        <v>8.3000000000000007</v>
      </c>
      <c r="AE67" s="4">
        <f>IF(H67="Senior",MAX(AA67,AC67),AA67+AC67)</f>
        <v>78.64</v>
      </c>
      <c r="AF67" s="33">
        <v>0</v>
      </c>
      <c r="AG67" s="37">
        <v>0</v>
      </c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259</v>
      </c>
      <c r="D68" t="str">
        <f>IF(E68="","",VLOOKUP(E68,'Coaching Points'!A:B,2,0))</f>
        <v>BC</v>
      </c>
      <c r="E68" s="35" t="s">
        <v>40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68.650005107000013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51.070000000000007</v>
      </c>
      <c r="S68" s="4">
        <f>IF(G68="17-21",LARGE(CHOOSE({1,2,3,4,5,6},T68,V68,Y68,AA68,AC68,AF68),2),IF(R68=X68,MAX(Y68,AA68,AC68,AF68),IF(R68=AE68,MAX(AF68,T68,V68,Y68),0)))</f>
        <v>17.579999999999998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33.590000000000003</v>
      </c>
      <c r="AB68" s="37">
        <v>0</v>
      </c>
      <c r="AC68" s="33">
        <v>17.48</v>
      </c>
      <c r="AD68" s="37">
        <v>4</v>
      </c>
      <c r="AE68" s="4">
        <f>IF(H68="Senior",MAX(AA68,AC68),AA68+AC68)</f>
        <v>51.070000000000007</v>
      </c>
      <c r="AF68" s="33">
        <v>17.579999999999998</v>
      </c>
      <c r="AG68" s="37">
        <v>4</v>
      </c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244</v>
      </c>
      <c r="D69" t="str">
        <f>IF(E69="","",VLOOKUP(E69,'Coaching Points'!A:B,2,0))</f>
        <v>AB</v>
      </c>
      <c r="E69" s="35" t="s">
        <v>56</v>
      </c>
      <c r="F69" s="34">
        <v>2012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128.350008229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82.289999999999992</v>
      </c>
      <c r="S69" s="4">
        <f>IF(G69="17-21",LARGE(CHOOSE({1,2,3,4,5,6},T69,V69,Y69,AA69,AC69,AF69),2),IF(R69=X69,MAX(Y69,AA69,AC69,AF69),IF(R69=AE69,MAX(AF69,T69,V69,Y69),0)))</f>
        <v>46.06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37.43</v>
      </c>
      <c r="AB69" s="37">
        <v>0</v>
      </c>
      <c r="AC69" s="33">
        <v>44.86</v>
      </c>
      <c r="AD69" s="37">
        <v>8.4</v>
      </c>
      <c r="AE69" s="4">
        <f>IF(H69="Senior",MAX(AA69,AC69),AA69+AC69)</f>
        <v>82.289999999999992</v>
      </c>
      <c r="AF69" s="33">
        <v>46.06</v>
      </c>
      <c r="AG69" s="37">
        <v>9</v>
      </c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246</v>
      </c>
      <c r="D70" t="str">
        <f>IF(E70="","",VLOOKUP(E70,'Coaching Points'!A:B,2,0))</f>
        <v>QC</v>
      </c>
      <c r="E70" s="35" t="s">
        <v>57</v>
      </c>
      <c r="F70" s="34">
        <v>2011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127.220008276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82.76</v>
      </c>
      <c r="S70" s="4">
        <f>IF(G70="17-21",LARGE(CHOOSE({1,2,3,4,5,6},T70,V70,Y70,AA70,AC70,AF70),2),IF(R70=X70,MAX(Y70,AA70,AC70,AF70),IF(R70=AE70,MAX(AF70,T70,V70,Y70),0)))</f>
        <v>44.46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37.17</v>
      </c>
      <c r="AB70" s="37">
        <v>0</v>
      </c>
      <c r="AC70" s="33">
        <v>45.59</v>
      </c>
      <c r="AD70" s="37">
        <v>7.7</v>
      </c>
      <c r="AE70" s="4">
        <f>IF(H70="Senior",MAX(AA70,AC70),AA70+AC70)</f>
        <v>82.76</v>
      </c>
      <c r="AF70" s="33">
        <v>44.46</v>
      </c>
      <c r="AG70" s="37">
        <v>7.7</v>
      </c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5" t="s">
        <v>247</v>
      </c>
      <c r="D71" t="str">
        <f>IF(E71="","",VLOOKUP(E71,'Coaching Points'!A:B,2,0))</f>
        <v>QC</v>
      </c>
      <c r="E71" s="35" t="s">
        <v>57</v>
      </c>
      <c r="F71" s="34">
        <v>2011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6" t="s">
        <v>215</v>
      </c>
      <c r="I71" s="40"/>
      <c r="J71" s="4">
        <f>R71+S71+IF(OR(H71="Junior",H71="Senior"),0.0002,IF(OR(H71="L7",H71="L6"),0.0001,0))+IF(G71="17-21",MAX(AA71,AC71,AF71),AE71)*0.0000001</f>
        <v>124.57000803700001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80.37</v>
      </c>
      <c r="S71" s="4">
        <f>IF(G71="17-21",LARGE(CHOOSE({1,2,3,4,5,6},T71,V71,Y71,AA71,AC71,AF71),2),IF(R71=X71,MAX(Y71,AA71,AC71,AF71),IF(R71=AE71,MAX(AF71,T71,V71,Y71),0)))</f>
        <v>44.2</v>
      </c>
      <c r="T71" s="32"/>
      <c r="U71" s="37"/>
      <c r="V71" s="33"/>
      <c r="W71" s="37"/>
      <c r="X71" s="4">
        <f>IF(H71="Senior",MAX(T71,V71),T71+V71)</f>
        <v>0</v>
      </c>
      <c r="Y71" s="33"/>
      <c r="Z71" s="37"/>
      <c r="AA71" s="32">
        <v>35.630000000000003</v>
      </c>
      <c r="AB71" s="37">
        <v>0</v>
      </c>
      <c r="AC71" s="33">
        <v>44.74</v>
      </c>
      <c r="AD71" s="37">
        <v>7.7</v>
      </c>
      <c r="AE71" s="4">
        <f>IF(H71="Senior",MAX(AA71,AC71),AA71+AC71)</f>
        <v>80.37</v>
      </c>
      <c r="AF71" s="33">
        <v>44.2</v>
      </c>
      <c r="AG71" s="37">
        <v>7.7</v>
      </c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5" t="s">
        <v>245</v>
      </c>
      <c r="D72" t="str">
        <f>IF(E72="","",VLOOKUP(E72,'Coaching Points'!A:B,2,0))</f>
        <v>AB</v>
      </c>
      <c r="E72" s="35" t="s">
        <v>39</v>
      </c>
      <c r="F72" s="34">
        <v>2011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6" t="s">
        <v>215</v>
      </c>
      <c r="I72" s="40"/>
      <c r="J72" s="4">
        <f>R72+S72+IF(OR(H72="Junior",H72="Senior"),0.0002,IF(OR(H72="L7",H72="L6"),0.0001,0))+IF(G72="17-21",MAX(AA72,AC72,AF72),AE72)*0.0000001</f>
        <v>120.590007571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75.710000000000008</v>
      </c>
      <c r="S72" s="4">
        <f>IF(G72="17-21",LARGE(CHOOSE({1,2,3,4,5,6},T72,V72,Y72,AA72,AC72,AF72),2),IF(R72=X72,MAX(Y72,AA72,AC72,AF72),IF(R72=AE72,MAX(AF72,T72,V72,Y72),0)))</f>
        <v>44.88</v>
      </c>
      <c r="T72" s="32"/>
      <c r="U72" s="37"/>
      <c r="V72" s="33"/>
      <c r="W72" s="37"/>
      <c r="X72" s="4">
        <f>IF(H72="Senior",MAX(T72,V72),T72+V72)</f>
        <v>0</v>
      </c>
      <c r="Y72" s="33"/>
      <c r="Z72" s="37"/>
      <c r="AA72" s="32">
        <v>35.32</v>
      </c>
      <c r="AB72" s="37">
        <v>0</v>
      </c>
      <c r="AC72" s="33">
        <v>40.39</v>
      </c>
      <c r="AD72" s="37">
        <v>7.9</v>
      </c>
      <c r="AE72" s="4">
        <f>IF(H72="Senior",MAX(AA72,AC72),AA72+AC72)</f>
        <v>75.710000000000008</v>
      </c>
      <c r="AF72" s="33">
        <v>44.88</v>
      </c>
      <c r="AG72" s="37">
        <v>8.5</v>
      </c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t="str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/>
      </c>
      <c r="C73" s="35" t="s">
        <v>248</v>
      </c>
      <c r="D73" t="str">
        <f>IF(E73="","",VLOOKUP(E73,'Coaching Points'!A:B,2,0))</f>
        <v>AB</v>
      </c>
      <c r="E73" s="35" t="s">
        <v>28</v>
      </c>
      <c r="F73" s="34">
        <v>2011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6" t="s">
        <v>215</v>
      </c>
      <c r="I73" s="40"/>
      <c r="J73" s="4">
        <f>R73+S73+IF(OR(H73="Junior",H73="Senior"),0.0002,IF(OR(H73="L7",H73="L6"),0.0001,0))+IF(G73="17-21",MAX(AA73,AC73,AF73),AE73)*0.0000001</f>
        <v>46.880004687999993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46.879999999999995</v>
      </c>
      <c r="S73" s="4">
        <f>IF(G73="17-21",LARGE(CHOOSE({1,2,3,4,5,6},T73,V73,Y73,AA73,AC73,AF73),2),IF(R73=X73,MAX(Y73,AA73,AC73,AF73),IF(R73=AE73,MAX(AF73,T73,V73,Y73),0)))</f>
        <v>0</v>
      </c>
      <c r="T73" s="32"/>
      <c r="U73" s="37"/>
      <c r="V73" s="33"/>
      <c r="W73" s="37"/>
      <c r="X73" s="4">
        <f>IF(H73="Senior",MAX(T73,V73),T73+V73)</f>
        <v>0</v>
      </c>
      <c r="Y73" s="33"/>
      <c r="Z73" s="37"/>
      <c r="AA73" s="32">
        <v>37.659999999999997</v>
      </c>
      <c r="AB73" s="37">
        <v>0</v>
      </c>
      <c r="AC73" s="33">
        <v>9.2200000000000006</v>
      </c>
      <c r="AD73" s="37">
        <v>1.8</v>
      </c>
      <c r="AE73" s="4">
        <f>IF(H73="Senior",MAX(AA73,AC73),AA73+AC73)</f>
        <v>46.879999999999995</v>
      </c>
      <c r="AF73" s="33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5" t="s">
        <v>249</v>
      </c>
      <c r="D74" t="str">
        <f>IF(E74="","",VLOOKUP(E74,'Coaching Points'!A:B,2,0))</f>
        <v>BC</v>
      </c>
      <c r="E74" s="35" t="s">
        <v>40</v>
      </c>
      <c r="F74" s="34">
        <v>2011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6" t="s">
        <v>215</v>
      </c>
      <c r="I74" s="40"/>
      <c r="J74" s="4">
        <f>R74+S74+IF(OR(H74="Junior",H74="Senior"),0.0002,IF(OR(H74="L7",H74="L6"),0.0001,0))+IF(G74="17-21",MAX(AA74,AC74,AF74),AE74)*0.0000001</f>
        <v>39.190003918999999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39.19</v>
      </c>
      <c r="S74" s="4">
        <f>IF(G74="17-21",LARGE(CHOOSE({1,2,3,4,5,6},T74,V74,Y74,AA74,AC74,AF74),2),IF(R74=X74,MAX(Y74,AA74,AC74,AF74),IF(R74=AE74,MAX(AF74,T74,V74,Y74),0)))</f>
        <v>0</v>
      </c>
      <c r="T74" s="32"/>
      <c r="U74" s="37"/>
      <c r="V74" s="33"/>
      <c r="W74" s="37"/>
      <c r="X74" s="4">
        <f>IF(H74="Senior",MAX(T74,V74),T74+V74)</f>
        <v>0</v>
      </c>
      <c r="Y74" s="33"/>
      <c r="Z74" s="37"/>
      <c r="AA74" s="32">
        <v>21.73</v>
      </c>
      <c r="AB74" s="37">
        <v>0</v>
      </c>
      <c r="AC74" s="33">
        <v>17.46</v>
      </c>
      <c r="AD74" s="37">
        <v>4</v>
      </c>
      <c r="AE74" s="4">
        <f>IF(H74="Senior",MAX(AA74,AC74),AA74+AC74)</f>
        <v>39.19</v>
      </c>
      <c r="AF74" s="33"/>
      <c r="AG74" s="37"/>
    </row>
    <row r="75" spans="1:33" x14ac:dyDescent="0.2">
      <c r="B75" s="1"/>
      <c r="D75"/>
      <c r="G75" s="1"/>
      <c r="H75" s="36"/>
      <c r="I75" s="40"/>
      <c r="J75" s="4"/>
      <c r="K75" s="3"/>
      <c r="L75" s="3"/>
      <c r="R75" s="4"/>
      <c r="S75" s="4"/>
      <c r="T75" s="32"/>
      <c r="U75" s="37"/>
      <c r="V75" s="33"/>
      <c r="W75" s="37"/>
      <c r="X75" s="4"/>
      <c r="Y75" s="33"/>
      <c r="Z75" s="37"/>
      <c r="AA75" s="32"/>
      <c r="AB75" s="37"/>
      <c r="AC75" s="33"/>
      <c r="AD75" s="37"/>
      <c r="AE75" s="4"/>
      <c r="AF75" s="33"/>
      <c r="AG75" s="37"/>
    </row>
    <row r="76" spans="1:33" x14ac:dyDescent="0.2">
      <c r="B76" s="1"/>
      <c r="D76"/>
      <c r="G76" s="1"/>
      <c r="H76" s="36"/>
      <c r="I76" s="40"/>
      <c r="J76" s="4"/>
      <c r="K76" s="3"/>
      <c r="L76" s="3"/>
      <c r="R76" s="4"/>
      <c r="S76" s="4"/>
      <c r="T76" s="32"/>
      <c r="U76" s="37"/>
      <c r="V76" s="33"/>
      <c r="W76" s="37"/>
      <c r="X76" s="4"/>
      <c r="Y76" s="33"/>
      <c r="Z76" s="37"/>
      <c r="AA76" s="32"/>
      <c r="AB76" s="37"/>
      <c r="AC76" s="33"/>
      <c r="AD76" s="37"/>
      <c r="AE76" s="4"/>
      <c r="AF76" s="33"/>
      <c r="AG76" s="37"/>
    </row>
    <row r="77" spans="1:33" x14ac:dyDescent="0.2">
      <c r="B77" s="1"/>
      <c r="D77"/>
      <c r="G77" s="1"/>
      <c r="H77" s="36"/>
      <c r="I77" s="40"/>
      <c r="J77" s="4"/>
      <c r="K77" s="3"/>
      <c r="L77" s="3"/>
      <c r="R77" s="4"/>
      <c r="S77" s="4"/>
      <c r="T77" s="32"/>
      <c r="U77" s="37"/>
      <c r="V77" s="33"/>
      <c r="W77" s="37"/>
      <c r="X77" s="4"/>
      <c r="Y77" s="33"/>
      <c r="Z77" s="37"/>
      <c r="AA77" s="32"/>
      <c r="AB77" s="37"/>
      <c r="AC77" s="33"/>
      <c r="AD77" s="37"/>
      <c r="AE77" s="4"/>
      <c r="AF77" s="33"/>
      <c r="AG77" s="37"/>
    </row>
    <row r="78" spans="1:33" x14ac:dyDescent="0.2">
      <c r="B78" s="1"/>
      <c r="D78"/>
      <c r="G78" s="1"/>
      <c r="H78" s="36"/>
      <c r="I78" s="40"/>
      <c r="J78" s="4"/>
      <c r="K78" s="3"/>
      <c r="L78" s="3"/>
      <c r="R78" s="4"/>
      <c r="S78" s="4"/>
      <c r="T78" s="32"/>
      <c r="U78" s="37"/>
      <c r="V78" s="33"/>
      <c r="W78" s="37"/>
      <c r="X78" s="4"/>
      <c r="Y78" s="33"/>
      <c r="Z78" s="37"/>
      <c r="AA78" s="32"/>
      <c r="AB78" s="37"/>
      <c r="AC78" s="33"/>
      <c r="AD78" s="37"/>
      <c r="AE78" s="4"/>
      <c r="AF78" s="33"/>
      <c r="AG78" s="37"/>
    </row>
    <row r="79" spans="1:33" x14ac:dyDescent="0.2">
      <c r="B79" s="1"/>
      <c r="D79"/>
      <c r="G79" s="1"/>
      <c r="H79" s="36"/>
      <c r="I79" s="40"/>
      <c r="J79" s="4"/>
      <c r="K79" s="3"/>
      <c r="L79" s="3"/>
      <c r="R79" s="4"/>
      <c r="S79" s="4"/>
      <c r="T79" s="32"/>
      <c r="U79" s="37"/>
      <c r="V79" s="33"/>
      <c r="W79" s="37"/>
      <c r="X79" s="4"/>
      <c r="Y79" s="33"/>
      <c r="Z79" s="37"/>
      <c r="AA79" s="32"/>
      <c r="AB79" s="37"/>
      <c r="AC79" s="33"/>
      <c r="AD79" s="37"/>
      <c r="AE79" s="4"/>
      <c r="AF79" s="33"/>
      <c r="AG79" s="37"/>
    </row>
    <row r="80" spans="1:33" x14ac:dyDescent="0.2">
      <c r="B80" s="1"/>
      <c r="D80"/>
      <c r="G80" s="1"/>
      <c r="H80" s="36"/>
      <c r="I80" s="40"/>
      <c r="J80" s="4"/>
      <c r="K80" s="3"/>
      <c r="L80" s="3"/>
      <c r="R80" s="4"/>
      <c r="S80" s="4"/>
      <c r="T80" s="32"/>
      <c r="U80" s="37"/>
      <c r="V80" s="33"/>
      <c r="W80" s="37"/>
      <c r="X80" s="4"/>
      <c r="Y80" s="33"/>
      <c r="Z80" s="37"/>
      <c r="AA80" s="32"/>
      <c r="AB80" s="37"/>
      <c r="AC80" s="33"/>
      <c r="AD80" s="37"/>
      <c r="AE80" s="4"/>
      <c r="AF80" s="33"/>
      <c r="AG80" s="37"/>
    </row>
    <row r="81" spans="2:33" x14ac:dyDescent="0.2">
      <c r="B81" s="1"/>
      <c r="D8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3"/>
      <c r="W81" s="37"/>
      <c r="X81" s="4"/>
      <c r="Y81" s="33"/>
      <c r="Z81" s="37"/>
      <c r="AA81" s="32"/>
      <c r="AB81" s="37"/>
      <c r="AC81" s="33"/>
      <c r="AD81" s="37"/>
      <c r="AE81" s="4"/>
      <c r="AF81" s="33"/>
      <c r="AG81" s="37"/>
    </row>
    <row r="82" spans="2:33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3"/>
      <c r="W82" s="37"/>
      <c r="X82" s="4"/>
      <c r="Y82" s="33"/>
      <c r="Z82" s="37"/>
      <c r="AA82" s="32"/>
      <c r="AB82" s="37"/>
      <c r="AC82" s="33"/>
      <c r="AD82" s="37"/>
      <c r="AE82" s="4"/>
      <c r="AF82" s="33"/>
      <c r="AG82" s="37"/>
    </row>
    <row r="83" spans="2:33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3"/>
      <c r="W83" s="37"/>
      <c r="X83" s="4"/>
      <c r="Y83" s="33"/>
      <c r="Z83" s="37"/>
      <c r="AA83" s="32"/>
      <c r="AB83" s="37"/>
      <c r="AC83" s="33"/>
      <c r="AD83" s="37"/>
      <c r="AE83" s="4"/>
      <c r="AF83" s="33"/>
      <c r="AG83" s="37"/>
    </row>
    <row r="84" spans="2:33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3"/>
      <c r="W84" s="37"/>
      <c r="X84" s="4"/>
      <c r="Y84" s="33"/>
      <c r="Z84" s="37"/>
      <c r="AA84" s="32"/>
      <c r="AB84" s="37"/>
      <c r="AC84" s="33"/>
      <c r="AD84" s="37"/>
      <c r="AE84" s="4"/>
      <c r="AF84" s="33"/>
      <c r="AG84" s="37"/>
    </row>
    <row r="85" spans="2:33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3"/>
      <c r="W85" s="37"/>
      <c r="X85" s="4"/>
      <c r="Y85" s="33"/>
      <c r="Z85" s="37"/>
      <c r="AA85" s="32"/>
      <c r="AB85" s="37"/>
      <c r="AC85" s="33"/>
      <c r="AD85" s="37"/>
      <c r="AE85" s="4"/>
      <c r="AF85" s="33"/>
      <c r="AG85" s="37"/>
    </row>
    <row r="86" spans="2:33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3"/>
      <c r="W86" s="37"/>
      <c r="X86" s="4"/>
      <c r="Y86" s="33"/>
      <c r="Z86" s="37"/>
      <c r="AA86" s="32"/>
      <c r="AB86" s="37"/>
      <c r="AC86" s="33"/>
      <c r="AD86" s="37"/>
      <c r="AE86" s="4"/>
      <c r="AF86" s="33"/>
      <c r="AG86" s="37"/>
    </row>
    <row r="87" spans="2:33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3"/>
      <c r="W87" s="37"/>
      <c r="X87" s="4"/>
      <c r="Y87" s="33"/>
      <c r="Z87" s="37"/>
      <c r="AA87" s="32"/>
      <c r="AB87" s="37"/>
      <c r="AC87" s="33"/>
      <c r="AD87" s="37"/>
      <c r="AE87" s="4"/>
      <c r="AF87" s="33"/>
      <c r="AG87" s="37"/>
    </row>
    <row r="88" spans="2:33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3"/>
      <c r="W88" s="37"/>
      <c r="X88" s="4"/>
      <c r="Y88" s="33"/>
      <c r="Z88" s="37"/>
      <c r="AA88" s="32"/>
      <c r="AB88" s="37"/>
      <c r="AC88" s="33"/>
      <c r="AD88" s="37"/>
      <c r="AE88" s="4"/>
      <c r="AF88" s="33"/>
      <c r="AG88" s="37"/>
    </row>
    <row r="89" spans="2:33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3"/>
      <c r="W89" s="37"/>
      <c r="X89" s="4"/>
      <c r="Y89" s="33"/>
      <c r="Z89" s="37"/>
      <c r="AA89" s="32"/>
      <c r="AB89" s="37"/>
      <c r="AC89" s="33"/>
      <c r="AD89" s="37"/>
      <c r="AE89" s="4"/>
      <c r="AF89" s="33"/>
      <c r="AG89" s="37"/>
    </row>
    <row r="90" spans="2:33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3"/>
      <c r="W90" s="37"/>
      <c r="X90" s="4"/>
      <c r="Y90" s="33"/>
      <c r="Z90" s="37"/>
      <c r="AA90" s="32"/>
      <c r="AB90" s="37"/>
      <c r="AC90" s="33"/>
      <c r="AD90" s="37"/>
      <c r="AE90" s="4"/>
      <c r="AF90" s="33"/>
      <c r="AG90" s="37"/>
    </row>
    <row r="91" spans="2:33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3"/>
      <c r="W91" s="37"/>
      <c r="X91" s="4"/>
      <c r="Y91" s="33"/>
      <c r="Z91" s="37"/>
      <c r="AA91" s="32"/>
      <c r="AB91" s="37"/>
      <c r="AC91" s="33"/>
      <c r="AD91" s="37"/>
      <c r="AE91" s="4"/>
      <c r="AF91" s="33"/>
      <c r="AG91" s="37"/>
    </row>
    <row r="92" spans="2:33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3"/>
      <c r="W92" s="37"/>
      <c r="X92" s="4"/>
      <c r="Y92" s="33"/>
      <c r="Z92" s="37"/>
      <c r="AA92" s="32"/>
      <c r="AB92" s="37"/>
      <c r="AC92" s="33"/>
      <c r="AD92" s="37"/>
      <c r="AE92" s="4"/>
      <c r="AF92" s="33"/>
      <c r="AG92" s="37"/>
    </row>
    <row r="93" spans="2:33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3"/>
      <c r="W93" s="37"/>
      <c r="X93" s="4"/>
      <c r="Y93" s="33"/>
      <c r="Z93" s="37"/>
      <c r="AA93" s="32"/>
      <c r="AB93" s="37"/>
      <c r="AC93" s="33"/>
      <c r="AD93" s="37"/>
      <c r="AE93" s="4"/>
      <c r="AF93" s="33"/>
      <c r="AG93" s="37"/>
    </row>
    <row r="94" spans="2:33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3"/>
      <c r="W94" s="37"/>
      <c r="X94" s="4"/>
      <c r="Y94" s="33"/>
      <c r="Z94" s="37"/>
      <c r="AA94" s="32"/>
      <c r="AB94" s="37"/>
      <c r="AC94" s="33"/>
      <c r="AD94" s="37"/>
      <c r="AE94" s="4"/>
      <c r="AF94" s="33"/>
      <c r="AG94" s="37"/>
    </row>
    <row r="95" spans="2:33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3"/>
      <c r="W95" s="37"/>
      <c r="X95" s="4"/>
      <c r="Y95" s="33"/>
      <c r="Z95" s="37"/>
      <c r="AA95" s="32"/>
      <c r="AB95" s="37"/>
      <c r="AC95" s="33"/>
      <c r="AD95" s="37"/>
      <c r="AE95" s="4"/>
      <c r="AF95" s="33"/>
      <c r="AG95" s="37"/>
    </row>
    <row r="96" spans="2:33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3"/>
      <c r="W96" s="37"/>
      <c r="X96" s="4"/>
      <c r="Y96" s="33"/>
      <c r="Z96" s="37"/>
      <c r="AA96" s="32"/>
      <c r="AB96" s="37"/>
      <c r="AC96" s="33"/>
      <c r="AD96" s="37"/>
      <c r="AE96" s="4"/>
      <c r="AF96" s="33"/>
      <c r="AG96" s="37"/>
    </row>
    <row r="97" spans="2:33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3"/>
      <c r="W97" s="37"/>
      <c r="X97" s="4"/>
      <c r="Y97" s="33"/>
      <c r="Z97" s="37"/>
      <c r="AA97" s="32"/>
      <c r="AB97" s="37"/>
      <c r="AC97" s="33"/>
      <c r="AD97" s="37"/>
      <c r="AE97" s="4"/>
      <c r="AF97" s="33"/>
      <c r="AG97" s="37"/>
    </row>
    <row r="98" spans="2:33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3"/>
      <c r="W98" s="37"/>
      <c r="X98" s="4"/>
      <c r="Y98" s="33"/>
      <c r="Z98" s="37"/>
      <c r="AA98" s="32"/>
      <c r="AB98" s="37"/>
      <c r="AC98" s="33"/>
      <c r="AD98" s="37"/>
      <c r="AE98" s="4"/>
      <c r="AF98" s="33"/>
      <c r="AG98" s="37"/>
    </row>
    <row r="99" spans="2:33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3"/>
      <c r="W99" s="37"/>
      <c r="X99" s="4"/>
      <c r="Y99" s="33"/>
      <c r="Z99" s="37"/>
      <c r="AA99" s="32"/>
      <c r="AB99" s="37"/>
      <c r="AC99" s="33"/>
      <c r="AD99" s="37"/>
      <c r="AE99" s="4"/>
      <c r="AF99" s="33"/>
      <c r="AG99" s="37"/>
    </row>
    <row r="100" spans="2:33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3"/>
      <c r="W100" s="37"/>
      <c r="X100" s="4"/>
      <c r="Y100" s="33"/>
      <c r="Z100" s="37"/>
      <c r="AA100" s="32"/>
      <c r="AB100" s="37"/>
      <c r="AC100" s="33"/>
      <c r="AD100" s="37"/>
      <c r="AE100" s="4"/>
      <c r="AF100" s="33"/>
      <c r="AG100" s="37"/>
    </row>
    <row r="101" spans="2:33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3"/>
      <c r="W101" s="37"/>
      <c r="X101" s="4"/>
      <c r="Y101" s="33"/>
      <c r="Z101" s="37"/>
      <c r="AA101" s="32"/>
      <c r="AB101" s="37"/>
      <c r="AC101" s="33"/>
      <c r="AD101" s="37"/>
      <c r="AE101" s="4"/>
      <c r="AF101" s="33"/>
      <c r="AG101" s="37"/>
    </row>
    <row r="102" spans="2:33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3"/>
      <c r="W102" s="37"/>
      <c r="X102" s="4"/>
      <c r="Y102" s="33"/>
      <c r="Z102" s="37"/>
      <c r="AA102" s="32"/>
      <c r="AB102" s="37"/>
      <c r="AC102" s="33"/>
      <c r="AD102" s="37"/>
      <c r="AE102" s="4"/>
      <c r="AF102" s="33"/>
      <c r="AG102" s="37"/>
    </row>
    <row r="103" spans="2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2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2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2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2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2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2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2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2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2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4">
      <sortCondition descending="1" ref="G1:G75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$10&lt;&gt;"")*(H$3:H$10=H3)*(K$3:K$10&gt;K3)*(J$3:J$10="P"))+1,IF(P3&lt;&gt;"",SUMPRODUCT((P$3:P$10&lt;&gt;"")*(Q$3:Q$10="")*(H$3:H$10=H3)*(K$3:K$10&gt;K3)*(J$3:J$10="P"))+SUMPRODUCT((Q$3:Q$10&lt;&gt;"")*(H$3:H$10=H3)*(J$3:J$10="P"))+1,IF(O3&lt;&gt;"",SUMPRODUCT((O$3:O$10&lt;&gt;"")*(H$3:H$10=H3)*(K$3:K$10&gt;K3)*(J$3:J$10="P"))+1,IF(N3="P",SUMPRODUCT((P$3:P$10&lt;&gt;"")*(Q$3:Q$10="")*(H$3:H$10=H3)*(J$3:J$10="P"))+SUMPRODUCT((Q$3:Q$10&lt;&gt;"")*(H$3:H$10=H3)*(J$3:J$10="P"))+SUMPRODUCT((O$3:O$10&lt;&gt;"")*(H$3:H$10=H3)*(J$3:J$10="P"))+SUMPRODUCT((Q$3:Q$10="")*(P$3:P$10="")*(O$3:O$10="")*(N$3:N$10="P")*(H$3:H$10=H3)*(K$3:K$10&gt;K3)*(J$3:J$10="P"))+IF(I3="L5",SUMPRODUCT((Q$3:Q$10="")*(P$3:P$10="")*(O$3:O$10="")*(N$3:N$10="P")*(H$3:H$10=H3)*(K$3:K$10&lt;K3)*(I$3:I$10&lt;&gt;I3)*(J$3:J$10="P")),-1*SUMPRODUCT((Q$3:Q$10="")*(P$3:P$10="")*(O$3:O$10="")*(N$3:N$10="P")*(H$3:H$10=H3)*(K$3:K$10&gt;K3)*(I$3:I$10="L5")*(J$3:J$10="P")))+1,"")))))</f>
        <v/>
      </c>
      <c r="B3" s="1" cm="1">
        <f t="array" ref="B3">IF(Q3&lt;&gt;"",SUMPRODUCT((Q$3:Q$10&lt;&gt;"")*(H$3:H$10=H3)*(K$3:K$10&gt;K3))+1,IF(P3&lt;&gt;"",SUMPRODUCT((P$3:P$10&lt;&gt;"")*(Q$3:Q$10="")*(H$3:H$10=H3)*(K$3:K$10&gt;K3))+SUMPRODUCT((Q$3:Q$10&lt;&gt;"")*(H$3:H$10=H3))+1,IF(O3&lt;&gt;"",SUMPRODUCT((O$3:O$10&lt;&gt;"")*(H$3:H$10=H3)*(K$3:K$10&gt;K3))+1,IF(N3="P",SUMPRODUCT((P$3:P$10&lt;&gt;"")*(Q$3:Q$10="")*(H$3:H$10=H3))+SUMPRODUCT((Q$3:Q$10&lt;&gt;"")*(H$3:H$10=H3))+SUMPRODUCT((O$3:O$10&lt;&gt;"")*(H$3:H$10=H3))+SUMPRODUCT((Q$3:Q$10="")*(P$3:P$10="")*(O$3:O$10="")*(N$3:N$10="P")*(H$3:H$10=H3)*(K$3:K$10&gt;K3))+IF(I3="L5",SUMPRODUCT((Q$3:Q$10="")*(P$3:P$10="")*(O$3:O$10="")*(N$3:N$10="P")*(H$3:H$10=H3)*(K$3:K$10&lt;K3)*(I$3:I$10&lt;&gt;I3)),-1*SUMPRODUCT((Q$3:Q$10="")*(P$3:P$10="")*(O$3:O$10="")*(N$3:N$10="P")*(H$3:H$10=H3)*(K$3:K$10&gt;K3)*(I$3:I$10="L5")))+1,""))))</f>
        <v>1</v>
      </c>
      <c r="C3" s="35" t="s">
        <v>378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211</v>
      </c>
      <c r="J3" s="40"/>
      <c r="K3" s="4">
        <f>S3+T3+IF(OR(I3="Junior",I3="Senior"),0.0002,IF(OR(I3="L7",I3="L6"),0.0001,0))+MAX(AB3,AD3,AG3)*0.0000001</f>
        <v>95.230200000000011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$10&lt;&gt;"")*(H$3:H$10=H4)*(K$3:K$10&gt;K4)*(J$3:J$10="P"))+1,IF(P4&lt;&gt;"",SUMPRODUCT((P$3:P$10&lt;&gt;"")*(Q$3:Q$10="")*(H$3:H$10=H4)*(K$3:K$10&gt;K4)*(J$3:J$10="P"))+SUMPRODUCT((Q$3:Q$10&lt;&gt;"")*(H$3:H$10=H4)*(J$3:J$10="P"))+1,IF(O4&lt;&gt;"",SUMPRODUCT((O$3:O$10&lt;&gt;"")*(H$3:H$10=H4)*(K$3:K$10&gt;K4)*(J$3:J$10="P"))+1,IF(N4="P",SUMPRODUCT((P$3:P$10&lt;&gt;"")*(Q$3:Q$10="")*(H$3:H$10=H4)*(J$3:J$10="P"))+SUMPRODUCT((Q$3:Q$10&lt;&gt;"")*(H$3:H$10=H4)*(J$3:J$10="P"))+SUMPRODUCT((O$3:O$10&lt;&gt;"")*(H$3:H$10=H4)*(J$3:J$10="P"))+SUMPRODUCT((Q$3:Q$10="")*(P$3:P$10="")*(O$3:O$10="")*(N$3:N$10="P")*(H$3:H$10=H4)*(K$3:K$10&gt;K4)*(J$3:J$10="P"))+IF(I4="L5",SUMPRODUCT((Q$3:Q$10="")*(P$3:P$10="")*(O$3:O$10="")*(N$3:N$10="P")*(H$3:H$10=H4)*(K$3:K$10&lt;K4)*(I$3:I$10&lt;&gt;I4)*(J$3:J$10="P")),-1*SUMPRODUCT((Q$3:Q$10="")*(P$3:P$10="")*(O$3:O$10="")*(N$3:N$10="P")*(H$3:H$10=H4)*(K$3:K$10&gt;K4)*(I$3:I$10="L5")*(J$3:J$10="P")))+1,"")))))</f>
        <v/>
      </c>
      <c r="B4" s="1" t="str" cm="1">
        <f t="array" ref="B4">IF(Q4&lt;&gt;"",SUMPRODUCT((Q$3:Q$10&lt;&gt;"")*(H$3:H$10=H4)*(K$3:K$10&gt;K4))+1,IF(P4&lt;&gt;"",SUMPRODUCT((P$3:P$10&lt;&gt;"")*(Q$3:Q$10="")*(H$3:H$10=H4)*(K$3:K$10&gt;K4))+SUMPRODUCT((Q$3:Q$10&lt;&gt;"")*(H$3:H$10=H4))+1,IF(O4&lt;&gt;"",SUMPRODUCT((O$3:O$10&lt;&gt;"")*(H$3:H$10=H4)*(K$3:K$10&gt;K4))+1,IF(N4="P",SUMPRODUCT((P$3:P$10&lt;&gt;"")*(Q$3:Q$10="")*(H$3:H$10=H4))+SUMPRODUCT((Q$3:Q$10&lt;&gt;"")*(H$3:H$10=H4))+SUMPRODUCT((O$3:O$10&lt;&gt;"")*(H$3:H$10=H4))+SUMPRODUCT((Q$3:Q$10="")*(P$3:P$10="")*(O$3:O$10="")*(N$3:N$10="P")*(H$3:H$10=H4)*(K$3:K$10&gt;K4))+IF(I4="L5",SUMPRODUCT((Q$3:Q$10="")*(P$3:P$10="")*(O$3:O$10="")*(N$3:N$10="P")*(H$3:H$10=H4)*(K$3:K$10&lt;K4)*(I$3:I$10&lt;&gt;I4)),-1*SUMPRODUCT((Q$3:Q$10="")*(P$3:P$10="")*(O$3:O$10="")*(N$3:N$10="P")*(H$3:H$10=H4)*(K$3:K$10&gt;K4)*(I$3:I$10="L5")))+1,""))))</f>
        <v/>
      </c>
      <c r="C4" s="35" t="s">
        <v>375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214</v>
      </c>
      <c r="J4" s="40"/>
      <c r="K4" s="4">
        <f>S4+T4+IF(OR(I4="Junior",I4="Senior"),0.0002,IF(OR(I4="L7",I4="L6"),0.0001,0))+MAX(AB4,AD4,AG4)*0.0000001</f>
        <v>84.250100000000003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$10&lt;&gt;"")*(H$3:H$10=H5)*(K$3:K$10&gt;K5)*(J$3:J$10="P"))+1,IF(P5&lt;&gt;"",SUMPRODUCT((P$3:P$10&lt;&gt;"")*(Q$3:Q$10="")*(H$3:H$10=H5)*(K$3:K$10&gt;K5)*(J$3:J$10="P"))+SUMPRODUCT((Q$3:Q$10&lt;&gt;"")*(H$3:H$10=H5)*(J$3:J$10="P"))+1,IF(O5&lt;&gt;"",SUMPRODUCT((O$3:O$10&lt;&gt;"")*(H$3:H$10=H5)*(K$3:K$10&gt;K5)*(J$3:J$10="P"))+1,IF(N5="P",SUMPRODUCT((P$3:P$10&lt;&gt;"")*(Q$3:Q$10="")*(H$3:H$10=H5)*(J$3:J$10="P"))+SUMPRODUCT((Q$3:Q$10&lt;&gt;"")*(H$3:H$10=H5)*(J$3:J$10="P"))+SUMPRODUCT((O$3:O$10&lt;&gt;"")*(H$3:H$10=H5)*(J$3:J$10="P"))+SUMPRODUCT((Q$3:Q$10="")*(P$3:P$10="")*(O$3:O$10="")*(N$3:N$10="P")*(H$3:H$10=H5)*(K$3:K$10&gt;K5)*(J$3:J$10="P"))+IF(I5="L5",SUMPRODUCT((Q$3:Q$10="")*(P$3:P$10="")*(O$3:O$10="")*(N$3:N$10="P")*(H$3:H$10=H5)*(K$3:K$10&lt;K5)*(I$3:I$10&lt;&gt;I5)*(J$3:J$10="P")),-1*SUMPRODUCT((Q$3:Q$10="")*(P$3:P$10="")*(O$3:O$10="")*(N$3:N$10="P")*(H$3:H$10=H5)*(K$3:K$10&gt;K5)*(I$3:I$10="L5")*(J$3:J$10="P")))+1,"")))))</f>
        <v/>
      </c>
      <c r="B5" s="1" t="str" cm="1">
        <f t="array" ref="B5">IF(Q5&lt;&gt;"",SUMPRODUCT((Q$3:Q$10&lt;&gt;"")*(H$3:H$10=H5)*(K$3:K$10&gt;K5))+1,IF(P5&lt;&gt;"",SUMPRODUCT((P$3:P$10&lt;&gt;"")*(Q$3:Q$10="")*(H$3:H$10=H5)*(K$3:K$10&gt;K5))+SUMPRODUCT((Q$3:Q$10&lt;&gt;"")*(H$3:H$10=H5))+1,IF(O5&lt;&gt;"",SUMPRODUCT((O$3:O$10&lt;&gt;"")*(H$3:H$10=H5)*(K$3:K$10&gt;K5))+1,IF(N5="P",SUMPRODUCT((P$3:P$10&lt;&gt;"")*(Q$3:Q$10="")*(H$3:H$10=H5))+SUMPRODUCT((Q$3:Q$10&lt;&gt;"")*(H$3:H$10=H5))+SUMPRODUCT((O$3:O$10&lt;&gt;"")*(H$3:H$10=H5))+SUMPRODUCT((Q$3:Q$10="")*(P$3:P$10="")*(O$3:O$10="")*(N$3:N$10="P")*(H$3:H$10=H5)*(K$3:K$10&gt;K5))+IF(I5="L5",SUMPRODUCT((Q$3:Q$10="")*(P$3:P$10="")*(O$3:O$10="")*(N$3:N$10="P")*(H$3:H$10=H5)*(K$3:K$10&lt;K5)*(I$3:I$10&lt;&gt;I5)),-1*SUMPRODUCT((Q$3:Q$10="")*(P$3:P$10="")*(O$3:O$10="")*(N$3:N$10="P")*(H$3:H$10=H5)*(K$3:K$10&gt;K5)*(I$3:I$10="L5")))+1,""))))</f>
        <v/>
      </c>
      <c r="C5" s="35" t="s">
        <v>379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211</v>
      </c>
      <c r="J5" s="40"/>
      <c r="K5" s="4">
        <f>S5+T5+IF(OR(I5="Junior",I5="Senior"),0.0002,IF(OR(I5="L7",I5="L6"),0.0001,0))+MAX(AB5,AD5,AG5)*0.0000001</f>
        <v>67.100200000000001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$10&lt;&gt;"")*(H$3:H$10=H6)*(K$3:K$10&gt;K6)*(J$3:J$10="P"))+1,IF(P6&lt;&gt;"",SUMPRODUCT((P$3:P$10&lt;&gt;"")*(Q$3:Q$10="")*(H$3:H$10=H6)*(K$3:K$10&gt;K6)*(J$3:J$10="P"))+SUMPRODUCT((Q$3:Q$10&lt;&gt;"")*(H$3:H$10=H6)*(J$3:J$10="P"))+1,IF(O6&lt;&gt;"",SUMPRODUCT((O$3:O$10&lt;&gt;"")*(H$3:H$10=H6)*(K$3:K$10&gt;K6)*(J$3:J$10="P"))+1,IF(N6="P",SUMPRODUCT((P$3:P$10&lt;&gt;"")*(Q$3:Q$10="")*(H$3:H$10=H6)*(J$3:J$10="P"))+SUMPRODUCT((Q$3:Q$10&lt;&gt;"")*(H$3:H$10=H6)*(J$3:J$10="P"))+SUMPRODUCT((O$3:O$10&lt;&gt;"")*(H$3:H$10=H6)*(J$3:J$10="P"))+SUMPRODUCT((Q$3:Q$10="")*(P$3:P$10="")*(O$3:O$10="")*(N$3:N$10="P")*(H$3:H$10=H6)*(K$3:K$10&gt;K6)*(J$3:J$10="P"))+IF(I6="L5",SUMPRODUCT((Q$3:Q$10="")*(P$3:P$10="")*(O$3:O$10="")*(N$3:N$10="P")*(H$3:H$10=H6)*(K$3:K$10&lt;K6)*(I$3:I$10&lt;&gt;I6)*(J$3:J$10="P")),-1*SUMPRODUCT((Q$3:Q$10="")*(P$3:P$10="")*(O$3:O$10="")*(N$3:N$10="P")*(H$3:H$10=H6)*(K$3:K$10&gt;K6)*(I$3:I$10="L5")*(J$3:J$10="P")))+1,"")))))</f>
        <v/>
      </c>
      <c r="B6" s="1" t="str" cm="1">
        <f t="array" ref="B6">IF(Q6&lt;&gt;"",SUMPRODUCT((Q$3:Q$10&lt;&gt;"")*(H$3:H$10=H6)*(K$3:K$10&gt;K6))+1,IF(P6&lt;&gt;"",SUMPRODUCT((P$3:P$10&lt;&gt;"")*(Q$3:Q$10="")*(H$3:H$10=H6)*(K$3:K$10&gt;K6))+SUMPRODUCT((Q$3:Q$10&lt;&gt;"")*(H$3:H$10=H6))+1,IF(O6&lt;&gt;"",SUMPRODUCT((O$3:O$10&lt;&gt;"")*(H$3:H$10=H6)*(K$3:K$10&gt;K6))+1,IF(N6="P",SUMPRODUCT((P$3:P$10&lt;&gt;"")*(Q$3:Q$10="")*(H$3:H$10=H6))+SUMPRODUCT((Q$3:Q$10&lt;&gt;"")*(H$3:H$10=H6))+SUMPRODUCT((O$3:O$10&lt;&gt;"")*(H$3:H$10=H6))+SUMPRODUCT((Q$3:Q$10="")*(P$3:P$10="")*(O$3:O$10="")*(N$3:N$10="P")*(H$3:H$10=H6)*(K$3:K$10&gt;K6))+IF(I6="L5",SUMPRODUCT((Q$3:Q$10="")*(P$3:P$10="")*(O$3:O$10="")*(N$3:N$10="P")*(H$3:H$10=H6)*(K$3:K$10&lt;K6)*(I$3:I$10&lt;&gt;I6)),-1*SUMPRODUCT((Q$3:Q$10="")*(P$3:P$10="")*(O$3:O$10="")*(N$3:N$10="P")*(H$3:H$10=H6)*(K$3:K$10&gt;K6)*(I$3:I$10="L5")))+1,""))))</f>
        <v/>
      </c>
      <c r="C6" s="35" t="s">
        <v>380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211</v>
      </c>
      <c r="J6" s="40"/>
      <c r="K6" s="4">
        <f>S6+T6+IF(OR(I6="Junior",I6="Senior"),0.0002,IF(OR(I6="L7",I6="L6"),0.0001,0))+MAX(AB6,AD6,AG6)*0.0000001</f>
        <v>18.530200000000001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13.98</v>
      </c>
      <c r="T6" s="4">
        <f>LARGE(CHOOSE({1,2,3,4,5,6},U6,W6,Z6,AB6,AD6,AG6),2)</f>
        <v>4.55</v>
      </c>
      <c r="U6" s="32">
        <v>13.98</v>
      </c>
      <c r="V6" s="37">
        <v>4.3</v>
      </c>
      <c r="W6" s="33">
        <v>4.55</v>
      </c>
      <c r="X6" s="37">
        <v>1.7</v>
      </c>
      <c r="Y6" s="4">
        <f>IF(I6="Senior",MAX(U6,W6),U6+W6)</f>
        <v>13.98</v>
      </c>
      <c r="Z6" s="33"/>
      <c r="AA6" s="37"/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$10&lt;&gt;"")*(H$3:H$10=H7)*(K$3:K$10&gt;K7)*(J$3:J$10="P"))+1,IF(P7&lt;&gt;"",SUMPRODUCT((P$3:P$10&lt;&gt;"")*(Q$3:Q$10="")*(H$3:H$10=H7)*(K$3:K$10&gt;K7)*(J$3:J$10="P"))+SUMPRODUCT((Q$3:Q$10&lt;&gt;"")*(H$3:H$10=H7)*(J$3:J$10="P"))+1,IF(O7&lt;&gt;"",SUMPRODUCT((O$3:O$10&lt;&gt;"")*(H$3:H$10=H7)*(K$3:K$10&gt;K7)*(J$3:J$10="P"))+1,IF(N7="P",SUMPRODUCT((P$3:P$10&lt;&gt;"")*(Q$3:Q$10="")*(H$3:H$10=H7)*(J$3:J$10="P"))+SUMPRODUCT((Q$3:Q$10&lt;&gt;"")*(H$3:H$10=H7)*(J$3:J$10="P"))+SUMPRODUCT((O$3:O$10&lt;&gt;"")*(H$3:H$10=H7)*(J$3:J$10="P"))+SUMPRODUCT((Q$3:Q$10="")*(P$3:P$10="")*(O$3:O$10="")*(N$3:N$10="P")*(H$3:H$10=H7)*(K$3:K$10&gt;K7)*(J$3:J$10="P"))+IF(I7="L5",SUMPRODUCT((Q$3:Q$10="")*(P$3:P$10="")*(O$3:O$10="")*(N$3:N$10="P")*(H$3:H$10=H7)*(K$3:K$10&lt;K7)*(I$3:I$10&lt;&gt;I7)*(J$3:J$10="P")),-1*SUMPRODUCT((Q$3:Q$10="")*(P$3:P$10="")*(O$3:O$10="")*(N$3:N$10="P")*(H$3:H$10=H7)*(K$3:K$10&gt;K7)*(I$3:I$10="L5")*(J$3:J$10="P")))+1,"")))))</f>
        <v/>
      </c>
      <c r="B7" s="1" t="str" cm="1">
        <f t="array" ref="B7">IF(Q7&lt;&gt;"",SUMPRODUCT((Q$3:Q$10&lt;&gt;"")*(H$3:H$10=H7)*(K$3:K$10&gt;K7))+1,IF(P7&lt;&gt;"",SUMPRODUCT((P$3:P$10&lt;&gt;"")*(Q$3:Q$10="")*(H$3:H$10=H7)*(K$3:K$10&gt;K7))+SUMPRODUCT((Q$3:Q$10&lt;&gt;"")*(H$3:H$10=H7))+1,IF(O7&lt;&gt;"",SUMPRODUCT((O$3:O$10&lt;&gt;"")*(H$3:H$10=H7)*(K$3:K$10&gt;K7))+1,IF(N7="P",SUMPRODUCT((P$3:P$10&lt;&gt;"")*(Q$3:Q$10="")*(H$3:H$10=H7))+SUMPRODUCT((Q$3:Q$10&lt;&gt;"")*(H$3:H$10=H7))+SUMPRODUCT((O$3:O$10&lt;&gt;"")*(H$3:H$10=H7))+SUMPRODUCT((Q$3:Q$10="")*(P$3:P$10="")*(O$3:O$10="")*(N$3:N$10="P")*(H$3:H$10=H7)*(K$3:K$10&gt;K7))+IF(I7="L5",SUMPRODUCT((Q$3:Q$10="")*(P$3:P$10="")*(O$3:O$10="")*(N$3:N$10="P")*(H$3:H$10=H7)*(K$3:K$10&lt;K7)*(I$3:I$10&lt;&gt;I7)),-1*SUMPRODUCT((Q$3:Q$10="")*(P$3:P$10="")*(O$3:O$10="")*(N$3:N$10="P")*(H$3:H$10=H7)*(K$3:K$10&gt;K7)*(I$3:I$10="L5")))+1,""))))</f>
        <v/>
      </c>
      <c r="C7" s="35" t="s">
        <v>377</v>
      </c>
      <c r="D7" t="str">
        <f>IF(E7="","",VLOOKUP(E7,'Coaching Points'!A:B,2,0)&amp;"/"&amp;VLOOKUP(F7,'Coaching Points'!A:B,2,0))</f>
        <v>BC/BC</v>
      </c>
      <c r="E7" s="35" t="s">
        <v>40</v>
      </c>
      <c r="F7" s="35" t="s">
        <v>40</v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214</v>
      </c>
      <c r="J7" s="40"/>
      <c r="K7" s="4">
        <f>S7+T7+IF(OR(I7="Junior",I7="Senior"),0.0002,IF(OR(I7="L7",I7="L6"),0.0001,0))+MAX(AB7,AD7,AG7)*0.0000001</f>
        <v>8.7500999999999998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8.75</v>
      </c>
      <c r="T7" s="4">
        <f>LARGE(CHOOSE({1,2,3,4,5,6},U7,W7,Z7,AB7,AD7,AG7),2)</f>
        <v>0</v>
      </c>
      <c r="U7" s="32">
        <v>8.75</v>
      </c>
      <c r="V7" s="37">
        <v>1.9</v>
      </c>
      <c r="W7" s="33"/>
      <c r="X7" s="37"/>
      <c r="Y7" s="4">
        <f>IF(I7="Senior",MAX(U7,W7),U7+W7)</f>
        <v>8.75</v>
      </c>
      <c r="Z7" s="33"/>
      <c r="AA7" s="37"/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$10&lt;&gt;"")*(H$3:H$10=H8)*(K$3:K$10&gt;K8)*(J$3:J$10="P"))+1,IF(P8&lt;&gt;"",SUMPRODUCT((P$3:P$10&lt;&gt;"")*(Q$3:Q$10="")*(H$3:H$10=H8)*(K$3:K$10&gt;K8)*(J$3:J$10="P"))+SUMPRODUCT((Q$3:Q$10&lt;&gt;"")*(H$3:H$10=H8)*(J$3:J$10="P"))+1,IF(O8&lt;&gt;"",SUMPRODUCT((O$3:O$10&lt;&gt;"")*(H$3:H$10=H8)*(K$3:K$10&gt;K8)*(J$3:J$10="P"))+1,IF(N8="P",SUMPRODUCT((P$3:P$10&lt;&gt;"")*(Q$3:Q$10="")*(H$3:H$10=H8)*(J$3:J$10="P"))+SUMPRODUCT((Q$3:Q$10&lt;&gt;"")*(H$3:H$10=H8)*(J$3:J$10="P"))+SUMPRODUCT((O$3:O$10&lt;&gt;"")*(H$3:H$10=H8)*(J$3:J$10="P"))+SUMPRODUCT((Q$3:Q$10="")*(P$3:P$10="")*(O$3:O$10="")*(N$3:N$10="P")*(H$3:H$10=H8)*(K$3:K$10&gt;K8)*(J$3:J$10="P"))+IF(I8="L5",SUMPRODUCT((Q$3:Q$10="")*(P$3:P$10="")*(O$3:O$10="")*(N$3:N$10="P")*(H$3:H$10=H8)*(K$3:K$10&lt;K8)*(I$3:I$10&lt;&gt;I8)*(J$3:J$10="P")),-1*SUMPRODUCT((Q$3:Q$10="")*(P$3:P$10="")*(O$3:O$10="")*(N$3:N$10="P")*(H$3:H$10=H8)*(K$3:K$10&gt;K8)*(I$3:I$10="L5")*(J$3:J$10="P")))+1,"")))))</f>
        <v/>
      </c>
      <c r="B8" s="1" t="str" cm="1">
        <f t="array" ref="B8">IF(Q8&lt;&gt;"",SUMPRODUCT((Q$3:Q$10&lt;&gt;"")*(H$3:H$10=H8)*(K$3:K$10&gt;K8))+1,IF(P8&lt;&gt;"",SUMPRODUCT((P$3:P$10&lt;&gt;"")*(Q$3:Q$10="")*(H$3:H$10=H8)*(K$3:K$10&gt;K8))+SUMPRODUCT((Q$3:Q$10&lt;&gt;"")*(H$3:H$10=H8))+1,IF(O8&lt;&gt;"",SUMPRODUCT((O$3:O$10&lt;&gt;"")*(H$3:H$10=H8)*(K$3:K$10&gt;K8))+1,IF(N8="P",SUMPRODUCT((P$3:P$10&lt;&gt;"")*(Q$3:Q$10="")*(H$3:H$10=H8))+SUMPRODUCT((Q$3:Q$10&lt;&gt;"")*(H$3:H$10=H8))+SUMPRODUCT((O$3:O$10&lt;&gt;"")*(H$3:H$10=H8))+SUMPRODUCT((Q$3:Q$10="")*(P$3:P$10="")*(O$3:O$10="")*(N$3:N$10="P")*(H$3:H$10=H8)*(K$3:K$10&gt;K8))+IF(I8="L5",SUMPRODUCT((Q$3:Q$10="")*(P$3:P$10="")*(O$3:O$10="")*(N$3:N$10="P")*(H$3:H$10=H8)*(K$3:K$10&lt;K8)*(I$3:I$10&lt;&gt;I8)),-1*SUMPRODUCT((Q$3:Q$10="")*(P$3:P$10="")*(O$3:O$10="")*(N$3:N$10="P")*(H$3:H$10=H8)*(K$3:K$10&gt;K8)*(I$3:I$10="L5")))+1,""))))</f>
        <v/>
      </c>
      <c r="C8" s="35" t="s">
        <v>374</v>
      </c>
      <c r="D8" t="str">
        <f>IF(E8="","",VLOOKUP(E8,'Coaching Points'!A:B,2,0)&amp;"/"&amp;VLOOKUP(F8,'Coaching Points'!A:B,2,0))</f>
        <v>NS/NS</v>
      </c>
      <c r="E8" s="35" t="s">
        <v>86</v>
      </c>
      <c r="F8" s="35" t="s">
        <v>86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215</v>
      </c>
      <c r="J8" s="40"/>
      <c r="K8" s="4">
        <f>S8+T8+IF(OR(I8="Junior",I8="Senior"),0.0002,IF(OR(I8="L7",I8="L6"),0.0001,0))+MAX(AB8,AD8,AG8)*0.0000001</f>
        <v>0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0</v>
      </c>
      <c r="T8" s="4">
        <f>LARGE(CHOOSE({1,2,3,4,5,6},U8,W8,Z8,AB8,AD8,AG8),2)</f>
        <v>0</v>
      </c>
      <c r="U8" s="32">
        <v>0</v>
      </c>
      <c r="V8" s="37">
        <v>0</v>
      </c>
      <c r="W8" s="33"/>
      <c r="X8" s="37"/>
      <c r="Y8" s="4">
        <f>IF(I8="Senior",MAX(U8,W8),U8+W8)</f>
        <v>0</v>
      </c>
      <c r="Z8" s="33"/>
      <c r="AA8" s="37"/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$10&lt;&gt;"")*(H$3:H$10=H9)*(K$3:K$10&gt;K9)*(J$3:J$10="P"))+1,IF(P9&lt;&gt;"",SUMPRODUCT((P$3:P$10&lt;&gt;"")*(Q$3:Q$10="")*(H$3:H$10=H9)*(K$3:K$10&gt;K9)*(J$3:J$10="P"))+SUMPRODUCT((Q$3:Q$10&lt;&gt;"")*(H$3:H$10=H9)*(J$3:J$10="P"))+1,IF(O9&lt;&gt;"",SUMPRODUCT((O$3:O$10&lt;&gt;"")*(H$3:H$10=H9)*(K$3:K$10&gt;K9)*(J$3:J$10="P"))+1,IF(N9="P",SUMPRODUCT((P$3:P$10&lt;&gt;"")*(Q$3:Q$10="")*(H$3:H$10=H9)*(J$3:J$10="P"))+SUMPRODUCT((Q$3:Q$10&lt;&gt;"")*(H$3:H$10=H9)*(J$3:J$10="P"))+SUMPRODUCT((O$3:O$10&lt;&gt;"")*(H$3:H$10=H9)*(J$3:J$10="P"))+SUMPRODUCT((Q$3:Q$10="")*(P$3:P$10="")*(O$3:O$10="")*(N$3:N$10="P")*(H$3:H$10=H9)*(K$3:K$10&gt;K9)*(J$3:J$10="P"))+IF(I9="L5",SUMPRODUCT((Q$3:Q$10="")*(P$3:P$10="")*(O$3:O$10="")*(N$3:N$10="P")*(H$3:H$10=H9)*(K$3:K$10&lt;K9)*(I$3:I$10&lt;&gt;I9)*(J$3:J$10="P")),-1*SUMPRODUCT((Q$3:Q$10="")*(P$3:P$10="")*(O$3:O$10="")*(N$3:N$10="P")*(H$3:H$10=H9)*(K$3:K$10&gt;K9)*(I$3:I$10="L5")*(J$3:J$10="P")))+1,"")))))</f>
        <v/>
      </c>
      <c r="B9" s="1" t="str" cm="1">
        <f t="array" ref="B9">IF(Q9&lt;&gt;"",SUMPRODUCT((Q$3:Q$10&lt;&gt;"")*(H$3:H$10=H9)*(K$3:K$10&gt;K9))+1,IF(P9&lt;&gt;"",SUMPRODUCT((P$3:P$10&lt;&gt;"")*(Q$3:Q$10="")*(H$3:H$10=H9)*(K$3:K$10&gt;K9))+SUMPRODUCT((Q$3:Q$10&lt;&gt;"")*(H$3:H$10=H9))+1,IF(O9&lt;&gt;"",SUMPRODUCT((O$3:O$10&lt;&gt;"")*(H$3:H$10=H9)*(K$3:K$10&gt;K9))+1,IF(N9="P",SUMPRODUCT((P$3:P$10&lt;&gt;"")*(Q$3:Q$10="")*(H$3:H$10=H9))+SUMPRODUCT((Q$3:Q$10&lt;&gt;"")*(H$3:H$10=H9))+SUMPRODUCT((O$3:O$10&lt;&gt;"")*(H$3:H$10=H9))+SUMPRODUCT((Q$3:Q$10="")*(P$3:P$10="")*(O$3:O$10="")*(N$3:N$10="P")*(H$3:H$10=H9)*(K$3:K$10&gt;K9))+IF(I9="L5",SUMPRODUCT((Q$3:Q$10="")*(P$3:P$10="")*(O$3:O$10="")*(N$3:N$10="P")*(H$3:H$10=H9)*(K$3:K$10&lt;K9)*(I$3:I$10&lt;&gt;I9)),-1*SUMPRODUCT((Q$3:Q$10="")*(P$3:P$10="")*(O$3:O$10="")*(N$3:N$10="P")*(H$3:H$10=H9)*(K$3:K$10&gt;K9)*(I$3:I$10="L5")))+1,""))))</f>
        <v/>
      </c>
      <c r="C9" s="35" t="s">
        <v>376</v>
      </c>
      <c r="D9" t="str">
        <f>IF(E9="","",VLOOKUP(E9,'Coaching Points'!A:B,2,0)&amp;"/"&amp;VLOOKUP(F9,'Coaching Points'!A:B,2,0))</f>
        <v>QC/QC</v>
      </c>
      <c r="E9" s="35" t="s">
        <v>125</v>
      </c>
      <c r="F9" s="35" t="s">
        <v>210</v>
      </c>
      <c r="G9" s="34">
        <v>2009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15-16</v>
      </c>
      <c r="I9" s="36" t="s">
        <v>214</v>
      </c>
      <c r="J9" s="40"/>
      <c r="K9" s="4">
        <f>S9+T9+IF(OR(I9="Junior",I9="Senior"),0.0002,IF(OR(I9="L7",I9="L6"),0.0001,0))+MAX(AB9,AD9,AG9)*0.0000001</f>
        <v>22.1601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22.16</v>
      </c>
      <c r="T9" s="4">
        <f>LARGE(CHOOSE({1,2,3,4,5,6},U9,W9,Z9,AB9,AD9,AG9),2)</f>
        <v>0</v>
      </c>
      <c r="U9" s="32">
        <v>22.16</v>
      </c>
      <c r="V9" s="37">
        <v>4.9000000000000004</v>
      </c>
      <c r="W9" s="33"/>
      <c r="X9" s="37"/>
      <c r="Y9" s="4">
        <f>IF(I9="Senior",MAX(U9,W9),U9+W9)</f>
        <v>22.16</v>
      </c>
      <c r="Z9" s="33"/>
      <c r="AA9" s="37"/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$10&lt;&gt;"")*(H$3:H$10=H10)*(K$3:K$10&gt;K10)*(J$3:J$10="P"))+1,IF(P10&lt;&gt;"",SUMPRODUCT((P$3:P$10&lt;&gt;"")*(Q$3:Q$10="")*(H$3:H$10=H10)*(K$3:K$10&gt;K10)*(J$3:J$10="P"))+SUMPRODUCT((Q$3:Q$10&lt;&gt;"")*(H$3:H$10=H10)*(J$3:J$10="P"))+1,IF(O10&lt;&gt;"",SUMPRODUCT((O$3:O$10&lt;&gt;"")*(H$3:H$10=H10)*(K$3:K$10&gt;K10)*(J$3:J$10="P"))+1,IF(N10="P",SUMPRODUCT((P$3:P$10&lt;&gt;"")*(Q$3:Q$10="")*(H$3:H$10=H10)*(J$3:J$10="P"))+SUMPRODUCT((Q$3:Q$10&lt;&gt;"")*(H$3:H$10=H10)*(J$3:J$10="P"))+SUMPRODUCT((O$3:O$10&lt;&gt;"")*(H$3:H$10=H10)*(J$3:J$10="P"))+SUMPRODUCT((Q$3:Q$10="")*(P$3:P$10="")*(O$3:O$10="")*(N$3:N$10="P")*(H$3:H$10=H10)*(K$3:K$10&gt;K10)*(J$3:J$10="P"))+IF(I10="L5",SUMPRODUCT((Q$3:Q$10="")*(P$3:P$10="")*(O$3:O$10="")*(N$3:N$10="P")*(H$3:H$10=H10)*(K$3:K$10&lt;K10)*(I$3:I$10&lt;&gt;I10)*(J$3:J$10="P")),-1*SUMPRODUCT((Q$3:Q$10="")*(P$3:P$10="")*(O$3:O$10="")*(N$3:N$10="P")*(H$3:H$10=H10)*(K$3:K$10&gt;K10)*(I$3:I$10="L5")*(J$3:J$10="P")))+1,"")))))</f>
        <v/>
      </c>
      <c r="B10" s="1" t="str" cm="1">
        <f t="array" ref="B10">IF(Q10&lt;&gt;"",SUMPRODUCT((Q$3:Q$10&lt;&gt;"")*(H$3:H$10=H10)*(K$3:K$10&gt;K10))+1,IF(P10&lt;&gt;"",SUMPRODUCT((P$3:P$10&lt;&gt;"")*(Q$3:Q$10="")*(H$3:H$10=H10)*(K$3:K$10&gt;K10))+SUMPRODUCT((Q$3:Q$10&lt;&gt;"")*(H$3:H$10=H10))+1,IF(O10&lt;&gt;"",SUMPRODUCT((O$3:O$10&lt;&gt;"")*(H$3:H$10=H10)*(K$3:K$10&gt;K10))+1,IF(N10="P",SUMPRODUCT((P$3:P$10&lt;&gt;"")*(Q$3:Q$10="")*(H$3:H$10=H10))+SUMPRODUCT((Q$3:Q$10&lt;&gt;"")*(H$3:H$10=H10))+SUMPRODUCT((O$3:O$10&lt;&gt;"")*(H$3:H$10=H10))+SUMPRODUCT((Q$3:Q$10="")*(P$3:P$10="")*(O$3:O$10="")*(N$3:N$10="P")*(H$3:H$10=H10)*(K$3:K$10&gt;K10))+IF(I10="L5",SUMPRODUCT((Q$3:Q$10="")*(P$3:P$10="")*(O$3:O$10="")*(N$3:N$10="P")*(H$3:H$10=H10)*(K$3:K$10&lt;K10)*(I$3:I$10&lt;&gt;I10)),-1*SUMPRODUCT((Q$3:Q$10="")*(P$3:P$10="")*(O$3:O$10="")*(N$3:N$10="P")*(H$3:H$10=H10)*(K$3:K$10&gt;K10)*(I$3:I$10="L5")))+1,""))))</f>
        <v/>
      </c>
      <c r="C10" s="35" t="s">
        <v>373</v>
      </c>
      <c r="D10" t="str">
        <f>IF(E10="","",VLOOKUP(E10,'Coaching Points'!A:B,2,0)&amp;"/"&amp;VLOOKUP(F10,'Coaching Points'!A:B,2,0))</f>
        <v>BC/BC</v>
      </c>
      <c r="E10" s="35" t="s">
        <v>40</v>
      </c>
      <c r="F10" s="35" t="s">
        <v>128</v>
      </c>
      <c r="G10" s="34">
        <v>2012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13-14</v>
      </c>
      <c r="I10" s="36" t="s">
        <v>215</v>
      </c>
      <c r="J10" s="40"/>
      <c r="K10" s="4">
        <f>S10+T10+IF(OR(I10="Junior",I10="Senior"),0.0002,IF(OR(I10="L7",I10="L6"),0.0001,0))+MAX(AB10,AD10,AG10)*0.0000001</f>
        <v>67.180000000000007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>P</v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42.45</v>
      </c>
      <c r="T10" s="4">
        <f>LARGE(CHOOSE({1,2,3,4,5,6},U10,W10,Z10,AB10,AD10,AG10),2)</f>
        <v>24.73</v>
      </c>
      <c r="U10" s="32">
        <v>42.45</v>
      </c>
      <c r="V10" s="37">
        <v>8.8000000000000007</v>
      </c>
      <c r="W10" s="33"/>
      <c r="X10" s="37"/>
      <c r="Y10" s="4">
        <f>IF(I10="Senior",MAX(U10,W10),U10+W10)</f>
        <v>42.45</v>
      </c>
      <c r="Z10" s="33">
        <v>24.73</v>
      </c>
      <c r="AA10" s="37">
        <v>8.8000000000000007</v>
      </c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B11" s="1"/>
      <c r="H11" s="1"/>
      <c r="I11" s="36"/>
      <c r="J11" s="40"/>
      <c r="K11" s="4"/>
      <c r="L11" s="3"/>
      <c r="M11" s="3"/>
      <c r="S11" s="4"/>
      <c r="T11" s="4"/>
      <c r="U11" s="32"/>
      <c r="V11" s="37"/>
      <c r="W11" s="33"/>
      <c r="X11" s="37"/>
      <c r="Y11" s="4"/>
      <c r="Z11" s="33"/>
      <c r="AA11" s="37"/>
      <c r="AB11" s="32"/>
      <c r="AC11" s="37"/>
      <c r="AD11" s="33"/>
      <c r="AE11" s="37"/>
      <c r="AF11" s="4"/>
      <c r="AG11" s="33"/>
      <c r="AH11" s="37"/>
    </row>
    <row r="12" spans="1:35" x14ac:dyDescent="0.2">
      <c r="B12" s="1"/>
      <c r="H12" s="1"/>
      <c r="I12" s="36"/>
      <c r="J12" s="40"/>
      <c r="K12" s="4"/>
      <c r="L12" s="3"/>
      <c r="M12" s="3"/>
      <c r="S12" s="4"/>
      <c r="T12" s="4"/>
      <c r="U12" s="32"/>
      <c r="V12" s="37"/>
      <c r="W12" s="33"/>
      <c r="X12" s="37"/>
      <c r="Y12" s="4"/>
      <c r="Z12" s="33"/>
      <c r="AA12" s="37"/>
      <c r="AB12" s="32"/>
      <c r="AC12" s="37"/>
      <c r="AD12" s="33"/>
      <c r="AE12" s="37"/>
      <c r="AF12" s="4"/>
      <c r="AG12" s="33"/>
      <c r="AH12" s="37"/>
    </row>
    <row r="13" spans="1:35" x14ac:dyDescent="0.2">
      <c r="B13" s="1"/>
      <c r="H13" s="1"/>
      <c r="I13" s="36"/>
      <c r="J13" s="40"/>
      <c r="K13" s="4"/>
      <c r="L13" s="3"/>
      <c r="M13" s="3"/>
      <c r="S13" s="4"/>
      <c r="T13" s="4"/>
      <c r="U13" s="32"/>
      <c r="V13" s="37"/>
      <c r="W13" s="33"/>
      <c r="X13" s="37"/>
      <c r="Y13" s="4"/>
      <c r="Z13" s="33"/>
      <c r="AA13" s="37"/>
      <c r="AB13" s="32"/>
      <c r="AC13" s="37"/>
      <c r="AD13" s="33"/>
      <c r="AE13" s="37"/>
      <c r="AF13" s="4"/>
      <c r="AG13" s="33"/>
      <c r="AH13" s="37"/>
    </row>
    <row r="14" spans="1:35" x14ac:dyDescent="0.2">
      <c r="B14" s="1"/>
      <c r="H14" s="1"/>
      <c r="I14" s="36"/>
      <c r="J14" s="40"/>
      <c r="K14" s="4"/>
      <c r="L14" s="3"/>
      <c r="M14" s="3"/>
      <c r="S14" s="4"/>
      <c r="T14" s="4"/>
      <c r="U14" s="32"/>
      <c r="V14" s="37"/>
      <c r="W14" s="33"/>
      <c r="X14" s="37"/>
      <c r="Y14" s="4"/>
      <c r="Z14" s="33"/>
      <c r="AA14" s="37"/>
      <c r="AB14" s="32"/>
      <c r="AC14" s="37"/>
      <c r="AD14" s="33"/>
      <c r="AE14" s="37"/>
      <c r="AF14" s="4"/>
      <c r="AG14" s="33"/>
      <c r="AH14" s="37"/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0">
      <sortCondition descending="1" ref="H1:H11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18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391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211</v>
      </c>
      <c r="J3" s="40"/>
      <c r="K3" s="4">
        <f>S3+T3+IF(OR(I3="Junior",I3="Senior"),0.0002,IF(OR(I3="L7",I3="L6"),0.0001,0))+MAX(AB3,AD3,AG3)*0.0000001</f>
        <v>94.830200000000019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2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>2</v>
      </c>
      <c r="C4" s="35" t="s">
        <v>392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211</v>
      </c>
      <c r="J4" s="40"/>
      <c r="K4" s="4">
        <f>S4+T4+IF(OR(I4="Junior",I4="Senior"),0.0002,IF(OR(I4="L7",I4="L6"),0.0001,0))+MAX(AB4,AD4,AG4)*0.0000001</f>
        <v>70.650200000000012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>IF(A4&lt;5,IF(_xlfn.MAXIFS(A:A,H:H,H4)&gt;3,5-A4,_xlfn.MAXIFS(A:A,H:H,H4)+1-A4),"")</f>
        <v/>
      </c>
      <c r="S4" s="4">
        <f>MAX(U4,W4,Z4,AB4,AD4,AG4)</f>
        <v>44.2</v>
      </c>
      <c r="T4" s="4">
        <f>LARGE(CHOOSE({1,2,3,4,5,6},U4,W4,Z4,AB4,AD4,AG4),2)</f>
        <v>26.45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t="str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/>
      </c>
      <c r="C5" s="35" t="s">
        <v>385</v>
      </c>
      <c r="D5" t="str">
        <f>IF(E5="","",VLOOKUP(E5,'Coaching Points'!A:B,2,0)&amp;"/"&amp;VLOOKUP(F5,'Coaching Points'!A:B,2,0))</f>
        <v>QC/QC</v>
      </c>
      <c r="E5" s="35" t="s">
        <v>72</v>
      </c>
      <c r="F5" s="35" t="s">
        <v>72</v>
      </c>
      <c r="G5" s="34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214</v>
      </c>
      <c r="J5" s="40"/>
      <c r="K5" s="4">
        <f>S5+T5+IF(OR(I5="Junior",I5="Senior"),0.0002,IF(OR(I5="L7",I5="L6"),0.0001,0))+MAX(AB5,AD5,AG5)*0.0000001</f>
        <v>86.440100000000001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43.4</v>
      </c>
      <c r="T5" s="4">
        <f>LARGE(CHOOSE({1,2,3,4,5,6},U5,W5,Z5,AB5,AD5,AG5),2)</f>
        <v>43.04</v>
      </c>
      <c r="U5" s="32">
        <v>43.4</v>
      </c>
      <c r="V5" s="37">
        <v>8.5</v>
      </c>
      <c r="W5" s="33"/>
      <c r="X5" s="37"/>
      <c r="Y5" s="4">
        <f>IF(I5="Senior",MAX(U5,W5),U5+W5)</f>
        <v>43.4</v>
      </c>
      <c r="Z5" s="33">
        <v>43.04</v>
      </c>
      <c r="AA5" s="37">
        <v>8.5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386</v>
      </c>
      <c r="D6" t="str">
        <f>IF(E6="","",VLOOKUP(E6,'Coaching Points'!A:B,2,0)&amp;"/"&amp;VLOOKUP(F6,'Coaching Points'!A:B,2,0))</f>
        <v>QC/QC</v>
      </c>
      <c r="E6" s="35" t="s">
        <v>57</v>
      </c>
      <c r="F6" s="35" t="s">
        <v>57</v>
      </c>
      <c r="G6" s="34">
        <v>2008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214</v>
      </c>
      <c r="J6" s="40"/>
      <c r="K6" s="4">
        <f>S6+T6+IF(OR(I6="Junior",I6="Senior"),0.0002,IF(OR(I6="L7",I6="L6"),0.0001,0))+MAX(AB6,AD6,AG6)*0.0000001</f>
        <v>84.200099999999992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42.55</v>
      </c>
      <c r="T6" s="4">
        <f>LARGE(CHOOSE({1,2,3,4,5,6},U6,W6,Z6,AB6,AD6,AG6),2)</f>
        <v>41.65</v>
      </c>
      <c r="U6" s="32">
        <v>42.55</v>
      </c>
      <c r="V6" s="37">
        <v>7.7</v>
      </c>
      <c r="W6" s="33"/>
      <c r="X6" s="37"/>
      <c r="Y6" s="4">
        <f>IF(I6="Senior",MAX(U6,W6),U6+W6)</f>
        <v>42.55</v>
      </c>
      <c r="Z6" s="33">
        <v>41.65</v>
      </c>
      <c r="AA6" s="37">
        <v>7.7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388</v>
      </c>
      <c r="D7" t="str">
        <f>IF(E7="","",VLOOKUP(E7,'Coaching Points'!A:B,2,0)&amp;"/"&amp;VLOOKUP(F7,'Coaching Points'!A:B,2,0))</f>
        <v>AB/AB</v>
      </c>
      <c r="E7" s="35" t="s">
        <v>28</v>
      </c>
      <c r="F7" s="35" t="s">
        <v>28</v>
      </c>
      <c r="G7" s="34">
        <v>2004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214</v>
      </c>
      <c r="J7" s="40"/>
      <c r="K7" s="4">
        <f>S7+T7+IF(OR(I7="Junior",I7="Senior"),0.0002,IF(OR(I7="L7",I7="L6"),0.0001,0))+MAX(AB7,AD7,AG7)*0.0000001</f>
        <v>67.060100000000006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37.68</v>
      </c>
      <c r="T7" s="4">
        <f>LARGE(CHOOSE({1,2,3,4,5,6},U7,W7,Z7,AB7,AD7,AG7),2)</f>
        <v>29.38</v>
      </c>
      <c r="U7" s="32">
        <v>37.68</v>
      </c>
      <c r="V7" s="37">
        <v>8.4</v>
      </c>
      <c r="W7" s="33"/>
      <c r="X7" s="37"/>
      <c r="Y7" s="4">
        <f>IF(I7="Senior",MAX(U7,W7),U7+W7)</f>
        <v>37.68</v>
      </c>
      <c r="Z7" s="33">
        <v>29.38</v>
      </c>
      <c r="AA7" s="37">
        <v>7.3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382</v>
      </c>
      <c r="D8" t="str">
        <f>IF(E8="","",VLOOKUP(E8,'Coaching Points'!A:B,2,0)&amp;"/"&amp;VLOOKUP(F8,'Coaching Points'!A:B,2,0))</f>
        <v>ON/ON</v>
      </c>
      <c r="E8" s="35" t="s">
        <v>84</v>
      </c>
      <c r="F8" s="35" t="s">
        <v>84</v>
      </c>
      <c r="G8" s="34">
        <v>2007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215</v>
      </c>
      <c r="J8" s="40"/>
      <c r="K8" s="4">
        <f>S8+T8+IF(OR(I8="Junior",I8="Senior"),0.0002,IF(OR(I8="L7",I8="L6"),0.0001,0))+MAX(AB8,AD8,AG8)*0.0000001</f>
        <v>66.08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38.24</v>
      </c>
      <c r="T8" s="4">
        <f>LARGE(CHOOSE({1,2,3,4,5,6},U8,W8,Z8,AB8,AD8,AG8),2)</f>
        <v>27.84</v>
      </c>
      <c r="U8" s="32">
        <v>38.24</v>
      </c>
      <c r="V8" s="37">
        <v>7.7</v>
      </c>
      <c r="W8" s="33"/>
      <c r="X8" s="37"/>
      <c r="Y8" s="4">
        <f>IF(I8="Senior",MAX(U8,W8),U8+W8)</f>
        <v>38.24</v>
      </c>
      <c r="Z8" s="33">
        <v>27.84</v>
      </c>
      <c r="AA8" s="37">
        <v>6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383</v>
      </c>
      <c r="D9" t="str">
        <f>IF(E9="","",VLOOKUP(E9,'Coaching Points'!A:B,2,0)&amp;"/"&amp;VLOOKUP(F9,'Coaching Points'!A:B,2,0))</f>
        <v>QC/QC</v>
      </c>
      <c r="E9" s="35" t="s">
        <v>3</v>
      </c>
      <c r="F9" s="35" t="s">
        <v>3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215</v>
      </c>
      <c r="J9" s="40"/>
      <c r="K9" s="4">
        <f>S9+T9+IF(OR(I9="Junior",I9="Senior"),0.0002,IF(OR(I9="L7",I9="L6"),0.0001,0))+MAX(AB9,AD9,AG9)*0.0000001</f>
        <v>14.34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14.34</v>
      </c>
      <c r="T9" s="4">
        <f>LARGE(CHOOSE({1,2,3,4,5,6},U9,W9,Z9,AB9,AD9,AG9),2)</f>
        <v>0</v>
      </c>
      <c r="U9" s="32">
        <v>14.34</v>
      </c>
      <c r="V9" s="37">
        <v>3.5</v>
      </c>
      <c r="W9" s="33"/>
      <c r="X9" s="37"/>
      <c r="Y9" s="4">
        <f>IF(I9="Senior",MAX(U9,W9),U9+W9)</f>
        <v>14.34</v>
      </c>
      <c r="Z9" s="33"/>
      <c r="AA9" s="37"/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390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>S10+T10+IF(OR(I10="Junior",I10="Senior"),0.0002,IF(OR(I10="L7",I10="L6"),0.0001,0))+MAX(AB10,AD10,AG10)*0.0000001</f>
        <v>4.5900999999999996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4.59</v>
      </c>
      <c r="T10" s="4">
        <f>LARGE(CHOOSE({1,2,3,4,5,6},U10,W10,Z10,AB10,AD10,AG10),2)</f>
        <v>0</v>
      </c>
      <c r="U10" s="32">
        <v>4.59</v>
      </c>
      <c r="V10" s="37">
        <v>1.3</v>
      </c>
      <c r="W10" s="33"/>
      <c r="X10" s="37"/>
      <c r="Y10" s="4">
        <f>IF(I10="Senior",MAX(U10,W10),U10+W10)</f>
        <v>4.59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384</v>
      </c>
      <c r="D11" t="str">
        <f>IF(E11="","",VLOOKUP(E11,'Coaching Points'!A:B,2,0)&amp;"/"&amp;VLOOKUP(F11,'Coaching Points'!A:B,2,0))</f>
        <v>AB/AB</v>
      </c>
      <c r="E11" s="35" t="s">
        <v>39</v>
      </c>
      <c r="F11" s="35" t="s">
        <v>39</v>
      </c>
      <c r="G11" s="34">
        <v>2009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214</v>
      </c>
      <c r="J11" s="40"/>
      <c r="K11" s="4">
        <f>S11+T11+IF(OR(I11="Junior",I11="Senior"),0.0002,IF(OR(I11="L7",I11="L6"),0.0001,0))+MAX(AB11,AD11,AG11)*0.0000001</f>
        <v>84.060100000000006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43.16</v>
      </c>
      <c r="T11" s="4">
        <f>LARGE(CHOOSE({1,2,3,4,5,6},U11,W11,Z11,AB11,AD11,AG11),2)</f>
        <v>40.9</v>
      </c>
      <c r="U11" s="32">
        <v>40.9</v>
      </c>
      <c r="V11" s="37">
        <v>8.6</v>
      </c>
      <c r="W11" s="33"/>
      <c r="X11" s="37"/>
      <c r="Y11" s="4">
        <f>IF(I11="Senior",MAX(U11,W11),U11+W11)</f>
        <v>40.9</v>
      </c>
      <c r="Z11" s="33">
        <v>43.16</v>
      </c>
      <c r="AA11" s="37">
        <v>8.6</v>
      </c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387</v>
      </c>
      <c r="D12" t="str">
        <f>IF(E12="","",VLOOKUP(E12,'Coaching Points'!A:B,2,0)&amp;"/"&amp;VLOOKUP(F12,'Coaching Points'!A:B,2,0))</f>
        <v>ON/ON</v>
      </c>
      <c r="E12" s="35" t="s">
        <v>135</v>
      </c>
      <c r="F12" s="35" t="s">
        <v>135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214</v>
      </c>
      <c r="J12" s="40"/>
      <c r="K12" s="4">
        <f>S12+T12+IF(OR(I12="Junior",I12="Senior"),0.0002,IF(OR(I12="L7",I12="L6"),0.0001,0))+MAX(AB12,AD12,AG12)*0.0000001</f>
        <v>67.310100000000006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41.09</v>
      </c>
      <c r="T12" s="4">
        <f>LARGE(CHOOSE({1,2,3,4,5,6},U12,W12,Z12,AB12,AD12,AG12),2)</f>
        <v>26.22</v>
      </c>
      <c r="U12" s="32">
        <v>26.22</v>
      </c>
      <c r="V12" s="37">
        <v>5.4</v>
      </c>
      <c r="W12" s="33"/>
      <c r="X12" s="37"/>
      <c r="Y12" s="4">
        <f>IF(I12="Senior",MAX(U12,W12),U12+W12)</f>
        <v>26.22</v>
      </c>
      <c r="Z12" s="33">
        <v>41.09</v>
      </c>
      <c r="AA12" s="37">
        <v>7.7</v>
      </c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389</v>
      </c>
      <c r="D13" t="str">
        <f>IF(E13="","",VLOOKUP(E13,'Coaching Points'!A:B,2,0)&amp;"/"&amp;VLOOKUP(F13,'Coaching Points'!A:B,2,0))</f>
        <v>BC/QC</v>
      </c>
      <c r="E13" s="35" t="s">
        <v>40</v>
      </c>
      <c r="F13" s="35" t="s">
        <v>75</v>
      </c>
      <c r="G13" s="34">
        <v>2009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214</v>
      </c>
      <c r="J13" s="40"/>
      <c r="K13" s="4">
        <f>S13+T13+IF(OR(I13="Junior",I13="Senior"),0.0002,IF(OR(I13="L7",I13="L6"),0.0001,0))+MAX(AB13,AD13,AG13)*0.0000001</f>
        <v>66.700100000000006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>P</v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42.64</v>
      </c>
      <c r="T13" s="4">
        <f>LARGE(CHOOSE({1,2,3,4,5,6},U13,W13,Z13,AB13,AD13,AG13),2)</f>
        <v>24.06</v>
      </c>
      <c r="U13" s="32">
        <v>42.64</v>
      </c>
      <c r="V13" s="37">
        <v>9</v>
      </c>
      <c r="W13" s="33"/>
      <c r="X13" s="37"/>
      <c r="Y13" s="4">
        <f>IF(I13="Senior",MAX(U13,W13),U13+W13)</f>
        <v>42.64</v>
      </c>
      <c r="Z13" s="33">
        <v>24.06</v>
      </c>
      <c r="AA13" s="37">
        <v>4</v>
      </c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381</v>
      </c>
      <c r="D14" t="str">
        <f>IF(E14="","",VLOOKUP(E14,'Coaching Points'!A:B,2,0)&amp;"/"&amp;VLOOKUP(F14,'Coaching Points'!A:B,2,0))</f>
        <v>QC/QC</v>
      </c>
      <c r="E14" s="35" t="s">
        <v>57</v>
      </c>
      <c r="F14" s="35" t="s">
        <v>57</v>
      </c>
      <c r="G14" s="34">
        <v>2011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215</v>
      </c>
      <c r="J14" s="40"/>
      <c r="K14" s="4">
        <f>S14+T14+IF(OR(I14="Junior",I14="Senior"),0.0002,IF(OR(I14="L7",I14="L6"),0.0001,0))+MAX(AB14,AD14,AG14)*0.0000001</f>
        <v>81.36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41.97</v>
      </c>
      <c r="T14" s="4">
        <f>LARGE(CHOOSE({1,2,3,4,5,6},U14,W14,Z14,AB14,AD14,AG14),2)</f>
        <v>39.39</v>
      </c>
      <c r="U14" s="32">
        <v>39.39</v>
      </c>
      <c r="V14" s="37">
        <v>7.4</v>
      </c>
      <c r="W14" s="33"/>
      <c r="X14" s="37"/>
      <c r="Y14" s="4">
        <f>IF(I14="Senior",MAX(U14,W14),U14+W14)</f>
        <v>39.39</v>
      </c>
      <c r="Z14" s="33">
        <v>41.97</v>
      </c>
      <c r="AA14" s="37">
        <v>7.2</v>
      </c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B15" s="1"/>
      <c r="D15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4">
      <sortCondition descending="1" ref="H1:H15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106.40020000000001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52.5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$56&lt;&gt;"")*(G$3:G$56=G4)*(J$3:J$56&gt;J4)*(I$3:I$56="P"))+1,IF(O4&lt;&gt;"",SUMPRODUCT((O$3:O$56&lt;&gt;"")*(P$3:P$56="")*(G$3:G$56=G4)*(J$3:J$56&gt;J4)*(I$3:I$56="P"))+SUMPRODUCT((P$3:P$56&lt;&gt;"")*(G$3:G$56=G4)*(I$3:I$56="P"))+1,IF(N4&lt;&gt;"",SUMPRODUCT((N$3:N$56&lt;&gt;"")*(G$3:G$56=G4)*(J$3:J$56&gt;J4)*(I$3:I$56="P"))+1,IF(M4="P",SUMPRODUCT((O$3:O$56&lt;&gt;"")*(P$3:P$56="")*(G$3:G$56=G4)*(I$3:I$56="P"))+SUMPRODUCT((P$3:P$56&lt;&gt;"")*(G$3:G$56=G4)*(I$3:I$56="P"))+SUMPRODUCT((N$3:N$56&lt;&gt;"")*(G$3:G$56=G4)*(I$3:I$56="P"))+SUMPRODUCT((P$3:P$56="")*(O$3:O$56="")*(N$3:N$56="")*(M$3:M$56="P")*(G$3:G$56=G4)*(J$3:J$56&gt;J4)*(I$3:I$56="P"))+IF(H4="L5",SUMPRODUCT((P$3:P$56="")*(O$3:O$56="")*(N$3:N$56="")*(M$3:M$56="P")*(G$3:G$56=G4)*(J$3:J$56&lt;J4)*(H$3:H$56&lt;&gt;H4)*(I$3:I$56="P")),-1*SUMPRODUCT((P$3:P$56="")*(O$3:O$56="")*(N$3:N$56="")*(M$3:M$56="P")*(G$3:G$56=G4)*(J$3:J$56&gt;J4)*(H$3:H$56="L5")*(I$3:I$56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82</v>
      </c>
      <c r="D4" t="str">
        <f>IF(E4="","",VLOOKUP(E4,'Coaching Points'!A:B,2,0))</f>
        <v>BC</v>
      </c>
      <c r="E4" s="35" t="s">
        <v>40</v>
      </c>
      <c r="F4" s="34">
        <v>2005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105.70020000000001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5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53.4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52.300000000000004</v>
      </c>
      <c r="T4" s="32">
        <v>52.6</v>
      </c>
      <c r="U4" s="37">
        <v>16.399999999999999</v>
      </c>
      <c r="V4" s="37">
        <v>0.3</v>
      </c>
      <c r="W4" s="33">
        <v>54</v>
      </c>
      <c r="X4" s="37">
        <v>17.3</v>
      </c>
      <c r="Y4" s="37">
        <v>0.6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$56&lt;&gt;"")*(G$3:G$56=G5)*(J$3:J$56&gt;J5)*(I$3:I$56="P"))+1,IF(O5&lt;&gt;"",SUMPRODUCT((O$3:O$56&lt;&gt;"")*(P$3:P$56="")*(G$3:G$56=G5)*(J$3:J$56&gt;J5)*(I$3:I$56="P"))+SUMPRODUCT((P$3:P$56&lt;&gt;"")*(G$3:G$56=G5)*(I$3:I$56="P"))+1,IF(N5&lt;&gt;"",SUMPRODUCT((N$3:N$56&lt;&gt;"")*(G$3:G$56=G5)*(J$3:J$56&gt;J5)*(I$3:I$56="P"))+1,IF(M5="P",SUMPRODUCT((O$3:O$56&lt;&gt;"")*(P$3:P$56="")*(G$3:G$56=G5)*(I$3:I$56="P"))+SUMPRODUCT((P$3:P$56&lt;&gt;"")*(G$3:G$56=G5)*(I$3:I$56="P"))+SUMPRODUCT((N$3:N$56&lt;&gt;"")*(G$3:G$56=G5)*(I$3:I$56="P"))+SUMPRODUCT((P$3:P$56="")*(O$3:O$56="")*(N$3:N$56="")*(M$3:M$56="P")*(G$3:G$56=G5)*(J$3:J$56&gt;J5)*(I$3:I$56="P"))+IF(H5="L5",SUMPRODUCT((P$3:P$56="")*(O$3:O$56="")*(N$3:N$56="")*(M$3:M$56="P")*(G$3:G$56=G5)*(J$3:J$56&lt;J5)*(H$3:H$56&lt;&gt;H5)*(I$3:I$56="P")),-1*SUMPRODUCT((P$3:P$56="")*(O$3:O$56="")*(N$3:N$56="")*(M$3:M$56="P")*(G$3:G$56=G5)*(J$3:J$56&gt;J5)*(H$3:H$56="L5")*(I$3:I$56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104.80020000000002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6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52.7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52.1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$56&lt;&gt;"")*(G$3:G$56=G6)*(J$3:J$56&gt;J6)*(I$3:I$56="P"))+1,IF(O6&lt;&gt;"",SUMPRODUCT((O$3:O$56&lt;&gt;"")*(P$3:P$56="")*(G$3:G$56=G6)*(J$3:J$56&gt;J6)*(I$3:I$56="P"))+SUMPRODUCT((P$3:P$56&lt;&gt;"")*(G$3:G$56=G6)*(I$3:I$56="P"))+1,IF(N6&lt;&gt;"",SUMPRODUCT((N$3:N$56&lt;&gt;"")*(G$3:G$56=G6)*(J$3:J$56&gt;J6)*(I$3:I$56="P"))+1,IF(M6="P",SUMPRODUCT((O$3:O$56&lt;&gt;"")*(P$3:P$56="")*(G$3:G$56=G6)*(I$3:I$56="P"))+SUMPRODUCT((P$3:P$56&lt;&gt;"")*(G$3:G$56=G6)*(I$3:I$56="P"))+SUMPRODUCT((N$3:N$56&lt;&gt;"")*(G$3:G$56=G6)*(I$3:I$56="P"))+SUMPRODUCT((P$3:P$56="")*(O$3:O$56="")*(N$3:N$56="")*(M$3:M$56="P")*(G$3:G$56=G6)*(J$3:J$56&gt;J6)*(I$3:I$56="P"))+IF(H6="L5",SUMPRODUCT((P$3:P$56="")*(O$3:O$56="")*(N$3:N$56="")*(M$3:M$56="P")*(G$3:G$56=G6)*(J$3:J$56&lt;J6)*(H$3:H$56&lt;&gt;H6)*(I$3:I$56="P")),-1*SUMPRODUCT((P$3:P$56="")*(O$3:O$56="")*(N$3:N$56="")*(M$3:M$56="P")*(G$3:G$56=G6)*(J$3:J$56&gt;J6)*(H$3:H$56="L5")*(I$3:I$56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103.20020000000001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7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50.2</v>
      </c>
      <c r="T6" s="32">
        <v>53</v>
      </c>
      <c r="U6" s="37">
        <v>15.7</v>
      </c>
      <c r="V6" s="37">
        <v>0</v>
      </c>
      <c r="W6" s="33">
        <v>50.5</v>
      </c>
      <c r="X6" s="37">
        <v>15.6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$56&lt;&gt;"")*(G$3:G$56=G7)*(J$3:J$56&gt;J7)*(I$3:I$56="P"))+1,IF(O7&lt;&gt;"",SUMPRODUCT((O$3:O$56&lt;&gt;"")*(P$3:P$56="")*(G$3:G$56=G7)*(J$3:J$56&gt;J7)*(I$3:I$56="P"))+SUMPRODUCT((P$3:P$56&lt;&gt;"")*(G$3:G$56=G7)*(I$3:I$56="P"))+1,IF(N7&lt;&gt;"",SUMPRODUCT((N$3:N$56&lt;&gt;"")*(G$3:G$56=G7)*(J$3:J$56&gt;J7)*(I$3:I$56="P"))+1,IF(M7="P",SUMPRODUCT((O$3:O$56&lt;&gt;"")*(P$3:P$56="")*(G$3:G$56=G7)*(I$3:I$56="P"))+SUMPRODUCT((P$3:P$56&lt;&gt;"")*(G$3:G$56=G7)*(I$3:I$56="P"))+SUMPRODUCT((N$3:N$56&lt;&gt;"")*(G$3:G$56=G7)*(I$3:I$56="P"))+SUMPRODUCT((P$3:P$56="")*(O$3:O$56="")*(N$3:N$56="")*(M$3:M$56="P")*(G$3:G$56=G7)*(J$3:J$56&gt;J7)*(I$3:I$56="P"))+IF(H7="L5",SUMPRODUCT((P$3:P$56="")*(O$3:O$56="")*(N$3:N$56="")*(M$3:M$56="P")*(G$3:G$56=G7)*(J$3:J$56&lt;J7)*(H$3:H$56&lt;&gt;H7)*(I$3:I$56="P")),-1*SUMPRODUCT((P$3:P$56="")*(O$3:O$56="")*(N$3:N$56="")*(M$3:M$56="P")*(G$3:G$56=G7)*(J$3:J$56&gt;J7)*(H$3:H$56="L5")*(I$3:I$56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333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47.600200000000001</v>
      </c>
      <c r="K7" s="3" t="str">
        <f>IF(G7="Not Age Eligible","",IF(MAX(T7,W7,Z7,AC7)&gt;=LOOKUP(G7,'Qualifying Scores'!$A$4:$A$7,'Qualifying Scores'!$F$4:$F$7),"P",""))</f>
        <v/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/>
      </c>
      <c r="P7" s="36">
        <v>4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47.6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0</v>
      </c>
      <c r="T7" s="32">
        <v>48.2</v>
      </c>
      <c r="U7" s="37">
        <v>14</v>
      </c>
      <c r="V7" s="37">
        <v>0.6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$56&lt;&gt;"")*(G$3:G$56=G8)*(J$3:J$56&gt;J8)*(I$3:I$56="P"))+1,IF(O8&lt;&gt;"",SUMPRODUCT((O$3:O$56&lt;&gt;"")*(P$3:P$56="")*(G$3:G$56=G8)*(J$3:J$56&gt;J8)*(I$3:I$56="P"))+SUMPRODUCT((P$3:P$56&lt;&gt;"")*(G$3:G$56=G8)*(I$3:I$56="P"))+1,IF(N8&lt;&gt;"",SUMPRODUCT((N$3:N$56&lt;&gt;"")*(G$3:G$56=G8)*(J$3:J$56&gt;J8)*(I$3:I$56="P"))+1,IF(M8="P",SUMPRODUCT((O$3:O$56&lt;&gt;"")*(P$3:P$56="")*(G$3:G$56=G8)*(I$3:I$56="P"))+SUMPRODUCT((P$3:P$56&lt;&gt;"")*(G$3:G$56=G8)*(I$3:I$56="P"))+SUMPRODUCT((N$3:N$56&lt;&gt;"")*(G$3:G$56=G8)*(I$3:I$56="P"))+SUMPRODUCT((P$3:P$56="")*(O$3:O$56="")*(N$3:N$56="")*(M$3:M$56="P")*(G$3:G$56=G8)*(J$3:J$56&gt;J8)*(I$3:I$56="P"))+IF(H8="L5",SUMPRODUCT((P$3:P$56="")*(O$3:O$56="")*(N$3:N$56="")*(M$3:M$56="P")*(G$3:G$56=G8)*(J$3:J$56&lt;J8)*(H$3:H$56&lt;&gt;H8)*(I$3:I$56="P")),-1*SUMPRODUCT((P$3:P$56="")*(O$3:O$56="")*(N$3:N$56="")*(M$3:M$56="P")*(G$3:G$56=G8)*(J$3:J$56&gt;J8)*(H$3:H$56="L5")*(I$3:I$56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80</v>
      </c>
      <c r="D8" t="str">
        <f>IF(E8="","",VLOOKUP(E8,'Coaching Points'!A:B,2,0))</f>
        <v>AB</v>
      </c>
      <c r="E8" s="35" t="s">
        <v>28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100.40020000000001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2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50.9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49.5</v>
      </c>
      <c r="T8" s="32">
        <v>50.9</v>
      </c>
      <c r="U8" s="37">
        <v>15.7</v>
      </c>
      <c r="V8" s="37">
        <v>0</v>
      </c>
      <c r="W8" s="33">
        <v>49.5</v>
      </c>
      <c r="X8" s="37">
        <v>14.9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$56&lt;&gt;"")*(G$3:G$56=G9)*(J$3:J$56&gt;J9)*(I$3:I$56="P"))+1,IF(O9&lt;&gt;"",SUMPRODUCT((O$3:O$56&lt;&gt;"")*(P$3:P$56="")*(G$3:G$56=G9)*(J$3:J$56&gt;J9)*(I$3:I$56="P"))+SUMPRODUCT((P$3:P$56&lt;&gt;"")*(G$3:G$56=G9)*(I$3:I$56="P"))+1,IF(N9&lt;&gt;"",SUMPRODUCT((N$3:N$56&lt;&gt;"")*(G$3:G$56=G9)*(J$3:J$56&gt;J9)*(I$3:I$56="P"))+1,IF(M9="P",SUMPRODUCT((O$3:O$56&lt;&gt;"")*(P$3:P$56="")*(G$3:G$56=G9)*(I$3:I$56="P"))+SUMPRODUCT((P$3:P$56&lt;&gt;"")*(G$3:G$56=G9)*(I$3:I$56="P"))+SUMPRODUCT((N$3:N$56&lt;&gt;"")*(G$3:G$56=G9)*(I$3:I$56="P"))+SUMPRODUCT((P$3:P$56="")*(O$3:O$56="")*(N$3:N$56="")*(M$3:M$56="P")*(G$3:G$56=G9)*(J$3:J$56&gt;J9)*(I$3:I$56="P"))+IF(H9="L5",SUMPRODUCT((P$3:P$56="")*(O$3:O$56="")*(N$3:N$56="")*(M$3:M$56="P")*(G$3:G$56=G9)*(J$3:J$56&lt;J9)*(H$3:H$56&lt;&gt;H9)*(I$3:I$56="P")),-1*SUMPRODUCT((P$3:P$56="")*(O$3:O$56="")*(N$3:N$56="")*(M$3:M$56="P")*(G$3:G$56=G9)*(J$3:J$56&gt;J9)*(H$3:H$56="L5")*(I$3:I$56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73</v>
      </c>
      <c r="D9" t="str">
        <f>IF(E9="","",VLOOKUP(E9,'Coaching Points'!A:B,2,0))</f>
        <v>BC</v>
      </c>
      <c r="E9" s="35" t="s">
        <v>66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99.900200000000012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50.199999999999996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49.7</v>
      </c>
      <c r="T9" s="32">
        <v>50</v>
      </c>
      <c r="U9" s="37">
        <v>13.2</v>
      </c>
      <c r="V9" s="37">
        <v>0.3</v>
      </c>
      <c r="W9" s="33">
        <v>50.8</v>
      </c>
      <c r="X9" s="37">
        <v>16.5</v>
      </c>
      <c r="Y9" s="37">
        <v>0.6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$56&lt;&gt;"")*(G$3:G$56=G10)*(J$3:J$56&gt;J10)*(I$3:I$56="P"))+1,IF(O10&lt;&gt;"",SUMPRODUCT((O$3:O$56&lt;&gt;"")*(P$3:P$56="")*(G$3:G$56=G10)*(J$3:J$56&gt;J10)*(I$3:I$56="P"))+SUMPRODUCT((P$3:P$56&lt;&gt;"")*(G$3:G$56=G10)*(I$3:I$56="P"))+1,IF(N10&lt;&gt;"",SUMPRODUCT((N$3:N$56&lt;&gt;"")*(G$3:G$56=G10)*(J$3:J$56&gt;J10)*(I$3:I$56="P"))+1,IF(M10="P",SUMPRODUCT((O$3:O$56&lt;&gt;"")*(P$3:P$56="")*(G$3:G$56=G10)*(I$3:I$56="P"))+SUMPRODUCT((P$3:P$56&lt;&gt;"")*(G$3:G$56=G10)*(I$3:I$56="P"))+SUMPRODUCT((N$3:N$56&lt;&gt;"")*(G$3:G$56=G10)*(I$3:I$56="P"))+SUMPRODUCT((P$3:P$56="")*(O$3:O$56="")*(N$3:N$56="")*(M$3:M$56="P")*(G$3:G$56=G10)*(J$3:J$56&gt;J10)*(I$3:I$56="P"))+IF(H10="L5",SUMPRODUCT((P$3:P$56="")*(O$3:O$56="")*(N$3:N$56="")*(M$3:M$56="P")*(G$3:G$56=G10)*(J$3:J$56&lt;J10)*(H$3:H$56&lt;&gt;H10)*(I$3:I$56="P")),-1*SUMPRODUCT((P$3:P$56="")*(O$3:O$56="")*(N$3:N$56="")*(M$3:M$56="P")*(G$3:G$56=G10)*(J$3:J$56&gt;J10)*(H$3:H$56="L5")*(I$3:I$56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116</v>
      </c>
      <c r="D10" t="str">
        <f>IF(E10="","",VLOOKUP(E10,'Coaching Points'!A:B,2,0))</f>
        <v>BC</v>
      </c>
      <c r="E10" s="35" t="s">
        <v>40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211</v>
      </c>
      <c r="I10" s="40"/>
      <c r="J10" s="4">
        <f>R10+S10+IF(OR(H10="Junior",H10="Senior"),0.0002,IF(OR(H10="L7",H10="L6"),0.0001,0))+MAX(Z10,AC10)*0.0000001</f>
        <v>46.700200000000002</v>
      </c>
      <c r="K10" s="3" t="str">
        <f>IF(G10="Not Age Eligible","",IF(MAX(T10,W10,Z10,AC10)&gt;=LOOKUP(G10,'Qualifying Scores'!$A$4:$A$7,'Qualifying Scores'!$F$4:$F$7),"P",""))</f>
        <v/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/>
      </c>
      <c r="O10" s="36">
        <v>4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46.7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0</v>
      </c>
      <c r="T10" s="32">
        <v>46.7</v>
      </c>
      <c r="U10" s="37">
        <v>12.4</v>
      </c>
      <c r="V10" s="37">
        <v>0</v>
      </c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$56&lt;&gt;"")*(G$3:G$56=G11)*(J$3:J$56&gt;J11)*(I$3:I$56="P"))+1,IF(O11&lt;&gt;"",SUMPRODUCT((O$3:O$56&lt;&gt;"")*(P$3:P$56="")*(G$3:G$56=G11)*(J$3:J$56&gt;J11)*(I$3:I$56="P"))+SUMPRODUCT((P$3:P$56&lt;&gt;"")*(G$3:G$56=G11)*(I$3:I$56="P"))+1,IF(N11&lt;&gt;"",SUMPRODUCT((N$3:N$56&lt;&gt;"")*(G$3:G$56=G11)*(J$3:J$56&gt;J11)*(I$3:I$56="P"))+1,IF(M11="P",SUMPRODUCT((O$3:O$56&lt;&gt;"")*(P$3:P$56="")*(G$3:G$56=G11)*(I$3:I$56="P"))+SUMPRODUCT((P$3:P$56&lt;&gt;"")*(G$3:G$56=G11)*(I$3:I$56="P"))+SUMPRODUCT((N$3:N$56&lt;&gt;"")*(G$3:G$56=G11)*(I$3:I$56="P"))+SUMPRODUCT((P$3:P$56="")*(O$3:O$56="")*(N$3:N$56="")*(M$3:M$56="P")*(G$3:G$56=G11)*(J$3:J$56&gt;J11)*(I$3:I$56="P"))+IF(H11="L5",SUMPRODUCT((P$3:P$56="")*(O$3:O$56="")*(N$3:N$56="")*(M$3:M$56="P")*(G$3:G$56=G11)*(J$3:J$56&lt;J11)*(H$3:H$56&lt;&gt;H11)*(I$3:I$56="P")),-1*SUMPRODUCT((P$3:P$56="")*(O$3:O$56="")*(N$3:N$56="")*(M$3:M$56="P")*(G$3:G$56=G11)*(J$3:J$56&gt;J11)*(H$3:H$56="L5")*(I$3:I$56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331</v>
      </c>
      <c r="D11" t="str">
        <f>IF(E11="","",VLOOKUP(E11,'Coaching Points'!A:B,2,0))</f>
        <v>AB</v>
      </c>
      <c r="E11" s="35" t="s">
        <v>28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43.400199999999998</v>
      </c>
      <c r="K11" s="3" t="str">
        <f>IF(G11="Not Age Eligible","",IF(MAX(T11,W11,Z11,AC11)&gt;=LOOKUP(G11,'Qualifying Scores'!$A$4:$A$7,'Qualifying Scores'!$F$4:$F$7),"P",""))</f>
        <v/>
      </c>
      <c r="L11" s="3" t="str">
        <f>IF(G11="Not Age Eligible","",IF(MAX(U11,X11,AA11,AD11)&gt;=LOOKUP(G11,'Qualifying Scores'!$A$10:$A$13,'Qualifying Scores'!$F$10:$F$13),"P",""))</f>
        <v/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/>
      </c>
      <c r="O11" s="36">
        <v>3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43.4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0</v>
      </c>
      <c r="T11" s="32">
        <v>43.4</v>
      </c>
      <c r="U11" s="37">
        <v>10</v>
      </c>
      <c r="V11" s="37">
        <v>0</v>
      </c>
      <c r="W11" s="33"/>
      <c r="X11" s="37"/>
      <c r="Y11" s="37"/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$56&lt;&gt;"")*(G$3:G$56=G12)*(J$3:J$56&gt;J12)*(I$3:I$56="P"))+1,IF(O12&lt;&gt;"",SUMPRODUCT((O$3:O$56&lt;&gt;"")*(P$3:P$56="")*(G$3:G$56=G12)*(J$3:J$56&gt;J12)*(I$3:I$56="P"))+SUMPRODUCT((P$3:P$56&lt;&gt;"")*(G$3:G$56=G12)*(I$3:I$56="P"))+1,IF(N12&lt;&gt;"",SUMPRODUCT((N$3:N$56&lt;&gt;"")*(G$3:G$56=G12)*(J$3:J$56&gt;J12)*(I$3:I$56="P"))+1,IF(M12="P",SUMPRODUCT((O$3:O$56&lt;&gt;"")*(P$3:P$56="")*(G$3:G$56=G12)*(I$3:I$56="P"))+SUMPRODUCT((P$3:P$56&lt;&gt;"")*(G$3:G$56=G12)*(I$3:I$56="P"))+SUMPRODUCT((N$3:N$56&lt;&gt;"")*(G$3:G$56=G12)*(I$3:I$56="P"))+SUMPRODUCT((P$3:P$56="")*(O$3:O$56="")*(N$3:N$56="")*(M$3:M$56="P")*(G$3:G$56=G12)*(J$3:J$56&gt;J12)*(I$3:I$56="P"))+IF(H12="L5",SUMPRODUCT((P$3:P$56="")*(O$3:O$56="")*(N$3:N$56="")*(M$3:M$56="P")*(G$3:G$56=G12)*(J$3:J$56&lt;J12)*(H$3:H$56&lt;&gt;H12)*(I$3:I$56="P")),-1*SUMPRODUCT((P$3:P$56="")*(O$3:O$56="")*(N$3:N$56="")*(M$3:M$56="P")*(G$3:G$56=G12)*(J$3:J$56&gt;J12)*(H$3:H$56="L5")*(I$3:I$56="P")))+1,"")))))</f>
        <v/>
      </c>
      <c r="B12" s="1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>10</v>
      </c>
      <c r="C12" s="35" t="s">
        <v>207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101.40010000000001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50.4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$56&lt;&gt;"")*(G$3:G$56=G13)*(J$3:J$56&gt;J13)*(I$3:I$56="P"))+1,IF(O13&lt;&gt;"",SUMPRODUCT((O$3:O$56&lt;&gt;"")*(P$3:P$56="")*(G$3:G$56=G13)*(J$3:J$56&gt;J13)*(I$3:I$56="P"))+SUMPRODUCT((P$3:P$56&lt;&gt;"")*(G$3:G$56=G13)*(I$3:I$56="P"))+1,IF(N13&lt;&gt;"",SUMPRODUCT((N$3:N$56&lt;&gt;"")*(G$3:G$56=G13)*(J$3:J$56&gt;J13)*(I$3:I$56="P"))+1,IF(M13="P",SUMPRODUCT((O$3:O$56&lt;&gt;"")*(P$3:P$56="")*(G$3:G$56=G13)*(I$3:I$56="P"))+SUMPRODUCT((P$3:P$56&lt;&gt;"")*(G$3:G$56=G13)*(I$3:I$56="P"))+SUMPRODUCT((N$3:N$56&lt;&gt;"")*(G$3:G$56=G13)*(I$3:I$56="P"))+SUMPRODUCT((P$3:P$56="")*(O$3:O$56="")*(N$3:N$56="")*(M$3:M$56="P")*(G$3:G$56=G13)*(J$3:J$56&gt;J13)*(I$3:I$56="P"))+IF(H13="L5",SUMPRODUCT((P$3:P$56="")*(O$3:O$56="")*(N$3:N$56="")*(M$3:M$56="P")*(G$3:G$56=G13)*(J$3:J$56&lt;J13)*(H$3:H$56&lt;&gt;H13)*(I$3:I$56="P")),-1*SUMPRODUCT((P$3:P$56="")*(O$3:O$56="")*(N$3:N$56="")*(M$3:M$56="P")*(G$3:G$56=G13)*(J$3:J$56&gt;J13)*(H$3:H$56="L5")*(I$3:I$56="P")))+1,"")))))</f>
        <v/>
      </c>
      <c r="B13" s="1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211</v>
      </c>
      <c r="I13" s="40"/>
      <c r="J13" s="4">
        <f>R13+S13+IF(OR(H13="Junior",H13="Senior"),0.0002,IF(OR(H13="L7",H13="L6"),0.0001,0))+MAX(Z13,AC13)*0.0000001</f>
        <v>100.6002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50.5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50.1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$56&lt;&gt;"")*(G$3:G$56=G14)*(J$3:J$56&gt;J14)*(I$3:I$56="P"))+1,IF(O14&lt;&gt;"",SUMPRODUCT((O$3:O$56&lt;&gt;"")*(P$3:P$56="")*(G$3:G$56=G14)*(J$3:J$56&gt;J14)*(I$3:I$56="P"))+SUMPRODUCT((P$3:P$56&lt;&gt;"")*(G$3:G$56=G14)*(I$3:I$56="P"))+1,IF(N14&lt;&gt;"",SUMPRODUCT((N$3:N$56&lt;&gt;"")*(G$3:G$56=G14)*(J$3:J$56&gt;J14)*(I$3:I$56="P"))+1,IF(M14="P",SUMPRODUCT((O$3:O$56&lt;&gt;"")*(P$3:P$56="")*(G$3:G$56=G14)*(I$3:I$56="P"))+SUMPRODUCT((P$3:P$56&lt;&gt;"")*(G$3:G$56=G14)*(I$3:I$56="P"))+SUMPRODUCT((N$3:N$56&lt;&gt;"")*(G$3:G$56=G14)*(I$3:I$56="P"))+SUMPRODUCT((P$3:P$56="")*(O$3:O$56="")*(N$3:N$56="")*(M$3:M$56="P")*(G$3:G$56=G14)*(J$3:J$56&gt;J14)*(I$3:I$56="P"))+IF(H14="L5",SUMPRODUCT((P$3:P$56="")*(O$3:O$56="")*(N$3:N$56="")*(M$3:M$56="P")*(G$3:G$56=G14)*(J$3:J$56&lt;J14)*(H$3:H$56&lt;&gt;H14)*(I$3:I$56="P")),-1*SUMPRODUCT((P$3:P$56="")*(O$3:O$56="")*(N$3:N$56="")*(M$3:M$56="P")*(G$3:G$56=G14)*(J$3:J$56&gt;J14)*(H$3:H$56="L5")*(I$3:I$56="P")))+1,"")))))</f>
        <v/>
      </c>
      <c r="B14" s="1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100.40010000000001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$56&lt;&gt;"")*(G$3:G$56=G15)*(J$3:J$56&gt;J15)*(I$3:I$56="P"))+1,IF(O15&lt;&gt;"",SUMPRODUCT((O$3:O$56&lt;&gt;"")*(P$3:P$56="")*(G$3:G$56=G15)*(J$3:J$56&gt;J15)*(I$3:I$56="P"))+SUMPRODUCT((P$3:P$56&lt;&gt;"")*(G$3:G$56=G15)*(I$3:I$56="P"))+1,IF(N15&lt;&gt;"",SUMPRODUCT((N$3:N$56&lt;&gt;"")*(G$3:G$56=G15)*(J$3:J$56&gt;J15)*(I$3:I$56="P"))+1,IF(M15="P",SUMPRODUCT((O$3:O$56&lt;&gt;"")*(P$3:P$56="")*(G$3:G$56=G15)*(I$3:I$56="P"))+SUMPRODUCT((P$3:P$56&lt;&gt;"")*(G$3:G$56=G15)*(I$3:I$56="P"))+SUMPRODUCT((N$3:N$56&lt;&gt;"")*(G$3:G$56=G15)*(I$3:I$56="P"))+SUMPRODUCT((P$3:P$56="")*(O$3:O$56="")*(N$3:N$56="")*(M$3:M$56="P")*(G$3:G$56=G15)*(J$3:J$56&gt;J15)*(I$3:I$56="P"))+IF(H15="L5",SUMPRODUCT((P$3:P$56="")*(O$3:O$56="")*(N$3:N$56="")*(M$3:M$56="P")*(G$3:G$56=G15)*(J$3:J$56&lt;J15)*(H$3:H$56&lt;&gt;H15)*(I$3:I$56="P")),-1*SUMPRODUCT((P$3:P$56="")*(O$3:O$56="")*(N$3:N$56="")*(M$3:M$56="P")*(G$3:G$56=G15)*(J$3:J$56&gt;J15)*(H$3:H$56="L5")*(I$3:I$56="P")))+1,"")))))</f>
        <v/>
      </c>
      <c r="B15" s="1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211</v>
      </c>
      <c r="I15" s="40"/>
      <c r="J15" s="4">
        <f>R15+S15+IF(OR(H15="Junior",H15="Senior"),0.0002,IF(OR(H15="L7",H15="L6"),0.0001,0))+MAX(Z15,AC15)*0.0000001</f>
        <v>99.300200000000018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$56&lt;&gt;"")*(G$3:G$56=G16)*(J$3:J$56&gt;J16)*(I$3:I$56="P"))+1,IF(O16&lt;&gt;"",SUMPRODUCT((O$3:O$56&lt;&gt;"")*(P$3:P$56="")*(G$3:G$56=G16)*(J$3:J$56&gt;J16)*(I$3:I$56="P"))+SUMPRODUCT((P$3:P$56&lt;&gt;"")*(G$3:G$56=G16)*(I$3:I$56="P"))+1,IF(N16&lt;&gt;"",SUMPRODUCT((N$3:N$56&lt;&gt;"")*(G$3:G$56=G16)*(J$3:J$56&gt;J16)*(I$3:I$56="P"))+1,IF(M16="P",SUMPRODUCT((O$3:O$56&lt;&gt;"")*(P$3:P$56="")*(G$3:G$56=G16)*(I$3:I$56="P"))+SUMPRODUCT((P$3:P$56&lt;&gt;"")*(G$3:G$56=G16)*(I$3:I$56="P"))+SUMPRODUCT((N$3:N$56&lt;&gt;"")*(G$3:G$56=G16)*(I$3:I$56="P"))+SUMPRODUCT((P$3:P$56="")*(O$3:O$56="")*(N$3:N$56="")*(M$3:M$56="P")*(G$3:G$56=G16)*(J$3:J$56&gt;J16)*(I$3:I$56="P"))+IF(H16="L5",SUMPRODUCT((P$3:P$56="")*(O$3:O$56="")*(N$3:N$56="")*(M$3:M$56="P")*(G$3:G$56=G16)*(J$3:J$56&lt;J16)*(H$3:H$56&lt;&gt;H16)*(I$3:I$56="P")),-1*SUMPRODUCT((P$3:P$56="")*(O$3:O$56="")*(N$3:N$56="")*(M$3:M$56="P")*(G$3:G$56=G16)*(J$3:J$56&gt;J16)*(H$3:H$56="L5")*(I$3:I$56="P")))+1,"")))))</f>
        <v/>
      </c>
      <c r="B16" s="1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>14</v>
      </c>
      <c r="C16" s="35" t="s">
        <v>186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72.800100000000015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50.7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22.1</v>
      </c>
      <c r="T16" s="32">
        <v>50.7</v>
      </c>
      <c r="U16" s="37">
        <v>13.2</v>
      </c>
      <c r="V16" s="37">
        <v>0</v>
      </c>
      <c r="W16" s="33">
        <v>22.1</v>
      </c>
      <c r="X16" s="37">
        <v>6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$56&lt;&gt;"")*(G$3:G$56=G17)*(J$3:J$56&gt;J17)*(I$3:I$56="P"))+1,IF(O17&lt;&gt;"",SUMPRODUCT((O$3:O$56&lt;&gt;"")*(P$3:P$56="")*(G$3:G$56=G17)*(J$3:J$56&gt;J17)*(I$3:I$56="P"))+SUMPRODUCT((P$3:P$56&lt;&gt;"")*(G$3:G$56=G17)*(I$3:I$56="P"))+1,IF(N17&lt;&gt;"",SUMPRODUCT((N$3:N$56&lt;&gt;"")*(G$3:G$56=G17)*(J$3:J$56&gt;J17)*(I$3:I$56="P"))+1,IF(M17="P",SUMPRODUCT((O$3:O$56&lt;&gt;"")*(P$3:P$56="")*(G$3:G$56=G17)*(I$3:I$56="P"))+SUMPRODUCT((P$3:P$56&lt;&gt;"")*(G$3:G$56=G17)*(I$3:I$56="P"))+SUMPRODUCT((N$3:N$56&lt;&gt;"")*(G$3:G$56=G17)*(I$3:I$56="P"))+SUMPRODUCT((P$3:P$56="")*(O$3:O$56="")*(N$3:N$56="")*(M$3:M$56="P")*(G$3:G$56=G17)*(J$3:J$56&gt;J17)*(I$3:I$56="P"))+IF(H17="L5",SUMPRODUCT((P$3:P$56="")*(O$3:O$56="")*(N$3:N$56="")*(M$3:M$56="P")*(G$3:G$56=G17)*(J$3:J$56&lt;J17)*(H$3:H$56&lt;&gt;H17)*(I$3:I$56="P")),-1*SUMPRODUCT((P$3:P$56="")*(O$3:O$56="")*(N$3:N$56="")*(M$3:M$56="P")*(G$3:G$56=G17)*(J$3:J$56&gt;J17)*(H$3:H$56="L5")*(I$3:I$56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349</v>
      </c>
      <c r="D17" t="str">
        <f>IF(E17="","",VLOOKUP(E17,'Coaching Points'!A:B,2,0))</f>
        <v>BC</v>
      </c>
      <c r="E17" s="35" t="s">
        <v>60</v>
      </c>
      <c r="F17" s="34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93.200100000000006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46.7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46.5</v>
      </c>
      <c r="T17" s="32">
        <v>46.5</v>
      </c>
      <c r="U17" s="37">
        <v>9.6000000000000014</v>
      </c>
      <c r="V17" s="37">
        <v>0</v>
      </c>
      <c r="W17" s="33">
        <v>46.7</v>
      </c>
      <c r="X17" s="37">
        <v>10.4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$56&lt;&gt;"")*(G$3:G$56=G18)*(J$3:J$56&gt;J18)*(I$3:I$56="P"))+1,IF(O18&lt;&gt;"",SUMPRODUCT((O$3:O$56&lt;&gt;"")*(P$3:P$56="")*(G$3:G$56=G18)*(J$3:J$56&gt;J18)*(I$3:I$56="P"))+SUMPRODUCT((P$3:P$56&lt;&gt;"")*(G$3:G$56=G18)*(I$3:I$56="P"))+1,IF(N18&lt;&gt;"",SUMPRODUCT((N$3:N$56&lt;&gt;"")*(G$3:G$56=G18)*(J$3:J$56&gt;J18)*(I$3:I$56="P"))+1,IF(M18="P",SUMPRODUCT((O$3:O$56&lt;&gt;"")*(P$3:P$56="")*(G$3:G$56=G18)*(I$3:I$56="P"))+SUMPRODUCT((P$3:P$56&lt;&gt;"")*(G$3:G$56=G18)*(I$3:I$56="P"))+SUMPRODUCT((N$3:N$56&lt;&gt;"")*(G$3:G$56=G18)*(I$3:I$56="P"))+SUMPRODUCT((P$3:P$56="")*(O$3:O$56="")*(N$3:N$56="")*(M$3:M$56="P")*(G$3:G$56=G18)*(J$3:J$56&gt;J18)*(I$3:I$56="P"))+IF(H18="L5",SUMPRODUCT((P$3:P$56="")*(O$3:O$56="")*(N$3:N$56="")*(M$3:M$56="P")*(G$3:G$56=G18)*(J$3:J$56&lt;J18)*(H$3:H$56&lt;&gt;H18)*(I$3:I$56="P")),-1*SUMPRODUCT((P$3:P$56="")*(O$3:O$56="")*(N$3:N$56="")*(M$3:M$56="P")*(G$3:G$56=G18)*(J$3:J$56&gt;J18)*(H$3:H$56="L5")*(I$3:I$56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154</v>
      </c>
      <c r="D18" t="str">
        <f>IF(E18="","",VLOOKUP(E18,'Coaching Points'!A:B,2,0))</f>
        <v>AB</v>
      </c>
      <c r="E18" s="35" t="s">
        <v>28</v>
      </c>
      <c r="F18" s="34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90.200099999999992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/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45.3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44.9</v>
      </c>
      <c r="T18" s="32">
        <v>44.9</v>
      </c>
      <c r="U18" s="37">
        <v>10.3</v>
      </c>
      <c r="V18" s="37">
        <v>0</v>
      </c>
      <c r="W18" s="33">
        <v>45.3</v>
      </c>
      <c r="X18" s="37">
        <v>10.3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$56&lt;&gt;"")*(G$3:G$56=G19)*(J$3:J$56&gt;J19)*(I$3:I$56="P"))+1,IF(O19&lt;&gt;"",SUMPRODUCT((O$3:O$56&lt;&gt;"")*(P$3:P$56="")*(G$3:G$56=G19)*(J$3:J$56&gt;J19)*(I$3:I$56="P"))+SUMPRODUCT((P$3:P$56&lt;&gt;"")*(G$3:G$56=G19)*(I$3:I$56="P"))+1,IF(N19&lt;&gt;"",SUMPRODUCT((N$3:N$56&lt;&gt;"")*(G$3:G$56=G19)*(J$3:J$56&gt;J19)*(I$3:I$56="P"))+1,IF(M19="P",SUMPRODUCT((O$3:O$56&lt;&gt;"")*(P$3:P$56="")*(G$3:G$56=G19)*(I$3:I$56="P"))+SUMPRODUCT((P$3:P$56&lt;&gt;"")*(G$3:G$56=G19)*(I$3:I$56="P"))+SUMPRODUCT((N$3:N$56&lt;&gt;"")*(G$3:G$56=G19)*(I$3:I$56="P"))+SUMPRODUCT((P$3:P$56="")*(O$3:O$56="")*(N$3:N$56="")*(M$3:M$56="P")*(G$3:G$56=G19)*(J$3:J$56&gt;J19)*(I$3:I$56="P"))+IF(H19="L5",SUMPRODUCT((P$3:P$56="")*(O$3:O$56="")*(N$3:N$56="")*(M$3:M$56="P")*(G$3:G$56=G19)*(J$3:J$56&lt;J19)*(H$3:H$56&lt;&gt;H19)*(I$3:I$56="P")),-1*SUMPRODUCT((P$3:P$56="")*(O$3:O$56="")*(N$3:N$56="")*(M$3:M$56="P")*(G$3:G$56=G19)*(J$3:J$56&gt;J19)*(H$3:H$56="L5")*(I$3:I$56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74</v>
      </c>
      <c r="D19" t="str">
        <f>IF(E19="","",VLOOKUP(E19,'Coaching Points'!A:B,2,0))</f>
        <v>AB</v>
      </c>
      <c r="E19" s="35" t="s">
        <v>62</v>
      </c>
      <c r="F19" s="34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87.000100000000003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/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45.5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41.5</v>
      </c>
      <c r="T19" s="32">
        <v>41.5</v>
      </c>
      <c r="U19" s="37">
        <v>8.4</v>
      </c>
      <c r="V19" s="37">
        <v>0</v>
      </c>
      <c r="W19" s="33">
        <v>45.5</v>
      </c>
      <c r="X19" s="37">
        <v>11.600000000000001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$56&lt;&gt;"")*(G$3:G$56=G20)*(J$3:J$56&gt;J20)*(I$3:I$56="P"))+1,IF(O20&lt;&gt;"",SUMPRODUCT((O$3:O$56&lt;&gt;"")*(P$3:P$56="")*(G$3:G$56=G20)*(J$3:J$56&gt;J20)*(I$3:I$56="P"))+SUMPRODUCT((P$3:P$56&lt;&gt;"")*(G$3:G$56=G20)*(I$3:I$56="P"))+1,IF(N20&lt;&gt;"",SUMPRODUCT((N$3:N$56&lt;&gt;"")*(G$3:G$56=G20)*(J$3:J$56&gt;J20)*(I$3:I$56="P"))+1,IF(M20="P",SUMPRODUCT((O$3:O$56&lt;&gt;"")*(P$3:P$56="")*(G$3:G$56=G20)*(I$3:I$56="P"))+SUMPRODUCT((P$3:P$56&lt;&gt;"")*(G$3:G$56=G20)*(I$3:I$56="P"))+SUMPRODUCT((N$3:N$56&lt;&gt;"")*(G$3:G$56=G20)*(I$3:I$56="P"))+SUMPRODUCT((P$3:P$56="")*(O$3:O$56="")*(N$3:N$56="")*(M$3:M$56="P")*(G$3:G$56=G20)*(J$3:J$56&gt;J20)*(I$3:I$56="P"))+IF(H20="L5",SUMPRODUCT((P$3:P$56="")*(O$3:O$56="")*(N$3:N$56="")*(M$3:M$56="P")*(G$3:G$56=G20)*(J$3:J$56&lt;J20)*(H$3:H$56&lt;&gt;H20)*(I$3:I$56="P")),-1*SUMPRODUCT((P$3:P$56="")*(O$3:O$56="")*(N$3:N$56="")*(M$3:M$56="P")*(G$3:G$56=G20)*(J$3:J$56&gt;J20)*(H$3:H$56="L5")*(I$3:I$56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358</v>
      </c>
      <c r="D20" t="str">
        <f>IF(E20="","",VLOOKUP(E20,'Coaching Points'!A:B,2,0))</f>
        <v>MB</v>
      </c>
      <c r="E20" s="35" t="s">
        <v>63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86.2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43.5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42.7</v>
      </c>
      <c r="T20" s="32">
        <v>42.7</v>
      </c>
      <c r="U20" s="37">
        <v>7.2</v>
      </c>
      <c r="V20" s="37">
        <v>0</v>
      </c>
      <c r="W20" s="33">
        <v>43.5</v>
      </c>
      <c r="X20" s="37">
        <v>7.8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$56&lt;&gt;"")*(G$3:G$56=G21)*(J$3:J$56&gt;J21)*(I$3:I$56="P"))+1,IF(O21&lt;&gt;"",SUMPRODUCT((O$3:O$56&lt;&gt;"")*(P$3:P$56="")*(G$3:G$56=G21)*(J$3:J$56&gt;J21)*(I$3:I$56="P"))+SUMPRODUCT((P$3:P$56&lt;&gt;"")*(G$3:G$56=G21)*(I$3:I$56="P"))+1,IF(N21&lt;&gt;"",SUMPRODUCT((N$3:N$56&lt;&gt;"")*(G$3:G$56=G21)*(J$3:J$56&gt;J21)*(I$3:I$56="P"))+1,IF(M21="P",SUMPRODUCT((O$3:O$56&lt;&gt;"")*(P$3:P$56="")*(G$3:G$56=G21)*(I$3:I$56="P"))+SUMPRODUCT((P$3:P$56&lt;&gt;"")*(G$3:G$56=G21)*(I$3:I$56="P"))+SUMPRODUCT((N$3:N$56&lt;&gt;"")*(G$3:G$56=G21)*(I$3:I$56="P"))+SUMPRODUCT((P$3:P$56="")*(O$3:O$56="")*(N$3:N$56="")*(M$3:M$56="P")*(G$3:G$56=G21)*(J$3:J$56&gt;J21)*(I$3:I$56="P"))+IF(H21="L5",SUMPRODUCT((P$3:P$56="")*(O$3:O$56="")*(N$3:N$56="")*(M$3:M$56="P")*(G$3:G$56=G21)*(J$3:J$56&lt;J21)*(H$3:H$56&lt;&gt;H21)*(I$3:I$56="P")),-1*SUMPRODUCT((P$3:P$56="")*(O$3:O$56="")*(N$3:N$56="")*(M$3:M$56="P")*(G$3:G$56=G21)*(J$3:J$56&gt;J21)*(H$3:H$56="L5")*(I$3:I$56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360</v>
      </c>
      <c r="D21" t="str">
        <f>IF(E21="","",VLOOKUP(E21,'Coaching Points'!A:B,2,0))</f>
        <v>BC</v>
      </c>
      <c r="E21" s="35" t="s">
        <v>40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84.1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46.1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38</v>
      </c>
      <c r="T21" s="32">
        <v>46.1</v>
      </c>
      <c r="U21" s="37">
        <v>9.6</v>
      </c>
      <c r="V21" s="37">
        <v>0</v>
      </c>
      <c r="W21" s="33">
        <v>38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$56&lt;&gt;"")*(G$3:G$56=G22)*(J$3:J$56&gt;J22)*(I$3:I$56="P"))+1,IF(O22&lt;&gt;"",SUMPRODUCT((O$3:O$56&lt;&gt;"")*(P$3:P$56="")*(G$3:G$56=G22)*(J$3:J$56&gt;J22)*(I$3:I$56="P"))+SUMPRODUCT((P$3:P$56&lt;&gt;"")*(G$3:G$56=G22)*(I$3:I$56="P"))+1,IF(N22&lt;&gt;"",SUMPRODUCT((N$3:N$56&lt;&gt;"")*(G$3:G$56=G22)*(J$3:J$56&gt;J22)*(I$3:I$56="P"))+1,IF(M22="P",SUMPRODUCT((O$3:O$56&lt;&gt;"")*(P$3:P$56="")*(G$3:G$56=G22)*(I$3:I$56="P"))+SUMPRODUCT((P$3:P$56&lt;&gt;"")*(G$3:G$56=G22)*(I$3:I$56="P"))+SUMPRODUCT((N$3:N$56&lt;&gt;"")*(G$3:G$56=G22)*(I$3:I$56="P"))+SUMPRODUCT((P$3:P$56="")*(O$3:O$56="")*(N$3:N$56="")*(M$3:M$56="P")*(G$3:G$56=G22)*(J$3:J$56&gt;J22)*(I$3:I$56="P"))+IF(H22="L5",SUMPRODUCT((P$3:P$56="")*(O$3:O$56="")*(N$3:N$56="")*(M$3:M$56="P")*(G$3:G$56=G22)*(J$3:J$56&lt;J22)*(H$3:H$56&lt;&gt;H22)*(I$3:I$56="P")),-1*SUMPRODUCT((P$3:P$56="")*(O$3:O$56="")*(N$3:N$56="")*(M$3:M$56="P")*(G$3:G$56=G22)*(J$3:J$56&gt;J22)*(H$3:H$56="L5")*(I$3:I$56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204</v>
      </c>
      <c r="D22" t="str">
        <f>IF(E22="","",VLOOKUP(E22,'Coaching Points'!A:B,2,0))</f>
        <v>BC</v>
      </c>
      <c r="E22" s="35" t="s">
        <v>40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83.400100000000009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44.1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39.299999999999997</v>
      </c>
      <c r="T22" s="32">
        <v>44.1</v>
      </c>
      <c r="U22" s="37">
        <v>8.6999999999999993</v>
      </c>
      <c r="V22" s="37">
        <v>0</v>
      </c>
      <c r="W22" s="33">
        <v>39.299999999999997</v>
      </c>
      <c r="X22" s="37">
        <v>7.1999999999999993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$56&lt;&gt;"")*(G$3:G$56=G23)*(J$3:J$56&gt;J23)*(I$3:I$56="P"))+1,IF(O23&lt;&gt;"",SUMPRODUCT((O$3:O$56&lt;&gt;"")*(P$3:P$56="")*(G$3:G$56=G23)*(J$3:J$56&gt;J23)*(I$3:I$56="P"))+SUMPRODUCT((P$3:P$56&lt;&gt;"")*(G$3:G$56=G23)*(I$3:I$56="P"))+1,IF(N23&lt;&gt;"",SUMPRODUCT((N$3:N$56&lt;&gt;"")*(G$3:G$56=G23)*(J$3:J$56&gt;J23)*(I$3:I$56="P"))+1,IF(M23="P",SUMPRODUCT((O$3:O$56&lt;&gt;"")*(P$3:P$56="")*(G$3:G$56=G23)*(I$3:I$56="P"))+SUMPRODUCT((P$3:P$56&lt;&gt;"")*(G$3:G$56=G23)*(I$3:I$56="P"))+SUMPRODUCT((N$3:N$56&lt;&gt;"")*(G$3:G$56=G23)*(I$3:I$56="P"))+SUMPRODUCT((P$3:P$56="")*(O$3:O$56="")*(N$3:N$56="")*(M$3:M$56="P")*(G$3:G$56=G23)*(J$3:J$56&gt;J23)*(I$3:I$56="P"))+IF(H23="L5",SUMPRODUCT((P$3:P$56="")*(O$3:O$56="")*(N$3:N$56="")*(M$3:M$56="P")*(G$3:G$56=G23)*(J$3:J$56&lt;J23)*(H$3:H$56&lt;&gt;H23)*(I$3:I$56="P")),-1*SUMPRODUCT((P$3:P$56="")*(O$3:O$56="")*(N$3:N$56="")*(M$3:M$56="P")*(G$3:G$56=G23)*(J$3:J$56&gt;J23)*(H$3:H$56="L5")*(I$3:I$56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359</v>
      </c>
      <c r="D23" t="str">
        <f>IF(E23="","",VLOOKUP(E23,'Coaching Points'!A:B,2,0))</f>
        <v>BC</v>
      </c>
      <c r="E23" s="35" t="s">
        <v>40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83.1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42.7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40.4</v>
      </c>
      <c r="T23" s="32">
        <v>40.4</v>
      </c>
      <c r="U23" s="37">
        <v>8</v>
      </c>
      <c r="V23" s="37">
        <v>0</v>
      </c>
      <c r="W23" s="33">
        <v>42.7</v>
      </c>
      <c r="X23" s="37">
        <v>6.3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$56&lt;&gt;"")*(G$3:G$56=G24)*(J$3:J$56&gt;J24)*(I$3:I$56="P"))+1,IF(O24&lt;&gt;"",SUMPRODUCT((O$3:O$56&lt;&gt;"")*(P$3:P$56="")*(G$3:G$56=G24)*(J$3:J$56&gt;J24)*(I$3:I$56="P"))+SUMPRODUCT((P$3:P$56&lt;&gt;"")*(G$3:G$56=G24)*(I$3:I$56="P"))+1,IF(N24&lt;&gt;"",SUMPRODUCT((N$3:N$56&lt;&gt;"")*(G$3:G$56=G24)*(J$3:J$56&gt;J24)*(I$3:I$56="P"))+1,IF(M24="P",SUMPRODUCT((O$3:O$56&lt;&gt;"")*(P$3:P$56="")*(G$3:G$56=G24)*(I$3:I$56="P"))+SUMPRODUCT((P$3:P$56&lt;&gt;"")*(G$3:G$56=G24)*(I$3:I$56="P"))+SUMPRODUCT((N$3:N$56&lt;&gt;"")*(G$3:G$56=G24)*(I$3:I$56="P"))+SUMPRODUCT((P$3:P$56="")*(O$3:O$56="")*(N$3:N$56="")*(M$3:M$56="P")*(G$3:G$56=G24)*(J$3:J$56&gt;J24)*(I$3:I$56="P"))+IF(H24="L5",SUMPRODUCT((P$3:P$56="")*(O$3:O$56="")*(N$3:N$56="")*(M$3:M$56="P")*(G$3:G$56=G24)*(J$3:J$56&lt;J24)*(H$3:H$56&lt;&gt;H24)*(I$3:I$56="P")),-1*SUMPRODUCT((P$3:P$56="")*(O$3:O$56="")*(N$3:N$56="")*(M$3:M$56="P")*(G$3:G$56=G24)*(J$3:J$56&gt;J24)*(H$3:H$56="L5")*(I$3:I$56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357</v>
      </c>
      <c r="D24" t="str">
        <f>IF(E24="","",VLOOKUP(E24,'Coaching Points'!A:B,2,0))</f>
        <v>ON</v>
      </c>
      <c r="E24" s="35" t="s">
        <v>133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82.7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44.5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38.200000000000003</v>
      </c>
      <c r="T24" s="32">
        <v>38.200000000000003</v>
      </c>
      <c r="U24" s="37">
        <v>4.2</v>
      </c>
      <c r="V24" s="37">
        <v>0</v>
      </c>
      <c r="W24" s="33">
        <v>44.5</v>
      </c>
      <c r="X24" s="37">
        <v>9.6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$56&lt;&gt;"")*(G$3:G$56=G25)*(J$3:J$56&gt;J25)*(I$3:I$56="P"))+1,IF(O25&lt;&gt;"",SUMPRODUCT((O$3:O$56&lt;&gt;"")*(P$3:P$56="")*(G$3:G$56=G25)*(J$3:J$56&gt;J25)*(I$3:I$56="P"))+SUMPRODUCT((P$3:P$56&lt;&gt;"")*(G$3:G$56=G25)*(I$3:I$56="P"))+1,IF(N25&lt;&gt;"",SUMPRODUCT((N$3:N$56&lt;&gt;"")*(G$3:G$56=G25)*(J$3:J$56&gt;J25)*(I$3:I$56="P"))+1,IF(M25="P",SUMPRODUCT((O$3:O$56&lt;&gt;"")*(P$3:P$56="")*(G$3:G$56=G25)*(I$3:I$56="P"))+SUMPRODUCT((P$3:P$56&lt;&gt;"")*(G$3:G$56=G25)*(I$3:I$56="P"))+SUMPRODUCT((N$3:N$56&lt;&gt;"")*(G$3:G$56=G25)*(I$3:I$56="P"))+SUMPRODUCT((P$3:P$56="")*(O$3:O$56="")*(N$3:N$56="")*(M$3:M$56="P")*(G$3:G$56=G25)*(J$3:J$56&gt;J25)*(I$3:I$56="P"))+IF(H25="L5",SUMPRODUCT((P$3:P$56="")*(O$3:O$56="")*(N$3:N$56="")*(M$3:M$56="P")*(G$3:G$56=G25)*(J$3:J$56&lt;J25)*(H$3:H$56&lt;&gt;H25)*(I$3:I$56="P")),-1*SUMPRODUCT((P$3:P$56="")*(O$3:O$56="")*(N$3:N$56="")*(M$3:M$56="P")*(G$3:G$56=G25)*(J$3:J$56&gt;J25)*(H$3:H$56="L5")*(I$3:I$56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361</v>
      </c>
      <c r="D25" t="str">
        <f>IF(E25="","",VLOOKUP(E25,'Coaching Points'!A:B,2,0))</f>
        <v>BC</v>
      </c>
      <c r="E25" s="35" t="s">
        <v>44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78.5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41.3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37.200000000000003</v>
      </c>
      <c r="T25" s="32">
        <v>41.3</v>
      </c>
      <c r="U25" s="37">
        <v>4.8000000000000007</v>
      </c>
      <c r="V25" s="37">
        <v>0</v>
      </c>
      <c r="W25" s="33">
        <v>37.200000000000003</v>
      </c>
      <c r="X25" s="37">
        <v>4.7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$56&lt;&gt;"")*(G$3:G$56=G26)*(J$3:J$56&gt;J26)*(I$3:I$56="P"))+1,IF(O26&lt;&gt;"",SUMPRODUCT((O$3:O$56&lt;&gt;"")*(P$3:P$56="")*(G$3:G$56=G26)*(J$3:J$56&gt;J26)*(I$3:I$56="P"))+SUMPRODUCT((P$3:P$56&lt;&gt;"")*(G$3:G$56=G26)*(I$3:I$56="P"))+1,IF(N26&lt;&gt;"",SUMPRODUCT((N$3:N$56&lt;&gt;"")*(G$3:G$56=G26)*(J$3:J$56&gt;J26)*(I$3:I$56="P"))+1,IF(M26="P",SUMPRODUCT((O$3:O$56&lt;&gt;"")*(P$3:P$56="")*(G$3:G$56=G26)*(I$3:I$56="P"))+SUMPRODUCT((P$3:P$56&lt;&gt;"")*(G$3:G$56=G26)*(I$3:I$56="P"))+SUMPRODUCT((N$3:N$56&lt;&gt;"")*(G$3:G$56=G26)*(I$3:I$56="P"))+SUMPRODUCT((P$3:P$56="")*(O$3:O$56="")*(N$3:N$56="")*(M$3:M$56="P")*(G$3:G$56=G26)*(J$3:J$56&gt;J26)*(I$3:I$56="P"))+IF(H26="L5",SUMPRODUCT((P$3:P$56="")*(O$3:O$56="")*(N$3:N$56="")*(M$3:M$56="P")*(G$3:G$56=G26)*(J$3:J$56&lt;J26)*(H$3:H$56&lt;&gt;H26)*(I$3:I$56="P")),-1*SUMPRODUCT((P$3:P$56="")*(O$3:O$56="")*(N$3:N$56="")*(M$3:M$56="P")*(G$3:G$56=G26)*(J$3:J$56&gt;J26)*(H$3:H$56="L5")*(I$3:I$56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153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77.700099999999992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41.8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35.9</v>
      </c>
      <c r="T26" s="32">
        <v>35.9</v>
      </c>
      <c r="U26" s="37">
        <v>5.1999999999999993</v>
      </c>
      <c r="V26" s="37">
        <v>0</v>
      </c>
      <c r="W26" s="33">
        <v>41.8</v>
      </c>
      <c r="X26" s="37">
        <v>8.8000000000000007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$56&lt;&gt;"")*(G$3:G$56=G27)*(J$3:J$56&gt;J27)*(I$3:I$56="P"))+1,IF(O27&lt;&gt;"",SUMPRODUCT((O$3:O$56&lt;&gt;"")*(P$3:P$56="")*(G$3:G$56=G27)*(J$3:J$56&gt;J27)*(I$3:I$56="P"))+SUMPRODUCT((P$3:P$56&lt;&gt;"")*(G$3:G$56=G27)*(I$3:I$56="P"))+1,IF(N27&lt;&gt;"",SUMPRODUCT((N$3:N$56&lt;&gt;"")*(G$3:G$56=G27)*(J$3:J$56&gt;J27)*(I$3:I$56="P"))+1,IF(M27="P",SUMPRODUCT((O$3:O$56&lt;&gt;"")*(P$3:P$56="")*(G$3:G$56=G27)*(I$3:I$56="P"))+SUMPRODUCT((P$3:P$56&lt;&gt;"")*(G$3:G$56=G27)*(I$3:I$56="P"))+SUMPRODUCT((N$3:N$56&lt;&gt;"")*(G$3:G$56=G27)*(I$3:I$56="P"))+SUMPRODUCT((P$3:P$56="")*(O$3:O$56="")*(N$3:N$56="")*(M$3:M$56="P")*(G$3:G$56=G27)*(J$3:J$56&gt;J27)*(I$3:I$56="P"))+IF(H27="L5",SUMPRODUCT((P$3:P$56="")*(O$3:O$56="")*(N$3:N$56="")*(M$3:M$56="P")*(G$3:G$56=G27)*(J$3:J$56&lt;J27)*(H$3:H$56&lt;&gt;H27)*(I$3:I$56="P")),-1*SUMPRODUCT((P$3:P$56="")*(O$3:O$56="")*(N$3:N$56="")*(M$3:M$56="P")*(G$3:G$56=G27)*(J$3:J$56&gt;J27)*(H$3:H$56="L5")*(I$3:I$56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159</v>
      </c>
      <c r="D27" t="str">
        <f>IF(E27="","",VLOOKUP(E27,'Coaching Points'!A:B,2,0))</f>
        <v>BC</v>
      </c>
      <c r="E27" s="35" t="s">
        <v>59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77.099999999999994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40.299999999999997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36.799999999999997</v>
      </c>
      <c r="T27" s="32">
        <v>36.799999999999997</v>
      </c>
      <c r="U27" s="37">
        <v>3.4000000000000004</v>
      </c>
      <c r="V27" s="37">
        <v>0</v>
      </c>
      <c r="W27" s="33">
        <v>40.299999999999997</v>
      </c>
      <c r="X27" s="37">
        <v>4.9000000000000004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$56&lt;&gt;"")*(G$3:G$56=G28)*(J$3:J$56&gt;J28)*(I$3:I$56="P"))+1,IF(O28&lt;&gt;"",SUMPRODUCT((O$3:O$56&lt;&gt;"")*(P$3:P$56="")*(G$3:G$56=G28)*(J$3:J$56&gt;J28)*(I$3:I$56="P"))+SUMPRODUCT((P$3:P$56&lt;&gt;"")*(G$3:G$56=G28)*(I$3:I$56="P"))+1,IF(N28&lt;&gt;"",SUMPRODUCT((N$3:N$56&lt;&gt;"")*(G$3:G$56=G28)*(J$3:J$56&gt;J28)*(I$3:I$56="P"))+1,IF(M28="P",SUMPRODUCT((O$3:O$56&lt;&gt;"")*(P$3:P$56="")*(G$3:G$56=G28)*(I$3:I$56="P"))+SUMPRODUCT((P$3:P$56&lt;&gt;"")*(G$3:G$56=G28)*(I$3:I$56="P"))+SUMPRODUCT((N$3:N$56&lt;&gt;"")*(G$3:G$56=G28)*(I$3:I$56="P"))+SUMPRODUCT((P$3:P$56="")*(O$3:O$56="")*(N$3:N$56="")*(M$3:M$56="P")*(G$3:G$56=G28)*(J$3:J$56&gt;J28)*(I$3:I$56="P"))+IF(H28="L5",SUMPRODUCT((P$3:P$56="")*(O$3:O$56="")*(N$3:N$56="")*(M$3:M$56="P")*(G$3:G$56=G28)*(J$3:J$56&lt;J28)*(H$3:H$56&lt;&gt;H28)*(I$3:I$56="P")),-1*SUMPRODUCT((P$3:P$56="")*(O$3:O$56="")*(N$3:N$56="")*(M$3:M$56="P")*(G$3:G$56=G28)*(J$3:J$56&gt;J28)*(H$3:H$56="L5")*(I$3:I$56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346</v>
      </c>
      <c r="D28" t="str">
        <f>IF(E28="","",VLOOKUP(E28,'Coaching Points'!A:B,2,0))</f>
        <v>AB</v>
      </c>
      <c r="E28" s="35" t="s">
        <v>143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63.2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40.9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22.3</v>
      </c>
      <c r="T28" s="32">
        <v>40.9</v>
      </c>
      <c r="U28" s="37">
        <v>5.6</v>
      </c>
      <c r="V28" s="37">
        <v>0</v>
      </c>
      <c r="W28" s="33">
        <v>22.3</v>
      </c>
      <c r="X28" s="37">
        <v>4.3</v>
      </c>
      <c r="Y28" s="37">
        <v>0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$56&lt;&gt;"")*(G$3:G$56=G29)*(J$3:J$56&gt;J29)*(I$3:I$56="P"))+1,IF(O29&lt;&gt;"",SUMPRODUCT((O$3:O$56&lt;&gt;"")*(P$3:P$56="")*(G$3:G$56=G29)*(J$3:J$56&gt;J29)*(I$3:I$56="P"))+SUMPRODUCT((P$3:P$56&lt;&gt;"")*(G$3:G$56=G29)*(I$3:I$56="P"))+1,IF(N29&lt;&gt;"",SUMPRODUCT((N$3:N$56&lt;&gt;"")*(G$3:G$56=G29)*(J$3:J$56&gt;J29)*(I$3:I$56="P"))+1,IF(M29="P",SUMPRODUCT((O$3:O$56&lt;&gt;"")*(P$3:P$56="")*(G$3:G$56=G29)*(I$3:I$56="P"))+SUMPRODUCT((P$3:P$56&lt;&gt;"")*(G$3:G$56=G29)*(I$3:I$56="P"))+SUMPRODUCT((N$3:N$56&lt;&gt;"")*(G$3:G$56=G29)*(I$3:I$56="P"))+SUMPRODUCT((P$3:P$56="")*(O$3:O$56="")*(N$3:N$56="")*(M$3:M$56="P")*(G$3:G$56=G29)*(J$3:J$56&gt;J29)*(I$3:I$56="P"))+IF(H29="L5",SUMPRODUCT((P$3:P$56="")*(O$3:O$56="")*(N$3:N$56="")*(M$3:M$56="P")*(G$3:G$56=G29)*(J$3:J$56&lt;J29)*(H$3:H$56&lt;&gt;H29)*(I$3:I$56="P")),-1*SUMPRODUCT((P$3:P$56="")*(O$3:O$56="")*(N$3:N$56="")*(M$3:M$56="P")*(G$3:G$56=G29)*(J$3:J$56&gt;J29)*(H$3:H$56="L5")*(I$3:I$56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78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211</v>
      </c>
      <c r="I29" s="40"/>
      <c r="J29" s="4">
        <f>R29+S29+IF(OR(H29="Junior",H29="Senior"),0.0002,IF(OR(H29="L7",H29="L6"),0.0001,0))+MAX(Z29,AC29)*0.0000001</f>
        <v>48.100200000000001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>P</v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48.1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0</v>
      </c>
      <c r="T29" s="32">
        <v>48.1</v>
      </c>
      <c r="U29" s="37">
        <v>13.2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$56&lt;&gt;"")*(G$3:G$56=G30)*(J$3:J$56&gt;J30)*(I$3:I$56="P"))+1,IF(O30&lt;&gt;"",SUMPRODUCT((O$3:O$56&lt;&gt;"")*(P$3:P$56="")*(G$3:G$56=G30)*(J$3:J$56&gt;J30)*(I$3:I$56="P"))+SUMPRODUCT((P$3:P$56&lt;&gt;"")*(G$3:G$56=G30)*(I$3:I$56="P"))+1,IF(N30&lt;&gt;"",SUMPRODUCT((N$3:N$56&lt;&gt;"")*(G$3:G$56=G30)*(J$3:J$56&gt;J30)*(I$3:I$56="P"))+1,IF(M30="P",SUMPRODUCT((O$3:O$56&lt;&gt;"")*(P$3:P$56="")*(G$3:G$56=G30)*(I$3:I$56="P"))+SUMPRODUCT((P$3:P$56&lt;&gt;"")*(G$3:G$56=G30)*(I$3:I$56="P"))+SUMPRODUCT((N$3:N$56&lt;&gt;"")*(G$3:G$56=G30)*(I$3:I$56="P"))+SUMPRODUCT((P$3:P$56="")*(O$3:O$56="")*(N$3:N$56="")*(M$3:M$56="P")*(G$3:G$56=G30)*(J$3:J$56&gt;J30)*(I$3:I$56="P"))+IF(H30="L5",SUMPRODUCT((P$3:P$56="")*(O$3:O$56="")*(N$3:N$56="")*(M$3:M$56="P")*(G$3:G$56=G30)*(J$3:J$56&lt;J30)*(H$3:H$56&lt;&gt;H30)*(I$3:I$56="P")),-1*SUMPRODUCT((P$3:P$56="")*(O$3:O$56="")*(N$3:N$56="")*(M$3:M$56="P")*(G$3:G$56=G30)*(J$3:J$56&gt;J30)*(H$3:H$56="L5")*(I$3:I$56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111</v>
      </c>
      <c r="D30" t="str">
        <f>IF(E30="","",VLOOKUP(E30,'Coaching Points'!A:B,2,0))</f>
        <v>AB</v>
      </c>
      <c r="E30" s="35" t="s">
        <v>62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211</v>
      </c>
      <c r="I30" s="40"/>
      <c r="J30" s="4">
        <f>R30+S30+IF(OR(H30="Junior",H30="Senior"),0.0002,IF(OR(H30="L7",H30="L6"),0.0001,0))+MAX(Z30,AC30)*0.0000001</f>
        <v>46.800199999999997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>P</v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46.8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0</v>
      </c>
      <c r="T30" s="32">
        <v>46.8</v>
      </c>
      <c r="U30" s="37">
        <v>12.8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$56&lt;&gt;"")*(G$3:G$56=G31)*(J$3:J$56&gt;J31)*(I$3:I$56="P"))+1,IF(O31&lt;&gt;"",SUMPRODUCT((O$3:O$56&lt;&gt;"")*(P$3:P$56="")*(G$3:G$56=G31)*(J$3:J$56&gt;J31)*(I$3:I$56="P"))+SUMPRODUCT((P$3:P$56&lt;&gt;"")*(G$3:G$56=G31)*(I$3:I$56="P"))+1,IF(N31&lt;&gt;"",SUMPRODUCT((N$3:N$56&lt;&gt;"")*(G$3:G$56=G31)*(J$3:J$56&gt;J31)*(I$3:I$56="P"))+1,IF(M31="P",SUMPRODUCT((O$3:O$56&lt;&gt;"")*(P$3:P$56="")*(G$3:G$56=G31)*(I$3:I$56="P"))+SUMPRODUCT((P$3:P$56&lt;&gt;"")*(G$3:G$56=G31)*(I$3:I$56="P"))+SUMPRODUCT((N$3:N$56&lt;&gt;"")*(G$3:G$56=G31)*(I$3:I$56="P"))+SUMPRODUCT((P$3:P$56="")*(O$3:O$56="")*(N$3:N$56="")*(M$3:M$56="P")*(G$3:G$56=G31)*(J$3:J$56&gt;J31)*(I$3:I$56="P"))+IF(H31="L5",SUMPRODUCT((P$3:P$56="")*(O$3:O$56="")*(N$3:N$56="")*(M$3:M$56="P")*(G$3:G$56=G31)*(J$3:J$56&lt;J31)*(H$3:H$56&lt;&gt;H31)*(I$3:I$56="P")),-1*SUMPRODUCT((P$3:P$56="")*(O$3:O$56="")*(N$3:N$56="")*(M$3:M$56="P")*(G$3:G$56=G31)*(J$3:J$56&gt;J31)*(H$3:H$56="L5")*(I$3:I$56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110</v>
      </c>
      <c r="D31" t="str">
        <f>IF(E31="","",VLOOKUP(E31,'Coaching Points'!A:B,2,0))</f>
        <v>AB</v>
      </c>
      <c r="E31" s="35" t="s">
        <v>39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R31+S31+IF(OR(H31="Junior",H31="Senior"),0.0002,IF(OR(H31="L7",H31="L6"),0.0001,0))+MAX(Z31,AC31)*0.0000001</f>
        <v>46.5002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46.5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0</v>
      </c>
      <c r="T31" s="32">
        <v>46.5</v>
      </c>
      <c r="U31" s="37">
        <v>11.2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$56&lt;&gt;"")*(G$3:G$56=G32)*(J$3:J$56&gt;J32)*(I$3:I$56="P"))+1,IF(O32&lt;&gt;"",SUMPRODUCT((O$3:O$56&lt;&gt;"")*(P$3:P$56="")*(G$3:G$56=G32)*(J$3:J$56&gt;J32)*(I$3:I$56="P"))+SUMPRODUCT((P$3:P$56&lt;&gt;"")*(G$3:G$56=G32)*(I$3:I$56="P"))+1,IF(N32&lt;&gt;"",SUMPRODUCT((N$3:N$56&lt;&gt;"")*(G$3:G$56=G32)*(J$3:J$56&gt;J32)*(I$3:I$56="P"))+1,IF(M32="P",SUMPRODUCT((O$3:O$56&lt;&gt;"")*(P$3:P$56="")*(G$3:G$56=G32)*(I$3:I$56="P"))+SUMPRODUCT((P$3:P$56&lt;&gt;"")*(G$3:G$56=G32)*(I$3:I$56="P"))+SUMPRODUCT((N$3:N$56&lt;&gt;"")*(G$3:G$56=G32)*(I$3:I$56="P"))+SUMPRODUCT((P$3:P$56="")*(O$3:O$56="")*(N$3:N$56="")*(M$3:M$56="P")*(G$3:G$56=G32)*(J$3:J$56&gt;J32)*(I$3:I$56="P"))+IF(H32="L5",SUMPRODUCT((P$3:P$56="")*(O$3:O$56="")*(N$3:N$56="")*(M$3:M$56="P")*(G$3:G$56=G32)*(J$3:J$56&lt;J32)*(H$3:H$56&lt;&gt;H32)*(I$3:I$56="P")),-1*SUMPRODUCT((P$3:P$56="")*(O$3:O$56="")*(N$3:N$56="")*(M$3:M$56="P")*(G$3:G$56=G32)*(J$3:J$56&gt;J32)*(H$3:H$56="L5")*(I$3:I$56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148</v>
      </c>
      <c r="D32" t="str">
        <f>IF(E32="","",VLOOKUP(E32,'Coaching Points'!A:B,2,0))</f>
        <v>AB</v>
      </c>
      <c r="E32" s="35" t="s">
        <v>28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46.400199999999998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46.4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0</v>
      </c>
      <c r="T32" s="32">
        <v>46.4</v>
      </c>
      <c r="U32" s="37">
        <v>13.2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$56&lt;&gt;"")*(G$3:G$56=G33)*(J$3:J$56&gt;J33)*(I$3:I$56="P"))+1,IF(O33&lt;&gt;"",SUMPRODUCT((O$3:O$56&lt;&gt;"")*(P$3:P$56="")*(G$3:G$56=G33)*(J$3:J$56&gt;J33)*(I$3:I$56="P"))+SUMPRODUCT((P$3:P$56&lt;&gt;"")*(G$3:G$56=G33)*(I$3:I$56="P"))+1,IF(N33&lt;&gt;"",SUMPRODUCT((N$3:N$56&lt;&gt;"")*(G$3:G$56=G33)*(J$3:J$56&gt;J33)*(I$3:I$56="P"))+1,IF(M33="P",SUMPRODUCT((O$3:O$56&lt;&gt;"")*(P$3:P$56="")*(G$3:G$56=G33)*(I$3:I$56="P"))+SUMPRODUCT((P$3:P$56&lt;&gt;"")*(G$3:G$56=G33)*(I$3:I$56="P"))+SUMPRODUCT((N$3:N$56&lt;&gt;"")*(G$3:G$56=G33)*(I$3:I$56="P"))+SUMPRODUCT((P$3:P$56="")*(O$3:O$56="")*(N$3:N$56="")*(M$3:M$56="P")*(G$3:G$56=G33)*(J$3:J$56&gt;J33)*(I$3:I$56="P"))+IF(H33="L5",SUMPRODUCT((P$3:P$56="")*(O$3:O$56="")*(N$3:N$56="")*(M$3:M$56="P")*(G$3:G$56=G33)*(J$3:J$56&lt;J33)*(H$3:H$56&lt;&gt;H33)*(I$3:I$56="P")),-1*SUMPRODUCT((P$3:P$56="")*(O$3:O$56="")*(N$3:N$56="")*(M$3:M$56="P")*(G$3:G$56=G33)*(J$3:J$56&gt;J33)*(H$3:H$56="L5")*(I$3:I$56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155</v>
      </c>
      <c r="D33" t="str">
        <f>IF(E33="","",VLOOKUP(E33,'Coaching Points'!A:B,2,0))</f>
        <v>BC</v>
      </c>
      <c r="E33" s="35" t="s">
        <v>60</v>
      </c>
      <c r="F33" s="34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211</v>
      </c>
      <c r="I33" s="40"/>
      <c r="J33" s="4">
        <f>R33+S33+IF(OR(H33="Junior",H33="Senior"),0.0002,IF(OR(H33="L7",H33="L6"),0.0001,0))+MAX(Z33,AC33)*0.0000001</f>
        <v>46.200200000000002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46.2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0</v>
      </c>
      <c r="T33" s="32">
        <v>46.2</v>
      </c>
      <c r="U33" s="37">
        <v>12.4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$56&lt;&gt;"")*(G$3:G$56=G34)*(J$3:J$56&gt;J34)*(I$3:I$56="P"))+1,IF(O34&lt;&gt;"",SUMPRODUCT((O$3:O$56&lt;&gt;"")*(P$3:P$56="")*(G$3:G$56=G34)*(J$3:J$56&gt;J34)*(I$3:I$56="P"))+SUMPRODUCT((P$3:P$56&lt;&gt;"")*(G$3:G$56=G34)*(I$3:I$56="P"))+1,IF(N34&lt;&gt;"",SUMPRODUCT((N$3:N$56&lt;&gt;"")*(G$3:G$56=G34)*(J$3:J$56&gt;J34)*(I$3:I$56="P"))+1,IF(M34="P",SUMPRODUCT((O$3:O$56&lt;&gt;"")*(P$3:P$56="")*(G$3:G$56=G34)*(I$3:I$56="P"))+SUMPRODUCT((P$3:P$56&lt;&gt;"")*(G$3:G$56=G34)*(I$3:I$56="P"))+SUMPRODUCT((N$3:N$56&lt;&gt;"")*(G$3:G$56=G34)*(I$3:I$56="P"))+SUMPRODUCT((P$3:P$56="")*(O$3:O$56="")*(N$3:N$56="")*(M$3:M$56="P")*(G$3:G$56=G34)*(J$3:J$56&gt;J34)*(I$3:I$56="P"))+IF(H34="L5",SUMPRODUCT((P$3:P$56="")*(O$3:O$56="")*(N$3:N$56="")*(M$3:M$56="P")*(G$3:G$56=G34)*(J$3:J$56&lt;J34)*(H$3:H$56&lt;&gt;H34)*(I$3:I$56="P")),-1*SUMPRODUCT((P$3:P$56="")*(O$3:O$56="")*(N$3:N$56="")*(M$3:M$56="P")*(G$3:G$56=G34)*(J$3:J$56&gt;J34)*(H$3:H$56="L5")*(I$3:I$56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166</v>
      </c>
      <c r="D34" t="str">
        <f>IF(E34="","",VLOOKUP(E34,'Coaching Points'!A:B,2,0))</f>
        <v>AB</v>
      </c>
      <c r="E34" s="35" t="s">
        <v>56</v>
      </c>
      <c r="F34" s="34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211</v>
      </c>
      <c r="I34" s="40"/>
      <c r="J34" s="4">
        <f>R34+S34+IF(OR(H34="Junior",H34="Senior"),0.0002,IF(OR(H34="L7",H34="L6"),0.0001,0))+MAX(Z34,AC34)*0.0000001</f>
        <v>44.300199999999997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44.3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0</v>
      </c>
      <c r="T34" s="32">
        <v>44.3</v>
      </c>
      <c r="U34" s="37">
        <v>10.5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$56&lt;&gt;"")*(G$3:G$56=G35)*(J$3:J$56&gt;J35)*(I$3:I$56="P"))+1,IF(O35&lt;&gt;"",SUMPRODUCT((O$3:O$56&lt;&gt;"")*(P$3:P$56="")*(G$3:G$56=G35)*(J$3:J$56&gt;J35)*(I$3:I$56="P"))+SUMPRODUCT((P$3:P$56&lt;&gt;"")*(G$3:G$56=G35)*(I$3:I$56="P"))+1,IF(N35&lt;&gt;"",SUMPRODUCT((N$3:N$56&lt;&gt;"")*(G$3:G$56=G35)*(J$3:J$56&gt;J35)*(I$3:I$56="P"))+1,IF(M35="P",SUMPRODUCT((O$3:O$56&lt;&gt;"")*(P$3:P$56="")*(G$3:G$56=G35)*(I$3:I$56="P"))+SUMPRODUCT((P$3:P$56&lt;&gt;"")*(G$3:G$56=G35)*(I$3:I$56="P"))+SUMPRODUCT((N$3:N$56&lt;&gt;"")*(G$3:G$56=G35)*(I$3:I$56="P"))+SUMPRODUCT((P$3:P$56="")*(O$3:O$56="")*(N$3:N$56="")*(M$3:M$56="P")*(G$3:G$56=G35)*(J$3:J$56&gt;J35)*(I$3:I$56="P"))+IF(H35="L5",SUMPRODUCT((P$3:P$56="")*(O$3:O$56="")*(N$3:N$56="")*(M$3:M$56="P")*(G$3:G$56=G35)*(J$3:J$56&lt;J35)*(H$3:H$56&lt;&gt;H35)*(I$3:I$56="P")),-1*SUMPRODUCT((P$3:P$56="")*(O$3:O$56="")*(N$3:N$56="")*(M$3:M$56="P")*(G$3:G$56=G35)*(J$3:J$56&gt;J35)*(H$3:H$56="L5")*(I$3:I$56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184</v>
      </c>
      <c r="D35" t="str">
        <f>IF(E35="","",VLOOKUP(E35,'Coaching Points'!A:B,2,0))</f>
        <v>QC</v>
      </c>
      <c r="E35" s="35" t="s">
        <v>75</v>
      </c>
      <c r="F35" s="34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36.100100000000005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36.1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0</v>
      </c>
      <c r="T35" s="32">
        <v>36.1</v>
      </c>
      <c r="U35" s="37">
        <v>5.1999999999999993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$56&lt;&gt;"")*(G$3:G$56=G36)*(J$3:J$56&gt;J36)*(I$3:I$56="P"))+1,IF(O36&lt;&gt;"",SUMPRODUCT((O$3:O$56&lt;&gt;"")*(P$3:P$56="")*(G$3:G$56=G36)*(J$3:J$56&gt;J36)*(I$3:I$56="P"))+SUMPRODUCT((P$3:P$56&lt;&gt;"")*(G$3:G$56=G36)*(I$3:I$56="P"))+1,IF(N36&lt;&gt;"",SUMPRODUCT((N$3:N$56&lt;&gt;"")*(G$3:G$56=G36)*(J$3:J$56&gt;J36)*(I$3:I$56="P"))+1,IF(M36="P",SUMPRODUCT((O$3:O$56&lt;&gt;"")*(P$3:P$56="")*(G$3:G$56=G36)*(I$3:I$56="P"))+SUMPRODUCT((P$3:P$56&lt;&gt;"")*(G$3:G$56=G36)*(I$3:I$56="P"))+SUMPRODUCT((N$3:N$56&lt;&gt;"")*(G$3:G$56=G36)*(I$3:I$56="P"))+SUMPRODUCT((P$3:P$56="")*(O$3:O$56="")*(N$3:N$56="")*(M$3:M$56="P")*(G$3:G$56=G36)*(J$3:J$56&gt;J36)*(I$3:I$56="P"))+IF(H36="L5",SUMPRODUCT((P$3:P$56="")*(O$3:O$56="")*(N$3:N$56="")*(M$3:M$56="P")*(G$3:G$56=G36)*(J$3:J$56&lt;J36)*(H$3:H$56&lt;&gt;H36)*(I$3:I$56="P")),-1*SUMPRODUCT((P$3:P$56="")*(O$3:O$56="")*(N$3:N$56="")*(M$3:M$56="P")*(G$3:G$56=G36)*(J$3:J$56&gt;J36)*(H$3:H$56="L5")*(I$3:I$56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330</v>
      </c>
      <c r="D36" t="str">
        <f>IF(E36="","",VLOOKUP(E36,'Coaching Points'!A:B,2,0))</f>
        <v>AB</v>
      </c>
      <c r="E36" s="35" t="s">
        <v>62</v>
      </c>
      <c r="F36" s="34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211</v>
      </c>
      <c r="I36" s="40"/>
      <c r="J36" s="4">
        <f>R36+S36+IF(OR(H36="Junior",H36="Senior"),0.0002,IF(OR(H36="L7",H36="L6"),0.0001,0))+MAX(Z36,AC36)*0.0000001</f>
        <v>26.100200000000001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26.1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0</v>
      </c>
      <c r="T36" s="32">
        <v>26.1</v>
      </c>
      <c r="U36" s="37">
        <v>8.1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$56&lt;&gt;"")*(G$3:G$56=G37)*(J$3:J$56&gt;J37)*(I$3:I$56="P"))+1,IF(O37&lt;&gt;"",SUMPRODUCT((O$3:O$56&lt;&gt;"")*(P$3:P$56="")*(G$3:G$56=G37)*(J$3:J$56&gt;J37)*(I$3:I$56="P"))+SUMPRODUCT((P$3:P$56&lt;&gt;"")*(G$3:G$56=G37)*(I$3:I$56="P"))+1,IF(N37&lt;&gt;"",SUMPRODUCT((N$3:N$56&lt;&gt;"")*(G$3:G$56=G37)*(J$3:J$56&gt;J37)*(I$3:I$56="P"))+1,IF(M37="P",SUMPRODUCT((O$3:O$56&lt;&gt;"")*(P$3:P$56="")*(G$3:G$56=G37)*(I$3:I$56="P"))+SUMPRODUCT((P$3:P$56&lt;&gt;"")*(G$3:G$56=G37)*(I$3:I$56="P"))+SUMPRODUCT((N$3:N$56&lt;&gt;"")*(G$3:G$56=G37)*(I$3:I$56="P"))+SUMPRODUCT((P$3:P$56="")*(O$3:O$56="")*(N$3:N$56="")*(M$3:M$56="P")*(G$3:G$56=G37)*(J$3:J$56&gt;J37)*(I$3:I$56="P"))+IF(H37="L5",SUMPRODUCT((P$3:P$56="")*(O$3:O$56="")*(N$3:N$56="")*(M$3:M$56="P")*(G$3:G$56=G37)*(J$3:J$56&lt;J37)*(H$3:H$56&lt;&gt;H37)*(I$3:I$56="P")),-1*SUMPRODUCT((P$3:P$56="")*(O$3:O$56="")*(N$3:N$56="")*(M$3:M$56="P")*(G$3:G$56=G37)*(J$3:J$56&gt;J37)*(H$3:H$56="L5")*(I$3:I$56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205</v>
      </c>
      <c r="D37" t="str">
        <f>IF(E37="","",VLOOKUP(E37,'Coaching Points'!A:B,2,0))</f>
        <v>QC</v>
      </c>
      <c r="E37" s="35" t="s">
        <v>75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R37+S37+IF(OR(H37="Junior",H37="Senior"),0.0002,IF(OR(H37="L7",H37="L6"),0.0001,0))+MAX(Z37,AC37)*0.0000001</f>
        <v>22.4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22.4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0</v>
      </c>
      <c r="T37" s="32">
        <v>22.4</v>
      </c>
      <c r="U37" s="37">
        <v>3.3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$56&lt;&gt;"")*(G$3:G$56=G38)*(J$3:J$56&gt;J38)*(I$3:I$56="P"))+1,IF(O38&lt;&gt;"",SUMPRODUCT((O$3:O$56&lt;&gt;"")*(P$3:P$56="")*(G$3:G$56=G38)*(J$3:J$56&gt;J38)*(I$3:I$56="P"))+SUMPRODUCT((P$3:P$56&lt;&gt;"")*(G$3:G$56=G38)*(I$3:I$56="P"))+1,IF(N38&lt;&gt;"",SUMPRODUCT((N$3:N$56&lt;&gt;"")*(G$3:G$56=G38)*(J$3:J$56&gt;J38)*(I$3:I$56="P"))+1,IF(M38="P",SUMPRODUCT((O$3:O$56&lt;&gt;"")*(P$3:P$56="")*(G$3:G$56=G38)*(I$3:I$56="P"))+SUMPRODUCT((P$3:P$56&lt;&gt;"")*(G$3:G$56=G38)*(I$3:I$56="P"))+SUMPRODUCT((N$3:N$56&lt;&gt;"")*(G$3:G$56=G38)*(I$3:I$56="P"))+SUMPRODUCT((P$3:P$56="")*(O$3:O$56="")*(N$3:N$56="")*(M$3:M$56="P")*(G$3:G$56=G38)*(J$3:J$56&gt;J38)*(I$3:I$56="P"))+IF(H38="L5",SUMPRODUCT((P$3:P$56="")*(O$3:O$56="")*(N$3:N$56="")*(M$3:M$56="P")*(G$3:G$56=G38)*(J$3:J$56&lt;J38)*(H$3:H$56&lt;&gt;H38)*(I$3:I$56="P")),-1*SUMPRODUCT((P$3:P$56="")*(O$3:O$56="")*(N$3:N$56="")*(M$3:M$56="P")*(G$3:G$56=G38)*(J$3:J$56&gt;J38)*(H$3:H$56="L5")*(I$3:I$56="P")))+1,"")))))</f>
        <v/>
      </c>
      <c r="B38" s="1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>1</v>
      </c>
      <c r="C38" s="35" t="s">
        <v>171</v>
      </c>
      <c r="D38" t="str">
        <f>IF(E38="","",VLOOKUP(E38,'Coaching Points'!A:B,2,0))</f>
        <v>AB</v>
      </c>
      <c r="E38" s="35" t="s">
        <v>56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212</v>
      </c>
      <c r="I38" s="40"/>
      <c r="J38" s="4">
        <f>R38+S38+IF(OR(H38="Junior",H38="Senior"),0.0002,IF(OR(H38="L7",H38="L6"),0.0001,0))+MAX(Z38,AC38)*0.0000001</f>
        <v>97.000200000000007</v>
      </c>
      <c r="K38" s="3" t="str">
        <f>IF(G38="Not Age Eligible","",IF(MAX(T38,W38,Z38,AC38)&gt;=LOOKUP(G38,'Qualifying Scores'!$A$4:$A$7,'Qualifying Scores'!$F$4:$F$7),"P",""))</f>
        <v>P</v>
      </c>
      <c r="L38" s="3" t="str">
        <f>IF(G38="Not Age Eligible","",IF(MAX(U38,X38,AA38,AD38)&gt;=LOOKUP(G38,'Qualifying Scores'!$A$10:$A$13,'Qualifying Scores'!$F$10:$F$13),"P",""))</f>
        <v>P</v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>P</v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48.7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48.3</v>
      </c>
      <c r="T38" s="32">
        <v>48.7</v>
      </c>
      <c r="U38" s="37">
        <v>12.4</v>
      </c>
      <c r="V38" s="37">
        <v>0</v>
      </c>
      <c r="W38" s="33">
        <v>48.3</v>
      </c>
      <c r="X38" s="37">
        <v>11.600000000000001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$56&lt;&gt;"")*(G$3:G$56=G39)*(J$3:J$56&gt;J39)*(I$3:I$56="P"))+1,IF(O39&lt;&gt;"",SUMPRODUCT((O$3:O$56&lt;&gt;"")*(P$3:P$56="")*(G$3:G$56=G39)*(J$3:J$56&gt;J39)*(I$3:I$56="P"))+SUMPRODUCT((P$3:P$56&lt;&gt;"")*(G$3:G$56=G39)*(I$3:I$56="P"))+1,IF(N39&lt;&gt;"",SUMPRODUCT((N$3:N$56&lt;&gt;"")*(G$3:G$56=G39)*(J$3:J$56&gt;J39)*(I$3:I$56="P"))+1,IF(M39="P",SUMPRODUCT((O$3:O$56&lt;&gt;"")*(P$3:P$56="")*(G$3:G$56=G39)*(I$3:I$56="P"))+SUMPRODUCT((P$3:P$56&lt;&gt;"")*(G$3:G$56=G39)*(I$3:I$56="P"))+SUMPRODUCT((N$3:N$56&lt;&gt;"")*(G$3:G$56=G39)*(I$3:I$56="P"))+SUMPRODUCT((P$3:P$56="")*(O$3:O$56="")*(N$3:N$56="")*(M$3:M$56="P")*(G$3:G$56=G39)*(J$3:J$56&gt;J39)*(I$3:I$56="P"))+IF(H39="L5",SUMPRODUCT((P$3:P$56="")*(O$3:O$56="")*(N$3:N$56="")*(M$3:M$56="P")*(G$3:G$56=G39)*(J$3:J$56&lt;J39)*(H$3:H$56&lt;&gt;H39)*(I$3:I$56="P")),-1*SUMPRODUCT((P$3:P$56="")*(O$3:O$56="")*(N$3:N$56="")*(M$3:M$56="P")*(G$3:G$56=G39)*(J$3:J$56&gt;J39)*(H$3:H$56="L5")*(I$3:I$56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339</v>
      </c>
      <c r="D39" t="str">
        <f>IF(E39="","",VLOOKUP(E39,'Coaching Points'!A:B,2,0))</f>
        <v>AB</v>
      </c>
      <c r="E39" s="35" t="s">
        <v>56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93.400200000000012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>P</v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47.4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46</v>
      </c>
      <c r="T39" s="32">
        <v>46</v>
      </c>
      <c r="U39" s="37">
        <v>10.8</v>
      </c>
      <c r="V39" s="37">
        <v>0</v>
      </c>
      <c r="W39" s="33">
        <v>47.4</v>
      </c>
      <c r="X39" s="37">
        <v>11.6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$56&lt;&gt;"")*(G$3:G$56=G40)*(J$3:J$56&gt;J40)*(I$3:I$56="P"))+1,IF(O40&lt;&gt;"",SUMPRODUCT((O$3:O$56&lt;&gt;"")*(P$3:P$56="")*(G$3:G$56=G40)*(J$3:J$56&gt;J40)*(I$3:I$56="P"))+SUMPRODUCT((P$3:P$56&lt;&gt;"")*(G$3:G$56=G40)*(I$3:I$56="P"))+1,IF(N40&lt;&gt;"",SUMPRODUCT((N$3:N$56&lt;&gt;"")*(G$3:G$56=G40)*(J$3:J$56&gt;J40)*(I$3:I$56="P"))+1,IF(M40="P",SUMPRODUCT((O$3:O$56&lt;&gt;"")*(P$3:P$56="")*(G$3:G$56=G40)*(I$3:I$56="P"))+SUMPRODUCT((P$3:P$56&lt;&gt;"")*(G$3:G$56=G40)*(I$3:I$56="P"))+SUMPRODUCT((N$3:N$56&lt;&gt;"")*(G$3:G$56=G40)*(I$3:I$56="P"))+SUMPRODUCT((P$3:P$56="")*(O$3:O$56="")*(N$3:N$56="")*(M$3:M$56="P")*(G$3:G$56=G40)*(J$3:J$56&gt;J40)*(I$3:I$56="P"))+IF(H40="L5",SUMPRODUCT((P$3:P$56="")*(O$3:O$56="")*(N$3:N$56="")*(M$3:M$56="P")*(G$3:G$56=G40)*(J$3:J$56&lt;J40)*(H$3:H$56&lt;&gt;H40)*(I$3:I$56="P")),-1*SUMPRODUCT((P$3:P$56="")*(O$3:O$56="")*(N$3:N$56="")*(M$3:M$56="P")*(G$3:G$56=G40)*(J$3:J$56&gt;J40)*(H$3:H$56="L5")*(I$3:I$56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158</v>
      </c>
      <c r="D40" t="str">
        <f>IF(E40="","",VLOOKUP(E40,'Coaching Points'!A:B,2,0))</f>
        <v>BC</v>
      </c>
      <c r="E40" s="35" t="s">
        <v>128</v>
      </c>
      <c r="F40" s="34">
        <v>2009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212</v>
      </c>
      <c r="I40" s="40"/>
      <c r="J40" s="4">
        <f>R40+S40+IF(OR(H40="Junior",H40="Senior"),0.0002,IF(OR(H40="L7",H40="L6"),0.0001,0))+MAX(Z40,AC40)*0.0000001</f>
        <v>91.600200000000001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>P</v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47.2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44.4</v>
      </c>
      <c r="T40" s="32">
        <v>44.4</v>
      </c>
      <c r="U40" s="37">
        <v>10.8</v>
      </c>
      <c r="V40" s="37">
        <v>0</v>
      </c>
      <c r="W40" s="33">
        <v>47.2</v>
      </c>
      <c r="X40" s="37">
        <v>11.6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$56&lt;&gt;"")*(G$3:G$56=G41)*(J$3:J$56&gt;J41)*(I$3:I$56="P"))+1,IF(O41&lt;&gt;"",SUMPRODUCT((O$3:O$56&lt;&gt;"")*(P$3:P$56="")*(G$3:G$56=G41)*(J$3:J$56&gt;J41)*(I$3:I$56="P"))+SUMPRODUCT((P$3:P$56&lt;&gt;"")*(G$3:G$56=G41)*(I$3:I$56="P"))+1,IF(N41&lt;&gt;"",SUMPRODUCT((N$3:N$56&lt;&gt;"")*(G$3:G$56=G41)*(J$3:J$56&gt;J41)*(I$3:I$56="P"))+1,IF(M41="P",SUMPRODUCT((O$3:O$56&lt;&gt;"")*(P$3:P$56="")*(G$3:G$56=G41)*(I$3:I$56="P"))+SUMPRODUCT((P$3:P$56&lt;&gt;"")*(G$3:G$56=G41)*(I$3:I$56="P"))+SUMPRODUCT((N$3:N$56&lt;&gt;"")*(G$3:G$56=G41)*(I$3:I$56="P"))+SUMPRODUCT((P$3:P$56="")*(O$3:O$56="")*(N$3:N$56="")*(M$3:M$56="P")*(G$3:G$56=G41)*(J$3:J$56&gt;J41)*(I$3:I$56="P"))+IF(H41="L5",SUMPRODUCT((P$3:P$56="")*(O$3:O$56="")*(N$3:N$56="")*(M$3:M$56="P")*(G$3:G$56=G41)*(J$3:J$56&lt;J41)*(H$3:H$56&lt;&gt;H41)*(I$3:I$56="P")),-1*SUMPRODUCT((P$3:P$56="")*(O$3:O$56="")*(N$3:N$56="")*(M$3:M$56="P")*(G$3:G$56=G41)*(J$3:J$56&gt;J41)*(H$3:H$56="L5")*(I$3:I$56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117</v>
      </c>
      <c r="D41" t="str">
        <f>IF(E41="","",VLOOKUP(E41,'Coaching Points'!A:B,2,0))</f>
        <v>BC</v>
      </c>
      <c r="E41" s="35" t="s">
        <v>40</v>
      </c>
      <c r="F41" s="34">
        <v>2009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212</v>
      </c>
      <c r="I41" s="40"/>
      <c r="J41" s="4">
        <f>R41+S41+IF(OR(H41="Junior",H41="Senior"),0.0002,IF(OR(H41="L7",H41="L6"),0.0001,0))+MAX(Z41,AC41)*0.0000001</f>
        <v>91.000200000000007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>P</v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45.6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45.4</v>
      </c>
      <c r="T41" s="32">
        <v>45.6</v>
      </c>
      <c r="U41" s="37">
        <v>10.8</v>
      </c>
      <c r="V41" s="37">
        <v>0</v>
      </c>
      <c r="W41" s="33">
        <v>45.4</v>
      </c>
      <c r="X41" s="37">
        <v>12.4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$56&lt;&gt;"")*(G$3:G$56=G42)*(J$3:J$56&gt;J42)*(I$3:I$56="P"))+1,IF(O42&lt;&gt;"",SUMPRODUCT((O$3:O$56&lt;&gt;"")*(P$3:P$56="")*(G$3:G$56=G42)*(J$3:J$56&gt;J42)*(I$3:I$56="P"))+SUMPRODUCT((P$3:P$56&lt;&gt;"")*(G$3:G$56=G42)*(I$3:I$56="P"))+1,IF(N42&lt;&gt;"",SUMPRODUCT((N$3:N$56&lt;&gt;"")*(G$3:G$56=G42)*(J$3:J$56&gt;J42)*(I$3:I$56="P"))+1,IF(M42="P",SUMPRODUCT((O$3:O$56&lt;&gt;"")*(P$3:P$56="")*(G$3:G$56=G42)*(I$3:I$56="P"))+SUMPRODUCT((P$3:P$56&lt;&gt;"")*(G$3:G$56=G42)*(I$3:I$56="P"))+SUMPRODUCT((N$3:N$56&lt;&gt;"")*(G$3:G$56=G42)*(I$3:I$56="P"))+SUMPRODUCT((P$3:P$56="")*(O$3:O$56="")*(N$3:N$56="")*(M$3:M$56="P")*(G$3:G$56=G42)*(J$3:J$56&gt;J42)*(I$3:I$56="P"))+IF(H42="L5",SUMPRODUCT((P$3:P$56="")*(O$3:O$56="")*(N$3:N$56="")*(M$3:M$56="P")*(G$3:G$56=G42)*(J$3:J$56&lt;J42)*(H$3:H$56&lt;&gt;H42)*(I$3:I$56="P")),-1*SUMPRODUCT((P$3:P$56="")*(O$3:O$56="")*(N$3:N$56="")*(M$3:M$56="P")*(G$3:G$56=G42)*(J$3:J$56&gt;J42)*(H$3:H$56="L5")*(I$3:I$56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199</v>
      </c>
      <c r="D42" t="str">
        <f>IF(E42="","",VLOOKUP(E42,'Coaching Points'!A:B,2,0))</f>
        <v>QC</v>
      </c>
      <c r="E42" s="35" t="s">
        <v>3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86.1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43.2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42.9</v>
      </c>
      <c r="T42" s="32">
        <v>42.9</v>
      </c>
      <c r="U42" s="37">
        <v>5.7</v>
      </c>
      <c r="V42" s="37">
        <v>0</v>
      </c>
      <c r="W42" s="33">
        <v>43.2</v>
      </c>
      <c r="X42" s="37">
        <v>6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$56&lt;&gt;"")*(G$3:G$56=G43)*(J$3:J$56&gt;J43)*(I$3:I$56="P"))+1,IF(O43&lt;&gt;"",SUMPRODUCT((O$3:O$56&lt;&gt;"")*(P$3:P$56="")*(G$3:G$56=G43)*(J$3:J$56&gt;J43)*(I$3:I$56="P"))+SUMPRODUCT((P$3:P$56&lt;&gt;"")*(G$3:G$56=G43)*(I$3:I$56="P"))+1,IF(N43&lt;&gt;"",SUMPRODUCT((N$3:N$56&lt;&gt;"")*(G$3:G$56=G43)*(J$3:J$56&gt;J43)*(I$3:I$56="P"))+1,IF(M43="P",SUMPRODUCT((O$3:O$56&lt;&gt;"")*(P$3:P$56="")*(G$3:G$56=G43)*(I$3:I$56="P"))+SUMPRODUCT((P$3:P$56&lt;&gt;"")*(G$3:G$56=G43)*(I$3:I$56="P"))+SUMPRODUCT((N$3:N$56&lt;&gt;"")*(G$3:G$56=G43)*(I$3:I$56="P"))+SUMPRODUCT((P$3:P$56="")*(O$3:O$56="")*(N$3:N$56="")*(M$3:M$56="P")*(G$3:G$56=G43)*(J$3:J$56&gt;J43)*(I$3:I$56="P"))+IF(H43="L5",SUMPRODUCT((P$3:P$56="")*(O$3:O$56="")*(N$3:N$56="")*(M$3:M$56="P")*(G$3:G$56=G43)*(J$3:J$56&lt;J43)*(H$3:H$56&lt;&gt;H43)*(I$3:I$56="P")),-1*SUMPRODUCT((P$3:P$56="")*(O$3:O$56="")*(N$3:N$56="")*(M$3:M$56="P")*(G$3:G$56=G43)*(J$3:J$56&gt;J43)*(H$3:H$56="L5")*(I$3:I$56="P")))+1,"")))))</f>
        <v/>
      </c>
      <c r="B43" s="1" t="str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/>
      </c>
      <c r="C43" s="35" t="s">
        <v>354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85.9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43.8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42.1</v>
      </c>
      <c r="T43" s="32">
        <v>43.8</v>
      </c>
      <c r="U43" s="37">
        <v>9.6</v>
      </c>
      <c r="V43" s="37">
        <v>0</v>
      </c>
      <c r="W43" s="33">
        <v>42.1</v>
      </c>
      <c r="X43" s="37">
        <v>6.4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$56&lt;&gt;"")*(G$3:G$56=G44)*(J$3:J$56&gt;J44)*(I$3:I$56="P"))+1,IF(O44&lt;&gt;"",SUMPRODUCT((O$3:O$56&lt;&gt;"")*(P$3:P$56="")*(G$3:G$56=G44)*(J$3:J$56&gt;J44)*(I$3:I$56="P"))+SUMPRODUCT((P$3:P$56&lt;&gt;"")*(G$3:G$56=G44)*(I$3:I$56="P"))+1,IF(N44&lt;&gt;"",SUMPRODUCT((N$3:N$56&lt;&gt;"")*(G$3:G$56=G44)*(J$3:J$56&gt;J44)*(I$3:I$56="P"))+1,IF(M44="P",SUMPRODUCT((O$3:O$56&lt;&gt;"")*(P$3:P$56="")*(G$3:G$56=G44)*(I$3:I$56="P"))+SUMPRODUCT((P$3:P$56&lt;&gt;"")*(G$3:G$56=G44)*(I$3:I$56="P"))+SUMPRODUCT((N$3:N$56&lt;&gt;"")*(G$3:G$56=G44)*(I$3:I$56="P"))+SUMPRODUCT((P$3:P$56="")*(O$3:O$56="")*(N$3:N$56="")*(M$3:M$56="P")*(G$3:G$56=G44)*(J$3:J$56&gt;J44)*(I$3:I$56="P"))+IF(H44="L5",SUMPRODUCT((P$3:P$56="")*(O$3:O$56="")*(N$3:N$56="")*(M$3:M$56="P")*(G$3:G$56=G44)*(J$3:J$56&lt;J44)*(H$3:H$56&lt;&gt;H44)*(I$3:I$56="P")),-1*SUMPRODUCT((P$3:P$56="")*(O$3:O$56="")*(N$3:N$56="")*(M$3:M$56="P")*(G$3:G$56=G44)*(J$3:J$56&gt;J44)*(H$3:H$56="L5")*(I$3:I$56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198</v>
      </c>
      <c r="D44" t="str">
        <f>IF(E44="","",VLOOKUP(E44,'Coaching Points'!A:B,2,0))</f>
        <v>QC</v>
      </c>
      <c r="E44" s="35" t="s">
        <v>210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85.8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43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42.8</v>
      </c>
      <c r="T44" s="32">
        <v>43</v>
      </c>
      <c r="U44" s="37">
        <v>5.6</v>
      </c>
      <c r="V44" s="37">
        <v>0</v>
      </c>
      <c r="W44" s="33">
        <v>42.8</v>
      </c>
      <c r="X44" s="37">
        <v>6.2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$56&lt;&gt;"")*(G$3:G$56=G45)*(J$3:J$56&gt;J45)*(I$3:I$56="P"))+1,IF(O45&lt;&gt;"",SUMPRODUCT((O$3:O$56&lt;&gt;"")*(P$3:P$56="")*(G$3:G$56=G45)*(J$3:J$56&gt;J45)*(I$3:I$56="P"))+SUMPRODUCT((P$3:P$56&lt;&gt;"")*(G$3:G$56=G45)*(I$3:I$56="P"))+1,IF(N45&lt;&gt;"",SUMPRODUCT((N$3:N$56&lt;&gt;"")*(G$3:G$56=G45)*(J$3:J$56&gt;J45)*(I$3:I$56="P"))+1,IF(M45="P",SUMPRODUCT((O$3:O$56&lt;&gt;"")*(P$3:P$56="")*(G$3:G$56=G45)*(I$3:I$56="P"))+SUMPRODUCT((P$3:P$56&lt;&gt;"")*(G$3:G$56=G45)*(I$3:I$56="P"))+SUMPRODUCT((N$3:N$56&lt;&gt;"")*(G$3:G$56=G45)*(I$3:I$56="P"))+SUMPRODUCT((P$3:P$56="")*(O$3:O$56="")*(N$3:N$56="")*(M$3:M$56="P")*(G$3:G$56=G45)*(J$3:J$56&gt;J45)*(I$3:I$56="P"))+IF(H45="L5",SUMPRODUCT((P$3:P$56="")*(O$3:O$56="")*(N$3:N$56="")*(M$3:M$56="P")*(G$3:G$56=G45)*(J$3:J$56&lt;J45)*(H$3:H$56&lt;&gt;H45)*(I$3:I$56="P")),-1*SUMPRODUCT((P$3:P$56="")*(O$3:O$56="")*(N$3:N$56="")*(M$3:M$56="P")*(G$3:G$56=G45)*(J$3:J$56&gt;J45)*(H$3:H$56="L5")*(I$3:I$56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169</v>
      </c>
      <c r="D45" t="str">
        <f>IF(E45="","",VLOOKUP(E45,'Coaching Points'!A:B,2,0))</f>
        <v>NS</v>
      </c>
      <c r="E45" s="35" t="s">
        <v>86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84.9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43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41.9</v>
      </c>
      <c r="T45" s="32">
        <v>41.9</v>
      </c>
      <c r="U45" s="37">
        <v>6.3000000000000007</v>
      </c>
      <c r="V45" s="37">
        <v>0</v>
      </c>
      <c r="W45" s="33">
        <v>43</v>
      </c>
      <c r="X45" s="37">
        <v>6.6999999999999993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$56&lt;&gt;"")*(G$3:G$56=G46)*(J$3:J$56&gt;J46)*(I$3:I$56="P"))+1,IF(O46&lt;&gt;"",SUMPRODUCT((O$3:O$56&lt;&gt;"")*(P$3:P$56="")*(G$3:G$56=G46)*(J$3:J$56&gt;J46)*(I$3:I$56="P"))+SUMPRODUCT((P$3:P$56&lt;&gt;"")*(G$3:G$56=G46)*(I$3:I$56="P"))+1,IF(N46&lt;&gt;"",SUMPRODUCT((N$3:N$56&lt;&gt;"")*(G$3:G$56=G46)*(J$3:J$56&gt;J46)*(I$3:I$56="P"))+1,IF(M46="P",SUMPRODUCT((O$3:O$56&lt;&gt;"")*(P$3:P$56="")*(G$3:G$56=G46)*(I$3:I$56="P"))+SUMPRODUCT((P$3:P$56&lt;&gt;"")*(G$3:G$56=G46)*(I$3:I$56="P"))+SUMPRODUCT((N$3:N$56&lt;&gt;"")*(G$3:G$56=G46)*(I$3:I$56="P"))+SUMPRODUCT((P$3:P$56="")*(O$3:O$56="")*(N$3:N$56="")*(M$3:M$56="P")*(G$3:G$56=G46)*(J$3:J$56&gt;J46)*(I$3:I$56="P"))+IF(H46="L5",SUMPRODUCT((P$3:P$56="")*(O$3:O$56="")*(N$3:N$56="")*(M$3:M$56="P")*(G$3:G$56=G46)*(J$3:J$56&lt;J46)*(H$3:H$56&lt;&gt;H46)*(I$3:I$56="P")),-1*SUMPRODUCT((P$3:P$56="")*(O$3:O$56="")*(N$3:N$56="")*(M$3:M$56="P")*(G$3:G$56=G46)*(J$3:J$56&gt;J46)*(H$3:H$56="L5")*(I$3:I$56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168</v>
      </c>
      <c r="D46" t="str">
        <f>IF(E46="","",VLOOKUP(E46,'Coaching Points'!A:B,2,0))</f>
        <v>QC</v>
      </c>
      <c r="E46" s="35" t="s">
        <v>125</v>
      </c>
      <c r="F46" s="34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215</v>
      </c>
      <c r="I46" s="40"/>
      <c r="J46" s="4">
        <f>R46+S46+IF(OR(H46="Junior",H46="Senior"),0.0002,IF(OR(H46="L7",H46="L6"),0.0001,0))+MAX(Z46,AC46)*0.0000001</f>
        <v>84.7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42.5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42.2</v>
      </c>
      <c r="T46" s="32">
        <v>42.2</v>
      </c>
      <c r="U46" s="37">
        <v>6.4</v>
      </c>
      <c r="V46" s="37">
        <v>0</v>
      </c>
      <c r="W46" s="33">
        <v>42.5</v>
      </c>
      <c r="X46" s="37">
        <v>6.7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$56&lt;&gt;"")*(G$3:G$56=G47)*(J$3:J$56&gt;J47)*(I$3:I$56="P"))+1,IF(O47&lt;&gt;"",SUMPRODUCT((O$3:O$56&lt;&gt;"")*(P$3:P$56="")*(G$3:G$56=G47)*(J$3:J$56&gt;J47)*(I$3:I$56="P"))+SUMPRODUCT((P$3:P$56&lt;&gt;"")*(G$3:G$56=G47)*(I$3:I$56="P"))+1,IF(N47&lt;&gt;"",SUMPRODUCT((N$3:N$56&lt;&gt;"")*(G$3:G$56=G47)*(J$3:J$56&gt;J47)*(I$3:I$56="P"))+1,IF(M47="P",SUMPRODUCT((O$3:O$56&lt;&gt;"")*(P$3:P$56="")*(G$3:G$56=G47)*(I$3:I$56="P"))+SUMPRODUCT((P$3:P$56&lt;&gt;"")*(G$3:G$56=G47)*(I$3:I$56="P"))+SUMPRODUCT((N$3:N$56&lt;&gt;"")*(G$3:G$56=G47)*(I$3:I$56="P"))+SUMPRODUCT((P$3:P$56="")*(O$3:O$56="")*(N$3:N$56="")*(M$3:M$56="P")*(G$3:G$56=G47)*(J$3:J$56&gt;J47)*(I$3:I$56="P"))+IF(H47="L5",SUMPRODUCT((P$3:P$56="")*(O$3:O$56="")*(N$3:N$56="")*(M$3:M$56="P")*(G$3:G$56=G47)*(J$3:J$56&lt;J47)*(H$3:H$56&lt;&gt;H47)*(I$3:I$56="P")),-1*SUMPRODUCT((P$3:P$56="")*(O$3:O$56="")*(N$3:N$56="")*(M$3:M$56="P")*(G$3:G$56=G47)*(J$3:J$56&gt;J47)*(H$3:H$56="L5")*(I$3:I$56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183</v>
      </c>
      <c r="D47" t="str">
        <f>IF(E47="","",VLOOKUP(E47,'Coaching Points'!A:B,2,0))</f>
        <v>QC</v>
      </c>
      <c r="E47" s="35" t="s">
        <v>125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R47+S47+IF(OR(H47="Junior",H47="Senior"),0.0002,IF(OR(H47="L7",H47="L6"),0.0001,0))+MAX(Z47,AC47)*0.0000001</f>
        <v>84.1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42.3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41.8</v>
      </c>
      <c r="T47" s="32">
        <v>41.8</v>
      </c>
      <c r="U47" s="37">
        <v>6.1</v>
      </c>
      <c r="V47" s="37">
        <v>0</v>
      </c>
      <c r="W47" s="33">
        <v>42.3</v>
      </c>
      <c r="X47" s="37">
        <v>6.7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$56&lt;&gt;"")*(G$3:G$56=G48)*(J$3:J$56&gt;J48)*(I$3:I$56="P"))+1,IF(O48&lt;&gt;"",SUMPRODUCT((O$3:O$56&lt;&gt;"")*(P$3:P$56="")*(G$3:G$56=G48)*(J$3:J$56&gt;J48)*(I$3:I$56="P"))+SUMPRODUCT((P$3:P$56&lt;&gt;"")*(G$3:G$56=G48)*(I$3:I$56="P"))+1,IF(N48&lt;&gt;"",SUMPRODUCT((N$3:N$56&lt;&gt;"")*(G$3:G$56=G48)*(J$3:J$56&gt;J48)*(I$3:I$56="P"))+1,IF(M48="P",SUMPRODUCT((O$3:O$56&lt;&gt;"")*(P$3:P$56="")*(G$3:G$56=G48)*(I$3:I$56="P"))+SUMPRODUCT((P$3:P$56&lt;&gt;"")*(G$3:G$56=G48)*(I$3:I$56="P"))+SUMPRODUCT((N$3:N$56&lt;&gt;"")*(G$3:G$56=G48)*(I$3:I$56="P"))+SUMPRODUCT((P$3:P$56="")*(O$3:O$56="")*(N$3:N$56="")*(M$3:M$56="P")*(G$3:G$56=G48)*(J$3:J$56&gt;J48)*(I$3:I$56="P"))+IF(H48="L5",SUMPRODUCT((P$3:P$56="")*(O$3:O$56="")*(N$3:N$56="")*(M$3:M$56="P")*(G$3:G$56=G48)*(J$3:J$56&lt;J48)*(H$3:H$56&lt;&gt;H48)*(I$3:I$56="P")),-1*SUMPRODUCT((P$3:P$56="")*(O$3:O$56="")*(N$3:N$56="")*(M$3:M$56="P")*(G$3:G$56=G48)*(J$3:J$56&gt;J48)*(H$3:H$56="L5")*(I$3:I$56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200</v>
      </c>
      <c r="D48" t="str">
        <f>IF(E48="","",VLOOKUP(E48,'Coaching Points'!A:B,2,0))</f>
        <v>ON</v>
      </c>
      <c r="E48" s="35" t="s">
        <v>133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83.930200000000013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44.63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39.299999999999997</v>
      </c>
      <c r="T48" s="32">
        <v>44.63</v>
      </c>
      <c r="U48" s="37">
        <v>10</v>
      </c>
      <c r="V48" s="37">
        <v>0</v>
      </c>
      <c r="W48" s="33">
        <v>39.299999999999997</v>
      </c>
      <c r="X48" s="37">
        <v>8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$56&lt;&gt;"")*(G$3:G$56=G49)*(J$3:J$56&gt;J49)*(I$3:I$56="P"))+1,IF(O49&lt;&gt;"",SUMPRODUCT((O$3:O$56&lt;&gt;"")*(P$3:P$56="")*(G$3:G$56=G49)*(J$3:J$56&gt;J49)*(I$3:I$56="P"))+SUMPRODUCT((P$3:P$56&lt;&gt;"")*(G$3:G$56=G49)*(I$3:I$56="P"))+1,IF(N49&lt;&gt;"",SUMPRODUCT((N$3:N$56&lt;&gt;"")*(G$3:G$56=G49)*(J$3:J$56&gt;J49)*(I$3:I$56="P"))+1,IF(M49="P",SUMPRODUCT((O$3:O$56&lt;&gt;"")*(P$3:P$56="")*(G$3:G$56=G49)*(I$3:I$56="P"))+SUMPRODUCT((P$3:P$56&lt;&gt;"")*(G$3:G$56=G49)*(I$3:I$56="P"))+SUMPRODUCT((N$3:N$56&lt;&gt;"")*(G$3:G$56=G49)*(I$3:I$56="P"))+SUMPRODUCT((P$3:P$56="")*(O$3:O$56="")*(N$3:N$56="")*(M$3:M$56="P")*(G$3:G$56=G49)*(J$3:J$56&gt;J49)*(I$3:I$56="P"))+IF(H49="L5",SUMPRODUCT((P$3:P$56="")*(O$3:O$56="")*(N$3:N$56="")*(M$3:M$56="P")*(G$3:G$56=G49)*(J$3:J$56&lt;J49)*(H$3:H$56&lt;&gt;H49)*(I$3:I$56="P")),-1*SUMPRODUCT((P$3:P$56="")*(O$3:O$56="")*(N$3:N$56="")*(M$3:M$56="P")*(G$3:G$56=G49)*(J$3:J$56&gt;J49)*(H$3:H$56="L5")*(I$3:I$56="P")))+1,"")))))</f>
        <v/>
      </c>
      <c r="B49" s="1" t="str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/>
      </c>
      <c r="C49" s="35" t="s">
        <v>338</v>
      </c>
      <c r="D49" t="str">
        <f>IF(E49="","",VLOOKUP(E49,'Coaching Points'!A:B,2,0))</f>
        <v>NS</v>
      </c>
      <c r="E49" s="35" t="s">
        <v>86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83.1</v>
      </c>
      <c r="K49" s="3" t="str">
        <f>IF(G49="Not Age Eligible","",IF(MAX(T49,W49,Z49,AC49)&gt;=LOOKUP(G49,'Qualifying Scores'!$A$4:$A$7,'Qualifying Scores'!$F$4:$F$7),"P",""))</f>
        <v/>
      </c>
      <c r="L49" s="3" t="str">
        <f>IF(G49="Not Age Eligible","",IF(MAX(U49,X49,AA49,AD49)&gt;=LOOKUP(G49,'Qualifying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42.2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40.9</v>
      </c>
      <c r="T49" s="32">
        <v>40.9</v>
      </c>
      <c r="U49" s="37">
        <v>5.8000000000000007</v>
      </c>
      <c r="V49" s="37">
        <v>0</v>
      </c>
      <c r="W49" s="33">
        <v>42.2</v>
      </c>
      <c r="X49" s="37">
        <v>6.3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$56&lt;&gt;"")*(G$3:G$56=G50)*(J$3:J$56&gt;J50)*(I$3:I$56="P"))+1,IF(O50&lt;&gt;"",SUMPRODUCT((O$3:O$56&lt;&gt;"")*(P$3:P$56="")*(G$3:G$56=G50)*(J$3:J$56&gt;J50)*(I$3:I$56="P"))+SUMPRODUCT((P$3:P$56&lt;&gt;"")*(G$3:G$56=G50)*(I$3:I$56="P"))+1,IF(N50&lt;&gt;"",SUMPRODUCT((N$3:N$56&lt;&gt;"")*(G$3:G$56=G50)*(J$3:J$56&gt;J50)*(I$3:I$56="P"))+1,IF(M50="P",SUMPRODUCT((O$3:O$56&lt;&gt;"")*(P$3:P$56="")*(G$3:G$56=G50)*(I$3:I$56="P"))+SUMPRODUCT((P$3:P$56&lt;&gt;"")*(G$3:G$56=G50)*(I$3:I$56="P"))+SUMPRODUCT((N$3:N$56&lt;&gt;"")*(G$3:G$56=G50)*(I$3:I$56="P"))+SUMPRODUCT((P$3:P$56="")*(O$3:O$56="")*(N$3:N$56="")*(M$3:M$56="P")*(G$3:G$56=G50)*(J$3:J$56&gt;J50)*(I$3:I$56="P"))+IF(H50="L5",SUMPRODUCT((P$3:P$56="")*(O$3:O$56="")*(N$3:N$56="")*(M$3:M$56="P")*(G$3:G$56=G50)*(J$3:J$56&lt;J50)*(H$3:H$56&lt;&gt;H50)*(I$3:I$56="P")),-1*SUMPRODUCT((P$3:P$56="")*(O$3:O$56="")*(N$3:N$56="")*(M$3:M$56="P")*(G$3:G$56=G50)*(J$3:J$56&gt;J50)*(H$3:H$56="L5")*(I$3:I$56="P")))+1,"")))))</f>
        <v/>
      </c>
      <c r="B50" s="1" t="str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/>
      </c>
      <c r="C50" s="35" t="s">
        <v>353</v>
      </c>
      <c r="D50" t="str">
        <f>IF(E50="","",VLOOKUP(E50,'Coaching Points'!A:B,2,0))</f>
        <v>BC</v>
      </c>
      <c r="E50" s="35" t="s">
        <v>44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81.7</v>
      </c>
      <c r="K50" s="3" t="str">
        <f>IF(G50="Not Age Eligible","",IF(MAX(T50,W50,Z50,AC50)&gt;=LOOKUP(G50,'Qualifying Scores'!$A$4:$A$7,'Qualifying Scores'!$F$4:$F$7),"P",""))</f>
        <v/>
      </c>
      <c r="L50" s="3" t="str">
        <f>IF(G50="Not Age Eligible","",IF(MAX(U50,X50,AA50,AD50)&gt;=LOOKUP(G50,'Qualifying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43.6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38.1</v>
      </c>
      <c r="T50" s="32">
        <v>38.1</v>
      </c>
      <c r="U50" s="37">
        <v>5.1000000000000005</v>
      </c>
      <c r="V50" s="37">
        <v>0</v>
      </c>
      <c r="W50" s="33">
        <v>43.6</v>
      </c>
      <c r="X50" s="37">
        <v>7.1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$56&lt;&gt;"")*(G$3:G$56=G51)*(J$3:J$56&gt;J51)*(I$3:I$56="P"))+1,IF(O51&lt;&gt;"",SUMPRODUCT((O$3:O$56&lt;&gt;"")*(P$3:P$56="")*(G$3:G$56=G51)*(J$3:J$56&gt;J51)*(I$3:I$56="P"))+SUMPRODUCT((P$3:P$56&lt;&gt;"")*(G$3:G$56=G51)*(I$3:I$56="P"))+1,IF(N51&lt;&gt;"",SUMPRODUCT((N$3:N$56&lt;&gt;"")*(G$3:G$56=G51)*(J$3:J$56&gt;J51)*(I$3:I$56="P"))+1,IF(M51="P",SUMPRODUCT((O$3:O$56&lt;&gt;"")*(P$3:P$56="")*(G$3:G$56=G51)*(I$3:I$56="P"))+SUMPRODUCT((P$3:P$56&lt;&gt;"")*(G$3:G$56=G51)*(I$3:I$56="P"))+SUMPRODUCT((N$3:N$56&lt;&gt;"")*(G$3:G$56=G51)*(I$3:I$56="P"))+SUMPRODUCT((P$3:P$56="")*(O$3:O$56="")*(N$3:N$56="")*(M$3:M$56="P")*(G$3:G$56=G51)*(J$3:J$56&gt;J51)*(I$3:I$56="P"))+IF(H51="L5",SUMPRODUCT((P$3:P$56="")*(O$3:O$56="")*(N$3:N$56="")*(M$3:M$56="P")*(G$3:G$56=G51)*(J$3:J$56&lt;J51)*(H$3:H$56&lt;&gt;H51)*(I$3:I$56="P")),-1*SUMPRODUCT((P$3:P$56="")*(O$3:O$56="")*(N$3:N$56="")*(M$3:M$56="P")*(G$3:G$56=G51)*(J$3:J$56&gt;J51)*(H$3:H$56="L5")*(I$3:I$56="P")))+1,"")))))</f>
        <v/>
      </c>
      <c r="B51" s="1" t="str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/>
      </c>
      <c r="C51" s="35" t="s">
        <v>170</v>
      </c>
      <c r="D51" t="str">
        <f>IF(E51="","",VLOOKUP(E51,'Coaching Points'!A:B,2,0))</f>
        <v>BC</v>
      </c>
      <c r="E51" s="35" t="s">
        <v>44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74.5</v>
      </c>
      <c r="K51" s="3" t="str">
        <f>IF(G51="Not Age Eligible","",IF(MAX(T51,W51,Z51,AC51)&gt;=LOOKUP(G51,'Qualifying Scores'!$A$4:$A$7,'Qualifying Scores'!$F$4:$F$7),"P",""))</f>
        <v/>
      </c>
      <c r="L51" s="3" t="str">
        <f>IF(G51="Not Age Eligible","",IF(MAX(U51,X51,AA51,AD51)&gt;=LOOKUP(G51,'Qualifying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37.799999999999997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36.700000000000003</v>
      </c>
      <c r="T51" s="32">
        <v>37.799999999999997</v>
      </c>
      <c r="U51" s="37">
        <v>5.1000000000000005</v>
      </c>
      <c r="V51" s="37">
        <v>0</v>
      </c>
      <c r="W51" s="33">
        <v>36.700000000000003</v>
      </c>
      <c r="X51" s="37">
        <v>3.4000000000000004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$56&lt;&gt;"")*(G$3:G$56=G52)*(J$3:J$56&gt;J52)*(I$3:I$56="P"))+1,IF(O52&lt;&gt;"",SUMPRODUCT((O$3:O$56&lt;&gt;"")*(P$3:P$56="")*(G$3:G$56=G52)*(J$3:J$56&gt;J52)*(I$3:I$56="P"))+SUMPRODUCT((P$3:P$56&lt;&gt;"")*(G$3:G$56=G52)*(I$3:I$56="P"))+1,IF(N52&lt;&gt;"",SUMPRODUCT((N$3:N$56&lt;&gt;"")*(G$3:G$56=G52)*(J$3:J$56&gt;J52)*(I$3:I$56="P"))+1,IF(M52="P",SUMPRODUCT((O$3:O$56&lt;&gt;"")*(P$3:P$56="")*(G$3:G$56=G52)*(I$3:I$56="P"))+SUMPRODUCT((P$3:P$56&lt;&gt;"")*(G$3:G$56=G52)*(I$3:I$56="P"))+SUMPRODUCT((N$3:N$56&lt;&gt;"")*(G$3:G$56=G52)*(I$3:I$56="P"))+SUMPRODUCT((P$3:P$56="")*(O$3:O$56="")*(N$3:N$56="")*(M$3:M$56="P")*(G$3:G$56=G52)*(J$3:J$56&gt;J52)*(I$3:I$56="P"))+IF(H52="L5",SUMPRODUCT((P$3:P$56="")*(O$3:O$56="")*(N$3:N$56="")*(M$3:M$56="P")*(G$3:G$56=G52)*(J$3:J$56&lt;J52)*(H$3:H$56&lt;&gt;H52)*(I$3:I$56="P")),-1*SUMPRODUCT((P$3:P$56="")*(O$3:O$56="")*(N$3:N$56="")*(M$3:M$56="P")*(G$3:G$56=G52)*(J$3:J$56&gt;J52)*(H$3:H$56="L5")*(I$3:I$56="P")))+1,"")))))</f>
        <v/>
      </c>
      <c r="B52" s="1" t="str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/>
      </c>
      <c r="C52" s="35" t="s">
        <v>157</v>
      </c>
      <c r="D52" t="str">
        <f>IF(E52="","",VLOOKUP(E52,'Coaching Points'!A:B,2,0))</f>
        <v>AB</v>
      </c>
      <c r="E52" s="35" t="s">
        <v>28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22.900199999999998</v>
      </c>
      <c r="K52" s="3" t="str">
        <f>IF(G52="Not Age Eligible","",IF(MAX(T52,W52,Z52,AC52)&gt;=LOOKUP(G52,'Qualifying Scores'!$A$4:$A$7,'Qualifying Scores'!$F$4:$F$7),"P",""))</f>
        <v/>
      </c>
      <c r="L52" s="3" t="str">
        <f>IF(G52="Not Age Eligible","",IF(MAX(U52,X52,AA52,AD52)&gt;=LOOKUP(G52,'Qualifying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22.9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0</v>
      </c>
      <c r="T52" s="32">
        <v>22.9</v>
      </c>
      <c r="U52" s="37">
        <v>6.4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$56&lt;&gt;"")*(G$3:G$56=G53)*(J$3:J$56&gt;J53)*(I$3:I$56="P"))+1,IF(O53&lt;&gt;"",SUMPRODUCT((O$3:O$56&lt;&gt;"")*(P$3:P$56="")*(G$3:G$56=G53)*(J$3:J$56&gt;J53)*(I$3:I$56="P"))+SUMPRODUCT((P$3:P$56&lt;&gt;"")*(G$3:G$56=G53)*(I$3:I$56="P"))+1,IF(N53&lt;&gt;"",SUMPRODUCT((N$3:N$56&lt;&gt;"")*(G$3:G$56=G53)*(J$3:J$56&gt;J53)*(I$3:I$56="P"))+1,IF(M53="P",SUMPRODUCT((O$3:O$56&lt;&gt;"")*(P$3:P$56="")*(G$3:G$56=G53)*(I$3:I$56="P"))+SUMPRODUCT((P$3:P$56&lt;&gt;"")*(G$3:G$56=G53)*(I$3:I$56="P"))+SUMPRODUCT((N$3:N$56&lt;&gt;"")*(G$3:G$56=G53)*(I$3:I$56="P"))+SUMPRODUCT((P$3:P$56="")*(O$3:O$56="")*(N$3:N$56="")*(M$3:M$56="P")*(G$3:G$56=G53)*(J$3:J$56&gt;J53)*(I$3:I$56="P"))+IF(H53="L5",SUMPRODUCT((P$3:P$56="")*(O$3:O$56="")*(N$3:N$56="")*(M$3:M$56="P")*(G$3:G$56=G53)*(J$3:J$56&lt;J53)*(H$3:H$56&lt;&gt;H53)*(I$3:I$56="P")),-1*SUMPRODUCT((P$3:P$56="")*(O$3:O$56="")*(N$3:N$56="")*(M$3:M$56="P")*(G$3:G$56=G53)*(J$3:J$56&gt;J53)*(H$3:H$56="L5")*(I$3:I$56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355</v>
      </c>
      <c r="D53" t="str">
        <f>IF(E53="","",VLOOKUP(E53,'Coaching Points'!A:B,2,0))</f>
        <v>QC</v>
      </c>
      <c r="E53" s="35" t="s">
        <v>75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21.5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21.5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0</v>
      </c>
      <c r="T53" s="32">
        <v>21.5</v>
      </c>
      <c r="U53" s="37">
        <v>3</v>
      </c>
      <c r="V53" s="37">
        <v>0</v>
      </c>
      <c r="W53" s="33"/>
      <c r="X53" s="37"/>
      <c r="Y53" s="37"/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$56&lt;&gt;"")*(G$3:G$56=G54)*(J$3:J$56&gt;J54)*(I$3:I$56="P"))+1,IF(O54&lt;&gt;"",SUMPRODUCT((O$3:O$56&lt;&gt;"")*(P$3:P$56="")*(G$3:G$56=G54)*(J$3:J$56&gt;J54)*(I$3:I$56="P"))+SUMPRODUCT((P$3:P$56&lt;&gt;"")*(G$3:G$56=G54)*(I$3:I$56="P"))+1,IF(N54&lt;&gt;"",SUMPRODUCT((N$3:N$56&lt;&gt;"")*(G$3:G$56=G54)*(J$3:J$56&gt;J54)*(I$3:I$56="P"))+1,IF(M54="P",SUMPRODUCT((O$3:O$56&lt;&gt;"")*(P$3:P$56="")*(G$3:G$56=G54)*(I$3:I$56="P"))+SUMPRODUCT((P$3:P$56&lt;&gt;"")*(G$3:G$56=G54)*(I$3:I$56="P"))+SUMPRODUCT((N$3:N$56&lt;&gt;"")*(G$3:G$56=G54)*(I$3:I$56="P"))+SUMPRODUCT((P$3:P$56="")*(O$3:O$56="")*(N$3:N$56="")*(M$3:M$56="P")*(G$3:G$56=G54)*(J$3:J$56&gt;J54)*(I$3:I$56="P"))+IF(H54="L5",SUMPRODUCT((P$3:P$56="")*(O$3:O$56="")*(N$3:N$56="")*(M$3:M$56="P")*(G$3:G$56=G54)*(J$3:J$56&lt;J54)*(H$3:H$56&lt;&gt;H54)*(I$3:I$56="P")),-1*SUMPRODUCT((P$3:P$56="")*(O$3:O$56="")*(N$3:N$56="")*(M$3:M$56="P")*(G$3:G$56=G54)*(J$3:J$56&gt;J54)*(H$3:H$56="L5")*(I$3:I$56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356</v>
      </c>
      <c r="D54" t="str">
        <f>IF(E54="","",VLOOKUP(E54,'Coaching Points'!A:B,2,0))</f>
        <v>QC</v>
      </c>
      <c r="E54" s="35" t="s">
        <v>174</v>
      </c>
      <c r="F54" s="34">
        <v>2010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20.9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20.9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0</v>
      </c>
      <c r="T54" s="32">
        <v>20.9</v>
      </c>
      <c r="U54" s="37">
        <v>2.7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$56&lt;&gt;"")*(G$3:G$56=G55)*(J$3:J$56&gt;J55)*(I$3:I$56="P"))+1,IF(O55&lt;&gt;"",SUMPRODUCT((O$3:O$56&lt;&gt;"")*(P$3:P$56="")*(G$3:G$56=G55)*(J$3:J$56&gt;J55)*(I$3:I$56="P"))+SUMPRODUCT((P$3:P$56&lt;&gt;"")*(G$3:G$56=G55)*(I$3:I$56="P"))+1,IF(N55&lt;&gt;"",SUMPRODUCT((N$3:N$56&lt;&gt;"")*(G$3:G$56=G55)*(J$3:J$56&gt;J55)*(I$3:I$56="P"))+1,IF(M55="P",SUMPRODUCT((O$3:O$56&lt;&gt;"")*(P$3:P$56="")*(G$3:G$56=G55)*(I$3:I$56="P"))+SUMPRODUCT((P$3:P$56&lt;&gt;"")*(G$3:G$56=G55)*(I$3:I$56="P"))+SUMPRODUCT((N$3:N$56&lt;&gt;"")*(G$3:G$56=G55)*(I$3:I$56="P"))+SUMPRODUCT((P$3:P$56="")*(O$3:O$56="")*(N$3:N$56="")*(M$3:M$56="P")*(G$3:G$56=G55)*(J$3:J$56&gt;J55)*(I$3:I$56="P"))+IF(H55="L5",SUMPRODUCT((P$3:P$56="")*(O$3:O$56="")*(N$3:N$56="")*(M$3:M$56="P")*(G$3:G$56=G55)*(J$3:J$56&lt;J55)*(H$3:H$56&lt;&gt;H55)*(I$3:I$56="P")),-1*SUMPRODUCT((P$3:P$56="")*(O$3:O$56="")*(N$3:N$56="")*(M$3:M$56="P")*(G$3:G$56=G55)*(J$3:J$56&gt;J55)*(H$3:H$56="L5")*(I$3:I$56="P")))+1,"")))))</f>
        <v/>
      </c>
      <c r="B55" s="1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>1</v>
      </c>
      <c r="C55" s="35" t="s">
        <v>160</v>
      </c>
      <c r="D55" t="str">
        <f>IF(E55="","",VLOOKUP(E55,'Coaching Points'!A:B,2,0))</f>
        <v>BC</v>
      </c>
      <c r="E55" s="35" t="s">
        <v>60</v>
      </c>
      <c r="F55" s="34">
        <v>2012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212</v>
      </c>
      <c r="I55" s="40"/>
      <c r="J55" s="4">
        <f>R55+S55+IF(OR(H55="Junior",H55="Senior"),0.0002,IF(OR(H55="L7",H55="L6"),0.0001,0))+MAX(Z55,AC55)*0.0000001</f>
        <v>97.500200000000007</v>
      </c>
      <c r="K55" s="3" t="str">
        <f>IF(G55="Not Age Eligible","",IF(MAX(T55,W55,Z55,AC55)&gt;=LOOKUP(G55,'Qualifying Scores'!$A$4:$A$7,'Qualifying Scores'!$F$4:$F$7),"P",""))</f>
        <v>P</v>
      </c>
      <c r="L55" s="3" t="str">
        <f>IF(G55="Not Age Eligible","",IF(MAX(U55,X55,AA55,AD55)&gt;=LOOKUP(G55,'Qualifying Scores'!$A$10:$A$13,'Qualifying Scores'!$F$10:$F$13),"P",""))</f>
        <v>P</v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>P</v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49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48.5</v>
      </c>
      <c r="T55" s="32">
        <v>48.5</v>
      </c>
      <c r="U55" s="37">
        <v>10.8</v>
      </c>
      <c r="V55" s="37">
        <v>0</v>
      </c>
      <c r="W55" s="33">
        <v>49</v>
      </c>
      <c r="X55" s="37">
        <v>11.6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$56&lt;&gt;"")*(G$3:G$56=G56)*(J$3:J$56&gt;J56)*(I$3:I$56="P"))+1,IF(O56&lt;&gt;"",SUMPRODUCT((O$3:O$56&lt;&gt;"")*(P$3:P$56="")*(G$3:G$56=G56)*(J$3:J$56&gt;J56)*(I$3:I$56="P"))+SUMPRODUCT((P$3:P$56&lt;&gt;"")*(G$3:G$56=G56)*(I$3:I$56="P"))+1,IF(N56&lt;&gt;"",SUMPRODUCT((N$3:N$56&lt;&gt;"")*(G$3:G$56=G56)*(J$3:J$56&gt;J56)*(I$3:I$56="P"))+1,IF(M56="P",SUMPRODUCT((O$3:O$56&lt;&gt;"")*(P$3:P$56="")*(G$3:G$56=G56)*(I$3:I$56="P"))+SUMPRODUCT((P$3:P$56&lt;&gt;"")*(G$3:G$56=G56)*(I$3:I$56="P"))+SUMPRODUCT((N$3:N$56&lt;&gt;"")*(G$3:G$56=G56)*(I$3:I$56="P"))+SUMPRODUCT((P$3:P$56="")*(O$3:O$56="")*(N$3:N$56="")*(M$3:M$56="P")*(G$3:G$56=G56)*(J$3:J$56&gt;J56)*(I$3:I$56="P"))+IF(H56="L5",SUMPRODUCT((P$3:P$56="")*(O$3:O$56="")*(N$3:N$56="")*(M$3:M$56="P")*(G$3:G$56=G56)*(J$3:J$56&lt;J56)*(H$3:H$56&lt;&gt;H56)*(I$3:I$56="P")),-1*SUMPRODUCT((P$3:P$56="")*(O$3:O$56="")*(N$3:N$56="")*(M$3:M$56="P")*(G$3:G$56=G56)*(J$3:J$56&gt;J56)*(H$3:H$56="L5")*(I$3:I$56="P")))+1,"")))))</f>
        <v/>
      </c>
      <c r="B56" s="1" cm="1">
        <f t="array" ref="B56">IF(P56&lt;&gt;"",SUMPRODUCT((P$3:P$56&lt;&gt;"")*(G$3:G$56=G56)*(J$3:J$56&gt;J56))+1,IF(O56&lt;&gt;"",SUMPRODUCT((O$3:O$56&lt;&gt;"")*(P$3:P$56="")*(G$3:G$56=G56)*(J$3:J$56&gt;J56))+SUMPRODUCT((P$3:P$56&lt;&gt;"")*(G$3:G$56=G56))+1,IF(N56&lt;&gt;"",SUMPRODUCT((N$3:N$56&lt;&gt;"")*(G$3:G$56=G56)*(J$3:J$56&gt;J56))+1,IF(M56="P",SUMPRODUCT((O$3:O$56&lt;&gt;"")*(P$3:P$56="")*(G$3:G$56=G56))+SUMPRODUCT((P$3:P$56&lt;&gt;"")*(G$3:G$56=G56))+SUMPRODUCT((N$3:N$56&lt;&gt;"")*(G$3:G$56=G56))+SUMPRODUCT((P$3:P$56="")*(O$3:O$56="")*(N$3:N$56="")*(M$3:M$56="P")*(G$3:G$56=G56)*(J$3:J$56&gt;J56))+IF(H56="L5",SUMPRODUCT((P$3:P$56="")*(O$3:O$56="")*(N$3:N$56="")*(M$3:M$56="P")*(G$3:G$56=G56)*(J$3:J$56&lt;J56)*(H$3:H$56&lt;&gt;H56)),-1*SUMPRODUCT((P$3:P$56="")*(O$3:O$56="")*(N$3:N$56="")*(M$3:M$56="P")*(G$3:G$56=G56)*(J$3:J$56&gt;J56)*(H$3:H$56="L5")))+1,""))))</f>
        <v>2</v>
      </c>
      <c r="C56" s="35" t="s">
        <v>348</v>
      </c>
      <c r="D56" t="str">
        <f>IF(E56="","",VLOOKUP(E56,'Coaching Points'!A:B,2,0))</f>
        <v>BC</v>
      </c>
      <c r="E56" s="35" t="s">
        <v>59</v>
      </c>
      <c r="F56" s="34">
        <v>2011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13-14</v>
      </c>
      <c r="H56" s="36" t="s">
        <v>212</v>
      </c>
      <c r="I56" s="40"/>
      <c r="J56" s="4">
        <f>R56+S56+IF(OR(H56="Junior",H56="Senior"),0.0002,IF(OR(H56="L7",H56="L6"),0.0001,0))+MAX(Z56,AC56)*0.0000001</f>
        <v>91.800200000000004</v>
      </c>
      <c r="K56" s="3" t="str">
        <f>IF(G56="Not Age Eligible","",IF(MAX(T56,W56,Z56,AC56)&gt;=LOOKUP(G56,'Qualifying Scores'!$A$4:$A$7,'Qualifying Scores'!$F$4:$F$7),"P",""))</f>
        <v>P</v>
      </c>
      <c r="L56" s="3" t="str">
        <f>IF(G56="Not Age Eligible","",IF(MAX(U56,X56,AA56,AD56)&gt;=LOOKUP(G56,'Qualifying Scores'!$A$10:$A$13,'Qualifying Scores'!$F$10:$F$13),"P",""))</f>
        <v>P</v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>P</v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46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45.8</v>
      </c>
      <c r="T56" s="32">
        <v>46</v>
      </c>
      <c r="U56" s="37">
        <v>10.8</v>
      </c>
      <c r="V56" s="37">
        <v>0</v>
      </c>
      <c r="W56" s="33">
        <v>45.8</v>
      </c>
      <c r="X56" s="37">
        <v>10.8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$56&lt;&gt;"")*(G$3:G$56=G57)*(J$3:J$56&gt;J57)*(I$3:I$56="P"))+1,IF(O57&lt;&gt;"",SUMPRODUCT((O$3:O$56&lt;&gt;"")*(P$3:P$56="")*(G$3:G$56=G57)*(J$3:J$56&gt;J57)*(I$3:I$56="P"))+SUMPRODUCT((P$3:P$56&lt;&gt;"")*(G$3:G$56=G57)*(I$3:I$56="P"))+1,IF(N57&lt;&gt;"",SUMPRODUCT((N$3:N$56&lt;&gt;"")*(G$3:G$56=G57)*(J$3:J$56&gt;J57)*(I$3:I$56="P"))+1,IF(M57="P",SUMPRODUCT((O$3:O$56&lt;&gt;"")*(P$3:P$56="")*(G$3:G$56=G57)*(I$3:I$56="P"))+SUMPRODUCT((P$3:P$56&lt;&gt;"")*(G$3:G$56=G57)*(I$3:I$56="P"))+SUMPRODUCT((N$3:N$56&lt;&gt;"")*(G$3:G$56=G57)*(I$3:I$56="P"))+SUMPRODUCT((P$3:P$56="")*(O$3:O$56="")*(N$3:N$56="")*(M$3:M$56="P")*(G$3:G$56=G57)*(J$3:J$56&gt;J57)*(I$3:I$56="P"))+IF(H57="L5",SUMPRODUCT((P$3:P$56="")*(O$3:O$56="")*(N$3:N$56="")*(M$3:M$56="P")*(G$3:G$56=G57)*(J$3:J$56&lt;J57)*(H$3:H$56&lt;&gt;H57)*(I$3:I$56="P")),-1*SUMPRODUCT((P$3:P$56="")*(O$3:O$56="")*(N$3:N$56="")*(M$3:M$56="P")*(G$3:G$56=G57)*(J$3:J$56&gt;J57)*(H$3:H$56="L5")*(I$3:I$56="P")))+1,"")))))</f>
        <v/>
      </c>
      <c r="B57" s="1" cm="1">
        <f t="array" ref="B57">IF(P57&lt;&gt;"",SUMPRODUCT((P$3:P$56&lt;&gt;"")*(G$3:G$56=G57)*(J$3:J$56&gt;J57))+1,IF(O57&lt;&gt;"",SUMPRODUCT((O$3:O$56&lt;&gt;"")*(P$3:P$56="")*(G$3:G$56=G57)*(J$3:J$56&gt;J57))+SUMPRODUCT((P$3:P$56&lt;&gt;"")*(G$3:G$56=G57))+1,IF(N57&lt;&gt;"",SUMPRODUCT((N$3:N$56&lt;&gt;"")*(G$3:G$56=G57)*(J$3:J$56&gt;J57))+1,IF(M57="P",SUMPRODUCT((O$3:O$56&lt;&gt;"")*(P$3:P$56="")*(G$3:G$56=G57))+SUMPRODUCT((P$3:P$56&lt;&gt;"")*(G$3:G$56=G57))+SUMPRODUCT((N$3:N$56&lt;&gt;"")*(G$3:G$56=G57))+SUMPRODUCT((P$3:P$56="")*(O$3:O$56="")*(N$3:N$56="")*(M$3:M$56="P")*(G$3:G$56=G57)*(J$3:J$56&gt;J57))+IF(H57="L5",SUMPRODUCT((P$3:P$56="")*(O$3:O$56="")*(N$3:N$56="")*(M$3:M$56="P")*(G$3:G$56=G57)*(J$3:J$56&lt;J57)*(H$3:H$56&lt;&gt;H57)),-1*SUMPRODUCT((P$3:P$56="")*(O$3:O$56="")*(N$3:N$56="")*(M$3:M$56="P")*(G$3:G$56=G57)*(J$3:J$56&gt;J57)*(H$3:H$56="L5")))+1,""))))</f>
        <v>3</v>
      </c>
      <c r="C57" s="35" t="s">
        <v>194</v>
      </c>
      <c r="D57" t="str">
        <f>IF(E57="","",VLOOKUP(E57,'Coaching Points'!A:B,2,0))</f>
        <v>QC</v>
      </c>
      <c r="E57" s="35" t="s">
        <v>209</v>
      </c>
      <c r="F57" s="34">
        <v>2011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13-14</v>
      </c>
      <c r="H57" s="36" t="s">
        <v>215</v>
      </c>
      <c r="I57" s="40"/>
      <c r="J57" s="4">
        <f>R57+S57+IF(OR(H57="Junior",H57="Senior"),0.0002,IF(OR(H57="L7",H57="L6"),0.0001,0))+MAX(Z57,AC57)*0.0000001</f>
        <v>90</v>
      </c>
      <c r="K57" s="3" t="str">
        <f>IF(G57="Not Age Eligible","",IF(MAX(T57,W57,Z57,AC57)&gt;=LOOKUP(G57,'Qualifying Scores'!$A$4:$A$7,'Qualifying Scores'!$F$4:$F$7),"P",""))</f>
        <v>P</v>
      </c>
      <c r="L57" s="3" t="str">
        <f>IF(G57="Not Age Eligible","",IF(MAX(U57,X57,AA57,AD57)&gt;=LOOKUP(G57,'Qualifying Scores'!$A$10:$A$13,'Qualifying Scores'!$F$10:$F$13),"P",""))</f>
        <v>P</v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>P</v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45.7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44.3</v>
      </c>
      <c r="T57" s="32">
        <v>45.7</v>
      </c>
      <c r="U57" s="37">
        <v>7.9</v>
      </c>
      <c r="V57" s="37">
        <v>0</v>
      </c>
      <c r="W57" s="33">
        <v>44.3</v>
      </c>
      <c r="X57" s="37">
        <v>7.1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$56&lt;&gt;"")*(G$3:G$56=G58)*(J$3:J$56&gt;J58)*(I$3:I$56="P"))+1,IF(O58&lt;&gt;"",SUMPRODUCT((O$3:O$56&lt;&gt;"")*(P$3:P$56="")*(G$3:G$56=G58)*(J$3:J$56&gt;J58)*(I$3:I$56="P"))+SUMPRODUCT((P$3:P$56&lt;&gt;"")*(G$3:G$56=G58)*(I$3:I$56="P"))+1,IF(N58&lt;&gt;"",SUMPRODUCT((N$3:N$56&lt;&gt;"")*(G$3:G$56=G58)*(J$3:J$56&gt;J58)*(I$3:I$56="P"))+1,IF(M58="P",SUMPRODUCT((O$3:O$56&lt;&gt;"")*(P$3:P$56="")*(G$3:G$56=G58)*(I$3:I$56="P"))+SUMPRODUCT((P$3:P$56&lt;&gt;"")*(G$3:G$56=G58)*(I$3:I$56="P"))+SUMPRODUCT((N$3:N$56&lt;&gt;"")*(G$3:G$56=G58)*(I$3:I$56="P"))+SUMPRODUCT((P$3:P$56="")*(O$3:O$56="")*(N$3:N$56="")*(M$3:M$56="P")*(G$3:G$56=G58)*(J$3:J$56&gt;J58)*(I$3:I$56="P"))+IF(H58="L5",SUMPRODUCT((P$3:P$56="")*(O$3:O$56="")*(N$3:N$56="")*(M$3:M$56="P")*(G$3:G$56=G58)*(J$3:J$56&lt;J58)*(H$3:H$56&lt;&gt;H58)*(I$3:I$56="P")),-1*SUMPRODUCT((P$3:P$56="")*(O$3:O$56="")*(N$3:N$56="")*(M$3:M$56="P")*(G$3:G$56=G58)*(J$3:J$56&gt;J58)*(H$3:H$56="L5")*(I$3:I$56="P")))+1,"")))))</f>
        <v/>
      </c>
      <c r="B58" s="1" cm="1">
        <f t="array" ref="B58">IF(P58&lt;&gt;"",SUMPRODUCT((P$3:P$56&lt;&gt;"")*(G$3:G$56=G58)*(J$3:J$56&gt;J58))+1,IF(O58&lt;&gt;"",SUMPRODUCT((O$3:O$56&lt;&gt;"")*(P$3:P$56="")*(G$3:G$56=G58)*(J$3:J$56&gt;J58))+SUMPRODUCT((P$3:P$56&lt;&gt;"")*(G$3:G$56=G58))+1,IF(N58&lt;&gt;"",SUMPRODUCT((N$3:N$56&lt;&gt;"")*(G$3:G$56=G58)*(J$3:J$56&gt;J58))+1,IF(M58="P",SUMPRODUCT((O$3:O$56&lt;&gt;"")*(P$3:P$56="")*(G$3:G$56=G58))+SUMPRODUCT((P$3:P$56&lt;&gt;"")*(G$3:G$56=G58))+SUMPRODUCT((N$3:N$56&lt;&gt;"")*(G$3:G$56=G58))+SUMPRODUCT((P$3:P$56="")*(O$3:O$56="")*(N$3:N$56="")*(M$3:M$56="P")*(G$3:G$56=G58)*(J$3:J$56&gt;J58))+IF(H58="L5",SUMPRODUCT((P$3:P$56="")*(O$3:O$56="")*(N$3:N$56="")*(M$3:M$56="P")*(G$3:G$56=G58)*(J$3:J$56&lt;J58)*(H$3:H$56&lt;&gt;H58)),-1*SUMPRODUCT((P$3:P$56="")*(O$3:O$56="")*(N$3:N$56="")*(M$3:M$56="P")*(G$3:G$56=G58)*(J$3:J$56&gt;J58)*(H$3:H$56="L5")))+1,""))))</f>
        <v>3</v>
      </c>
      <c r="C58" s="35" t="s">
        <v>189</v>
      </c>
      <c r="D58" t="str">
        <f>IF(E58="","",VLOOKUP(E58,'Coaching Points'!A:B,2,0))</f>
        <v>BC</v>
      </c>
      <c r="E58" s="35" t="s">
        <v>128</v>
      </c>
      <c r="F58" s="34">
        <v>2012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13-14</v>
      </c>
      <c r="H58" s="36" t="s">
        <v>215</v>
      </c>
      <c r="I58" s="40"/>
      <c r="J58" s="4">
        <f>R58+S58+IF(OR(H58="Junior",H58="Senior"),0.0002,IF(OR(H58="L7",H58="L6"),0.0001,0))+MAX(Z58,AC58)*0.0000001</f>
        <v>89.5</v>
      </c>
      <c r="K58" s="3" t="str">
        <f>IF(G58="Not Age Eligible","",IF(MAX(T58,W58,Z58,AC58)&gt;=LOOKUP(G58,'Qualifying Scores'!$A$4:$A$7,'Qualifying Scores'!$F$4:$F$7),"P",""))</f>
        <v>P</v>
      </c>
      <c r="L58" s="3" t="str">
        <f>IF(G58="Not Age Eligible","",IF(MAX(U58,X58,AA58,AD58)&gt;=LOOKUP(G58,'Qualifying Scores'!$A$10:$A$13,'Qualifying Scores'!$F$10:$F$13),"P",""))</f>
        <v>P</v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>P</v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45.3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44.2</v>
      </c>
      <c r="T58" s="32">
        <v>45.3</v>
      </c>
      <c r="U58" s="37">
        <v>8.3000000000000007</v>
      </c>
      <c r="V58" s="37">
        <v>0</v>
      </c>
      <c r="W58" s="33">
        <v>44.2</v>
      </c>
      <c r="X58" s="37">
        <v>8.3000000000000007</v>
      </c>
      <c r="Y58" s="37">
        <v>0</v>
      </c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$56&lt;&gt;"")*(G$3:G$56=G59)*(J$3:J$56&gt;J59)*(I$3:I$56="P"))+1,IF(O59&lt;&gt;"",SUMPRODUCT((O$3:O$56&lt;&gt;"")*(P$3:P$56="")*(G$3:G$56=G59)*(J$3:J$56&gt;J59)*(I$3:I$56="P"))+SUMPRODUCT((P$3:P$56&lt;&gt;"")*(G$3:G$56=G59)*(I$3:I$56="P"))+1,IF(N59&lt;&gt;"",SUMPRODUCT((N$3:N$56&lt;&gt;"")*(G$3:G$56=G59)*(J$3:J$56&gt;J59)*(I$3:I$56="P"))+1,IF(M59="P",SUMPRODUCT((O$3:O$56&lt;&gt;"")*(P$3:P$56="")*(G$3:G$56=G59)*(I$3:I$56="P"))+SUMPRODUCT((P$3:P$56&lt;&gt;"")*(G$3:G$56=G59)*(I$3:I$56="P"))+SUMPRODUCT((N$3:N$56&lt;&gt;"")*(G$3:G$56=G59)*(I$3:I$56="P"))+SUMPRODUCT((P$3:P$56="")*(O$3:O$56="")*(N$3:N$56="")*(M$3:M$56="P")*(G$3:G$56=G59)*(J$3:J$56&gt;J59)*(I$3:I$56="P"))+IF(H59="L5",SUMPRODUCT((P$3:P$56="")*(O$3:O$56="")*(N$3:N$56="")*(M$3:M$56="P")*(G$3:G$56=G59)*(J$3:J$56&lt;J59)*(H$3:H$56&lt;&gt;H59)*(I$3:I$56="P")),-1*SUMPRODUCT((P$3:P$56="")*(O$3:O$56="")*(N$3:N$56="")*(M$3:M$56="P")*(G$3:G$56=G59)*(J$3:J$56&gt;J59)*(H$3:H$56="L5")*(I$3:I$56="P")))+1,"")))))</f>
        <v/>
      </c>
      <c r="B59" s="1" t="str" cm="1">
        <f t="array" ref="B59">IF(P59&lt;&gt;"",SUMPRODUCT((P$3:P$56&lt;&gt;"")*(G$3:G$56=G59)*(J$3:J$56&gt;J59))+1,IF(O59&lt;&gt;"",SUMPRODUCT((O$3:O$56&lt;&gt;"")*(P$3:P$56="")*(G$3:G$56=G59)*(J$3:J$56&gt;J59))+SUMPRODUCT((P$3:P$56&lt;&gt;"")*(G$3:G$56=G59))+1,IF(N59&lt;&gt;"",SUMPRODUCT((N$3:N$56&lt;&gt;"")*(G$3:G$56=G59)*(J$3:J$56&gt;J59))+1,IF(M59="P",SUMPRODUCT((O$3:O$56&lt;&gt;"")*(P$3:P$56="")*(G$3:G$56=G59))+SUMPRODUCT((P$3:P$56&lt;&gt;"")*(G$3:G$56=G59))+SUMPRODUCT((N$3:N$56&lt;&gt;"")*(G$3:G$56=G59))+SUMPRODUCT((P$3:P$56="")*(O$3:O$56="")*(N$3:N$56="")*(M$3:M$56="P")*(G$3:G$56=G59)*(J$3:J$56&gt;J59))+IF(H59="L5",SUMPRODUCT((P$3:P$56="")*(O$3:O$56="")*(N$3:N$56="")*(M$3:M$56="P")*(G$3:G$56=G59)*(J$3:J$56&lt;J59)*(H$3:H$56&lt;&gt;H59)),-1*SUMPRODUCT((P$3:P$56="")*(O$3:O$56="")*(N$3:N$56="")*(M$3:M$56="P")*(G$3:G$56=G59)*(J$3:J$56&gt;J59)*(H$3:H$56="L5")))+1,""))))</f>
        <v/>
      </c>
      <c r="C59" s="35" t="s">
        <v>195</v>
      </c>
      <c r="D59" t="str">
        <f>IF(E59="","",VLOOKUP(E59,'Coaching Points'!A:B,2,0))</f>
        <v>BC</v>
      </c>
      <c r="E59" s="35" t="s">
        <v>40</v>
      </c>
      <c r="F59" s="34">
        <v>2012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6" t="s">
        <v>215</v>
      </c>
      <c r="I59" s="40"/>
      <c r="J59" s="4">
        <f>R59+S59+IF(OR(H59="Junior",H59="Senior"),0.0002,IF(OR(H59="L7",H59="L6"),0.0001,0))+MAX(Z59,AC59)*0.0000001</f>
        <v>87.7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44.5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43.2</v>
      </c>
      <c r="T59" s="32">
        <v>43.2</v>
      </c>
      <c r="U59" s="37">
        <v>7.2</v>
      </c>
      <c r="V59" s="37">
        <v>0</v>
      </c>
      <c r="W59" s="33">
        <v>44.5</v>
      </c>
      <c r="X59" s="37">
        <v>8.5</v>
      </c>
      <c r="Y59" s="37">
        <v>0</v>
      </c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$56&lt;&gt;"")*(G$3:G$56=G60)*(J$3:J$56&gt;J60)*(I$3:I$56="P"))+1,IF(O60&lt;&gt;"",SUMPRODUCT((O$3:O$56&lt;&gt;"")*(P$3:P$56="")*(G$3:G$56=G60)*(J$3:J$56&gt;J60)*(I$3:I$56="P"))+SUMPRODUCT((P$3:P$56&lt;&gt;"")*(G$3:G$56=G60)*(I$3:I$56="P"))+1,IF(N60&lt;&gt;"",SUMPRODUCT((N$3:N$56&lt;&gt;"")*(G$3:G$56=G60)*(J$3:J$56&gt;J60)*(I$3:I$56="P"))+1,IF(M60="P",SUMPRODUCT((O$3:O$56&lt;&gt;"")*(P$3:P$56="")*(G$3:G$56=G60)*(I$3:I$56="P"))+SUMPRODUCT((P$3:P$56&lt;&gt;"")*(G$3:G$56=G60)*(I$3:I$56="P"))+SUMPRODUCT((N$3:N$56&lt;&gt;"")*(G$3:G$56=G60)*(I$3:I$56="P"))+SUMPRODUCT((P$3:P$56="")*(O$3:O$56="")*(N$3:N$56="")*(M$3:M$56="P")*(G$3:G$56=G60)*(J$3:J$56&gt;J60)*(I$3:I$56="P"))+IF(H60="L5",SUMPRODUCT((P$3:P$56="")*(O$3:O$56="")*(N$3:N$56="")*(M$3:M$56="P")*(G$3:G$56=G60)*(J$3:J$56&lt;J60)*(H$3:H$56&lt;&gt;H60)*(I$3:I$56="P")),-1*SUMPRODUCT((P$3:P$56="")*(O$3:O$56="")*(N$3:N$56="")*(M$3:M$56="P")*(G$3:G$56=G60)*(J$3:J$56&gt;J60)*(H$3:H$56="L5")*(I$3:I$56="P")))+1,"")))))</f>
        <v/>
      </c>
      <c r="B60" s="1" t="str" cm="1">
        <f t="array" ref="B60">IF(P60&lt;&gt;"",SUMPRODUCT((P$3:P$56&lt;&gt;"")*(G$3:G$56=G60)*(J$3:J$56&gt;J60))+1,IF(O60&lt;&gt;"",SUMPRODUCT((O$3:O$56&lt;&gt;"")*(P$3:P$56="")*(G$3:G$56=G60)*(J$3:J$56&gt;J60))+SUMPRODUCT((P$3:P$56&lt;&gt;"")*(G$3:G$56=G60))+1,IF(N60&lt;&gt;"",SUMPRODUCT((N$3:N$56&lt;&gt;"")*(G$3:G$56=G60)*(J$3:J$56&gt;J60))+1,IF(M60="P",SUMPRODUCT((O$3:O$56&lt;&gt;"")*(P$3:P$56="")*(G$3:G$56=G60))+SUMPRODUCT((P$3:P$56&lt;&gt;"")*(G$3:G$56=G60))+SUMPRODUCT((N$3:N$56&lt;&gt;"")*(G$3:G$56=G60))+SUMPRODUCT((P$3:P$56="")*(O$3:O$56="")*(N$3:N$56="")*(M$3:M$56="P")*(G$3:G$56=G60)*(J$3:J$56&gt;J60))+IF(H60="L5",SUMPRODUCT((P$3:P$56="")*(O$3:O$56="")*(N$3:N$56="")*(M$3:M$56="P")*(G$3:G$56=G60)*(J$3:J$56&lt;J60)*(H$3:H$56&lt;&gt;H60)),-1*SUMPRODUCT((P$3:P$56="")*(O$3:O$56="")*(N$3:N$56="")*(M$3:M$56="P")*(G$3:G$56=G60)*(J$3:J$56&gt;J60)*(H$3:H$56="L5")))+1,""))))</f>
        <v/>
      </c>
      <c r="C60" s="35" t="s">
        <v>192</v>
      </c>
      <c r="D60" t="str">
        <f>IF(E60="","",VLOOKUP(E60,'Coaching Points'!A:B,2,0))</f>
        <v>BC</v>
      </c>
      <c r="E60" s="35" t="s">
        <v>40</v>
      </c>
      <c r="F60" s="34">
        <v>2012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87.699999999999989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44.9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42.8</v>
      </c>
      <c r="T60" s="32">
        <v>42.8</v>
      </c>
      <c r="U60" s="37">
        <v>6.5</v>
      </c>
      <c r="V60" s="37">
        <v>0</v>
      </c>
      <c r="W60" s="33">
        <v>44.9</v>
      </c>
      <c r="X60" s="37">
        <v>8.3000000000000007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$56&lt;&gt;"")*(G$3:G$56=G61)*(J$3:J$56&gt;J61)*(I$3:I$56="P"))+1,IF(O61&lt;&gt;"",SUMPRODUCT((O$3:O$56&lt;&gt;"")*(P$3:P$56="")*(G$3:G$56=G61)*(J$3:J$56&gt;J61)*(I$3:I$56="P"))+SUMPRODUCT((P$3:P$56&lt;&gt;"")*(G$3:G$56=G61)*(I$3:I$56="P"))+1,IF(N61&lt;&gt;"",SUMPRODUCT((N$3:N$56&lt;&gt;"")*(G$3:G$56=G61)*(J$3:J$56&gt;J61)*(I$3:I$56="P"))+1,IF(M61="P",SUMPRODUCT((O$3:O$56&lt;&gt;"")*(P$3:P$56="")*(G$3:G$56=G61)*(I$3:I$56="P"))+SUMPRODUCT((P$3:P$56&lt;&gt;"")*(G$3:G$56=G61)*(I$3:I$56="P"))+SUMPRODUCT((N$3:N$56&lt;&gt;"")*(G$3:G$56=G61)*(I$3:I$56="P"))+SUMPRODUCT((P$3:P$56="")*(O$3:O$56="")*(N$3:N$56="")*(M$3:M$56="P")*(G$3:G$56=G61)*(J$3:J$56&gt;J61)*(I$3:I$56="P"))+IF(H61="L5",SUMPRODUCT((P$3:P$56="")*(O$3:O$56="")*(N$3:N$56="")*(M$3:M$56="P")*(G$3:G$56=G61)*(J$3:J$56&lt;J61)*(H$3:H$56&lt;&gt;H61)*(I$3:I$56="P")),-1*SUMPRODUCT((P$3:P$56="")*(O$3:O$56="")*(N$3:N$56="")*(M$3:M$56="P")*(G$3:G$56=G61)*(J$3:J$56&gt;J61)*(H$3:H$56="L5")*(I$3:I$56="P")))+1,"")))))</f>
        <v/>
      </c>
      <c r="B61" s="1" t="str" cm="1">
        <f t="array" ref="B61">IF(P61&lt;&gt;"",SUMPRODUCT((P$3:P$56&lt;&gt;"")*(G$3:G$56=G61)*(J$3:J$56&gt;J61))+1,IF(O61&lt;&gt;"",SUMPRODUCT((O$3:O$56&lt;&gt;"")*(P$3:P$56="")*(G$3:G$56=G61)*(J$3:J$56&gt;J61))+SUMPRODUCT((P$3:P$56&lt;&gt;"")*(G$3:G$56=G61))+1,IF(N61&lt;&gt;"",SUMPRODUCT((N$3:N$56&lt;&gt;"")*(G$3:G$56=G61)*(J$3:J$56&gt;J61))+1,IF(M61="P",SUMPRODUCT((O$3:O$56&lt;&gt;"")*(P$3:P$56="")*(G$3:G$56=G61))+SUMPRODUCT((P$3:P$56&lt;&gt;"")*(G$3:G$56=G61))+SUMPRODUCT((N$3:N$56&lt;&gt;"")*(G$3:G$56=G61))+SUMPRODUCT((P$3:P$56="")*(O$3:O$56="")*(N$3:N$56="")*(M$3:M$56="P")*(G$3:G$56=G61)*(J$3:J$56&gt;J61))+IF(H61="L5",SUMPRODUCT((P$3:P$56="")*(O$3:O$56="")*(N$3:N$56="")*(M$3:M$56="P")*(G$3:G$56=G61)*(J$3:J$56&lt;J61)*(H$3:H$56&lt;&gt;H61)),-1*SUMPRODUCT((P$3:P$56="")*(O$3:O$56="")*(N$3:N$56="")*(M$3:M$56="P")*(G$3:G$56=G61)*(J$3:J$56&gt;J61)*(H$3:H$56="L5")))+1,""))))</f>
        <v/>
      </c>
      <c r="C61" s="35" t="s">
        <v>136</v>
      </c>
      <c r="D61" t="str">
        <f>IF(E61="","",VLOOKUP(E61,'Coaching Points'!A:B,2,0))</f>
        <v>BC</v>
      </c>
      <c r="E61" s="35" t="s">
        <v>60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86.4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43.9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42.5</v>
      </c>
      <c r="T61" s="32">
        <v>43.9</v>
      </c>
      <c r="U61" s="37">
        <v>6.6</v>
      </c>
      <c r="V61" s="37">
        <v>0</v>
      </c>
      <c r="W61" s="33">
        <v>42.5</v>
      </c>
      <c r="X61" s="37">
        <v>6.6999999999999993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$56&lt;&gt;"")*(G$3:G$56=G62)*(J$3:J$56&gt;J62)*(I$3:I$56="P"))+1,IF(O62&lt;&gt;"",SUMPRODUCT((O$3:O$56&lt;&gt;"")*(P$3:P$56="")*(G$3:G$56=G62)*(J$3:J$56&gt;J62)*(I$3:I$56="P"))+SUMPRODUCT((P$3:P$56&lt;&gt;"")*(G$3:G$56=G62)*(I$3:I$56="P"))+1,IF(N62&lt;&gt;"",SUMPRODUCT((N$3:N$56&lt;&gt;"")*(G$3:G$56=G62)*(J$3:J$56&gt;J62)*(I$3:I$56="P"))+1,IF(M62="P",SUMPRODUCT((O$3:O$56&lt;&gt;"")*(P$3:P$56="")*(G$3:G$56=G62)*(I$3:I$56="P"))+SUMPRODUCT((P$3:P$56&lt;&gt;"")*(G$3:G$56=G62)*(I$3:I$56="P"))+SUMPRODUCT((N$3:N$56&lt;&gt;"")*(G$3:G$56=G62)*(I$3:I$56="P"))+SUMPRODUCT((P$3:P$56="")*(O$3:O$56="")*(N$3:N$56="")*(M$3:M$56="P")*(G$3:G$56=G62)*(J$3:J$56&gt;J62)*(I$3:I$56="P"))+IF(H62="L5",SUMPRODUCT((P$3:P$56="")*(O$3:O$56="")*(N$3:N$56="")*(M$3:M$56="P")*(G$3:G$56=G62)*(J$3:J$56&lt;J62)*(H$3:H$56&lt;&gt;H62)*(I$3:I$56="P")),-1*SUMPRODUCT((P$3:P$56="")*(O$3:O$56="")*(N$3:N$56="")*(M$3:M$56="P")*(G$3:G$56=G62)*(J$3:J$56&gt;J62)*(H$3:H$56="L5")*(I$3:I$56="P")))+1,"")))))</f>
        <v/>
      </c>
      <c r="B62" s="1" t="str" cm="1">
        <f t="array" ref="B62">IF(P62&lt;&gt;"",SUMPRODUCT((P$3:P$56&lt;&gt;"")*(G$3:G$56=G62)*(J$3:J$56&gt;J62))+1,IF(O62&lt;&gt;"",SUMPRODUCT((O$3:O$56&lt;&gt;"")*(P$3:P$56="")*(G$3:G$56=G62)*(J$3:J$56&gt;J62))+SUMPRODUCT((P$3:P$56&lt;&gt;"")*(G$3:G$56=G62))+1,IF(N62&lt;&gt;"",SUMPRODUCT((N$3:N$56&lt;&gt;"")*(G$3:G$56=G62)*(J$3:J$56&gt;J62))+1,IF(M62="P",SUMPRODUCT((O$3:O$56&lt;&gt;"")*(P$3:P$56="")*(G$3:G$56=G62))+SUMPRODUCT((P$3:P$56&lt;&gt;"")*(G$3:G$56=G62))+SUMPRODUCT((N$3:N$56&lt;&gt;"")*(G$3:G$56=G62))+SUMPRODUCT((P$3:P$56="")*(O$3:O$56="")*(N$3:N$56="")*(M$3:M$56="P")*(G$3:G$56=G62)*(J$3:J$56&gt;J62))+IF(H62="L5",SUMPRODUCT((P$3:P$56="")*(O$3:O$56="")*(N$3:N$56="")*(M$3:M$56="P")*(G$3:G$56=G62)*(J$3:J$56&lt;J62)*(H$3:H$56&lt;&gt;H62)),-1*SUMPRODUCT((P$3:P$56="")*(O$3:O$56="")*(N$3:N$56="")*(M$3:M$56="P")*(G$3:G$56=G62)*(J$3:J$56&gt;J62)*(H$3:H$56="L5")))+1,""))))</f>
        <v/>
      </c>
      <c r="C62" s="35" t="s">
        <v>350</v>
      </c>
      <c r="D62" t="str">
        <f>IF(E62="","",VLOOKUP(E62,'Coaching Points'!A:B,2,0))</f>
        <v>BC</v>
      </c>
      <c r="E62" s="35" t="s">
        <v>40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85.8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43.5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42.3</v>
      </c>
      <c r="T62" s="32">
        <v>42.3</v>
      </c>
      <c r="U62" s="37">
        <v>6.3000000000000007</v>
      </c>
      <c r="V62" s="37">
        <v>0</v>
      </c>
      <c r="W62" s="33">
        <v>43.5</v>
      </c>
      <c r="X62" s="37">
        <v>6.3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$56&lt;&gt;"")*(G$3:G$56=G63)*(J$3:J$56&gt;J63)*(I$3:I$56="P"))+1,IF(O63&lt;&gt;"",SUMPRODUCT((O$3:O$56&lt;&gt;"")*(P$3:P$56="")*(G$3:G$56=G63)*(J$3:J$56&gt;J63)*(I$3:I$56="P"))+SUMPRODUCT((P$3:P$56&lt;&gt;"")*(G$3:G$56=G63)*(I$3:I$56="P"))+1,IF(N63&lt;&gt;"",SUMPRODUCT((N$3:N$56&lt;&gt;"")*(G$3:G$56=G63)*(J$3:J$56&gt;J63)*(I$3:I$56="P"))+1,IF(M63="P",SUMPRODUCT((O$3:O$56&lt;&gt;"")*(P$3:P$56="")*(G$3:G$56=G63)*(I$3:I$56="P"))+SUMPRODUCT((P$3:P$56&lt;&gt;"")*(G$3:G$56=G63)*(I$3:I$56="P"))+SUMPRODUCT((N$3:N$56&lt;&gt;"")*(G$3:G$56=G63)*(I$3:I$56="P"))+SUMPRODUCT((P$3:P$56="")*(O$3:O$56="")*(N$3:N$56="")*(M$3:M$56="P")*(G$3:G$56=G63)*(J$3:J$56&gt;J63)*(I$3:I$56="P"))+IF(H63="L5",SUMPRODUCT((P$3:P$56="")*(O$3:O$56="")*(N$3:N$56="")*(M$3:M$56="P")*(G$3:G$56=G63)*(J$3:J$56&lt;J63)*(H$3:H$56&lt;&gt;H63)*(I$3:I$56="P")),-1*SUMPRODUCT((P$3:P$56="")*(O$3:O$56="")*(N$3:N$56="")*(M$3:M$56="P")*(G$3:G$56=G63)*(J$3:J$56&gt;J63)*(H$3:H$56="L5")*(I$3:I$56="P")))+1,"")))))</f>
        <v/>
      </c>
      <c r="B63" s="1" t="str" cm="1">
        <f t="array" ref="B63">IF(P63&lt;&gt;"",SUMPRODUCT((P$3:P$56&lt;&gt;"")*(G$3:G$56=G63)*(J$3:J$56&gt;J63))+1,IF(O63&lt;&gt;"",SUMPRODUCT((O$3:O$56&lt;&gt;"")*(P$3:P$56="")*(G$3:G$56=G63)*(J$3:J$56&gt;J63))+SUMPRODUCT((P$3:P$56&lt;&gt;"")*(G$3:G$56=G63))+1,IF(N63&lt;&gt;"",SUMPRODUCT((N$3:N$56&lt;&gt;"")*(G$3:G$56=G63)*(J$3:J$56&gt;J63))+1,IF(M63="P",SUMPRODUCT((O$3:O$56&lt;&gt;"")*(P$3:P$56="")*(G$3:G$56=G63))+SUMPRODUCT((P$3:P$56&lt;&gt;"")*(G$3:G$56=G63))+SUMPRODUCT((N$3:N$56&lt;&gt;"")*(G$3:G$56=G63))+SUMPRODUCT((P$3:P$56="")*(O$3:O$56="")*(N$3:N$56="")*(M$3:M$56="P")*(G$3:G$56=G63)*(J$3:J$56&gt;J63))+IF(H63="L5",SUMPRODUCT((P$3:P$56="")*(O$3:O$56="")*(N$3:N$56="")*(M$3:M$56="P")*(G$3:G$56=G63)*(J$3:J$56&lt;J63)*(H$3:H$56&lt;&gt;H63)),-1*SUMPRODUCT((P$3:P$56="")*(O$3:O$56="")*(N$3:N$56="")*(M$3:M$56="P")*(G$3:G$56=G63)*(J$3:J$56&gt;J63)*(H$3:H$56="L5")))+1,""))))</f>
        <v/>
      </c>
      <c r="C63" s="35" t="s">
        <v>352</v>
      </c>
      <c r="D63" t="str">
        <f>IF(E63="","",VLOOKUP(E63,'Coaching Points'!A:B,2,0))</f>
        <v>BC</v>
      </c>
      <c r="E63" s="35" t="s">
        <v>40</v>
      </c>
      <c r="F63" s="34">
        <v>2012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36.5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36.5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0</v>
      </c>
      <c r="T63" s="32">
        <v>36.5</v>
      </c>
      <c r="U63" s="37">
        <v>3.4000000000000004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$56&lt;&gt;"")*(G$3:G$56=G64)*(J$3:J$56&gt;J64)*(I$3:I$56="P"))+1,IF(O64&lt;&gt;"",SUMPRODUCT((O$3:O$56&lt;&gt;"")*(P$3:P$56="")*(G$3:G$56=G64)*(J$3:J$56&gt;J64)*(I$3:I$56="P"))+SUMPRODUCT((P$3:P$56&lt;&gt;"")*(G$3:G$56=G64)*(I$3:I$56="P"))+1,IF(N64&lt;&gt;"",SUMPRODUCT((N$3:N$56&lt;&gt;"")*(G$3:G$56=G64)*(J$3:J$56&gt;J64)*(I$3:I$56="P"))+1,IF(M64="P",SUMPRODUCT((O$3:O$56&lt;&gt;"")*(P$3:P$56="")*(G$3:G$56=G64)*(I$3:I$56="P"))+SUMPRODUCT((P$3:P$56&lt;&gt;"")*(G$3:G$56=G64)*(I$3:I$56="P"))+SUMPRODUCT((N$3:N$56&lt;&gt;"")*(G$3:G$56=G64)*(I$3:I$56="P"))+SUMPRODUCT((P$3:P$56="")*(O$3:O$56="")*(N$3:N$56="")*(M$3:M$56="P")*(G$3:G$56=G64)*(J$3:J$56&gt;J64)*(I$3:I$56="P"))+IF(H64="L5",SUMPRODUCT((P$3:P$56="")*(O$3:O$56="")*(N$3:N$56="")*(M$3:M$56="P")*(G$3:G$56=G64)*(J$3:J$56&lt;J64)*(H$3:H$56&lt;&gt;H64)*(I$3:I$56="P")),-1*SUMPRODUCT((P$3:P$56="")*(O$3:O$56="")*(N$3:N$56="")*(M$3:M$56="P")*(G$3:G$56=G64)*(J$3:J$56&gt;J64)*(H$3:H$56="L5")*(I$3:I$56="P")))+1,"")))))</f>
        <v/>
      </c>
      <c r="B64" s="1" cm="1">
        <f t="array" ref="B64">IF(P64&lt;&gt;"",SUMPRODUCT((P$3:P$56&lt;&gt;"")*(G$3:G$56=G64)*(J$3:J$56&gt;J64))+1,IF(O64&lt;&gt;"",SUMPRODUCT((O$3:O$56&lt;&gt;"")*(P$3:P$56="")*(G$3:G$56=G64)*(J$3:J$56&gt;J64))+SUMPRODUCT((P$3:P$56&lt;&gt;"")*(G$3:G$56=G64))+1,IF(N64&lt;&gt;"",SUMPRODUCT((N$3:N$56&lt;&gt;"")*(G$3:G$56=G64)*(J$3:J$56&gt;J64))+1,IF(M64="P",SUMPRODUCT((O$3:O$56&lt;&gt;"")*(P$3:P$56="")*(G$3:G$56=G64))+SUMPRODUCT((P$3:P$56&lt;&gt;"")*(G$3:G$56=G64))+SUMPRODUCT((N$3:N$56&lt;&gt;"")*(G$3:G$56=G64))+SUMPRODUCT((P$3:P$56="")*(O$3:O$56="")*(N$3:N$56="")*(M$3:M$56="P")*(G$3:G$56=G64)*(J$3:J$56&gt;J64))+IF(H64="L5",SUMPRODUCT((P$3:P$56="")*(O$3:O$56="")*(N$3:N$56="")*(M$3:M$56="P")*(G$3:G$56=G64)*(J$3:J$56&lt;J64)*(H$3:H$56&lt;&gt;H64)),-1*SUMPRODUCT((P$3:P$56="")*(O$3:O$56="")*(N$3:N$56="")*(M$3:M$56="P")*(G$3:G$56=G64)*(J$3:J$56&gt;J64)*(H$3:H$56="L5")))+1,""))))</f>
        <v>1</v>
      </c>
      <c r="C64" s="35" t="s">
        <v>188</v>
      </c>
      <c r="D64" t="str">
        <f>IF(E64="","",VLOOKUP(E64,'Coaching Points'!A:B,2,0))</f>
        <v>BC</v>
      </c>
      <c r="E64" s="35" t="s">
        <v>40</v>
      </c>
      <c r="F64" s="34">
        <v>2013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11-12</v>
      </c>
      <c r="H64" s="36" t="s">
        <v>215</v>
      </c>
      <c r="I64" s="40"/>
      <c r="J64" s="4">
        <f>R64+S64+IF(OR(H64="Junior",H64="Senior"),0.0002,IF(OR(H64="L7",H64="L6"),0.0001,0))+MAX(Z64,AC64)*0.0000001</f>
        <v>88.4</v>
      </c>
      <c r="K64" s="3" t="str">
        <f>IF(G64="Not Age Eligible","",IF(MAX(T64,W64,Z64,AC64)&gt;=LOOKUP(G64,'Qualifying Scores'!$A$4:$A$7,'Qualifying Scores'!$F$4:$F$7),"P",""))</f>
        <v>P</v>
      </c>
      <c r="L64" s="3" t="str">
        <f>IF(G64="Not Age Eligible","",IF(MAX(U64,X64,AA64,AD64)&gt;=LOOKUP(G64,'Qualifying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45.9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42.5</v>
      </c>
      <c r="T64" s="32">
        <v>45.9</v>
      </c>
      <c r="U64" s="37">
        <v>9.6</v>
      </c>
      <c r="V64" s="37">
        <v>0</v>
      </c>
      <c r="W64" s="33">
        <v>42.5</v>
      </c>
      <c r="X64" s="37">
        <v>7.3000000000000007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$56&lt;&gt;"")*(G$3:G$56=G65)*(J$3:J$56&gt;J65)*(I$3:I$56="P"))+1,IF(O65&lt;&gt;"",SUMPRODUCT((O$3:O$56&lt;&gt;"")*(P$3:P$56="")*(G$3:G$56=G65)*(J$3:J$56&gt;J65)*(I$3:I$56="P"))+SUMPRODUCT((P$3:P$56&lt;&gt;"")*(G$3:G$56=G65)*(I$3:I$56="P"))+1,IF(N65&lt;&gt;"",SUMPRODUCT((N$3:N$56&lt;&gt;"")*(G$3:G$56=G65)*(J$3:J$56&gt;J65)*(I$3:I$56="P"))+1,IF(M65="P",SUMPRODUCT((O$3:O$56&lt;&gt;"")*(P$3:P$56="")*(G$3:G$56=G65)*(I$3:I$56="P"))+SUMPRODUCT((P$3:P$56&lt;&gt;"")*(G$3:G$56=G65)*(I$3:I$56="P"))+SUMPRODUCT((N$3:N$56&lt;&gt;"")*(G$3:G$56=G65)*(I$3:I$56="P"))+SUMPRODUCT((P$3:P$56="")*(O$3:O$56="")*(N$3:N$56="")*(M$3:M$56="P")*(G$3:G$56=G65)*(J$3:J$56&gt;J65)*(I$3:I$56="P"))+IF(H65="L5",SUMPRODUCT((P$3:P$56="")*(O$3:O$56="")*(N$3:N$56="")*(M$3:M$56="P")*(G$3:G$56=G65)*(J$3:J$56&lt;J65)*(H$3:H$56&lt;&gt;H65)*(I$3:I$56="P")),-1*SUMPRODUCT((P$3:P$56="")*(O$3:O$56="")*(N$3:N$56="")*(M$3:M$56="P")*(G$3:G$56=G65)*(J$3:J$56&gt;J65)*(H$3:H$56="L5")*(I$3:I$56="P")))+1,"")))))</f>
        <v/>
      </c>
      <c r="B65" s="1" t="str" cm="1">
        <f t="array" ref="B65">IF(P65&lt;&gt;"",SUMPRODUCT((P$3:P$56&lt;&gt;"")*(G$3:G$56=G65)*(J$3:J$56&gt;J65))+1,IF(O65&lt;&gt;"",SUMPRODUCT((O$3:O$56&lt;&gt;"")*(P$3:P$56="")*(G$3:G$56=G65)*(J$3:J$56&gt;J65))+SUMPRODUCT((P$3:P$56&lt;&gt;"")*(G$3:G$56=G65))+1,IF(N65&lt;&gt;"",SUMPRODUCT((N$3:N$56&lt;&gt;"")*(G$3:G$56=G65)*(J$3:J$56&gt;J65))+1,IF(M65="P",SUMPRODUCT((O$3:O$56&lt;&gt;"")*(P$3:P$56="")*(G$3:G$56=G65))+SUMPRODUCT((P$3:P$56&lt;&gt;"")*(G$3:G$56=G65))+SUMPRODUCT((N$3:N$56&lt;&gt;"")*(G$3:G$56=G65))+SUMPRODUCT((P$3:P$56="")*(O$3:O$56="")*(N$3:N$56="")*(M$3:M$56="P")*(G$3:G$56=G65)*(J$3:J$56&gt;J65))+IF(H65="L5",SUMPRODUCT((P$3:P$56="")*(O$3:O$56="")*(N$3:N$56="")*(M$3:M$56="P")*(G$3:G$56=G65)*(J$3:J$56&lt;J65)*(H$3:H$56&lt;&gt;H65)),-1*SUMPRODUCT((P$3:P$56="")*(O$3:O$56="")*(N$3:N$56="")*(M$3:M$56="P")*(G$3:G$56=G65)*(J$3:J$56&gt;J65)*(H$3:H$56="L5")))+1,""))))</f>
        <v/>
      </c>
      <c r="C65" s="35" t="s">
        <v>351</v>
      </c>
      <c r="D65" t="str">
        <f>IF(E65="","",VLOOKUP(E65,'Coaching Points'!A:B,2,0))</f>
        <v>AB</v>
      </c>
      <c r="E65" s="35" t="s">
        <v>362</v>
      </c>
      <c r="F65" s="34">
        <v>2014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11-12</v>
      </c>
      <c r="H65" s="36" t="s">
        <v>215</v>
      </c>
      <c r="I65" s="40"/>
      <c r="J65" s="4">
        <f>R65+S65+IF(OR(H65="Junior",H65="Senior"),0.0002,IF(OR(H65="L7",H65="L6"),0.0001,0))+MAX(Z65,AC65)*0.0000001</f>
        <v>84.3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43.4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40.9</v>
      </c>
      <c r="T65" s="32">
        <v>40.9</v>
      </c>
      <c r="U65" s="37">
        <v>5.8000000000000007</v>
      </c>
      <c r="V65" s="37">
        <v>0</v>
      </c>
      <c r="W65" s="33">
        <v>43.4</v>
      </c>
      <c r="X65" s="37">
        <v>7.3000000000000007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$56&lt;&gt;"")*(G$3:G$56=G66)*(J$3:J$56&gt;J66)*(I$3:I$56="P"))+1,IF(O66&lt;&gt;"",SUMPRODUCT((O$3:O$56&lt;&gt;"")*(P$3:P$56="")*(G$3:G$56=G66)*(J$3:J$56&gt;J66)*(I$3:I$56="P"))+SUMPRODUCT((P$3:P$56&lt;&gt;"")*(G$3:G$56=G66)*(I$3:I$56="P"))+1,IF(N66&lt;&gt;"",SUMPRODUCT((N$3:N$56&lt;&gt;"")*(G$3:G$56=G66)*(J$3:J$56&gt;J66)*(I$3:I$56="P"))+1,IF(M66="P",SUMPRODUCT((O$3:O$56&lt;&gt;"")*(P$3:P$56="")*(G$3:G$56=G66)*(I$3:I$56="P"))+SUMPRODUCT((P$3:P$56&lt;&gt;"")*(G$3:G$56=G66)*(I$3:I$56="P"))+SUMPRODUCT((N$3:N$56&lt;&gt;"")*(G$3:G$56=G66)*(I$3:I$56="P"))+SUMPRODUCT((P$3:P$56="")*(O$3:O$56="")*(N$3:N$56="")*(M$3:M$56="P")*(G$3:G$56=G66)*(J$3:J$56&gt;J66)*(I$3:I$56="P"))+IF(H66="L5",SUMPRODUCT((P$3:P$56="")*(O$3:O$56="")*(N$3:N$56="")*(M$3:M$56="P")*(G$3:G$56=G66)*(J$3:J$56&lt;J66)*(H$3:H$56&lt;&gt;H66)*(I$3:I$56="P")),-1*SUMPRODUCT((P$3:P$56="")*(O$3:O$56="")*(N$3:N$56="")*(M$3:M$56="P")*(G$3:G$56=G66)*(J$3:J$56&gt;J66)*(H$3:H$56="L5")*(I$3:I$56="P")))+1,"")))))</f>
        <v/>
      </c>
      <c r="B66" s="1" t="str" cm="1">
        <f t="array" ref="B66">IF(P66&lt;&gt;"",SUMPRODUCT((P$3:P$56&lt;&gt;"")*(G$3:G$56=G66)*(J$3:J$56&gt;J66))+1,IF(O66&lt;&gt;"",SUMPRODUCT((O$3:O$56&lt;&gt;"")*(P$3:P$56="")*(G$3:G$56=G66)*(J$3:J$56&gt;J66))+SUMPRODUCT((P$3:P$56&lt;&gt;"")*(G$3:G$56=G66))+1,IF(N66&lt;&gt;"",SUMPRODUCT((N$3:N$56&lt;&gt;"")*(G$3:G$56=G66)*(J$3:J$56&gt;J66))+1,IF(M66="P",SUMPRODUCT((O$3:O$56&lt;&gt;"")*(P$3:P$56="")*(G$3:G$56=G66))+SUMPRODUCT((P$3:P$56&lt;&gt;"")*(G$3:G$56=G66))+SUMPRODUCT((N$3:N$56&lt;&gt;"")*(G$3:G$56=G66))+SUMPRODUCT((P$3:P$56="")*(O$3:O$56="")*(N$3:N$56="")*(M$3:M$56="P")*(G$3:G$56=G66)*(J$3:J$56&gt;J66))+IF(H66="L5",SUMPRODUCT((P$3:P$56="")*(O$3:O$56="")*(N$3:N$56="")*(M$3:M$56="P")*(G$3:G$56=G66)*(J$3:J$56&lt;J66)*(H$3:H$56&lt;&gt;H66)),-1*SUMPRODUCT((P$3:P$56="")*(O$3:O$56="")*(N$3:N$56="")*(M$3:M$56="P")*(G$3:G$56=G66)*(J$3:J$56&gt;J66)*(H$3:H$56="L5")))+1,""))))</f>
        <v/>
      </c>
      <c r="C66" s="35" t="s">
        <v>191</v>
      </c>
      <c r="D66" t="str">
        <f>IF(E66="","",VLOOKUP(E66,'Coaching Points'!A:B,2,0))</f>
        <v>QC</v>
      </c>
      <c r="E66" s="35" t="s">
        <v>3</v>
      </c>
      <c r="F66" s="34">
        <v>2013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11-12</v>
      </c>
      <c r="H66" s="36" t="s">
        <v>215</v>
      </c>
      <c r="I66" s="40"/>
      <c r="J66" s="4">
        <f>R66+S66+IF(OR(H66="Junior",H66="Senior"),0.0002,IF(OR(H66="L7",H66="L6"),0.0001,0))+MAX(Z66,AC66)*0.0000001</f>
        <v>80.099999999999994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43.1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37</v>
      </c>
      <c r="T66" s="32">
        <v>43.1</v>
      </c>
      <c r="U66" s="37">
        <v>5.6</v>
      </c>
      <c r="V66" s="37">
        <v>0</v>
      </c>
      <c r="W66" s="33">
        <v>37</v>
      </c>
      <c r="X66" s="37">
        <v>3.4000000000000004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A67" s="1" t="str" cm="1">
        <f t="array" ref="A67">IF(I67="","",IF(P67&lt;&gt;"",SUMPRODUCT((P$3:P$56&lt;&gt;"")*(G$3:G$56=G67)*(J$3:J$56&gt;J67)*(I$3:I$56="P"))+1,IF(O67&lt;&gt;"",SUMPRODUCT((O$3:O$56&lt;&gt;"")*(P$3:P$56="")*(G$3:G$56=G67)*(J$3:J$56&gt;J67)*(I$3:I$56="P"))+SUMPRODUCT((P$3:P$56&lt;&gt;"")*(G$3:G$56=G67)*(I$3:I$56="P"))+1,IF(N67&lt;&gt;"",SUMPRODUCT((N$3:N$56&lt;&gt;"")*(G$3:G$56=G67)*(J$3:J$56&gt;J67)*(I$3:I$56="P"))+1,IF(M67="P",SUMPRODUCT((O$3:O$56&lt;&gt;"")*(P$3:P$56="")*(G$3:G$56=G67)*(I$3:I$56="P"))+SUMPRODUCT((P$3:P$56&lt;&gt;"")*(G$3:G$56=G67)*(I$3:I$56="P"))+SUMPRODUCT((N$3:N$56&lt;&gt;"")*(G$3:G$56=G67)*(I$3:I$56="P"))+SUMPRODUCT((P$3:P$56="")*(O$3:O$56="")*(N$3:N$56="")*(M$3:M$56="P")*(G$3:G$56=G67)*(J$3:J$56&gt;J67)*(I$3:I$56="P"))+IF(H67="L5",SUMPRODUCT((P$3:P$56="")*(O$3:O$56="")*(N$3:N$56="")*(M$3:M$56="P")*(G$3:G$56=G67)*(J$3:J$56&lt;J67)*(H$3:H$56&lt;&gt;H67)*(I$3:I$56="P")),-1*SUMPRODUCT((P$3:P$56="")*(O$3:O$56="")*(N$3:N$56="")*(M$3:M$56="P")*(G$3:G$56=G67)*(J$3:J$56&gt;J67)*(H$3:H$56="L5")*(I$3:I$56="P")))+1,"")))))</f>
        <v/>
      </c>
      <c r="B67" s="1" t="str" cm="1">
        <f t="array" ref="B67">IF(P67&lt;&gt;"",SUMPRODUCT((P$3:P$56&lt;&gt;"")*(G$3:G$56=G67)*(J$3:J$56&gt;J67))+1,IF(O67&lt;&gt;"",SUMPRODUCT((O$3:O$56&lt;&gt;"")*(P$3:P$56="")*(G$3:G$56=G67)*(J$3:J$56&gt;J67))+SUMPRODUCT((P$3:P$56&lt;&gt;"")*(G$3:G$56=G67))+1,IF(N67&lt;&gt;"",SUMPRODUCT((N$3:N$56&lt;&gt;"")*(G$3:G$56=G67)*(J$3:J$56&gt;J67))+1,IF(M67="P",SUMPRODUCT((O$3:O$56&lt;&gt;"")*(P$3:P$56="")*(G$3:G$56=G67))+SUMPRODUCT((P$3:P$56&lt;&gt;"")*(G$3:G$56=G67))+SUMPRODUCT((N$3:N$56&lt;&gt;"")*(G$3:G$56=G67))+SUMPRODUCT((P$3:P$56="")*(O$3:O$56="")*(N$3:N$56="")*(M$3:M$56="P")*(G$3:G$56=G67)*(J$3:J$56&gt;J67))+IF(H67="L5",SUMPRODUCT((P$3:P$56="")*(O$3:O$56="")*(N$3:N$56="")*(M$3:M$56="P")*(G$3:G$56=G67)*(J$3:J$56&lt;J67)*(H$3:H$56&lt;&gt;H67)),-1*SUMPRODUCT((P$3:P$56="")*(O$3:O$56="")*(N$3:N$56="")*(M$3:M$56="P")*(G$3:G$56=G67)*(J$3:J$56&gt;J67)*(H$3:H$56="L5")))+1,""))))</f>
        <v/>
      </c>
      <c r="C67" s="35" t="s">
        <v>193</v>
      </c>
      <c r="D67" t="str">
        <f>IF(E67="","",VLOOKUP(E67,'Coaching Points'!A:B,2,0))</f>
        <v>BC</v>
      </c>
      <c r="E67" s="35" t="s">
        <v>44</v>
      </c>
      <c r="F67" s="34">
        <v>2013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R67+S67+IF(OR(H67="Junior",H67="Senior"),0.0002,IF(OR(H67="L7",H67="L6"),0.0001,0))+MAX(Z67,AC67)*0.0000001</f>
        <v>74.400000000000006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37.4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37</v>
      </c>
      <c r="T67" s="32">
        <v>37.4</v>
      </c>
      <c r="U67" s="37">
        <v>3.8</v>
      </c>
      <c r="V67" s="37">
        <v>0</v>
      </c>
      <c r="W67" s="33">
        <v>37</v>
      </c>
      <c r="X67" s="37">
        <v>4.0999999999999996</v>
      </c>
      <c r="Y67" s="37">
        <v>0</v>
      </c>
      <c r="Z67" s="32"/>
      <c r="AA67" s="37"/>
      <c r="AB67" s="37"/>
      <c r="AC67" s="33"/>
      <c r="AD67" s="37"/>
      <c r="AE67" s="37"/>
    </row>
    <row r="68" spans="1:31" x14ac:dyDescent="0.2">
      <c r="A68" s="1" t="str" cm="1">
        <f t="array" ref="A68">IF(I68="","",IF(P68&lt;&gt;"",SUMPRODUCT((P$3:P$56&lt;&gt;"")*(G$3:G$56=G68)*(J$3:J$56&gt;J68)*(I$3:I$56="P"))+1,IF(O68&lt;&gt;"",SUMPRODUCT((O$3:O$56&lt;&gt;"")*(P$3:P$56="")*(G$3:G$56=G68)*(J$3:J$56&gt;J68)*(I$3:I$56="P"))+SUMPRODUCT((P$3:P$56&lt;&gt;"")*(G$3:G$56=G68)*(I$3:I$56="P"))+1,IF(N68&lt;&gt;"",SUMPRODUCT((N$3:N$56&lt;&gt;"")*(G$3:G$56=G68)*(J$3:J$56&gt;J68)*(I$3:I$56="P"))+1,IF(M68="P",SUMPRODUCT((O$3:O$56&lt;&gt;"")*(P$3:P$56="")*(G$3:G$56=G68)*(I$3:I$56="P"))+SUMPRODUCT((P$3:P$56&lt;&gt;"")*(G$3:G$56=G68)*(I$3:I$56="P"))+SUMPRODUCT((N$3:N$56&lt;&gt;"")*(G$3:G$56=G68)*(I$3:I$56="P"))+SUMPRODUCT((P$3:P$56="")*(O$3:O$56="")*(N$3:N$56="")*(M$3:M$56="P")*(G$3:G$56=G68)*(J$3:J$56&gt;J68)*(I$3:I$56="P"))+IF(H68="L5",SUMPRODUCT((P$3:P$56="")*(O$3:O$56="")*(N$3:N$56="")*(M$3:M$56="P")*(G$3:G$56=G68)*(J$3:J$56&lt;J68)*(H$3:H$56&lt;&gt;H68)*(I$3:I$56="P")),-1*SUMPRODUCT((P$3:P$56="")*(O$3:O$56="")*(N$3:N$56="")*(M$3:M$56="P")*(G$3:G$56=G68)*(J$3:J$56&gt;J68)*(H$3:H$56="L5")*(I$3:I$56="P")))+1,"")))))</f>
        <v/>
      </c>
      <c r="B68" s="1" t="str" cm="1">
        <f t="array" ref="B68">IF(P68&lt;&gt;"",SUMPRODUCT((P$3:P$56&lt;&gt;"")*(G$3:G$56=G68)*(J$3:J$56&gt;J68))+1,IF(O68&lt;&gt;"",SUMPRODUCT((O$3:O$56&lt;&gt;"")*(P$3:P$56="")*(G$3:G$56=G68)*(J$3:J$56&gt;J68))+SUMPRODUCT((P$3:P$56&lt;&gt;"")*(G$3:G$56=G68))+1,IF(N68&lt;&gt;"",SUMPRODUCT((N$3:N$56&lt;&gt;"")*(G$3:G$56=G68)*(J$3:J$56&gt;J68))+1,IF(M68="P",SUMPRODUCT((O$3:O$56&lt;&gt;"")*(P$3:P$56="")*(G$3:G$56=G68))+SUMPRODUCT((P$3:P$56&lt;&gt;"")*(G$3:G$56=G68))+SUMPRODUCT((N$3:N$56&lt;&gt;"")*(G$3:G$56=G68))+SUMPRODUCT((P$3:P$56="")*(O$3:O$56="")*(N$3:N$56="")*(M$3:M$56="P")*(G$3:G$56=G68)*(J$3:J$56&gt;J68))+IF(H68="L5",SUMPRODUCT((P$3:P$56="")*(O$3:O$56="")*(N$3:N$56="")*(M$3:M$56="P")*(G$3:G$56=G68)*(J$3:J$56&lt;J68)*(H$3:H$56&lt;&gt;H68)),-1*SUMPRODUCT((P$3:P$56="")*(O$3:O$56="")*(N$3:N$56="")*(M$3:M$56="P")*(G$3:G$56=G68)*(J$3:J$56&gt;J68)*(H$3:H$56="L5")))+1,""))))</f>
        <v/>
      </c>
      <c r="C68" s="35" t="s">
        <v>190</v>
      </c>
      <c r="D68" t="str">
        <f>IF(E68="","",VLOOKUP(E68,'Coaching Points'!A:B,2,0))</f>
        <v>BC</v>
      </c>
      <c r="E68" s="35" t="s">
        <v>149</v>
      </c>
      <c r="F68" s="34">
        <v>2013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R68+S68+IF(OR(H68="Junior",H68="Senior"),0.0002,IF(OR(H68="L7",H68="L6"),0.0001,0))+MAX(Z68,AC68)*0.0000001</f>
        <v>21.4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21.4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0</v>
      </c>
      <c r="T68" s="32">
        <v>21.4</v>
      </c>
      <c r="U68" s="37">
        <v>3.2</v>
      </c>
      <c r="V68" s="37">
        <v>0</v>
      </c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K1:K2"/>
    <mergeCell ref="L1:L2"/>
    <mergeCell ref="M1:M2"/>
    <mergeCell ref="I1:I2"/>
    <mergeCell ref="H1:H2"/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294</v>
      </c>
      <c r="D3" t="str">
        <f>IF(E3="","",VLOOKUP(E3,'Coaching Points'!A:B,2,0))</f>
        <v>AB</v>
      </c>
      <c r="E3" s="35" t="s">
        <v>61</v>
      </c>
      <c r="F3" s="34">
        <v>2005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99.200200000000009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50.5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48.7</v>
      </c>
      <c r="T3" s="32">
        <v>48.7</v>
      </c>
      <c r="U3" s="37">
        <v>12.4</v>
      </c>
      <c r="V3" s="37">
        <v>0.3</v>
      </c>
      <c r="W3" s="33">
        <v>50.5</v>
      </c>
      <c r="X3" s="37">
        <v>13.2</v>
      </c>
      <c r="Y3" s="37">
        <v>0.3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227</v>
      </c>
      <c r="D4" t="str">
        <f>IF(E4="","",VLOOKUP(E4,'Coaching Points'!A:B,2,0))</f>
        <v>BC</v>
      </c>
      <c r="E4" s="35" t="s">
        <v>44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98.360200000000006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50.1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48.26</v>
      </c>
      <c r="T4" s="32">
        <v>48.26</v>
      </c>
      <c r="U4" s="37">
        <v>11.6</v>
      </c>
      <c r="V4" s="37">
        <v>0.3</v>
      </c>
      <c r="W4" s="33">
        <v>50.1</v>
      </c>
      <c r="X4" s="37">
        <v>13.2</v>
      </c>
      <c r="Y4" s="37">
        <v>0.3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293</v>
      </c>
      <c r="D5" t="str">
        <f>IF(E5="","",VLOOKUP(E5,'Coaching Points'!A:B,2,0))</f>
        <v>BC</v>
      </c>
      <c r="E5" s="35" t="s">
        <v>40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95.200200000000009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51.1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44.1</v>
      </c>
      <c r="T5" s="32">
        <v>51.1</v>
      </c>
      <c r="U5" s="37">
        <v>13.2</v>
      </c>
      <c r="V5" s="37">
        <v>0.3</v>
      </c>
      <c r="W5" s="33">
        <v>44.1</v>
      </c>
      <c r="X5" s="37">
        <v>9.6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278</v>
      </c>
      <c r="D6" t="str">
        <f>IF(E6="","",VLOOKUP(E6,'Coaching Points'!A:B,2,0))</f>
        <v>SK</v>
      </c>
      <c r="E6" s="35" t="s">
        <v>288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214</v>
      </c>
      <c r="I6" s="40"/>
      <c r="J6" s="4">
        <f>R6+S6+IF(OR(H6="Junior",H6="Senior"),0.0002,IF(OR(H6="L7",H6="L6"),0.0001,0))+MAX(Z6,AC6)*0.0000001</f>
        <v>93.20010000000002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46.800000000000004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46.400000000000006</v>
      </c>
      <c r="T6" s="32">
        <v>47.1</v>
      </c>
      <c r="U6" s="37">
        <v>10.8</v>
      </c>
      <c r="V6" s="37">
        <v>0.3</v>
      </c>
      <c r="W6" s="33">
        <v>46.7</v>
      </c>
      <c r="X6" s="37">
        <v>10.8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241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86.900200000000012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3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48.5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38.4</v>
      </c>
      <c r="T7" s="32">
        <v>48.5</v>
      </c>
      <c r="U7" s="37">
        <v>11.2</v>
      </c>
      <c r="V7" s="37">
        <v>0</v>
      </c>
      <c r="W7" s="33">
        <v>38.4</v>
      </c>
      <c r="X7" s="37">
        <v>7.1999999999999993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238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39.100200000000001</v>
      </c>
      <c r="K8" s="3" t="str">
        <f>IF(G8="Not Age Eligible","",IF(MAX(T8,W8,Z8,AC8)&gt;=LOOKUP(G8,'Qualifying Scores'!$A$4:$A$7,'Qualifying Scores'!$G$4:$G$7),"P",""))</f>
        <v/>
      </c>
      <c r="L8" s="3" t="str">
        <f>IF(G8="Not Age Eligible","",IF(MAX(U8,X8,AA8,AD8)&gt;=LOOKUP(G8,'Qualifying Scores'!$A$10:$A$13,'Qualifying Scores'!$G$10:$G$13),"P",""))</f>
        <v/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/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39.1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39.1</v>
      </c>
      <c r="U8" s="37">
        <v>5.2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232</v>
      </c>
      <c r="D9" t="str">
        <f>IF(E9="","",VLOOKUP(E9,'Coaching Points'!A:B,2,0))</f>
        <v>BC</v>
      </c>
      <c r="E9" s="35" t="s">
        <v>55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47.200200000000002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47.2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0</v>
      </c>
      <c r="T9" s="32">
        <v>47.2</v>
      </c>
      <c r="U9" s="37">
        <v>10.4</v>
      </c>
      <c r="V9" s="37">
        <v>0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364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91.70010000000002</v>
      </c>
      <c r="K10" s="3" t="str">
        <f>IF(G10="Not Age Eligible","",IF(MAX(T10,W10,Z10,AC10)&gt;=LOOKUP(G10,'Qualifying Scores'!$A$4:$A$7,'Qualifying Scores'!$G$4:$G$7),"P",""))</f>
        <v/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45.900000000000006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45.800000000000004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281</v>
      </c>
      <c r="D11" t="str">
        <f>IF(E11="","",VLOOKUP(E11,'Coaching Points'!A:B,2,0))</f>
        <v>SK</v>
      </c>
      <c r="E11" s="35" t="s">
        <v>58</v>
      </c>
      <c r="F11" s="34">
        <v>2007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214</v>
      </c>
      <c r="I11" s="40"/>
      <c r="J11" s="4">
        <f>R11+S11+IF(OR(H11="Junior",H11="Senior"),0.0002,IF(OR(H11="L7",H11="L6"),0.0001,0))+MAX(Z11,AC11)*0.0000001</f>
        <v>89.900100000000009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45.1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44.800000000000004</v>
      </c>
      <c r="T11" s="32">
        <v>45.1</v>
      </c>
      <c r="U11" s="37">
        <v>9.6</v>
      </c>
      <c r="V11" s="37">
        <v>0.3</v>
      </c>
      <c r="W11" s="33">
        <v>45.4</v>
      </c>
      <c r="X11" s="37">
        <v>9.6000000000000014</v>
      </c>
      <c r="Y11" s="37">
        <v>0.3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324</v>
      </c>
      <c r="D12" t="str">
        <f>IF(E12="","",VLOOKUP(E12,'Coaching Points'!A:B,2,0))</f>
        <v>AB</v>
      </c>
      <c r="E12" s="35" t="s">
        <v>61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88.600099999999998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44.4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44.2</v>
      </c>
      <c r="T12" s="32">
        <v>44.2</v>
      </c>
      <c r="U12" s="37">
        <v>7</v>
      </c>
      <c r="V12" s="37">
        <v>0</v>
      </c>
      <c r="W12" s="33">
        <v>44.4</v>
      </c>
      <c r="X12" s="37">
        <v>7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228</v>
      </c>
      <c r="D13" t="str">
        <f>IF(E13="","",VLOOKUP(E13,'Coaching Points'!A:B,2,0))</f>
        <v>QC</v>
      </c>
      <c r="E13" s="35" t="s">
        <v>75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87.600099999999998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44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>
        <v>43.6</v>
      </c>
      <c r="U13" s="37">
        <v>7.1</v>
      </c>
      <c r="V13" s="37">
        <v>0</v>
      </c>
      <c r="W13" s="33">
        <v>44</v>
      </c>
      <c r="X13" s="37">
        <v>7.1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236</v>
      </c>
      <c r="D14" t="str">
        <f>IF(E14="","",VLOOKUP(E14,'Coaching Points'!A:B,2,0))</f>
        <v>AB</v>
      </c>
      <c r="E14" s="35" t="s">
        <v>28</v>
      </c>
      <c r="F14" s="34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86.8001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43.3</v>
      </c>
      <c r="T14" s="32">
        <v>43.3</v>
      </c>
      <c r="U14" s="37">
        <v>7.9</v>
      </c>
      <c r="V14" s="37">
        <v>0</v>
      </c>
      <c r="W14" s="33">
        <v>43.5</v>
      </c>
      <c r="X14" s="37">
        <v>7.9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285</v>
      </c>
      <c r="D15" t="str">
        <f>IF(E15="","",VLOOKUP(E15,'Coaching Points'!A:B,2,0))</f>
        <v>BC</v>
      </c>
      <c r="E15" s="35" t="s">
        <v>122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215</v>
      </c>
      <c r="I15" s="40"/>
      <c r="J15" s="4">
        <f>R15+S15+IF(OR(H15="Junior",H15="Senior"),0.0002,IF(OR(H15="L7",H15="L6"),0.0001,0))+MAX(Z15,AC15)*0.0000001</f>
        <v>86.800000000000011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43.6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43.2</v>
      </c>
      <c r="T15" s="32">
        <v>43.2</v>
      </c>
      <c r="U15" s="37">
        <v>6</v>
      </c>
      <c r="V15" s="37">
        <v>0</v>
      </c>
      <c r="W15" s="33">
        <v>43.6</v>
      </c>
      <c r="X15" s="37">
        <v>6.8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300</v>
      </c>
      <c r="D16" t="str">
        <f>IF(E16="","",VLOOKUP(E16,'Coaching Points'!A:B,2,0))</f>
        <v>AB</v>
      </c>
      <c r="E16" s="35" t="s">
        <v>28</v>
      </c>
      <c r="F16" s="34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86.600100000000012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45.300000000000004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41.300000000000004</v>
      </c>
      <c r="T16" s="32">
        <v>41.6</v>
      </c>
      <c r="U16" s="37">
        <v>8.3999999999999986</v>
      </c>
      <c r="V16" s="37">
        <v>0.3</v>
      </c>
      <c r="W16" s="33">
        <v>45.6</v>
      </c>
      <c r="X16" s="37">
        <v>10.8</v>
      </c>
      <c r="Y16" s="37">
        <v>0.3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319</v>
      </c>
      <c r="D17" t="str">
        <f>IF(E17="","",VLOOKUP(E17,'Coaching Points'!A:B,2,0))</f>
        <v>AB</v>
      </c>
      <c r="E17" s="35" t="s">
        <v>28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86.5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44.5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42</v>
      </c>
      <c r="T17" s="32">
        <v>44.5</v>
      </c>
      <c r="U17" s="37">
        <v>7.1</v>
      </c>
      <c r="V17" s="37">
        <v>0</v>
      </c>
      <c r="W17" s="33">
        <v>42</v>
      </c>
      <c r="X17" s="37">
        <v>6.5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271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84.53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43.03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41.5</v>
      </c>
      <c r="T18" s="32">
        <v>43.03</v>
      </c>
      <c r="U18" s="37">
        <v>7.1</v>
      </c>
      <c r="V18" s="37">
        <v>0</v>
      </c>
      <c r="W18" s="33">
        <v>41.5</v>
      </c>
      <c r="X18" s="37">
        <v>4.9000000000000004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275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84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42.7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41.3</v>
      </c>
      <c r="T19" s="32">
        <v>42.7</v>
      </c>
      <c r="U19" s="37">
        <v>4.8000000000000007</v>
      </c>
      <c r="V19" s="37">
        <v>0</v>
      </c>
      <c r="W19" s="33">
        <v>41.3</v>
      </c>
      <c r="X19" s="37">
        <v>4.3000000000000007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279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83.9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42.4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41.5</v>
      </c>
      <c r="T20" s="32">
        <v>42.4</v>
      </c>
      <c r="U20" s="37">
        <v>5.8000000000000007</v>
      </c>
      <c r="V20" s="37">
        <v>0</v>
      </c>
      <c r="W20" s="33">
        <v>41.5</v>
      </c>
      <c r="X20" s="37">
        <v>5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326</v>
      </c>
      <c r="D21" t="str">
        <f>IF(E21="","",VLOOKUP(E21,'Coaching Points'!A:B,2,0))</f>
        <v>MB</v>
      </c>
      <c r="E21" s="35" t="s">
        <v>63</v>
      </c>
      <c r="F21" s="34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83.400100000000009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44.9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38.5</v>
      </c>
      <c r="T21" s="32">
        <v>44.9</v>
      </c>
      <c r="U21" s="37">
        <v>7.9</v>
      </c>
      <c r="V21" s="37">
        <v>0</v>
      </c>
      <c r="W21" s="33">
        <v>38.5</v>
      </c>
      <c r="X21" s="37">
        <v>5.1000000000000005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268</v>
      </c>
      <c r="D22" t="str">
        <f>IF(E22="","",VLOOKUP(E22,'Coaching Points'!A:B,2,0))</f>
        <v>AB</v>
      </c>
      <c r="E22" s="35" t="s">
        <v>39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83.000100000000003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45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</v>
      </c>
      <c r="T22" s="32">
        <v>38</v>
      </c>
      <c r="U22" s="37">
        <v>5.5</v>
      </c>
      <c r="V22" s="37">
        <v>0</v>
      </c>
      <c r="W22" s="33">
        <v>45</v>
      </c>
      <c r="X22" s="37">
        <v>8.3000000000000007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369</v>
      </c>
      <c r="D23" t="str">
        <f>IF(E23="","",VLOOKUP(E23,'Coaching Points'!A:B,2,0))</f>
        <v>ON</v>
      </c>
      <c r="E23" s="35" t="s">
        <v>45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81.300000000000011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43.7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37.6</v>
      </c>
      <c r="T23" s="32">
        <v>43.7</v>
      </c>
      <c r="U23" s="37">
        <v>6.6</v>
      </c>
      <c r="V23" s="37">
        <v>0</v>
      </c>
      <c r="W23" s="33">
        <v>37.6</v>
      </c>
      <c r="X23" s="37">
        <v>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304</v>
      </c>
      <c r="D24" t="str">
        <f>IF(E24="","",VLOOKUP(E24,'Coaching Points'!A:B,2,0))</f>
        <v>AB</v>
      </c>
      <c r="E24" s="35" t="s">
        <v>61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80.300000000000011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43.6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36.700000000000003</v>
      </c>
      <c r="T24" s="32">
        <v>43.6</v>
      </c>
      <c r="U24" s="37">
        <v>6.5</v>
      </c>
      <c r="V24" s="37">
        <v>0</v>
      </c>
      <c r="W24" s="33">
        <v>36.700000000000003</v>
      </c>
      <c r="X24" s="37">
        <v>3.6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276</v>
      </c>
      <c r="D25" t="str">
        <f>IF(E25="","",VLOOKUP(E25,'Coaching Points'!A:B,2,0))</f>
        <v>BC</v>
      </c>
      <c r="E25" s="35" t="s">
        <v>60</v>
      </c>
      <c r="F25" s="34">
        <v>2007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76.3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42.5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33.799999999999997</v>
      </c>
      <c r="T25" s="32">
        <v>42.5</v>
      </c>
      <c r="U25" s="37">
        <v>6.4</v>
      </c>
      <c r="V25" s="37">
        <v>0</v>
      </c>
      <c r="W25" s="33">
        <v>33.799999999999997</v>
      </c>
      <c r="X25" s="37">
        <v>3.6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270</v>
      </c>
      <c r="D26" t="str">
        <f>IF(E26="","",VLOOKUP(E26,'Coaching Points'!A:B,2,0))</f>
        <v>SK</v>
      </c>
      <c r="E26" s="35" t="s">
        <v>58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75.900000000000006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42.6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33.299999999999997</v>
      </c>
      <c r="T26" s="32">
        <v>42.6</v>
      </c>
      <c r="U26" s="37">
        <v>6.3000000000000007</v>
      </c>
      <c r="V26" s="37">
        <v>0</v>
      </c>
      <c r="W26" s="33">
        <v>33.299999999999997</v>
      </c>
      <c r="X26" s="37">
        <v>2.6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263</v>
      </c>
      <c r="D27" t="str">
        <f>IF(E27="","",VLOOKUP(E27,'Coaching Points'!A:B,2,0))</f>
        <v>QC</v>
      </c>
      <c r="E27" s="35" t="s">
        <v>3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42.4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42.4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0</v>
      </c>
      <c r="T27" s="32">
        <v>42.4</v>
      </c>
      <c r="U27" s="37">
        <v>5.6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264</v>
      </c>
      <c r="D28" t="str">
        <f>IF(E28="","",VLOOKUP(E28,'Coaching Points'!A:B,2,0))</f>
        <v>QC</v>
      </c>
      <c r="E28" s="35" t="s">
        <v>174</v>
      </c>
      <c r="F28" s="34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40.1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40.1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0</v>
      </c>
      <c r="T28" s="32">
        <v>40.1</v>
      </c>
      <c r="U28" s="37">
        <v>5.8000000000000007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40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40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0</v>
      </c>
      <c r="T29" s="32">
        <v>40</v>
      </c>
      <c r="U29" s="37">
        <v>5.6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365</v>
      </c>
      <c r="D30" t="str">
        <f>IF(E30="","",VLOOKUP(E30,'Coaching Points'!A:B,2,0))</f>
        <v>BC</v>
      </c>
      <c r="E30" s="35" t="s">
        <v>44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39.700100000000006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39.700000000000003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>
        <v>39.700000000000003</v>
      </c>
      <c r="U30" s="37">
        <v>5.9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287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37.8001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37.799999999999997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370</v>
      </c>
      <c r="D32" t="str">
        <f>IF(E32="","",VLOOKUP(E32,'Coaching Points'!A:B,2,0))</f>
        <v>BC</v>
      </c>
      <c r="E32" s="35" t="s">
        <v>40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215</v>
      </c>
      <c r="I32" s="40"/>
      <c r="J32" s="4">
        <f>R32+S32+IF(OR(H32="Junior",H32="Senior"),0.0002,IF(OR(H32="L7",H32="L6"),0.0001,0))+MAX(Z32,AC32)*0.0000001</f>
        <v>37.700000000000003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37.700000000000003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0</v>
      </c>
      <c r="T32" s="32">
        <v>37.700000000000003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233</v>
      </c>
      <c r="D33" t="str">
        <f>IF(E33="","",VLOOKUP(E33,'Coaching Points'!A:B,2,0))</f>
        <v>QC</v>
      </c>
      <c r="E33" s="35" t="s">
        <v>57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R33+S33+IF(OR(H33="Junior",H33="Senior"),0.0002,IF(OR(H33="L7",H33="L6"),0.0001,0))+MAX(Z33,AC33)*0.0000001</f>
        <v>37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0</v>
      </c>
      <c r="T33" s="32">
        <v>37</v>
      </c>
      <c r="U33" s="37">
        <v>3.5999999999999996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322</v>
      </c>
      <c r="D34" t="str">
        <f>IF(E34="","",VLOOKUP(E34,'Coaching Points'!A:B,2,0))</f>
        <v>AB</v>
      </c>
      <c r="E34" s="35" t="s">
        <v>144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R34+S34+IF(OR(H34="Junior",H34="Senior"),0.0002,IF(OR(H34="L7",H34="L6"),0.0001,0))+MAX(Z34,AC34)*0.0000001</f>
        <v>36.5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36.5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0</v>
      </c>
      <c r="T34" s="32">
        <v>36.5</v>
      </c>
      <c r="U34" s="37">
        <v>3.9000000000000004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318</v>
      </c>
      <c r="D35" t="str">
        <f>IF(E35="","",VLOOKUP(E35,'Coaching Points'!A:B,2,0))</f>
        <v>BC</v>
      </c>
      <c r="E35" s="35" t="s">
        <v>60</v>
      </c>
      <c r="F35" s="34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36.3001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36.299999999999997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0</v>
      </c>
      <c r="T35" s="32">
        <v>36.299999999999997</v>
      </c>
      <c r="U35" s="37">
        <v>3.9000000000000004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371</v>
      </c>
      <c r="D36" t="str">
        <f>IF(E36="","",VLOOKUP(E36,'Coaching Points'!A:B,2,0))</f>
        <v>AB</v>
      </c>
      <c r="E36" s="35" t="s">
        <v>144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R36+S36+IF(OR(H36="Junior",H36="Senior"),0.0002,IF(OR(H36="L7",H36="L6"),0.0001,0))+MAX(Z36,AC36)*0.0000001</f>
        <v>34.1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34.1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0</v>
      </c>
      <c r="T36" s="32">
        <v>34.1</v>
      </c>
      <c r="U36" s="37">
        <v>3.4000000000000004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277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33.3001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33.299999999999997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0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239</v>
      </c>
      <c r="D38" t="str">
        <f>IF(E38="","",VLOOKUP(E38,'Coaching Points'!A:B,2,0))</f>
        <v>SK</v>
      </c>
      <c r="E38" s="35" t="s">
        <v>58</v>
      </c>
      <c r="F38" s="34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33.100100000000005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33.1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0</v>
      </c>
      <c r="T38" s="32">
        <v>33.1</v>
      </c>
      <c r="U38" s="37">
        <v>2.1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273</v>
      </c>
      <c r="D39" t="str">
        <f>IF(E39="","",VLOOKUP(E39,'Coaching Points'!A:B,2,0))</f>
        <v>BC</v>
      </c>
      <c r="E39" s="35" t="s">
        <v>40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R39+S39+IF(OR(H39="Junior",H39="Senior"),0.0002,IF(OR(H39="L7",H39="L6"),0.0001,0))+MAX(Z39,AC39)*0.0000001</f>
        <v>32.800199999999997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32.799999999999997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0</v>
      </c>
      <c r="T39" s="32">
        <v>32.799999999999997</v>
      </c>
      <c r="U39" s="37">
        <v>2.4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366</v>
      </c>
      <c r="D40" t="str">
        <f>IF(E40="","",VLOOKUP(E40,'Coaching Points'!A:B,2,0))</f>
        <v>SK</v>
      </c>
      <c r="E40" s="35" t="s">
        <v>58</v>
      </c>
      <c r="F40" s="34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32.8001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32.799999999999997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0</v>
      </c>
      <c r="T40" s="32">
        <v>32.799999999999997</v>
      </c>
      <c r="U40" s="37">
        <v>1.9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372</v>
      </c>
      <c r="D41" t="str">
        <f>IF(E41="","",VLOOKUP(E41,'Coaching Points'!A:B,2,0))</f>
        <v>BC</v>
      </c>
      <c r="E41" s="35" t="s">
        <v>55</v>
      </c>
      <c r="F41" s="34">
        <v>2008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R41+S41+IF(OR(H41="Junior",H41="Senior"),0.0002,IF(OR(H41="L7",H41="L6"),0.0001,0))+MAX(Z41,AC41)*0.0000001</f>
        <v>20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20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0</v>
      </c>
      <c r="T41" s="32">
        <v>20</v>
      </c>
      <c r="U41" s="37">
        <v>3.4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262</v>
      </c>
      <c r="D42" t="str">
        <f>IF(E42="","",VLOOKUP(E42,'Coaching Points'!A:B,2,0))</f>
        <v>ON</v>
      </c>
      <c r="E42" s="35" t="s">
        <v>45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16.600100000000001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16.600000000000001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0</v>
      </c>
      <c r="T42" s="32">
        <v>16.600000000000001</v>
      </c>
      <c r="U42" s="37">
        <v>1.2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>1</v>
      </c>
      <c r="C43" s="35" t="s">
        <v>221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212</v>
      </c>
      <c r="I43" s="40"/>
      <c r="J43" s="4">
        <f>R43+S43+IF(OR(H43="Junior",H43="Senior"),0.0002,IF(OR(H43="L7",H43="L6"),0.0001,0))+MAX(Z43,AC43)*0.0000001</f>
        <v>102.20020000000001</v>
      </c>
      <c r="K43" s="3" t="str">
        <f>IF(G43="Not Age Eligible","",IF(MAX(T43,W43,Z43,AC43)&gt;=LOOKUP(G43,'Qualifying Scores'!$A$4:$A$7,'Qualifying Scores'!$G$4:$G$7),"P",""))</f>
        <v>P</v>
      </c>
      <c r="L43" s="3" t="str">
        <f>IF(G43="Not Age Eligible","",IF(MAX(U43,X43,AA43,AD43)&gt;=LOOKUP(G43,'Qualifying Scores'!$A$10:$A$13,'Qualifying Scores'!$G$10:$G$13),"P",""))</f>
        <v>P</v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>P</v>
      </c>
      <c r="N43" s="36">
        <v>1</v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51.2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51</v>
      </c>
      <c r="T43" s="32">
        <v>51.2</v>
      </c>
      <c r="U43" s="37">
        <v>13.2</v>
      </c>
      <c r="V43" s="37">
        <v>0</v>
      </c>
      <c r="W43" s="33">
        <v>51</v>
      </c>
      <c r="X43" s="37">
        <v>14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>2</v>
      </c>
      <c r="C44" s="35" t="s">
        <v>220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212</v>
      </c>
      <c r="I44" s="40"/>
      <c r="J44" s="4">
        <f>R44+S44+IF(OR(H44="Junior",H44="Senior"),0.0002,IF(OR(H44="L7",H44="L6"),0.0001,0))+MAX(Z44,AC44)*0.0000001</f>
        <v>95.400200000000012</v>
      </c>
      <c r="K44" s="3" t="str">
        <f>IF(G44="Not Age Eligible","",IF(MAX(T44,W44,Z44,AC44)&gt;=LOOKUP(G44,'Qualifying Scores'!$A$4:$A$7,'Qualifying Scores'!$G$4:$G$7),"P",""))</f>
        <v>P</v>
      </c>
      <c r="L44" s="3" t="str">
        <f>IF(G44="Not Age Eligible","",IF(MAX(U44,X44,AA44,AD44)&gt;=LOOKUP(G44,'Qualifying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>P</v>
      </c>
      <c r="N44" s="36">
        <v>2</v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48.8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46.6</v>
      </c>
      <c r="T44" s="32">
        <v>48.8</v>
      </c>
      <c r="U44" s="37">
        <v>11.6</v>
      </c>
      <c r="V44" s="37">
        <v>0</v>
      </c>
      <c r="W44" s="33">
        <v>46.6</v>
      </c>
      <c r="X44" s="37">
        <v>10.8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>3</v>
      </c>
      <c r="C45" s="35" t="s">
        <v>219</v>
      </c>
      <c r="D45" t="str">
        <f>IF(E45="","",VLOOKUP(E45,'Coaching Points'!A:B,2,0))</f>
        <v>QC</v>
      </c>
      <c r="E45" s="35" t="s">
        <v>75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212</v>
      </c>
      <c r="I45" s="40"/>
      <c r="J45" s="4">
        <f>R45+S45+IF(OR(H45="Junior",H45="Senior"),0.0002,IF(OR(H45="L7",H45="L6"),0.0001,0))+MAX(Z45,AC45)*0.0000001</f>
        <v>91.500200000000007</v>
      </c>
      <c r="K45" s="3" t="str">
        <f>IF(G45="Not Age Eligible","",IF(MAX(T45,W45,Z45,AC45)&gt;=LOOKUP(G45,'Qualifying Scores'!$A$4:$A$7,'Qualifying Scores'!$G$4:$G$7),"P",""))</f>
        <v>P</v>
      </c>
      <c r="L45" s="3" t="str">
        <f>IF(G45="Not Age Eligible","",IF(MAX(U45,X45,AA45,AD45)&gt;=LOOKUP(G45,'Qualifying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>P</v>
      </c>
      <c r="N45" s="36">
        <v>4</v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46.1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45.4</v>
      </c>
      <c r="T45" s="32">
        <v>46.1</v>
      </c>
      <c r="U45" s="37">
        <v>9.1</v>
      </c>
      <c r="V45" s="37">
        <v>0</v>
      </c>
      <c r="W45" s="33">
        <v>45.4</v>
      </c>
      <c r="X45" s="37">
        <v>10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>4</v>
      </c>
      <c r="C46" s="35" t="s">
        <v>363</v>
      </c>
      <c r="D46" t="str">
        <f>IF(E46="","",VLOOKUP(E46,'Coaching Points'!A:B,2,0))</f>
        <v>AB</v>
      </c>
      <c r="E46" s="35" t="s">
        <v>28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212</v>
      </c>
      <c r="I46" s="40"/>
      <c r="J46" s="4">
        <f>R46+S46+IF(OR(H46="Junior",H46="Senior"),0.0002,IF(OR(H46="L7",H46="L6"),0.0001,0))+MAX(Z46,AC46)*0.0000001</f>
        <v>87.800200000000004</v>
      </c>
      <c r="K46" s="3" t="str">
        <f>IF(G46="Not Age Eligible","",IF(MAX(T46,W46,Z46,AC46)&gt;=LOOKUP(G46,'Qualifying Scores'!$A$4:$A$7,'Qualifying Scores'!$G$4:$G$7),"P",""))</f>
        <v>P</v>
      </c>
      <c r="L46" s="3" t="str">
        <f>IF(G46="Not Age Eligible","",IF(MAX(U46,X46,AA46,AD46)&gt;=LOOKUP(G46,'Qualifying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>P</v>
      </c>
      <c r="N46" s="36">
        <v>3</v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46.4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41.4</v>
      </c>
      <c r="T46" s="32">
        <v>41.4</v>
      </c>
      <c r="U46" s="37">
        <v>8.8000000000000007</v>
      </c>
      <c r="V46" s="37">
        <v>0</v>
      </c>
      <c r="W46" s="33">
        <v>46.4</v>
      </c>
      <c r="X46" s="37">
        <v>10.4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>5</v>
      </c>
      <c r="C47" s="35" t="s">
        <v>251</v>
      </c>
      <c r="D47" t="str">
        <f>IF(E47="","",VLOOKUP(E47,'Coaching Points'!A:B,2,0))</f>
        <v>BC</v>
      </c>
      <c r="E47" s="35" t="s">
        <v>40</v>
      </c>
      <c r="F47" s="34">
        <v>2010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212</v>
      </c>
      <c r="I47" s="40"/>
      <c r="J47" s="4">
        <f>R47+S47+IF(OR(H47="Junior",H47="Senior"),0.0002,IF(OR(H47="L7",H47="L6"),0.0001,0))+MAX(Z47,AC47)*0.0000001</f>
        <v>86.700200000000009</v>
      </c>
      <c r="K47" s="3" t="str">
        <f>IF(G47="Not Age Eligible","",IF(MAX(T47,W47,Z47,AC47)&gt;=LOOKUP(G47,'Qualifying Scores'!$A$4:$A$7,'Qualifying Scores'!$G$4:$G$7),"P",""))</f>
        <v>P</v>
      </c>
      <c r="L47" s="3" t="str">
        <f>IF(G47="Not Age Eligible","",IF(MAX(U47,X47,AA47,AD47)&gt;=LOOKUP(G47,'Qualifying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>P</v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45.2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41.5</v>
      </c>
      <c r="T47" s="32">
        <v>45.2</v>
      </c>
      <c r="U47" s="37">
        <v>8.3000000000000007</v>
      </c>
      <c r="V47" s="37">
        <v>0</v>
      </c>
      <c r="W47" s="33">
        <v>41.5</v>
      </c>
      <c r="X47" s="37">
        <v>6.9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223</v>
      </c>
      <c r="D48" t="str">
        <f>IF(E48="","",VLOOKUP(E48,'Coaching Points'!A:B,2,0))</f>
        <v>AB</v>
      </c>
      <c r="E48" s="35" t="s">
        <v>39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88.200200000000009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44.5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43.7</v>
      </c>
      <c r="T48" s="32">
        <v>43.7</v>
      </c>
      <c r="U48" s="37">
        <v>7.9</v>
      </c>
      <c r="V48" s="37">
        <v>0</v>
      </c>
      <c r="W48" s="33">
        <v>44.5</v>
      </c>
      <c r="X48" s="37">
        <v>7.9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259</v>
      </c>
      <c r="D49" t="str">
        <f>IF(E49="","",VLOOKUP(E49,'Coaching Points'!A:B,2,0))</f>
        <v>BC</v>
      </c>
      <c r="E49" s="35" t="s">
        <v>40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87.6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43.8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43.8</v>
      </c>
      <c r="T49" s="32">
        <v>43.8</v>
      </c>
      <c r="U49" s="37">
        <v>7.1</v>
      </c>
      <c r="V49" s="37">
        <v>0</v>
      </c>
      <c r="W49" s="33">
        <v>43.8</v>
      </c>
      <c r="X49" s="37">
        <v>7.4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255</v>
      </c>
      <c r="D50" t="str">
        <f>IF(E50="","",VLOOKUP(E50,'Coaching Points'!A:B,2,0))</f>
        <v>SK</v>
      </c>
      <c r="E50" s="35" t="s">
        <v>58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85.9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43.3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42.6</v>
      </c>
      <c r="T50" s="32">
        <v>43.3</v>
      </c>
      <c r="U50" s="37">
        <v>6.3000000000000007</v>
      </c>
      <c r="V50" s="37">
        <v>0</v>
      </c>
      <c r="W50" s="33">
        <v>42.6</v>
      </c>
      <c r="X50" s="37">
        <v>6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256</v>
      </c>
      <c r="D51" t="str">
        <f>IF(E51="","",VLOOKUP(E51,'Coaching Points'!A:B,2,0))</f>
        <v>AB</v>
      </c>
      <c r="E51" s="35" t="s">
        <v>28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84.7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43.1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41.6</v>
      </c>
      <c r="T51" s="32">
        <v>43.1</v>
      </c>
      <c r="U51" s="37">
        <v>6.3000000000000007</v>
      </c>
      <c r="V51" s="37">
        <v>0</v>
      </c>
      <c r="W51" s="33">
        <v>41.6</v>
      </c>
      <c r="X51" s="37">
        <v>4.5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250</v>
      </c>
      <c r="D52" t="str">
        <f>IF(E52="","",VLOOKUP(E52,'Coaching Points'!A:B,2,0))</f>
        <v>BC</v>
      </c>
      <c r="E52" s="35" t="s">
        <v>36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82.100200000000001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44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38.1</v>
      </c>
      <c r="T52" s="32">
        <v>38.1</v>
      </c>
      <c r="U52" s="37">
        <v>5.6000000000000005</v>
      </c>
      <c r="V52" s="37">
        <v>0</v>
      </c>
      <c r="W52" s="33">
        <v>44</v>
      </c>
      <c r="X52" s="37">
        <v>8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311</v>
      </c>
      <c r="D53" t="str">
        <f>IF(E53="","",VLOOKUP(E53,'Coaching Points'!A:B,2,0))</f>
        <v>BC</v>
      </c>
      <c r="E53" s="35" t="s">
        <v>59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81.7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42.5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39.200000000000003</v>
      </c>
      <c r="T53" s="32">
        <v>39.200000000000003</v>
      </c>
      <c r="U53" s="37">
        <v>4.2</v>
      </c>
      <c r="V53" s="37">
        <v>0</v>
      </c>
      <c r="W53" s="33">
        <v>42.5</v>
      </c>
      <c r="X53" s="37">
        <v>4.9000000000000004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314</v>
      </c>
      <c r="D54" t="str">
        <f>IF(E54="","",VLOOKUP(E54,'Coaching Points'!A:B,2,0))</f>
        <v>BC</v>
      </c>
      <c r="E54" s="35" t="s">
        <v>40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81.599999999999994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42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39.6</v>
      </c>
      <c r="T54" s="32">
        <v>42</v>
      </c>
      <c r="U54" s="37">
        <v>5.7</v>
      </c>
      <c r="V54" s="37">
        <v>0</v>
      </c>
      <c r="W54" s="33">
        <v>39.6</v>
      </c>
      <c r="X54" s="37">
        <v>5.2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310</v>
      </c>
      <c r="D55" t="str">
        <f>IF(E55="","",VLOOKUP(E55,'Coaching Points'!A:B,2,0))</f>
        <v>ON</v>
      </c>
      <c r="E55" s="35" t="s">
        <v>45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R55+S55+IF(OR(H55="Junior",H55="Senior"),0.0002,IF(OR(H55="L7",H55="L6"),0.0001,0))+MAX(Z55,AC55)*0.0000001</f>
        <v>81.400000000000006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41.4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40</v>
      </c>
      <c r="T55" s="32">
        <v>40</v>
      </c>
      <c r="U55" s="37">
        <v>4.9000000000000004</v>
      </c>
      <c r="V55" s="37">
        <v>0</v>
      </c>
      <c r="W55" s="33">
        <v>41.4</v>
      </c>
      <c r="X55" s="37">
        <v>5.2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368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R56+S56+IF(OR(H56="Junior",H56="Senior"),0.0002,IF(OR(H56="L7",H56="L6"),0.0001,0))+MAX(Z56,AC56)*0.0000001</f>
        <v>80.5</v>
      </c>
      <c r="K56" s="3" t="str">
        <f>IF(G56="Not Age Eligible","",IF(MAX(T56,W56,Z56,AC56)&gt;=LOOKUP(G56,'Qualifying Scores'!$A$4:$A$7,'Qualifying Scores'!$G$4:$G$7),"P",""))</f>
        <v/>
      </c>
      <c r="L56" s="3" t="str">
        <f>IF(G56="Not Age Eligible","",IF(MAX(U56,X56,AA56,AD56)&gt;=LOOKUP(G56,'Qualifying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42.7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37.799999999999997</v>
      </c>
      <c r="T56" s="32">
        <v>42.7</v>
      </c>
      <c r="U56" s="37">
        <v>6.5</v>
      </c>
      <c r="V56" s="37">
        <v>0</v>
      </c>
      <c r="W56" s="33">
        <v>37.799999999999997</v>
      </c>
      <c r="X56" s="37">
        <v>4.5999999999999996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225</v>
      </c>
      <c r="D57" t="str">
        <f>IF(E57="","",VLOOKUP(E57,'Coaching Points'!A:B,2,0))</f>
        <v>AB</v>
      </c>
      <c r="E57" s="35" t="s">
        <v>39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R57+S57+IF(OR(H57="Junior",H57="Senior"),0.0002,IF(OR(H57="L7",H57="L6"),0.0001,0))+MAX(Z57,AC57)*0.0000001</f>
        <v>79.300200000000018</v>
      </c>
      <c r="K57" s="3" t="str">
        <f>IF(G57="Not Age Eligible","",IF(MAX(T57,W57,Z57,AC57)&gt;=LOOKUP(G57,'Qualifying Scores'!$A$4:$A$7,'Qualifying Scores'!$G$4:$G$7),"P",""))</f>
        <v/>
      </c>
      <c r="L57" s="3" t="str">
        <f>IF(G57="Not Age Eligible","",IF(MAX(U57,X57,AA57,AD57)&gt;=LOOKUP(G57,'Qualifying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40.700000000000003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38.6</v>
      </c>
      <c r="T57" s="32">
        <v>40.700000000000003</v>
      </c>
      <c r="U57" s="37">
        <v>7.9</v>
      </c>
      <c r="V57" s="37">
        <v>0</v>
      </c>
      <c r="W57" s="33">
        <v>38.6</v>
      </c>
      <c r="X57" s="37">
        <v>5.1000000000000005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258</v>
      </c>
      <c r="D58" t="str">
        <f>IF(E58="","",VLOOKUP(E58,'Coaching Points'!A:B,2,0))</f>
        <v>AB</v>
      </c>
      <c r="E58" s="35" t="s">
        <v>28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212</v>
      </c>
      <c r="I58" s="40"/>
      <c r="J58" s="4">
        <f>R58+S58+IF(OR(H58="Junior",H58="Senior"),0.0002,IF(OR(H58="L7",H58="L6"),0.0001,0))+MAX(Z58,AC58)*0.0000001</f>
        <v>33.100200000000001</v>
      </c>
      <c r="K58" s="3" t="str">
        <f>IF(G58="Not Age Eligible","",IF(MAX(T58,W58,Z58,AC58)&gt;=LOOKUP(G58,'Qualifying Scores'!$A$4:$A$7,'Qualifying Scores'!$G$4:$G$7),"P",""))</f>
        <v/>
      </c>
      <c r="L58" s="3" t="str">
        <f>IF(G58="Not Age Eligible","",IF(MAX(U58,X58,AA58,AD58)&gt;=LOOKUP(G58,'Qualifying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33.1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0</v>
      </c>
      <c r="T58" s="32">
        <v>33.1</v>
      </c>
      <c r="U58" s="37">
        <v>1.9</v>
      </c>
      <c r="V58" s="37">
        <v>0</v>
      </c>
      <c r="W58" s="33"/>
      <c r="X58" s="37"/>
      <c r="Y58" s="37"/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296</v>
      </c>
      <c r="D59" t="str">
        <f>IF(E59="","",VLOOKUP(E59,'Coaching Points'!A:B,2,0))</f>
        <v>ON</v>
      </c>
      <c r="E59" s="35" t="s">
        <v>162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R59+S59+IF(OR(H59="Junior",H59="Senior"),0.0002,IF(OR(H59="L7",H59="L6"),0.0001,0))+MAX(Z59,AC59)*0.0000001</f>
        <v>20.100000000000001</v>
      </c>
      <c r="K59" s="3" t="str">
        <f>IF(G59="Not Age Eligible","",IF(MAX(T59,W59,Z59,AC59)&gt;=LOOKUP(G59,'Qualifying Scores'!$A$4:$A$7,'Qualifying Scores'!$G$4:$G$7),"P",""))</f>
        <v/>
      </c>
      <c r="L59" s="3" t="str">
        <f>IF(G59="Not Age Eligible","",IF(MAX(U59,X59,AA59,AD59)&gt;=LOOKUP(G59,'Qualifying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20.100000000000001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0</v>
      </c>
      <c r="T59" s="32">
        <v>20.100000000000001</v>
      </c>
      <c r="U59" s="37">
        <v>2.7</v>
      </c>
      <c r="V59" s="37">
        <v>0</v>
      </c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245</v>
      </c>
      <c r="D60" t="str">
        <f>IF(E60="","",VLOOKUP(E60,'Coaching Points'!A:B,2,0))</f>
        <v>AB</v>
      </c>
      <c r="E60" s="35" t="s">
        <v>39</v>
      </c>
      <c r="F60" s="34">
        <v>2011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86.9</v>
      </c>
      <c r="K60" s="3" t="str">
        <f>IF(G60="Not Age Eligible","",IF(MAX(T60,W60,Z60,AC60)&gt;=LOOKUP(G60,'Qualifying Scores'!$A$4:$A$7,'Qualifying Scores'!$G$4:$G$7),"P",""))</f>
        <v/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/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43.7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43.2</v>
      </c>
      <c r="T60" s="32">
        <v>43.2</v>
      </c>
      <c r="U60" s="37">
        <v>8</v>
      </c>
      <c r="V60" s="37">
        <v>0</v>
      </c>
      <c r="W60" s="33">
        <v>43.7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249</v>
      </c>
      <c r="D61" t="str">
        <f>IF(E61="","",VLOOKUP(E61,'Coaching Points'!A:B,2,0))</f>
        <v>BC</v>
      </c>
      <c r="E61" s="35" t="s">
        <v>40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86.5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43.5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43</v>
      </c>
      <c r="T61" s="32">
        <v>43</v>
      </c>
      <c r="U61" s="37">
        <v>6.1</v>
      </c>
      <c r="V61" s="37">
        <v>0</v>
      </c>
      <c r="W61" s="33">
        <v>43.5</v>
      </c>
      <c r="X61" s="37">
        <v>7.1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306</v>
      </c>
      <c r="D62" t="str">
        <f>IF(E62="","",VLOOKUP(E62,'Coaching Points'!A:B,2,0))</f>
        <v>AB</v>
      </c>
      <c r="E62" s="35" t="s">
        <v>62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85.7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43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42.7</v>
      </c>
      <c r="T62" s="32">
        <v>42.7</v>
      </c>
      <c r="U62" s="37">
        <v>6.1</v>
      </c>
      <c r="V62" s="37">
        <v>0</v>
      </c>
      <c r="W62" s="33">
        <v>43</v>
      </c>
      <c r="X62" s="37">
        <v>7.2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248</v>
      </c>
      <c r="D63" t="str">
        <f>IF(E63="","",VLOOKUP(E63,'Coaching Points'!A:B,2,0))</f>
        <v>AB</v>
      </c>
      <c r="E63" s="35" t="s">
        <v>28</v>
      </c>
      <c r="F63" s="34">
        <v>2011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83.800000000000011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43.2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40.6</v>
      </c>
      <c r="T63" s="32">
        <v>40.6</v>
      </c>
      <c r="U63" s="37">
        <v>5.6</v>
      </c>
      <c r="V63" s="37">
        <v>0</v>
      </c>
      <c r="W63" s="33">
        <v>43.2</v>
      </c>
      <c r="X63" s="37">
        <v>7.1</v>
      </c>
      <c r="Y63" s="37">
        <v>0</v>
      </c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347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R64+S64+IF(OR(H64="Junior",H64="Senior"),0.0002,IF(OR(H64="L7",H64="L6"),0.0001,0))+MAX(Z64,AC64)*0.0000001</f>
        <v>83.7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42.2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41.5</v>
      </c>
      <c r="T64" s="32">
        <v>41.5</v>
      </c>
      <c r="U64" s="37">
        <v>5.8000000000000007</v>
      </c>
      <c r="V64" s="37">
        <v>0</v>
      </c>
      <c r="W64" s="33">
        <v>42.2</v>
      </c>
      <c r="X64" s="37">
        <v>6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244</v>
      </c>
      <c r="D65" t="str">
        <f>IF(E65="","",VLOOKUP(E65,'Coaching Points'!A:B,2,0))</f>
        <v>AB</v>
      </c>
      <c r="E65" s="35" t="s">
        <v>56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R65+S65+IF(OR(H65="Junior",H65="Senior"),0.0002,IF(OR(H65="L7",H65="L6"),0.0001,0))+MAX(Z65,AC65)*0.0000001</f>
        <v>80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42.8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37.200000000000003</v>
      </c>
      <c r="T65" s="32">
        <v>42.8</v>
      </c>
      <c r="U65" s="37">
        <v>6</v>
      </c>
      <c r="V65" s="37">
        <v>0</v>
      </c>
      <c r="W65" s="33">
        <v>37.200000000000003</v>
      </c>
      <c r="X65" s="37">
        <v>4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367</v>
      </c>
      <c r="D66" t="str">
        <f>IF(E66="","",VLOOKUP(E66,'Coaching Points'!A:B,2,0))</f>
        <v>AB</v>
      </c>
      <c r="E66" s="35" t="s">
        <v>28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R66+S66+IF(OR(H66="Junior",H66="Senior"),0.0002,IF(OR(H66="L7",H66="L6"),0.0001,0))+MAX(Z66,AC66)*0.0000001</f>
        <v>79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42.6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36.4</v>
      </c>
      <c r="T66" s="32">
        <v>36.4</v>
      </c>
      <c r="U66" s="37">
        <v>2.5</v>
      </c>
      <c r="V66" s="37">
        <v>0</v>
      </c>
      <c r="W66" s="33">
        <v>42.6</v>
      </c>
      <c r="X66" s="37">
        <v>6.3000000000000007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1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  <row r="81" spans="2:31" x14ac:dyDescent="0.2">
      <c r="B81" s="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2:31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7"/>
      <c r="W82" s="33"/>
      <c r="X82" s="37"/>
      <c r="Y82" s="37"/>
      <c r="Z82" s="32"/>
      <c r="AA82" s="37"/>
      <c r="AB82" s="37"/>
      <c r="AC82" s="33"/>
      <c r="AD82" s="37"/>
      <c r="AE82" s="37"/>
    </row>
    <row r="83" spans="2:31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7"/>
      <c r="W83" s="33"/>
      <c r="X83" s="37"/>
      <c r="Y83" s="37"/>
      <c r="Z83" s="32"/>
      <c r="AA83" s="37"/>
      <c r="AB83" s="37"/>
      <c r="AC83" s="33"/>
      <c r="AD83" s="37"/>
      <c r="AE83" s="37"/>
    </row>
    <row r="84" spans="2:31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7"/>
      <c r="W84" s="33"/>
      <c r="X84" s="37"/>
      <c r="Y84" s="37"/>
      <c r="Z84" s="32"/>
      <c r="AA84" s="37"/>
      <c r="AB84" s="37"/>
      <c r="AC84" s="33"/>
      <c r="AD84" s="37"/>
      <c r="AE84" s="37"/>
    </row>
    <row r="85" spans="2:31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7"/>
      <c r="W85" s="33"/>
      <c r="X85" s="37"/>
      <c r="Y85" s="37"/>
      <c r="Z85" s="32"/>
      <c r="AA85" s="37"/>
      <c r="AB85" s="37"/>
      <c r="AC85" s="33"/>
      <c r="AD85" s="37"/>
      <c r="AE85" s="37"/>
    </row>
    <row r="86" spans="2:31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7"/>
      <c r="W86" s="33"/>
      <c r="X86" s="37"/>
      <c r="Y86" s="37"/>
      <c r="Z86" s="32"/>
      <c r="AA86" s="37"/>
      <c r="AB86" s="37"/>
      <c r="AC86" s="33"/>
      <c r="AD86" s="37"/>
      <c r="AE86" s="37"/>
    </row>
    <row r="87" spans="2:31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7"/>
      <c r="W87" s="33"/>
      <c r="X87" s="37"/>
      <c r="Y87" s="37"/>
      <c r="Z87" s="32"/>
      <c r="AA87" s="37"/>
      <c r="AB87" s="37"/>
      <c r="AC87" s="33"/>
      <c r="AD87" s="37"/>
      <c r="AE87" s="37"/>
    </row>
    <row r="88" spans="2:31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7"/>
      <c r="W88" s="33"/>
      <c r="X88" s="37"/>
      <c r="Y88" s="37"/>
      <c r="Z88" s="32"/>
      <c r="AA88" s="37"/>
      <c r="AB88" s="37"/>
      <c r="AC88" s="33"/>
      <c r="AD88" s="37"/>
      <c r="AE88" s="37"/>
    </row>
    <row r="89" spans="2:31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7"/>
      <c r="W89" s="33"/>
      <c r="X89" s="37"/>
      <c r="Y89" s="37"/>
      <c r="Z89" s="32"/>
      <c r="AA89" s="37"/>
      <c r="AB89" s="37"/>
      <c r="AC89" s="33"/>
      <c r="AD89" s="37"/>
      <c r="AE89" s="37"/>
    </row>
    <row r="90" spans="2:31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7"/>
      <c r="W90" s="33"/>
      <c r="X90" s="37"/>
      <c r="Y90" s="37"/>
      <c r="Z90" s="32"/>
      <c r="AA90" s="37"/>
      <c r="AB90" s="37"/>
      <c r="AC90" s="33"/>
      <c r="AD90" s="37"/>
      <c r="AE90" s="37"/>
    </row>
    <row r="91" spans="2:31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7"/>
      <c r="W91" s="33"/>
      <c r="X91" s="37"/>
      <c r="Y91" s="37"/>
      <c r="Z91" s="32"/>
      <c r="AA91" s="37"/>
      <c r="AB91" s="37"/>
      <c r="AC91" s="33"/>
      <c r="AD91" s="37"/>
      <c r="AE91" s="37"/>
    </row>
    <row r="92" spans="2:31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7"/>
      <c r="W92" s="33"/>
      <c r="X92" s="37"/>
      <c r="Y92" s="37"/>
      <c r="Z92" s="32"/>
      <c r="AA92" s="37"/>
      <c r="AB92" s="37"/>
      <c r="AC92" s="33"/>
      <c r="AD92" s="37"/>
      <c r="AE92" s="37"/>
    </row>
    <row r="93" spans="2:31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7"/>
      <c r="W93" s="33"/>
      <c r="X93" s="37"/>
      <c r="Y93" s="37"/>
      <c r="Z93" s="32"/>
      <c r="AA93" s="37"/>
      <c r="AB93" s="37"/>
      <c r="AC93" s="33"/>
      <c r="AD93" s="37"/>
      <c r="AE93" s="37"/>
    </row>
    <row r="94" spans="2:31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7"/>
      <c r="W94" s="33"/>
      <c r="X94" s="37"/>
      <c r="Y94" s="37"/>
      <c r="Z94" s="32"/>
      <c r="AA94" s="37"/>
      <c r="AB94" s="37"/>
      <c r="AC94" s="33"/>
      <c r="AD94" s="37"/>
      <c r="AE94" s="37"/>
    </row>
    <row r="95" spans="2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2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6">
      <sortCondition descending="1" ref="G1:G67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activeCell="S1" sqref="S1:S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$26&lt;&gt;"")*(G$3:G$26=G3)*(J$3:J$26&gt;J3)*(I$3:I$26="P"))+1,IF(O3&lt;&gt;"",SUMPRODUCT((O$3:O$26&lt;&gt;"")*(P$3:P$26="")*(G$3:G$26=G3)*(J$3:J$26&gt;J3)*(I$3:I$26="P"))+SUMPRODUCT((P$3:P$26&lt;&gt;"")*(G$3:G$26=G3)*(I$3:I$26="P"))+1,IF(N3&lt;&gt;"",SUMPRODUCT((N$3:N$26&lt;&gt;"")*(G$3:G$26=G3)*(J$3:J$26&gt;J3)*(I$3:I$26="P"))+1,IF(M3="P",SUMPRODUCT((O$3:O$26&lt;&gt;"")*(P$3:P$26="")*(G$3:G$26=G3)*(I$3:I$26="P"))+SUMPRODUCT((P$3:P$26&lt;&gt;"")*(G$3:G$26=G3)*(I$3:I$26="P"))+SUMPRODUCT((N$3:N$26&lt;&gt;"")*(G$3:G$26=G3)*(I$3:I$26="P"))+SUMPRODUCT((P$3:P$26="")*(O$3:O$26="")*(N$3:N$26="")*(M$3:M$26="P")*(G$3:G$26=G3)*(J$3:J$26&gt;J3)*(I$3:I$26="P"))+IF(H3="L5",SUMPRODUCT((P$3:P$26="")*(O$3:O$26="")*(N$3:N$26="")*(M$3:M$26="P")*(G$3:G$26=G3)*(J$3:J$26&lt;J3)*(H$3:H$26&lt;&gt;H3)*(I$3:I$26="P")),-1*SUMPRODUCT((P$3:P$26="")*(O$3:O$26="")*(N$3:N$26="")*(M$3:M$26="P")*(G$3:G$26=G3)*(J$3:J$26&gt;J3)*(H$3:H$26="L5")*(I$3:I$26="P")))+1,"")))))</f>
        <v/>
      </c>
      <c r="B3" s="1" cm="1">
        <f t="array" ref="B3">IF(P3&lt;&gt;"",SUMPRODUCT((P$3:P$26&lt;&gt;"")*(G$3:G$26=G3)*(J$3:J$26&gt;J3))+1,IF(O3&lt;&gt;"",SUMPRODUCT((O$3:O$26&lt;&gt;"")*(P$3:P$26="")*(G$3:G$26=G3)*(J$3:J$26&gt;J3))+SUMPRODUCT((P$3:P$26&lt;&gt;"")*(G$3:G$26=G3))+1,IF(N3&lt;&gt;"",SUMPRODUCT((N$3:N$26&lt;&gt;"")*(G$3:G$26=G3)*(J$3:J$26&gt;J3))+1,IF(M3="P",SUMPRODUCT((O$3:O$26&lt;&gt;"")*(P$3:P$26="")*(G$3:G$26=G3))+SUMPRODUCT((P$3:P$26&lt;&gt;"")*(G$3:G$26=G3))+SUMPRODUCT((N$3:N$26&lt;&gt;"")*(G$3:G$26=G3))+SUMPRODUCT((P$3:P$26="")*(O$3:O$26="")*(N$3:N$26="")*(M$3:M$26="P")*(G$3:G$26=G3)*(J$3:J$26&gt;J3))+IF(H3="L5",SUMPRODUCT((P$3:P$26="")*(O$3:O$26="")*(N$3:N$26="")*(M$3:M$26="P")*(G$3:G$26=G3)*(J$3:J$26&lt;J3)*(H$3:H$26&lt;&gt;H3)),-1*SUMPRODUCT((P$3:P$26="")*(O$3:O$26="")*(N$3:N$26="")*(M$3:M$26="P")*(G$3:G$26=G3)*(J$3:J$26&gt;J3)*(H$3:H$26="L5")))+1,""))))</f>
        <v>1</v>
      </c>
      <c r="C3" s="35" t="s">
        <v>328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108.00020000000001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54.6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53.4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$26&lt;&gt;"")*(G$3:G$26=G4)*(J$3:J$26&gt;J4)*(I$3:I$26="P"))+1,IF(O4&lt;&gt;"",SUMPRODUCT((O$3:O$26&lt;&gt;"")*(P$3:P$26="")*(G$3:G$26=G4)*(J$3:J$26&gt;J4)*(I$3:I$26="P"))+SUMPRODUCT((P$3:P$26&lt;&gt;"")*(G$3:G$26=G4)*(I$3:I$26="P"))+1,IF(N4&lt;&gt;"",SUMPRODUCT((N$3:N$26&lt;&gt;"")*(G$3:G$26=G4)*(J$3:J$26&gt;J4)*(I$3:I$26="P"))+1,IF(M4="P",SUMPRODUCT((O$3:O$26&lt;&gt;"")*(P$3:P$26="")*(G$3:G$26=G4)*(I$3:I$26="P"))+SUMPRODUCT((P$3:P$26&lt;&gt;"")*(G$3:G$26=G4)*(I$3:I$26="P"))+SUMPRODUCT((N$3:N$26&lt;&gt;"")*(G$3:G$26=G4)*(I$3:I$26="P"))+SUMPRODUCT((P$3:P$26="")*(O$3:O$26="")*(N$3:N$26="")*(M$3:M$26="P")*(G$3:G$26=G4)*(J$3:J$26&gt;J4)*(I$3:I$26="P"))+IF(H4="L5",SUMPRODUCT((P$3:P$26="")*(O$3:O$26="")*(N$3:N$26="")*(M$3:M$26="P")*(G$3:G$26=G4)*(J$3:J$26&lt;J4)*(H$3:H$26&lt;&gt;H4)*(I$3:I$26="P")),-1*SUMPRODUCT((P$3:P$26="")*(O$3:O$26="")*(N$3:N$26="")*(M$3:M$26="P")*(G$3:G$26=G4)*(J$3:J$26&gt;J4)*(H$3:H$26="L5")*(I$3:I$26="P")))+1,"")))))</f>
        <v/>
      </c>
      <c r="B4" s="1" cm="1">
        <f t="array" ref="B4">IF(P4&lt;&gt;"",SUMPRODUCT((P$3:P$26&lt;&gt;"")*(G$3:G$26=G4)*(J$3:J$26&gt;J4))+1,IF(O4&lt;&gt;"",SUMPRODUCT((O$3:O$26&lt;&gt;"")*(P$3:P$26="")*(G$3:G$26=G4)*(J$3:J$26&gt;J4))+SUMPRODUCT((P$3:P$26&lt;&gt;"")*(G$3:G$26=G4))+1,IF(N4&lt;&gt;"",SUMPRODUCT((N$3:N$26&lt;&gt;"")*(G$3:G$26=G4)*(J$3:J$26&gt;J4))+1,IF(M4="P",SUMPRODUCT((O$3:O$26&lt;&gt;"")*(P$3:P$26="")*(G$3:G$26=G4))+SUMPRODUCT((P$3:P$26&lt;&gt;"")*(G$3:G$26=G4))+SUMPRODUCT((N$3:N$26&lt;&gt;"")*(G$3:G$26=G4))+SUMPRODUCT((P$3:P$26="")*(O$3:O$26="")*(N$3:N$26="")*(M$3:M$26="P")*(G$3:G$26=G4)*(J$3:J$26&gt;J4))+IF(H4="L5",SUMPRODUCT((P$3:P$26="")*(O$3:O$26="")*(N$3:N$26="")*(M$3:M$26="P")*(G$3:G$26=G4)*(J$3:J$26&lt;J4)*(H$3:H$26&lt;&gt;H4)),-1*SUMPRODUCT((P$3:P$26="")*(O$3:O$26="")*(N$3:N$26="")*(M$3:M$26="P")*(G$3:G$26=G4)*(J$3:J$26&gt;J4)*(H$3:H$26="L5")))+1,""))))</f>
        <v>2</v>
      </c>
      <c r="C4" s="35" t="s">
        <v>329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104.1002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50.6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$26&lt;&gt;"")*(G$3:G$26=G5)*(J$3:J$26&gt;J5)*(I$3:I$26="P"))+1,IF(O5&lt;&gt;"",SUMPRODUCT((O$3:O$26&lt;&gt;"")*(P$3:P$26="")*(G$3:G$26=G5)*(J$3:J$26&gt;J5)*(I$3:I$26="P"))+SUMPRODUCT((P$3:P$26&lt;&gt;"")*(G$3:G$26=G5)*(I$3:I$26="P"))+1,IF(N5&lt;&gt;"",SUMPRODUCT((N$3:N$26&lt;&gt;"")*(G$3:G$26=G5)*(J$3:J$26&gt;J5)*(I$3:I$26="P"))+1,IF(M5="P",SUMPRODUCT((O$3:O$26&lt;&gt;"")*(P$3:P$26="")*(G$3:G$26=G5)*(I$3:I$26="P"))+SUMPRODUCT((P$3:P$26&lt;&gt;"")*(G$3:G$26=G5)*(I$3:I$26="P"))+SUMPRODUCT((N$3:N$26&lt;&gt;"")*(G$3:G$26=G5)*(I$3:I$26="P"))+SUMPRODUCT((P$3:P$26="")*(O$3:O$26="")*(N$3:N$26="")*(M$3:M$26="P")*(G$3:G$26=G5)*(J$3:J$26&gt;J5)*(I$3:I$26="P"))+IF(H5="L5",SUMPRODUCT((P$3:P$26="")*(O$3:O$26="")*(N$3:N$26="")*(M$3:M$26="P")*(G$3:G$26=G5)*(J$3:J$26&lt;J5)*(H$3:H$26&lt;&gt;H5)*(I$3:I$26="P")),-1*SUMPRODUCT((P$3:P$26="")*(O$3:O$26="")*(N$3:N$26="")*(M$3:M$26="P")*(G$3:G$26=G5)*(J$3:J$26&gt;J5)*(H$3:H$26="L5")*(I$3:I$26="P")))+1,"")))))</f>
        <v/>
      </c>
      <c r="B5" s="1" cm="1">
        <f t="array" ref="B5">IF(P5&lt;&gt;"",SUMPRODUCT((P$3:P$26&lt;&gt;"")*(G$3:G$26=G5)*(J$3:J$26&gt;J5))+1,IF(O5&lt;&gt;"",SUMPRODUCT((O$3:O$26&lt;&gt;"")*(P$3:P$26="")*(G$3:G$26=G5)*(J$3:J$26&gt;J5))+SUMPRODUCT((P$3:P$26&lt;&gt;"")*(G$3:G$26=G5))+1,IF(N5&lt;&gt;"",SUMPRODUCT((N$3:N$26&lt;&gt;"")*(G$3:G$26=G5)*(J$3:J$26&gt;J5))+1,IF(M5="P",SUMPRODUCT((O$3:O$26&lt;&gt;"")*(P$3:P$26="")*(G$3:G$26=G5))+SUMPRODUCT((P$3:P$26&lt;&gt;"")*(G$3:G$26=G5))+SUMPRODUCT((N$3:N$26&lt;&gt;"")*(G$3:G$26=G5))+SUMPRODUCT((P$3:P$26="")*(O$3:O$26="")*(N$3:N$26="")*(M$3:M$26="P")*(G$3:G$26=G5)*(J$3:J$26&gt;J5))+IF(H5="L5",SUMPRODUCT((P$3:P$26="")*(O$3:O$26="")*(N$3:N$26="")*(M$3:M$26="P")*(G$3:G$26=G5)*(J$3:J$26&lt;J5)*(H$3:H$26&lt;&gt;H5)),-1*SUMPRODUCT((P$3:P$26="")*(O$3:O$26="")*(N$3:N$26="")*(M$3:M$26="P")*(G$3:G$26=G5)*(J$3:J$26&gt;J5)*(H$3:H$26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93.400200000000012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5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47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46.4</v>
      </c>
      <c r="T5" s="32">
        <v>46.4</v>
      </c>
      <c r="U5" s="37">
        <v>11.7</v>
      </c>
      <c r="V5" s="37">
        <v>0</v>
      </c>
      <c r="W5" s="33">
        <v>47</v>
      </c>
      <c r="X5" s="37">
        <v>11.5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$26&lt;&gt;"")*(G$3:G$26=G6)*(J$3:J$26&gt;J6)*(I$3:I$26="P"))+1,IF(O6&lt;&gt;"",SUMPRODUCT((O$3:O$26&lt;&gt;"")*(P$3:P$26="")*(G$3:G$26=G6)*(J$3:J$26&gt;J6)*(I$3:I$26="P"))+SUMPRODUCT((P$3:P$26&lt;&gt;"")*(G$3:G$26=G6)*(I$3:I$26="P"))+1,IF(N6&lt;&gt;"",SUMPRODUCT((N$3:N$26&lt;&gt;"")*(G$3:G$26=G6)*(J$3:J$26&gt;J6)*(I$3:I$26="P"))+1,IF(M6="P",SUMPRODUCT((O$3:O$26&lt;&gt;"")*(P$3:P$26="")*(G$3:G$26=G6)*(I$3:I$26="P"))+SUMPRODUCT((P$3:P$26&lt;&gt;"")*(G$3:G$26=G6)*(I$3:I$26="P"))+SUMPRODUCT((N$3:N$26&lt;&gt;"")*(G$3:G$26=G6)*(I$3:I$26="P"))+SUMPRODUCT((P$3:P$26="")*(O$3:O$26="")*(N$3:N$26="")*(M$3:M$26="P")*(G$3:G$26=G6)*(J$3:J$26&gt;J6)*(I$3:I$26="P"))+IF(H6="L5",SUMPRODUCT((P$3:P$26="")*(O$3:O$26="")*(N$3:N$26="")*(M$3:M$26="P")*(G$3:G$26=G6)*(J$3:J$26&lt;J6)*(H$3:H$26&lt;&gt;H6)*(I$3:I$26="P")),-1*SUMPRODUCT((P$3:P$26="")*(O$3:O$26="")*(N$3:N$26="")*(M$3:M$26="P")*(G$3:G$26=G6)*(J$3:J$26&gt;J6)*(H$3:H$26="L5")*(I$3:I$26="P")))+1,"")))))</f>
        <v/>
      </c>
      <c r="B6" s="1" cm="1">
        <f t="array" ref="B6">IF(P6&lt;&gt;"",SUMPRODUCT((P$3:P$26&lt;&gt;"")*(G$3:G$26=G6)*(J$3:J$26&gt;J6))+1,IF(O6&lt;&gt;"",SUMPRODUCT((O$3:O$26&lt;&gt;"")*(P$3:P$26="")*(G$3:G$26=G6)*(J$3:J$26&gt;J6))+SUMPRODUCT((P$3:P$26&lt;&gt;"")*(G$3:G$26=G6))+1,IF(N6&lt;&gt;"",SUMPRODUCT((N$3:N$26&lt;&gt;"")*(G$3:G$26=G6)*(J$3:J$26&gt;J6))+1,IF(M6="P",SUMPRODUCT((O$3:O$26&lt;&gt;"")*(P$3:P$26="")*(G$3:G$26=G6))+SUMPRODUCT((P$3:P$26&lt;&gt;"")*(G$3:G$26=G6))+SUMPRODUCT((N$3:N$26&lt;&gt;"")*(G$3:G$26=G6))+SUMPRODUCT((P$3:P$26="")*(O$3:O$26="")*(N$3:N$26="")*(M$3:M$26="P")*(G$3:G$26=G6)*(J$3:J$26&gt;J6))+IF(H6="L5",SUMPRODUCT((P$3:P$26="")*(O$3:O$26="")*(N$3:N$26="")*(M$3:M$26="P")*(G$3:G$26=G6)*(J$3:J$26&lt;J6)*(H$3:H$26&lt;&gt;H6)),-1*SUMPRODUCT((P$3:P$26="")*(O$3:O$26="")*(N$3:N$26="")*(M$3:M$26="P")*(G$3:G$26=G6)*(J$3:J$26&gt;J6)*(H$3:H$26="L5")))+1,""))))</f>
        <v>4</v>
      </c>
      <c r="C6" s="35" t="s">
        <v>331</v>
      </c>
      <c r="D6" t="str">
        <f>IF(E6="","",VLOOKUP(E6,'Coaching Points'!A:B,2,0))</f>
        <v>AB</v>
      </c>
      <c r="E6" s="35" t="s">
        <v>28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89.000200000000007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48.3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40.700000000000003</v>
      </c>
      <c r="T6" s="32">
        <v>48.3</v>
      </c>
      <c r="U6" s="37">
        <v>12</v>
      </c>
      <c r="V6" s="37">
        <v>0</v>
      </c>
      <c r="W6" s="33">
        <v>40.700000000000003</v>
      </c>
      <c r="X6" s="37">
        <v>9.3999999999999986</v>
      </c>
      <c r="Y6" s="37">
        <v>0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$26&lt;&gt;"")*(G$3:G$26=G7)*(J$3:J$26&gt;J7)*(I$3:I$26="P"))+1,IF(O7&lt;&gt;"",SUMPRODUCT((O$3:O$26&lt;&gt;"")*(P$3:P$26="")*(G$3:G$26=G7)*(J$3:J$26&gt;J7)*(I$3:I$26="P"))+SUMPRODUCT((P$3:P$26&lt;&gt;"")*(G$3:G$26=G7)*(I$3:I$26="P"))+1,IF(N7&lt;&gt;"",SUMPRODUCT((N$3:N$26&lt;&gt;"")*(G$3:G$26=G7)*(J$3:J$26&gt;J7)*(I$3:I$26="P"))+1,IF(M7="P",SUMPRODUCT((O$3:O$26&lt;&gt;"")*(P$3:P$26="")*(G$3:G$26=G7)*(I$3:I$26="P"))+SUMPRODUCT((P$3:P$26&lt;&gt;"")*(G$3:G$26=G7)*(I$3:I$26="P"))+SUMPRODUCT((N$3:N$26&lt;&gt;"")*(G$3:G$26=G7)*(I$3:I$26="P"))+SUMPRODUCT((P$3:P$26="")*(O$3:O$26="")*(N$3:N$26="")*(M$3:M$26="P")*(G$3:G$26=G7)*(J$3:J$26&gt;J7)*(I$3:I$26="P"))+IF(H7="L5",SUMPRODUCT((P$3:P$26="")*(O$3:O$26="")*(N$3:N$26="")*(M$3:M$26="P")*(G$3:G$26=G7)*(J$3:J$26&lt;J7)*(H$3:H$26&lt;&gt;H7)*(I$3:I$26="P")),-1*SUMPRODUCT((P$3:P$26="")*(O$3:O$26="")*(N$3:N$26="")*(M$3:M$26="P")*(G$3:G$26=G7)*(J$3:J$26&gt;J7)*(H$3:H$26="L5")*(I$3:I$26="P")))+1,"")))))</f>
        <v/>
      </c>
      <c r="B7" s="1" cm="1">
        <f t="array" ref="B7">IF(P7&lt;&gt;"",SUMPRODUCT((P$3:P$26&lt;&gt;"")*(G$3:G$26=G7)*(J$3:J$26&gt;J7))+1,IF(O7&lt;&gt;"",SUMPRODUCT((O$3:O$26&lt;&gt;"")*(P$3:P$26="")*(G$3:G$26=G7)*(J$3:J$26&gt;J7))+SUMPRODUCT((P$3:P$26&lt;&gt;"")*(G$3:G$26=G7))+1,IF(N7&lt;&gt;"",SUMPRODUCT((N$3:N$26&lt;&gt;"")*(G$3:G$26=G7)*(J$3:J$26&gt;J7))+1,IF(M7="P",SUMPRODUCT((O$3:O$26&lt;&gt;"")*(P$3:P$26="")*(G$3:G$26=G7))+SUMPRODUCT((P$3:P$26&lt;&gt;"")*(G$3:G$26=G7))+SUMPRODUCT((N$3:N$26&lt;&gt;"")*(G$3:G$26=G7))+SUMPRODUCT((P$3:P$26="")*(O$3:O$26="")*(N$3:N$26="")*(M$3:M$26="P")*(G$3:G$26=G7)*(J$3:J$26&gt;J7))+IF(H7="L5",SUMPRODUCT((P$3:P$26="")*(O$3:O$26="")*(N$3:N$26="")*(M$3:M$26="P")*(G$3:G$26=G7)*(J$3:J$26&lt;J7)*(H$3:H$26&lt;&gt;H7)),-1*SUMPRODUCT((P$3:P$26="")*(O$3:O$26="")*(N$3:N$26="")*(M$3:M$26="P")*(G$3:G$26=G7)*(J$3:J$26&gt;J7)*(H$3:H$26="L5")))+1,""))))</f>
        <v>5</v>
      </c>
      <c r="C7" s="35" t="s">
        <v>330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83.600200000000001</v>
      </c>
      <c r="K7" s="3" t="str">
        <f>IF(G7="Not Age Eligible","",IF(MAX(T7,W7,Z7,AC7)&gt;=LOOKUP(G7,'Qualifying Scores'!$A$4:$A$7,'Qualifying Scores'!$H$4:$H$7),"P",""))</f>
        <v/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/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42.2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41.4</v>
      </c>
      <c r="T7" s="32">
        <v>42.2</v>
      </c>
      <c r="U7" s="37">
        <v>12</v>
      </c>
      <c r="V7" s="37">
        <v>0</v>
      </c>
      <c r="W7" s="33">
        <v>41.4</v>
      </c>
      <c r="X7" s="37">
        <v>9.6999999999999993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$26&lt;&gt;"")*(G$3:G$26=G8)*(J$3:J$26&gt;J8)*(I$3:I$26="P"))+1,IF(O8&lt;&gt;"",SUMPRODUCT((O$3:O$26&lt;&gt;"")*(P$3:P$26="")*(G$3:G$26=G8)*(J$3:J$26&gt;J8)*(I$3:I$26="P"))+SUMPRODUCT((P$3:P$26&lt;&gt;"")*(G$3:G$26=G8)*(I$3:I$26="P"))+1,IF(N8&lt;&gt;"",SUMPRODUCT((N$3:N$26&lt;&gt;"")*(G$3:G$26=G8)*(J$3:J$26&gt;J8)*(I$3:I$26="P"))+1,IF(M8="P",SUMPRODUCT((O$3:O$26&lt;&gt;"")*(P$3:P$26="")*(G$3:G$26=G8)*(I$3:I$26="P"))+SUMPRODUCT((P$3:P$26&lt;&gt;"")*(G$3:G$26=G8)*(I$3:I$26="P"))+SUMPRODUCT((N$3:N$26&lt;&gt;"")*(G$3:G$26=G8)*(I$3:I$26="P"))+SUMPRODUCT((P$3:P$26="")*(O$3:O$26="")*(N$3:N$26="")*(M$3:M$26="P")*(G$3:G$26=G8)*(J$3:J$26&gt;J8)*(I$3:I$26="P"))+IF(H8="L5",SUMPRODUCT((P$3:P$26="")*(O$3:O$26="")*(N$3:N$26="")*(M$3:M$26="P")*(G$3:G$26=G8)*(J$3:J$26&lt;J8)*(H$3:H$26&lt;&gt;H8)*(I$3:I$26="P")),-1*SUMPRODUCT((P$3:P$26="")*(O$3:O$26="")*(N$3:N$26="")*(M$3:M$26="P")*(G$3:G$26=G8)*(J$3:J$26&gt;J8)*(H$3:H$26="L5")*(I$3:I$26="P")))+1,"")))))</f>
        <v/>
      </c>
      <c r="B8" s="1" cm="1">
        <f t="array" ref="B8">IF(P8&lt;&gt;"",SUMPRODUCT((P$3:P$26&lt;&gt;"")*(G$3:G$26=G8)*(J$3:J$26&gt;J8))+1,IF(O8&lt;&gt;"",SUMPRODUCT((O$3:O$26&lt;&gt;"")*(P$3:P$26="")*(G$3:G$26=G8)*(J$3:J$26&gt;J8))+SUMPRODUCT((P$3:P$26&lt;&gt;"")*(G$3:G$26=G8))+1,IF(N8&lt;&gt;"",SUMPRODUCT((N$3:N$26&lt;&gt;"")*(G$3:G$26=G8)*(J$3:J$26&gt;J8))+1,IF(M8="P",SUMPRODUCT((O$3:O$26&lt;&gt;"")*(P$3:P$26="")*(G$3:G$26=G8))+SUMPRODUCT((P$3:P$26&lt;&gt;"")*(G$3:G$26=G8))+SUMPRODUCT((N$3:N$26&lt;&gt;"")*(G$3:G$26=G8))+SUMPRODUCT((P$3:P$26="")*(O$3:O$26="")*(N$3:N$26="")*(M$3:M$26="P")*(G$3:G$26=G8)*(J$3:J$26&gt;J8))+IF(H8="L5",SUMPRODUCT((P$3:P$26="")*(O$3:O$26="")*(N$3:N$26="")*(M$3:M$26="P")*(G$3:G$26=G8)*(J$3:J$26&lt;J8)*(H$3:H$26&lt;&gt;H8)),-1*SUMPRODUCT((P$3:P$26="")*(O$3:O$26="")*(N$3:N$26="")*(M$3:M$26="P")*(G$3:G$26=G8)*(J$3:J$26&gt;J8)*(H$3:H$26="L5")))+1,""))))</f>
        <v>6</v>
      </c>
      <c r="C8" s="35" t="s">
        <v>333</v>
      </c>
      <c r="D8" t="str">
        <f>IF(E8="","",VLOOKUP(E8,'Coaching Points'!A:B,2,0))</f>
        <v>AB</v>
      </c>
      <c r="E8" s="35" t="s">
        <v>62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48.900199999999998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P8" s="36">
        <v>8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48.9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48.9</v>
      </c>
      <c r="U8" s="37">
        <v>13.8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$26&lt;&gt;"")*(G$3:G$26=G9)*(J$3:J$26&gt;J9)*(I$3:I$26="P"))+1,IF(O9&lt;&gt;"",SUMPRODUCT((O$3:O$26&lt;&gt;"")*(P$3:P$26="")*(G$3:G$26=G9)*(J$3:J$26&gt;J9)*(I$3:I$26="P"))+SUMPRODUCT((P$3:P$26&lt;&gt;"")*(G$3:G$26=G9)*(I$3:I$26="P"))+1,IF(N9&lt;&gt;"",SUMPRODUCT((N$3:N$26&lt;&gt;"")*(G$3:G$26=G9)*(J$3:J$26&gt;J9)*(I$3:I$26="P"))+1,IF(M9="P",SUMPRODUCT((O$3:O$26&lt;&gt;"")*(P$3:P$26="")*(G$3:G$26=G9)*(I$3:I$26="P"))+SUMPRODUCT((P$3:P$26&lt;&gt;"")*(G$3:G$26=G9)*(I$3:I$26="P"))+SUMPRODUCT((N$3:N$26&lt;&gt;"")*(G$3:G$26=G9)*(I$3:I$26="P"))+SUMPRODUCT((P$3:P$26="")*(O$3:O$26="")*(N$3:N$26="")*(M$3:M$26="P")*(G$3:G$26=G9)*(J$3:J$26&gt;J9)*(I$3:I$26="P"))+IF(H9="L5",SUMPRODUCT((P$3:P$26="")*(O$3:O$26="")*(N$3:N$26="")*(M$3:M$26="P")*(G$3:G$26=G9)*(J$3:J$26&lt;J9)*(H$3:H$26&lt;&gt;H9)*(I$3:I$26="P")),-1*SUMPRODUCT((P$3:P$26="")*(O$3:O$26="")*(N$3:N$26="")*(M$3:M$26="P")*(G$3:G$26=G9)*(J$3:J$26&gt;J9)*(H$3:H$26="L5")*(I$3:I$26="P")))+1,"")))))</f>
        <v/>
      </c>
      <c r="B9" s="1" cm="1">
        <f t="array" ref="B9">IF(P9&lt;&gt;"",SUMPRODUCT((P$3:P$26&lt;&gt;"")*(G$3:G$26=G9)*(J$3:J$26&gt;J9))+1,IF(O9&lt;&gt;"",SUMPRODUCT((O$3:O$26&lt;&gt;"")*(P$3:P$26="")*(G$3:G$26=G9)*(J$3:J$26&gt;J9))+SUMPRODUCT((P$3:P$26&lt;&gt;"")*(G$3:G$26=G9))+1,IF(N9&lt;&gt;"",SUMPRODUCT((N$3:N$26&lt;&gt;"")*(G$3:G$26=G9)*(J$3:J$26&gt;J9))+1,IF(M9="P",SUMPRODUCT((O$3:O$26&lt;&gt;"")*(P$3:P$26="")*(G$3:G$26=G9))+SUMPRODUCT((P$3:P$26&lt;&gt;"")*(G$3:G$26=G9))+SUMPRODUCT((N$3:N$26&lt;&gt;"")*(G$3:G$26=G9))+SUMPRODUCT((P$3:P$26="")*(O$3:O$26="")*(N$3:N$26="")*(M$3:M$26="P")*(G$3:G$26=G9)*(J$3:J$26&gt;J9))+IF(H9="L5",SUMPRODUCT((P$3:P$26="")*(O$3:O$26="")*(N$3:N$26="")*(M$3:M$26="P")*(G$3:G$26=G9)*(J$3:J$26&lt;J9)*(H$3:H$26&lt;&gt;H9)),-1*SUMPRODUCT((P$3:P$26="")*(O$3:O$26="")*(N$3:N$26="")*(M$3:M$26="P")*(G$3:G$26=G9)*(J$3:J$26&gt;J9)*(H$3:H$26="L5")))+1,""))))</f>
        <v>7</v>
      </c>
      <c r="C9" s="35" t="s">
        <v>336</v>
      </c>
      <c r="D9" t="str">
        <f>IF(E9="","",VLOOKUP(E9,'Coaching Points'!A:B,2,0))</f>
        <v>ON</v>
      </c>
      <c r="E9" s="35" t="s">
        <v>89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214</v>
      </c>
      <c r="I9" s="40"/>
      <c r="J9" s="4">
        <f>R9+S9+IF(OR(H9="Junior",H9="Senior"),0.0002,IF(OR(H9="L7",H9="L6"),0.0001,0))+MAX(Z9,AC9)*0.0000001</f>
        <v>86.000100000000003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3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43.1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42.9</v>
      </c>
      <c r="T9" s="32">
        <v>42.9</v>
      </c>
      <c r="U9" s="37">
        <v>11</v>
      </c>
      <c r="V9" s="37">
        <v>0</v>
      </c>
      <c r="W9" s="33">
        <v>43.1</v>
      </c>
      <c r="X9" s="37">
        <v>11</v>
      </c>
      <c r="Y9" s="37">
        <v>0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$26&lt;&gt;"")*(G$3:G$26=G10)*(J$3:J$26&gt;J10)*(I$3:I$26="P"))+1,IF(O10&lt;&gt;"",SUMPRODUCT((O$3:O$26&lt;&gt;"")*(P$3:P$26="")*(G$3:G$26=G10)*(J$3:J$26&gt;J10)*(I$3:I$26="P"))+SUMPRODUCT((P$3:P$26&lt;&gt;"")*(G$3:G$26=G10)*(I$3:I$26="P"))+1,IF(N10&lt;&gt;"",SUMPRODUCT((N$3:N$26&lt;&gt;"")*(G$3:G$26=G10)*(J$3:J$26&gt;J10)*(I$3:I$26="P"))+1,IF(M10="P",SUMPRODUCT((O$3:O$26&lt;&gt;"")*(P$3:P$26="")*(G$3:G$26=G10)*(I$3:I$26="P"))+SUMPRODUCT((P$3:P$26&lt;&gt;"")*(G$3:G$26=G10)*(I$3:I$26="P"))+SUMPRODUCT((N$3:N$26&lt;&gt;"")*(G$3:G$26=G10)*(I$3:I$26="P"))+SUMPRODUCT((P$3:P$26="")*(O$3:O$26="")*(N$3:N$26="")*(M$3:M$26="P")*(G$3:G$26=G10)*(J$3:J$26&gt;J10)*(I$3:I$26="P"))+IF(H10="L5",SUMPRODUCT((P$3:P$26="")*(O$3:O$26="")*(N$3:N$26="")*(M$3:M$26="P")*(G$3:G$26=G10)*(J$3:J$26&lt;J10)*(H$3:H$26&lt;&gt;H10)*(I$3:I$26="P")),-1*SUMPRODUCT((P$3:P$26="")*(O$3:O$26="")*(N$3:N$26="")*(M$3:M$26="P")*(G$3:G$26=G10)*(J$3:J$26&gt;J10)*(H$3:H$26="L5")*(I$3:I$26="P")))+1,"")))))</f>
        <v/>
      </c>
      <c r="B10" s="1" cm="1">
        <f t="array" ref="B10">IF(P10&lt;&gt;"",SUMPRODUCT((P$3:P$26&lt;&gt;"")*(G$3:G$26=G10)*(J$3:J$26&gt;J10))+1,IF(O10&lt;&gt;"",SUMPRODUCT((O$3:O$26&lt;&gt;"")*(P$3:P$26="")*(G$3:G$26=G10)*(J$3:J$26&gt;J10))+SUMPRODUCT((P$3:P$26&lt;&gt;"")*(G$3:G$26=G10))+1,IF(N10&lt;&gt;"",SUMPRODUCT((N$3:N$26&lt;&gt;"")*(G$3:G$26=G10)*(J$3:J$26&gt;J10))+1,IF(M10="P",SUMPRODUCT((O$3:O$26&lt;&gt;"")*(P$3:P$26="")*(G$3:G$26=G10))+SUMPRODUCT((P$3:P$26&lt;&gt;"")*(G$3:G$26=G10))+SUMPRODUCT((N$3:N$26&lt;&gt;"")*(G$3:G$26=G10))+SUMPRODUCT((P$3:P$26="")*(O$3:O$26="")*(N$3:N$26="")*(M$3:M$26="P")*(G$3:G$26=G10)*(J$3:J$26&gt;J10))+IF(H10="L5",SUMPRODUCT((P$3:P$26="")*(O$3:O$26="")*(N$3:N$26="")*(M$3:M$26="P")*(G$3:G$26=G10)*(J$3:J$26&lt;J10)*(H$3:H$26&lt;&gt;H10)),-1*SUMPRODUCT((P$3:P$26="")*(O$3:O$26="")*(N$3:N$26="")*(M$3:M$26="P")*(G$3:G$26=G10)*(J$3:J$26&gt;J10)*(H$3:H$26="L5")))+1,""))))</f>
        <v>8</v>
      </c>
      <c r="C10" s="35" t="s">
        <v>71</v>
      </c>
      <c r="D10" t="str">
        <f>IF(E10="","",VLOOKUP(E10,'Coaching Points'!A:B,2,0))</f>
        <v>AB</v>
      </c>
      <c r="E10" s="35" t="s">
        <v>62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85.500100000000003</v>
      </c>
      <c r="K10" s="3" t="str">
        <f>IF(G10="Not Age Eligible","",IF(MAX(T10,W10,Z10,AC10)&gt;=LOOKUP(G10,'Qualifying Scores'!$A$4:$A$7,'Qualifying Scores'!$H$4:$H$7),"P",""))</f>
        <v/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/>
      </c>
      <c r="O10" s="36">
        <v>1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43.5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42</v>
      </c>
      <c r="T10" s="32">
        <v>43.5</v>
      </c>
      <c r="U10" s="37">
        <v>11.7</v>
      </c>
      <c r="V10" s="37">
        <v>0</v>
      </c>
      <c r="W10" s="33">
        <v>42</v>
      </c>
      <c r="X10" s="37">
        <v>11.7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$26&lt;&gt;"")*(G$3:G$26=G11)*(J$3:J$26&gt;J11)*(I$3:I$26="P"))+1,IF(O11&lt;&gt;"",SUMPRODUCT((O$3:O$26&lt;&gt;"")*(P$3:P$26="")*(G$3:G$26=G11)*(J$3:J$26&gt;J11)*(I$3:I$26="P"))+SUMPRODUCT((P$3:P$26&lt;&gt;"")*(G$3:G$26=G11)*(I$3:I$26="P"))+1,IF(N11&lt;&gt;"",SUMPRODUCT((N$3:N$26&lt;&gt;"")*(G$3:G$26=G11)*(J$3:J$26&gt;J11)*(I$3:I$26="P"))+1,IF(M11="P",SUMPRODUCT((O$3:O$26&lt;&gt;"")*(P$3:P$26="")*(G$3:G$26=G11)*(I$3:I$26="P"))+SUMPRODUCT((P$3:P$26&lt;&gt;"")*(G$3:G$26=G11)*(I$3:I$26="P"))+SUMPRODUCT((N$3:N$26&lt;&gt;"")*(G$3:G$26=G11)*(I$3:I$26="P"))+SUMPRODUCT((P$3:P$26="")*(O$3:O$26="")*(N$3:N$26="")*(M$3:M$26="P")*(G$3:G$26=G11)*(J$3:J$26&gt;J11)*(I$3:I$26="P"))+IF(H11="L5",SUMPRODUCT((P$3:P$26="")*(O$3:O$26="")*(N$3:N$26="")*(M$3:M$26="P")*(G$3:G$26=G11)*(J$3:J$26&lt;J11)*(H$3:H$26&lt;&gt;H11)*(I$3:I$26="P")),-1*SUMPRODUCT((P$3:P$26="")*(O$3:O$26="")*(N$3:N$26="")*(M$3:M$26="P")*(G$3:G$26=G11)*(J$3:J$26&gt;J11)*(H$3:H$26="L5")*(I$3:I$26="P")))+1,"")))))</f>
        <v/>
      </c>
      <c r="B11" s="1" cm="1">
        <f t="array" ref="B11">IF(P11&lt;&gt;"",SUMPRODUCT((P$3:P$26&lt;&gt;"")*(G$3:G$26=G11)*(J$3:J$26&gt;J11))+1,IF(O11&lt;&gt;"",SUMPRODUCT((O$3:O$26&lt;&gt;"")*(P$3:P$26="")*(G$3:G$26=G11)*(J$3:J$26&gt;J11))+SUMPRODUCT((P$3:P$26&lt;&gt;"")*(G$3:G$26=G11))+1,IF(N11&lt;&gt;"",SUMPRODUCT((N$3:N$26&lt;&gt;"")*(G$3:G$26=G11)*(J$3:J$26&gt;J11))+1,IF(M11="P",SUMPRODUCT((O$3:O$26&lt;&gt;"")*(P$3:P$26="")*(G$3:G$26=G11))+SUMPRODUCT((P$3:P$26&lt;&gt;"")*(G$3:G$26=G11))+SUMPRODUCT((N$3:N$26&lt;&gt;"")*(G$3:G$26=G11))+SUMPRODUCT((P$3:P$26="")*(O$3:O$26="")*(N$3:N$26="")*(M$3:M$26="P")*(G$3:G$26=G11)*(J$3:J$26&gt;J11))+IF(H11="L5",SUMPRODUCT((P$3:P$26="")*(O$3:O$26="")*(N$3:N$26="")*(M$3:M$26="P")*(G$3:G$26=G11)*(J$3:J$26&lt;J11)*(H$3:H$26&lt;&gt;H11)),-1*SUMPRODUCT((P$3:P$26="")*(O$3:O$26="")*(N$3:N$26="")*(M$3:M$26="P")*(G$3:G$26=G11)*(J$3:J$26&gt;J11)*(H$3:H$26="L5")))+1,""))))</f>
        <v>9</v>
      </c>
      <c r="C11" s="35" t="s">
        <v>332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2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$26&lt;&gt;"")*(G$3:G$26=G12)*(J$3:J$26&gt;J12)*(I$3:I$26="P"))+1,IF(O12&lt;&gt;"",SUMPRODUCT((O$3:O$26&lt;&gt;"")*(P$3:P$26="")*(G$3:G$26=G12)*(J$3:J$26&gt;J12)*(I$3:I$26="P"))+SUMPRODUCT((P$3:P$26&lt;&gt;"")*(G$3:G$26=G12)*(I$3:I$26="P"))+1,IF(N12&lt;&gt;"",SUMPRODUCT((N$3:N$26&lt;&gt;"")*(G$3:G$26=G12)*(J$3:J$26&gt;J12)*(I$3:I$26="P"))+1,IF(M12="P",SUMPRODUCT((O$3:O$26&lt;&gt;"")*(P$3:P$26="")*(G$3:G$26=G12)*(I$3:I$26="P"))+SUMPRODUCT((P$3:P$26&lt;&gt;"")*(G$3:G$26=G12)*(I$3:I$26="P"))+SUMPRODUCT((N$3:N$26&lt;&gt;"")*(G$3:G$26=G12)*(I$3:I$26="P"))+SUMPRODUCT((P$3:P$26="")*(O$3:O$26="")*(N$3:N$26="")*(M$3:M$26="P")*(G$3:G$26=G12)*(J$3:J$26&gt;J12)*(I$3:I$26="P"))+IF(H12="L5",SUMPRODUCT((P$3:P$26="")*(O$3:O$26="")*(N$3:N$26="")*(M$3:M$26="P")*(G$3:G$26=G12)*(J$3:J$26&lt;J12)*(H$3:H$26&lt;&gt;H12)*(I$3:I$26="P")),-1*SUMPRODUCT((P$3:P$26="")*(O$3:O$26="")*(N$3:N$26="")*(M$3:M$26="P")*(G$3:G$26=G12)*(J$3:J$26&gt;J12)*(H$3:H$26="L5")*(I$3:I$26="P")))+1,"")))))</f>
        <v/>
      </c>
      <c r="B12" s="1" t="str" cm="1">
        <f t="array" ref="B12">IF(P12&lt;&gt;"",SUMPRODUCT((P$3:P$26&lt;&gt;"")*(G$3:G$26=G12)*(J$3:J$26&gt;J12))+1,IF(O12&lt;&gt;"",SUMPRODUCT((O$3:O$26&lt;&gt;"")*(P$3:P$26="")*(G$3:G$26=G12)*(J$3:J$26&gt;J12))+SUMPRODUCT((P$3:P$26&lt;&gt;"")*(G$3:G$26=G12))+1,IF(N12&lt;&gt;"",SUMPRODUCT((N$3:N$26&lt;&gt;"")*(G$3:G$26=G12)*(J$3:J$26&gt;J12))+1,IF(M12="P",SUMPRODUCT((O$3:O$26&lt;&gt;"")*(P$3:P$26="")*(G$3:G$26=G12))+SUMPRODUCT((P$3:P$26&lt;&gt;"")*(G$3:G$26=G12))+SUMPRODUCT((N$3:N$26&lt;&gt;"")*(G$3:G$26=G12))+SUMPRODUCT((P$3:P$26="")*(O$3:O$26="")*(N$3:N$26="")*(M$3:M$26="P")*(G$3:G$26=G12)*(J$3:J$26&gt;J12))+IF(H12="L5",SUMPRODUCT((P$3:P$26="")*(O$3:O$26="")*(N$3:N$26="")*(M$3:M$26="P")*(G$3:G$26=G12)*(J$3:J$26&lt;J12)*(H$3:H$26&lt;&gt;H12)),-1*SUMPRODUCT((P$3:P$26="")*(O$3:O$26="")*(N$3:N$26="")*(M$3:M$26="P")*(G$3:G$26=G12)*(J$3:J$26&gt;J12)*(H$3:H$26="L5")))+1,""))))</f>
        <v/>
      </c>
      <c r="C12" s="35" t="s">
        <v>334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$26&lt;&gt;"")*(G$3:G$26=G13)*(J$3:J$26&gt;J13)*(I$3:I$26="P"))+1,IF(O13&lt;&gt;"",SUMPRODUCT((O$3:O$26&lt;&gt;"")*(P$3:P$26="")*(G$3:G$26=G13)*(J$3:J$26&gt;J13)*(I$3:I$26="P"))+SUMPRODUCT((P$3:P$26&lt;&gt;"")*(G$3:G$26=G13)*(I$3:I$26="P"))+1,IF(N13&lt;&gt;"",SUMPRODUCT((N$3:N$26&lt;&gt;"")*(G$3:G$26=G13)*(J$3:J$26&gt;J13)*(I$3:I$26="P"))+1,IF(M13="P",SUMPRODUCT((O$3:O$26&lt;&gt;"")*(P$3:P$26="")*(G$3:G$26=G13)*(I$3:I$26="P"))+SUMPRODUCT((P$3:P$26&lt;&gt;"")*(G$3:G$26=G13)*(I$3:I$26="P"))+SUMPRODUCT((N$3:N$26&lt;&gt;"")*(G$3:G$26=G13)*(I$3:I$26="P"))+SUMPRODUCT((P$3:P$26="")*(O$3:O$26="")*(N$3:N$26="")*(M$3:M$26="P")*(G$3:G$26=G13)*(J$3:J$26&gt;J13)*(I$3:I$26="P"))+IF(H13="L5",SUMPRODUCT((P$3:P$26="")*(O$3:O$26="")*(N$3:N$26="")*(M$3:M$26="P")*(G$3:G$26=G13)*(J$3:J$26&lt;J13)*(H$3:H$26&lt;&gt;H13)*(I$3:I$26="P")),-1*SUMPRODUCT((P$3:P$26="")*(O$3:O$26="")*(N$3:N$26="")*(M$3:M$26="P")*(G$3:G$26=G13)*(J$3:J$26&gt;J13)*(H$3:H$26="L5")*(I$3:I$26="P")))+1,"")))))</f>
        <v/>
      </c>
      <c r="B13" s="1" t="str" cm="1">
        <f t="array" ref="B13">IF(P13&lt;&gt;"",SUMPRODUCT((P$3:P$26&lt;&gt;"")*(G$3:G$26=G13)*(J$3:J$26&gt;J13))+1,IF(O13&lt;&gt;"",SUMPRODUCT((O$3:O$26&lt;&gt;"")*(P$3:P$26="")*(G$3:G$26=G13)*(J$3:J$26&gt;J13))+SUMPRODUCT((P$3:P$26&lt;&gt;"")*(G$3:G$26=G13))+1,IF(N13&lt;&gt;"",SUMPRODUCT((N$3:N$26&lt;&gt;"")*(G$3:G$26=G13)*(J$3:J$26&gt;J13))+1,IF(M13="P",SUMPRODUCT((O$3:O$26&lt;&gt;"")*(P$3:P$26="")*(G$3:G$26=G13))+SUMPRODUCT((P$3:P$26&lt;&gt;"")*(G$3:G$26=G13))+SUMPRODUCT((N$3:N$26&lt;&gt;"")*(G$3:G$26=G13))+SUMPRODUCT((P$3:P$26="")*(O$3:O$26="")*(N$3:N$26="")*(M$3:M$26="P")*(G$3:G$26=G13)*(J$3:J$26&gt;J13))+IF(H13="L5",SUMPRODUCT((P$3:P$26="")*(O$3:O$26="")*(N$3:N$26="")*(M$3:M$26="P")*(G$3:G$26=G13)*(J$3:J$26&lt;J13)*(H$3:H$26&lt;&gt;H13)),-1*SUMPRODUCT((P$3:P$26="")*(O$3:O$26="")*(N$3:N$26="")*(M$3:M$26="P")*(G$3:G$26=G13)*(J$3:J$26&gt;J13)*(H$3:H$26="L5")))+1,""))))</f>
        <v/>
      </c>
      <c r="C13" s="35" t="s">
        <v>335</v>
      </c>
      <c r="D13" t="str">
        <f>IF(E13="","",VLOOKUP(E13,'Coaching Points'!A:B,2,0))</f>
        <v>AB</v>
      </c>
      <c r="E13" s="35" t="s">
        <v>62</v>
      </c>
      <c r="F13" s="34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82.300100000000015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>P</v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43.6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38.700000000000003</v>
      </c>
      <c r="T13" s="32">
        <v>38.700000000000003</v>
      </c>
      <c r="U13" s="37">
        <v>9.3000000000000007</v>
      </c>
      <c r="V13" s="37">
        <v>0</v>
      </c>
      <c r="W13" s="33">
        <v>43.6</v>
      </c>
      <c r="X13" s="37">
        <v>11.5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$26&lt;&gt;"")*(G$3:G$26=G14)*(J$3:J$26&gt;J14)*(I$3:I$26="P"))+1,IF(O14&lt;&gt;"",SUMPRODUCT((O$3:O$26&lt;&gt;"")*(P$3:P$26="")*(G$3:G$26=G14)*(J$3:J$26&gt;J14)*(I$3:I$26="P"))+SUMPRODUCT((P$3:P$26&lt;&gt;"")*(G$3:G$26=G14)*(I$3:I$26="P"))+1,IF(N14&lt;&gt;"",SUMPRODUCT((N$3:N$26&lt;&gt;"")*(G$3:G$26=G14)*(J$3:J$26&gt;J14)*(I$3:I$26="P"))+1,IF(M14="P",SUMPRODUCT((O$3:O$26&lt;&gt;"")*(P$3:P$26="")*(G$3:G$26=G14)*(I$3:I$26="P"))+SUMPRODUCT((P$3:P$26&lt;&gt;"")*(G$3:G$26=G14)*(I$3:I$26="P"))+SUMPRODUCT((N$3:N$26&lt;&gt;"")*(G$3:G$26=G14)*(I$3:I$26="P"))+SUMPRODUCT((P$3:P$26="")*(O$3:O$26="")*(N$3:N$26="")*(M$3:M$26="P")*(G$3:G$26=G14)*(J$3:J$26&gt;J14)*(I$3:I$26="P"))+IF(H14="L5",SUMPRODUCT((P$3:P$26="")*(O$3:O$26="")*(N$3:N$26="")*(M$3:M$26="P")*(G$3:G$26=G14)*(J$3:J$26&lt;J14)*(H$3:H$26&lt;&gt;H14)*(I$3:I$26="P")),-1*SUMPRODUCT((P$3:P$26="")*(O$3:O$26="")*(N$3:N$26="")*(M$3:M$26="P")*(G$3:G$26=G14)*(J$3:J$26&gt;J14)*(H$3:H$26="L5")*(I$3:I$26="P")))+1,"")))))</f>
        <v/>
      </c>
      <c r="B14" s="1" t="str" cm="1">
        <f t="array" ref="B14">IF(P14&lt;&gt;"",SUMPRODUCT((P$3:P$26&lt;&gt;"")*(G$3:G$26=G14)*(J$3:J$26&gt;J14))+1,IF(O14&lt;&gt;"",SUMPRODUCT((O$3:O$26&lt;&gt;"")*(P$3:P$26="")*(G$3:G$26=G14)*(J$3:J$26&gt;J14))+SUMPRODUCT((P$3:P$26&lt;&gt;"")*(G$3:G$26=G14))+1,IF(N14&lt;&gt;"",SUMPRODUCT((N$3:N$26&lt;&gt;"")*(G$3:G$26=G14)*(J$3:J$26&gt;J14))+1,IF(M14="P",SUMPRODUCT((O$3:O$26&lt;&gt;"")*(P$3:P$26="")*(G$3:G$26=G14))+SUMPRODUCT((P$3:P$26&lt;&gt;"")*(G$3:G$26=G14))+SUMPRODUCT((N$3:N$26&lt;&gt;"")*(G$3:G$26=G14))+SUMPRODUCT((P$3:P$26="")*(O$3:O$26="")*(N$3:N$26="")*(M$3:M$26="P")*(G$3:G$26=G14)*(J$3:J$26&gt;J14))+IF(H14="L5",SUMPRODUCT((P$3:P$26="")*(O$3:O$26="")*(N$3:N$26="")*(M$3:M$26="P")*(G$3:G$26=G14)*(J$3:J$26&lt;J14)*(H$3:H$26&lt;&gt;H14)),-1*SUMPRODUCT((P$3:P$26="")*(O$3:O$26="")*(N$3:N$26="")*(M$3:M$26="P")*(G$3:G$26=G14)*(J$3:J$26&gt;J14)*(H$3:H$26="L5")))+1,""))))</f>
        <v/>
      </c>
      <c r="C14" s="35" t="s">
        <v>155</v>
      </c>
      <c r="D14" t="str">
        <f>IF(E14="","",VLOOKUP(E14,'Coaching Points'!A:B,2,0))</f>
        <v>BC</v>
      </c>
      <c r="E14" s="35" t="s">
        <v>60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80.400100000000009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40.299999999999997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40.1</v>
      </c>
      <c r="T14" s="32">
        <v>40.1</v>
      </c>
      <c r="U14" s="37">
        <v>8.1999999999999993</v>
      </c>
      <c r="V14" s="37">
        <v>0</v>
      </c>
      <c r="W14" s="33">
        <v>40.299999999999997</v>
      </c>
      <c r="X14" s="37">
        <v>8.1999999999999993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$26&lt;&gt;"")*(G$3:G$26=G15)*(J$3:J$26&gt;J15)*(I$3:I$26="P"))+1,IF(O15&lt;&gt;"",SUMPRODUCT((O$3:O$26&lt;&gt;"")*(P$3:P$26="")*(G$3:G$26=G15)*(J$3:J$26&gt;J15)*(I$3:I$26="P"))+SUMPRODUCT((P$3:P$26&lt;&gt;"")*(G$3:G$26=G15)*(I$3:I$26="P"))+1,IF(N15&lt;&gt;"",SUMPRODUCT((N$3:N$26&lt;&gt;"")*(G$3:G$26=G15)*(J$3:J$26&gt;J15)*(I$3:I$26="P"))+1,IF(M15="P",SUMPRODUCT((O$3:O$26&lt;&gt;"")*(P$3:P$26="")*(G$3:G$26=G15)*(I$3:I$26="P"))+SUMPRODUCT((P$3:P$26&lt;&gt;"")*(G$3:G$26=G15)*(I$3:I$26="P"))+SUMPRODUCT((N$3:N$26&lt;&gt;"")*(G$3:G$26=G15)*(I$3:I$26="P"))+SUMPRODUCT((P$3:P$26="")*(O$3:O$26="")*(N$3:N$26="")*(M$3:M$26="P")*(G$3:G$26=G15)*(J$3:J$26&gt;J15)*(I$3:I$26="P"))+IF(H15="L5",SUMPRODUCT((P$3:P$26="")*(O$3:O$26="")*(N$3:N$26="")*(M$3:M$26="P")*(G$3:G$26=G15)*(J$3:J$26&lt;J15)*(H$3:H$26&lt;&gt;H15)*(I$3:I$26="P")),-1*SUMPRODUCT((P$3:P$26="")*(O$3:O$26="")*(N$3:N$26="")*(M$3:M$26="P")*(G$3:G$26=G15)*(J$3:J$26&gt;J15)*(H$3:H$26="L5")*(I$3:I$26="P")))+1,"")))))</f>
        <v/>
      </c>
      <c r="B15" s="1" t="str" cm="1">
        <f t="array" ref="B15">IF(P15&lt;&gt;"",SUMPRODUCT((P$3:P$26&lt;&gt;"")*(G$3:G$26=G15)*(J$3:J$26&gt;J15))+1,IF(O15&lt;&gt;"",SUMPRODUCT((O$3:O$26&lt;&gt;"")*(P$3:P$26="")*(G$3:G$26=G15)*(J$3:J$26&gt;J15))+SUMPRODUCT((P$3:P$26&lt;&gt;"")*(G$3:G$26=G15))+1,IF(N15&lt;&gt;"",SUMPRODUCT((N$3:N$26&lt;&gt;"")*(G$3:G$26=G15)*(J$3:J$26&gt;J15))+1,IF(M15="P",SUMPRODUCT((O$3:O$26&lt;&gt;"")*(P$3:P$26="")*(G$3:G$26=G15))+SUMPRODUCT((P$3:P$26&lt;&gt;"")*(G$3:G$26=G15))+SUMPRODUCT((N$3:N$26&lt;&gt;"")*(G$3:G$26=G15))+SUMPRODUCT((P$3:P$26="")*(O$3:O$26="")*(N$3:N$26="")*(M$3:M$26="P")*(G$3:G$26=G15)*(J$3:J$26&gt;J15))+IF(H15="L5",SUMPRODUCT((P$3:P$26="")*(O$3:O$26="")*(N$3:N$26="")*(M$3:M$26="P")*(G$3:G$26=G15)*(J$3:J$26&lt;J15)*(H$3:H$26&lt;&gt;H15)),-1*SUMPRODUCT((P$3:P$26="")*(O$3:O$26="")*(N$3:N$26="")*(M$3:M$26="P")*(G$3:G$26=G15)*(J$3:J$26&gt;J15)*(H$3:H$26="L5")))+1,""))))</f>
        <v/>
      </c>
      <c r="C15" s="35" t="s">
        <v>119</v>
      </c>
      <c r="D15" t="str">
        <f>IF(E15="","",VLOOKUP(E15,'Coaching Points'!A:B,2,0))</f>
        <v>AB</v>
      </c>
      <c r="E15" s="35" t="s">
        <v>62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80.400100000000009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40.4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40</v>
      </c>
      <c r="T15" s="32">
        <v>40</v>
      </c>
      <c r="U15" s="37">
        <v>9.3999999999999986</v>
      </c>
      <c r="V15" s="37">
        <v>0</v>
      </c>
      <c r="W15" s="33">
        <v>40.4</v>
      </c>
      <c r="X15" s="37">
        <v>10.1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$26&lt;&gt;"")*(G$3:G$26=G16)*(J$3:J$26&gt;J16)*(I$3:I$26="P"))+1,IF(O16&lt;&gt;"",SUMPRODUCT((O$3:O$26&lt;&gt;"")*(P$3:P$26="")*(G$3:G$26=G16)*(J$3:J$26&gt;J16)*(I$3:I$26="P"))+SUMPRODUCT((P$3:P$26&lt;&gt;"")*(G$3:G$26=G16)*(I$3:I$26="P"))+1,IF(N16&lt;&gt;"",SUMPRODUCT((N$3:N$26&lt;&gt;"")*(G$3:G$26=G16)*(J$3:J$26&gt;J16)*(I$3:I$26="P"))+1,IF(M16="P",SUMPRODUCT((O$3:O$26&lt;&gt;"")*(P$3:P$26="")*(G$3:G$26=G16)*(I$3:I$26="P"))+SUMPRODUCT((P$3:P$26&lt;&gt;"")*(G$3:G$26=G16)*(I$3:I$26="P"))+SUMPRODUCT((N$3:N$26&lt;&gt;"")*(G$3:G$26=G16)*(I$3:I$26="P"))+SUMPRODUCT((P$3:P$26="")*(O$3:O$26="")*(N$3:N$26="")*(M$3:M$26="P")*(G$3:G$26=G16)*(J$3:J$26&gt;J16)*(I$3:I$26="P"))+IF(H16="L5",SUMPRODUCT((P$3:P$26="")*(O$3:O$26="")*(N$3:N$26="")*(M$3:M$26="P")*(G$3:G$26=G16)*(J$3:J$26&lt;J16)*(H$3:H$26&lt;&gt;H16)*(I$3:I$26="P")),-1*SUMPRODUCT((P$3:P$26="")*(O$3:O$26="")*(N$3:N$26="")*(M$3:M$26="P")*(G$3:G$26=G16)*(J$3:J$26&gt;J16)*(H$3:H$26="L5")*(I$3:I$26="P")))+1,"")))))</f>
        <v/>
      </c>
      <c r="B16" s="1" t="str" cm="1">
        <f t="array" ref="B16">IF(P16&lt;&gt;"",SUMPRODUCT((P$3:P$26&lt;&gt;"")*(G$3:G$26=G16)*(J$3:J$26&gt;J16))+1,IF(O16&lt;&gt;"",SUMPRODUCT((O$3:O$26&lt;&gt;"")*(P$3:P$26="")*(G$3:G$26=G16)*(J$3:J$26&gt;J16))+SUMPRODUCT((P$3:P$26&lt;&gt;"")*(G$3:G$26=G16))+1,IF(N16&lt;&gt;"",SUMPRODUCT((N$3:N$26&lt;&gt;"")*(G$3:G$26=G16)*(J$3:J$26&gt;J16))+1,IF(M16="P",SUMPRODUCT((O$3:O$26&lt;&gt;"")*(P$3:P$26="")*(G$3:G$26=G16))+SUMPRODUCT((P$3:P$26&lt;&gt;"")*(G$3:G$26=G16))+SUMPRODUCT((N$3:N$26&lt;&gt;"")*(G$3:G$26=G16))+SUMPRODUCT((P$3:P$26="")*(O$3:O$26="")*(N$3:N$26="")*(M$3:M$26="P")*(G$3:G$26=G16)*(J$3:J$26&gt;J16))+IF(H16="L5",SUMPRODUCT((P$3:P$26="")*(O$3:O$26="")*(N$3:N$26="")*(M$3:M$26="P")*(G$3:G$26=G16)*(J$3:J$26&lt;J16)*(H$3:H$26&lt;&gt;H16)),-1*SUMPRODUCT((P$3:P$26="")*(O$3:O$26="")*(N$3:N$26="")*(M$3:M$26="P")*(G$3:G$26=G16)*(J$3:J$26&gt;J16)*(H$3:H$26="L5")))+1,""))))</f>
        <v/>
      </c>
      <c r="C16" s="35" t="s">
        <v>341</v>
      </c>
      <c r="D16" t="str">
        <f>IF(E16="","",VLOOKUP(E16,'Coaching Points'!A:B,2,0))</f>
        <v>ON</v>
      </c>
      <c r="E16" s="35" t="s">
        <v>89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R16+S16+IF(OR(H16="Junior",H16="Senior"),0.0002,IF(OR(H16="L7",H16="L6"),0.0001,0))+MAX(Z16,AC16)*0.0000001</f>
        <v>79.900000000000006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40.299999999999997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39.6</v>
      </c>
      <c r="T16" s="32">
        <v>39.6</v>
      </c>
      <c r="U16" s="37">
        <v>6.4</v>
      </c>
      <c r="V16" s="37">
        <v>1</v>
      </c>
      <c r="W16" s="33">
        <v>40.299999999999997</v>
      </c>
      <c r="X16" s="37">
        <v>6.4</v>
      </c>
      <c r="Y16" s="37">
        <v>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$26&lt;&gt;"")*(G$3:G$26=G17)*(J$3:J$26&gt;J17)*(I$3:I$26="P"))+1,IF(O17&lt;&gt;"",SUMPRODUCT((O$3:O$26&lt;&gt;"")*(P$3:P$26="")*(G$3:G$26=G17)*(J$3:J$26&gt;J17)*(I$3:I$26="P"))+SUMPRODUCT((P$3:P$26&lt;&gt;"")*(G$3:G$26=G17)*(I$3:I$26="P"))+1,IF(N17&lt;&gt;"",SUMPRODUCT((N$3:N$26&lt;&gt;"")*(G$3:G$26=G17)*(J$3:J$26&gt;J17)*(I$3:I$26="P"))+1,IF(M17="P",SUMPRODUCT((O$3:O$26&lt;&gt;"")*(P$3:P$26="")*(G$3:G$26=G17)*(I$3:I$26="P"))+SUMPRODUCT((P$3:P$26&lt;&gt;"")*(G$3:G$26=G17)*(I$3:I$26="P"))+SUMPRODUCT((N$3:N$26&lt;&gt;"")*(G$3:G$26=G17)*(I$3:I$26="P"))+SUMPRODUCT((P$3:P$26="")*(O$3:O$26="")*(N$3:N$26="")*(M$3:M$26="P")*(G$3:G$26=G17)*(J$3:J$26&gt;J17)*(I$3:I$26="P"))+IF(H17="L5",SUMPRODUCT((P$3:P$26="")*(O$3:O$26="")*(N$3:N$26="")*(M$3:M$26="P")*(G$3:G$26=G17)*(J$3:J$26&lt;J17)*(H$3:H$26&lt;&gt;H17)*(I$3:I$26="P")),-1*SUMPRODUCT((P$3:P$26="")*(O$3:O$26="")*(N$3:N$26="")*(M$3:M$26="P")*(G$3:G$26=G17)*(J$3:J$26&gt;J17)*(H$3:H$26="L5")*(I$3:I$26="P")))+1,"")))))</f>
        <v/>
      </c>
      <c r="B17" s="1" t="str" cm="1">
        <f t="array" ref="B17">IF(P17&lt;&gt;"",SUMPRODUCT((P$3:P$26&lt;&gt;"")*(G$3:G$26=G17)*(J$3:J$26&gt;J17))+1,IF(O17&lt;&gt;"",SUMPRODUCT((O$3:O$26&lt;&gt;"")*(P$3:P$26="")*(G$3:G$26=G17)*(J$3:J$26&gt;J17))+SUMPRODUCT((P$3:P$26&lt;&gt;"")*(G$3:G$26=G17))+1,IF(N17&lt;&gt;"",SUMPRODUCT((N$3:N$26&lt;&gt;"")*(G$3:G$26=G17)*(J$3:J$26&gt;J17))+1,IF(M17="P",SUMPRODUCT((O$3:O$26&lt;&gt;"")*(P$3:P$26="")*(G$3:G$26=G17))+SUMPRODUCT((P$3:P$26&lt;&gt;"")*(G$3:G$26=G17))+SUMPRODUCT((N$3:N$26&lt;&gt;"")*(G$3:G$26=G17))+SUMPRODUCT((P$3:P$26="")*(O$3:O$26="")*(N$3:N$26="")*(M$3:M$26="P")*(G$3:G$26=G17)*(J$3:J$26&gt;J17))+IF(H17="L5",SUMPRODUCT((P$3:P$26="")*(O$3:O$26="")*(N$3:N$26="")*(M$3:M$26="P")*(G$3:G$26=G17)*(J$3:J$26&lt;J17)*(H$3:H$26&lt;&gt;H17)),-1*SUMPRODUCT((P$3:P$26="")*(O$3:O$26="")*(N$3:N$26="")*(M$3:M$26="P")*(G$3:G$26=G17)*(J$3:J$26&gt;J17)*(H$3:H$26="L5")))+1,""))))</f>
        <v/>
      </c>
      <c r="C17" s="35" t="s">
        <v>342</v>
      </c>
      <c r="D17" t="str">
        <f>IF(E17="","",VLOOKUP(E17,'Coaching Points'!A:B,2,0))</f>
        <v>ON</v>
      </c>
      <c r="E17" s="35" t="s">
        <v>45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79.599999999999994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39.9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39.700000000000003</v>
      </c>
      <c r="T17" s="32">
        <v>39.9</v>
      </c>
      <c r="U17" s="37">
        <v>5.3000000000000007</v>
      </c>
      <c r="V17" s="37">
        <v>1</v>
      </c>
      <c r="W17" s="33">
        <v>39.700000000000003</v>
      </c>
      <c r="X17" s="37">
        <v>5.3000000000000007</v>
      </c>
      <c r="Y17" s="37">
        <v>1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$26&lt;&gt;"")*(G$3:G$26=G18)*(J$3:J$26&gt;J18)*(I$3:I$26="P"))+1,IF(O18&lt;&gt;"",SUMPRODUCT((O$3:O$26&lt;&gt;"")*(P$3:P$26="")*(G$3:G$26=G18)*(J$3:J$26&gt;J18)*(I$3:I$26="P"))+SUMPRODUCT((P$3:P$26&lt;&gt;"")*(G$3:G$26=G18)*(I$3:I$26="P"))+1,IF(N18&lt;&gt;"",SUMPRODUCT((N$3:N$26&lt;&gt;"")*(G$3:G$26=G18)*(J$3:J$26&gt;J18)*(I$3:I$26="P"))+1,IF(M18="P",SUMPRODUCT((O$3:O$26&lt;&gt;"")*(P$3:P$26="")*(G$3:G$26=G18)*(I$3:I$26="P"))+SUMPRODUCT((P$3:P$26&lt;&gt;"")*(G$3:G$26=G18)*(I$3:I$26="P"))+SUMPRODUCT((N$3:N$26&lt;&gt;"")*(G$3:G$26=G18)*(I$3:I$26="P"))+SUMPRODUCT((P$3:P$26="")*(O$3:O$26="")*(N$3:N$26="")*(M$3:M$26="P")*(G$3:G$26=G18)*(J$3:J$26&gt;J18)*(I$3:I$26="P"))+IF(H18="L5",SUMPRODUCT((P$3:P$26="")*(O$3:O$26="")*(N$3:N$26="")*(M$3:M$26="P")*(G$3:G$26=G18)*(J$3:J$26&lt;J18)*(H$3:H$26&lt;&gt;H18)*(I$3:I$26="P")),-1*SUMPRODUCT((P$3:P$26="")*(O$3:O$26="")*(N$3:N$26="")*(M$3:M$26="P")*(G$3:G$26=G18)*(J$3:J$26&gt;J18)*(H$3:H$26="L5")*(I$3:I$26="P")))+1,"")))))</f>
        <v/>
      </c>
      <c r="B18" s="1" t="str" cm="1">
        <f t="array" ref="B18">IF(P18&lt;&gt;"",SUMPRODUCT((P$3:P$26&lt;&gt;"")*(G$3:G$26=G18)*(J$3:J$26&gt;J18))+1,IF(O18&lt;&gt;"",SUMPRODUCT((O$3:O$26&lt;&gt;"")*(P$3:P$26="")*(G$3:G$26=G18)*(J$3:J$26&gt;J18))+SUMPRODUCT((P$3:P$26&lt;&gt;"")*(G$3:G$26=G18))+1,IF(N18&lt;&gt;"",SUMPRODUCT((N$3:N$26&lt;&gt;"")*(G$3:G$26=G18)*(J$3:J$26&gt;J18))+1,IF(M18="P",SUMPRODUCT((O$3:O$26&lt;&gt;"")*(P$3:P$26="")*(G$3:G$26=G18))+SUMPRODUCT((P$3:P$26&lt;&gt;"")*(G$3:G$26=G18))+SUMPRODUCT((N$3:N$26&lt;&gt;"")*(G$3:G$26=G18))+SUMPRODUCT((P$3:P$26="")*(O$3:O$26="")*(N$3:N$26="")*(M$3:M$26="P")*(G$3:G$26=G18)*(J$3:J$26&gt;J18))+IF(H18="L5",SUMPRODUCT((P$3:P$26="")*(O$3:O$26="")*(N$3:N$26="")*(M$3:M$26="P")*(G$3:G$26=G18)*(J$3:J$26&lt;J18)*(H$3:H$26&lt;&gt;H18)),-1*SUMPRODUCT((P$3:P$26="")*(O$3:O$26="")*(N$3:N$26="")*(M$3:M$26="P")*(G$3:G$26=G18)*(J$3:J$26&gt;J18)*(H$3:H$26="L5")))+1,""))))</f>
        <v/>
      </c>
      <c r="C18" s="35" t="s">
        <v>73</v>
      </c>
      <c r="D18" t="str">
        <f>IF(E18="","",VLOOKUP(E18,'Coaching Points'!A:B,2,0))</f>
        <v>BC</v>
      </c>
      <c r="E18" s="35" t="s">
        <v>66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79.200100000000006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41.300000000000004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37.9</v>
      </c>
      <c r="T18" s="32">
        <v>42.7</v>
      </c>
      <c r="U18" s="37">
        <v>9.1</v>
      </c>
      <c r="V18" s="37">
        <v>1.4</v>
      </c>
      <c r="W18" s="33">
        <v>37.9</v>
      </c>
      <c r="X18" s="37">
        <v>7.3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$26&lt;&gt;"")*(G$3:G$26=G19)*(J$3:J$26&gt;J19)*(I$3:I$26="P"))+1,IF(O19&lt;&gt;"",SUMPRODUCT((O$3:O$26&lt;&gt;"")*(P$3:P$26="")*(G$3:G$26=G19)*(J$3:J$26&gt;J19)*(I$3:I$26="P"))+SUMPRODUCT((P$3:P$26&lt;&gt;"")*(G$3:G$26=G19)*(I$3:I$26="P"))+1,IF(N19&lt;&gt;"",SUMPRODUCT((N$3:N$26&lt;&gt;"")*(G$3:G$26=G19)*(J$3:J$26&gt;J19)*(I$3:I$26="P"))+1,IF(M19="P",SUMPRODUCT((O$3:O$26&lt;&gt;"")*(P$3:P$26="")*(G$3:G$26=G19)*(I$3:I$26="P"))+SUMPRODUCT((P$3:P$26&lt;&gt;"")*(G$3:G$26=G19)*(I$3:I$26="P"))+SUMPRODUCT((N$3:N$26&lt;&gt;"")*(G$3:G$26=G19)*(I$3:I$26="P"))+SUMPRODUCT((P$3:P$26="")*(O$3:O$26="")*(N$3:N$26="")*(M$3:M$26="P")*(G$3:G$26=G19)*(J$3:J$26&gt;J19)*(I$3:I$26="P"))+IF(H19="L5",SUMPRODUCT((P$3:P$26="")*(O$3:O$26="")*(N$3:N$26="")*(M$3:M$26="P")*(G$3:G$26=G19)*(J$3:J$26&lt;J19)*(H$3:H$26&lt;&gt;H19)*(I$3:I$26="P")),-1*SUMPRODUCT((P$3:P$26="")*(O$3:O$26="")*(N$3:N$26="")*(M$3:M$26="P")*(G$3:G$26=G19)*(J$3:J$26&gt;J19)*(H$3:H$26="L5")*(I$3:I$26="P")))+1,"")))))</f>
        <v/>
      </c>
      <c r="B19" s="1" t="str" cm="1">
        <f t="array" ref="B19">IF(P19&lt;&gt;"",SUMPRODUCT((P$3:P$26&lt;&gt;"")*(G$3:G$26=G19)*(J$3:J$26&gt;J19))+1,IF(O19&lt;&gt;"",SUMPRODUCT((O$3:O$26&lt;&gt;"")*(P$3:P$26="")*(G$3:G$26=G19)*(J$3:J$26&gt;J19))+SUMPRODUCT((P$3:P$26&lt;&gt;"")*(G$3:G$26=G19))+1,IF(N19&lt;&gt;"",SUMPRODUCT((N$3:N$26&lt;&gt;"")*(G$3:G$26=G19)*(J$3:J$26&gt;J19))+1,IF(M19="P",SUMPRODUCT((O$3:O$26&lt;&gt;"")*(P$3:P$26="")*(G$3:G$26=G19))+SUMPRODUCT((P$3:P$26&lt;&gt;"")*(G$3:G$26=G19))+SUMPRODUCT((N$3:N$26&lt;&gt;"")*(G$3:G$26=G19))+SUMPRODUCT((P$3:P$26="")*(O$3:O$26="")*(N$3:N$26="")*(M$3:M$26="P")*(G$3:G$26=G19)*(J$3:J$26&gt;J19))+IF(H19="L5",SUMPRODUCT((P$3:P$26="")*(O$3:O$26="")*(N$3:N$26="")*(M$3:M$26="P")*(G$3:G$26=G19)*(J$3:J$26&lt;J19)*(H$3:H$26&lt;&gt;H19)),-1*SUMPRODUCT((P$3:P$26="")*(O$3:O$26="")*(N$3:N$26="")*(M$3:M$26="P")*(G$3:G$26=G19)*(J$3:J$26&gt;J19)*(H$3:H$26="L5")))+1,""))))</f>
        <v/>
      </c>
      <c r="C19" s="35" t="s">
        <v>118</v>
      </c>
      <c r="D19" t="str">
        <f>IF(E19="","",VLOOKUP(E19,'Coaching Points'!A:B,2,0))</f>
        <v>MB</v>
      </c>
      <c r="E19" s="35" t="s">
        <v>63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78.5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39.9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38.6</v>
      </c>
      <c r="T19" s="32">
        <v>38.6</v>
      </c>
      <c r="U19" s="37">
        <v>8</v>
      </c>
      <c r="V19" s="37">
        <v>2</v>
      </c>
      <c r="W19" s="33">
        <v>39.9</v>
      </c>
      <c r="X19" s="37">
        <v>7.8999999999999995</v>
      </c>
      <c r="Y19" s="37">
        <v>2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$26&lt;&gt;"")*(G$3:G$26=G20)*(J$3:J$26&gt;J20)*(I$3:I$26="P"))+1,IF(O20&lt;&gt;"",SUMPRODUCT((O$3:O$26&lt;&gt;"")*(P$3:P$26="")*(G$3:G$26=G20)*(J$3:J$26&gt;J20)*(I$3:I$26="P"))+SUMPRODUCT((P$3:P$26&lt;&gt;"")*(G$3:G$26=G20)*(I$3:I$26="P"))+1,IF(N20&lt;&gt;"",SUMPRODUCT((N$3:N$26&lt;&gt;"")*(G$3:G$26=G20)*(J$3:J$26&gt;J20)*(I$3:I$26="P"))+1,IF(M20="P",SUMPRODUCT((O$3:O$26&lt;&gt;"")*(P$3:P$26="")*(G$3:G$26=G20)*(I$3:I$26="P"))+SUMPRODUCT((P$3:P$26&lt;&gt;"")*(G$3:G$26=G20)*(I$3:I$26="P"))+SUMPRODUCT((N$3:N$26&lt;&gt;"")*(G$3:G$26=G20)*(I$3:I$26="P"))+SUMPRODUCT((P$3:P$26="")*(O$3:O$26="")*(N$3:N$26="")*(M$3:M$26="P")*(G$3:G$26=G20)*(J$3:J$26&gt;J20)*(I$3:I$26="P"))+IF(H20="L5",SUMPRODUCT((P$3:P$26="")*(O$3:O$26="")*(N$3:N$26="")*(M$3:M$26="P")*(G$3:G$26=G20)*(J$3:J$26&lt;J20)*(H$3:H$26&lt;&gt;H20)*(I$3:I$26="P")),-1*SUMPRODUCT((P$3:P$26="")*(O$3:O$26="")*(N$3:N$26="")*(M$3:M$26="P")*(G$3:G$26=G20)*(J$3:J$26&gt;J20)*(H$3:H$26="L5")*(I$3:I$26="P")))+1,"")))))</f>
        <v/>
      </c>
      <c r="B20" s="1" t="str" cm="1">
        <f t="array" ref="B20">IF(P20&lt;&gt;"",SUMPRODUCT((P$3:P$26&lt;&gt;"")*(G$3:G$26=G20)*(J$3:J$26&gt;J20))+1,IF(O20&lt;&gt;"",SUMPRODUCT((O$3:O$26&lt;&gt;"")*(P$3:P$26="")*(G$3:G$26=G20)*(J$3:J$26&gt;J20))+SUMPRODUCT((P$3:P$26&lt;&gt;"")*(G$3:G$26=G20))+1,IF(N20&lt;&gt;"",SUMPRODUCT((N$3:N$26&lt;&gt;"")*(G$3:G$26=G20)*(J$3:J$26&gt;J20))+1,IF(M20="P",SUMPRODUCT((O$3:O$26&lt;&gt;"")*(P$3:P$26="")*(G$3:G$26=G20))+SUMPRODUCT((P$3:P$26&lt;&gt;"")*(G$3:G$26=G20))+SUMPRODUCT((N$3:N$26&lt;&gt;"")*(G$3:G$26=G20))+SUMPRODUCT((P$3:P$26="")*(O$3:O$26="")*(N$3:N$26="")*(M$3:M$26="P")*(G$3:G$26=G20)*(J$3:J$26&gt;J20))+IF(H20="L5",SUMPRODUCT((P$3:P$26="")*(O$3:O$26="")*(N$3:N$26="")*(M$3:M$26="P")*(G$3:G$26=G20)*(J$3:J$26&lt;J20)*(H$3:H$26&lt;&gt;H20)),-1*SUMPRODUCT((P$3:P$26="")*(O$3:O$26="")*(N$3:N$26="")*(M$3:M$26="P")*(G$3:G$26=G20)*(J$3:J$26&gt;J20)*(H$3:H$26="L5")))+1,""))))</f>
        <v/>
      </c>
      <c r="C20" s="35" t="s">
        <v>343</v>
      </c>
      <c r="D20" t="str">
        <f>IF(E20="","",VLOOKUP(E20,'Coaching Points'!A:B,2,0))</f>
        <v>ON</v>
      </c>
      <c r="E20" s="35" t="s">
        <v>67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76.44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39.1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37.340000000000003</v>
      </c>
      <c r="T20" s="32">
        <v>37.340000000000003</v>
      </c>
      <c r="U20" s="37">
        <v>5.4</v>
      </c>
      <c r="V20" s="37">
        <v>1</v>
      </c>
      <c r="W20" s="33">
        <v>39.1</v>
      </c>
      <c r="X20" s="37">
        <v>7.8</v>
      </c>
      <c r="Y20" s="37">
        <v>2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$26&lt;&gt;"")*(G$3:G$26=G21)*(J$3:J$26&gt;J21)*(I$3:I$26="P"))+1,IF(O21&lt;&gt;"",SUMPRODUCT((O$3:O$26&lt;&gt;"")*(P$3:P$26="")*(G$3:G$26=G21)*(J$3:J$26&gt;J21)*(I$3:I$26="P"))+SUMPRODUCT((P$3:P$26&lt;&gt;"")*(G$3:G$26=G21)*(I$3:I$26="P"))+1,IF(N21&lt;&gt;"",SUMPRODUCT((N$3:N$26&lt;&gt;"")*(G$3:G$26=G21)*(J$3:J$26&gt;J21)*(I$3:I$26="P"))+1,IF(M21="P",SUMPRODUCT((O$3:O$26&lt;&gt;"")*(P$3:P$26="")*(G$3:G$26=G21)*(I$3:I$26="P"))+SUMPRODUCT((P$3:P$26&lt;&gt;"")*(G$3:G$26=G21)*(I$3:I$26="P"))+SUMPRODUCT((N$3:N$26&lt;&gt;"")*(G$3:G$26=G21)*(I$3:I$26="P"))+SUMPRODUCT((P$3:P$26="")*(O$3:O$26="")*(N$3:N$26="")*(M$3:M$26="P")*(G$3:G$26=G21)*(J$3:J$26&gt;J21)*(I$3:I$26="P"))+IF(H21="L5",SUMPRODUCT((P$3:P$26="")*(O$3:O$26="")*(N$3:N$26="")*(M$3:M$26="P")*(G$3:G$26=G21)*(J$3:J$26&lt;J21)*(H$3:H$26&lt;&gt;H21)*(I$3:I$26="P")),-1*SUMPRODUCT((P$3:P$26="")*(O$3:O$26="")*(N$3:N$26="")*(M$3:M$26="P")*(G$3:G$26=G21)*(J$3:J$26&gt;J21)*(H$3:H$26="L5")*(I$3:I$26="P")))+1,"")))))</f>
        <v/>
      </c>
      <c r="B21" s="1" t="str" cm="1">
        <f t="array" ref="B21">IF(P21&lt;&gt;"",SUMPRODUCT((P$3:P$26&lt;&gt;"")*(G$3:G$26=G21)*(J$3:J$26&gt;J21))+1,IF(O21&lt;&gt;"",SUMPRODUCT((O$3:O$26&lt;&gt;"")*(P$3:P$26="")*(G$3:G$26=G21)*(J$3:J$26&gt;J21))+SUMPRODUCT((P$3:P$26&lt;&gt;"")*(G$3:G$26=G21))+1,IF(N21&lt;&gt;"",SUMPRODUCT((N$3:N$26&lt;&gt;"")*(G$3:G$26=G21)*(J$3:J$26&gt;J21))+1,IF(M21="P",SUMPRODUCT((O$3:O$26&lt;&gt;"")*(P$3:P$26="")*(G$3:G$26=G21))+SUMPRODUCT((P$3:P$26&lt;&gt;"")*(G$3:G$26=G21))+SUMPRODUCT((N$3:N$26&lt;&gt;"")*(G$3:G$26=G21))+SUMPRODUCT((P$3:P$26="")*(O$3:O$26="")*(N$3:N$26="")*(M$3:M$26="P")*(G$3:G$26=G21)*(J$3:J$26&gt;J21))+IF(H21="L5",SUMPRODUCT((P$3:P$26="")*(O$3:O$26="")*(N$3:N$26="")*(M$3:M$26="P")*(G$3:G$26=G21)*(J$3:J$26&lt;J21)*(H$3:H$26&lt;&gt;H21)),-1*SUMPRODUCT((P$3:P$26="")*(O$3:O$26="")*(N$3:N$26="")*(M$3:M$26="P")*(G$3:G$26=G21)*(J$3:J$26&gt;J21)*(H$3:H$26="L5")))+1,""))))</f>
        <v/>
      </c>
      <c r="C21" s="35" t="s">
        <v>344</v>
      </c>
      <c r="D21" t="str">
        <f>IF(E21="","",VLOOKUP(E21,'Coaching Points'!A:B,2,0))</f>
        <v>QC</v>
      </c>
      <c r="E21" s="35" t="s">
        <v>327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73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37.4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35.6</v>
      </c>
      <c r="T21" s="32">
        <v>35.6</v>
      </c>
      <c r="U21" s="37">
        <v>5.4</v>
      </c>
      <c r="V21" s="37">
        <v>0</v>
      </c>
      <c r="W21" s="33">
        <v>37.4</v>
      </c>
      <c r="X21" s="37">
        <v>5.4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$26&lt;&gt;"")*(G$3:G$26=G22)*(J$3:J$26&gt;J22)*(I$3:I$26="P"))+1,IF(O22&lt;&gt;"",SUMPRODUCT((O$3:O$26&lt;&gt;"")*(P$3:P$26="")*(G$3:G$26=G22)*(J$3:J$26&gt;J22)*(I$3:I$26="P"))+SUMPRODUCT((P$3:P$26&lt;&gt;"")*(G$3:G$26=G22)*(I$3:I$26="P"))+1,IF(N22&lt;&gt;"",SUMPRODUCT((N$3:N$26&lt;&gt;"")*(G$3:G$26=G22)*(J$3:J$26&gt;J22)*(I$3:I$26="P"))+1,IF(M22="P",SUMPRODUCT((O$3:O$26&lt;&gt;"")*(P$3:P$26="")*(G$3:G$26=G22)*(I$3:I$26="P"))+SUMPRODUCT((P$3:P$26&lt;&gt;"")*(G$3:G$26=G22)*(I$3:I$26="P"))+SUMPRODUCT((N$3:N$26&lt;&gt;"")*(G$3:G$26=G22)*(I$3:I$26="P"))+SUMPRODUCT((P$3:P$26="")*(O$3:O$26="")*(N$3:N$26="")*(M$3:M$26="P")*(G$3:G$26=G22)*(J$3:J$26&gt;J22)*(I$3:I$26="P"))+IF(H22="L5",SUMPRODUCT((P$3:P$26="")*(O$3:O$26="")*(N$3:N$26="")*(M$3:M$26="P")*(G$3:G$26=G22)*(J$3:J$26&lt;J22)*(H$3:H$26&lt;&gt;H22)*(I$3:I$26="P")),-1*SUMPRODUCT((P$3:P$26="")*(O$3:O$26="")*(N$3:N$26="")*(M$3:M$26="P")*(G$3:G$26=G22)*(J$3:J$26&gt;J22)*(H$3:H$26="L5")*(I$3:I$26="P")))+1,"")))))</f>
        <v/>
      </c>
      <c r="B22" s="1" t="str" cm="1">
        <f t="array" ref="B22">IF(P22&lt;&gt;"",SUMPRODUCT((P$3:P$26&lt;&gt;"")*(G$3:G$26=G22)*(J$3:J$26&gt;J22))+1,IF(O22&lt;&gt;"",SUMPRODUCT((O$3:O$26&lt;&gt;"")*(P$3:P$26="")*(G$3:G$26=G22)*(J$3:J$26&gt;J22))+SUMPRODUCT((P$3:P$26&lt;&gt;"")*(G$3:G$26=G22))+1,IF(N22&lt;&gt;"",SUMPRODUCT((N$3:N$26&lt;&gt;"")*(G$3:G$26=G22)*(J$3:J$26&gt;J22))+1,IF(M22="P",SUMPRODUCT((O$3:O$26&lt;&gt;"")*(P$3:P$26="")*(G$3:G$26=G22))+SUMPRODUCT((P$3:P$26&lt;&gt;"")*(G$3:G$26=G22))+SUMPRODUCT((N$3:N$26&lt;&gt;"")*(G$3:G$26=G22))+SUMPRODUCT((P$3:P$26="")*(O$3:O$26="")*(N$3:N$26="")*(M$3:M$26="P")*(G$3:G$26=G22)*(J$3:J$26&gt;J22))+IF(H22="L5",SUMPRODUCT((P$3:P$26="")*(O$3:O$26="")*(N$3:N$26="")*(M$3:M$26="P")*(G$3:G$26=G22)*(J$3:J$26&lt;J22)*(H$3:H$26&lt;&gt;H22)),-1*SUMPRODUCT((P$3:P$26="")*(O$3:O$26="")*(N$3:N$26="")*(M$3:M$26="P")*(G$3:G$26=G22)*(J$3:J$26&gt;J22)*(H$3:H$26="L5")))+1,""))))</f>
        <v/>
      </c>
      <c r="C22" s="35" t="s">
        <v>345</v>
      </c>
      <c r="D22" t="str">
        <f>IF(E22="","",VLOOKUP(E22,'Coaching Points'!A:B,2,0))</f>
        <v>ON</v>
      </c>
      <c r="E22" s="35" t="s">
        <v>89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71.099999999999994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35.700000000000003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35.4</v>
      </c>
      <c r="T22" s="32">
        <v>35.4</v>
      </c>
      <c r="U22" s="37">
        <v>4.5999999999999996</v>
      </c>
      <c r="V22" s="37">
        <v>0</v>
      </c>
      <c r="W22" s="33">
        <v>35.700000000000003</v>
      </c>
      <c r="X22" s="37">
        <v>4.5999999999999996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$26&lt;&gt;"")*(G$3:G$26=G23)*(J$3:J$26&gt;J23)*(I$3:I$26="P"))+1,IF(O23&lt;&gt;"",SUMPRODUCT((O$3:O$26&lt;&gt;"")*(P$3:P$26="")*(G$3:G$26=G23)*(J$3:J$26&gt;J23)*(I$3:I$26="P"))+SUMPRODUCT((P$3:P$26&lt;&gt;"")*(G$3:G$26=G23)*(I$3:I$26="P"))+1,IF(N23&lt;&gt;"",SUMPRODUCT((N$3:N$26&lt;&gt;"")*(G$3:G$26=G23)*(J$3:J$26&gt;J23)*(I$3:I$26="P"))+1,IF(M23="P",SUMPRODUCT((O$3:O$26&lt;&gt;"")*(P$3:P$26="")*(G$3:G$26=G23)*(I$3:I$26="P"))+SUMPRODUCT((P$3:P$26&lt;&gt;"")*(G$3:G$26=G23)*(I$3:I$26="P"))+SUMPRODUCT((N$3:N$26&lt;&gt;"")*(G$3:G$26=G23)*(I$3:I$26="P"))+SUMPRODUCT((P$3:P$26="")*(O$3:O$26="")*(N$3:N$26="")*(M$3:M$26="P")*(G$3:G$26=G23)*(J$3:J$26&gt;J23)*(I$3:I$26="P"))+IF(H23="L5",SUMPRODUCT((P$3:P$26="")*(O$3:O$26="")*(N$3:N$26="")*(M$3:M$26="P")*(G$3:G$26=G23)*(J$3:J$26&lt;J23)*(H$3:H$26&lt;&gt;H23)*(I$3:I$26="P")),-1*SUMPRODUCT((P$3:P$26="")*(O$3:O$26="")*(N$3:N$26="")*(M$3:M$26="P")*(G$3:G$26=G23)*(J$3:J$26&gt;J23)*(H$3:H$26="L5")*(I$3:I$26="P")))+1,"")))))</f>
        <v/>
      </c>
      <c r="B23" s="1" t="str" cm="1">
        <f t="array" ref="B23">IF(P23&lt;&gt;"",SUMPRODUCT((P$3:P$26&lt;&gt;"")*(G$3:G$26=G23)*(J$3:J$26&gt;J23))+1,IF(O23&lt;&gt;"",SUMPRODUCT((O$3:O$26&lt;&gt;"")*(P$3:P$26="")*(G$3:G$26=G23)*(J$3:J$26&gt;J23))+SUMPRODUCT((P$3:P$26&lt;&gt;"")*(G$3:G$26=G23))+1,IF(N23&lt;&gt;"",SUMPRODUCT((N$3:N$26&lt;&gt;"")*(G$3:G$26=G23)*(J$3:J$26&gt;J23))+1,IF(M23="P",SUMPRODUCT((O$3:O$26&lt;&gt;"")*(P$3:P$26="")*(G$3:G$26=G23))+SUMPRODUCT((P$3:P$26&lt;&gt;"")*(G$3:G$26=G23))+SUMPRODUCT((N$3:N$26&lt;&gt;"")*(G$3:G$26=G23))+SUMPRODUCT((P$3:P$26="")*(O$3:O$26="")*(N$3:N$26="")*(M$3:M$26="P")*(G$3:G$26=G23)*(J$3:J$26&gt;J23))+IF(H23="L5",SUMPRODUCT((P$3:P$26="")*(O$3:O$26="")*(N$3:N$26="")*(M$3:M$26="P")*(G$3:G$26=G23)*(J$3:J$26&lt;J23)*(H$3:H$26&lt;&gt;H23)),-1*SUMPRODUCT((P$3:P$26="")*(O$3:O$26="")*(N$3:N$26="")*(M$3:M$26="P")*(G$3:G$26=G23)*(J$3:J$26&gt;J23)*(H$3:H$26="L5")))+1,""))))</f>
        <v/>
      </c>
      <c r="C23" s="35" t="s">
        <v>346</v>
      </c>
      <c r="D23" t="str">
        <f>IF(E23="","",VLOOKUP(E23,'Coaching Points'!A:B,2,0))</f>
        <v>AB</v>
      </c>
      <c r="E23" s="35" t="s">
        <v>143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66.599999999999994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34.4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32.200000000000003</v>
      </c>
      <c r="T23" s="32">
        <v>34.4</v>
      </c>
      <c r="U23" s="37">
        <v>5.8</v>
      </c>
      <c r="V23" s="37">
        <v>0</v>
      </c>
      <c r="W23" s="33">
        <v>32.200000000000003</v>
      </c>
      <c r="X23" s="37">
        <v>5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$26&lt;&gt;"")*(G$3:G$26=G24)*(J$3:J$26&gt;J24)*(I$3:I$26="P"))+1,IF(O24&lt;&gt;"",SUMPRODUCT((O$3:O$26&lt;&gt;"")*(P$3:P$26="")*(G$3:G$26=G24)*(J$3:J$26&gt;J24)*(I$3:I$26="P"))+SUMPRODUCT((P$3:P$26&lt;&gt;"")*(G$3:G$26=G24)*(I$3:I$26="P"))+1,IF(N24&lt;&gt;"",SUMPRODUCT((N$3:N$26&lt;&gt;"")*(G$3:G$26=G24)*(J$3:J$26&gt;J24)*(I$3:I$26="P"))+1,IF(M24="P",SUMPRODUCT((O$3:O$26&lt;&gt;"")*(P$3:P$26="")*(G$3:G$26=G24)*(I$3:I$26="P"))+SUMPRODUCT((P$3:P$26&lt;&gt;"")*(G$3:G$26=G24)*(I$3:I$26="P"))+SUMPRODUCT((N$3:N$26&lt;&gt;"")*(G$3:G$26=G24)*(I$3:I$26="P"))+SUMPRODUCT((P$3:P$26="")*(O$3:O$26="")*(N$3:N$26="")*(M$3:M$26="P")*(G$3:G$26=G24)*(J$3:J$26&gt;J24)*(I$3:I$26="P"))+IF(H24="L5",SUMPRODUCT((P$3:P$26="")*(O$3:O$26="")*(N$3:N$26="")*(M$3:M$26="P")*(G$3:G$26=G24)*(J$3:J$26&lt;J24)*(H$3:H$26&lt;&gt;H24)*(I$3:I$26="P")),-1*SUMPRODUCT((P$3:P$26="")*(O$3:O$26="")*(N$3:N$26="")*(M$3:M$26="P")*(G$3:G$26=G24)*(J$3:J$26&gt;J24)*(H$3:H$26="L5")*(I$3:I$26="P")))+1,"")))))</f>
        <v/>
      </c>
      <c r="B24" s="1" t="str" cm="1">
        <f t="array" ref="B24">IF(P24&lt;&gt;"",SUMPRODUCT((P$3:P$26&lt;&gt;"")*(G$3:G$26=G24)*(J$3:J$26&gt;J24))+1,IF(O24&lt;&gt;"",SUMPRODUCT((O$3:O$26&lt;&gt;"")*(P$3:P$26="")*(G$3:G$26=G24)*(J$3:J$26&gt;J24))+SUMPRODUCT((P$3:P$26&lt;&gt;"")*(G$3:G$26=G24))+1,IF(N24&lt;&gt;"",SUMPRODUCT((N$3:N$26&lt;&gt;"")*(G$3:G$26=G24)*(J$3:J$26&gt;J24))+1,IF(M24="P",SUMPRODUCT((O$3:O$26&lt;&gt;"")*(P$3:P$26="")*(G$3:G$26=G24))+SUMPRODUCT((P$3:P$26&lt;&gt;"")*(G$3:G$26=G24))+SUMPRODUCT((N$3:N$26&lt;&gt;"")*(G$3:G$26=G24))+SUMPRODUCT((P$3:P$26="")*(O$3:O$26="")*(N$3:N$26="")*(M$3:M$26="P")*(G$3:G$26=G24)*(J$3:J$26&gt;J24))+IF(H24="L5",SUMPRODUCT((P$3:P$26="")*(O$3:O$26="")*(N$3:N$26="")*(M$3:M$26="P")*(G$3:G$26=G24)*(J$3:J$26&lt;J24)*(H$3:H$26&lt;&gt;H24)),-1*SUMPRODUCT((P$3:P$26="")*(O$3:O$26="")*(N$3:N$26="")*(M$3:M$26="P")*(G$3:G$26=G24)*(J$3:J$26&gt;J24)*(H$3:H$26="L5")))+1,""))))</f>
        <v/>
      </c>
      <c r="C24" s="35" t="s">
        <v>82</v>
      </c>
      <c r="D24" t="str">
        <f>IF(E24="","",VLOOKUP(E24,'Coaching Points'!A:B,2,0))</f>
        <v>BC</v>
      </c>
      <c r="E24" s="35" t="s">
        <v>40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34.900100000000002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34.9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0</v>
      </c>
      <c r="T24" s="32">
        <v>35.6</v>
      </c>
      <c r="U24" s="37">
        <v>7.7</v>
      </c>
      <c r="V24" s="37">
        <v>0.7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$26&lt;&gt;"")*(G$3:G$26=G25)*(J$3:J$26&gt;J25)*(I$3:I$26="P"))+1,IF(O25&lt;&gt;"",SUMPRODUCT((O$3:O$26&lt;&gt;"")*(P$3:P$26="")*(G$3:G$26=G25)*(J$3:J$26&gt;J25)*(I$3:I$26="P"))+SUMPRODUCT((P$3:P$26&lt;&gt;"")*(G$3:G$26=G25)*(I$3:I$26="P"))+1,IF(N25&lt;&gt;"",SUMPRODUCT((N$3:N$26&lt;&gt;"")*(G$3:G$26=G25)*(J$3:J$26&gt;J25)*(I$3:I$26="P"))+1,IF(M25="P",SUMPRODUCT((O$3:O$26&lt;&gt;"")*(P$3:P$26="")*(G$3:G$26=G25)*(I$3:I$26="P"))+SUMPRODUCT((P$3:P$26&lt;&gt;"")*(G$3:G$26=G25)*(I$3:I$26="P"))+SUMPRODUCT((N$3:N$26&lt;&gt;"")*(G$3:G$26=G25)*(I$3:I$26="P"))+SUMPRODUCT((P$3:P$26="")*(O$3:O$26="")*(N$3:N$26="")*(M$3:M$26="P")*(G$3:G$26=G25)*(J$3:J$26&gt;J25)*(I$3:I$26="P"))+IF(H25="L5",SUMPRODUCT((P$3:P$26="")*(O$3:O$26="")*(N$3:N$26="")*(M$3:M$26="P")*(G$3:G$26=G25)*(J$3:J$26&lt;J25)*(H$3:H$26&lt;&gt;H25)*(I$3:I$26="P")),-1*SUMPRODUCT((P$3:P$26="")*(O$3:O$26="")*(N$3:N$26="")*(M$3:M$26="P")*(G$3:G$26=G25)*(J$3:J$26&gt;J25)*(H$3:H$26="L5")*(I$3:I$26="P")))+1,"")))))</f>
        <v/>
      </c>
      <c r="B25" s="1" t="str" cm="1">
        <f t="array" ref="B25">IF(P25&lt;&gt;"",SUMPRODUCT((P$3:P$26&lt;&gt;"")*(G$3:G$26=G25)*(J$3:J$26&gt;J25))+1,IF(O25&lt;&gt;"",SUMPRODUCT((O$3:O$26&lt;&gt;"")*(P$3:P$26="")*(G$3:G$26=G25)*(J$3:J$26&gt;J25))+SUMPRODUCT((P$3:P$26&lt;&gt;"")*(G$3:G$26=G25))+1,IF(N25&lt;&gt;"",SUMPRODUCT((N$3:N$26&lt;&gt;"")*(G$3:G$26=G25)*(J$3:J$26&gt;J25))+1,IF(M25="P",SUMPRODUCT((O$3:O$26&lt;&gt;"")*(P$3:P$26="")*(G$3:G$26=G25))+SUMPRODUCT((P$3:P$26&lt;&gt;"")*(G$3:G$26=G25))+SUMPRODUCT((N$3:N$26&lt;&gt;"")*(G$3:G$26=G25))+SUMPRODUCT((P$3:P$26="")*(O$3:O$26="")*(N$3:N$26="")*(M$3:M$26="P")*(G$3:G$26=G25)*(J$3:J$26&gt;J25))+IF(H25="L5",SUMPRODUCT((P$3:P$26="")*(O$3:O$26="")*(N$3:N$26="")*(M$3:M$26="P")*(G$3:G$26=G25)*(J$3:J$26&lt;J25)*(H$3:H$26&lt;&gt;H25)),-1*SUMPRODUCT((P$3:P$26="")*(O$3:O$26="")*(N$3:N$26="")*(M$3:M$26="P")*(G$3:G$26=G25)*(J$3:J$26&gt;J25)*(H$3:H$26="L5")))+1,""))))</f>
        <v/>
      </c>
      <c r="C25" s="35" t="s">
        <v>146</v>
      </c>
      <c r="D25" t="str">
        <f>IF(E25="","",VLOOKUP(E25,'Coaching Points'!A:B,2,0))</f>
        <v>AB</v>
      </c>
      <c r="E25" s="35" t="s">
        <v>62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32.700000000000003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32.700000000000003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0</v>
      </c>
      <c r="T25" s="32">
        <v>32.700000000000003</v>
      </c>
      <c r="U25" s="37">
        <v>2.6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$26&lt;&gt;"")*(G$3:G$26=G26)*(J$3:J$26&gt;J26)*(I$3:I$26="P"))+1,IF(O26&lt;&gt;"",SUMPRODUCT((O$3:O$26&lt;&gt;"")*(P$3:P$26="")*(G$3:G$26=G26)*(J$3:J$26&gt;J26)*(I$3:I$26="P"))+SUMPRODUCT((P$3:P$26&lt;&gt;"")*(G$3:G$26=G26)*(I$3:I$26="P"))+1,IF(N26&lt;&gt;"",SUMPRODUCT((N$3:N$26&lt;&gt;"")*(G$3:G$26=G26)*(J$3:J$26&gt;J26)*(I$3:I$26="P"))+1,IF(M26="P",SUMPRODUCT((O$3:O$26&lt;&gt;"")*(P$3:P$26="")*(G$3:G$26=G26)*(I$3:I$26="P"))+SUMPRODUCT((P$3:P$26&lt;&gt;"")*(G$3:G$26=G26)*(I$3:I$26="P"))+SUMPRODUCT((N$3:N$26&lt;&gt;"")*(G$3:G$26=G26)*(I$3:I$26="P"))+SUMPRODUCT((P$3:P$26="")*(O$3:O$26="")*(N$3:N$26="")*(M$3:M$26="P")*(G$3:G$26=G26)*(J$3:J$26&gt;J26)*(I$3:I$26="P"))+IF(H26="L5",SUMPRODUCT((P$3:P$26="")*(O$3:O$26="")*(N$3:N$26="")*(M$3:M$26="P")*(G$3:G$26=G26)*(J$3:J$26&lt;J26)*(H$3:H$26&lt;&gt;H26)*(I$3:I$26="P")),-1*SUMPRODUCT((P$3:P$26="")*(O$3:O$26="")*(N$3:N$26="")*(M$3:M$26="P")*(G$3:G$26=G26)*(J$3:J$26&gt;J26)*(H$3:H$26="L5")*(I$3:I$26="P")))+1,"")))))</f>
        <v/>
      </c>
      <c r="B26" s="1" t="str" cm="1">
        <f t="array" ref="B26">IF(P26&lt;&gt;"",SUMPRODUCT((P$3:P$26&lt;&gt;"")*(G$3:G$26=G26)*(J$3:J$26&gt;J26))+1,IF(O26&lt;&gt;"",SUMPRODUCT((O$3:O$26&lt;&gt;"")*(P$3:P$26="")*(G$3:G$26=G26)*(J$3:J$26&gt;J26))+SUMPRODUCT((P$3:P$26&lt;&gt;"")*(G$3:G$26=G26))+1,IF(N26&lt;&gt;"",SUMPRODUCT((N$3:N$26&lt;&gt;"")*(G$3:G$26=G26)*(J$3:J$26&gt;J26))+1,IF(M26="P",SUMPRODUCT((O$3:O$26&lt;&gt;"")*(P$3:P$26="")*(G$3:G$26=G26))+SUMPRODUCT((P$3:P$26&lt;&gt;"")*(G$3:G$26=G26))+SUMPRODUCT((N$3:N$26&lt;&gt;"")*(G$3:G$26=G26))+SUMPRODUCT((P$3:P$26="")*(O$3:O$26="")*(N$3:N$26="")*(M$3:M$26="P")*(G$3:G$26=G26)*(J$3:J$26&gt;J26))+IF(H26="L5",SUMPRODUCT((P$3:P$26="")*(O$3:O$26="")*(N$3:N$26="")*(M$3:M$26="P")*(G$3:G$26=G26)*(J$3:J$26&lt;J26)*(H$3:H$26&lt;&gt;H26)),-1*SUMPRODUCT((P$3:P$26="")*(O$3:O$26="")*(N$3:N$26="")*(M$3:M$26="P")*(G$3:G$26=G26)*(J$3:J$26&gt;J26)*(H$3:H$26="L5")))+1,""))))</f>
        <v/>
      </c>
      <c r="C26" s="35" t="s">
        <v>337</v>
      </c>
      <c r="D26" t="str">
        <f>IF(E26="","",VLOOKUP(E26,'Coaching Points'!A:B,2,0))</f>
        <v>ON</v>
      </c>
      <c r="E26" s="35" t="s">
        <v>89</v>
      </c>
      <c r="F26" s="34">
        <v>2010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6" t="s">
        <v>215</v>
      </c>
      <c r="I26" s="40"/>
      <c r="J26" s="4">
        <f>R26+S26+IF(OR(H26="Junior",H26="Senior"),0.0002,IF(OR(H26="L7",H26="L6"),0.0001,0))+MAX(Z26,AC26)*0.0000001</f>
        <v>79.400000000000006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39.799999999999997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39.6</v>
      </c>
      <c r="T26" s="32">
        <v>39.799999999999997</v>
      </c>
      <c r="U26" s="37">
        <v>4.8000000000000007</v>
      </c>
      <c r="V26" s="37">
        <v>0</v>
      </c>
      <c r="W26" s="33">
        <v>39.6</v>
      </c>
      <c r="X26" s="37">
        <v>4.8000000000000007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$26&lt;&gt;"")*(G$3:G$26=G27)*(J$3:J$26&gt;J27)*(I$3:I$26="P"))+1,IF(O27&lt;&gt;"",SUMPRODUCT((O$3:O$26&lt;&gt;"")*(P$3:P$26="")*(G$3:G$26=G27)*(J$3:J$26&gt;J27)*(I$3:I$26="P"))+SUMPRODUCT((P$3:P$26&lt;&gt;"")*(G$3:G$26=G27)*(I$3:I$26="P"))+1,IF(N27&lt;&gt;"",SUMPRODUCT((N$3:N$26&lt;&gt;"")*(G$3:G$26=G27)*(J$3:J$26&gt;J27)*(I$3:I$26="P"))+1,IF(M27="P",SUMPRODUCT((O$3:O$26&lt;&gt;"")*(P$3:P$26="")*(G$3:G$26=G27)*(I$3:I$26="P"))+SUMPRODUCT((P$3:P$26&lt;&gt;"")*(G$3:G$26=G27)*(I$3:I$26="P"))+SUMPRODUCT((N$3:N$26&lt;&gt;"")*(G$3:G$26=G27)*(I$3:I$26="P"))+SUMPRODUCT((P$3:P$26="")*(O$3:O$26="")*(N$3:N$26="")*(M$3:M$26="P")*(G$3:G$26=G27)*(J$3:J$26&gt;J27)*(I$3:I$26="P"))+IF(H27="L5",SUMPRODUCT((P$3:P$26="")*(O$3:O$26="")*(N$3:N$26="")*(M$3:M$26="P")*(G$3:G$26=G27)*(J$3:J$26&lt;J27)*(H$3:H$26&lt;&gt;H27)*(I$3:I$26="P")),-1*SUMPRODUCT((P$3:P$26="")*(O$3:O$26="")*(N$3:N$26="")*(M$3:M$26="P")*(G$3:G$26=G27)*(J$3:J$26&gt;J27)*(H$3:H$26="L5")*(I$3:I$26="P")))+1,"")))))</f>
        <v/>
      </c>
      <c r="B27" s="1" t="str" cm="1">
        <f t="array" ref="B27">IF(P27&lt;&gt;"",SUMPRODUCT((P$3:P$26&lt;&gt;"")*(G$3:G$26=G27)*(J$3:J$26&gt;J27))+1,IF(O27&lt;&gt;"",SUMPRODUCT((O$3:O$26&lt;&gt;"")*(P$3:P$26="")*(G$3:G$26=G27)*(J$3:J$26&gt;J27))+SUMPRODUCT((P$3:P$26&lt;&gt;"")*(G$3:G$26=G27))+1,IF(N27&lt;&gt;"",SUMPRODUCT((N$3:N$26&lt;&gt;"")*(G$3:G$26=G27)*(J$3:J$26&gt;J27))+1,IF(M27="P",SUMPRODUCT((O$3:O$26&lt;&gt;"")*(P$3:P$26="")*(G$3:G$26=G27))+SUMPRODUCT((P$3:P$26&lt;&gt;"")*(G$3:G$26=G27))+SUMPRODUCT((N$3:N$26&lt;&gt;"")*(G$3:G$26=G27))+SUMPRODUCT((P$3:P$26="")*(O$3:O$26="")*(N$3:N$26="")*(M$3:M$26="P")*(G$3:G$26=G27)*(J$3:J$26&gt;J27))+IF(H27="L5",SUMPRODUCT((P$3:P$26="")*(O$3:O$26="")*(N$3:N$26="")*(M$3:M$26="P")*(G$3:G$26=G27)*(J$3:J$26&lt;J27)*(H$3:H$26&lt;&gt;H27)),-1*SUMPRODUCT((P$3:P$26="")*(O$3:O$26="")*(N$3:N$26="")*(M$3:M$26="P")*(G$3:G$26=G27)*(J$3:J$26&gt;J27)*(H$3:H$26="L5")))+1,""))))</f>
        <v/>
      </c>
      <c r="C27" s="35" t="s">
        <v>338</v>
      </c>
      <c r="D27" t="str">
        <f>IF(E27="","",VLOOKUP(E27,'Coaching Points'!A:B,2,0))</f>
        <v>NS</v>
      </c>
      <c r="E27" s="35" t="s">
        <v>86</v>
      </c>
      <c r="F27" s="34">
        <v>2009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6" t="s">
        <v>215</v>
      </c>
      <c r="I27" s="40"/>
      <c r="J27" s="4">
        <f>R27+S27+IF(OR(H27="Junior",H27="Senior"),0.0002,IF(OR(H27="L7",H27="L6"),0.0001,0))+MAX(Z27,AC27)*0.0000001</f>
        <v>76.900000000000006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38.799999999999997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38.1</v>
      </c>
      <c r="T27" s="32">
        <v>38.1</v>
      </c>
      <c r="U27" s="37">
        <v>5.0999999999999996</v>
      </c>
      <c r="V27" s="37">
        <v>0</v>
      </c>
      <c r="W27" s="33">
        <v>38.799999999999997</v>
      </c>
      <c r="X27" s="37">
        <v>5.3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$26&lt;&gt;"")*(G$3:G$26=G28)*(J$3:J$26&gt;J28)*(I$3:I$26="P"))+1,IF(O28&lt;&gt;"",SUMPRODUCT((O$3:O$26&lt;&gt;"")*(P$3:P$26="")*(G$3:G$26=G28)*(J$3:J$26&gt;J28)*(I$3:I$26="P"))+SUMPRODUCT((P$3:P$26&lt;&gt;"")*(G$3:G$26=G28)*(I$3:I$26="P"))+1,IF(N28&lt;&gt;"",SUMPRODUCT((N$3:N$26&lt;&gt;"")*(G$3:G$26=G28)*(J$3:J$26&gt;J28)*(I$3:I$26="P"))+1,IF(M28="P",SUMPRODUCT((O$3:O$26&lt;&gt;"")*(P$3:P$26="")*(G$3:G$26=G28)*(I$3:I$26="P"))+SUMPRODUCT((P$3:P$26&lt;&gt;"")*(G$3:G$26=G28)*(I$3:I$26="P"))+SUMPRODUCT((N$3:N$26&lt;&gt;"")*(G$3:G$26=G28)*(I$3:I$26="P"))+SUMPRODUCT((P$3:P$26="")*(O$3:O$26="")*(N$3:N$26="")*(M$3:M$26="P")*(G$3:G$26=G28)*(J$3:J$26&gt;J28)*(I$3:I$26="P"))+IF(H28="L5",SUMPRODUCT((P$3:P$26="")*(O$3:O$26="")*(N$3:N$26="")*(M$3:M$26="P")*(G$3:G$26=G28)*(J$3:J$26&lt;J28)*(H$3:H$26&lt;&gt;H28)*(I$3:I$26="P")),-1*SUMPRODUCT((P$3:P$26="")*(O$3:O$26="")*(N$3:N$26="")*(M$3:M$26="P")*(G$3:G$26=G28)*(J$3:J$26&gt;J28)*(H$3:H$26="L5")*(I$3:I$26="P")))+1,"")))))</f>
        <v/>
      </c>
      <c r="B28" s="1" t="str" cm="1">
        <f t="array" ref="B28">IF(P28&lt;&gt;"",SUMPRODUCT((P$3:P$26&lt;&gt;"")*(G$3:G$26=G28)*(J$3:J$26&gt;J28))+1,IF(O28&lt;&gt;"",SUMPRODUCT((O$3:O$26&lt;&gt;"")*(P$3:P$26="")*(G$3:G$26=G28)*(J$3:J$26&gt;J28))+SUMPRODUCT((P$3:P$26&lt;&gt;"")*(G$3:G$26=G28))+1,IF(N28&lt;&gt;"",SUMPRODUCT((N$3:N$26&lt;&gt;"")*(G$3:G$26=G28)*(J$3:J$26&gt;J28))+1,IF(M28="P",SUMPRODUCT((O$3:O$26&lt;&gt;"")*(P$3:P$26="")*(G$3:G$26=G28))+SUMPRODUCT((P$3:P$26&lt;&gt;"")*(G$3:G$26=G28))+SUMPRODUCT((N$3:N$26&lt;&gt;"")*(G$3:G$26=G28))+SUMPRODUCT((P$3:P$26="")*(O$3:O$26="")*(N$3:N$26="")*(M$3:M$26="P")*(G$3:G$26=G28)*(J$3:J$26&gt;J28))+IF(H28="L5",SUMPRODUCT((P$3:P$26="")*(O$3:O$26="")*(N$3:N$26="")*(M$3:M$26="P")*(G$3:G$26=G28)*(J$3:J$26&lt;J28)*(H$3:H$26&lt;&gt;H28)),-1*SUMPRODUCT((P$3:P$26="")*(O$3:O$26="")*(N$3:N$26="")*(M$3:M$26="P")*(G$3:G$26=G28)*(J$3:J$26&gt;J28)*(H$3:H$26="L5")))+1,""))))</f>
        <v/>
      </c>
      <c r="C28" s="35" t="s">
        <v>339</v>
      </c>
      <c r="D28" t="str">
        <f>IF(E28="","",VLOOKUP(E28,'Coaching Points'!A:B,2,0))</f>
        <v>AB</v>
      </c>
      <c r="E28" s="35" t="s">
        <v>56</v>
      </c>
      <c r="F28" s="34">
        <v>2009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6" t="s">
        <v>215</v>
      </c>
      <c r="I28" s="40"/>
      <c r="J28" s="4">
        <f>R28+S28+IF(OR(H28="Junior",H28="Senior"),0.0002,IF(OR(H28="L7",H28="L6"),0.0001,0))+MAX(Z28,AC28)*0.0000001</f>
        <v>72.3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35.299999999999997</v>
      </c>
      <c r="T28" s="32">
        <v>35.299999999999997</v>
      </c>
      <c r="U28" s="37">
        <v>5.6</v>
      </c>
      <c r="V28" s="37">
        <v>1</v>
      </c>
      <c r="W28" s="33">
        <v>37</v>
      </c>
      <c r="X28" s="37">
        <v>7.8</v>
      </c>
      <c r="Y28" s="37">
        <v>2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$26&lt;&gt;"")*(G$3:G$26=G29)*(J$3:J$26&gt;J29)*(I$3:I$26="P"))+1,IF(O29&lt;&gt;"",SUMPRODUCT((O$3:O$26&lt;&gt;"")*(P$3:P$26="")*(G$3:G$26=G29)*(J$3:J$26&gt;J29)*(I$3:I$26="P"))+SUMPRODUCT((P$3:P$26&lt;&gt;"")*(G$3:G$26=G29)*(I$3:I$26="P"))+1,IF(N29&lt;&gt;"",SUMPRODUCT((N$3:N$26&lt;&gt;"")*(G$3:G$26=G29)*(J$3:J$26&gt;J29)*(I$3:I$26="P"))+1,IF(M29="P",SUMPRODUCT((O$3:O$26&lt;&gt;"")*(P$3:P$26="")*(G$3:G$26=G29)*(I$3:I$26="P"))+SUMPRODUCT((P$3:P$26&lt;&gt;"")*(G$3:G$26=G29)*(I$3:I$26="P"))+SUMPRODUCT((N$3:N$26&lt;&gt;"")*(G$3:G$26=G29)*(I$3:I$26="P"))+SUMPRODUCT((P$3:P$26="")*(O$3:O$26="")*(N$3:N$26="")*(M$3:M$26="P")*(G$3:G$26=G29)*(J$3:J$26&gt;J29)*(I$3:I$26="P"))+IF(H29="L5",SUMPRODUCT((P$3:P$26="")*(O$3:O$26="")*(N$3:N$26="")*(M$3:M$26="P")*(G$3:G$26=G29)*(J$3:J$26&lt;J29)*(H$3:H$26&lt;&gt;H29)*(I$3:I$26="P")),-1*SUMPRODUCT((P$3:P$26="")*(O$3:O$26="")*(N$3:N$26="")*(M$3:M$26="P")*(G$3:G$26=G29)*(J$3:J$26&gt;J29)*(H$3:H$26="L5")*(I$3:I$26="P")))+1,"")))))</f>
        <v/>
      </c>
      <c r="B29" s="1" t="str" cm="1">
        <f t="array" ref="B29">IF(P29&lt;&gt;"",SUMPRODUCT((P$3:P$26&lt;&gt;"")*(G$3:G$26=G29)*(J$3:J$26&gt;J29))+1,IF(O29&lt;&gt;"",SUMPRODUCT((O$3:O$26&lt;&gt;"")*(P$3:P$26="")*(G$3:G$26=G29)*(J$3:J$26&gt;J29))+SUMPRODUCT((P$3:P$26&lt;&gt;"")*(G$3:G$26=G29))+1,IF(N29&lt;&gt;"",SUMPRODUCT((N$3:N$26&lt;&gt;"")*(G$3:G$26=G29)*(J$3:J$26&gt;J29))+1,IF(M29="P",SUMPRODUCT((O$3:O$26&lt;&gt;"")*(P$3:P$26="")*(G$3:G$26=G29))+SUMPRODUCT((P$3:P$26&lt;&gt;"")*(G$3:G$26=G29))+SUMPRODUCT((N$3:N$26&lt;&gt;"")*(G$3:G$26=G29))+SUMPRODUCT((P$3:P$26="")*(O$3:O$26="")*(N$3:N$26="")*(M$3:M$26="P")*(G$3:G$26=G29)*(J$3:J$26&gt;J29))+IF(H29="L5",SUMPRODUCT((P$3:P$26="")*(O$3:O$26="")*(N$3:N$26="")*(M$3:M$26="P")*(G$3:G$26=G29)*(J$3:J$26&lt;J29)*(H$3:H$26&lt;&gt;H29)),-1*SUMPRODUCT((P$3:P$26="")*(O$3:O$26="")*(N$3:N$26="")*(M$3:M$26="P")*(G$3:G$26=G29)*(J$3:J$26&gt;J29)*(H$3:H$26="L5")))+1,""))))</f>
        <v/>
      </c>
      <c r="C29" s="35" t="s">
        <v>340</v>
      </c>
      <c r="D29" t="str">
        <f>IF(E29="","",VLOOKUP(E29,'Coaching Points'!A:B,2,0))</f>
        <v>ON</v>
      </c>
      <c r="E29" s="35" t="s">
        <v>88</v>
      </c>
      <c r="F29" s="34">
        <v>2010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6" t="s">
        <v>215</v>
      </c>
      <c r="I29" s="40"/>
      <c r="J29" s="4">
        <f>R29+S29+IF(OR(H29="Junior",H29="Senior"),0.0002,IF(OR(H29="L7",H29="L6"),0.0001,0))+MAX(Z29,AC29)*0.0000001</f>
        <v>65.7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35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30.7</v>
      </c>
      <c r="T29" s="32">
        <v>35</v>
      </c>
      <c r="U29" s="37">
        <v>6</v>
      </c>
      <c r="V29" s="37">
        <v>1</v>
      </c>
      <c r="W29" s="33">
        <v>30.7</v>
      </c>
      <c r="X29" s="37">
        <v>4.9000000000000004</v>
      </c>
      <c r="Y29" s="37">
        <v>1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$26&lt;&gt;"")*(G$3:G$26=G30)*(J$3:J$26&gt;J30)*(I$3:I$26="P"))+1,IF(O30&lt;&gt;"",SUMPRODUCT((O$3:O$26&lt;&gt;"")*(P$3:P$26="")*(G$3:G$26=G30)*(J$3:J$26&gt;J30)*(I$3:I$26="P"))+SUMPRODUCT((P$3:P$26&lt;&gt;"")*(G$3:G$26=G30)*(I$3:I$26="P"))+1,IF(N30&lt;&gt;"",SUMPRODUCT((N$3:N$26&lt;&gt;"")*(G$3:G$26=G30)*(J$3:J$26&gt;J30)*(I$3:I$26="P"))+1,IF(M30="P",SUMPRODUCT((O$3:O$26&lt;&gt;"")*(P$3:P$26="")*(G$3:G$26=G30)*(I$3:I$26="P"))+SUMPRODUCT((P$3:P$26&lt;&gt;"")*(G$3:G$26=G30)*(I$3:I$26="P"))+SUMPRODUCT((N$3:N$26&lt;&gt;"")*(G$3:G$26=G30)*(I$3:I$26="P"))+SUMPRODUCT((P$3:P$26="")*(O$3:O$26="")*(N$3:N$26="")*(M$3:M$26="P")*(G$3:G$26=G30)*(J$3:J$26&gt;J30)*(I$3:I$26="P"))+IF(H30="L5",SUMPRODUCT((P$3:P$26="")*(O$3:O$26="")*(N$3:N$26="")*(M$3:M$26="P")*(G$3:G$26=G30)*(J$3:J$26&lt;J30)*(H$3:H$26&lt;&gt;H30)*(I$3:I$26="P")),-1*SUMPRODUCT((P$3:P$26="")*(O$3:O$26="")*(N$3:N$26="")*(M$3:M$26="P")*(G$3:G$26=G30)*(J$3:J$26&gt;J30)*(H$3:H$26="L5")*(I$3:I$26="P")))+1,"")))))</f>
        <v/>
      </c>
      <c r="B30" s="1" t="str" cm="1">
        <f t="array" ref="B30">IF(P30&lt;&gt;"",SUMPRODUCT((P$3:P$26&lt;&gt;"")*(G$3:G$26=G30)*(J$3:J$26&gt;J30))+1,IF(O30&lt;&gt;"",SUMPRODUCT((O$3:O$26&lt;&gt;"")*(P$3:P$26="")*(G$3:G$26=G30)*(J$3:J$26&gt;J30))+SUMPRODUCT((P$3:P$26&lt;&gt;"")*(G$3:G$26=G30))+1,IF(N30&lt;&gt;"",SUMPRODUCT((N$3:N$26&lt;&gt;"")*(G$3:G$26=G30)*(J$3:J$26&gt;J30))+1,IF(M30="P",SUMPRODUCT((O$3:O$26&lt;&gt;"")*(P$3:P$26="")*(G$3:G$26=G30))+SUMPRODUCT((P$3:P$26&lt;&gt;"")*(G$3:G$26=G30))+SUMPRODUCT((N$3:N$26&lt;&gt;"")*(G$3:G$26=G30))+SUMPRODUCT((P$3:P$26="")*(O$3:O$26="")*(N$3:N$26="")*(M$3:M$26="P")*(G$3:G$26=G30)*(J$3:J$26&gt;J30))+IF(H30="L5",SUMPRODUCT((P$3:P$26="")*(O$3:O$26="")*(N$3:N$26="")*(M$3:M$26="P")*(G$3:G$26=G30)*(J$3:J$26&lt;J30)*(H$3:H$26&lt;&gt;H30)),-1*SUMPRODUCT((P$3:P$26="")*(O$3:O$26="")*(N$3:N$26="")*(M$3:M$26="P")*(G$3:G$26=G30)*(J$3:J$26&gt;J30)*(H$3:H$26="L5")))+1,""))))</f>
        <v/>
      </c>
      <c r="C30" s="35" t="s">
        <v>160</v>
      </c>
      <c r="D30" t="str">
        <f>IF(E30="","",VLOOKUP(E30,'Coaching Points'!A:B,2,0))</f>
        <v>BC</v>
      </c>
      <c r="E30" s="35" t="s">
        <v>60</v>
      </c>
      <c r="F30" s="34">
        <v>2012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13-14</v>
      </c>
      <c r="H30" s="36" t="s">
        <v>212</v>
      </c>
      <c r="I30" s="40"/>
      <c r="J30" s="4">
        <f>R30+S30+IF(OR(H30="Junior",H30="Senior"),0.0002,IF(OR(H30="L7",H30="L6"),0.0001,0))+MAX(Z30,AC30)*0.0000001</f>
        <v>78.900200000000012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>P</v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40.1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38.799999999999997</v>
      </c>
      <c r="T30" s="32">
        <v>38.799999999999997</v>
      </c>
      <c r="U30" s="37">
        <v>6</v>
      </c>
      <c r="V30" s="37">
        <v>0</v>
      </c>
      <c r="W30" s="33">
        <v>40.1</v>
      </c>
      <c r="X30" s="37">
        <v>7.5</v>
      </c>
      <c r="Y30" s="37">
        <v>0</v>
      </c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$26&lt;&gt;"")*(G$3:G$26=G31)*(J$3:J$26&gt;J31)*(I$3:I$26="P"))+1,IF(O31&lt;&gt;"",SUMPRODUCT((O$3:O$26&lt;&gt;"")*(P$3:P$26="")*(G$3:G$26=G31)*(J$3:J$26&gt;J31)*(I$3:I$26="P"))+SUMPRODUCT((P$3:P$26&lt;&gt;"")*(G$3:G$26=G31)*(I$3:I$26="P"))+1,IF(N31&lt;&gt;"",SUMPRODUCT((N$3:N$26&lt;&gt;"")*(G$3:G$26=G31)*(J$3:J$26&gt;J31)*(I$3:I$26="P"))+1,IF(M31="P",SUMPRODUCT((O$3:O$26&lt;&gt;"")*(P$3:P$26="")*(G$3:G$26=G31)*(I$3:I$26="P"))+SUMPRODUCT((P$3:P$26&lt;&gt;"")*(G$3:G$26=G31)*(I$3:I$26="P"))+SUMPRODUCT((N$3:N$26&lt;&gt;"")*(G$3:G$26=G31)*(I$3:I$26="P"))+SUMPRODUCT((P$3:P$26="")*(O$3:O$26="")*(N$3:N$26="")*(M$3:M$26="P")*(G$3:G$26=G31)*(J$3:J$26&gt;J31)*(I$3:I$26="P"))+IF(H31="L5",SUMPRODUCT((P$3:P$26="")*(O$3:O$26="")*(N$3:N$26="")*(M$3:M$26="P")*(G$3:G$26=G31)*(J$3:J$26&lt;J31)*(H$3:H$26&lt;&gt;H31)*(I$3:I$26="P")),-1*SUMPRODUCT((P$3:P$26="")*(O$3:O$26="")*(N$3:N$26="")*(M$3:M$26="P")*(G$3:G$26=G31)*(J$3:J$26&gt;J31)*(H$3:H$26="L5")*(I$3:I$26="P")))+1,"")))))</f>
        <v/>
      </c>
      <c r="B31" s="1" t="str" cm="1">
        <f t="array" ref="B31">IF(P31&lt;&gt;"",SUMPRODUCT((P$3:P$26&lt;&gt;"")*(G$3:G$26=G31)*(J$3:J$26&gt;J31))+1,IF(O31&lt;&gt;"",SUMPRODUCT((O$3:O$26&lt;&gt;"")*(P$3:P$26="")*(G$3:G$26=G31)*(J$3:J$26&gt;J31))+SUMPRODUCT((P$3:P$26&lt;&gt;"")*(G$3:G$26=G31))+1,IF(N31&lt;&gt;"",SUMPRODUCT((N$3:N$26&lt;&gt;"")*(G$3:G$26=G31)*(J$3:J$26&gt;J31))+1,IF(M31="P",SUMPRODUCT((O$3:O$26&lt;&gt;"")*(P$3:P$26="")*(G$3:G$26=G31))+SUMPRODUCT((P$3:P$26&lt;&gt;"")*(G$3:G$26=G31))+SUMPRODUCT((N$3:N$26&lt;&gt;"")*(G$3:G$26=G31))+SUMPRODUCT((P$3:P$26="")*(O$3:O$26="")*(N$3:N$26="")*(M$3:M$26="P")*(G$3:G$26=G31)*(J$3:J$26&gt;J31))+IF(H31="L5",SUMPRODUCT((P$3:P$26="")*(O$3:O$26="")*(N$3:N$26="")*(M$3:M$26="P")*(G$3:G$26=G31)*(J$3:J$26&lt;J31)*(H$3:H$26&lt;&gt;H31)),-1*SUMPRODUCT((P$3:P$26="")*(O$3:O$26="")*(N$3:N$26="")*(M$3:M$26="P")*(G$3:G$26=G31)*(J$3:J$26&gt;J31)*(H$3:H$26="L5")))+1,""))))</f>
        <v/>
      </c>
      <c r="C31" s="35" t="s">
        <v>347</v>
      </c>
      <c r="D31" t="str">
        <f>IF(E31="","",VLOOKUP(E31,'Coaching Points'!A:B,2,0))</f>
        <v>AB</v>
      </c>
      <c r="E31" s="35" t="s">
        <v>56</v>
      </c>
      <c r="F31" s="34">
        <v>2011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13-14</v>
      </c>
      <c r="H31" s="36" t="s">
        <v>215</v>
      </c>
      <c r="I31" s="40"/>
      <c r="J31" s="4">
        <f>R31+S31+IF(OR(H31="Junior",H31="Senior"),0.0002,IF(OR(H31="L7",H31="L6"),0.0001,0))+MAX(Z31,AC31)*0.0000001</f>
        <v>76.7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>P</v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38.5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38.200000000000003</v>
      </c>
      <c r="T31" s="32">
        <v>38.200000000000003</v>
      </c>
      <c r="U31" s="37">
        <v>7.3</v>
      </c>
      <c r="V31" s="37">
        <v>2</v>
      </c>
      <c r="W31" s="33">
        <v>38.5</v>
      </c>
      <c r="X31" s="37">
        <v>6.8</v>
      </c>
      <c r="Y31" s="37">
        <v>2</v>
      </c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$26&lt;&gt;"")*(G$3:G$26=G32)*(J$3:J$26&gt;J32)*(I$3:I$26="P"))+1,IF(O32&lt;&gt;"",SUMPRODUCT((O$3:O$26&lt;&gt;"")*(P$3:P$26="")*(G$3:G$26=G32)*(J$3:J$26&gt;J32)*(I$3:I$26="P"))+SUMPRODUCT((P$3:P$26&lt;&gt;"")*(G$3:G$26=G32)*(I$3:I$26="P"))+1,IF(N32&lt;&gt;"",SUMPRODUCT((N$3:N$26&lt;&gt;"")*(G$3:G$26=G32)*(J$3:J$26&gt;J32)*(I$3:I$26="P"))+1,IF(M32="P",SUMPRODUCT((O$3:O$26&lt;&gt;"")*(P$3:P$26="")*(G$3:G$26=G32)*(I$3:I$26="P"))+SUMPRODUCT((P$3:P$26&lt;&gt;"")*(G$3:G$26=G32)*(I$3:I$26="P"))+SUMPRODUCT((N$3:N$26&lt;&gt;"")*(G$3:G$26=G32)*(I$3:I$26="P"))+SUMPRODUCT((P$3:P$26="")*(O$3:O$26="")*(N$3:N$26="")*(M$3:M$26="P")*(G$3:G$26=G32)*(J$3:J$26&gt;J32)*(I$3:I$26="P"))+IF(H32="L5",SUMPRODUCT((P$3:P$26="")*(O$3:O$26="")*(N$3:N$26="")*(M$3:M$26="P")*(G$3:G$26=G32)*(J$3:J$26&lt;J32)*(H$3:H$26&lt;&gt;H32)*(I$3:I$26="P")),-1*SUMPRODUCT((P$3:P$26="")*(O$3:O$26="")*(N$3:N$26="")*(M$3:M$26="P")*(G$3:G$26=G32)*(J$3:J$26&gt;J32)*(H$3:H$26="L5")*(I$3:I$26="P")))+1,"")))))</f>
        <v/>
      </c>
      <c r="B32" s="1" t="str" cm="1">
        <f t="array" ref="B32">IF(P32&lt;&gt;"",SUMPRODUCT((P$3:P$26&lt;&gt;"")*(G$3:G$26=G32)*(J$3:J$26&gt;J32))+1,IF(O32&lt;&gt;"",SUMPRODUCT((O$3:O$26&lt;&gt;"")*(P$3:P$26="")*(G$3:G$26=G32)*(J$3:J$26&gt;J32))+SUMPRODUCT((P$3:P$26&lt;&gt;"")*(G$3:G$26=G32))+1,IF(N32&lt;&gt;"",SUMPRODUCT((N$3:N$26&lt;&gt;"")*(G$3:G$26=G32)*(J$3:J$26&gt;J32))+1,IF(M32="P",SUMPRODUCT((O$3:O$26&lt;&gt;"")*(P$3:P$26="")*(G$3:G$26=G32))+SUMPRODUCT((P$3:P$26&lt;&gt;"")*(G$3:G$26=G32))+SUMPRODUCT((N$3:N$26&lt;&gt;"")*(G$3:G$26=G32))+SUMPRODUCT((P$3:P$26="")*(O$3:O$26="")*(N$3:N$26="")*(M$3:M$26="P")*(G$3:G$26=G32)*(J$3:J$26&gt;J32))+IF(H32="L5",SUMPRODUCT((P$3:P$26="")*(O$3:O$26="")*(N$3:N$26="")*(M$3:M$26="P")*(G$3:G$26=G32)*(J$3:J$26&lt;J32)*(H$3:H$26&lt;&gt;H32)),-1*SUMPRODUCT((P$3:P$26="")*(O$3:O$26="")*(N$3:N$26="")*(M$3:M$26="P")*(G$3:G$26=G32)*(J$3:J$26&gt;J32)*(H$3:H$26="L5")))+1,""))))</f>
        <v/>
      </c>
      <c r="C32" s="35" t="s">
        <v>136</v>
      </c>
      <c r="D32" t="str">
        <f>IF(E32="","",VLOOKUP(E32,'Coaching Points'!A:B,2,0))</f>
        <v>BC</v>
      </c>
      <c r="E32" s="35" t="s">
        <v>60</v>
      </c>
      <c r="F32" s="34">
        <v>2011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13-14</v>
      </c>
      <c r="H32" s="36" t="s">
        <v>215</v>
      </c>
      <c r="I32" s="40"/>
      <c r="J32" s="4">
        <f>R32+S32+IF(OR(H32="Junior",H32="Senior"),0.0002,IF(OR(H32="L7",H32="L6"),0.0001,0))+MAX(Z32,AC32)*0.0000001</f>
        <v>76</v>
      </c>
      <c r="K32" s="3" t="str">
        <f>IF(G32="Not Age Eligible","",IF(MAX(T32,W32,Z32,AC32)&gt;=LOOKUP(G32,'Qualifying Scores'!$A$4:$A$7,'Qualifying Scores'!$H$4:$H$7),"P",""))</f>
        <v/>
      </c>
      <c r="L32" s="3" t="str">
        <f>IF(G32="Not Age Eligible","",IF(MAX(U32,X32,AA32,AD32)&gt;=LOOKUP(G32,'Qualifying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39.700000000000003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36.299999999999997</v>
      </c>
      <c r="T32" s="32">
        <v>36.299999999999997</v>
      </c>
      <c r="U32" s="37">
        <v>4.2</v>
      </c>
      <c r="V32" s="37">
        <v>0</v>
      </c>
      <c r="W32" s="33">
        <v>39.700000000000003</v>
      </c>
      <c r="X32" s="37">
        <v>5.7</v>
      </c>
      <c r="Y32" s="37">
        <v>0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$26&lt;&gt;"")*(G$3:G$26=G33)*(J$3:J$26&gt;J33)*(I$3:I$26="P"))+1,IF(O33&lt;&gt;"",SUMPRODUCT((O$3:O$26&lt;&gt;"")*(P$3:P$26="")*(G$3:G$26=G33)*(J$3:J$26&gt;J33)*(I$3:I$26="P"))+SUMPRODUCT((P$3:P$26&lt;&gt;"")*(G$3:G$26=G33)*(I$3:I$26="P"))+1,IF(N33&lt;&gt;"",SUMPRODUCT((N$3:N$26&lt;&gt;"")*(G$3:G$26=G33)*(J$3:J$26&gt;J33)*(I$3:I$26="P"))+1,IF(M33="P",SUMPRODUCT((O$3:O$26&lt;&gt;"")*(P$3:P$26="")*(G$3:G$26=G33)*(I$3:I$26="P"))+SUMPRODUCT((P$3:P$26&lt;&gt;"")*(G$3:G$26=G33)*(I$3:I$26="P"))+SUMPRODUCT((N$3:N$26&lt;&gt;"")*(G$3:G$26=G33)*(I$3:I$26="P"))+SUMPRODUCT((P$3:P$26="")*(O$3:O$26="")*(N$3:N$26="")*(M$3:M$26="P")*(G$3:G$26=G33)*(J$3:J$26&gt;J33)*(I$3:I$26="P"))+IF(H33="L5",SUMPRODUCT((P$3:P$26="")*(O$3:O$26="")*(N$3:N$26="")*(M$3:M$26="P")*(G$3:G$26=G33)*(J$3:J$26&lt;J33)*(H$3:H$26&lt;&gt;H33)*(I$3:I$26="P")),-1*SUMPRODUCT((P$3:P$26="")*(O$3:O$26="")*(N$3:N$26="")*(M$3:M$26="P")*(G$3:G$26=G33)*(J$3:J$26&gt;J33)*(H$3:H$26="L5")*(I$3:I$26="P")))+1,"")))))</f>
        <v/>
      </c>
      <c r="B33" s="1" t="str" cm="1">
        <f t="array" ref="B33">IF(P33&lt;&gt;"",SUMPRODUCT((P$3:P$26&lt;&gt;"")*(G$3:G$26=G33)*(J$3:J$26&gt;J33))+1,IF(O33&lt;&gt;"",SUMPRODUCT((O$3:O$26&lt;&gt;"")*(P$3:P$26="")*(G$3:G$26=G33)*(J$3:J$26&gt;J33))+SUMPRODUCT((P$3:P$26&lt;&gt;"")*(G$3:G$26=G33))+1,IF(N33&lt;&gt;"",SUMPRODUCT((N$3:N$26&lt;&gt;"")*(G$3:G$26=G33)*(J$3:J$26&gt;J33))+1,IF(M33="P",SUMPRODUCT((O$3:O$26&lt;&gt;"")*(P$3:P$26="")*(G$3:G$26=G33))+SUMPRODUCT((P$3:P$26&lt;&gt;"")*(G$3:G$26=G33))+SUMPRODUCT((N$3:N$26&lt;&gt;"")*(G$3:G$26=G33))+SUMPRODUCT((P$3:P$26="")*(O$3:O$26="")*(N$3:N$26="")*(M$3:M$26="P")*(G$3:G$26=G33)*(J$3:J$26&gt;J33))+IF(H33="L5",SUMPRODUCT((P$3:P$26="")*(O$3:O$26="")*(N$3:N$26="")*(M$3:M$26="P")*(G$3:G$26=G33)*(J$3:J$26&lt;J33)*(H$3:H$26&lt;&gt;H33)),-1*SUMPRODUCT((P$3:P$26="")*(O$3:O$26="")*(N$3:N$26="")*(M$3:M$26="P")*(G$3:G$26=G33)*(J$3:J$26&gt;J33)*(H$3:H$26="L5")))+1,""))))</f>
        <v/>
      </c>
      <c r="C33" s="35" t="s">
        <v>248</v>
      </c>
      <c r="D33" t="str">
        <f>IF(E33="","",VLOOKUP(E33,'Coaching Points'!A:B,2,0))</f>
        <v>AB</v>
      </c>
      <c r="E33" s="35" t="s">
        <v>28</v>
      </c>
      <c r="F33" s="34">
        <v>2011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6" t="s">
        <v>215</v>
      </c>
      <c r="I33" s="40"/>
      <c r="J33" s="4">
        <f>R33+S33+IF(OR(H33="Junior",H33="Senior"),0.0002,IF(OR(H33="L7",H33="L6"),0.0001,0))+MAX(Z33,AC33)*0.0000001</f>
        <v>74.5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37.6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36.9</v>
      </c>
      <c r="T33" s="32">
        <v>36.9</v>
      </c>
      <c r="U33" s="37">
        <v>4.3000000000000007</v>
      </c>
      <c r="V33" s="37">
        <v>0</v>
      </c>
      <c r="W33" s="33">
        <v>37.6</v>
      </c>
      <c r="X33" s="37">
        <v>4.3000000000000007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B34" s="1"/>
      <c r="D34"/>
      <c r="G34" s="1"/>
      <c r="H34" s="36"/>
      <c r="I34" s="40"/>
      <c r="J34" s="4"/>
      <c r="K34" s="3"/>
      <c r="L34" s="3"/>
      <c r="R34" s="4"/>
      <c r="S34" s="4"/>
      <c r="T34" s="32"/>
      <c r="U34" s="37"/>
      <c r="V34" s="37"/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B35" s="1"/>
      <c r="D35"/>
      <c r="G35" s="1"/>
      <c r="H35" s="36"/>
      <c r="I35" s="40"/>
      <c r="J35" s="4"/>
      <c r="K35" s="3"/>
      <c r="L35" s="3"/>
      <c r="R35" s="4"/>
      <c r="S35" s="4"/>
      <c r="T35" s="32"/>
      <c r="U35" s="37"/>
      <c r="V35" s="37"/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B36" s="1"/>
      <c r="D36"/>
      <c r="G36" s="1"/>
      <c r="H36" s="36"/>
      <c r="I36" s="40"/>
      <c r="J36" s="4"/>
      <c r="K36" s="3"/>
      <c r="L36" s="3"/>
      <c r="R36" s="4"/>
      <c r="S36" s="4"/>
      <c r="T36" s="32"/>
      <c r="U36" s="37"/>
      <c r="V36" s="37"/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B37" s="1"/>
      <c r="D37"/>
      <c r="G37" s="1"/>
      <c r="H37" s="36"/>
      <c r="I37" s="40"/>
      <c r="J37" s="4"/>
      <c r="K37" s="3"/>
      <c r="L37" s="3"/>
      <c r="R37" s="4"/>
      <c r="S37" s="4"/>
      <c r="T37" s="32"/>
      <c r="U37" s="37"/>
      <c r="V37" s="37"/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B38" s="1"/>
      <c r="D38"/>
      <c r="G38" s="1"/>
      <c r="H38" s="36"/>
      <c r="I38" s="40"/>
      <c r="J38" s="4"/>
      <c r="K38" s="3"/>
      <c r="L38" s="3"/>
      <c r="R38" s="4"/>
      <c r="S38" s="4"/>
      <c r="T38" s="32"/>
      <c r="U38" s="37"/>
      <c r="V38" s="37"/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B39" s="1"/>
      <c r="D39"/>
      <c r="G39" s="1"/>
      <c r="H39" s="36"/>
      <c r="I39" s="40"/>
      <c r="J39" s="4"/>
      <c r="K39" s="3"/>
      <c r="L39" s="3"/>
      <c r="R39" s="4"/>
      <c r="S39" s="4"/>
      <c r="T39" s="32"/>
      <c r="U39" s="37"/>
      <c r="V39" s="37"/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B40" s="1"/>
      <c r="D40"/>
      <c r="G40" s="1"/>
      <c r="H40" s="36"/>
      <c r="I40" s="40"/>
      <c r="J40" s="4"/>
      <c r="K40" s="3"/>
      <c r="L40" s="3"/>
      <c r="R40" s="4"/>
      <c r="S40" s="4"/>
      <c r="T40" s="32"/>
      <c r="U40" s="37"/>
      <c r="V40" s="37"/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B41" s="1"/>
      <c r="D41"/>
      <c r="G41" s="1"/>
      <c r="H41" s="36"/>
      <c r="I41" s="40"/>
      <c r="J41" s="4"/>
      <c r="K41" s="3"/>
      <c r="L41" s="3"/>
      <c r="R41" s="4"/>
      <c r="S41" s="4"/>
      <c r="T41" s="32"/>
      <c r="U41" s="37"/>
      <c r="V41" s="37"/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B42" s="1"/>
      <c r="D42"/>
      <c r="G42" s="1"/>
      <c r="H42" s="36"/>
      <c r="I42" s="40"/>
      <c r="J42" s="4"/>
      <c r="K42" s="3"/>
      <c r="L42" s="3"/>
      <c r="R42" s="4"/>
      <c r="S42" s="4"/>
      <c r="T42" s="32"/>
      <c r="U42" s="37"/>
      <c r="V42" s="37"/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B43" s="1"/>
      <c r="D43"/>
      <c r="G43" s="1"/>
      <c r="H43" s="36"/>
      <c r="I43" s="40"/>
      <c r="J43" s="4"/>
      <c r="K43" s="3"/>
      <c r="L43" s="3"/>
      <c r="R43" s="4"/>
      <c r="S43" s="4"/>
      <c r="T43" s="32"/>
      <c r="U43" s="37"/>
      <c r="V43" s="37"/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33">
      <sortCondition descending="1" ref="G1:G34"/>
    </sortState>
  </autoFilter>
  <mergeCells count="21">
    <mergeCell ref="P1:P2"/>
    <mergeCell ref="R1:R2"/>
    <mergeCell ref="S1:S2"/>
    <mergeCell ref="Z1:AE1"/>
    <mergeCell ref="T1:Y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53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$54&lt;&gt;"")*(G$3:G$54=G3)*(J$3:J$54&gt;J3)*(I$3:I$54="P"))+1,IF(O3&lt;&gt;"",SUMPRODUCT((O$3:O$54&lt;&gt;"")*(P$3:P$54="")*(G$3:G$54=G3)*(J$3:J$54&gt;J3)*(I$3:I$54="P"))+SUMPRODUCT((P$3:P$54&lt;&gt;"")*(G$3:G$54=G3)*(I$3:I$54="P"))+1,IF(N3&lt;&gt;"",SUMPRODUCT((N$3:N$54&lt;&gt;"")*(G$3:G$54=G3)*(J$3:J$54&gt;J3)*(I$3:I$54="P"))+1,IF(M3="P",SUMPRODUCT((O$3:O$54&lt;&gt;"")*(P$3:P$54="")*(G$3:G$54=G3)*(I$3:I$54="P"))+SUMPRODUCT((P$3:P$54&lt;&gt;"")*(G$3:G$54=G3)*(I$3:I$54="P"))+SUMPRODUCT((N$3:N$54&lt;&gt;"")*(G$3:G$54=G3)*(I$3:I$54="P"))+SUMPRODUCT((P$3:P$54="")*(O$3:O$54="")*(N$3:N$54="")*(M$3:M$54="P")*(G$3:G$54=G3)*(J$3:J$54&gt;J3)*(I$3:I$54="P"))+IF(H3="L5",SUMPRODUCT((P$3:P$54="")*(O$3:O$54="")*(N$3:N$54="")*(M$3:M$54="P")*(G$3:G$54=G3)*(J$3:J$54&lt;J3)*(H$3:H$54&lt;&gt;H3)*(I$3:I$54="P")),-1*SUMPRODUCT((P$3:P$54="")*(O$3:O$54="")*(N$3:N$54="")*(M$3:M$54="P")*(G$3:G$54=G3)*(J$3:J$54&gt;J3)*(H$3:H$54="L5")*(I$3:I$54="P")))+1,"")))))</f>
        <v/>
      </c>
      <c r="B3" s="1" cm="1">
        <f t="array" ref="B3">IF(P3&lt;&gt;"",SUMPRODUCT((P$3:P$54&lt;&gt;"")*(G$3:G$54=G3)*(J$3:J$54&gt;J3))+1,IF(O3&lt;&gt;"",SUMPRODUCT((O$3:O$54&lt;&gt;"")*(P$3:P$54="")*(G$3:G$54=G3)*(J$3:J$54&gt;J3))+SUMPRODUCT((P$3:P$54&lt;&gt;"")*(G$3:G$54=G3))+1,IF(N3&lt;&gt;"",SUMPRODUCT((N$3:N$54&lt;&gt;"")*(G$3:G$54=G3)*(J$3:J$54&gt;J3))+1,IF(M3="P",SUMPRODUCT((O$3:O$54&lt;&gt;"")*(P$3:P$54="")*(G$3:G$54=G3))+SUMPRODUCT((P$3:P$54&lt;&gt;"")*(G$3:G$54=G3))+SUMPRODUCT((N$3:N$54&lt;&gt;"")*(G$3:G$54=G3))+SUMPRODUCT((P$3:P$54="")*(O$3:O$54="")*(N$3:N$54="")*(M$3:M$54="P")*(G$3:G$54=G3)*(J$3:J$54&gt;J3))+IF(H3="L5",SUMPRODUCT((P$3:P$54="")*(O$3:O$54="")*(N$3:N$54="")*(M$3:M$54="P")*(G$3:G$54=G3)*(J$3:J$54&lt;J3)*(H$3:H$54&lt;&gt;H3)),-1*SUMPRODUCT((P$3:P$54="")*(O$3:O$54="")*(N$3:N$54="")*(M$3:M$54="P")*(G$3:G$54=G3)*(J$3:J$54&gt;J3)*(H$3:H$54="L5")))+1,""))))</f>
        <v>1</v>
      </c>
      <c r="C3" s="35" t="s">
        <v>289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91.800200000000004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45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$54&lt;&gt;"")*(G$3:G$54=G4)*(J$3:J$54&gt;J4))+1,IF(O4&lt;&gt;"",SUMPRODUCT((O$3:O$54&lt;&gt;"")*(P$3:P$54="")*(G$3:G$54=G4)*(J$3:J$54&gt;J4))+SUMPRODUCT((P$3:P$54&lt;&gt;"")*(G$3:G$54=G4))+1,IF(N4&lt;&gt;"",SUMPRODUCT((N$3:N$54&lt;&gt;"")*(G$3:G$54=G4)*(J$3:J$54&gt;J4))+1,IF(M4="P",SUMPRODUCT((O$3:O$54&lt;&gt;"")*(P$3:P$54="")*(G$3:G$54=G4))+SUMPRODUCT((P$3:P$54&lt;&gt;"")*(G$3:G$54=G4))+SUMPRODUCT((N$3:N$54&lt;&gt;"")*(G$3:G$54=G4))+SUMPRODUCT((P$3:P$54="")*(O$3:O$54="")*(N$3:N$54="")*(M$3:M$54="P")*(G$3:G$54=G4)*(J$3:J$54&gt;J4))+IF(H4="L5",SUMPRODUCT((P$3:P$54="")*(O$3:O$54="")*(N$3:N$54="")*(M$3:M$54="P")*(G$3:G$54=G4)*(J$3:J$54&lt;J4)*(H$3:H$54&lt;&gt;H4)),-1*SUMPRODUCT((P$3:P$54="")*(O$3:O$54="")*(N$3:N$54="")*(M$3:M$54="P")*(G$3:G$54=G4)*(J$3:J$54&gt;J4)*(H$3:H$54="L5")))+1,""))))</f>
        <v>2</v>
      </c>
      <c r="C4" s="35" t="s">
        <v>291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88.500200000000007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$54&lt;&gt;"")*(G$3:G$54=G5)*(J$3:J$54&gt;J5))+1,IF(O5&lt;&gt;"",SUMPRODUCT((O$3:O$54&lt;&gt;"")*(P$3:P$54="")*(G$3:G$54=G5)*(J$3:J$54&gt;J5))+SUMPRODUCT((P$3:P$54&lt;&gt;"")*(G$3:G$54=G5))+1,IF(N5&lt;&gt;"",SUMPRODUCT((N$3:N$54&lt;&gt;"")*(G$3:G$54=G5)*(J$3:J$54&gt;J5))+1,IF(M5="P",SUMPRODUCT((O$3:O$54&lt;&gt;"")*(P$3:P$54="")*(G$3:G$54=G5))+SUMPRODUCT((P$3:P$54&lt;&gt;"")*(G$3:G$54=G5))+SUMPRODUCT((N$3:N$54&lt;&gt;"")*(G$3:G$54=G5))+SUMPRODUCT((P$3:P$54="")*(O$3:O$54="")*(N$3:N$54="")*(M$3:M$54="P")*(G$3:G$54=G5)*(J$3:J$54&gt;J5))+IF(H5="L5",SUMPRODUCT((P$3:P$54="")*(O$3:O$54="")*(N$3:N$54="")*(M$3:M$54="P")*(G$3:G$54=G5)*(J$3:J$54&lt;J5)*(H$3:H$54&lt;&gt;H5)),-1*SUMPRODUCT((P$3:P$54="")*(O$3:O$54="")*(N$3:N$54="")*(M$3:M$54="P")*(G$3:G$54=G5)*(J$3:J$54&gt;J5)*(H$3:H$54="L5")))+1,""))))</f>
        <v>3</v>
      </c>
      <c r="C5" s="35" t="s">
        <v>290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84.000200000000007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38.5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$54&lt;&gt;"")*(G$3:G$54=G6)*(J$3:J$54&gt;J6))+1,IF(O6&lt;&gt;"",SUMPRODUCT((O$3:O$54&lt;&gt;"")*(P$3:P$54="")*(G$3:G$54=G6)*(J$3:J$54&gt;J6))+SUMPRODUCT((P$3:P$54&lt;&gt;"")*(G$3:G$54=G6))+1,IF(N6&lt;&gt;"",SUMPRODUCT((N$3:N$54&lt;&gt;"")*(G$3:G$54=G6)*(J$3:J$54&gt;J6))+1,IF(M6="P",SUMPRODUCT((O$3:O$54&lt;&gt;"")*(P$3:P$54="")*(G$3:G$54=G6))+SUMPRODUCT((P$3:P$54&lt;&gt;"")*(G$3:G$54=G6))+SUMPRODUCT((N$3:N$54&lt;&gt;"")*(G$3:G$54=G6))+SUMPRODUCT((P$3:P$54="")*(O$3:O$54="")*(N$3:N$54="")*(M$3:M$54="P")*(G$3:G$54=G6)*(J$3:J$54&gt;J6))+IF(H6="L5",SUMPRODUCT((P$3:P$54="")*(O$3:O$54="")*(N$3:N$54="")*(M$3:M$54="P")*(G$3:G$54=G6)*(J$3:J$54&lt;J6)*(H$3:H$54&lt;&gt;H6)),-1*SUMPRODUCT((P$3:P$54="")*(O$3:O$54="")*(N$3:N$54="")*(M$3:M$54="P")*(G$3:G$54=G6)*(J$3:J$54&gt;J6)*(H$3:H$54="L5")))+1,""))))</f>
        <v>4</v>
      </c>
      <c r="C6" s="35" t="s">
        <v>292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81.700200000000009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41.6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40.1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$54&lt;&gt;"")*(G$3:G$54=G7)*(J$3:J$54&gt;J7))+1,IF(O7&lt;&gt;"",SUMPRODUCT((O$3:O$54&lt;&gt;"")*(P$3:P$54="")*(G$3:G$54=G7)*(J$3:J$54&gt;J7))+SUMPRODUCT((P$3:P$54&lt;&gt;"")*(G$3:G$54=G7))+1,IF(N7&lt;&gt;"",SUMPRODUCT((N$3:N$54&lt;&gt;"")*(G$3:G$54=G7)*(J$3:J$54&gt;J7))+1,IF(M7="P",SUMPRODUCT((O$3:O$54&lt;&gt;"")*(P$3:P$54="")*(G$3:G$54=G7))+SUMPRODUCT((P$3:P$54&lt;&gt;"")*(G$3:G$54=G7))+SUMPRODUCT((N$3:N$54&lt;&gt;"")*(G$3:G$54=G7))+SUMPRODUCT((P$3:P$54="")*(O$3:O$54="")*(N$3:N$54="")*(M$3:M$54="P")*(G$3:G$54=G7)*(J$3:J$54&gt;J7))+IF(H7="L5",SUMPRODUCT((P$3:P$54="")*(O$3:O$54="")*(N$3:N$54="")*(M$3:M$54="P")*(G$3:G$54=G7)*(J$3:J$54&lt;J7)*(H$3:H$54&lt;&gt;H7)),-1*SUMPRODUCT((P$3:P$54="")*(O$3:O$54="")*(N$3:N$54="")*(M$3:M$54="P")*(G$3:G$54=G7)*(J$3:J$54&gt;J7)*(H$3:H$54="L5")))+1,""))))</f>
        <v>5</v>
      </c>
      <c r="C7" s="35" t="s">
        <v>301</v>
      </c>
      <c r="D7" t="str">
        <f>IF(E7="","",VLOOKUP(E7,'Coaching Points'!A:B,2,0))</f>
        <v>QC</v>
      </c>
      <c r="E7" s="35" t="s">
        <v>99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R7+S7+IF(OR(H7="Junior",H7="Senior"),0.0002,IF(OR(H7="L7",H7="L6"),0.0001,0))+MAX(Z7,AC7)*0.0000001</f>
        <v>82.200099999999992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41.9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40.299999999999997</v>
      </c>
      <c r="T7" s="32">
        <v>41.9</v>
      </c>
      <c r="U7" s="37">
        <v>8</v>
      </c>
      <c r="V7" s="37">
        <v>0</v>
      </c>
      <c r="W7" s="33">
        <v>40.299999999999997</v>
      </c>
      <c r="X7" s="37">
        <v>8.6999999999999993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$54&lt;&gt;"")*(G$3:G$54=G8)*(J$3:J$54&gt;J8))+1,IF(O8&lt;&gt;"",SUMPRODUCT((O$3:O$54&lt;&gt;"")*(P$3:P$54="")*(G$3:G$54=G8)*(J$3:J$54&gt;J8))+SUMPRODUCT((P$3:P$54&lt;&gt;"")*(G$3:G$54=G8))+1,IF(N8&lt;&gt;"",SUMPRODUCT((N$3:N$54&lt;&gt;"")*(G$3:G$54=G8)*(J$3:J$54&gt;J8))+1,IF(M8="P",SUMPRODUCT((O$3:O$54&lt;&gt;"")*(P$3:P$54="")*(G$3:G$54=G8))+SUMPRODUCT((P$3:P$54&lt;&gt;"")*(G$3:G$54=G8))+SUMPRODUCT((N$3:N$54&lt;&gt;"")*(G$3:G$54=G8))+SUMPRODUCT((P$3:P$54="")*(O$3:O$54="")*(N$3:N$54="")*(M$3:M$54="P")*(G$3:G$54=G8)*(J$3:J$54&gt;J8))+IF(H8="L5",SUMPRODUCT((P$3:P$54="")*(O$3:O$54="")*(N$3:N$54="")*(M$3:M$54="P")*(G$3:G$54=G8)*(J$3:J$54&lt;J8)*(H$3:H$54&lt;&gt;H8)),-1*SUMPRODUCT((P$3:P$54="")*(O$3:O$54="")*(N$3:N$54="")*(M$3:M$54="P")*(G$3:G$54=G8)*(J$3:J$54&gt;J8)*(H$3:H$54="L5")))+1,""))))</f>
        <v>6</v>
      </c>
      <c r="C8" s="35" t="s">
        <v>302</v>
      </c>
      <c r="D8" t="str">
        <f>IF(E8="","",VLOOKUP(E8,'Coaching Points'!A:B,2,0))</f>
        <v>ON</v>
      </c>
      <c r="E8" s="35" t="s">
        <v>45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214</v>
      </c>
      <c r="I8" s="40"/>
      <c r="J8" s="4">
        <f>R8+S8+IF(OR(H8="Junior",H8="Senior"),0.0002,IF(OR(H8="L7",H8="L6"),0.0001,0))+MAX(Z8,AC8)*0.0000001</f>
        <v>77.900100000000009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39.299999999999997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38.6</v>
      </c>
      <c r="T8" s="32">
        <v>38.6</v>
      </c>
      <c r="U8" s="37">
        <v>8</v>
      </c>
      <c r="V8" s="37">
        <v>0</v>
      </c>
      <c r="W8" s="33">
        <v>39.299999999999997</v>
      </c>
      <c r="X8" s="37">
        <v>8.6999999999999993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$54&lt;&gt;"")*(G$3:G$54=G9)*(J$3:J$54&gt;J9))+1,IF(O9&lt;&gt;"",SUMPRODUCT((O$3:O$54&lt;&gt;"")*(P$3:P$54="")*(G$3:G$54=G9)*(J$3:J$54&gt;J9))+SUMPRODUCT((P$3:P$54&lt;&gt;"")*(G$3:G$54=G9))+1,IF(N9&lt;&gt;"",SUMPRODUCT((N$3:N$54&lt;&gt;"")*(G$3:G$54=G9)*(J$3:J$54&gt;J9))+1,IF(M9="P",SUMPRODUCT((O$3:O$54&lt;&gt;"")*(P$3:P$54="")*(G$3:G$54=G9))+SUMPRODUCT((P$3:P$54&lt;&gt;"")*(G$3:G$54=G9))+SUMPRODUCT((N$3:N$54&lt;&gt;"")*(G$3:G$54=G9))+SUMPRODUCT((P$3:P$54="")*(O$3:O$54="")*(N$3:N$54="")*(M$3:M$54="P")*(G$3:G$54=G9)*(J$3:J$54&gt;J9))+IF(H9="L5",SUMPRODUCT((P$3:P$54="")*(O$3:O$54="")*(N$3:N$54="")*(M$3:M$54="P")*(G$3:G$54=G9)*(J$3:J$54&lt;J9)*(H$3:H$54&lt;&gt;H9)),-1*SUMPRODUCT((P$3:P$54="")*(O$3:O$54="")*(N$3:N$54="")*(M$3:M$54="P")*(G$3:G$54=G9)*(J$3:J$54&gt;J9)*(H$3:H$54="L5")))+1,""))))</f>
        <v>7</v>
      </c>
      <c r="C9" s="35" t="s">
        <v>294</v>
      </c>
      <c r="D9" t="str">
        <f>IF(E9="","",VLOOKUP(E9,'Coaching Points'!A:B,2,0))</f>
        <v>AB</v>
      </c>
      <c r="E9" s="35" t="s">
        <v>61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33.800199999999997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/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O9" s="36">
        <v>4</v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33.799999999999997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0</v>
      </c>
      <c r="T9" s="32">
        <v>33.799999999999997</v>
      </c>
      <c r="U9" s="37">
        <v>6.6</v>
      </c>
      <c r="V9" s="37">
        <v>0.7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t="str" cm="1">
        <f t="array" ref="B10">IF(P10&lt;&gt;"",SUMPRODUCT((P$3:P$54&lt;&gt;"")*(G$3:G$54=G10)*(J$3:J$54&gt;J10))+1,IF(O10&lt;&gt;"",SUMPRODUCT((O$3:O$54&lt;&gt;"")*(P$3:P$54="")*(G$3:G$54=G10)*(J$3:J$54&gt;J10))+SUMPRODUCT((P$3:P$54&lt;&gt;"")*(G$3:G$54=G10))+1,IF(N10&lt;&gt;"",SUMPRODUCT((N$3:N$54&lt;&gt;"")*(G$3:G$54=G10)*(J$3:J$54&gt;J10))+1,IF(M10="P",SUMPRODUCT((O$3:O$54&lt;&gt;"")*(P$3:P$54="")*(G$3:G$54=G10))+SUMPRODUCT((P$3:P$54&lt;&gt;"")*(G$3:G$54=G10))+SUMPRODUCT((N$3:N$54&lt;&gt;"")*(G$3:G$54=G10))+SUMPRODUCT((P$3:P$54="")*(O$3:O$54="")*(N$3:N$54="")*(M$3:M$54="P")*(G$3:G$54=G10)*(J$3:J$54&gt;J10))+IF(H10="L5",SUMPRODUCT((P$3:P$54="")*(O$3:O$54="")*(N$3:N$54="")*(M$3:M$54="P")*(G$3:G$54=G10)*(J$3:J$54&lt;J10)*(H$3:H$54&lt;&gt;H10)),-1*SUMPRODUCT((P$3:P$54="")*(O$3:O$54="")*(N$3:N$54="")*(M$3:M$54="P")*(G$3:G$54=G10)*(J$3:J$54&gt;J10)*(H$3:H$54="L5")))+1,""))))</f>
        <v/>
      </c>
      <c r="C10" s="35" t="s">
        <v>299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80.700099999999992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40.4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40.299999999999997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t="str" cm="1">
        <f t="array" ref="B11">IF(P11&lt;&gt;"",SUMPRODUCT((P$3:P$54&lt;&gt;"")*(G$3:G$54=G11)*(J$3:J$54&gt;J11))+1,IF(O11&lt;&gt;"",SUMPRODUCT((O$3:O$54&lt;&gt;"")*(P$3:P$54="")*(G$3:G$54=G11)*(J$3:J$54&gt;J11))+SUMPRODUCT((P$3:P$54&lt;&gt;"")*(G$3:G$54=G11))+1,IF(N11&lt;&gt;"",SUMPRODUCT((N$3:N$54&lt;&gt;"")*(G$3:G$54=G11)*(J$3:J$54&gt;J11))+1,IF(M11="P",SUMPRODUCT((O$3:O$54&lt;&gt;"")*(P$3:P$54="")*(G$3:G$54=G11))+SUMPRODUCT((P$3:P$54&lt;&gt;"")*(G$3:G$54=G11))+SUMPRODUCT((N$3:N$54&lt;&gt;"")*(G$3:G$54=G11))+SUMPRODUCT((P$3:P$54="")*(O$3:O$54="")*(N$3:N$54="")*(M$3:M$54="P")*(G$3:G$54=G11)*(J$3:J$54&gt;J11))+IF(H11="L5",SUMPRODUCT((P$3:P$54="")*(O$3:O$54="")*(N$3:N$54="")*(M$3:M$54="P")*(G$3:G$54=G11)*(J$3:J$54&lt;J11)*(H$3:H$54&lt;&gt;H11)),-1*SUMPRODUCT((P$3:P$54="")*(O$3:O$54="")*(N$3:N$54="")*(M$3:M$54="P")*(G$3:G$54=G11)*(J$3:J$54&gt;J11)*(H$3:H$54="L5")))+1,""))))</f>
        <v/>
      </c>
      <c r="C11" s="35" t="s">
        <v>234</v>
      </c>
      <c r="D11" t="str">
        <f>IF(E11="","",VLOOKUP(E11,'Coaching Points'!A:B,2,0))</f>
        <v>AB</v>
      </c>
      <c r="E11" s="35" t="s">
        <v>28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215</v>
      </c>
      <c r="I11" s="40"/>
      <c r="J11" s="4">
        <f>R11+S11+IF(OR(H11="Junior",H11="Senior"),0.0002,IF(OR(H11="L7",H11="L6"),0.0001,0))+MAX(Z11,AC11)*0.0000001</f>
        <v>79.800000000000011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41.1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38.700000000000003</v>
      </c>
      <c r="T11" s="32">
        <v>38.700000000000003</v>
      </c>
      <c r="U11" s="37">
        <v>6.5</v>
      </c>
      <c r="V11" s="37">
        <v>0</v>
      </c>
      <c r="W11" s="33">
        <v>41.1</v>
      </c>
      <c r="X11" s="37">
        <v>6.5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$54&lt;&gt;"")*(G$3:G$54=G12)*(J$3:J$54&gt;J12))+1,IF(O12&lt;&gt;"",SUMPRODUCT((O$3:O$54&lt;&gt;"")*(P$3:P$54="")*(G$3:G$54=G12)*(J$3:J$54&gt;J12))+SUMPRODUCT((P$3:P$54&lt;&gt;"")*(G$3:G$54=G12))+1,IF(N12&lt;&gt;"",SUMPRODUCT((N$3:N$54&lt;&gt;"")*(G$3:G$54=G12)*(J$3:J$54&gt;J12))+1,IF(M12="P",SUMPRODUCT((O$3:O$54&lt;&gt;"")*(P$3:P$54="")*(G$3:G$54=G12))+SUMPRODUCT((P$3:P$54&lt;&gt;"")*(G$3:G$54=G12))+SUMPRODUCT((N$3:N$54&lt;&gt;"")*(G$3:G$54=G12))+SUMPRODUCT((P$3:P$54="")*(O$3:O$54="")*(N$3:N$54="")*(M$3:M$54="P")*(G$3:G$54=G12)*(J$3:J$54&gt;J12))+IF(H12="L5",SUMPRODUCT((P$3:P$54="")*(O$3:O$54="")*(N$3:N$54="")*(M$3:M$54="P")*(G$3:G$54=G12)*(J$3:J$54&lt;J12)*(H$3:H$54&lt;&gt;H12)),-1*SUMPRODUCT((P$3:P$54="")*(O$3:O$54="")*(N$3:N$54="")*(M$3:M$54="P")*(G$3:G$54=G12)*(J$3:J$54&gt;J12)*(H$3:H$54="L5")))+1,""))))</f>
        <v/>
      </c>
      <c r="C12" s="35" t="s">
        <v>315</v>
      </c>
      <c r="D12" t="str">
        <f>IF(E12="","",VLOOKUP(E12,'Coaching Points'!A:B,2,0))</f>
        <v>ON</v>
      </c>
      <c r="E12" s="35" t="s">
        <v>88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215</v>
      </c>
      <c r="I12" s="40"/>
      <c r="J12" s="4">
        <f>R12+S12+IF(OR(H12="Junior",H12="Senior"),0.0002,IF(OR(H12="L7",H12="L6"),0.0001,0))+MAX(Z12,AC12)*0.0000001</f>
        <v>79.2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40.1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39.1</v>
      </c>
      <c r="T12" s="32">
        <v>40.1</v>
      </c>
      <c r="U12" s="37">
        <v>5.3000000000000007</v>
      </c>
      <c r="V12" s="37">
        <v>1</v>
      </c>
      <c r="W12" s="33">
        <v>39.1</v>
      </c>
      <c r="X12" s="37">
        <v>5.5</v>
      </c>
      <c r="Y12" s="37">
        <v>1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$54&lt;&gt;"")*(G$3:G$54=G13)*(J$3:J$54&gt;J13))+1,IF(O13&lt;&gt;"",SUMPRODUCT((O$3:O$54&lt;&gt;"")*(P$3:P$54="")*(G$3:G$54=G13)*(J$3:J$54&gt;J13))+SUMPRODUCT((P$3:P$54&lt;&gt;"")*(G$3:G$54=G13))+1,IF(N13&lt;&gt;"",SUMPRODUCT((N$3:N$54&lt;&gt;"")*(G$3:G$54=G13)*(J$3:J$54&gt;J13))+1,IF(M13="P",SUMPRODUCT((O$3:O$54&lt;&gt;"")*(P$3:P$54="")*(G$3:G$54=G13))+SUMPRODUCT((P$3:P$54&lt;&gt;"")*(G$3:G$54=G13))+SUMPRODUCT((N$3:N$54&lt;&gt;"")*(G$3:G$54=G13))+SUMPRODUCT((P$3:P$54="")*(O$3:O$54="")*(N$3:N$54="")*(M$3:M$54="P")*(G$3:G$54=G13)*(J$3:J$54&gt;J13))+IF(H13="L5",SUMPRODUCT((P$3:P$54="")*(O$3:O$54="")*(N$3:N$54="")*(M$3:M$54="P")*(G$3:G$54=G13)*(J$3:J$54&lt;J13)*(H$3:H$54&lt;&gt;H13)),-1*SUMPRODUCT((P$3:P$54="")*(O$3:O$54="")*(N$3:N$54="")*(M$3:M$54="P")*(G$3:G$54=G13)*(J$3:J$54&gt;J13)*(H$3:H$54="L5")))+1,""))))</f>
        <v/>
      </c>
      <c r="C13" s="35" t="s">
        <v>300</v>
      </c>
      <c r="D13" t="str">
        <f>IF(E13="","",VLOOKUP(E13,'Coaching Points'!A:B,2,0))</f>
        <v>AB</v>
      </c>
      <c r="E13" s="35" t="s">
        <v>28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78.500100000000003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40.4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38.1</v>
      </c>
      <c r="T13" s="32">
        <v>38.1</v>
      </c>
      <c r="U13" s="37">
        <v>5.8</v>
      </c>
      <c r="V13" s="37">
        <v>0</v>
      </c>
      <c r="W13" s="33">
        <v>40.4</v>
      </c>
      <c r="X13" s="37">
        <v>8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$54&lt;&gt;"")*(G$3:G$54=G14)*(J$3:J$54&gt;J14))+1,IF(O14&lt;&gt;"",SUMPRODUCT((O$3:O$54&lt;&gt;"")*(P$3:P$54="")*(G$3:G$54=G14)*(J$3:J$54&gt;J14))+SUMPRODUCT((P$3:P$54&lt;&gt;"")*(G$3:G$54=G14))+1,IF(N14&lt;&gt;"",SUMPRODUCT((N$3:N$54&lt;&gt;"")*(G$3:G$54=G14)*(J$3:J$54&gt;J14))+1,IF(M14="P",SUMPRODUCT((O$3:O$54&lt;&gt;"")*(P$3:P$54="")*(G$3:G$54=G14))+SUMPRODUCT((P$3:P$54&lt;&gt;"")*(G$3:G$54=G14))+SUMPRODUCT((N$3:N$54&lt;&gt;"")*(G$3:G$54=G14))+SUMPRODUCT((P$3:P$54="")*(O$3:O$54="")*(N$3:N$54="")*(M$3:M$54="P")*(G$3:G$54=G14)*(J$3:J$54&gt;J14))+IF(H14="L5",SUMPRODUCT((P$3:P$54="")*(O$3:O$54="")*(N$3:N$54="")*(M$3:M$54="P")*(G$3:G$54=G14)*(J$3:J$54&lt;J14)*(H$3:H$54&lt;&gt;H14)),-1*SUMPRODUCT((P$3:P$54="")*(O$3:O$54="")*(N$3:N$54="")*(M$3:M$54="P")*(G$3:G$54=G14)*(J$3:J$54&gt;J14)*(H$3:H$54="L5")))+1,""))))</f>
        <v/>
      </c>
      <c r="C14" s="35" t="s">
        <v>231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R14+S14+IF(OR(H14="Junior",H14="Senior"),0.0002,IF(OR(H14="L7",H14="L6"),0.0001,0))+MAX(Z14,AC14)*0.0000001</f>
        <v>78.2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40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38.200000000000003</v>
      </c>
      <c r="T14" s="32">
        <v>38.200000000000003</v>
      </c>
      <c r="U14" s="37">
        <v>5.5</v>
      </c>
      <c r="V14" s="37">
        <v>0</v>
      </c>
      <c r="W14" s="33">
        <v>40</v>
      </c>
      <c r="X14" s="37">
        <v>5.5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$54&lt;&gt;"")*(G$3:G$54=G15)*(J$3:J$54&gt;J15))+1,IF(O15&lt;&gt;"",SUMPRODUCT((O$3:O$54&lt;&gt;"")*(P$3:P$54="")*(G$3:G$54=G15)*(J$3:J$54&gt;J15))+SUMPRODUCT((P$3:P$54&lt;&gt;"")*(G$3:G$54=G15))+1,IF(N15&lt;&gt;"",SUMPRODUCT((N$3:N$54&lt;&gt;"")*(G$3:G$54=G15)*(J$3:J$54&gt;J15))+1,IF(M15="P",SUMPRODUCT((O$3:O$54&lt;&gt;"")*(P$3:P$54="")*(G$3:G$54=G15))+SUMPRODUCT((P$3:P$54&lt;&gt;"")*(G$3:G$54=G15))+SUMPRODUCT((N$3:N$54&lt;&gt;"")*(G$3:G$54=G15))+SUMPRODUCT((P$3:P$54="")*(O$3:O$54="")*(N$3:N$54="")*(M$3:M$54="P")*(G$3:G$54=G15)*(J$3:J$54&gt;J15))+IF(H15="L5",SUMPRODUCT((P$3:P$54="")*(O$3:O$54="")*(N$3:N$54="")*(M$3:M$54="P")*(G$3:G$54=G15)*(J$3:J$54&lt;J15)*(H$3:H$54&lt;&gt;H15)),-1*SUMPRODUCT((P$3:P$54="")*(O$3:O$54="")*(N$3:N$54="")*(M$3:M$54="P")*(G$3:G$54=G15)*(J$3:J$54&gt;J15)*(H$3:H$54="L5")))+1,""))))</f>
        <v/>
      </c>
      <c r="C15" s="35" t="s">
        <v>304</v>
      </c>
      <c r="D15" t="str">
        <f>IF(E15="","",VLOOKUP(E15,'Coaching Points'!A:B,2,0))</f>
        <v>AB</v>
      </c>
      <c r="E15" s="35" t="s">
        <v>61</v>
      </c>
      <c r="F15" s="34">
        <v>2008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77.800100000000015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39.200000000000003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38.6</v>
      </c>
      <c r="T15" s="32">
        <v>39.200000000000003</v>
      </c>
      <c r="U15" s="37">
        <v>8</v>
      </c>
      <c r="V15" s="37">
        <v>0</v>
      </c>
      <c r="W15" s="33">
        <v>38.6</v>
      </c>
      <c r="X15" s="37">
        <v>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$54&lt;&gt;"")*(G$3:G$54=G16)*(J$3:J$54&gt;J16))+1,IF(O16&lt;&gt;"",SUMPRODUCT((O$3:O$54&lt;&gt;"")*(P$3:P$54="")*(G$3:G$54=G16)*(J$3:J$54&gt;J16))+SUMPRODUCT((P$3:P$54&lt;&gt;"")*(G$3:G$54=G16))+1,IF(N16&lt;&gt;"",SUMPRODUCT((N$3:N$54&lt;&gt;"")*(G$3:G$54=G16)*(J$3:J$54&gt;J16))+1,IF(M16="P",SUMPRODUCT((O$3:O$54&lt;&gt;"")*(P$3:P$54="")*(G$3:G$54=G16))+SUMPRODUCT((P$3:P$54&lt;&gt;"")*(G$3:G$54=G16))+SUMPRODUCT((N$3:N$54&lt;&gt;"")*(G$3:G$54=G16))+SUMPRODUCT((P$3:P$54="")*(O$3:O$54="")*(N$3:N$54="")*(M$3:M$54="P")*(G$3:G$54=G16)*(J$3:J$54&gt;J16))+IF(H16="L5",SUMPRODUCT((P$3:P$54="")*(O$3:O$54="")*(N$3:N$54="")*(M$3:M$54="P")*(G$3:G$54=G16)*(J$3:J$54&lt;J16)*(H$3:H$54&lt;&gt;H16)),-1*SUMPRODUCT((P$3:P$54="")*(O$3:O$54="")*(N$3:N$54="")*(M$3:M$54="P")*(G$3:G$54=G16)*(J$3:J$54&gt;J16)*(H$3:H$54="L5")))+1,""))))</f>
        <v/>
      </c>
      <c r="C16" s="35" t="s">
        <v>293</v>
      </c>
      <c r="D16" t="str">
        <f>IF(E16="","",VLOOKUP(E16,'Coaching Points'!A:B,2,0))</f>
        <v>BC</v>
      </c>
      <c r="E16" s="35" t="s">
        <v>40</v>
      </c>
      <c r="F16" s="34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211</v>
      </c>
      <c r="I16" s="40"/>
      <c r="J16" s="4">
        <f>R16+S16+IF(OR(H16="Junior",H16="Senior"),0.0002,IF(OR(H16="L7",H16="L6"),0.0001,0))+MAX(Z16,AC16)*0.0000001</f>
        <v>77.600200000000001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39.200000000000003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38.4</v>
      </c>
      <c r="T16" s="32">
        <v>39.200000000000003</v>
      </c>
      <c r="U16" s="37">
        <v>7.6</v>
      </c>
      <c r="V16" s="37">
        <v>0.7</v>
      </c>
      <c r="W16" s="33">
        <v>38.4</v>
      </c>
      <c r="X16" s="37">
        <v>5.6999999999999993</v>
      </c>
      <c r="Y16" s="37">
        <v>0.7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$54&lt;&gt;"")*(G$3:G$54=G17)*(J$3:J$54&gt;J17))+1,IF(O17&lt;&gt;"",SUMPRODUCT((O$3:O$54&lt;&gt;"")*(P$3:P$54="")*(G$3:G$54=G17)*(J$3:J$54&gt;J17))+SUMPRODUCT((P$3:P$54&lt;&gt;"")*(G$3:G$54=G17))+1,IF(N17&lt;&gt;"",SUMPRODUCT((N$3:N$54&lt;&gt;"")*(G$3:G$54=G17)*(J$3:J$54&gt;J17))+1,IF(M17="P",SUMPRODUCT((O$3:O$54&lt;&gt;"")*(P$3:P$54="")*(G$3:G$54=G17))+SUMPRODUCT((P$3:P$54&lt;&gt;"")*(G$3:G$54=G17))+SUMPRODUCT((N$3:N$54&lt;&gt;"")*(G$3:G$54=G17))+SUMPRODUCT((P$3:P$54="")*(O$3:O$54="")*(N$3:N$54="")*(M$3:M$54="P")*(G$3:G$54=G17)*(J$3:J$54&gt;J17))+IF(H17="L5",SUMPRODUCT((P$3:P$54="")*(O$3:O$54="")*(N$3:N$54="")*(M$3:M$54="P")*(G$3:G$54=G17)*(J$3:J$54&lt;J17)*(H$3:H$54&lt;&gt;H17)),-1*SUMPRODUCT((P$3:P$54="")*(O$3:O$54="")*(N$3:N$54="")*(M$3:M$54="P")*(G$3:G$54=G17)*(J$3:J$54&gt;J17)*(H$3:H$54="L5")))+1,""))))</f>
        <v/>
      </c>
      <c r="C17" s="35" t="s">
        <v>317</v>
      </c>
      <c r="D17" t="str">
        <f>IF(E17="","",VLOOKUP(E17,'Coaching Points'!A:B,2,0))</f>
        <v>QC</v>
      </c>
      <c r="E17" s="35" t="s">
        <v>327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76.2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38.6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37.6</v>
      </c>
      <c r="T17" s="32">
        <v>37.6</v>
      </c>
      <c r="U17" s="37">
        <v>5</v>
      </c>
      <c r="V17" s="37">
        <v>0</v>
      </c>
      <c r="W17" s="33">
        <v>38.6</v>
      </c>
      <c r="X17" s="37">
        <v>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$54&lt;&gt;"")*(G$3:G$54=G18)*(J$3:J$54&gt;J18))+1,IF(O18&lt;&gt;"",SUMPRODUCT((O$3:O$54&lt;&gt;"")*(P$3:P$54="")*(G$3:G$54=G18)*(J$3:J$54&gt;J18))+SUMPRODUCT((P$3:P$54&lt;&gt;"")*(G$3:G$54=G18))+1,IF(N18&lt;&gt;"",SUMPRODUCT((N$3:N$54&lt;&gt;"")*(G$3:G$54=G18)*(J$3:J$54&gt;J18))+1,IF(M18="P",SUMPRODUCT((O$3:O$54&lt;&gt;"")*(P$3:P$54="")*(G$3:G$54=G18))+SUMPRODUCT((P$3:P$54&lt;&gt;"")*(G$3:G$54=G18))+SUMPRODUCT((N$3:N$54&lt;&gt;"")*(G$3:G$54=G18))+SUMPRODUCT((P$3:P$54="")*(O$3:O$54="")*(N$3:N$54="")*(M$3:M$54="P")*(G$3:G$54=G18)*(J$3:J$54&gt;J18))+IF(H18="L5",SUMPRODUCT((P$3:P$54="")*(O$3:O$54="")*(N$3:N$54="")*(M$3:M$54="P")*(G$3:G$54=G18)*(J$3:J$54&lt;J18)*(H$3:H$54&lt;&gt;H18)),-1*SUMPRODUCT((P$3:P$54="")*(O$3:O$54="")*(N$3:N$54="")*(M$3:M$54="P")*(G$3:G$54=G18)*(J$3:J$54&gt;J18)*(H$3:H$54="L5")))+1,""))))</f>
        <v/>
      </c>
      <c r="C18" s="35" t="s">
        <v>318</v>
      </c>
      <c r="D18" t="str">
        <f>IF(E18="","",VLOOKUP(E18,'Coaching Points'!A:B,2,0))</f>
        <v>BC</v>
      </c>
      <c r="E18" s="35" t="s">
        <v>60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76.099999999999994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38.1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</v>
      </c>
      <c r="T18" s="32">
        <v>38.1</v>
      </c>
      <c r="U18" s="37">
        <v>5.1999999999999993</v>
      </c>
      <c r="V18" s="37">
        <v>0</v>
      </c>
      <c r="W18" s="33">
        <v>38</v>
      </c>
      <c r="X18" s="37">
        <v>5.1999999999999993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$54&lt;&gt;"")*(G$3:G$54=G19)*(J$3:J$54&gt;J19))+1,IF(O19&lt;&gt;"",SUMPRODUCT((O$3:O$54&lt;&gt;"")*(P$3:P$54="")*(G$3:G$54=G19)*(J$3:J$54&gt;J19))+SUMPRODUCT((P$3:P$54&lt;&gt;"")*(G$3:G$54=G19))+1,IF(N19&lt;&gt;"",SUMPRODUCT((N$3:N$54&lt;&gt;"")*(G$3:G$54=G19)*(J$3:J$54&gt;J19))+1,IF(M19="P",SUMPRODUCT((O$3:O$54&lt;&gt;"")*(P$3:P$54="")*(G$3:G$54=G19))+SUMPRODUCT((P$3:P$54&lt;&gt;"")*(G$3:G$54=G19))+SUMPRODUCT((N$3:N$54&lt;&gt;"")*(G$3:G$54=G19))+SUMPRODUCT((P$3:P$54="")*(O$3:O$54="")*(N$3:N$54="")*(M$3:M$54="P")*(G$3:G$54=G19)*(J$3:J$54&gt;J19))+IF(H19="L5",SUMPRODUCT((P$3:P$54="")*(O$3:O$54="")*(N$3:N$54="")*(M$3:M$54="P")*(G$3:G$54=G19)*(J$3:J$54&lt;J19)*(H$3:H$54&lt;&gt;H19)),-1*SUMPRODUCT((P$3:P$54="")*(O$3:O$54="")*(N$3:N$54="")*(M$3:M$54="P")*(G$3:G$54=G19)*(J$3:J$54&gt;J19)*(H$3:H$54="L5")))+1,""))))</f>
        <v/>
      </c>
      <c r="C19" s="35" t="s">
        <v>316</v>
      </c>
      <c r="D19" t="str">
        <f>IF(E19="","",VLOOKUP(E19,'Coaching Points'!A:B,2,0))</f>
        <v>ON</v>
      </c>
      <c r="E19" s="35" t="s">
        <v>89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75.400000000000006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38.799999999999997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36.6</v>
      </c>
      <c r="T19" s="32">
        <v>36.6</v>
      </c>
      <c r="U19" s="37">
        <v>3.7</v>
      </c>
      <c r="V19" s="37">
        <v>0</v>
      </c>
      <c r="W19" s="33">
        <v>38.799999999999997</v>
      </c>
      <c r="X19" s="37">
        <v>4.5999999999999996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$54&lt;&gt;"")*(G$3:G$54=G20)*(J$3:J$54&gt;J20))+1,IF(O20&lt;&gt;"",SUMPRODUCT((O$3:O$54&lt;&gt;"")*(P$3:P$54="")*(G$3:G$54=G20)*(J$3:J$54&gt;J20))+SUMPRODUCT((P$3:P$54&lt;&gt;"")*(G$3:G$54=G20))+1,IF(N20&lt;&gt;"",SUMPRODUCT((N$3:N$54&lt;&gt;"")*(G$3:G$54=G20)*(J$3:J$54&gt;J20))+1,IF(M20="P",SUMPRODUCT((O$3:O$54&lt;&gt;"")*(P$3:P$54="")*(G$3:G$54=G20))+SUMPRODUCT((P$3:P$54&lt;&gt;"")*(G$3:G$54=G20))+SUMPRODUCT((N$3:N$54&lt;&gt;"")*(G$3:G$54=G20))+SUMPRODUCT((P$3:P$54="")*(O$3:O$54="")*(N$3:N$54="")*(M$3:M$54="P")*(G$3:G$54=G20)*(J$3:J$54&gt;J20))+IF(H20="L5",SUMPRODUCT((P$3:P$54="")*(O$3:O$54="")*(N$3:N$54="")*(M$3:M$54="P")*(G$3:G$54=G20)*(J$3:J$54&lt;J20)*(H$3:H$54&lt;&gt;H20)),-1*SUMPRODUCT((P$3:P$54="")*(O$3:O$54="")*(N$3:N$54="")*(M$3:M$54="P")*(G$3:G$54=G20)*(J$3:J$54&gt;J20)*(H$3:H$54="L5")))+1,""))))</f>
        <v/>
      </c>
      <c r="C20" s="35" t="s">
        <v>303</v>
      </c>
      <c r="D20" t="str">
        <f>IF(E20="","",VLOOKUP(E20,'Coaching Points'!A:B,2,0))</f>
        <v>QC</v>
      </c>
      <c r="E20" s="35" t="s">
        <v>3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75.200099999999992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38.9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36.299999999999997</v>
      </c>
      <c r="T20" s="32">
        <v>36.299999999999997</v>
      </c>
      <c r="U20" s="37">
        <v>4.0999999999999996</v>
      </c>
      <c r="V20" s="37">
        <v>0</v>
      </c>
      <c r="W20" s="33">
        <v>38.9</v>
      </c>
      <c r="X20" s="37">
        <v>7.3000000000000007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$54&lt;&gt;"")*(G$3:G$54=G21)*(J$3:J$54&gt;J21))+1,IF(O21&lt;&gt;"",SUMPRODUCT((O$3:O$54&lt;&gt;"")*(P$3:P$54="")*(G$3:G$54=G21)*(J$3:J$54&gt;J21))+SUMPRODUCT((P$3:P$54&lt;&gt;"")*(G$3:G$54=G21))+1,IF(N21&lt;&gt;"",SUMPRODUCT((N$3:N$54&lt;&gt;"")*(G$3:G$54=G21)*(J$3:J$54&gt;J21))+1,IF(M21="P",SUMPRODUCT((O$3:O$54&lt;&gt;"")*(P$3:P$54="")*(G$3:G$54=G21))+SUMPRODUCT((P$3:P$54&lt;&gt;"")*(G$3:G$54=G21))+SUMPRODUCT((N$3:N$54&lt;&gt;"")*(G$3:G$54=G21))+SUMPRODUCT((P$3:P$54="")*(O$3:O$54="")*(N$3:N$54="")*(M$3:M$54="P")*(G$3:G$54=G21)*(J$3:J$54&gt;J21))+IF(H21="L5",SUMPRODUCT((P$3:P$54="")*(O$3:O$54="")*(N$3:N$54="")*(M$3:M$54="P")*(G$3:G$54=G21)*(J$3:J$54&lt;J21)*(H$3:H$54&lt;&gt;H21)),-1*SUMPRODUCT((P$3:P$54="")*(O$3:O$54="")*(N$3:N$54="")*(M$3:M$54="P")*(G$3:G$54=G21)*(J$3:J$54&gt;J21)*(H$3:H$54="L5")))+1,""))))</f>
        <v/>
      </c>
      <c r="C21" s="35" t="s">
        <v>319</v>
      </c>
      <c r="D21" t="str">
        <f>IF(E21="","",VLOOKUP(E21,'Coaching Points'!A:B,2,0))</f>
        <v>AB</v>
      </c>
      <c r="E21" s="35" t="s">
        <v>28</v>
      </c>
      <c r="F21" s="34">
        <v>2006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74.699999999999989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37.9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36.799999999999997</v>
      </c>
      <c r="T21" s="32">
        <v>36.799999999999997</v>
      </c>
      <c r="U21" s="37">
        <v>3.3</v>
      </c>
      <c r="V21" s="37">
        <v>0</v>
      </c>
      <c r="W21" s="33">
        <v>37.9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$54&lt;&gt;"")*(G$3:G$54=G22)*(J$3:J$54&gt;J22))+1,IF(O22&lt;&gt;"",SUMPRODUCT((O$3:O$54&lt;&gt;"")*(P$3:P$54="")*(G$3:G$54=G22)*(J$3:J$54&gt;J22))+SUMPRODUCT((P$3:P$54&lt;&gt;"")*(G$3:G$54=G22))+1,IF(N22&lt;&gt;"",SUMPRODUCT((N$3:N$54&lt;&gt;"")*(G$3:G$54=G22)*(J$3:J$54&gt;J22))+1,IF(M22="P",SUMPRODUCT((O$3:O$54&lt;&gt;"")*(P$3:P$54="")*(G$3:G$54=G22))+SUMPRODUCT((P$3:P$54&lt;&gt;"")*(G$3:G$54=G22))+SUMPRODUCT((N$3:N$54&lt;&gt;"")*(G$3:G$54=G22))+SUMPRODUCT((P$3:P$54="")*(O$3:O$54="")*(N$3:N$54="")*(M$3:M$54="P")*(G$3:G$54=G22)*(J$3:J$54&gt;J22))+IF(H22="L5",SUMPRODUCT((P$3:P$54="")*(O$3:O$54="")*(N$3:N$54="")*(M$3:M$54="P")*(G$3:G$54=G22)*(J$3:J$54&lt;J22)*(H$3:H$54&lt;&gt;H22)),-1*SUMPRODUCT((P$3:P$54="")*(O$3:O$54="")*(N$3:N$54="")*(M$3:M$54="P")*(G$3:G$54=G22)*(J$3:J$54&gt;J22)*(H$3:H$54="L5")))+1,""))))</f>
        <v/>
      </c>
      <c r="C22" s="35" t="s">
        <v>320</v>
      </c>
      <c r="D22" t="str">
        <f>IF(E22="","",VLOOKUP(E22,'Coaching Points'!A:B,2,0))</f>
        <v>NS</v>
      </c>
      <c r="E22" s="35" t="s">
        <v>86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73.400000000000006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37.1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36.299999999999997</v>
      </c>
      <c r="T22" s="32">
        <v>36.299999999999997</v>
      </c>
      <c r="U22" s="37">
        <v>4.0999999999999996</v>
      </c>
      <c r="V22" s="37">
        <v>0</v>
      </c>
      <c r="W22" s="33">
        <v>37.1</v>
      </c>
      <c r="X22" s="37">
        <v>4.4000000000000004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$54&lt;&gt;"")*(G$3:G$54=G23)*(J$3:J$54&gt;J23))+1,IF(O23&lt;&gt;"",SUMPRODUCT((O$3:O$54&lt;&gt;"")*(P$3:P$54="")*(G$3:G$54=G23)*(J$3:J$54&gt;J23))+SUMPRODUCT((P$3:P$54&lt;&gt;"")*(G$3:G$54=G23))+1,IF(N23&lt;&gt;"",SUMPRODUCT((N$3:N$54&lt;&gt;"")*(G$3:G$54=G23)*(J$3:J$54&gt;J23))+1,IF(M23="P",SUMPRODUCT((O$3:O$54&lt;&gt;"")*(P$3:P$54="")*(G$3:G$54=G23))+SUMPRODUCT((P$3:P$54&lt;&gt;"")*(G$3:G$54=G23))+SUMPRODUCT((N$3:N$54&lt;&gt;"")*(G$3:G$54=G23))+SUMPRODUCT((P$3:P$54="")*(O$3:O$54="")*(N$3:N$54="")*(M$3:M$54="P")*(G$3:G$54=G23)*(J$3:J$54&gt;J23))+IF(H23="L5",SUMPRODUCT((P$3:P$54="")*(O$3:O$54="")*(N$3:N$54="")*(M$3:M$54="P")*(G$3:G$54=G23)*(J$3:J$54&lt;J23)*(H$3:H$54&lt;&gt;H23)),-1*SUMPRODUCT((P$3:P$54="")*(O$3:O$54="")*(N$3:N$54="")*(M$3:M$54="P")*(G$3:G$54=G23)*(J$3:J$54&gt;J23)*(H$3:H$54="L5")))+1,""))))</f>
        <v/>
      </c>
      <c r="C23" s="35" t="s">
        <v>321</v>
      </c>
      <c r="D23" t="str">
        <f>IF(E23="","",VLOOKUP(E23,'Coaching Points'!A:B,2,0))</f>
        <v>QC</v>
      </c>
      <c r="E23" s="35" t="s">
        <v>3</v>
      </c>
      <c r="F23" s="34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71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36.200000000000003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34.799999999999997</v>
      </c>
      <c r="T23" s="32">
        <v>36.200000000000003</v>
      </c>
      <c r="U23" s="37">
        <v>4.4000000000000004</v>
      </c>
      <c r="V23" s="37">
        <v>0</v>
      </c>
      <c r="W23" s="33">
        <v>34.799999999999997</v>
      </c>
      <c r="X23" s="37">
        <v>4.4000000000000004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$54&lt;&gt;"")*(G$3:G$54=G24)*(J$3:J$54&gt;J24))+1,IF(O24&lt;&gt;"",SUMPRODUCT((O$3:O$54&lt;&gt;"")*(P$3:P$54="")*(G$3:G$54=G24)*(J$3:J$54&gt;J24))+SUMPRODUCT((P$3:P$54&lt;&gt;"")*(G$3:G$54=G24))+1,IF(N24&lt;&gt;"",SUMPRODUCT((N$3:N$54&lt;&gt;"")*(G$3:G$54=G24)*(J$3:J$54&gt;J24))+1,IF(M24="P",SUMPRODUCT((O$3:O$54&lt;&gt;"")*(P$3:P$54="")*(G$3:G$54=G24))+SUMPRODUCT((P$3:P$54&lt;&gt;"")*(G$3:G$54=G24))+SUMPRODUCT((N$3:N$54&lt;&gt;"")*(G$3:G$54=G24))+SUMPRODUCT((P$3:P$54="")*(O$3:O$54="")*(N$3:N$54="")*(M$3:M$54="P")*(G$3:G$54=G24)*(J$3:J$54&gt;J24))+IF(H24="L5",SUMPRODUCT((P$3:P$54="")*(O$3:O$54="")*(N$3:N$54="")*(M$3:M$54="P")*(G$3:G$54=G24)*(J$3:J$54&lt;J24)*(H$3:H$54&lt;&gt;H24)),-1*SUMPRODUCT((P$3:P$54="")*(O$3:O$54="")*(N$3:N$54="")*(M$3:M$54="P")*(G$3:G$54=G24)*(J$3:J$54&gt;J24)*(H$3:H$54="L5")))+1,""))))</f>
        <v/>
      </c>
      <c r="C24" s="35" t="s">
        <v>322</v>
      </c>
      <c r="D24" t="str">
        <f>IF(E24="","",VLOOKUP(E24,'Coaching Points'!A:B,2,0))</f>
        <v>AB</v>
      </c>
      <c r="E24" s="35" t="s">
        <v>144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35.9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35.9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0</v>
      </c>
      <c r="T24" s="32">
        <v>35.9</v>
      </c>
      <c r="U24" s="37">
        <v>5.0999999999999996</v>
      </c>
      <c r="V24" s="37">
        <v>0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$54&lt;&gt;"")*(G$3:G$54=G25)*(J$3:J$54&gt;J25))+1,IF(O25&lt;&gt;"",SUMPRODUCT((O$3:O$54&lt;&gt;"")*(P$3:P$54="")*(G$3:G$54=G25)*(J$3:J$54&gt;J25))+SUMPRODUCT((P$3:P$54&lt;&gt;"")*(G$3:G$54=G25))+1,IF(N25&lt;&gt;"",SUMPRODUCT((N$3:N$54&lt;&gt;"")*(G$3:G$54=G25)*(J$3:J$54&gt;J25))+1,IF(M25="P",SUMPRODUCT((O$3:O$54&lt;&gt;"")*(P$3:P$54="")*(G$3:G$54=G25))+SUMPRODUCT((P$3:P$54&lt;&gt;"")*(G$3:G$54=G25))+SUMPRODUCT((N$3:N$54&lt;&gt;"")*(G$3:G$54=G25))+SUMPRODUCT((P$3:P$54="")*(O$3:O$54="")*(N$3:N$54="")*(M$3:M$54="P")*(G$3:G$54=G25)*(J$3:J$54&gt;J25))+IF(H25="L5",SUMPRODUCT((P$3:P$54="")*(O$3:O$54="")*(N$3:N$54="")*(M$3:M$54="P")*(G$3:G$54=G25)*(J$3:J$54&lt;J25)*(H$3:H$54&lt;&gt;H25)),-1*SUMPRODUCT((P$3:P$54="")*(O$3:O$54="")*(N$3:N$54="")*(M$3:M$54="P")*(G$3:G$54=G25)*(J$3:J$54&gt;J25)*(H$3:H$54="L5")))+1,""))))</f>
        <v/>
      </c>
      <c r="C25" s="35" t="s">
        <v>323</v>
      </c>
      <c r="D25" t="str">
        <f>IF(E25="","",VLOOKUP(E25,'Coaching Points'!A:B,2,0))</f>
        <v>ON</v>
      </c>
      <c r="E25" s="35" t="s">
        <v>45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35.6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35.6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0</v>
      </c>
      <c r="T25" s="32">
        <v>35.6</v>
      </c>
      <c r="U25" s="37">
        <v>3.8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$54&lt;&gt;"")*(G$3:G$54=G26)*(J$3:J$54&gt;J26))+1,IF(O26&lt;&gt;"",SUMPRODUCT((O$3:O$54&lt;&gt;"")*(P$3:P$54="")*(G$3:G$54=G26)*(J$3:J$54&gt;J26))+SUMPRODUCT((P$3:P$54&lt;&gt;"")*(G$3:G$54=G26))+1,IF(N26&lt;&gt;"",SUMPRODUCT((N$3:N$54&lt;&gt;"")*(G$3:G$54=G26)*(J$3:J$54&gt;J26))+1,IF(M26="P",SUMPRODUCT((O$3:O$54&lt;&gt;"")*(P$3:P$54="")*(G$3:G$54=G26))+SUMPRODUCT((P$3:P$54&lt;&gt;"")*(G$3:G$54=G26))+SUMPRODUCT((N$3:N$54&lt;&gt;"")*(G$3:G$54=G26))+SUMPRODUCT((P$3:P$54="")*(O$3:O$54="")*(N$3:N$54="")*(M$3:M$54="P")*(G$3:G$54=G26)*(J$3:J$54&gt;J26))+IF(H26="L5",SUMPRODUCT((P$3:P$54="")*(O$3:O$54="")*(N$3:N$54="")*(M$3:M$54="P")*(G$3:G$54=G26)*(J$3:J$54&lt;J26)*(H$3:H$54&lt;&gt;H26)),-1*SUMPRODUCT((P$3:P$54="")*(O$3:O$54="")*(N$3:N$54="")*(M$3:M$54="P")*(G$3:G$54=G26)*(J$3:J$54&gt;J26)*(H$3:H$54="L5")))+1,""))))</f>
        <v/>
      </c>
      <c r="C26" s="35" t="s">
        <v>324</v>
      </c>
      <c r="D26" t="str">
        <f>IF(E26="","",VLOOKUP(E26,'Coaching Points'!A:B,2,0))</f>
        <v>AB</v>
      </c>
      <c r="E26" s="35" t="s">
        <v>61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35.4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35.4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0</v>
      </c>
      <c r="T26" s="32">
        <v>35.4</v>
      </c>
      <c r="U26" s="37">
        <v>3.9000000000000004</v>
      </c>
      <c r="V26" s="37">
        <v>0</v>
      </c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$54&lt;&gt;"")*(G$3:G$54=G27)*(J$3:J$54&gt;J27))+1,IF(O27&lt;&gt;"",SUMPRODUCT((O$3:O$54&lt;&gt;"")*(P$3:P$54="")*(G$3:G$54=G27)*(J$3:J$54&gt;J27))+SUMPRODUCT((P$3:P$54&lt;&gt;"")*(G$3:G$54=G27))+1,IF(N27&lt;&gt;"",SUMPRODUCT((N$3:N$54&lt;&gt;"")*(G$3:G$54=G27)*(J$3:J$54&gt;J27))+1,IF(M27="P",SUMPRODUCT((O$3:O$54&lt;&gt;"")*(P$3:P$54="")*(G$3:G$54=G27))+SUMPRODUCT((P$3:P$54&lt;&gt;"")*(G$3:G$54=G27))+SUMPRODUCT((N$3:N$54&lt;&gt;"")*(G$3:G$54=G27))+SUMPRODUCT((P$3:P$54="")*(O$3:O$54="")*(N$3:N$54="")*(M$3:M$54="P")*(G$3:G$54=G27)*(J$3:J$54&gt;J27))+IF(H27="L5",SUMPRODUCT((P$3:P$54="")*(O$3:O$54="")*(N$3:N$54="")*(M$3:M$54="P")*(G$3:G$54=G27)*(J$3:J$54&lt;J27)*(H$3:H$54&lt;&gt;H27)),-1*SUMPRODUCT((P$3:P$54="")*(O$3:O$54="")*(N$3:N$54="")*(M$3:M$54="P")*(G$3:G$54=G27)*(J$3:J$54&gt;J27)*(H$3:H$54="L5")))+1,""))))</f>
        <v/>
      </c>
      <c r="C27" s="35" t="s">
        <v>325</v>
      </c>
      <c r="D27" t="str">
        <f>IF(E27="","",VLOOKUP(E27,'Coaching Points'!A:B,2,0))</f>
        <v>AB</v>
      </c>
      <c r="E27" s="35" t="s">
        <v>28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35.1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35.1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0</v>
      </c>
      <c r="T27" s="32">
        <v>35.1</v>
      </c>
      <c r="U27" s="37">
        <v>3.2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$54&lt;&gt;"")*(G$3:G$54=G28)*(J$3:J$54&gt;J28))+1,IF(O28&lt;&gt;"",SUMPRODUCT((O$3:O$54&lt;&gt;"")*(P$3:P$54="")*(G$3:G$54=G28)*(J$3:J$54&gt;J28))+SUMPRODUCT((P$3:P$54&lt;&gt;"")*(G$3:G$54=G28))+1,IF(N28&lt;&gt;"",SUMPRODUCT((N$3:N$54&lt;&gt;"")*(G$3:G$54=G28)*(J$3:J$54&gt;J28))+1,IF(M28="P",SUMPRODUCT((O$3:O$54&lt;&gt;"")*(P$3:P$54="")*(G$3:G$54=G28))+SUMPRODUCT((P$3:P$54&lt;&gt;"")*(G$3:G$54=G28))+SUMPRODUCT((N$3:N$54&lt;&gt;"")*(G$3:G$54=G28))+SUMPRODUCT((P$3:P$54="")*(O$3:O$54="")*(N$3:N$54="")*(M$3:M$54="P")*(G$3:G$54=G28)*(J$3:J$54&gt;J28))+IF(H28="L5",SUMPRODUCT((P$3:P$54="")*(O$3:O$54="")*(N$3:N$54="")*(M$3:M$54="P")*(G$3:G$54=G28)*(J$3:J$54&lt;J28)*(H$3:H$54&lt;&gt;H28)),-1*SUMPRODUCT((P$3:P$54="")*(O$3:O$54="")*(N$3:N$54="")*(M$3:M$54="P")*(G$3:G$54=G28)*(J$3:J$54&gt;J28)*(H$3:H$54="L5")))+1,""))))</f>
        <v/>
      </c>
      <c r="C28" s="35" t="s">
        <v>273</v>
      </c>
      <c r="D28" t="str">
        <f>IF(E28="","",VLOOKUP(E28,'Coaching Points'!A:B,2,0))</f>
        <v>BC</v>
      </c>
      <c r="E28" s="35" t="s">
        <v>40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34.5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34.5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0</v>
      </c>
      <c r="T28" s="32">
        <v>34.5</v>
      </c>
      <c r="U28" s="37">
        <v>4.5999999999999996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$54&lt;&gt;"")*(G$3:G$54=G29)*(J$3:J$54&gt;J29))+1,IF(O29&lt;&gt;"",SUMPRODUCT((O$3:O$54&lt;&gt;"")*(P$3:P$54="")*(G$3:G$54=G29)*(J$3:J$54&gt;J29))+SUMPRODUCT((P$3:P$54&lt;&gt;"")*(G$3:G$54=G29))+1,IF(N29&lt;&gt;"",SUMPRODUCT((N$3:N$54&lt;&gt;"")*(G$3:G$54=G29)*(J$3:J$54&gt;J29))+1,IF(M29="P",SUMPRODUCT((O$3:O$54&lt;&gt;"")*(P$3:P$54="")*(G$3:G$54=G29))+SUMPRODUCT((P$3:P$54&lt;&gt;"")*(G$3:G$54=G29))+SUMPRODUCT((N$3:N$54&lt;&gt;"")*(G$3:G$54=G29))+SUMPRODUCT((P$3:P$54="")*(O$3:O$54="")*(N$3:N$54="")*(M$3:M$54="P")*(G$3:G$54=G29)*(J$3:J$54&gt;J29))+IF(H29="L5",SUMPRODUCT((P$3:P$54="")*(O$3:O$54="")*(N$3:N$54="")*(M$3:M$54="P")*(G$3:G$54=G29)*(J$3:J$54&lt;J29)*(H$3:H$54&lt;&gt;H29)),-1*SUMPRODUCT((P$3:P$54="")*(O$3:O$54="")*(N$3:N$54="")*(M$3:M$54="P")*(G$3:G$54=G29)*(J$3:J$54&gt;J29)*(H$3:H$54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33.799999999999997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33.799999999999997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0</v>
      </c>
      <c r="T29" s="32">
        <v>33.799999999999997</v>
      </c>
      <c r="U29" s="37">
        <v>3.3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$54&lt;&gt;"")*(G$3:G$54=G30)*(J$3:J$54&gt;J30))+1,IF(O30&lt;&gt;"",SUMPRODUCT((O$3:O$54&lt;&gt;"")*(P$3:P$54="")*(G$3:G$54=G30)*(J$3:J$54&gt;J30))+SUMPRODUCT((P$3:P$54&lt;&gt;"")*(G$3:G$54=G30))+1,IF(N30&lt;&gt;"",SUMPRODUCT((N$3:N$54&lt;&gt;"")*(G$3:G$54=G30)*(J$3:J$54&gt;J30))+1,IF(M30="P",SUMPRODUCT((O$3:O$54&lt;&gt;"")*(P$3:P$54="")*(G$3:G$54=G30))+SUMPRODUCT((P$3:P$54&lt;&gt;"")*(G$3:G$54=G30))+SUMPRODUCT((N$3:N$54&lt;&gt;"")*(G$3:G$54=G30))+SUMPRODUCT((P$3:P$54="")*(O$3:O$54="")*(N$3:N$54="")*(M$3:M$54="P")*(G$3:G$54=G30)*(J$3:J$54&gt;J30))+IF(H30="L5",SUMPRODUCT((P$3:P$54="")*(O$3:O$54="")*(N$3:N$54="")*(M$3:M$54="P")*(G$3:G$54=G30)*(J$3:J$54&lt;J30)*(H$3:H$54&lt;&gt;H30)),-1*SUMPRODUCT((P$3:P$54="")*(O$3:O$54="")*(N$3:N$54="")*(M$3:M$54="P")*(G$3:G$54=G30)*(J$3:J$54&gt;J30)*(H$3:H$54="L5")))+1,""))))</f>
        <v/>
      </c>
      <c r="C30" s="35" t="s">
        <v>326</v>
      </c>
      <c r="D30" t="str">
        <f>IF(E30="","",VLOOKUP(E30,'Coaching Points'!A:B,2,0))</f>
        <v>MB</v>
      </c>
      <c r="E30" s="35" t="s">
        <v>63</v>
      </c>
      <c r="F30" s="34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R30+S30+IF(OR(H30="Junior",H30="Senior"),0.0002,IF(OR(H30="L7",H30="L6"),0.0001,0))+MAX(Z30,AC30)*0.0000001</f>
        <v>33.5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33.5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0</v>
      </c>
      <c r="T30" s="32">
        <v>33.5</v>
      </c>
      <c r="U30" s="37">
        <v>4.1999999999999993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$54&lt;&gt;"")*(G$3:G$54=G31)*(J$3:J$54&gt;J31))+1,IF(O31&lt;&gt;"",SUMPRODUCT((O$3:O$54&lt;&gt;"")*(P$3:P$54="")*(G$3:G$54=G31)*(J$3:J$54&gt;J31))+SUMPRODUCT((P$3:P$54&lt;&gt;"")*(G$3:G$54=G31))+1,IF(N31&lt;&gt;"",SUMPRODUCT((N$3:N$54&lt;&gt;"")*(G$3:G$54=G31)*(J$3:J$54&gt;J31))+1,IF(M31="P",SUMPRODUCT((O$3:O$54&lt;&gt;"")*(P$3:P$54="")*(G$3:G$54=G31))+SUMPRODUCT((P$3:P$54&lt;&gt;"")*(G$3:G$54=G31))+SUMPRODUCT((N$3:N$54&lt;&gt;"")*(G$3:G$54=G31))+SUMPRODUCT((P$3:P$54="")*(O$3:O$54="")*(N$3:N$54="")*(M$3:M$54="P")*(G$3:G$54=G31)*(J$3:J$54&gt;J31))+IF(H31="L5",SUMPRODUCT((P$3:P$54="")*(O$3:O$54="")*(N$3:N$54="")*(M$3:M$54="P")*(G$3:G$54=G31)*(J$3:J$54&lt;J31)*(H$3:H$54&lt;&gt;H31)),-1*SUMPRODUCT((P$3:P$54="")*(O$3:O$54="")*(N$3:N$54="")*(M$3:M$54="P")*(G$3:G$54=G31)*(J$3:J$54&gt;J31)*(H$3:H$54="L5")))+1,""))))</f>
        <v/>
      </c>
      <c r="C31" s="35" t="s">
        <v>305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33.400100000000002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33.4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0</v>
      </c>
      <c r="T31" s="32">
        <v>33.4</v>
      </c>
      <c r="U31" s="37">
        <v>2.8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$54&lt;&gt;"")*(G$3:G$54=G32)*(J$3:J$54&gt;J32))+1,IF(O32&lt;&gt;"",SUMPRODUCT((O$3:O$54&lt;&gt;"")*(P$3:P$54="")*(G$3:G$54=G32)*(J$3:J$54&gt;J32))+SUMPRODUCT((P$3:P$54&lt;&gt;"")*(G$3:G$54=G32))+1,IF(N32&lt;&gt;"",SUMPRODUCT((N$3:N$54&lt;&gt;"")*(G$3:G$54=G32)*(J$3:J$54&gt;J32))+1,IF(M32="P",SUMPRODUCT((O$3:O$54&lt;&gt;"")*(P$3:P$54="")*(G$3:G$54=G32))+SUMPRODUCT((P$3:P$54&lt;&gt;"")*(G$3:G$54=G32))+SUMPRODUCT((N$3:N$54&lt;&gt;"")*(G$3:G$54=G32))+SUMPRODUCT((P$3:P$54="")*(O$3:O$54="")*(N$3:N$54="")*(M$3:M$54="P")*(G$3:G$54=G32)*(J$3:J$54&gt;J32))+IF(H32="L5",SUMPRODUCT((P$3:P$54="")*(O$3:O$54="")*(N$3:N$54="")*(M$3:M$54="P")*(G$3:G$54=G32)*(J$3:J$54&lt;J32)*(H$3:H$54&lt;&gt;H32)),-1*SUMPRODUCT((P$3:P$54="")*(O$3:O$54="")*(N$3:N$54="")*(M$3:M$54="P")*(G$3:G$54=G32)*(J$3:J$54&gt;J32)*(H$3:H$54="L5")))+1,""))))</f>
        <v/>
      </c>
      <c r="C32" s="35" t="s">
        <v>295</v>
      </c>
      <c r="D32" t="str">
        <f>IF(E32="","",VLOOKUP(E32,'Coaching Points'!A:B,2,0))</f>
        <v>ON</v>
      </c>
      <c r="E32" s="35" t="s">
        <v>162</v>
      </c>
      <c r="F32" s="34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33.0002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33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0</v>
      </c>
      <c r="T32" s="32">
        <v>33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cm="1">
        <f t="array" ref="B33">IF(P33&lt;&gt;"",SUMPRODUCT((P$3:P$54&lt;&gt;"")*(G$3:G$54=G33)*(J$3:J$54&gt;J33))+1,IF(O33&lt;&gt;"",SUMPRODUCT((O$3:O$54&lt;&gt;"")*(P$3:P$54="")*(G$3:G$54=G33)*(J$3:J$54&gt;J33))+SUMPRODUCT((P$3:P$54&lt;&gt;"")*(G$3:G$54=G33))+1,IF(N33&lt;&gt;"",SUMPRODUCT((N$3:N$54&lt;&gt;"")*(G$3:G$54=G33)*(J$3:J$54&gt;J33))+1,IF(M33="P",SUMPRODUCT((O$3:O$54&lt;&gt;"")*(P$3:P$54="")*(G$3:G$54=G33))+SUMPRODUCT((P$3:P$54&lt;&gt;"")*(G$3:G$54=G33))+SUMPRODUCT((N$3:N$54&lt;&gt;"")*(G$3:G$54=G33))+SUMPRODUCT((P$3:P$54="")*(O$3:O$54="")*(N$3:N$54="")*(M$3:M$54="P")*(G$3:G$54=G33)*(J$3:J$54&gt;J33))+IF(H33="L5",SUMPRODUCT((P$3:P$54="")*(O$3:O$54="")*(N$3:N$54="")*(M$3:M$54="P")*(G$3:G$54=G33)*(J$3:J$54&lt;J33)*(H$3:H$54&lt;&gt;H33)),-1*SUMPRODUCT((P$3:P$54="")*(O$3:O$54="")*(N$3:N$54="")*(M$3:M$54="P")*(G$3:G$54=G33)*(J$3:J$54&gt;J33)*(H$3:H$54="L5")))+1,""))))</f>
        <v>1</v>
      </c>
      <c r="C33" s="35" t="s">
        <v>296</v>
      </c>
      <c r="D33" t="str">
        <f>IF(E33="","",VLOOKUP(E33,'Coaching Points'!A:B,2,0))</f>
        <v>ON</v>
      </c>
      <c r="E33" s="35" t="s">
        <v>162</v>
      </c>
      <c r="F33" s="34">
        <v>2010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212</v>
      </c>
      <c r="I33" s="40"/>
      <c r="J33" s="4">
        <f>R33+S33+IF(OR(H33="Junior",H33="Senior"),0.0002,IF(OR(H33="L7",H33="L6"),0.0001,0))+MAX(Z33,AC33)*0.0000001</f>
        <v>80.300200000000004</v>
      </c>
      <c r="K33" s="3" t="str">
        <f>IF(G33="Not Age Eligible","",IF(MAX(T33,W33,Z33,AC33)&gt;=LOOKUP(G33,'Qualifying Scores'!$A$4:$A$7,'Qualifying Scores'!$I$4:$I$7),"P",""))</f>
        <v>P</v>
      </c>
      <c r="L33" s="3" t="str">
        <f>IF(G33="Not Age Eligible","",IF(MAX(U33,X33,AA33,AD33)&gt;=LOOKUP(G33,'Qualifying Scores'!$A$10:$A$13,'Qualifying Scores'!$I$10:$I$13),"P",""))</f>
        <v>P</v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>P</v>
      </c>
      <c r="N33" s="36">
        <v>1</v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42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38.299999999999997</v>
      </c>
      <c r="T33" s="32">
        <v>38.299999999999997</v>
      </c>
      <c r="U33" s="37">
        <v>6.6999999999999993</v>
      </c>
      <c r="V33" s="37">
        <v>0</v>
      </c>
      <c r="W33" s="33">
        <v>42</v>
      </c>
      <c r="X33" s="37">
        <v>7.3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$54&lt;&gt;"")*(G$3:G$54=G34)*(J$3:J$54&gt;J34))+1,IF(O34&lt;&gt;"",SUMPRODUCT((O$3:O$54&lt;&gt;"")*(P$3:P$54="")*(G$3:G$54=G34)*(J$3:J$54&gt;J34))+SUMPRODUCT((P$3:P$54&lt;&gt;"")*(G$3:G$54=G34))+1,IF(N34&lt;&gt;"",SUMPRODUCT((N$3:N$54&lt;&gt;"")*(G$3:G$54=G34)*(J$3:J$54&gt;J34))+1,IF(M34="P",SUMPRODUCT((O$3:O$54&lt;&gt;"")*(P$3:P$54="")*(G$3:G$54=G34))+SUMPRODUCT((P$3:P$54&lt;&gt;"")*(G$3:G$54=G34))+SUMPRODUCT((N$3:N$54&lt;&gt;"")*(G$3:G$54=G34))+SUMPRODUCT((P$3:P$54="")*(O$3:O$54="")*(N$3:N$54="")*(M$3:M$54="P")*(G$3:G$54=G34)*(J$3:J$54&gt;J34))+IF(H34="L5",SUMPRODUCT((P$3:P$54="")*(O$3:O$54="")*(N$3:N$54="")*(M$3:M$54="P")*(G$3:G$54=G34)*(J$3:J$54&lt;J34)*(H$3:H$54&lt;&gt;H34)),-1*SUMPRODUCT((P$3:P$54="")*(O$3:O$54="")*(N$3:N$54="")*(M$3:M$54="P")*(G$3:G$54=G34)*(J$3:J$54&gt;J34)*(H$3:H$54="L5")))+1,""))))</f>
        <v/>
      </c>
      <c r="C34" s="35" t="s">
        <v>307</v>
      </c>
      <c r="D34" t="str">
        <f>IF(E34="","",VLOOKUP(E34,'Coaching Points'!A:B,2,0))</f>
        <v>ON</v>
      </c>
      <c r="E34" s="35" t="s">
        <v>135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215</v>
      </c>
      <c r="I34" s="40"/>
      <c r="J34" s="4">
        <f>R34+S34+IF(OR(H34="Junior",H34="Senior"),0.0002,IF(OR(H34="L7",H34="L6"),0.0001,0))+MAX(Z34,AC34)*0.0000001</f>
        <v>79.300000000000011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40.1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39.200000000000003</v>
      </c>
      <c r="T34" s="32">
        <v>39.200000000000003</v>
      </c>
      <c r="U34" s="37">
        <v>4.4000000000000004</v>
      </c>
      <c r="V34" s="37">
        <v>0</v>
      </c>
      <c r="W34" s="33">
        <v>40.1</v>
      </c>
      <c r="X34" s="37">
        <v>4.4000000000000004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$54&lt;&gt;"")*(G$3:G$54=G35)*(J$3:J$54&gt;J35))+1,IF(O35&lt;&gt;"",SUMPRODUCT((O$3:O$54&lt;&gt;"")*(P$3:P$54="")*(G$3:G$54=G35)*(J$3:J$54&gt;J35))+SUMPRODUCT((P$3:P$54&lt;&gt;"")*(G$3:G$54=G35))+1,IF(N35&lt;&gt;"",SUMPRODUCT((N$3:N$54&lt;&gt;"")*(G$3:G$54=G35)*(J$3:J$54&gt;J35))+1,IF(M35="P",SUMPRODUCT((O$3:O$54&lt;&gt;"")*(P$3:P$54="")*(G$3:G$54=G35))+SUMPRODUCT((P$3:P$54&lt;&gt;"")*(G$3:G$54=G35))+SUMPRODUCT((N$3:N$54&lt;&gt;"")*(G$3:G$54=G35))+SUMPRODUCT((P$3:P$54="")*(O$3:O$54="")*(N$3:N$54="")*(M$3:M$54="P")*(G$3:G$54=G35)*(J$3:J$54&gt;J35))+IF(H35="L5",SUMPRODUCT((P$3:P$54="")*(O$3:O$54="")*(N$3:N$54="")*(M$3:M$54="P")*(G$3:G$54=G35)*(J$3:J$54&lt;J35)*(H$3:H$54&lt;&gt;H35)),-1*SUMPRODUCT((P$3:P$54="")*(O$3:O$54="")*(N$3:N$54="")*(M$3:M$54="P")*(G$3:G$54=G35)*(J$3:J$54&gt;J35)*(H$3:H$54="L5")))+1,""))))</f>
        <v/>
      </c>
      <c r="C35" s="35" t="s">
        <v>308</v>
      </c>
      <c r="D35" t="str">
        <f>IF(E35="","",VLOOKUP(E35,'Coaching Points'!A:B,2,0))</f>
        <v>ON</v>
      </c>
      <c r="E35" s="35" t="s">
        <v>176</v>
      </c>
      <c r="F35" s="34">
        <v>2009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215</v>
      </c>
      <c r="I35" s="40"/>
      <c r="J35" s="4">
        <f>R35+S35+IF(OR(H35="Junior",H35="Senior"),0.0002,IF(OR(H35="L7",H35="L6"),0.0001,0))+MAX(Z35,AC35)*0.0000001</f>
        <v>78.300000000000011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39.200000000000003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39.1</v>
      </c>
      <c r="T35" s="32">
        <v>39.200000000000003</v>
      </c>
      <c r="U35" s="37">
        <v>4.4000000000000004</v>
      </c>
      <c r="V35" s="37">
        <v>0</v>
      </c>
      <c r="W35" s="33">
        <v>39.1</v>
      </c>
      <c r="X35" s="37">
        <v>4.4000000000000004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$54&lt;&gt;"")*(G$3:G$54=G36)*(J$3:J$54&gt;J36))+1,IF(O36&lt;&gt;"",SUMPRODUCT((O$3:O$54&lt;&gt;"")*(P$3:P$54="")*(G$3:G$54=G36)*(J$3:J$54&gt;J36))+SUMPRODUCT((P$3:P$54&lt;&gt;"")*(G$3:G$54=G36))+1,IF(N36&lt;&gt;"",SUMPRODUCT((N$3:N$54&lt;&gt;"")*(G$3:G$54=G36)*(J$3:J$54&gt;J36))+1,IF(M36="P",SUMPRODUCT((O$3:O$54&lt;&gt;"")*(P$3:P$54="")*(G$3:G$54=G36))+SUMPRODUCT((P$3:P$54&lt;&gt;"")*(G$3:G$54=G36))+SUMPRODUCT((N$3:N$54&lt;&gt;"")*(G$3:G$54=G36))+SUMPRODUCT((P$3:P$54="")*(O$3:O$54="")*(N$3:N$54="")*(M$3:M$54="P")*(G$3:G$54=G36)*(J$3:J$54&gt;J36))+IF(H36="L5",SUMPRODUCT((P$3:P$54="")*(O$3:O$54="")*(N$3:N$54="")*(M$3:M$54="P")*(G$3:G$54=G36)*(J$3:J$54&lt;J36)*(H$3:H$54&lt;&gt;H36)),-1*SUMPRODUCT((P$3:P$54="")*(O$3:O$54="")*(N$3:N$54="")*(M$3:M$54="P")*(G$3:G$54=G36)*(J$3:J$54&gt;J36)*(H$3:H$54="L5")))+1,""))))</f>
        <v/>
      </c>
      <c r="C36" s="35" t="s">
        <v>310</v>
      </c>
      <c r="D36" t="str">
        <f>IF(E36="","",VLOOKUP(E36,'Coaching Points'!A:B,2,0))</f>
        <v>ON</v>
      </c>
      <c r="E36" s="35" t="s">
        <v>45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215</v>
      </c>
      <c r="I36" s="40"/>
      <c r="J36" s="4">
        <f>R36+S36+IF(OR(H36="Junior",H36="Senior"),0.0002,IF(OR(H36="L7",H36="L6"),0.0001,0))+MAX(Z36,AC36)*0.0000001</f>
        <v>75.400000000000006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38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37.4</v>
      </c>
      <c r="T36" s="32">
        <v>38</v>
      </c>
      <c r="U36" s="37">
        <v>4.5999999999999996</v>
      </c>
      <c r="V36" s="37">
        <v>0</v>
      </c>
      <c r="W36" s="33">
        <v>37.4</v>
      </c>
      <c r="X36" s="37">
        <v>4.5999999999999996</v>
      </c>
      <c r="Y36" s="37">
        <v>0</v>
      </c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$54&lt;&gt;"")*(G$3:G$54=G37)*(J$3:J$54&gt;J37))+1,IF(O37&lt;&gt;"",SUMPRODUCT((O$3:O$54&lt;&gt;"")*(P$3:P$54="")*(G$3:G$54=G37)*(J$3:J$54&gt;J37))+SUMPRODUCT((P$3:P$54&lt;&gt;"")*(G$3:G$54=G37))+1,IF(N37&lt;&gt;"",SUMPRODUCT((N$3:N$54&lt;&gt;"")*(G$3:G$54=G37)*(J$3:J$54&gt;J37))+1,IF(M37="P",SUMPRODUCT((O$3:O$54&lt;&gt;"")*(P$3:P$54="")*(G$3:G$54=G37))+SUMPRODUCT((P$3:P$54&lt;&gt;"")*(G$3:G$54=G37))+SUMPRODUCT((N$3:N$54&lt;&gt;"")*(G$3:G$54=G37))+SUMPRODUCT((P$3:P$54="")*(O$3:O$54="")*(N$3:N$54="")*(M$3:M$54="P")*(G$3:G$54=G37)*(J$3:J$54&gt;J37))+IF(H37="L5",SUMPRODUCT((P$3:P$54="")*(O$3:O$54="")*(N$3:N$54="")*(M$3:M$54="P")*(G$3:G$54=G37)*(J$3:J$54&lt;J37)*(H$3:H$54&lt;&gt;H37)),-1*SUMPRODUCT((P$3:P$54="")*(O$3:O$54="")*(N$3:N$54="")*(M$3:M$54="P")*(G$3:G$54=G37)*(J$3:J$54&gt;J37)*(H$3:H$54="L5")))+1,""))))</f>
        <v/>
      </c>
      <c r="C37" s="35" t="s">
        <v>298</v>
      </c>
      <c r="D37" t="str">
        <f>IF(E37="","",VLOOKUP(E37,'Coaching Points'!A:B,2,0))</f>
        <v>QC</v>
      </c>
      <c r="E37" s="35" t="s">
        <v>75</v>
      </c>
      <c r="F37" s="34">
        <v>2009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212</v>
      </c>
      <c r="I37" s="40"/>
      <c r="J37" s="4">
        <f>R37+S37+IF(OR(H37="Junior",H37="Senior"),0.0002,IF(OR(H37="L7",H37="L6"),0.0001,0))+MAX(Z37,AC37)*0.0000001</f>
        <v>75.200199999999995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>P</v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38.9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36.299999999999997</v>
      </c>
      <c r="T37" s="32">
        <v>38.9</v>
      </c>
      <c r="U37" s="37">
        <v>8</v>
      </c>
      <c r="V37" s="37">
        <v>0</v>
      </c>
      <c r="W37" s="33">
        <v>36.299999999999997</v>
      </c>
      <c r="X37" s="37">
        <v>6.3</v>
      </c>
      <c r="Y37" s="37">
        <v>0</v>
      </c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$54&lt;&gt;"")*(G$3:G$54=G38)*(J$3:J$54&gt;J38))+1,IF(O38&lt;&gt;"",SUMPRODUCT((O$3:O$54&lt;&gt;"")*(P$3:P$54="")*(G$3:G$54=G38)*(J$3:J$54&gt;J38))+SUMPRODUCT((P$3:P$54&lt;&gt;"")*(G$3:G$54=G38))+1,IF(N38&lt;&gt;"",SUMPRODUCT((N$3:N$54&lt;&gt;"")*(G$3:G$54=G38)*(J$3:J$54&gt;J38))+1,IF(M38="P",SUMPRODUCT((O$3:O$54&lt;&gt;"")*(P$3:P$54="")*(G$3:G$54=G38))+SUMPRODUCT((P$3:P$54&lt;&gt;"")*(G$3:G$54=G38))+SUMPRODUCT((N$3:N$54&lt;&gt;"")*(G$3:G$54=G38))+SUMPRODUCT((P$3:P$54="")*(O$3:O$54="")*(N$3:N$54="")*(M$3:M$54="P")*(G$3:G$54=G38)*(J$3:J$54&gt;J38))+IF(H38="L5",SUMPRODUCT((P$3:P$54="")*(O$3:O$54="")*(N$3:N$54="")*(M$3:M$54="P")*(G$3:G$54=G38)*(J$3:J$54&lt;J38)*(H$3:H$54&lt;&gt;H38)),-1*SUMPRODUCT((P$3:P$54="")*(O$3:O$54="")*(N$3:N$54="")*(M$3:M$54="P")*(G$3:G$54=G38)*(J$3:J$54&gt;J38)*(H$3:H$54="L5")))+1,""))))</f>
        <v/>
      </c>
      <c r="C38" s="35" t="s">
        <v>309</v>
      </c>
      <c r="D38" t="str">
        <f>IF(E38="","",VLOOKUP(E38,'Coaching Points'!A:B,2,0))</f>
        <v>ON</v>
      </c>
      <c r="E38" s="35" t="s">
        <v>88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215</v>
      </c>
      <c r="I38" s="40"/>
      <c r="J38" s="4">
        <f>R38+S38+IF(OR(H38="Junior",H38="Senior"),0.0002,IF(OR(H38="L7",H38="L6"),0.0001,0))+MAX(Z38,AC38)*0.0000001</f>
        <v>74.8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38.299999999999997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36.5</v>
      </c>
      <c r="T38" s="32">
        <v>36.5</v>
      </c>
      <c r="U38" s="37">
        <v>5.8</v>
      </c>
      <c r="V38" s="37">
        <v>0</v>
      </c>
      <c r="W38" s="33">
        <v>38.299999999999997</v>
      </c>
      <c r="X38" s="37">
        <v>5.8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$54&lt;&gt;"")*(G$3:G$54=G39)*(J$3:J$54&gt;J39))+1,IF(O39&lt;&gt;"",SUMPRODUCT((O$3:O$54&lt;&gt;"")*(P$3:P$54="")*(G$3:G$54=G39)*(J$3:J$54&gt;J39))+SUMPRODUCT((P$3:P$54&lt;&gt;"")*(G$3:G$54=G39))+1,IF(N39&lt;&gt;"",SUMPRODUCT((N$3:N$54&lt;&gt;"")*(G$3:G$54=G39)*(J$3:J$54&gt;J39))+1,IF(M39="P",SUMPRODUCT((O$3:O$54&lt;&gt;"")*(P$3:P$54="")*(G$3:G$54=G39))+SUMPRODUCT((P$3:P$54&lt;&gt;"")*(G$3:G$54=G39))+SUMPRODUCT((N$3:N$54&lt;&gt;"")*(G$3:G$54=G39))+SUMPRODUCT((P$3:P$54="")*(O$3:O$54="")*(N$3:N$54="")*(M$3:M$54="P")*(G$3:G$54=G39)*(J$3:J$54&gt;J39))+IF(H39="L5",SUMPRODUCT((P$3:P$54="")*(O$3:O$54="")*(N$3:N$54="")*(M$3:M$54="P")*(G$3:G$54=G39)*(J$3:J$54&lt;J39)*(H$3:H$54&lt;&gt;H39)),-1*SUMPRODUCT((P$3:P$54="")*(O$3:O$54="")*(N$3:N$54="")*(M$3:M$54="P")*(G$3:G$54=G39)*(J$3:J$54&gt;J39)*(H$3:H$54="L5")))+1,""))))</f>
        <v/>
      </c>
      <c r="C39" s="35" t="s">
        <v>297</v>
      </c>
      <c r="D39" t="str">
        <f>IF(E39="","",VLOOKUP(E39,'Coaching Points'!A:B,2,0))</f>
        <v>ON</v>
      </c>
      <c r="E39" s="35" t="s">
        <v>162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74.200200000000009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37.6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36.6</v>
      </c>
      <c r="T39" s="32">
        <v>36.6</v>
      </c>
      <c r="U39" s="37">
        <v>5</v>
      </c>
      <c r="V39" s="37">
        <v>0</v>
      </c>
      <c r="W39" s="33">
        <v>37.6</v>
      </c>
      <c r="X39" s="37">
        <v>4.4000000000000004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$54&lt;&gt;"")*(G$3:G$54=G40)*(J$3:J$54&gt;J40))+1,IF(O40&lt;&gt;"",SUMPRODUCT((O$3:O$54&lt;&gt;"")*(P$3:P$54="")*(G$3:G$54=G40)*(J$3:J$54&gt;J40))+SUMPRODUCT((P$3:P$54&lt;&gt;"")*(G$3:G$54=G40))+1,IF(N40&lt;&gt;"",SUMPRODUCT((N$3:N$54&lt;&gt;"")*(G$3:G$54=G40)*(J$3:J$54&gt;J40))+1,IF(M40="P",SUMPRODUCT((O$3:O$54&lt;&gt;"")*(P$3:P$54="")*(G$3:G$54=G40))+SUMPRODUCT((P$3:P$54&lt;&gt;"")*(G$3:G$54=G40))+SUMPRODUCT((N$3:N$54&lt;&gt;"")*(G$3:G$54=G40))+SUMPRODUCT((P$3:P$54="")*(O$3:O$54="")*(N$3:N$54="")*(M$3:M$54="P")*(G$3:G$54=G40)*(J$3:J$54&gt;J40))+IF(H40="L5",SUMPRODUCT((P$3:P$54="")*(O$3:O$54="")*(N$3:N$54="")*(M$3:M$54="P")*(G$3:G$54=G40)*(J$3:J$54&lt;J40)*(H$3:H$54&lt;&gt;H40)),-1*SUMPRODUCT((P$3:P$54="")*(O$3:O$54="")*(N$3:N$54="")*(M$3:M$54="P")*(G$3:G$54=G40)*(J$3:J$54&gt;J40)*(H$3:H$54="L5")))+1,""))))</f>
        <v/>
      </c>
      <c r="C40" s="35" t="s">
        <v>311</v>
      </c>
      <c r="D40" t="str">
        <f>IF(E40="","",VLOOKUP(E40,'Coaching Points'!A:B,2,0))</f>
        <v>BC</v>
      </c>
      <c r="E40" s="35" t="s">
        <v>59</v>
      </c>
      <c r="F40" s="34">
        <v>2010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215</v>
      </c>
      <c r="I40" s="40"/>
      <c r="J40" s="4">
        <f>R40+S40+IF(OR(H40="Junior",H40="Senior"),0.0002,IF(OR(H40="L7",H40="L6"),0.0001,0))+MAX(Z40,AC40)*0.0000001</f>
        <v>71.900000000000006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36.1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35.799999999999997</v>
      </c>
      <c r="T40" s="32">
        <v>36.1</v>
      </c>
      <c r="U40" s="37">
        <v>5.3</v>
      </c>
      <c r="V40" s="37">
        <v>0</v>
      </c>
      <c r="W40" s="33">
        <v>35.799999999999997</v>
      </c>
      <c r="X40" s="37">
        <v>4.2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$54&lt;&gt;"")*(G$3:G$54=G41)*(J$3:J$54&gt;J41))+1,IF(O41&lt;&gt;"",SUMPRODUCT((O$3:O$54&lt;&gt;"")*(P$3:P$54="")*(G$3:G$54=G41)*(J$3:J$54&gt;J41))+SUMPRODUCT((P$3:P$54&lt;&gt;"")*(G$3:G$54=G41))+1,IF(N41&lt;&gt;"",SUMPRODUCT((N$3:N$54&lt;&gt;"")*(G$3:G$54=G41)*(J$3:J$54&gt;J41))+1,IF(M41="P",SUMPRODUCT((O$3:O$54&lt;&gt;"")*(P$3:P$54="")*(G$3:G$54=G41))+SUMPRODUCT((P$3:P$54&lt;&gt;"")*(G$3:G$54=G41))+SUMPRODUCT((N$3:N$54&lt;&gt;"")*(G$3:G$54=G41))+SUMPRODUCT((P$3:P$54="")*(O$3:O$54="")*(N$3:N$54="")*(M$3:M$54="P")*(G$3:G$54=G41)*(J$3:J$54&gt;J41))+IF(H41="L5",SUMPRODUCT((P$3:P$54="")*(O$3:O$54="")*(N$3:N$54="")*(M$3:M$54="P")*(G$3:G$54=G41)*(J$3:J$54&lt;J41)*(H$3:H$54&lt;&gt;H41)),-1*SUMPRODUCT((P$3:P$54="")*(O$3:O$54="")*(N$3:N$54="")*(M$3:M$54="P")*(G$3:G$54=G41)*(J$3:J$54&gt;J41)*(H$3:H$54="L5")))+1,""))))</f>
        <v/>
      </c>
      <c r="C41" s="35" t="s">
        <v>251</v>
      </c>
      <c r="D41" t="str">
        <f>IF(E41="","",VLOOKUP(E41,'Coaching Points'!A:B,2,0))</f>
        <v>BC</v>
      </c>
      <c r="E41" s="35" t="s">
        <v>40</v>
      </c>
      <c r="F41" s="34">
        <v>2010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215</v>
      </c>
      <c r="I41" s="40"/>
      <c r="J41" s="4">
        <f>R41+S41+IF(OR(H41="Junior",H41="Senior"),0.0002,IF(OR(H41="L7",H41="L6"),0.0001,0))+MAX(Z41,AC41)*0.0000001</f>
        <v>70.800000000000011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37.200000000000003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33.6</v>
      </c>
      <c r="T41" s="32">
        <v>37.200000000000003</v>
      </c>
      <c r="U41" s="37">
        <v>4.5999999999999996</v>
      </c>
      <c r="V41" s="37">
        <v>0</v>
      </c>
      <c r="W41" s="33">
        <v>33.6</v>
      </c>
      <c r="X41" s="37">
        <v>4.5999999999999996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$54&lt;&gt;"")*(G$3:G$54=G42)*(J$3:J$54&gt;J42))+1,IF(O42&lt;&gt;"",SUMPRODUCT((O$3:O$54&lt;&gt;"")*(P$3:P$54="")*(G$3:G$54=G42)*(J$3:J$54&gt;J42))+SUMPRODUCT((P$3:P$54&lt;&gt;"")*(G$3:G$54=G42))+1,IF(N42&lt;&gt;"",SUMPRODUCT((N$3:N$54&lt;&gt;"")*(G$3:G$54=G42)*(J$3:J$54&gt;J42))+1,IF(M42="P",SUMPRODUCT((O$3:O$54&lt;&gt;"")*(P$3:P$54="")*(G$3:G$54=G42))+SUMPRODUCT((P$3:P$54&lt;&gt;"")*(G$3:G$54=G42))+SUMPRODUCT((N$3:N$54&lt;&gt;"")*(G$3:G$54=G42))+SUMPRODUCT((P$3:P$54="")*(O$3:O$54="")*(N$3:N$54="")*(M$3:M$54="P")*(G$3:G$54=G42)*(J$3:J$54&gt;J42))+IF(H42="L5",SUMPRODUCT((P$3:P$54="")*(O$3:O$54="")*(N$3:N$54="")*(M$3:M$54="P")*(G$3:G$54=G42)*(J$3:J$54&lt;J42)*(H$3:H$54&lt;&gt;H42)),-1*SUMPRODUCT((P$3:P$54="")*(O$3:O$54="")*(N$3:N$54="")*(M$3:M$54="P")*(G$3:G$54=G42)*(J$3:J$54&gt;J42)*(H$3:H$54="L5")))+1,""))))</f>
        <v/>
      </c>
      <c r="C42" s="35" t="s">
        <v>313</v>
      </c>
      <c r="D42" t="str">
        <f>IF(E42="","",VLOOKUP(E42,'Coaching Points'!A:B,2,0))</f>
        <v>NS</v>
      </c>
      <c r="E42" s="35" t="s">
        <v>86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70.5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35.299999999999997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35.200000000000003</v>
      </c>
      <c r="T42" s="32">
        <v>35.200000000000003</v>
      </c>
      <c r="U42" s="37">
        <v>4</v>
      </c>
      <c r="V42" s="37">
        <v>0</v>
      </c>
      <c r="W42" s="33">
        <v>35.299999999999997</v>
      </c>
      <c r="X42" s="37">
        <v>4.2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t="str" cm="1">
        <f t="array" ref="B43">IF(P43&lt;&gt;"",SUMPRODUCT((P$3:P$54&lt;&gt;"")*(G$3:G$54=G43)*(J$3:J$54&gt;J43))+1,IF(O43&lt;&gt;"",SUMPRODUCT((O$3:O$54&lt;&gt;"")*(P$3:P$54="")*(G$3:G$54=G43)*(J$3:J$54&gt;J43))+SUMPRODUCT((P$3:P$54&lt;&gt;"")*(G$3:G$54=G43))+1,IF(N43&lt;&gt;"",SUMPRODUCT((N$3:N$54&lt;&gt;"")*(G$3:G$54=G43)*(J$3:J$54&gt;J43))+1,IF(M43="P",SUMPRODUCT((O$3:O$54&lt;&gt;"")*(P$3:P$54="")*(G$3:G$54=G43))+SUMPRODUCT((P$3:P$54&lt;&gt;"")*(G$3:G$54=G43))+SUMPRODUCT((N$3:N$54&lt;&gt;"")*(G$3:G$54=G43))+SUMPRODUCT((P$3:P$54="")*(O$3:O$54="")*(N$3:N$54="")*(M$3:M$54="P")*(G$3:G$54=G43)*(J$3:J$54&gt;J43))+IF(H43="L5",SUMPRODUCT((P$3:P$54="")*(O$3:O$54="")*(N$3:N$54="")*(M$3:M$54="P")*(G$3:G$54=G43)*(J$3:J$54&lt;J43)*(H$3:H$54&lt;&gt;H43)),-1*SUMPRODUCT((P$3:P$54="")*(O$3:O$54="")*(N$3:N$54="")*(M$3:M$54="P")*(G$3:G$54=G43)*(J$3:J$54&gt;J43)*(H$3:H$54="L5")))+1,""))))</f>
        <v/>
      </c>
      <c r="C43" s="35" t="s">
        <v>312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70.400000000000006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35.6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34.799999999999997</v>
      </c>
      <c r="T43" s="32">
        <v>34.799999999999997</v>
      </c>
      <c r="U43" s="37">
        <v>5.0999999999999996</v>
      </c>
      <c r="V43" s="37">
        <v>0</v>
      </c>
      <c r="W43" s="33">
        <v>35.6</v>
      </c>
      <c r="X43" s="37">
        <v>5.0999999999999996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$54&lt;&gt;"")*(G$3:G$54=G44)*(J$3:J$54&gt;J44))+1,IF(O44&lt;&gt;"",SUMPRODUCT((O$3:O$54&lt;&gt;"")*(P$3:P$54="")*(G$3:G$54=G44)*(J$3:J$54&gt;J44))+SUMPRODUCT((P$3:P$54&lt;&gt;"")*(G$3:G$54=G44))+1,IF(N44&lt;&gt;"",SUMPRODUCT((N$3:N$54&lt;&gt;"")*(G$3:G$54=G44)*(J$3:J$54&gt;J44))+1,IF(M44="P",SUMPRODUCT((O$3:O$54&lt;&gt;"")*(P$3:P$54="")*(G$3:G$54=G44))+SUMPRODUCT((P$3:P$54&lt;&gt;"")*(G$3:G$54=G44))+SUMPRODUCT((N$3:N$54&lt;&gt;"")*(G$3:G$54=G44))+SUMPRODUCT((P$3:P$54="")*(O$3:O$54="")*(N$3:N$54="")*(M$3:M$54="P")*(G$3:G$54=G44)*(J$3:J$54&gt;J44))+IF(H44="L5",SUMPRODUCT((P$3:P$54="")*(O$3:O$54="")*(N$3:N$54="")*(M$3:M$54="P")*(G$3:G$54=G44)*(J$3:J$54&lt;J44)*(H$3:H$54&lt;&gt;H44)),-1*SUMPRODUCT((P$3:P$54="")*(O$3:O$54="")*(N$3:N$54="")*(M$3:M$54="P")*(G$3:G$54=G44)*(J$3:J$54&gt;J44)*(H$3:H$54="L5")))+1,""))))</f>
        <v/>
      </c>
      <c r="C44" s="35" t="s">
        <v>259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68.300000000000011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34.200000000000003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34.1</v>
      </c>
      <c r="T44" s="32">
        <v>34.200000000000003</v>
      </c>
      <c r="U44" s="37">
        <v>4</v>
      </c>
      <c r="V44" s="37">
        <v>0</v>
      </c>
      <c r="W44" s="33">
        <v>34.1</v>
      </c>
      <c r="X44" s="37">
        <v>4.9000000000000004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t="str" cm="1">
        <f t="array" ref="B45">IF(P45&lt;&gt;"",SUMPRODUCT((P$3:P$54&lt;&gt;"")*(G$3:G$54=G45)*(J$3:J$54&gt;J45))+1,IF(O45&lt;&gt;"",SUMPRODUCT((O$3:O$54&lt;&gt;"")*(P$3:P$54="")*(G$3:G$54=G45)*(J$3:J$54&gt;J45))+SUMPRODUCT((P$3:P$54&lt;&gt;"")*(G$3:G$54=G45))+1,IF(N45&lt;&gt;"",SUMPRODUCT((N$3:N$54&lt;&gt;"")*(G$3:G$54=G45)*(J$3:J$54&gt;J45))+1,IF(M45="P",SUMPRODUCT((O$3:O$54&lt;&gt;"")*(P$3:P$54="")*(G$3:G$54=G45))+SUMPRODUCT((P$3:P$54&lt;&gt;"")*(G$3:G$54=G45))+SUMPRODUCT((N$3:N$54&lt;&gt;"")*(G$3:G$54=G45))+SUMPRODUCT((P$3:P$54="")*(O$3:O$54="")*(N$3:N$54="")*(M$3:M$54="P")*(G$3:G$54=G45)*(J$3:J$54&gt;J45))+IF(H45="L5",SUMPRODUCT((P$3:P$54="")*(O$3:O$54="")*(N$3:N$54="")*(M$3:M$54="P")*(G$3:G$54=G45)*(J$3:J$54&lt;J45)*(H$3:H$54&lt;&gt;H45)),-1*SUMPRODUCT((P$3:P$54="")*(O$3:O$54="")*(N$3:N$54="")*(M$3:M$54="P")*(G$3:G$54=G45)*(J$3:J$54&gt;J45)*(H$3:H$54="L5")))+1,""))))</f>
        <v/>
      </c>
      <c r="C45" s="35" t="s">
        <v>314</v>
      </c>
      <c r="D45" t="str">
        <f>IF(E45="","",VLOOKUP(E45,'Coaching Points'!A:B,2,0))</f>
        <v>BC</v>
      </c>
      <c r="E45" s="35" t="s">
        <v>40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30.8</v>
      </c>
      <c r="K45" s="3" t="str">
        <f>IF(G45="Not Age Eligible","",IF(MAX(T45,W45,Z45,AC45)&gt;=LOOKUP(G45,'Qualifying Scores'!$A$4:$A$7,'Qualifying Scores'!$I$4:$I$7),"P",""))</f>
        <v/>
      </c>
      <c r="L45" s="3" t="str">
        <f>IF(G45="Not Age Eligible","",IF(MAX(U45,X45,AA45,AD45)&gt;=LOOKUP(G45,'Qualifying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30.8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0</v>
      </c>
      <c r="T45" s="32">
        <v>30.8</v>
      </c>
      <c r="U45" s="37">
        <v>3.7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$54&lt;&gt;"")*(G$3:G$54=G46)*(J$3:J$54&gt;J46))+1,IF(O46&lt;&gt;"",SUMPRODUCT((O$3:O$54&lt;&gt;"")*(P$3:P$54="")*(G$3:G$54=G46)*(J$3:J$54&gt;J46))+SUMPRODUCT((P$3:P$54&lt;&gt;"")*(G$3:G$54=G46))+1,IF(N46&lt;&gt;"",SUMPRODUCT((N$3:N$54&lt;&gt;"")*(G$3:G$54=G46)*(J$3:J$54&gt;J46))+1,IF(M46="P",SUMPRODUCT((O$3:O$54&lt;&gt;"")*(P$3:P$54="")*(G$3:G$54=G46))+SUMPRODUCT((P$3:P$54&lt;&gt;"")*(G$3:G$54=G46))+SUMPRODUCT((N$3:N$54&lt;&gt;"")*(G$3:G$54=G46))+SUMPRODUCT((P$3:P$54="")*(O$3:O$54="")*(N$3:N$54="")*(M$3:M$54="P")*(G$3:G$54=G46)*(J$3:J$54&gt;J46))+IF(H46="L5",SUMPRODUCT((P$3:P$54="")*(O$3:O$54="")*(N$3:N$54="")*(M$3:M$54="P")*(G$3:G$54=G46)*(J$3:J$54&lt;J46)*(H$3:H$54&lt;&gt;H46)),-1*SUMPRODUCT((P$3:P$54="")*(O$3:O$54="")*(N$3:N$54="")*(M$3:M$54="P")*(G$3:G$54=G46)*(J$3:J$54&gt;J46)*(H$3:H$54="L5")))+1,""))))</f>
        <v/>
      </c>
      <c r="C46" s="35" t="s">
        <v>306</v>
      </c>
      <c r="D46" t="str">
        <f>IF(E46="","",VLOOKUP(E46,'Coaching Points'!A:B,2,0))</f>
        <v>AB</v>
      </c>
      <c r="E46" s="35" t="s">
        <v>62</v>
      </c>
      <c r="F46" s="34">
        <v>2011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6" t="s">
        <v>215</v>
      </c>
      <c r="I46" s="40"/>
      <c r="J46" s="4">
        <f>R46+S46+IF(OR(H46="Junior",H46="Senior"),0.0002,IF(OR(H46="L7",H46="L6"),0.0001,0))+MAX(Z46,AC46)*0.0000001</f>
        <v>32.700000000000003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32.700000000000003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0</v>
      </c>
      <c r="T46" s="32">
        <v>32.700000000000003</v>
      </c>
      <c r="U46" s="37">
        <v>3.3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B47" s="1"/>
      <c r="D47"/>
      <c r="G47" s="1"/>
      <c r="H47" s="36"/>
      <c r="I47" s="40"/>
      <c r="J47" s="4"/>
      <c r="K47" s="3"/>
      <c r="L47" s="3"/>
      <c r="R47" s="4"/>
      <c r="S47" s="4"/>
      <c r="T47" s="32"/>
      <c r="U47" s="37"/>
      <c r="V47" s="37"/>
      <c r="W47" s="33"/>
      <c r="X47" s="37"/>
      <c r="Y47" s="37"/>
      <c r="Z47" s="32"/>
      <c r="AA47" s="37"/>
      <c r="AB47" s="37"/>
      <c r="AC47" s="33"/>
      <c r="AD47" s="37"/>
      <c r="AE47" s="37"/>
    </row>
    <row r="48" spans="1:31" x14ac:dyDescent="0.2">
      <c r="B48" s="1"/>
      <c r="D48"/>
      <c r="G48" s="1"/>
      <c r="H48" s="36"/>
      <c r="I48" s="40"/>
      <c r="J48" s="4"/>
      <c r="K48" s="3"/>
      <c r="L48" s="3"/>
      <c r="R48" s="4"/>
      <c r="S48" s="4"/>
      <c r="T48" s="32"/>
      <c r="U48" s="37"/>
      <c r="V48" s="37"/>
      <c r="W48" s="33"/>
      <c r="X48" s="37"/>
      <c r="Y48" s="37"/>
      <c r="Z48" s="32"/>
      <c r="AA48" s="37"/>
      <c r="AB48" s="37"/>
      <c r="AC48" s="33"/>
      <c r="AD48" s="37"/>
      <c r="AE48" s="37"/>
    </row>
    <row r="49" spans="2:31" x14ac:dyDescent="0.2">
      <c r="B49" s="1"/>
      <c r="D49"/>
      <c r="G49" s="1"/>
      <c r="H49" s="36"/>
      <c r="I49" s="40"/>
      <c r="J49" s="4"/>
      <c r="K49" s="3"/>
      <c r="L49" s="3"/>
      <c r="R49" s="4"/>
      <c r="S49" s="4"/>
      <c r="T49" s="32"/>
      <c r="U49" s="37"/>
      <c r="V49" s="37"/>
      <c r="W49" s="33"/>
      <c r="X49" s="37"/>
      <c r="Y49" s="37"/>
      <c r="Z49" s="32"/>
      <c r="AA49" s="37"/>
      <c r="AB49" s="37"/>
      <c r="AC49" s="33"/>
      <c r="AD49" s="37"/>
      <c r="AE49" s="37"/>
    </row>
    <row r="50" spans="2:31" x14ac:dyDescent="0.2">
      <c r="B50" s="1"/>
      <c r="D50"/>
      <c r="G50" s="1"/>
      <c r="H50" s="36"/>
      <c r="I50" s="40"/>
      <c r="J50" s="4"/>
      <c r="K50" s="3"/>
      <c r="L50" s="3"/>
      <c r="R50" s="4"/>
      <c r="S50" s="4"/>
      <c r="T50" s="32"/>
      <c r="U50" s="37"/>
      <c r="V50" s="37"/>
      <c r="W50" s="33"/>
      <c r="X50" s="37"/>
      <c r="Y50" s="37"/>
      <c r="Z50" s="32"/>
      <c r="AA50" s="37"/>
      <c r="AB50" s="37"/>
      <c r="AC50" s="33"/>
      <c r="AD50" s="37"/>
      <c r="AE50" s="37"/>
    </row>
    <row r="51" spans="2:31" x14ac:dyDescent="0.2">
      <c r="B51" s="1"/>
      <c r="D51"/>
      <c r="G51" s="1"/>
      <c r="H51" s="36"/>
      <c r="I51" s="40"/>
      <c r="J51" s="4"/>
      <c r="K51" s="3"/>
      <c r="L51" s="3"/>
      <c r="R51" s="4"/>
      <c r="S51" s="4"/>
      <c r="T51" s="32"/>
      <c r="U51" s="37"/>
      <c r="V51" s="37"/>
      <c r="W51" s="33"/>
      <c r="X51" s="37"/>
      <c r="Y51" s="37"/>
      <c r="Z51" s="32"/>
      <c r="AA51" s="37"/>
      <c r="AB51" s="37"/>
      <c r="AC51" s="33"/>
      <c r="AD51" s="37"/>
      <c r="AE51" s="37"/>
    </row>
    <row r="52" spans="2:31" x14ac:dyDescent="0.2">
      <c r="B52" s="1"/>
      <c r="D52"/>
      <c r="G52" s="1"/>
      <c r="H52" s="36"/>
      <c r="I52" s="40"/>
      <c r="J52" s="4"/>
      <c r="K52" s="3"/>
      <c r="L52" s="3"/>
      <c r="R52" s="4"/>
      <c r="S52" s="4"/>
      <c r="T52" s="32"/>
      <c r="U52" s="37"/>
      <c r="V52" s="37"/>
      <c r="W52" s="33"/>
      <c r="X52" s="37"/>
      <c r="Y52" s="37"/>
      <c r="Z52" s="32"/>
      <c r="AA52" s="37"/>
      <c r="AB52" s="37"/>
      <c r="AC52" s="33"/>
      <c r="AD52" s="37"/>
      <c r="AE52" s="37"/>
    </row>
    <row r="53" spans="2:31" x14ac:dyDescent="0.2">
      <c r="B53" s="1"/>
      <c r="D53"/>
      <c r="G53" s="1"/>
      <c r="H53" s="36"/>
      <c r="I53" s="40"/>
      <c r="J53" s="4"/>
      <c r="K53" s="3"/>
      <c r="L53" s="3"/>
      <c r="R53" s="4"/>
      <c r="S53" s="4"/>
      <c r="T53" s="32"/>
      <c r="U53" s="37"/>
      <c r="V53" s="37"/>
      <c r="W53" s="33"/>
      <c r="X53" s="37"/>
      <c r="Y53" s="37"/>
      <c r="Z53" s="32"/>
      <c r="AA53" s="37"/>
      <c r="AB53" s="37"/>
      <c r="AC53" s="33"/>
      <c r="AD53" s="37"/>
      <c r="AE53" s="37"/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3">
      <sortCondition descending="1" ref="G1:G47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2025-04-14T01:11:11Z</dcterms:modified>
</cp:coreProperties>
</file>