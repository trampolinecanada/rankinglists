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9148FE87-05CD-7D43-A167-2A17CA6214E3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 a="1"/>
  <c r="A7" i="3" s="1"/>
  <c r="A8" i="3" a="1"/>
  <c r="A8" i="3" s="1"/>
  <c r="A9" i="3" a="1"/>
  <c r="A9" i="3" s="1"/>
  <c r="A10" i="3" a="1"/>
  <c r="A10" i="3" s="1"/>
  <c r="A13" i="3" a="1"/>
  <c r="A13" i="3" s="1"/>
  <c r="A14" i="3" a="1"/>
  <c r="A14" i="3" s="1"/>
  <c r="A15" i="3" a="1"/>
  <c r="A15" i="3" s="1"/>
  <c r="A17" i="3" a="1"/>
  <c r="A17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6" i="3" a="1"/>
  <c r="A56" i="3" s="1"/>
  <c r="A57" i="3" a="1"/>
  <c r="A57" i="3" s="1"/>
  <c r="A58" i="3" a="1"/>
  <c r="A58" i="3" s="1"/>
  <c r="A59" i="3" a="1"/>
  <c r="A59" i="3" s="1"/>
  <c r="A60" i="3" a="1"/>
  <c r="A60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3" i="3" a="1"/>
  <c r="A83" i="3" s="1"/>
  <c r="A84" i="3" a="1"/>
  <c r="A84" i="3" s="1"/>
  <c r="A86" i="3" a="1"/>
  <c r="A86" i="3" s="1"/>
  <c r="A87" i="3" a="1"/>
  <c r="A87" i="3" s="1"/>
  <c r="A88" i="3" a="1"/>
  <c r="A88" i="3" s="1"/>
  <c r="A12" i="11" a="1"/>
  <c r="A12" i="11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20" i="11" a="1"/>
  <c r="A20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 s="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 s="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78" i="11" a="1"/>
  <c r="A78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A109" i="11" a="1"/>
  <c r="A109" i="11" s="1"/>
  <c r="A110" i="11" a="1"/>
  <c r="A110" i="11" s="1"/>
  <c r="A111" i="11" a="1"/>
  <c r="A111" i="11" s="1"/>
  <c r="A112" i="11" a="1"/>
  <c r="A112" i="11" s="1"/>
  <c r="A113" i="11" a="1"/>
  <c r="A113" i="11" s="1"/>
  <c r="A114" i="11" a="1"/>
  <c r="A114" i="11" s="1"/>
  <c r="A115" i="11" a="1"/>
  <c r="A115" i="11" s="1"/>
  <c r="A116" i="11" a="1"/>
  <c r="A116" i="11" s="1"/>
  <c r="A119" i="11" a="1"/>
  <c r="A119" i="11" s="1"/>
  <c r="A120" i="11" a="1"/>
  <c r="A120" i="11" s="1"/>
  <c r="A122" i="11" a="1"/>
  <c r="A122" i="11" s="1"/>
  <c r="A123" i="11" a="1"/>
  <c r="A123" i="11" s="1"/>
  <c r="A124" i="11" a="1"/>
  <c r="A124" i="11" s="1"/>
  <c r="A126" i="11" a="1"/>
  <c r="A126" i="11" s="1"/>
  <c r="A127" i="11" a="1"/>
  <c r="A127" i="11" s="1"/>
  <c r="A128" i="11" a="1"/>
  <c r="A128" i="11" s="1"/>
  <c r="A5" i="12" a="1"/>
  <c r="A5" i="12" s="1"/>
  <c r="A6" i="12" a="1"/>
  <c r="A6" i="12" s="1"/>
  <c r="A7" i="12" a="1"/>
  <c r="A7" i="12" s="1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 s="1"/>
  <c r="A14" i="12" a="1"/>
  <c r="A14" i="12" s="1"/>
  <c r="A15" i="12" a="1"/>
  <c r="A15" i="12" s="1"/>
  <c r="A16" i="12" a="1"/>
  <c r="A16" i="12" s="1"/>
  <c r="A17" i="12" a="1"/>
  <c r="A17" i="12" s="1"/>
  <c r="A18" i="12" a="1"/>
  <c r="A18" i="12" s="1"/>
  <c r="A19" i="12" a="1"/>
  <c r="A19" i="12" s="1"/>
  <c r="A20" i="12" a="1"/>
  <c r="A20" i="12" s="1"/>
  <c r="A4" i="12" a="1"/>
  <c r="A4" i="12" s="1"/>
  <c r="A7" i="13" a="1"/>
  <c r="A7" i="13" s="1"/>
  <c r="A8" i="13" a="1"/>
  <c r="A8" i="13" s="1"/>
  <c r="A9" i="13" a="1"/>
  <c r="A9" i="13" s="1"/>
  <c r="A10" i="13" a="1"/>
  <c r="A10" i="13" s="1"/>
  <c r="A11" i="13" a="1"/>
  <c r="A11" i="13" s="1"/>
  <c r="A12" i="13" a="1"/>
  <c r="A12" i="13" s="1"/>
  <c r="A13" i="13" a="1"/>
  <c r="A13" i="13" s="1"/>
  <c r="A14" i="13" a="1"/>
  <c r="A14" i="13" s="1"/>
  <c r="A15" i="13" a="1"/>
  <c r="A15" i="13" s="1"/>
  <c r="A16" i="13" a="1"/>
  <c r="A16" i="13" s="1"/>
  <c r="A17" i="13" a="1"/>
  <c r="A17" i="13" s="1"/>
  <c r="A18" i="13" a="1"/>
  <c r="A18" i="13" s="1"/>
  <c r="A19" i="13" a="1"/>
  <c r="A19" i="13" s="1"/>
  <c r="A20" i="13" a="1"/>
  <c r="A20" i="13" s="1"/>
  <c r="A21" i="13" a="1"/>
  <c r="A21" i="13" s="1"/>
  <c r="A22" i="13" a="1"/>
  <c r="A22" i="13" s="1"/>
  <c r="A23" i="13" a="1"/>
  <c r="A23" i="13" s="1"/>
  <c r="A24" i="13" a="1"/>
  <c r="A24" i="13" s="1"/>
  <c r="A25" i="13" a="1"/>
  <c r="A25" i="13" s="1"/>
  <c r="A26" i="13" a="1"/>
  <c r="A26" i="13" s="1"/>
  <c r="A27" i="13" a="1"/>
  <c r="A27" i="13" s="1"/>
  <c r="A28" i="13" a="1"/>
  <c r="A28" i="13" s="1"/>
  <c r="A29" i="13" a="1"/>
  <c r="A29" i="13" s="1"/>
  <c r="A30" i="13" a="1"/>
  <c r="A30" i="13" s="1"/>
  <c r="A31" i="13" a="1"/>
  <c r="A31" i="13" s="1"/>
  <c r="A32" i="13" a="1"/>
  <c r="A32" i="13" s="1"/>
  <c r="A33" i="13" a="1"/>
  <c r="A33" i="13" s="1"/>
  <c r="A34" i="13" a="1"/>
  <c r="A34" i="13" s="1"/>
  <c r="A35" i="13" a="1"/>
  <c r="A35" i="13" s="1"/>
  <c r="A36" i="13" a="1"/>
  <c r="A36" i="13" s="1"/>
  <c r="A37" i="13" a="1"/>
  <c r="A37" i="13" s="1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7" i="6" a="1"/>
  <c r="A27" i="6" s="1"/>
  <c r="A28" i="6" a="1"/>
  <c r="A28" i="6" s="1"/>
  <c r="A29" i="6" a="1"/>
  <c r="A29" i="6" s="1"/>
  <c r="A30" i="6" a="1"/>
  <c r="A30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8" i="6" a="1"/>
  <c r="A48" i="6" s="1"/>
  <c r="A49" i="6" a="1"/>
  <c r="A49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 s="1"/>
  <c r="A59" i="6" a="1"/>
  <c r="A59" i="6" s="1"/>
  <c r="A60" i="6" a="1"/>
  <c r="A60" i="6" s="1"/>
  <c r="A62" i="6" a="1"/>
  <c r="A62" i="6" s="1"/>
  <c r="A63" i="6" a="1"/>
  <c r="A63" i="6" s="1"/>
  <c r="A64" i="6" a="1"/>
  <c r="A64" i="6" s="1"/>
  <c r="A67" i="6" a="1"/>
  <c r="A67" i="6" s="1"/>
  <c r="A68" i="6" a="1"/>
  <c r="A68" i="6" s="1"/>
  <c r="A69" i="6" a="1"/>
  <c r="A69" i="6" s="1"/>
  <c r="A71" i="6" a="1"/>
  <c r="A71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8" i="14" a="1"/>
  <c r="A8" i="14" s="1"/>
  <c r="A9" i="14" a="1"/>
  <c r="A9" i="14" s="1"/>
  <c r="A10" i="14" a="1"/>
  <c r="A10" i="14" s="1"/>
  <c r="A11" i="14" a="1"/>
  <c r="A11" i="14" s="1"/>
  <c r="A12" i="14" a="1"/>
  <c r="A12" i="14" s="1"/>
  <c r="A14" i="14" a="1"/>
  <c r="A14" i="14" s="1"/>
  <c r="A15" i="14" a="1"/>
  <c r="A15" i="14" s="1"/>
  <c r="A17" i="14" a="1"/>
  <c r="A17" i="14" s="1"/>
  <c r="A18" i="14" a="1"/>
  <c r="A18" i="14" s="1"/>
  <c r="A20" i="14" a="1"/>
  <c r="A20" i="14" s="1"/>
  <c r="A21" i="14" a="1"/>
  <c r="A21" i="14" s="1"/>
  <c r="A23" i="14" a="1"/>
  <c r="A23" i="14" s="1"/>
  <c r="A24" i="14" a="1"/>
  <c r="A24" i="14" s="1"/>
  <c r="A25" i="14" a="1"/>
  <c r="A25" i="14" s="1"/>
  <c r="A27" i="14" a="1"/>
  <c r="A27" i="14" s="1"/>
  <c r="A28" i="14" a="1"/>
  <c r="A28" i="14" s="1"/>
  <c r="A29" i="14" a="1"/>
  <c r="A29" i="14" s="1"/>
  <c r="A30" i="14" a="1"/>
  <c r="A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44" i="14" a="1"/>
  <c r="A44" i="14" s="1"/>
  <c r="A45" i="14" a="1"/>
  <c r="A45" i="14" s="1"/>
  <c r="A46" i="14" a="1"/>
  <c r="A46" i="14" s="1"/>
  <c r="A47" i="14" a="1"/>
  <c r="A47" i="14" s="1"/>
  <c r="A48" i="14" a="1"/>
  <c r="A48" i="14" s="1"/>
  <c r="A49" i="14" a="1"/>
  <c r="A49" i="14" s="1"/>
  <c r="A50" i="14" a="1"/>
  <c r="A50" i="14" s="1"/>
  <c r="A51" i="14" a="1"/>
  <c r="A51" i="14" s="1"/>
  <c r="A54" i="14" a="1"/>
  <c r="A54" i="14" s="1"/>
  <c r="A57" i="14" a="1"/>
  <c r="A57" i="14" s="1"/>
  <c r="A58" i="14" a="1"/>
  <c r="A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6" i="14" a="1"/>
  <c r="A66" i="14" s="1"/>
  <c r="A67" i="14" a="1"/>
  <c r="A67" i="14" s="1"/>
  <c r="A69" i="14" a="1"/>
  <c r="A69" i="14" s="1"/>
  <c r="A70" i="14" a="1"/>
  <c r="A70" i="14" s="1"/>
  <c r="A72" i="14" a="1"/>
  <c r="A72" i="14" s="1"/>
  <c r="A73" i="14" a="1"/>
  <c r="A73" i="14" s="1"/>
  <c r="A74" i="14" a="1"/>
  <c r="A74" i="14" s="1"/>
  <c r="A75" i="14" a="1"/>
  <c r="A75" i="14" s="1"/>
  <c r="A79" i="14" a="1"/>
  <c r="A79" i="14" s="1"/>
  <c r="A80" i="14" a="1"/>
  <c r="A80" i="14" s="1"/>
  <c r="A81" i="14" a="1"/>
  <c r="A81" i="14" s="1"/>
  <c r="A82" i="14" a="1"/>
  <c r="A82" i="14" s="1"/>
  <c r="A84" i="14" a="1"/>
  <c r="A84" i="14" s="1"/>
  <c r="A85" i="14" a="1"/>
  <c r="A85" i="14" s="1"/>
  <c r="A86" i="14" a="1"/>
  <c r="A86" i="14" s="1"/>
  <c r="A87" i="14" a="1"/>
  <c r="A87" i="14" s="1"/>
  <c r="A88" i="14" a="1"/>
  <c r="A88" i="14" s="1"/>
  <c r="A7" i="16" a="1"/>
  <c r="A7" i="16" s="1"/>
  <c r="A8" i="16" a="1"/>
  <c r="A8" i="16" s="1"/>
  <c r="A9" i="16" a="1"/>
  <c r="A9" i="16" s="1"/>
  <c r="A10" i="16" a="1"/>
  <c r="A10" i="16" s="1"/>
  <c r="A13" i="16" a="1"/>
  <c r="A13" i="16" s="1"/>
  <c r="A14" i="16" a="1"/>
  <c r="A14" i="16" s="1"/>
  <c r="A15" i="16" a="1"/>
  <c r="A15" i="16" s="1"/>
  <c r="A18" i="16" a="1"/>
  <c r="A18" i="16" s="1"/>
  <c r="A19" i="16" a="1"/>
  <c r="A19" i="16" s="1"/>
  <c r="A20" i="16" a="1"/>
  <c r="A20" i="16" s="1"/>
  <c r="A21" i="16" a="1"/>
  <c r="A21" i="16" s="1"/>
  <c r="A22" i="16" a="1"/>
  <c r="A22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6" i="16" a="1"/>
  <c r="A56" i="16" s="1"/>
  <c r="A57" i="16" a="1"/>
  <c r="A57" i="16" s="1"/>
  <c r="A59" i="16" a="1"/>
  <c r="A59" i="16" s="1"/>
  <c r="A60" i="16" a="1"/>
  <c r="A60" i="16" s="1"/>
  <c r="A61" i="16" a="1"/>
  <c r="A61" i="16" s="1"/>
  <c r="A62" i="16" a="1"/>
  <c r="A62" i="16" s="1"/>
  <c r="A64" i="16" a="1"/>
  <c r="A64" i="16" s="1"/>
  <c r="A65" i="16" a="1"/>
  <c r="A65" i="16" s="1"/>
  <c r="A66" i="16" a="1"/>
  <c r="A66" i="16" s="1"/>
  <c r="A67" i="16" a="1"/>
  <c r="A67" i="16" s="1"/>
  <c r="A68" i="16" a="1"/>
  <c r="A68" i="16" s="1"/>
  <c r="A69" i="16" a="1"/>
  <c r="A69" i="16" s="1"/>
  <c r="A71" i="16" a="1"/>
  <c r="A71" i="16" s="1"/>
  <c r="A72" i="16" a="1"/>
  <c r="A72" i="16" s="1"/>
  <c r="A73" i="16" a="1"/>
  <c r="A73" i="16" s="1"/>
  <c r="A74" i="16" a="1"/>
  <c r="A74" i="16" s="1"/>
  <c r="A75" i="16" a="1"/>
  <c r="A75" i="16" s="1"/>
  <c r="A76" i="16" a="1"/>
  <c r="A76" i="16" s="1"/>
  <c r="A77" i="16" a="1"/>
  <c r="A77" i="16" s="1"/>
  <c r="A78" i="16" a="1"/>
  <c r="A78" i="16" s="1"/>
  <c r="A79" i="16" a="1"/>
  <c r="A79" i="16" s="1"/>
  <c r="A7" i="15" a="1"/>
  <c r="A7" i="15" s="1"/>
  <c r="A8" i="15" a="1"/>
  <c r="A8" i="15" s="1"/>
  <c r="A11" i="15" a="1"/>
  <c r="A11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2" i="15" a="1"/>
  <c r="A32" i="15" s="1"/>
  <c r="A36" i="15" a="1"/>
  <c r="A36" i="15" s="1"/>
  <c r="A37" i="15" a="1"/>
  <c r="A37" i="15" s="1"/>
  <c r="A38" i="15" a="1"/>
  <c r="A38" i="15" s="1"/>
  <c r="S9" i="16"/>
  <c r="S7" i="16"/>
  <c r="S4" i="16"/>
  <c r="S8" i="16"/>
  <c r="S3" i="16"/>
  <c r="S18" i="16"/>
  <c r="S12" i="16"/>
  <c r="S20" i="16"/>
  <c r="S16" i="16"/>
  <c r="S6" i="16"/>
  <c r="S11" i="16"/>
  <c r="S22" i="16"/>
  <c r="S21" i="16"/>
  <c r="S5" i="16"/>
  <c r="S13" i="16"/>
  <c r="S17" i="16"/>
  <c r="S23" i="16"/>
  <c r="S19" i="16"/>
  <c r="S14" i="16"/>
  <c r="S10" i="16"/>
  <c r="S56" i="16"/>
  <c r="S26" i="16"/>
  <c r="S44" i="16"/>
  <c r="S46" i="16"/>
  <c r="S67" i="16"/>
  <c r="S52" i="16"/>
  <c r="S78" i="16"/>
  <c r="S64" i="16"/>
  <c r="S77" i="16"/>
  <c r="S75" i="16"/>
  <c r="S49" i="16"/>
  <c r="S57" i="16"/>
  <c r="S45" i="16"/>
  <c r="S65" i="16"/>
  <c r="S63" i="16"/>
  <c r="S58" i="16"/>
  <c r="S27" i="16"/>
  <c r="S54" i="16"/>
  <c r="S29" i="16"/>
  <c r="S33" i="16"/>
  <c r="S61" i="16"/>
  <c r="S76" i="16"/>
  <c r="S39" i="16"/>
  <c r="S43" i="16"/>
  <c r="S40" i="16"/>
  <c r="S62" i="16"/>
  <c r="S32" i="16"/>
  <c r="S74" i="16"/>
  <c r="S37" i="16"/>
  <c r="S28" i="16"/>
  <c r="S69" i="16"/>
  <c r="S41" i="16"/>
  <c r="S72" i="16"/>
  <c r="S79" i="16"/>
  <c r="S51" i="16"/>
  <c r="S24" i="16"/>
  <c r="S68" i="16"/>
  <c r="S42" i="16"/>
  <c r="S71" i="16"/>
  <c r="S50" i="16"/>
  <c r="S60" i="16"/>
  <c r="S35" i="16"/>
  <c r="S30" i="16"/>
  <c r="S38" i="16"/>
  <c r="S66" i="16"/>
  <c r="S25" i="16"/>
  <c r="S73" i="16"/>
  <c r="S31" i="16"/>
  <c r="S47" i="16"/>
  <c r="S53" i="16"/>
  <c r="S48" i="16"/>
  <c r="S36" i="16"/>
  <c r="S59" i="16"/>
  <c r="S34" i="16"/>
  <c r="S55" i="16"/>
  <c r="S70" i="16"/>
  <c r="S15" i="16"/>
  <c r="S5" i="15"/>
  <c r="S8" i="15"/>
  <c r="S10" i="15"/>
  <c r="S7" i="15"/>
  <c r="S13" i="15"/>
  <c r="S14" i="15"/>
  <c r="S6" i="15"/>
  <c r="S11" i="15"/>
  <c r="S12" i="15"/>
  <c r="S4" i="15"/>
  <c r="S9" i="15"/>
  <c r="S19" i="15"/>
  <c r="S36" i="15"/>
  <c r="S27" i="15"/>
  <c r="S35" i="15"/>
  <c r="S34" i="15"/>
  <c r="S28" i="15"/>
  <c r="S29" i="15"/>
  <c r="S37" i="15"/>
  <c r="S20" i="15"/>
  <c r="S18" i="15"/>
  <c r="S33" i="15"/>
  <c r="S17" i="15"/>
  <c r="S38" i="15"/>
  <c r="S22" i="15"/>
  <c r="S24" i="15"/>
  <c r="S16" i="15"/>
  <c r="S15" i="15"/>
  <c r="S21" i="15"/>
  <c r="S31" i="15"/>
  <c r="S26" i="15"/>
  <c r="S30" i="15"/>
  <c r="S32" i="15"/>
  <c r="S23" i="15"/>
  <c r="S25" i="15"/>
  <c r="S3" i="15"/>
  <c r="S6" i="14"/>
  <c r="S5" i="14"/>
  <c r="S8" i="14"/>
  <c r="S3" i="14"/>
  <c r="S9" i="14"/>
  <c r="S21" i="14"/>
  <c r="S10" i="14"/>
  <c r="S22" i="14"/>
  <c r="S17" i="14"/>
  <c r="S16" i="14"/>
  <c r="S15" i="14"/>
  <c r="S25" i="14"/>
  <c r="S12" i="14"/>
  <c r="S20" i="14"/>
  <c r="S13" i="14"/>
  <c r="S26" i="14"/>
  <c r="S7" i="14"/>
  <c r="S27" i="14"/>
  <c r="S24" i="14"/>
  <c r="S19" i="14"/>
  <c r="S14" i="14"/>
  <c r="S11" i="14"/>
  <c r="S23" i="14"/>
  <c r="S55" i="14"/>
  <c r="S78" i="14"/>
  <c r="S57" i="14"/>
  <c r="S54" i="14"/>
  <c r="S59" i="14"/>
  <c r="S58" i="14"/>
  <c r="S79" i="14"/>
  <c r="S77" i="14"/>
  <c r="S56" i="14"/>
  <c r="S61" i="14"/>
  <c r="S41" i="14"/>
  <c r="S32" i="14"/>
  <c r="S44" i="14"/>
  <c r="S47" i="14"/>
  <c r="S28" i="14"/>
  <c r="S62" i="14"/>
  <c r="S71" i="14"/>
  <c r="S68" i="14"/>
  <c r="S63" i="14"/>
  <c r="S46" i="14"/>
  <c r="S18" i="14"/>
  <c r="S74" i="14"/>
  <c r="S35" i="14"/>
  <c r="S48" i="14"/>
  <c r="S37" i="14"/>
  <c r="S51" i="14"/>
  <c r="S83" i="14"/>
  <c r="S81" i="14"/>
  <c r="S84" i="14"/>
  <c r="S40" i="14"/>
  <c r="S86" i="14"/>
  <c r="S88" i="14"/>
  <c r="S73" i="14"/>
  <c r="S87" i="14"/>
  <c r="S42" i="14"/>
  <c r="S66" i="14"/>
  <c r="S43" i="14"/>
  <c r="S70" i="14"/>
  <c r="S39" i="14"/>
  <c r="S50" i="14"/>
  <c r="S85" i="14"/>
  <c r="S60" i="14"/>
  <c r="S31" i="14"/>
  <c r="S53" i="14"/>
  <c r="S30" i="14"/>
  <c r="S33" i="14"/>
  <c r="S49" i="14"/>
  <c r="S45" i="14"/>
  <c r="S69" i="14"/>
  <c r="S65" i="14"/>
  <c r="S82" i="14"/>
  <c r="S36" i="14"/>
  <c r="S80" i="14"/>
  <c r="S29" i="14"/>
  <c r="S34" i="14"/>
  <c r="S64" i="14"/>
  <c r="S75" i="14"/>
  <c r="S67" i="14"/>
  <c r="S72" i="14"/>
  <c r="S38" i="14"/>
  <c r="S52" i="14"/>
  <c r="S76" i="14"/>
  <c r="S4" i="14"/>
  <c r="S25" i="6"/>
  <c r="S4" i="6"/>
  <c r="S27" i="6"/>
  <c r="S10" i="6"/>
  <c r="S17" i="6"/>
  <c r="S22" i="6"/>
  <c r="S7" i="6"/>
  <c r="S11" i="6"/>
  <c r="S3" i="6"/>
  <c r="S5" i="6"/>
  <c r="S13" i="6"/>
  <c r="S6" i="6"/>
  <c r="S12" i="6"/>
  <c r="S14" i="6"/>
  <c r="S29" i="6"/>
  <c r="S30" i="6"/>
  <c r="S20" i="6"/>
  <c r="S16" i="6"/>
  <c r="S28" i="6"/>
  <c r="S23" i="6"/>
  <c r="S21" i="6"/>
  <c r="S9" i="6"/>
  <c r="S19" i="6"/>
  <c r="S18" i="6"/>
  <c r="S15" i="6"/>
  <c r="S26" i="6"/>
  <c r="S31" i="6"/>
  <c r="S24" i="6"/>
  <c r="S8" i="6"/>
  <c r="S53" i="6"/>
  <c r="S65" i="6"/>
  <c r="S46" i="6"/>
  <c r="S45" i="6"/>
  <c r="S66" i="6"/>
  <c r="S44" i="6"/>
  <c r="S67" i="6"/>
  <c r="S48" i="6"/>
  <c r="S50" i="6"/>
  <c r="S49" i="6"/>
  <c r="S52" i="6"/>
  <c r="S57" i="6"/>
  <c r="S64" i="6"/>
  <c r="S76" i="6"/>
  <c r="S39" i="6"/>
  <c r="S62" i="6"/>
  <c r="S42" i="6"/>
  <c r="S32" i="6"/>
  <c r="S33" i="6"/>
  <c r="S73" i="6"/>
  <c r="S36" i="6"/>
  <c r="S38" i="6"/>
  <c r="S55" i="6"/>
  <c r="S70" i="6"/>
  <c r="S60" i="6"/>
  <c r="S75" i="6"/>
  <c r="S41" i="6"/>
  <c r="S63" i="6"/>
  <c r="S40" i="6"/>
  <c r="S74" i="6"/>
  <c r="S69" i="6"/>
  <c r="S71" i="6"/>
  <c r="S35" i="6"/>
  <c r="S56" i="6"/>
  <c r="S37" i="6"/>
  <c r="S68" i="6"/>
  <c r="S59" i="6"/>
  <c r="S77" i="6"/>
  <c r="S72" i="6"/>
  <c r="S58" i="6"/>
  <c r="S78" i="6"/>
  <c r="S54" i="6"/>
  <c r="S61" i="6"/>
  <c r="S51" i="6"/>
  <c r="S34" i="6"/>
  <c r="S47" i="6"/>
  <c r="S43" i="6"/>
  <c r="T5" i="13"/>
  <c r="T4" i="12"/>
  <c r="D22" i="15" l="1"/>
  <c r="Q22" i="15"/>
  <c r="G22" i="15"/>
  <c r="L22" i="15" l="1"/>
  <c r="R22" i="15"/>
  <c r="J22" i="15" s="1"/>
  <c r="K22" i="15"/>
  <c r="M22" i="15"/>
  <c r="B22" i="15" s="1" a="1"/>
  <c r="B22" i="15" s="1"/>
  <c r="D70" i="11"/>
  <c r="AE20" i="11" l="1"/>
  <c r="AE16" i="11"/>
  <c r="D17" i="12"/>
  <c r="D53" i="16" l="1"/>
  <c r="D48" i="16"/>
  <c r="D36" i="16"/>
  <c r="D59" i="16"/>
  <c r="D34" i="16"/>
  <c r="D56" i="16"/>
  <c r="D18" i="16"/>
  <c r="D12" i="16"/>
  <c r="D20" i="16"/>
  <c r="D16" i="16"/>
  <c r="D6" i="16"/>
  <c r="D11" i="16"/>
  <c r="D22" i="16"/>
  <c r="D21" i="16"/>
  <c r="D5" i="16"/>
  <c r="D13" i="16"/>
  <c r="D17" i="16"/>
  <c r="D23" i="16"/>
  <c r="D19" i="16"/>
  <c r="D14" i="16"/>
  <c r="D10" i="16"/>
  <c r="D15" i="16"/>
  <c r="D9" i="16"/>
  <c r="D7" i="16"/>
  <c r="D4" i="16"/>
  <c r="D8" i="16"/>
  <c r="D3" i="16"/>
  <c r="D19" i="15"/>
  <c r="D36" i="15"/>
  <c r="D27" i="15"/>
  <c r="D35" i="15"/>
  <c r="D34" i="15"/>
  <c r="D28" i="15"/>
  <c r="D29" i="15"/>
  <c r="D37" i="15"/>
  <c r="D20" i="15"/>
  <c r="D18" i="15"/>
  <c r="D33" i="15"/>
  <c r="D17" i="15"/>
  <c r="D38" i="15"/>
  <c r="D24" i="15"/>
  <c r="D16" i="15"/>
  <c r="D15" i="15"/>
  <c r="D21" i="15"/>
  <c r="D31" i="15"/>
  <c r="D26" i="15"/>
  <c r="D30" i="15"/>
  <c r="D32" i="15"/>
  <c r="D23" i="15"/>
  <c r="D13" i="15"/>
  <c r="D14" i="15"/>
  <c r="D6" i="15"/>
  <c r="D11" i="15"/>
  <c r="D12" i="15"/>
  <c r="D4" i="15"/>
  <c r="D9" i="15"/>
  <c r="D3" i="15"/>
  <c r="D5" i="15"/>
  <c r="D8" i="15"/>
  <c r="D10" i="15"/>
  <c r="D7" i="15"/>
  <c r="D51" i="14"/>
  <c r="D83" i="14"/>
  <c r="D81" i="14"/>
  <c r="D84" i="14"/>
  <c r="D40" i="14"/>
  <c r="D86" i="14"/>
  <c r="D88" i="14"/>
  <c r="D73" i="14"/>
  <c r="D87" i="14"/>
  <c r="D42" i="14"/>
  <c r="D66" i="14"/>
  <c r="D43" i="14"/>
  <c r="D70" i="14"/>
  <c r="D39" i="14"/>
  <c r="D50" i="14"/>
  <c r="D85" i="14"/>
  <c r="D60" i="14"/>
  <c r="D31" i="14"/>
  <c r="D53" i="14"/>
  <c r="D30" i="14"/>
  <c r="D33" i="14"/>
  <c r="D49" i="14"/>
  <c r="D45" i="14"/>
  <c r="D69" i="14"/>
  <c r="D65" i="14"/>
  <c r="D82" i="14"/>
  <c r="D36" i="14"/>
  <c r="D29" i="14"/>
  <c r="D34" i="14"/>
  <c r="D64" i="14"/>
  <c r="D75" i="14"/>
  <c r="D67" i="14"/>
  <c r="D72" i="14"/>
  <c r="D38" i="14"/>
  <c r="D55" i="14"/>
  <c r="D78" i="14"/>
  <c r="D57" i="14"/>
  <c r="D54" i="14"/>
  <c r="D59" i="14"/>
  <c r="D58" i="14"/>
  <c r="D79" i="14"/>
  <c r="D77" i="14"/>
  <c r="D56" i="14"/>
  <c r="D17" i="14"/>
  <c r="D16" i="14"/>
  <c r="D15" i="14"/>
  <c r="D25" i="14"/>
  <c r="D12" i="14"/>
  <c r="D20" i="14"/>
  <c r="D13" i="14"/>
  <c r="D26" i="14"/>
  <c r="D7" i="14"/>
  <c r="D27" i="14"/>
  <c r="D24" i="14"/>
  <c r="D19" i="14"/>
  <c r="D14" i="14"/>
  <c r="D11" i="14"/>
  <c r="D23" i="14"/>
  <c r="D4" i="14"/>
  <c r="D6" i="14"/>
  <c r="D5" i="14"/>
  <c r="D8" i="14"/>
  <c r="D3" i="14"/>
  <c r="D9" i="14"/>
  <c r="D21" i="14"/>
  <c r="D10" i="14"/>
  <c r="D22" i="14"/>
  <c r="D74" i="14"/>
  <c r="D35" i="14"/>
  <c r="D48" i="14"/>
  <c r="D57" i="6"/>
  <c r="D64" i="6"/>
  <c r="D4" i="6"/>
  <c r="D76" i="6"/>
  <c r="D39" i="6"/>
  <c r="D62" i="6"/>
  <c r="D42" i="6"/>
  <c r="D32" i="6"/>
  <c r="D33" i="6"/>
  <c r="D73" i="6"/>
  <c r="D36" i="6"/>
  <c r="D38" i="6"/>
  <c r="D55" i="6"/>
  <c r="D70" i="6"/>
  <c r="D60" i="6"/>
  <c r="D75" i="6"/>
  <c r="D41" i="6"/>
  <c r="D63" i="6"/>
  <c r="D40" i="6"/>
  <c r="D74" i="6"/>
  <c r="D69" i="6"/>
  <c r="D71" i="6"/>
  <c r="D35" i="6"/>
  <c r="D56" i="6"/>
  <c r="D37" i="6"/>
  <c r="D68" i="6"/>
  <c r="D59" i="6"/>
  <c r="D77" i="6"/>
  <c r="D72" i="6"/>
  <c r="D58" i="6"/>
  <c r="D78" i="6"/>
  <c r="D54" i="6"/>
  <c r="D61" i="6"/>
  <c r="D51" i="6"/>
  <c r="D34" i="6"/>
  <c r="D53" i="6"/>
  <c r="D65" i="6"/>
  <c r="D46" i="6"/>
  <c r="D45" i="6"/>
  <c r="D66" i="6"/>
  <c r="D44" i="6"/>
  <c r="D67" i="6"/>
  <c r="D48" i="6"/>
  <c r="D50" i="6"/>
  <c r="D49" i="6"/>
  <c r="D52" i="6"/>
  <c r="D14" i="6"/>
  <c r="D29" i="6"/>
  <c r="D30" i="6"/>
  <c r="D20" i="6"/>
  <c r="D16" i="6"/>
  <c r="D28" i="6"/>
  <c r="D23" i="6"/>
  <c r="D21" i="6"/>
  <c r="D9" i="6"/>
  <c r="D19" i="6"/>
  <c r="D18" i="6"/>
  <c r="D15" i="6"/>
  <c r="D26" i="6"/>
  <c r="D31" i="6"/>
  <c r="D24" i="6"/>
  <c r="D8" i="6"/>
  <c r="D25" i="6"/>
  <c r="D27" i="6"/>
  <c r="D10" i="6"/>
  <c r="D17" i="6"/>
  <c r="D22" i="6"/>
  <c r="D7" i="6"/>
  <c r="D11" i="6"/>
  <c r="D3" i="6"/>
  <c r="D5" i="6"/>
  <c r="D13" i="6"/>
  <c r="D6" i="6"/>
  <c r="D12" i="6"/>
  <c r="D47" i="6"/>
  <c r="D28" i="13"/>
  <c r="D35" i="13"/>
  <c r="D19" i="13"/>
  <c r="D33" i="13"/>
  <c r="D24" i="13"/>
  <c r="D16" i="13"/>
  <c r="D15" i="13"/>
  <c r="D29" i="13"/>
  <c r="D27" i="13"/>
  <c r="D22" i="13"/>
  <c r="D26" i="13"/>
  <c r="D25" i="13"/>
  <c r="D30" i="13"/>
  <c r="D34" i="13"/>
  <c r="D36" i="13"/>
  <c r="D18" i="13"/>
  <c r="D21" i="13"/>
  <c r="D17" i="13"/>
  <c r="D23" i="13"/>
  <c r="D11" i="13"/>
  <c r="D20" i="13"/>
  <c r="D6" i="13"/>
  <c r="D13" i="13"/>
  <c r="D14" i="13"/>
  <c r="D12" i="13"/>
  <c r="D10" i="13"/>
  <c r="D32" i="13"/>
  <c r="D38" i="13"/>
  <c r="D8" i="13"/>
  <c r="D9" i="13"/>
  <c r="D31" i="13"/>
  <c r="D7" i="13"/>
  <c r="D5" i="13"/>
  <c r="D4" i="13"/>
  <c r="D3" i="13"/>
  <c r="D37" i="13"/>
  <c r="D16" i="12"/>
  <c r="D18" i="12"/>
  <c r="D10" i="12"/>
  <c r="D20" i="12"/>
  <c r="D19" i="12"/>
  <c r="D15" i="12"/>
  <c r="D14" i="12"/>
  <c r="D11" i="12"/>
  <c r="D12" i="12"/>
  <c r="D13" i="12"/>
  <c r="D6" i="12"/>
  <c r="D7" i="12"/>
  <c r="D8" i="12"/>
  <c r="D5" i="12"/>
  <c r="D9" i="12"/>
  <c r="D4" i="12"/>
  <c r="D3" i="12"/>
  <c r="D80" i="11"/>
  <c r="D117" i="11"/>
  <c r="D76" i="11"/>
  <c r="D105" i="11"/>
  <c r="D58" i="11"/>
  <c r="D88" i="11"/>
  <c r="D67" i="11"/>
  <c r="D55" i="11"/>
  <c r="D29" i="11"/>
  <c r="D104" i="11"/>
  <c r="D51" i="11"/>
  <c r="D68" i="11"/>
  <c r="D97" i="11"/>
  <c r="D33" i="11"/>
  <c r="D94" i="11"/>
  <c r="D108" i="11"/>
  <c r="D62" i="11"/>
  <c r="D112" i="11"/>
  <c r="D48" i="11"/>
  <c r="D103" i="11"/>
  <c r="D36" i="11"/>
  <c r="D61" i="11"/>
  <c r="D50" i="11"/>
  <c r="D57" i="11"/>
  <c r="D41" i="11"/>
  <c r="D32" i="11"/>
  <c r="D114" i="11"/>
  <c r="D45" i="11"/>
  <c r="D64" i="11"/>
  <c r="D109" i="11"/>
  <c r="D83" i="11"/>
  <c r="D125" i="11"/>
  <c r="D43" i="11"/>
  <c r="D47" i="11"/>
  <c r="D100" i="11"/>
  <c r="D127" i="11"/>
  <c r="D46" i="11"/>
  <c r="D53" i="11"/>
  <c r="D123" i="11"/>
  <c r="D89" i="11"/>
  <c r="D124" i="11"/>
  <c r="D122" i="11"/>
  <c r="D35" i="11"/>
  <c r="D128" i="11"/>
  <c r="D31" i="11"/>
  <c r="D72" i="11"/>
  <c r="D42" i="11"/>
  <c r="D49" i="11"/>
  <c r="D126" i="11"/>
  <c r="D30" i="11"/>
  <c r="D52" i="11"/>
  <c r="D113" i="11"/>
  <c r="D34" i="11"/>
  <c r="D71" i="11"/>
  <c r="D37" i="11"/>
  <c r="D56" i="11"/>
  <c r="D44" i="11"/>
  <c r="D66" i="11"/>
  <c r="D95" i="11"/>
  <c r="D101" i="11"/>
  <c r="D107" i="11"/>
  <c r="D73" i="11"/>
  <c r="D69" i="11"/>
  <c r="D38" i="11"/>
  <c r="D74" i="11"/>
  <c r="D82" i="11"/>
  <c r="D54" i="11"/>
  <c r="D59" i="11"/>
  <c r="D119" i="11"/>
  <c r="D99" i="11"/>
  <c r="D63" i="11"/>
  <c r="D98" i="11"/>
  <c r="D40" i="11"/>
  <c r="D115" i="11"/>
  <c r="D91" i="11"/>
  <c r="D106" i="11"/>
  <c r="D93" i="11"/>
  <c r="D60" i="11"/>
  <c r="D110" i="11"/>
  <c r="D87" i="11"/>
  <c r="D90" i="11"/>
  <c r="D65" i="11"/>
  <c r="D102" i="11"/>
  <c r="D84" i="11"/>
  <c r="D39" i="11"/>
  <c r="D111" i="11"/>
  <c r="D92" i="11"/>
  <c r="D96" i="11"/>
  <c r="D77" i="11"/>
  <c r="D86" i="11"/>
  <c r="D118" i="11"/>
  <c r="D79" i="11"/>
  <c r="D78" i="11"/>
  <c r="D85" i="11"/>
  <c r="D120" i="11"/>
  <c r="D121" i="11"/>
  <c r="D116" i="11"/>
  <c r="D81" i="11"/>
  <c r="D9" i="11"/>
  <c r="D19" i="11"/>
  <c r="D13" i="11"/>
  <c r="D25" i="11"/>
  <c r="D20" i="11"/>
  <c r="D22" i="11"/>
  <c r="D17" i="11"/>
  <c r="D16" i="11"/>
  <c r="D10" i="11"/>
  <c r="D11" i="11"/>
  <c r="D27" i="11"/>
  <c r="D23" i="11"/>
  <c r="D14" i="11"/>
  <c r="D15" i="11"/>
  <c r="D12" i="11"/>
  <c r="D21" i="11"/>
  <c r="D18" i="11"/>
  <c r="D24" i="11"/>
  <c r="D28" i="11"/>
  <c r="D3" i="11"/>
  <c r="D6" i="11"/>
  <c r="D4" i="11"/>
  <c r="D26" i="11"/>
  <c r="D8" i="11"/>
  <c r="D5" i="11"/>
  <c r="D7" i="11"/>
  <c r="D55" i="3"/>
  <c r="D54" i="3"/>
  <c r="D64" i="3"/>
  <c r="D69" i="3"/>
  <c r="D87" i="3"/>
  <c r="D81" i="3"/>
  <c r="D62" i="3"/>
  <c r="D75" i="3"/>
  <c r="D90" i="3"/>
  <c r="D89" i="3"/>
  <c r="D67" i="3"/>
  <c r="D59" i="3"/>
  <c r="D88" i="3"/>
  <c r="D74" i="3"/>
  <c r="D48" i="3"/>
  <c r="D66" i="3"/>
  <c r="D40" i="3"/>
  <c r="D44" i="3"/>
  <c r="D68" i="3"/>
  <c r="D78" i="3"/>
  <c r="D82" i="3"/>
  <c r="D50" i="3"/>
  <c r="D61" i="3"/>
  <c r="D71" i="3"/>
  <c r="D36" i="3"/>
  <c r="D34" i="3"/>
  <c r="D38" i="3"/>
  <c r="D39" i="3"/>
  <c r="D84" i="3"/>
  <c r="D77" i="3"/>
  <c r="D72" i="3"/>
  <c r="D51" i="3"/>
  <c r="D60" i="3"/>
  <c r="D46" i="3"/>
  <c r="D41" i="3"/>
  <c r="D42" i="3"/>
  <c r="D65" i="3"/>
  <c r="D35" i="3"/>
  <c r="D86" i="3"/>
  <c r="D73" i="3"/>
  <c r="D43" i="3"/>
  <c r="D49" i="3"/>
  <c r="D37" i="3"/>
  <c r="D83" i="3"/>
  <c r="D79" i="3"/>
  <c r="D85" i="3"/>
  <c r="D76" i="3"/>
  <c r="D63" i="3"/>
  <c r="D45" i="3"/>
  <c r="D70" i="3"/>
  <c r="D80" i="3"/>
  <c r="D47" i="3"/>
  <c r="D57" i="3"/>
  <c r="D52" i="3"/>
  <c r="D56" i="3"/>
  <c r="D58" i="3"/>
  <c r="D14" i="3"/>
  <c r="D15" i="3"/>
  <c r="D21" i="3"/>
  <c r="D13" i="3"/>
  <c r="D19" i="3"/>
  <c r="D22" i="3"/>
  <c r="D26" i="3"/>
  <c r="D17" i="3"/>
  <c r="D27" i="3"/>
  <c r="D28" i="3"/>
  <c r="D25" i="3"/>
  <c r="D33" i="3"/>
  <c r="D32" i="3"/>
  <c r="D16" i="3"/>
  <c r="D20" i="3"/>
  <c r="D29" i="3"/>
  <c r="D23" i="3"/>
  <c r="D18" i="3"/>
  <c r="D30" i="3"/>
  <c r="D31" i="3"/>
  <c r="D24" i="3"/>
  <c r="D8" i="3"/>
  <c r="D7" i="3"/>
  <c r="D5" i="3"/>
  <c r="D4" i="3"/>
  <c r="D3" i="3"/>
  <c r="D6" i="3"/>
  <c r="D9" i="3"/>
  <c r="D10" i="3"/>
  <c r="D12" i="3"/>
  <c r="D11" i="3"/>
  <c r="G48" i="17" l="1"/>
  <c r="H48" i="17" s="1"/>
  <c r="C50" i="17"/>
  <c r="D50" i="17" s="1"/>
  <c r="E50" i="17"/>
  <c r="F50" i="17" s="1"/>
  <c r="G51" i="17"/>
  <c r="H51" i="17" s="1"/>
  <c r="G52" i="17"/>
  <c r="H52" i="17" s="1"/>
  <c r="E53" i="17"/>
  <c r="F53" i="17" s="1"/>
  <c r="G53" i="17"/>
  <c r="H53" i="17" s="1"/>
  <c r="G54" i="17"/>
  <c r="H54" i="17" s="1"/>
  <c r="E56" i="17"/>
  <c r="F56" i="17" s="1"/>
  <c r="G56" i="17"/>
  <c r="H56" i="17" s="1"/>
  <c r="C57" i="17"/>
  <c r="D57" i="17" s="1"/>
  <c r="C58" i="17"/>
  <c r="D58" i="17" s="1"/>
  <c r="E59" i="17"/>
  <c r="F59" i="17" s="1"/>
  <c r="G59" i="17"/>
  <c r="H59" i="17" s="1"/>
  <c r="G60" i="17"/>
  <c r="H60" i="17" s="1"/>
  <c r="E4" i="17"/>
  <c r="F4" i="17" s="1"/>
  <c r="G4" i="17"/>
  <c r="H4" i="17" s="1"/>
  <c r="C5" i="17"/>
  <c r="D5" i="17" s="1"/>
  <c r="G5" i="17"/>
  <c r="H5" i="17" s="1"/>
  <c r="E7" i="17"/>
  <c r="F7" i="17" s="1"/>
  <c r="G7" i="17"/>
  <c r="H7" i="17" s="1"/>
  <c r="E8" i="17"/>
  <c r="F8" i="17" s="1"/>
  <c r="G8" i="17"/>
  <c r="H8" i="17" s="1"/>
  <c r="E11" i="17"/>
  <c r="F11" i="17" s="1"/>
  <c r="G11" i="17"/>
  <c r="H11" i="17" s="1"/>
  <c r="C15" i="17"/>
  <c r="D15" i="17" s="1"/>
  <c r="E16" i="17"/>
  <c r="F16" i="17" s="1"/>
  <c r="G16" i="17"/>
  <c r="H16" i="17" s="1"/>
  <c r="C19" i="17"/>
  <c r="D19" i="17" s="1"/>
  <c r="E21" i="17"/>
  <c r="F21" i="17" s="1"/>
  <c r="E22" i="17"/>
  <c r="F22" i="17" s="1"/>
  <c r="G23" i="17"/>
  <c r="H23" i="17" s="1"/>
  <c r="G24" i="17"/>
  <c r="H24" i="17" s="1"/>
  <c r="G26" i="17"/>
  <c r="H26" i="17" s="1"/>
  <c r="G27" i="17"/>
  <c r="H27" i="17" s="1"/>
  <c r="E28" i="17"/>
  <c r="F28" i="17" s="1"/>
  <c r="G28" i="17"/>
  <c r="H28" i="17" s="1"/>
  <c r="G29" i="17"/>
  <c r="H29" i="17" s="1"/>
  <c r="C30" i="17"/>
  <c r="D30" i="17" s="1"/>
  <c r="E30" i="17"/>
  <c r="F30" i="17" s="1"/>
  <c r="E34" i="17"/>
  <c r="F34" i="17" s="1"/>
  <c r="E35" i="17"/>
  <c r="F35" i="17" s="1"/>
  <c r="G35" i="17"/>
  <c r="H35" i="17" s="1"/>
  <c r="C36" i="17"/>
  <c r="D36" i="17" s="1"/>
  <c r="E36" i="17"/>
  <c r="F36" i="17" s="1"/>
  <c r="G37" i="17"/>
  <c r="H37" i="17" s="1"/>
  <c r="G38" i="17"/>
  <c r="H38" i="17" s="1"/>
  <c r="C39" i="17"/>
  <c r="D39" i="17" s="1"/>
  <c r="E39" i="17"/>
  <c r="F39" i="17" s="1"/>
  <c r="G40" i="17"/>
  <c r="H40" i="17" s="1"/>
  <c r="G41" i="17"/>
  <c r="H41" i="17" s="1"/>
  <c r="E42" i="17"/>
  <c r="F42" i="17" s="1"/>
  <c r="G42" i="17"/>
  <c r="H42" i="17" s="1"/>
  <c r="G43" i="17"/>
  <c r="H43" i="17" s="1"/>
  <c r="C44" i="17"/>
  <c r="D44" i="17" s="1"/>
  <c r="E44" i="17"/>
  <c r="F44" i="17" s="1"/>
  <c r="G10" i="15" l="1"/>
  <c r="Q8" i="15"/>
  <c r="G8" i="15"/>
  <c r="G3" i="15"/>
  <c r="Q26" i="15"/>
  <c r="G26" i="15"/>
  <c r="G31" i="15"/>
  <c r="Q30" i="15"/>
  <c r="G30" i="15"/>
  <c r="Q32" i="15"/>
  <c r="G32" i="15"/>
  <c r="Q17" i="15"/>
  <c r="G17" i="15"/>
  <c r="Q21" i="15"/>
  <c r="G21" i="15"/>
  <c r="Q15" i="15"/>
  <c r="G15" i="15"/>
  <c r="Q18" i="15"/>
  <c r="G18" i="15"/>
  <c r="Q23" i="15"/>
  <c r="G23" i="15"/>
  <c r="Q11" i="15"/>
  <c r="G11" i="15"/>
  <c r="G6" i="15"/>
  <c r="G13" i="15"/>
  <c r="Q38" i="15"/>
  <c r="G38" i="15"/>
  <c r="Q27" i="15"/>
  <c r="G27" i="15"/>
  <c r="G33" i="15"/>
  <c r="Q9" i="16"/>
  <c r="G9" i="16"/>
  <c r="Q43" i="16"/>
  <c r="G18" i="17" s="1"/>
  <c r="H18" i="17" s="1"/>
  <c r="G43" i="16"/>
  <c r="Q54" i="16"/>
  <c r="G54" i="16"/>
  <c r="Q45" i="16"/>
  <c r="G45" i="16"/>
  <c r="Q38" i="16"/>
  <c r="G38" i="16"/>
  <c r="Q49" i="16"/>
  <c r="G49" i="16"/>
  <c r="Q42" i="16"/>
  <c r="G42" i="16"/>
  <c r="Q40" i="16"/>
  <c r="G40" i="16"/>
  <c r="Q39" i="16"/>
  <c r="G39" i="16"/>
  <c r="Q56" i="16"/>
  <c r="G56" i="16"/>
  <c r="G23" i="16"/>
  <c r="G5" i="16"/>
  <c r="G16" i="16"/>
  <c r="Q73" i="16"/>
  <c r="G73" i="16"/>
  <c r="Q78" i="16"/>
  <c r="G78" i="16"/>
  <c r="Q76" i="16"/>
  <c r="G76" i="16"/>
  <c r="Q71" i="16"/>
  <c r="G71" i="16"/>
  <c r="Q77" i="16"/>
  <c r="G77" i="16"/>
  <c r="Q79" i="16"/>
  <c r="G79" i="16"/>
  <c r="Q68" i="16"/>
  <c r="G68" i="16"/>
  <c r="Q67" i="16"/>
  <c r="G67" i="16"/>
  <c r="G63" i="16"/>
  <c r="Q66" i="16"/>
  <c r="G58" i="17" s="1"/>
  <c r="H58" i="17" s="1"/>
  <c r="G66" i="16"/>
  <c r="Q59" i="16"/>
  <c r="G59" i="16"/>
  <c r="Q61" i="16"/>
  <c r="G61" i="16"/>
  <c r="Q65" i="16"/>
  <c r="G65" i="16"/>
  <c r="Q26" i="16"/>
  <c r="G26" i="16"/>
  <c r="R26" i="16" s="1"/>
  <c r="J26" i="16" s="1"/>
  <c r="Q48" i="16"/>
  <c r="G48" i="16"/>
  <c r="Q36" i="16"/>
  <c r="G36" i="16"/>
  <c r="Q31" i="16"/>
  <c r="G31" i="16"/>
  <c r="Q33" i="16"/>
  <c r="G33" i="16"/>
  <c r="Q29" i="16"/>
  <c r="G29" i="16"/>
  <c r="Q72" i="16"/>
  <c r="G72" i="16"/>
  <c r="Q48" i="14"/>
  <c r="G48" i="14"/>
  <c r="Q40" i="14"/>
  <c r="E40" i="17" s="1"/>
  <c r="F40" i="17" s="1"/>
  <c r="G40" i="14"/>
  <c r="Q18" i="14"/>
  <c r="G18" i="14"/>
  <c r="Q47" i="14"/>
  <c r="G47" i="14"/>
  <c r="Q32" i="14"/>
  <c r="G32" i="14"/>
  <c r="Q50" i="14"/>
  <c r="E37" i="17" s="1"/>
  <c r="F37" i="17" s="1"/>
  <c r="G50" i="14"/>
  <c r="Q41" i="14"/>
  <c r="G41" i="14"/>
  <c r="Q44" i="14"/>
  <c r="E15" i="17" s="1"/>
  <c r="F15" i="17" s="1"/>
  <c r="G44" i="14"/>
  <c r="Q30" i="14"/>
  <c r="G30" i="14"/>
  <c r="Q45" i="14"/>
  <c r="E5" i="17" s="1"/>
  <c r="F5" i="17" s="1"/>
  <c r="G45" i="14"/>
  <c r="Q59" i="14"/>
  <c r="G59" i="14"/>
  <c r="Q57" i="14"/>
  <c r="G57" i="14"/>
  <c r="Q27" i="14"/>
  <c r="G27" i="14"/>
  <c r="Q25" i="14"/>
  <c r="G25" i="14"/>
  <c r="E23" i="17"/>
  <c r="F23" i="17" s="1"/>
  <c r="Q72" i="14"/>
  <c r="G72" i="14"/>
  <c r="Q61" i="14"/>
  <c r="G61" i="14"/>
  <c r="Q64" i="14"/>
  <c r="G64" i="14"/>
  <c r="G68" i="14"/>
  <c r="Q74" i="14"/>
  <c r="G74" i="14"/>
  <c r="G71" i="14"/>
  <c r="Q43" i="14"/>
  <c r="G43" i="14"/>
  <c r="Q51" i="14"/>
  <c r="G51" i="14"/>
  <c r="Q35" i="14"/>
  <c r="G35" i="14"/>
  <c r="Q46" i="14"/>
  <c r="G46" i="14"/>
  <c r="Q29" i="14"/>
  <c r="G29" i="14"/>
  <c r="Q28" i="14"/>
  <c r="G28" i="14"/>
  <c r="Q38" i="14"/>
  <c r="G38" i="14"/>
  <c r="Q87" i="14"/>
  <c r="G87" i="14"/>
  <c r="Q86" i="14"/>
  <c r="G86" i="14"/>
  <c r="Q85" i="14"/>
  <c r="G85" i="14"/>
  <c r="Q84" i="14"/>
  <c r="G84" i="14"/>
  <c r="Q88" i="14"/>
  <c r="G88" i="14"/>
  <c r="Q81" i="14"/>
  <c r="G81" i="14"/>
  <c r="Q65" i="14"/>
  <c r="G65" i="14"/>
  <c r="Q75" i="14"/>
  <c r="G75" i="14"/>
  <c r="Q69" i="14"/>
  <c r="G69" i="14"/>
  <c r="Q66" i="14"/>
  <c r="G66" i="14"/>
  <c r="Q82" i="14"/>
  <c r="G82" i="14"/>
  <c r="Q42" i="6"/>
  <c r="G42" i="6"/>
  <c r="Q32" i="6"/>
  <c r="G32" i="6"/>
  <c r="Q36" i="6"/>
  <c r="G36" i="6"/>
  <c r="Q53" i="6"/>
  <c r="G53" i="6"/>
  <c r="G47" i="6"/>
  <c r="Q14" i="6"/>
  <c r="G14" i="6"/>
  <c r="Q28" i="6"/>
  <c r="G28" i="6"/>
  <c r="G4" i="6"/>
  <c r="Q39" i="6"/>
  <c r="E24" i="17" s="1"/>
  <c r="F24" i="17" s="1"/>
  <c r="G39" i="6"/>
  <c r="Q37" i="6"/>
  <c r="G37" i="6"/>
  <c r="Q33" i="6"/>
  <c r="G33" i="6"/>
  <c r="Q40" i="6"/>
  <c r="E52" i="17" s="1"/>
  <c r="F52" i="17" s="1"/>
  <c r="G40" i="6"/>
  <c r="Q75" i="6"/>
  <c r="G75" i="6"/>
  <c r="Q71" i="6"/>
  <c r="G71" i="6"/>
  <c r="Q78" i="6"/>
  <c r="G78" i="6"/>
  <c r="Q76" i="6"/>
  <c r="G76" i="6"/>
  <c r="Q69" i="6"/>
  <c r="E49" i="17" s="1"/>
  <c r="F49" i="17" s="1"/>
  <c r="G69" i="6"/>
  <c r="Q73" i="6"/>
  <c r="G73" i="6"/>
  <c r="Q54" i="6"/>
  <c r="G54" i="6"/>
  <c r="Q56" i="6"/>
  <c r="G56" i="6"/>
  <c r="G61" i="6"/>
  <c r="Q58" i="6"/>
  <c r="G58" i="6"/>
  <c r="G51" i="6"/>
  <c r="Q62" i="6"/>
  <c r="G62" i="6"/>
  <c r="Q59" i="6"/>
  <c r="G59" i="6"/>
  <c r="Q55" i="6"/>
  <c r="G55" i="6"/>
  <c r="Q60" i="6"/>
  <c r="G60" i="6"/>
  <c r="Q63" i="6"/>
  <c r="G63" i="6"/>
  <c r="Q41" i="6"/>
  <c r="G41" i="6"/>
  <c r="H4" i="13"/>
  <c r="T4" i="13"/>
  <c r="Y4" i="13"/>
  <c r="AF4" i="13"/>
  <c r="R22" i="13"/>
  <c r="H22" i="13"/>
  <c r="T22" i="13"/>
  <c r="Y22" i="13"/>
  <c r="AF22" i="13"/>
  <c r="R19" i="13"/>
  <c r="H19" i="13"/>
  <c r="T19" i="13"/>
  <c r="Y19" i="13"/>
  <c r="AF19" i="13"/>
  <c r="R11" i="13"/>
  <c r="H11" i="13"/>
  <c r="T11" i="13"/>
  <c r="Y11" i="13"/>
  <c r="AF11" i="13"/>
  <c r="R34" i="13"/>
  <c r="H34" i="13"/>
  <c r="T34" i="13"/>
  <c r="Y34" i="13"/>
  <c r="AF34" i="13"/>
  <c r="R15" i="13"/>
  <c r="H15" i="13"/>
  <c r="T15" i="13"/>
  <c r="Y15" i="13"/>
  <c r="AF15" i="13"/>
  <c r="R28" i="13"/>
  <c r="H28" i="13"/>
  <c r="T28" i="13"/>
  <c r="Y28" i="13"/>
  <c r="AF28" i="13"/>
  <c r="R26" i="13"/>
  <c r="H26" i="13"/>
  <c r="T26" i="13"/>
  <c r="Y26" i="13"/>
  <c r="AF26" i="13"/>
  <c r="R16" i="13"/>
  <c r="H16" i="13"/>
  <c r="T16" i="13"/>
  <c r="Y16" i="13"/>
  <c r="AF16" i="13"/>
  <c r="R29" i="13"/>
  <c r="H29" i="13"/>
  <c r="T29" i="13"/>
  <c r="Y29" i="13"/>
  <c r="AF29" i="13"/>
  <c r="R37" i="13"/>
  <c r="H37" i="13"/>
  <c r="T37" i="13"/>
  <c r="Y37" i="13"/>
  <c r="AF37" i="13"/>
  <c r="R17" i="13"/>
  <c r="H17" i="13"/>
  <c r="T17" i="13"/>
  <c r="Y17" i="13"/>
  <c r="AF17" i="13"/>
  <c r="R35" i="13"/>
  <c r="H35" i="13"/>
  <c r="T35" i="13"/>
  <c r="Y35" i="13"/>
  <c r="AF35" i="13"/>
  <c r="R36" i="13"/>
  <c r="H36" i="13"/>
  <c r="T36" i="13"/>
  <c r="Y36" i="13"/>
  <c r="AF36" i="13"/>
  <c r="R18" i="13"/>
  <c r="H18" i="13"/>
  <c r="T18" i="13"/>
  <c r="Y18" i="13"/>
  <c r="AF18" i="13"/>
  <c r="R21" i="13"/>
  <c r="H21" i="13"/>
  <c r="T21" i="13"/>
  <c r="Y21" i="13"/>
  <c r="AF21" i="13"/>
  <c r="R20" i="13"/>
  <c r="H20" i="13"/>
  <c r="T20" i="13"/>
  <c r="Y20" i="13"/>
  <c r="AF20" i="13"/>
  <c r="R23" i="13"/>
  <c r="H23" i="13"/>
  <c r="T23" i="13"/>
  <c r="Y23" i="13"/>
  <c r="AF23" i="13"/>
  <c r="H38" i="13"/>
  <c r="T38" i="13"/>
  <c r="Y38" i="13"/>
  <c r="AF38" i="13"/>
  <c r="R33" i="13"/>
  <c r="H33" i="13"/>
  <c r="T33" i="13"/>
  <c r="Y33" i="13"/>
  <c r="AF33" i="13"/>
  <c r="R24" i="13"/>
  <c r="H24" i="13"/>
  <c r="T24" i="13"/>
  <c r="Y24" i="13"/>
  <c r="AF24" i="13"/>
  <c r="R30" i="13"/>
  <c r="H30" i="13"/>
  <c r="T30" i="13"/>
  <c r="Y30" i="13"/>
  <c r="AF30" i="13"/>
  <c r="H6" i="13"/>
  <c r="T6" i="13"/>
  <c r="Y6" i="13"/>
  <c r="AF6" i="13"/>
  <c r="R9" i="13"/>
  <c r="H9" i="13"/>
  <c r="T9" i="13"/>
  <c r="Y9" i="13"/>
  <c r="AF9" i="13"/>
  <c r="R8" i="13"/>
  <c r="H8" i="13"/>
  <c r="T8" i="13"/>
  <c r="Y8" i="13"/>
  <c r="AF8" i="13"/>
  <c r="R32" i="13"/>
  <c r="H32" i="13"/>
  <c r="T32" i="13"/>
  <c r="Y32" i="13"/>
  <c r="AF32" i="13"/>
  <c r="R7" i="13"/>
  <c r="H7" i="13"/>
  <c r="T7" i="13"/>
  <c r="Y7" i="13"/>
  <c r="AF7" i="13"/>
  <c r="R10" i="13"/>
  <c r="H10" i="13"/>
  <c r="T10" i="13"/>
  <c r="Y10" i="13"/>
  <c r="AF10" i="13"/>
  <c r="R12" i="13"/>
  <c r="H12" i="13"/>
  <c r="T12" i="13"/>
  <c r="Y12" i="13"/>
  <c r="AF12" i="13"/>
  <c r="H5" i="13"/>
  <c r="Y5" i="13"/>
  <c r="AF5" i="13"/>
  <c r="R14" i="13"/>
  <c r="H14" i="13"/>
  <c r="T14" i="13"/>
  <c r="Y14" i="13"/>
  <c r="AF14" i="13"/>
  <c r="R13" i="13"/>
  <c r="H13" i="13"/>
  <c r="T13" i="13"/>
  <c r="Y13" i="13"/>
  <c r="AF13" i="13"/>
  <c r="R31" i="13"/>
  <c r="H31" i="13"/>
  <c r="T31" i="13"/>
  <c r="Y31" i="13"/>
  <c r="AF31" i="13"/>
  <c r="H3" i="13"/>
  <c r="T3" i="13"/>
  <c r="Y3" i="13"/>
  <c r="AF3" i="13"/>
  <c r="R27" i="13"/>
  <c r="H27" i="13"/>
  <c r="T27" i="13"/>
  <c r="Y27" i="13"/>
  <c r="AF27" i="13"/>
  <c r="R18" i="12"/>
  <c r="H18" i="12"/>
  <c r="T18" i="12"/>
  <c r="Y18" i="12"/>
  <c r="AF18" i="12"/>
  <c r="R14" i="12"/>
  <c r="H14" i="12"/>
  <c r="T14" i="12"/>
  <c r="Y14" i="12"/>
  <c r="AF14" i="12"/>
  <c r="R17" i="12"/>
  <c r="H17" i="12"/>
  <c r="T17" i="12"/>
  <c r="Y17" i="12"/>
  <c r="AF17" i="12"/>
  <c r="R12" i="12"/>
  <c r="H12" i="12"/>
  <c r="T12" i="12"/>
  <c r="Y12" i="12"/>
  <c r="AF12" i="12"/>
  <c r="R13" i="12"/>
  <c r="H13" i="12"/>
  <c r="T13" i="12"/>
  <c r="Y13" i="12"/>
  <c r="AF13" i="12"/>
  <c r="R10" i="12"/>
  <c r="H10" i="12"/>
  <c r="T10" i="12"/>
  <c r="Y10" i="12"/>
  <c r="AF10" i="12"/>
  <c r="R19" i="12"/>
  <c r="H19" i="12"/>
  <c r="T19" i="12"/>
  <c r="Y19" i="12"/>
  <c r="AF19" i="12"/>
  <c r="R20" i="12"/>
  <c r="H20" i="12"/>
  <c r="T20" i="12"/>
  <c r="Y20" i="12"/>
  <c r="AF20" i="12"/>
  <c r="R7" i="12"/>
  <c r="H7" i="12"/>
  <c r="T7" i="12"/>
  <c r="Y7" i="12"/>
  <c r="AF7" i="12"/>
  <c r="R9" i="12"/>
  <c r="H9" i="12"/>
  <c r="T9" i="12"/>
  <c r="Y9" i="12"/>
  <c r="AF9" i="12"/>
  <c r="R6" i="12"/>
  <c r="H6" i="12"/>
  <c r="T6" i="12"/>
  <c r="Y6" i="12"/>
  <c r="AF6" i="12"/>
  <c r="R5" i="12"/>
  <c r="H5" i="12"/>
  <c r="T5" i="12"/>
  <c r="Y5" i="12"/>
  <c r="AF5" i="12"/>
  <c r="R8" i="12"/>
  <c r="H8" i="12"/>
  <c r="T8" i="12"/>
  <c r="Y8" i="12"/>
  <c r="AF8" i="12"/>
  <c r="H3" i="12"/>
  <c r="T3" i="12"/>
  <c r="Y3" i="12"/>
  <c r="AF3" i="12"/>
  <c r="R4" i="12"/>
  <c r="H4" i="12"/>
  <c r="S4" i="12" s="1"/>
  <c r="K4" i="12" s="1"/>
  <c r="Y4" i="12"/>
  <c r="AF4" i="12"/>
  <c r="R11" i="12"/>
  <c r="H11" i="12"/>
  <c r="T11" i="12"/>
  <c r="Y11" i="12"/>
  <c r="AF11" i="12"/>
  <c r="R16" i="12"/>
  <c r="H16" i="12"/>
  <c r="T16" i="12"/>
  <c r="Y16" i="12"/>
  <c r="AF16" i="12"/>
  <c r="Q26" i="11"/>
  <c r="G26" i="11"/>
  <c r="S26" i="11" s="1"/>
  <c r="X26" i="11"/>
  <c r="AE26" i="11"/>
  <c r="G7" i="11"/>
  <c r="S7" i="11" s="1"/>
  <c r="X7" i="11"/>
  <c r="AE7" i="11"/>
  <c r="G79" i="11"/>
  <c r="X79" i="11"/>
  <c r="AE79" i="11"/>
  <c r="Q24" i="11"/>
  <c r="G24" i="11"/>
  <c r="S24" i="11" s="1"/>
  <c r="X24" i="11"/>
  <c r="AE24" i="11"/>
  <c r="Q28" i="11"/>
  <c r="G28" i="11"/>
  <c r="S28" i="11" s="1"/>
  <c r="X28" i="11"/>
  <c r="AE28" i="11"/>
  <c r="Q20" i="11"/>
  <c r="G20" i="11"/>
  <c r="S20" i="11" s="1"/>
  <c r="X20" i="11"/>
  <c r="Q59" i="11"/>
  <c r="G59" i="11"/>
  <c r="S59" i="11" s="1"/>
  <c r="X59" i="11"/>
  <c r="AE59" i="11"/>
  <c r="Q57" i="11"/>
  <c r="G57" i="11"/>
  <c r="S57" i="11" s="1"/>
  <c r="X57" i="11"/>
  <c r="AE57" i="11"/>
  <c r="Q36" i="11"/>
  <c r="G36" i="11"/>
  <c r="S36" i="11" s="1"/>
  <c r="X36" i="11"/>
  <c r="AE36" i="11"/>
  <c r="Q45" i="11"/>
  <c r="G45" i="11"/>
  <c r="S45" i="11" s="1"/>
  <c r="X45" i="11"/>
  <c r="AE45" i="11"/>
  <c r="Q47" i="11"/>
  <c r="C28" i="17" s="1"/>
  <c r="D28" i="17" s="1"/>
  <c r="G47" i="11"/>
  <c r="S47" i="11" s="1"/>
  <c r="X47" i="11"/>
  <c r="AE47" i="11"/>
  <c r="Q69" i="11"/>
  <c r="G69" i="11"/>
  <c r="S69" i="11" s="1"/>
  <c r="X69" i="11"/>
  <c r="AE69" i="11"/>
  <c r="Q62" i="11"/>
  <c r="G62" i="11"/>
  <c r="S62" i="11" s="1"/>
  <c r="X62" i="11"/>
  <c r="AE62" i="11"/>
  <c r="Q58" i="11"/>
  <c r="G58" i="11"/>
  <c r="S58" i="11" s="1"/>
  <c r="X58" i="11"/>
  <c r="AE58" i="11"/>
  <c r="Q44" i="11"/>
  <c r="G44" i="11"/>
  <c r="S44" i="11" s="1"/>
  <c r="X44" i="11"/>
  <c r="AE44" i="11"/>
  <c r="Q60" i="11"/>
  <c r="G60" i="11"/>
  <c r="S60" i="11" s="1"/>
  <c r="X60" i="11"/>
  <c r="AE60" i="11"/>
  <c r="Q42" i="11"/>
  <c r="G42" i="11"/>
  <c r="S42" i="11" s="1"/>
  <c r="X42" i="11"/>
  <c r="AE42" i="11"/>
  <c r="Q35" i="11"/>
  <c r="G35" i="11"/>
  <c r="S35" i="11" s="1"/>
  <c r="X35" i="11"/>
  <c r="AE35" i="11"/>
  <c r="Q56" i="11"/>
  <c r="G56" i="11"/>
  <c r="S56" i="11" s="1"/>
  <c r="X56" i="11"/>
  <c r="AE56" i="11"/>
  <c r="Q34" i="11"/>
  <c r="G34" i="11"/>
  <c r="S34" i="11" s="1"/>
  <c r="X34" i="11"/>
  <c r="AE34" i="11"/>
  <c r="Q55" i="11"/>
  <c r="G55" i="11"/>
  <c r="S55" i="11" s="1"/>
  <c r="X55" i="11"/>
  <c r="AE55" i="11"/>
  <c r="Q40" i="11"/>
  <c r="G40" i="11"/>
  <c r="S40" i="11" s="1"/>
  <c r="X40" i="11"/>
  <c r="AE40" i="11"/>
  <c r="Q46" i="11"/>
  <c r="G46" i="11"/>
  <c r="S46" i="11" s="1"/>
  <c r="X46" i="11"/>
  <c r="AE46" i="11"/>
  <c r="Q54" i="11"/>
  <c r="G54" i="11"/>
  <c r="S54" i="11" s="1"/>
  <c r="X54" i="11"/>
  <c r="AE54" i="11"/>
  <c r="Q74" i="11"/>
  <c r="G74" i="11"/>
  <c r="S74" i="11" s="1"/>
  <c r="X74" i="11"/>
  <c r="AE74" i="11"/>
  <c r="Q65" i="11"/>
  <c r="G65" i="11"/>
  <c r="S65" i="11" s="1"/>
  <c r="X65" i="11"/>
  <c r="AE65" i="11"/>
  <c r="Q66" i="11"/>
  <c r="G66" i="11"/>
  <c r="S66" i="11" s="1"/>
  <c r="X66" i="11"/>
  <c r="AE66" i="11"/>
  <c r="Q119" i="11"/>
  <c r="G119" i="11"/>
  <c r="X119" i="11"/>
  <c r="AE119" i="11"/>
  <c r="Q70" i="11"/>
  <c r="G70" i="11"/>
  <c r="S70" i="11" s="1"/>
  <c r="X70" i="11"/>
  <c r="AE70" i="11"/>
  <c r="Q124" i="11"/>
  <c r="G124" i="11"/>
  <c r="X124" i="11"/>
  <c r="AE124" i="11"/>
  <c r="Q127" i="11"/>
  <c r="G127" i="11"/>
  <c r="X127" i="11"/>
  <c r="AE127" i="11"/>
  <c r="Q128" i="11"/>
  <c r="G128" i="11"/>
  <c r="X128" i="11"/>
  <c r="AE128" i="11"/>
  <c r="Q123" i="11"/>
  <c r="G123" i="11"/>
  <c r="X123" i="11"/>
  <c r="AE123" i="11"/>
  <c r="Q96" i="11"/>
  <c r="G96" i="11"/>
  <c r="X96" i="11"/>
  <c r="AE96" i="11"/>
  <c r="Q115" i="11"/>
  <c r="G115" i="11"/>
  <c r="X115" i="11"/>
  <c r="AE115" i="11"/>
  <c r="Q109" i="11"/>
  <c r="G109" i="11"/>
  <c r="X109" i="11"/>
  <c r="AE109" i="11"/>
  <c r="Q110" i="11"/>
  <c r="G110" i="11"/>
  <c r="X110" i="11"/>
  <c r="AE110" i="11"/>
  <c r="Q93" i="11"/>
  <c r="G93" i="11"/>
  <c r="X93" i="11"/>
  <c r="AE93" i="11"/>
  <c r="Q102" i="11"/>
  <c r="G102" i="11"/>
  <c r="X102" i="11"/>
  <c r="AE102" i="11"/>
  <c r="Q111" i="11"/>
  <c r="G111" i="11"/>
  <c r="X111" i="11"/>
  <c r="AE111" i="11"/>
  <c r="Q90" i="11"/>
  <c r="G90" i="11"/>
  <c r="X90" i="11"/>
  <c r="AE90" i="11"/>
  <c r="Q94" i="11"/>
  <c r="G94" i="11"/>
  <c r="X94" i="11"/>
  <c r="AE94" i="11"/>
  <c r="Q101" i="11"/>
  <c r="G101" i="11"/>
  <c r="X101" i="11"/>
  <c r="AE101" i="11"/>
  <c r="Q100" i="11"/>
  <c r="G100" i="11"/>
  <c r="X100" i="11"/>
  <c r="AE100" i="11"/>
  <c r="Q97" i="11"/>
  <c r="G97" i="11"/>
  <c r="X97" i="11"/>
  <c r="AE97" i="11"/>
  <c r="Q91" i="11"/>
  <c r="G91" i="11"/>
  <c r="X91" i="11"/>
  <c r="AE91" i="11"/>
  <c r="Q88" i="11"/>
  <c r="G88" i="11"/>
  <c r="X88" i="11"/>
  <c r="AE88" i="11"/>
  <c r="Q73" i="11"/>
  <c r="G73" i="11"/>
  <c r="S73" i="11" s="1"/>
  <c r="X73" i="11"/>
  <c r="AE73" i="11"/>
  <c r="Q53" i="11"/>
  <c r="G53" i="11"/>
  <c r="S53" i="11" s="1"/>
  <c r="X53" i="11"/>
  <c r="AE53" i="11"/>
  <c r="Q61" i="11"/>
  <c r="G61" i="11"/>
  <c r="S61" i="11" s="1"/>
  <c r="X61" i="11"/>
  <c r="AE61" i="11"/>
  <c r="G5" i="11"/>
  <c r="S5" i="11" s="1"/>
  <c r="X5" i="11"/>
  <c r="AE5" i="11"/>
  <c r="G4" i="3"/>
  <c r="R4" i="3" s="1"/>
  <c r="X4" i="3"/>
  <c r="AE4" i="3"/>
  <c r="Q36" i="3"/>
  <c r="G36" i="3"/>
  <c r="R36" i="3" s="1"/>
  <c r="X36" i="3"/>
  <c r="AE36" i="3"/>
  <c r="Q45" i="3"/>
  <c r="G45" i="3"/>
  <c r="R45" i="3" s="1"/>
  <c r="X45" i="3"/>
  <c r="AE45" i="3"/>
  <c r="C22" i="17"/>
  <c r="D22" i="17" s="1"/>
  <c r="Q42" i="3"/>
  <c r="G42" i="3"/>
  <c r="R42" i="3" s="1"/>
  <c r="X42" i="3"/>
  <c r="AE42" i="3"/>
  <c r="Q49" i="3"/>
  <c r="G49" i="3"/>
  <c r="R49" i="3" s="1"/>
  <c r="X49" i="3"/>
  <c r="AE49" i="3"/>
  <c r="Q50" i="3"/>
  <c r="G50" i="3"/>
  <c r="R50" i="3" s="1"/>
  <c r="X50" i="3"/>
  <c r="AE50" i="3"/>
  <c r="Q48" i="3"/>
  <c r="C24" i="17" s="1"/>
  <c r="D24" i="17" s="1"/>
  <c r="G48" i="3"/>
  <c r="R48" i="3" s="1"/>
  <c r="X48" i="3"/>
  <c r="AE48" i="3"/>
  <c r="Q22" i="3"/>
  <c r="G22" i="3"/>
  <c r="R22" i="3" s="1"/>
  <c r="X22" i="3"/>
  <c r="AE22" i="3"/>
  <c r="Q28" i="3"/>
  <c r="G28" i="3"/>
  <c r="R28" i="3" s="1"/>
  <c r="X28" i="3"/>
  <c r="AE28" i="3"/>
  <c r="Q17" i="3"/>
  <c r="G17" i="3"/>
  <c r="R17" i="3" s="1"/>
  <c r="X17" i="3"/>
  <c r="AE17" i="3"/>
  <c r="Q14" i="3"/>
  <c r="G14" i="3"/>
  <c r="R14" i="3" s="1"/>
  <c r="X14" i="3"/>
  <c r="AE14" i="3"/>
  <c r="Q23" i="3"/>
  <c r="G23" i="3"/>
  <c r="R23" i="3" s="1"/>
  <c r="X23" i="3"/>
  <c r="AE23" i="3"/>
  <c r="G11" i="3"/>
  <c r="R11" i="3" s="1"/>
  <c r="X11" i="3"/>
  <c r="AE11" i="3"/>
  <c r="Q66" i="3"/>
  <c r="G66" i="3"/>
  <c r="R66" i="3" s="1"/>
  <c r="X66" i="3"/>
  <c r="AE66" i="3"/>
  <c r="Q80" i="3"/>
  <c r="G80" i="3"/>
  <c r="R80" i="3" s="1"/>
  <c r="X80" i="3"/>
  <c r="AE80" i="3"/>
  <c r="Q70" i="3"/>
  <c r="G70" i="3"/>
  <c r="R70" i="3" s="1"/>
  <c r="X70" i="3"/>
  <c r="AE70" i="3"/>
  <c r="Q79" i="3"/>
  <c r="G79" i="3"/>
  <c r="R79" i="3" s="1"/>
  <c r="X79" i="3"/>
  <c r="AE79" i="3"/>
  <c r="Q71" i="3"/>
  <c r="G71" i="3"/>
  <c r="R71" i="3" s="1"/>
  <c r="X71" i="3"/>
  <c r="AE71" i="3"/>
  <c r="Q76" i="3"/>
  <c r="G76" i="3"/>
  <c r="R76" i="3" s="1"/>
  <c r="X76" i="3"/>
  <c r="AE76" i="3"/>
  <c r="Q63" i="3"/>
  <c r="C2" i="17" s="1"/>
  <c r="D2" i="17" s="1"/>
  <c r="G63" i="3"/>
  <c r="R63" i="3" s="1"/>
  <c r="X63" i="3"/>
  <c r="AE63" i="3"/>
  <c r="Q35" i="3"/>
  <c r="C52" i="17" s="1"/>
  <c r="D52" i="17" s="1"/>
  <c r="G35" i="3"/>
  <c r="R35" i="3" s="1"/>
  <c r="X35" i="3"/>
  <c r="AE35" i="3"/>
  <c r="Q40" i="3"/>
  <c r="G40" i="3"/>
  <c r="R40" i="3" s="1"/>
  <c r="X40" i="3"/>
  <c r="AE40" i="3"/>
  <c r="Q39" i="3"/>
  <c r="G39" i="3"/>
  <c r="R39" i="3" s="1"/>
  <c r="X39" i="3"/>
  <c r="AE39" i="3"/>
  <c r="Q46" i="3"/>
  <c r="G46" i="3"/>
  <c r="R46" i="3" s="1"/>
  <c r="X46" i="3"/>
  <c r="AE46" i="3"/>
  <c r="Q38" i="3"/>
  <c r="G38" i="3"/>
  <c r="R38" i="3" s="1"/>
  <c r="X38" i="3"/>
  <c r="AE38" i="3"/>
  <c r="Q88" i="3"/>
  <c r="G88" i="3"/>
  <c r="R88" i="3" s="1"/>
  <c r="X88" i="3"/>
  <c r="AE88" i="3"/>
  <c r="G85" i="3"/>
  <c r="R85" i="3" s="1"/>
  <c r="X85" i="3"/>
  <c r="AE85" i="3"/>
  <c r="Q78" i="3"/>
  <c r="G78" i="3"/>
  <c r="R78" i="3" s="1"/>
  <c r="X78" i="3"/>
  <c r="AE78" i="3"/>
  <c r="Q77" i="3"/>
  <c r="G77" i="3"/>
  <c r="R77" i="3" s="1"/>
  <c r="X77" i="3"/>
  <c r="AE77" i="3"/>
  <c r="Q62" i="3"/>
  <c r="G62" i="3"/>
  <c r="R62" i="3" s="1"/>
  <c r="X62" i="3"/>
  <c r="AE62" i="3"/>
  <c r="Q65" i="3"/>
  <c r="G65" i="3"/>
  <c r="R65" i="3" s="1"/>
  <c r="X65" i="3"/>
  <c r="AE65" i="3"/>
  <c r="Q74" i="3"/>
  <c r="G74" i="3"/>
  <c r="R74" i="3" s="1"/>
  <c r="X74" i="3"/>
  <c r="AE74" i="3"/>
  <c r="Q75" i="3"/>
  <c r="G75" i="3"/>
  <c r="R75" i="3" s="1"/>
  <c r="X75" i="3"/>
  <c r="AE75" i="3"/>
  <c r="Q69" i="3"/>
  <c r="G69" i="3"/>
  <c r="R69" i="3" s="1"/>
  <c r="X69" i="3"/>
  <c r="AE69" i="3"/>
  <c r="G55" i="3"/>
  <c r="R55" i="3" s="1"/>
  <c r="X55" i="3"/>
  <c r="AE55" i="3"/>
  <c r="R15" i="12"/>
  <c r="E26" i="17" l="1"/>
  <c r="F26" i="17" s="1"/>
  <c r="C20" i="17"/>
  <c r="D20" i="17" s="1"/>
  <c r="S88" i="11"/>
  <c r="S97" i="11"/>
  <c r="S101" i="11"/>
  <c r="S90" i="11"/>
  <c r="S102" i="11"/>
  <c r="S110" i="11"/>
  <c r="S115" i="11"/>
  <c r="S123" i="11"/>
  <c r="S127" i="11"/>
  <c r="E58" i="17"/>
  <c r="F58" i="17" s="1"/>
  <c r="S91" i="11"/>
  <c r="S111" i="11"/>
  <c r="M66" i="14"/>
  <c r="B66" i="14" s="1" a="1"/>
  <c r="B66" i="14" s="1"/>
  <c r="R66" i="14"/>
  <c r="J66" i="14" s="1"/>
  <c r="K29" i="14"/>
  <c r="R29" i="14"/>
  <c r="J29" i="14" s="1"/>
  <c r="M64" i="14"/>
  <c r="B64" i="14" s="1" a="1"/>
  <c r="B64" i="14" s="1"/>
  <c r="R64" i="14"/>
  <c r="J64" i="14" s="1"/>
  <c r="M27" i="14"/>
  <c r="B27" i="14" s="1" a="1"/>
  <c r="B27" i="14" s="1"/>
  <c r="R27" i="14"/>
  <c r="J27" i="14" s="1"/>
  <c r="K30" i="14"/>
  <c r="R30" i="14"/>
  <c r="J30" i="14" s="1"/>
  <c r="K32" i="14"/>
  <c r="R32" i="14"/>
  <c r="J32" i="14" s="1"/>
  <c r="K48" i="14"/>
  <c r="R48" i="14"/>
  <c r="J48" i="14" s="1"/>
  <c r="M81" i="14"/>
  <c r="B81" i="14" s="1" a="1"/>
  <c r="B81" i="14" s="1"/>
  <c r="R81" i="14"/>
  <c r="J81" i="14" s="1"/>
  <c r="K43" i="14"/>
  <c r="R43" i="14"/>
  <c r="J43" i="14" s="1"/>
  <c r="K69" i="14"/>
  <c r="R69" i="14"/>
  <c r="J69" i="14" s="1"/>
  <c r="M88" i="14"/>
  <c r="B88" i="14" s="1" a="1"/>
  <c r="B88" i="14" s="1"/>
  <c r="R88" i="14"/>
  <c r="J88" i="14" s="1"/>
  <c r="M87" i="14"/>
  <c r="B87" i="14" s="1" a="1"/>
  <c r="B87" i="14" s="1"/>
  <c r="R87" i="14"/>
  <c r="J87" i="14" s="1"/>
  <c r="M46" i="14"/>
  <c r="B46" i="14" s="1" a="1"/>
  <c r="B46" i="14" s="1"/>
  <c r="R46" i="14"/>
  <c r="J46" i="14" s="1"/>
  <c r="M71" i="14"/>
  <c r="A71" i="14" s="1" a="1"/>
  <c r="A71" i="14" s="1"/>
  <c r="R71" i="14"/>
  <c r="J71" i="14" s="1"/>
  <c r="K61" i="14"/>
  <c r="R61" i="14"/>
  <c r="J61" i="14" s="1"/>
  <c r="K57" i="14"/>
  <c r="R57" i="14"/>
  <c r="J57" i="14" s="1"/>
  <c r="K44" i="14"/>
  <c r="R44" i="14"/>
  <c r="J44" i="14" s="1"/>
  <c r="K47" i="14"/>
  <c r="R47" i="14"/>
  <c r="J47" i="14" s="1"/>
  <c r="M75" i="14"/>
  <c r="B75" i="14" s="1" a="1"/>
  <c r="B75" i="14" s="1"/>
  <c r="R75" i="14"/>
  <c r="J75" i="14" s="1"/>
  <c r="K84" i="14"/>
  <c r="R84" i="14"/>
  <c r="J84" i="14" s="1"/>
  <c r="K38" i="14"/>
  <c r="R38" i="14"/>
  <c r="J38" i="14" s="1"/>
  <c r="K35" i="14"/>
  <c r="R35" i="14"/>
  <c r="J35" i="14" s="1"/>
  <c r="K74" i="14"/>
  <c r="R74" i="14"/>
  <c r="J74" i="14" s="1"/>
  <c r="M72" i="14"/>
  <c r="B72" i="14" s="1" a="1"/>
  <c r="B72" i="14" s="1"/>
  <c r="R72" i="14"/>
  <c r="J72" i="14" s="1"/>
  <c r="K59" i="14"/>
  <c r="R59" i="14"/>
  <c r="J59" i="14" s="1"/>
  <c r="K41" i="14"/>
  <c r="R41" i="14"/>
  <c r="J41" i="14" s="1"/>
  <c r="K18" i="14"/>
  <c r="R18" i="14"/>
  <c r="J18" i="14" s="1"/>
  <c r="L82" i="14"/>
  <c r="R82" i="14"/>
  <c r="J82" i="14" s="1"/>
  <c r="K65" i="14"/>
  <c r="R65" i="14"/>
  <c r="J65" i="14" s="1"/>
  <c r="M85" i="14"/>
  <c r="B85" i="14" s="1" a="1"/>
  <c r="B85" i="14" s="1"/>
  <c r="R85" i="14"/>
  <c r="J85" i="14" s="1"/>
  <c r="M28" i="14"/>
  <c r="B28" i="14" s="1" a="1"/>
  <c r="B28" i="14" s="1"/>
  <c r="R28" i="14"/>
  <c r="J28" i="14" s="1"/>
  <c r="M51" i="14"/>
  <c r="B51" i="14" s="1" a="1"/>
  <c r="B51" i="14" s="1"/>
  <c r="R51" i="14"/>
  <c r="J51" i="14" s="1"/>
  <c r="M68" i="14"/>
  <c r="A68" i="14" s="1" a="1"/>
  <c r="A68" i="14" s="1"/>
  <c r="R68" i="14"/>
  <c r="J68" i="14" s="1"/>
  <c r="K25" i="14"/>
  <c r="R25" i="14"/>
  <c r="J25" i="14" s="1"/>
  <c r="K45" i="14"/>
  <c r="R45" i="14"/>
  <c r="J45" i="14" s="1"/>
  <c r="K50" i="14"/>
  <c r="R50" i="14"/>
  <c r="J50" i="14" s="1"/>
  <c r="K40" i="14"/>
  <c r="R40" i="14"/>
  <c r="J40" i="14" s="1"/>
  <c r="K86" i="14"/>
  <c r="R86" i="14"/>
  <c r="J86" i="14" s="1"/>
  <c r="M75" i="6"/>
  <c r="B75" i="6" s="1" a="1"/>
  <c r="B75" i="6" s="1"/>
  <c r="R75" i="6"/>
  <c r="J75" i="6" s="1"/>
  <c r="M39" i="6"/>
  <c r="B39" i="6" s="1" a="1"/>
  <c r="B39" i="6" s="1"/>
  <c r="R39" i="6"/>
  <c r="J39" i="6" s="1"/>
  <c r="M55" i="6"/>
  <c r="B55" i="6" s="1" a="1"/>
  <c r="B55" i="6" s="1"/>
  <c r="R55" i="6"/>
  <c r="J55" i="6" s="1"/>
  <c r="M58" i="6"/>
  <c r="B58" i="6" s="1" a="1"/>
  <c r="B58" i="6" s="1"/>
  <c r="R58" i="6"/>
  <c r="J58" i="6" s="1"/>
  <c r="K73" i="6"/>
  <c r="R73" i="6"/>
  <c r="J73" i="6" s="1"/>
  <c r="K71" i="6"/>
  <c r="R71" i="6"/>
  <c r="J71" i="6" s="1"/>
  <c r="K37" i="6"/>
  <c r="R37" i="6"/>
  <c r="J37" i="6" s="1"/>
  <c r="K14" i="6"/>
  <c r="R14" i="6"/>
  <c r="J14" i="6" s="1"/>
  <c r="K32" i="6"/>
  <c r="R32" i="6"/>
  <c r="J32" i="6" s="1"/>
  <c r="K59" i="6"/>
  <c r="R59" i="6"/>
  <c r="J59" i="6" s="1"/>
  <c r="K61" i="6"/>
  <c r="R61" i="6"/>
  <c r="J61" i="6" s="1"/>
  <c r="M42" i="6"/>
  <c r="B42" i="6" s="1" a="1"/>
  <c r="B42" i="6" s="1"/>
  <c r="R42" i="6"/>
  <c r="J42" i="6" s="1"/>
  <c r="M63" i="6"/>
  <c r="B63" i="6" s="1" a="1"/>
  <c r="B63" i="6" s="1"/>
  <c r="R63" i="6"/>
  <c r="J63" i="6" s="1"/>
  <c r="K56" i="6"/>
  <c r="R56" i="6"/>
  <c r="J56" i="6" s="1"/>
  <c r="K40" i="6"/>
  <c r="R40" i="6"/>
  <c r="J40" i="6" s="1"/>
  <c r="K53" i="6"/>
  <c r="R53" i="6"/>
  <c r="J53" i="6" s="1"/>
  <c r="K41" i="6"/>
  <c r="R41" i="6"/>
  <c r="J41" i="6" s="1"/>
  <c r="M47" i="6"/>
  <c r="R47" i="6"/>
  <c r="J47" i="6" s="1"/>
  <c r="M62" i="6"/>
  <c r="B62" i="6" s="1" a="1"/>
  <c r="B62" i="6" s="1"/>
  <c r="R62" i="6"/>
  <c r="J62" i="6" s="1"/>
  <c r="K76" i="6"/>
  <c r="R76" i="6"/>
  <c r="J76" i="6" s="1"/>
  <c r="M4" i="6"/>
  <c r="R4" i="6"/>
  <c r="J4" i="6" s="1"/>
  <c r="M69" i="6"/>
  <c r="B69" i="6" s="1" a="1"/>
  <c r="B69" i="6" s="1"/>
  <c r="R69" i="6"/>
  <c r="J69" i="6" s="1"/>
  <c r="K60" i="6"/>
  <c r="R60" i="6"/>
  <c r="J60" i="6" s="1"/>
  <c r="K51" i="6"/>
  <c r="R51" i="6"/>
  <c r="J51" i="6" s="1"/>
  <c r="M54" i="6"/>
  <c r="B54" i="6" s="1" a="1"/>
  <c r="B54" i="6" s="1"/>
  <c r="R54" i="6"/>
  <c r="J54" i="6" s="1"/>
  <c r="M78" i="6"/>
  <c r="R78" i="6"/>
  <c r="J78" i="6" s="1"/>
  <c r="M33" i="6"/>
  <c r="B33" i="6" s="1" a="1"/>
  <c r="B33" i="6" s="1"/>
  <c r="R33" i="6"/>
  <c r="J33" i="6" s="1"/>
  <c r="M28" i="6"/>
  <c r="B28" i="6" s="1" a="1"/>
  <c r="B28" i="6" s="1"/>
  <c r="R28" i="6"/>
  <c r="J28" i="6" s="1"/>
  <c r="M36" i="6"/>
  <c r="B36" i="6" s="1" a="1"/>
  <c r="B36" i="6" s="1"/>
  <c r="R36" i="6"/>
  <c r="J36" i="6" s="1"/>
  <c r="M56" i="16"/>
  <c r="B56" i="16" s="1" a="1"/>
  <c r="B56" i="16" s="1"/>
  <c r="R56" i="16"/>
  <c r="J56" i="16" s="1"/>
  <c r="M49" i="16"/>
  <c r="B49" i="16" s="1" a="1"/>
  <c r="B49" i="16" s="1"/>
  <c r="R49" i="16"/>
  <c r="J49" i="16" s="1"/>
  <c r="M43" i="16"/>
  <c r="B43" i="16" s="1" a="1"/>
  <c r="B43" i="16" s="1"/>
  <c r="R43" i="16"/>
  <c r="J43" i="16" s="1"/>
  <c r="M65" i="16"/>
  <c r="B65" i="16" s="1" a="1"/>
  <c r="B65" i="16" s="1"/>
  <c r="R65" i="16"/>
  <c r="J65" i="16" s="1"/>
  <c r="L72" i="16"/>
  <c r="R72" i="16"/>
  <c r="J72" i="16" s="1"/>
  <c r="K36" i="16"/>
  <c r="R36" i="16"/>
  <c r="J36" i="16" s="1"/>
  <c r="K61" i="16"/>
  <c r="R61" i="16"/>
  <c r="J61" i="16" s="1"/>
  <c r="K67" i="16"/>
  <c r="R67" i="16"/>
  <c r="J67" i="16" s="1"/>
  <c r="L71" i="16"/>
  <c r="R71" i="16"/>
  <c r="J71" i="16" s="1"/>
  <c r="M16" i="16"/>
  <c r="A16" i="16" s="1" a="1"/>
  <c r="A16" i="16" s="1"/>
  <c r="R16" i="16"/>
  <c r="J16" i="16" s="1"/>
  <c r="L39" i="16"/>
  <c r="R39" i="16"/>
  <c r="J39" i="16" s="1"/>
  <c r="M38" i="16"/>
  <c r="B38" i="16" s="1" a="1"/>
  <c r="B38" i="16" s="1"/>
  <c r="R38" i="16"/>
  <c r="J38" i="16" s="1"/>
  <c r="M9" i="16"/>
  <c r="R9" i="16"/>
  <c r="J9" i="16" s="1"/>
  <c r="M63" i="16"/>
  <c r="A63" i="16" s="1" a="1"/>
  <c r="A63" i="16" s="1"/>
  <c r="R63" i="16"/>
  <c r="J63" i="16" s="1"/>
  <c r="M77" i="16"/>
  <c r="B77" i="16" s="1" a="1"/>
  <c r="B77" i="16" s="1"/>
  <c r="R77" i="16"/>
  <c r="J77" i="16" s="1"/>
  <c r="M29" i="16"/>
  <c r="B29" i="16" s="1" a="1"/>
  <c r="B29" i="16" s="1"/>
  <c r="R29" i="16"/>
  <c r="J29" i="16" s="1"/>
  <c r="M48" i="16"/>
  <c r="B48" i="16" s="1" a="1"/>
  <c r="B48" i="16" s="1"/>
  <c r="R48" i="16"/>
  <c r="J48" i="16" s="1"/>
  <c r="M59" i="16"/>
  <c r="B59" i="16" s="1" a="1"/>
  <c r="B59" i="16" s="1"/>
  <c r="R59" i="16"/>
  <c r="J59" i="16" s="1"/>
  <c r="M68" i="16"/>
  <c r="B68" i="16" s="1" a="1"/>
  <c r="B68" i="16" s="1"/>
  <c r="R68" i="16"/>
  <c r="J68" i="16" s="1"/>
  <c r="M76" i="16"/>
  <c r="B76" i="16" s="1" a="1"/>
  <c r="B76" i="16" s="1"/>
  <c r="R76" i="16"/>
  <c r="J76" i="16" s="1"/>
  <c r="M5" i="16"/>
  <c r="R5" i="16"/>
  <c r="J5" i="16" s="1"/>
  <c r="M40" i="16"/>
  <c r="B40" i="16" s="1" a="1"/>
  <c r="B40" i="16" s="1"/>
  <c r="R40" i="16"/>
  <c r="J40" i="16" s="1"/>
  <c r="L45" i="16"/>
  <c r="R45" i="16"/>
  <c r="J45" i="16" s="1"/>
  <c r="M31" i="16"/>
  <c r="B31" i="16" s="1" a="1"/>
  <c r="B31" i="16" s="1"/>
  <c r="R31" i="16"/>
  <c r="J31" i="16" s="1"/>
  <c r="K66" i="16"/>
  <c r="R66" i="16"/>
  <c r="J66" i="16" s="1"/>
  <c r="K79" i="16"/>
  <c r="R79" i="16"/>
  <c r="J79" i="16" s="1"/>
  <c r="L78" i="16"/>
  <c r="R78" i="16"/>
  <c r="J78" i="16" s="1"/>
  <c r="L23" i="16"/>
  <c r="R23" i="16"/>
  <c r="J23" i="16" s="1"/>
  <c r="L42" i="16"/>
  <c r="R42" i="16"/>
  <c r="J42" i="16" s="1"/>
  <c r="K54" i="16"/>
  <c r="R54" i="16"/>
  <c r="J54" i="16" s="1"/>
  <c r="M73" i="16"/>
  <c r="B73" i="16" s="1" a="1"/>
  <c r="B73" i="16" s="1"/>
  <c r="R73" i="16"/>
  <c r="J73" i="16" s="1"/>
  <c r="K33" i="16"/>
  <c r="R33" i="16"/>
  <c r="J33" i="16" s="1"/>
  <c r="M23" i="15"/>
  <c r="B23" i="15" s="1" a="1"/>
  <c r="B23" i="15" s="1"/>
  <c r="R23" i="15"/>
  <c r="J23" i="15" s="1"/>
  <c r="K13" i="15"/>
  <c r="R13" i="15"/>
  <c r="J13" i="15" s="1"/>
  <c r="K18" i="15"/>
  <c r="R18" i="15"/>
  <c r="J18" i="15" s="1"/>
  <c r="K32" i="15"/>
  <c r="R32" i="15"/>
  <c r="J32" i="15" s="1"/>
  <c r="K3" i="15"/>
  <c r="R3" i="15"/>
  <c r="J3" i="15" s="1"/>
  <c r="K38" i="15"/>
  <c r="R38" i="15"/>
  <c r="J38" i="15" s="1"/>
  <c r="L33" i="15"/>
  <c r="R33" i="15"/>
  <c r="J33" i="15" s="1"/>
  <c r="M6" i="15"/>
  <c r="R6" i="15"/>
  <c r="J6" i="15" s="1"/>
  <c r="M15" i="15"/>
  <c r="B15" i="15" s="1" a="1"/>
  <c r="B15" i="15" s="1"/>
  <c r="R15" i="15"/>
  <c r="J15" i="15" s="1"/>
  <c r="M30" i="15"/>
  <c r="B30" i="15" s="1" a="1"/>
  <c r="B30" i="15" s="1"/>
  <c r="R30" i="15"/>
  <c r="J30" i="15" s="1"/>
  <c r="K8" i="15"/>
  <c r="R8" i="15"/>
  <c r="J8" i="15" s="1"/>
  <c r="M17" i="15"/>
  <c r="B17" i="15" s="1" a="1"/>
  <c r="B17" i="15" s="1"/>
  <c r="R17" i="15"/>
  <c r="J17" i="15" s="1"/>
  <c r="M26" i="15"/>
  <c r="B26" i="15" s="1" a="1"/>
  <c r="B26" i="15" s="1"/>
  <c r="R26" i="15"/>
  <c r="J26" i="15" s="1"/>
  <c r="K27" i="15"/>
  <c r="R27" i="15"/>
  <c r="J27" i="15" s="1"/>
  <c r="K11" i="15"/>
  <c r="R11" i="15"/>
  <c r="J11" i="15" s="1"/>
  <c r="K21" i="15"/>
  <c r="R21" i="15"/>
  <c r="J21" i="15" s="1"/>
  <c r="K31" i="15"/>
  <c r="R31" i="15"/>
  <c r="J31" i="15" s="1"/>
  <c r="K10" i="15"/>
  <c r="R10" i="15"/>
  <c r="J10" i="15" s="1"/>
  <c r="L5" i="13"/>
  <c r="S5" i="13"/>
  <c r="K5" i="13" s="1"/>
  <c r="N5" i="13"/>
  <c r="A5" i="13" s="1" a="1"/>
  <c r="A5" i="13" s="1"/>
  <c r="L30" i="13"/>
  <c r="S30" i="13"/>
  <c r="K30" i="13" s="1"/>
  <c r="L36" i="13"/>
  <c r="S36" i="13"/>
  <c r="K36" i="13" s="1"/>
  <c r="L15" i="13"/>
  <c r="S15" i="13"/>
  <c r="K15" i="13" s="1"/>
  <c r="N20" i="13"/>
  <c r="B20" i="13" s="1" a="1"/>
  <c r="B20" i="13" s="1"/>
  <c r="S20" i="13"/>
  <c r="K20" i="13" s="1"/>
  <c r="N16" i="13"/>
  <c r="B16" i="13" s="1" a="1"/>
  <c r="B16" i="13" s="1"/>
  <c r="S16" i="13"/>
  <c r="K16" i="13" s="1"/>
  <c r="M4" i="13"/>
  <c r="S4" i="13"/>
  <c r="K4" i="13" s="1"/>
  <c r="L33" i="13"/>
  <c r="S33" i="13"/>
  <c r="K33" i="13" s="1"/>
  <c r="N8" i="13"/>
  <c r="B8" i="13" s="1" a="1"/>
  <c r="B8" i="13" s="1"/>
  <c r="S8" i="13"/>
  <c r="K8" i="13" s="1"/>
  <c r="N31" i="13"/>
  <c r="B31" i="13" s="1" a="1"/>
  <c r="B31" i="13" s="1"/>
  <c r="S31" i="13"/>
  <c r="K31" i="13" s="1"/>
  <c r="L17" i="13"/>
  <c r="S17" i="13"/>
  <c r="K17" i="13" s="1"/>
  <c r="L6" i="13"/>
  <c r="S6" i="13"/>
  <c r="K6" i="13" s="1"/>
  <c r="L28" i="13"/>
  <c r="S28" i="13"/>
  <c r="K28" i="13" s="1"/>
  <c r="L29" i="13"/>
  <c r="S29" i="13"/>
  <c r="K29" i="13" s="1"/>
  <c r="M22" i="13"/>
  <c r="S22" i="13"/>
  <c r="K22" i="13" s="1"/>
  <c r="L14" i="13"/>
  <c r="S14" i="13"/>
  <c r="K14" i="13" s="1"/>
  <c r="L23" i="13"/>
  <c r="S23" i="13"/>
  <c r="K23" i="13" s="1"/>
  <c r="M3" i="13"/>
  <c r="S3" i="13"/>
  <c r="K3" i="13" s="1"/>
  <c r="L12" i="13"/>
  <c r="S12" i="13"/>
  <c r="K12" i="13" s="1"/>
  <c r="L24" i="13"/>
  <c r="S24" i="13"/>
  <c r="K24" i="13" s="1"/>
  <c r="L35" i="13"/>
  <c r="S35" i="13"/>
  <c r="K35" i="13" s="1"/>
  <c r="N34" i="13"/>
  <c r="B34" i="13" s="1" a="1"/>
  <c r="B34" i="13" s="1"/>
  <c r="S34" i="13"/>
  <c r="K34" i="13" s="1"/>
  <c r="N32" i="13"/>
  <c r="B32" i="13" s="1" a="1"/>
  <c r="B32" i="13" s="1"/>
  <c r="S32" i="13"/>
  <c r="K32" i="13" s="1"/>
  <c r="M9" i="13"/>
  <c r="S9" i="13"/>
  <c r="K9" i="13" s="1"/>
  <c r="M21" i="13"/>
  <c r="S21" i="13"/>
  <c r="K21" i="13" s="1"/>
  <c r="M26" i="13"/>
  <c r="S26" i="13"/>
  <c r="K26" i="13" s="1"/>
  <c r="M27" i="13"/>
  <c r="S27" i="13"/>
  <c r="K27" i="13" s="1"/>
  <c r="M10" i="13"/>
  <c r="S10" i="13"/>
  <c r="K10" i="13" s="1"/>
  <c r="M11" i="13"/>
  <c r="S11" i="13"/>
  <c r="K11" i="13" s="1"/>
  <c r="L18" i="13"/>
  <c r="S18" i="13"/>
  <c r="K18" i="13" s="1"/>
  <c r="M13" i="13"/>
  <c r="S13" i="13"/>
  <c r="K13" i="13" s="1"/>
  <c r="N7" i="13"/>
  <c r="B7" i="13" s="1" a="1"/>
  <c r="B7" i="13" s="1"/>
  <c r="S7" i="13"/>
  <c r="K7" i="13" s="1"/>
  <c r="M38" i="13"/>
  <c r="S38" i="13"/>
  <c r="K38" i="13" s="1"/>
  <c r="L37" i="13"/>
  <c r="S37" i="13"/>
  <c r="K37" i="13" s="1"/>
  <c r="N19" i="13"/>
  <c r="B19" i="13" s="1" a="1"/>
  <c r="B19" i="13" s="1"/>
  <c r="S19" i="13"/>
  <c r="K19" i="13" s="1"/>
  <c r="N20" i="12"/>
  <c r="B20" i="12" s="1" a="1"/>
  <c r="B20" i="12" s="1"/>
  <c r="S20" i="12"/>
  <c r="K20" i="12" s="1"/>
  <c r="L11" i="12"/>
  <c r="S11" i="12"/>
  <c r="K11" i="12" s="1"/>
  <c r="N6" i="12"/>
  <c r="B6" i="12" s="1" a="1"/>
  <c r="B6" i="12" s="1"/>
  <c r="S6" i="12"/>
  <c r="K6" i="12" s="1"/>
  <c r="L17" i="12"/>
  <c r="S17" i="12"/>
  <c r="K17" i="12" s="1"/>
  <c r="L10" i="12"/>
  <c r="S10" i="12"/>
  <c r="K10" i="12" s="1"/>
  <c r="L18" i="12"/>
  <c r="S18" i="12"/>
  <c r="K18" i="12" s="1"/>
  <c r="L19" i="12"/>
  <c r="S19" i="12"/>
  <c r="K19" i="12" s="1"/>
  <c r="M16" i="12"/>
  <c r="S16" i="12"/>
  <c r="K16" i="12" s="1"/>
  <c r="M5" i="12"/>
  <c r="S5" i="12"/>
  <c r="K5" i="12" s="1"/>
  <c r="L12" i="12"/>
  <c r="S12" i="12"/>
  <c r="K12" i="12" s="1"/>
  <c r="L9" i="12"/>
  <c r="S9" i="12"/>
  <c r="K9" i="12" s="1"/>
  <c r="L14" i="12"/>
  <c r="S14" i="12"/>
  <c r="K14" i="12" s="1"/>
  <c r="N3" i="12"/>
  <c r="S3" i="12"/>
  <c r="K3" i="12" s="1"/>
  <c r="L7" i="12"/>
  <c r="S7" i="12"/>
  <c r="K7" i="12" s="1"/>
  <c r="L8" i="12"/>
  <c r="S8" i="12"/>
  <c r="K8" i="12" s="1"/>
  <c r="L13" i="12"/>
  <c r="S13" i="12"/>
  <c r="K13" i="12" s="1"/>
  <c r="S79" i="11"/>
  <c r="S100" i="11"/>
  <c r="S93" i="11"/>
  <c r="S128" i="11"/>
  <c r="S109" i="11"/>
  <c r="S119" i="11"/>
  <c r="S94" i="11"/>
  <c r="S96" i="11"/>
  <c r="S124" i="11"/>
  <c r="G34" i="17"/>
  <c r="H34" i="17" s="1"/>
  <c r="G21" i="17"/>
  <c r="H21" i="17" s="1"/>
  <c r="K26" i="16"/>
  <c r="L4" i="12"/>
  <c r="C37" i="17"/>
  <c r="D37" i="17" s="1"/>
  <c r="L5" i="11"/>
  <c r="R5" i="11"/>
  <c r="J5" i="11" s="1"/>
  <c r="R53" i="11"/>
  <c r="J53" i="11" s="1"/>
  <c r="R88" i="11"/>
  <c r="J88" i="11" s="1"/>
  <c r="R97" i="11"/>
  <c r="J97" i="11" s="1"/>
  <c r="R101" i="11"/>
  <c r="J101" i="11" s="1"/>
  <c r="R90" i="11"/>
  <c r="J90" i="11" s="1"/>
  <c r="R102" i="11"/>
  <c r="J102" i="11" s="1"/>
  <c r="R110" i="11"/>
  <c r="J110" i="11" s="1"/>
  <c r="R115" i="11"/>
  <c r="J115" i="11" s="1"/>
  <c r="R123" i="11"/>
  <c r="J123" i="11" s="1"/>
  <c r="R127" i="11"/>
  <c r="J127" i="11" s="1"/>
  <c r="R70" i="11"/>
  <c r="J70" i="11" s="1"/>
  <c r="M66" i="11"/>
  <c r="B66" i="11" s="1" a="1"/>
  <c r="B66" i="11" s="1"/>
  <c r="R66" i="11"/>
  <c r="J66" i="11" s="1"/>
  <c r="M74" i="11"/>
  <c r="B74" i="11" s="1" a="1"/>
  <c r="B74" i="11" s="1"/>
  <c r="R74" i="11"/>
  <c r="J74" i="11" s="1"/>
  <c r="M46" i="11"/>
  <c r="B46" i="11" s="1" a="1"/>
  <c r="B46" i="11" s="1"/>
  <c r="R46" i="11"/>
  <c r="J46" i="11" s="1"/>
  <c r="M55" i="11"/>
  <c r="B55" i="11" s="1" a="1"/>
  <c r="B55" i="11" s="1"/>
  <c r="R55" i="11"/>
  <c r="J55" i="11" s="1"/>
  <c r="M56" i="11"/>
  <c r="B56" i="11" s="1" a="1"/>
  <c r="B56" i="11" s="1"/>
  <c r="R56" i="11"/>
  <c r="J56" i="11" s="1"/>
  <c r="M42" i="11"/>
  <c r="B42" i="11" s="1" a="1"/>
  <c r="B42" i="11" s="1"/>
  <c r="R42" i="11"/>
  <c r="J42" i="11" s="1"/>
  <c r="M44" i="11"/>
  <c r="B44" i="11" s="1" a="1"/>
  <c r="B44" i="11" s="1"/>
  <c r="R44" i="11"/>
  <c r="J44" i="11" s="1"/>
  <c r="M62" i="11"/>
  <c r="B62" i="11" s="1" a="1"/>
  <c r="B62" i="11" s="1"/>
  <c r="R62" i="11"/>
  <c r="J62" i="11" s="1"/>
  <c r="M47" i="11"/>
  <c r="B47" i="11" s="1" a="1"/>
  <c r="B47" i="11" s="1"/>
  <c r="R47" i="11"/>
  <c r="J47" i="11" s="1"/>
  <c r="R36" i="11"/>
  <c r="J36" i="11" s="1"/>
  <c r="M59" i="11"/>
  <c r="B59" i="11" s="1" a="1"/>
  <c r="B59" i="11" s="1"/>
  <c r="R59" i="11"/>
  <c r="J59" i="11" s="1"/>
  <c r="R28" i="11"/>
  <c r="J28" i="11" s="1"/>
  <c r="R79" i="11"/>
  <c r="J79" i="11" s="1"/>
  <c r="K26" i="11"/>
  <c r="R26" i="11"/>
  <c r="J26" i="11" s="1"/>
  <c r="K61" i="11"/>
  <c r="R61" i="11"/>
  <c r="J61" i="11" s="1"/>
  <c r="M73" i="11"/>
  <c r="B73" i="11" s="1" a="1"/>
  <c r="B73" i="11" s="1"/>
  <c r="R73" i="11"/>
  <c r="J73" i="11" s="1"/>
  <c r="R91" i="11"/>
  <c r="J91" i="11" s="1"/>
  <c r="R100" i="11"/>
  <c r="J100" i="11" s="1"/>
  <c r="R94" i="11"/>
  <c r="J94" i="11" s="1"/>
  <c r="R111" i="11"/>
  <c r="J111" i="11" s="1"/>
  <c r="R93" i="11"/>
  <c r="J93" i="11" s="1"/>
  <c r="R109" i="11"/>
  <c r="J109" i="11" s="1"/>
  <c r="L96" i="11"/>
  <c r="R96" i="11"/>
  <c r="J96" i="11" s="1"/>
  <c r="R128" i="11"/>
  <c r="J128" i="11" s="1"/>
  <c r="L124" i="11"/>
  <c r="R124" i="11"/>
  <c r="J124" i="11" s="1"/>
  <c r="R119" i="11"/>
  <c r="J119" i="11" s="1"/>
  <c r="K65" i="11"/>
  <c r="R65" i="11"/>
  <c r="J65" i="11" s="1"/>
  <c r="K54" i="11"/>
  <c r="R54" i="11"/>
  <c r="J54" i="11" s="1"/>
  <c r="K40" i="11"/>
  <c r="R40" i="11"/>
  <c r="J40" i="11" s="1"/>
  <c r="K34" i="11"/>
  <c r="R34" i="11"/>
  <c r="J34" i="11" s="1"/>
  <c r="K35" i="11"/>
  <c r="R35" i="11"/>
  <c r="J35" i="11" s="1"/>
  <c r="M60" i="11"/>
  <c r="B60" i="11" s="1" a="1"/>
  <c r="B60" i="11" s="1"/>
  <c r="R60" i="11"/>
  <c r="J60" i="11" s="1"/>
  <c r="K58" i="11"/>
  <c r="R58" i="11"/>
  <c r="J58" i="11" s="1"/>
  <c r="M69" i="11"/>
  <c r="B69" i="11" s="1" a="1"/>
  <c r="B69" i="11" s="1"/>
  <c r="R69" i="11"/>
  <c r="J69" i="11" s="1"/>
  <c r="K45" i="11"/>
  <c r="R45" i="11"/>
  <c r="J45" i="11" s="1"/>
  <c r="K57" i="11"/>
  <c r="R57" i="11"/>
  <c r="J57" i="11" s="1"/>
  <c r="K20" i="11"/>
  <c r="R20" i="11"/>
  <c r="J20" i="11" s="1"/>
  <c r="K24" i="11"/>
  <c r="R24" i="11"/>
  <c r="J24" i="11" s="1"/>
  <c r="L7" i="11"/>
  <c r="R7" i="11"/>
  <c r="J7" i="11" s="1"/>
  <c r="S4" i="3"/>
  <c r="J4" i="3"/>
  <c r="S55" i="3"/>
  <c r="L75" i="3"/>
  <c r="S75" i="3"/>
  <c r="S65" i="3"/>
  <c r="S77" i="3"/>
  <c r="S85" i="3"/>
  <c r="K38" i="3"/>
  <c r="S38" i="3"/>
  <c r="J38" i="3"/>
  <c r="S39" i="3"/>
  <c r="J39" i="3"/>
  <c r="K35" i="3"/>
  <c r="S35" i="3"/>
  <c r="J35" i="3"/>
  <c r="S76" i="3"/>
  <c r="L79" i="3"/>
  <c r="S79" i="3"/>
  <c r="S80" i="3"/>
  <c r="L11" i="3"/>
  <c r="S11" i="3"/>
  <c r="J11" i="3"/>
  <c r="K14" i="3"/>
  <c r="S14" i="3"/>
  <c r="J14" i="3"/>
  <c r="M28" i="3"/>
  <c r="B28" i="3" s="1" a="1"/>
  <c r="B28" i="3" s="1"/>
  <c r="S28" i="3"/>
  <c r="J28" i="3"/>
  <c r="J48" i="3"/>
  <c r="S48" i="3"/>
  <c r="M49" i="3"/>
  <c r="B49" i="3" s="1" a="1"/>
  <c r="B49" i="3" s="1"/>
  <c r="J49" i="3"/>
  <c r="S49" i="3"/>
  <c r="M45" i="3"/>
  <c r="B45" i="3" s="1" a="1"/>
  <c r="B45" i="3" s="1"/>
  <c r="S45" i="3"/>
  <c r="J45" i="3"/>
  <c r="M4" i="3"/>
  <c r="S69" i="3"/>
  <c r="S74" i="3"/>
  <c r="S62" i="3"/>
  <c r="L78" i="3"/>
  <c r="S78" i="3"/>
  <c r="L88" i="3"/>
  <c r="S88" i="3"/>
  <c r="K46" i="3"/>
  <c r="J46" i="3"/>
  <c r="S46" i="3"/>
  <c r="S40" i="3"/>
  <c r="J40" i="3"/>
  <c r="S63" i="3"/>
  <c r="S71" i="3"/>
  <c r="S70" i="3"/>
  <c r="S66" i="3"/>
  <c r="M23" i="3"/>
  <c r="B23" i="3" s="1" a="1"/>
  <c r="B23" i="3" s="1"/>
  <c r="S23" i="3"/>
  <c r="J23" i="3"/>
  <c r="M17" i="3"/>
  <c r="B17" i="3" s="1" a="1"/>
  <c r="B17" i="3" s="1"/>
  <c r="J17" i="3"/>
  <c r="S17" i="3"/>
  <c r="K22" i="3"/>
  <c r="S22" i="3"/>
  <c r="J22" i="3"/>
  <c r="M50" i="3"/>
  <c r="B50" i="3" s="1" a="1"/>
  <c r="B50" i="3" s="1"/>
  <c r="S50" i="3"/>
  <c r="J50" i="3"/>
  <c r="K42" i="3"/>
  <c r="J42" i="3"/>
  <c r="S42" i="3"/>
  <c r="M36" i="3"/>
  <c r="B36" i="3" s="1" a="1"/>
  <c r="B36" i="3" s="1"/>
  <c r="S36" i="3"/>
  <c r="J36" i="3"/>
  <c r="C4" i="17"/>
  <c r="D4" i="17" s="1"/>
  <c r="C34" i="17"/>
  <c r="D34" i="17" s="1"/>
  <c r="L54" i="11"/>
  <c r="C53" i="17"/>
  <c r="D53" i="17" s="1"/>
  <c r="C8" i="17"/>
  <c r="D8" i="17" s="1"/>
  <c r="L46" i="14"/>
  <c r="K46" i="14"/>
  <c r="M43" i="14"/>
  <c r="B43" i="14" s="1" a="1"/>
  <c r="B43" i="14" s="1"/>
  <c r="E54" i="17"/>
  <c r="F54" i="17" s="1"/>
  <c r="E43" i="17"/>
  <c r="F43" i="17" s="1"/>
  <c r="G49" i="17"/>
  <c r="H49" i="17" s="1"/>
  <c r="G15" i="17"/>
  <c r="H15" i="17" s="1"/>
  <c r="C59" i="17"/>
  <c r="D59" i="17" s="1"/>
  <c r="C6" i="17"/>
  <c r="D6" i="17" s="1"/>
  <c r="C40" i="17"/>
  <c r="D40" i="17" s="1"/>
  <c r="C7" i="17"/>
  <c r="D7" i="17" s="1"/>
  <c r="L11" i="13"/>
  <c r="M18" i="14"/>
  <c r="B18" i="14" s="1" a="1"/>
  <c r="B18" i="14" s="1"/>
  <c r="L51" i="14"/>
  <c r="L18" i="14"/>
  <c r="L27" i="14"/>
  <c r="K66" i="14"/>
  <c r="K27" i="14"/>
  <c r="L75" i="14"/>
  <c r="L47" i="6"/>
  <c r="K69" i="6"/>
  <c r="K55" i="6"/>
  <c r="L78" i="6"/>
  <c r="L28" i="6"/>
  <c r="K75" i="6"/>
  <c r="L36" i="6"/>
  <c r="L63" i="6"/>
  <c r="L55" i="6"/>
  <c r="M33" i="16"/>
  <c r="B33" i="16" s="1" a="1"/>
  <c r="B33" i="16" s="1"/>
  <c r="L26" i="15"/>
  <c r="M32" i="15"/>
  <c r="B32" i="15" s="1" a="1"/>
  <c r="B32" i="15" s="1"/>
  <c r="L23" i="15"/>
  <c r="L13" i="15"/>
  <c r="L30" i="15"/>
  <c r="M3" i="15"/>
  <c r="K30" i="15"/>
  <c r="L3" i="15"/>
  <c r="N10" i="13"/>
  <c r="B10" i="13" s="1" a="1"/>
  <c r="B10" i="13" s="1"/>
  <c r="M100" i="11"/>
  <c r="B100" i="11" s="1" a="1"/>
  <c r="B100" i="11" s="1"/>
  <c r="M109" i="11"/>
  <c r="B109" i="11" s="1" a="1"/>
  <c r="B109" i="11" s="1"/>
  <c r="M54" i="11"/>
  <c r="B54" i="11" s="1" a="1"/>
  <c r="B54" i="11" s="1"/>
  <c r="K88" i="11"/>
  <c r="K102" i="11"/>
  <c r="L69" i="11"/>
  <c r="K97" i="11"/>
  <c r="L60" i="11"/>
  <c r="M101" i="11"/>
  <c r="B101" i="11" s="1" a="1"/>
  <c r="B101" i="11" s="1"/>
  <c r="M93" i="11"/>
  <c r="B93" i="11" s="1" a="1"/>
  <c r="B93" i="11" s="1"/>
  <c r="K115" i="11"/>
  <c r="K66" i="11"/>
  <c r="L46" i="11"/>
  <c r="K7" i="11"/>
  <c r="L28" i="3"/>
  <c r="L23" i="3"/>
  <c r="M35" i="3"/>
  <c r="B35" i="3" s="1" a="1"/>
  <c r="B35" i="3" s="1"/>
  <c r="L32" i="15"/>
  <c r="M10" i="15"/>
  <c r="L6" i="15"/>
  <c r="L10" i="15"/>
  <c r="K6" i="15"/>
  <c r="M13" i="15"/>
  <c r="A13" i="15" s="1" a="1"/>
  <c r="A13" i="15" s="1"/>
  <c r="L21" i="15"/>
  <c r="M11" i="15"/>
  <c r="B11" i="15" s="1" a="1"/>
  <c r="B11" i="15" s="1"/>
  <c r="L11" i="15"/>
  <c r="K23" i="15"/>
  <c r="M18" i="15"/>
  <c r="B18" i="15" s="1" a="1"/>
  <c r="B18" i="15" s="1"/>
  <c r="L18" i="15"/>
  <c r="L15" i="15"/>
  <c r="K15" i="15"/>
  <c r="M21" i="15"/>
  <c r="B21" i="15" s="1" a="1"/>
  <c r="B21" i="15" s="1"/>
  <c r="L17" i="15"/>
  <c r="K17" i="15"/>
  <c r="M8" i="15"/>
  <c r="L8" i="15"/>
  <c r="M31" i="15"/>
  <c r="A31" i="15" s="1" a="1"/>
  <c r="A31" i="15" s="1"/>
  <c r="L31" i="15"/>
  <c r="K26" i="15"/>
  <c r="M38" i="15"/>
  <c r="L38" i="15"/>
  <c r="M27" i="15"/>
  <c r="B27" i="15" s="1" a="1"/>
  <c r="B27" i="15" s="1"/>
  <c r="L27" i="15"/>
  <c r="K33" i="15"/>
  <c r="M33" i="15"/>
  <c r="M42" i="16"/>
  <c r="B42" i="16" s="1" a="1"/>
  <c r="B42" i="16" s="1"/>
  <c r="K56" i="16"/>
  <c r="K42" i="16"/>
  <c r="L40" i="16"/>
  <c r="K40" i="16"/>
  <c r="L9" i="16"/>
  <c r="K9" i="16"/>
  <c r="M45" i="16"/>
  <c r="B45" i="16" s="1" a="1"/>
  <c r="B45" i="16" s="1"/>
  <c r="L16" i="16"/>
  <c r="K16" i="16"/>
  <c r="L5" i="16"/>
  <c r="K5" i="16"/>
  <c r="M23" i="16"/>
  <c r="A23" i="16" s="1" a="1"/>
  <c r="A23" i="16" s="1"/>
  <c r="M61" i="16"/>
  <c r="B61" i="16" s="1" a="1"/>
  <c r="B61" i="16" s="1"/>
  <c r="K23" i="16"/>
  <c r="L43" i="16"/>
  <c r="L38" i="16"/>
  <c r="K43" i="16"/>
  <c r="K78" i="16"/>
  <c r="L56" i="16"/>
  <c r="M39" i="16"/>
  <c r="B39" i="16" s="1" a="1"/>
  <c r="B39" i="16" s="1"/>
  <c r="K39" i="16"/>
  <c r="L49" i="16"/>
  <c r="K49" i="16"/>
  <c r="K38" i="16"/>
  <c r="K45" i="16"/>
  <c r="M54" i="16"/>
  <c r="B54" i="16" s="1" a="1"/>
  <c r="B54" i="16" s="1"/>
  <c r="M36" i="16"/>
  <c r="B36" i="16" s="1" a="1"/>
  <c r="B36" i="16" s="1"/>
  <c r="M26" i="16"/>
  <c r="B26" i="16" s="1" a="1"/>
  <c r="B26" i="16" s="1"/>
  <c r="L54" i="16"/>
  <c r="M66" i="16"/>
  <c r="B66" i="16" s="1" a="1"/>
  <c r="B66" i="16" s="1"/>
  <c r="M67" i="16"/>
  <c r="B67" i="16" s="1" a="1"/>
  <c r="B67" i="16" s="1"/>
  <c r="M79" i="16"/>
  <c r="M71" i="16"/>
  <c r="B71" i="16" s="1" a="1"/>
  <c r="B71" i="16" s="1"/>
  <c r="K71" i="16"/>
  <c r="M78" i="16"/>
  <c r="B78" i="16" s="1" a="1"/>
  <c r="B78" i="16" s="1"/>
  <c r="L36" i="3"/>
  <c r="M38" i="3"/>
  <c r="B38" i="3" s="1" a="1"/>
  <c r="B38" i="3" s="1"/>
  <c r="M11" i="3"/>
  <c r="K36" i="3"/>
  <c r="L10" i="13"/>
  <c r="N12" i="13"/>
  <c r="B12" i="13" s="1" a="1"/>
  <c r="B12" i="13" s="1"/>
  <c r="N35" i="13"/>
  <c r="B35" i="13" s="1" a="1"/>
  <c r="B35" i="13" s="1"/>
  <c r="L32" i="13"/>
  <c r="N33" i="13"/>
  <c r="B33" i="13" s="1" a="1"/>
  <c r="B33" i="13" s="1"/>
  <c r="L38" i="13"/>
  <c r="M37" i="13"/>
  <c r="L7" i="13"/>
  <c r="M33" i="13"/>
  <c r="L29" i="16"/>
  <c r="L31" i="16"/>
  <c r="L48" i="16"/>
  <c r="L65" i="16"/>
  <c r="L59" i="16"/>
  <c r="L63" i="16"/>
  <c r="L68" i="16"/>
  <c r="L77" i="16"/>
  <c r="L76" i="16"/>
  <c r="L73" i="16"/>
  <c r="K29" i="16"/>
  <c r="K31" i="16"/>
  <c r="K48" i="16"/>
  <c r="K65" i="16"/>
  <c r="K59" i="16"/>
  <c r="K63" i="16"/>
  <c r="K68" i="16"/>
  <c r="K77" i="16"/>
  <c r="K76" i="16"/>
  <c r="K73" i="16"/>
  <c r="L33" i="16"/>
  <c r="L36" i="16"/>
  <c r="L26" i="16"/>
  <c r="L61" i="16"/>
  <c r="L66" i="16"/>
  <c r="L67" i="16"/>
  <c r="L79" i="16"/>
  <c r="K72" i="16"/>
  <c r="M72" i="16"/>
  <c r="B72" i="16" s="1" a="1"/>
  <c r="B72" i="16" s="1"/>
  <c r="M38" i="14"/>
  <c r="B38" i="14" s="1" a="1"/>
  <c r="B38" i="14" s="1"/>
  <c r="L72" i="14"/>
  <c r="M59" i="14"/>
  <c r="B59" i="14" s="1" a="1"/>
  <c r="B59" i="14" s="1"/>
  <c r="K72" i="14"/>
  <c r="L59" i="14"/>
  <c r="M48" i="14"/>
  <c r="B48" i="14" s="1" a="1"/>
  <c r="B48" i="14" s="1"/>
  <c r="L81" i="14"/>
  <c r="L71" i="14"/>
  <c r="M25" i="14"/>
  <c r="B25" i="14" s="1" a="1"/>
  <c r="B25" i="14" s="1"/>
  <c r="L25" i="14"/>
  <c r="M30" i="14"/>
  <c r="B30" i="14" s="1" a="1"/>
  <c r="B30" i="14" s="1"/>
  <c r="L30" i="14"/>
  <c r="M41" i="14"/>
  <c r="B41" i="14" s="1" a="1"/>
  <c r="B41" i="14" s="1"/>
  <c r="L41" i="14"/>
  <c r="M32" i="14"/>
  <c r="B32" i="14" s="1" a="1"/>
  <c r="B32" i="14" s="1"/>
  <c r="L32" i="14"/>
  <c r="L48" i="14"/>
  <c r="L28" i="14"/>
  <c r="K28" i="14"/>
  <c r="M29" i="14"/>
  <c r="B29" i="14" s="1" a="1"/>
  <c r="B29" i="14" s="1"/>
  <c r="M35" i="14"/>
  <c r="B35" i="14" s="1" a="1"/>
  <c r="B35" i="14" s="1"/>
  <c r="K51" i="14"/>
  <c r="K71" i="14"/>
  <c r="M74" i="14"/>
  <c r="B74" i="14" s="1" a="1"/>
  <c r="B74" i="14" s="1"/>
  <c r="L68" i="14"/>
  <c r="K68" i="14"/>
  <c r="L64" i="14"/>
  <c r="K64" i="14"/>
  <c r="M61" i="14"/>
  <c r="B61" i="14" s="1" a="1"/>
  <c r="B61" i="14" s="1"/>
  <c r="L66" i="14"/>
  <c r="M69" i="14"/>
  <c r="B69" i="14" s="1" a="1"/>
  <c r="B69" i="14" s="1"/>
  <c r="K75" i="14"/>
  <c r="M65" i="14"/>
  <c r="B65" i="14" s="1" a="1"/>
  <c r="B65" i="14" s="1"/>
  <c r="M57" i="14"/>
  <c r="B57" i="14" s="1" a="1"/>
  <c r="B57" i="14" s="1"/>
  <c r="M45" i="14"/>
  <c r="B45" i="14" s="1" a="1"/>
  <c r="B45" i="14" s="1"/>
  <c r="M44" i="14"/>
  <c r="B44" i="14" s="1" a="1"/>
  <c r="B44" i="14" s="1"/>
  <c r="M50" i="14"/>
  <c r="B50" i="14" s="1" a="1"/>
  <c r="B50" i="14" s="1"/>
  <c r="M47" i="14"/>
  <c r="B47" i="14" s="1" a="1"/>
  <c r="B47" i="14" s="1"/>
  <c r="M40" i="14"/>
  <c r="B40" i="14" s="1" a="1"/>
  <c r="B40" i="14" s="1"/>
  <c r="L57" i="14"/>
  <c r="L45" i="14"/>
  <c r="L44" i="14"/>
  <c r="L50" i="14"/>
  <c r="L47" i="14"/>
  <c r="L40" i="14"/>
  <c r="L38" i="14"/>
  <c r="L29" i="14"/>
  <c r="L35" i="14"/>
  <c r="L43" i="14"/>
  <c r="L74" i="14"/>
  <c r="L61" i="14"/>
  <c r="K81" i="14"/>
  <c r="L88" i="14"/>
  <c r="K88" i="14"/>
  <c r="M84" i="14"/>
  <c r="B84" i="14" s="1" a="1"/>
  <c r="B84" i="14" s="1"/>
  <c r="L85" i="14"/>
  <c r="K85" i="14"/>
  <c r="M86" i="14"/>
  <c r="B86" i="14" s="1" a="1"/>
  <c r="B86" i="14" s="1"/>
  <c r="L87" i="14"/>
  <c r="K87" i="14"/>
  <c r="L69" i="14"/>
  <c r="L65" i="14"/>
  <c r="L84" i="14"/>
  <c r="L86" i="14"/>
  <c r="K82" i="14"/>
  <c r="M82" i="14"/>
  <c r="B82" i="14" s="1" a="1"/>
  <c r="B82" i="14" s="1"/>
  <c r="M60" i="6"/>
  <c r="B60" i="6" s="1" a="1"/>
  <c r="B60" i="6" s="1"/>
  <c r="L62" i="6"/>
  <c r="L32" i="6"/>
  <c r="K54" i="6"/>
  <c r="K78" i="6"/>
  <c r="M76" i="6"/>
  <c r="B76" i="6" s="1" a="1"/>
  <c r="B76" i="6" s="1"/>
  <c r="L69" i="6"/>
  <c r="L76" i="6"/>
  <c r="L75" i="6"/>
  <c r="L4" i="6"/>
  <c r="M14" i="6"/>
  <c r="L14" i="6"/>
  <c r="M53" i="6"/>
  <c r="B53" i="6" s="1" a="1"/>
  <c r="B53" i="6" s="1"/>
  <c r="L53" i="6"/>
  <c r="L39" i="6"/>
  <c r="K39" i="6"/>
  <c r="M37" i="6"/>
  <c r="B37" i="6" s="1" a="1"/>
  <c r="B37" i="6" s="1"/>
  <c r="L33" i="6"/>
  <c r="K33" i="6"/>
  <c r="M40" i="6"/>
  <c r="B40" i="6" s="1" a="1"/>
  <c r="B40" i="6" s="1"/>
  <c r="L42" i="6"/>
  <c r="M32" i="6"/>
  <c r="B32" i="6" s="1" a="1"/>
  <c r="B32" i="6" s="1"/>
  <c r="M41" i="6"/>
  <c r="B41" i="6" s="1" a="1"/>
  <c r="B41" i="6" s="1"/>
  <c r="K63" i="6"/>
  <c r="M59" i="6"/>
  <c r="B59" i="6" s="1" a="1"/>
  <c r="B59" i="6" s="1"/>
  <c r="K62" i="6"/>
  <c r="M51" i="6"/>
  <c r="A51" i="6" s="1" a="1"/>
  <c r="A51" i="6" s="1"/>
  <c r="L58" i="6"/>
  <c r="K58" i="6"/>
  <c r="M61" i="6"/>
  <c r="A61" i="6" s="1" a="1"/>
  <c r="A61" i="6" s="1"/>
  <c r="M56" i="6"/>
  <c r="B56" i="6" s="1" a="1"/>
  <c r="B56" i="6" s="1"/>
  <c r="L54" i="6"/>
  <c r="K4" i="6"/>
  <c r="K28" i="6"/>
  <c r="K47" i="6"/>
  <c r="K36" i="6"/>
  <c r="K42" i="6"/>
  <c r="L40" i="6"/>
  <c r="L37" i="6"/>
  <c r="M73" i="6"/>
  <c r="B73" i="6" s="1" a="1"/>
  <c r="B73" i="6" s="1"/>
  <c r="L73" i="6"/>
  <c r="M71" i="6"/>
  <c r="B71" i="6" s="1" a="1"/>
  <c r="B71" i="6" s="1"/>
  <c r="L71" i="6"/>
  <c r="L41" i="6"/>
  <c r="L60" i="6"/>
  <c r="L59" i="6"/>
  <c r="L51" i="6"/>
  <c r="L61" i="6"/>
  <c r="L56" i="6"/>
  <c r="N15" i="13"/>
  <c r="B15" i="13" s="1" a="1"/>
  <c r="B15" i="13" s="1"/>
  <c r="M34" i="13"/>
  <c r="M7" i="13"/>
  <c r="M32" i="13"/>
  <c r="M8" i="13"/>
  <c r="N24" i="13"/>
  <c r="B24" i="13" s="1" a="1"/>
  <c r="B24" i="13" s="1"/>
  <c r="L26" i="13"/>
  <c r="M15" i="13"/>
  <c r="L3" i="13"/>
  <c r="N29" i="13"/>
  <c r="B29" i="13" s="1" a="1"/>
  <c r="B29" i="13" s="1"/>
  <c r="L4" i="13"/>
  <c r="N3" i="13"/>
  <c r="N4" i="13"/>
  <c r="M31" i="13"/>
  <c r="L13" i="13"/>
  <c r="L9" i="13"/>
  <c r="N38" i="13"/>
  <c r="N23" i="13"/>
  <c r="B23" i="13" s="1" a="1"/>
  <c r="B23" i="13" s="1"/>
  <c r="M23" i="13"/>
  <c r="M20" i="13"/>
  <c r="L21" i="13"/>
  <c r="N17" i="13"/>
  <c r="B17" i="13" s="1" a="1"/>
  <c r="B17" i="13" s="1"/>
  <c r="M17" i="13"/>
  <c r="N37" i="13"/>
  <c r="B37" i="13" s="1" a="1"/>
  <c r="B37" i="13" s="1"/>
  <c r="M29" i="13"/>
  <c r="M16" i="13"/>
  <c r="L34" i="13"/>
  <c r="N11" i="13"/>
  <c r="B11" i="13" s="1" a="1"/>
  <c r="B11" i="13" s="1"/>
  <c r="M19" i="13"/>
  <c r="L22" i="13"/>
  <c r="L31" i="13"/>
  <c r="L8" i="13"/>
  <c r="L20" i="13"/>
  <c r="L16" i="13"/>
  <c r="L19" i="13"/>
  <c r="M12" i="13"/>
  <c r="N30" i="13"/>
  <c r="B30" i="13" s="1" a="1"/>
  <c r="B30" i="13" s="1"/>
  <c r="M24" i="13"/>
  <c r="N36" i="13"/>
  <c r="B36" i="13" s="1" a="1"/>
  <c r="B36" i="13" s="1"/>
  <c r="M35" i="13"/>
  <c r="N14" i="13"/>
  <c r="B14" i="13" s="1" a="1"/>
  <c r="B14" i="13" s="1"/>
  <c r="M5" i="13"/>
  <c r="N6" i="13"/>
  <c r="M30" i="13"/>
  <c r="N18" i="13"/>
  <c r="B18" i="13" s="1" a="1"/>
  <c r="B18" i="13" s="1"/>
  <c r="M36" i="13"/>
  <c r="N28" i="13"/>
  <c r="B28" i="13" s="1" a="1"/>
  <c r="B28" i="13" s="1"/>
  <c r="N13" i="13"/>
  <c r="B13" i="13" s="1" a="1"/>
  <c r="B13" i="13" s="1"/>
  <c r="M14" i="13"/>
  <c r="N9" i="13"/>
  <c r="B9" i="13" s="1" a="1"/>
  <c r="B9" i="13" s="1"/>
  <c r="M6" i="13"/>
  <c r="N21" i="13"/>
  <c r="B21" i="13" s="1" a="1"/>
  <c r="B21" i="13" s="1"/>
  <c r="M18" i="13"/>
  <c r="N26" i="13"/>
  <c r="B26" i="13" s="1" a="1"/>
  <c r="B26" i="13" s="1"/>
  <c r="M28" i="13"/>
  <c r="N22" i="13"/>
  <c r="B22" i="13" s="1" a="1"/>
  <c r="B22" i="13" s="1"/>
  <c r="L27" i="13"/>
  <c r="N27" i="13"/>
  <c r="B27" i="13" s="1" a="1"/>
  <c r="B27" i="13" s="1"/>
  <c r="L5" i="12"/>
  <c r="L16" i="12"/>
  <c r="N4" i="12"/>
  <c r="M4" i="12"/>
  <c r="L3" i="12"/>
  <c r="N8" i="12"/>
  <c r="B8" i="12" s="1" a="1"/>
  <c r="B8" i="12" s="1"/>
  <c r="N5" i="12"/>
  <c r="B5" i="12" s="1" a="1"/>
  <c r="B5" i="12" s="1"/>
  <c r="L6" i="12"/>
  <c r="N9" i="12"/>
  <c r="B9" i="12" s="1" a="1"/>
  <c r="B9" i="12" s="1"/>
  <c r="N7" i="12"/>
  <c r="B7" i="12" s="1" a="1"/>
  <c r="B7" i="12" s="1"/>
  <c r="M7" i="12"/>
  <c r="M20" i="12"/>
  <c r="L20" i="12"/>
  <c r="N10" i="12"/>
  <c r="B10" i="12" s="1" a="1"/>
  <c r="B10" i="12" s="1"/>
  <c r="M10" i="12"/>
  <c r="N13" i="12"/>
  <c r="B13" i="12" s="1" a="1"/>
  <c r="B13" i="12" s="1"/>
  <c r="M13" i="12"/>
  <c r="N14" i="12"/>
  <c r="B14" i="12" s="1" a="1"/>
  <c r="B14" i="12" s="1"/>
  <c r="M14" i="12"/>
  <c r="N18" i="12"/>
  <c r="B18" i="12" s="1" a="1"/>
  <c r="B18" i="12" s="1"/>
  <c r="M18" i="12"/>
  <c r="M3" i="12"/>
  <c r="M6" i="12"/>
  <c r="N17" i="12"/>
  <c r="B17" i="12" s="1" a="1"/>
  <c r="B17" i="12" s="1"/>
  <c r="M8" i="12"/>
  <c r="M9" i="12"/>
  <c r="M17" i="12"/>
  <c r="N19" i="12"/>
  <c r="B19" i="12" s="1" a="1"/>
  <c r="B19" i="12" s="1"/>
  <c r="N12" i="12"/>
  <c r="B12" i="12" s="1" a="1"/>
  <c r="B12" i="12" s="1"/>
  <c r="M19" i="12"/>
  <c r="M12" i="12"/>
  <c r="N11" i="12"/>
  <c r="B11" i="12" s="1" a="1"/>
  <c r="B11" i="12" s="1"/>
  <c r="M11" i="12"/>
  <c r="N16" i="12"/>
  <c r="B16" i="12" s="1" a="1"/>
  <c r="B16" i="12" s="1"/>
  <c r="M34" i="11"/>
  <c r="B34" i="11" s="1" a="1"/>
  <c r="B34" i="11" s="1"/>
  <c r="K60" i="11"/>
  <c r="K94" i="11"/>
  <c r="M119" i="11"/>
  <c r="B119" i="11" s="1" a="1"/>
  <c r="B119" i="11" s="1"/>
  <c r="M79" i="11"/>
  <c r="A79" i="11" s="1" a="1"/>
  <c r="A79" i="11" s="1"/>
  <c r="K127" i="11"/>
  <c r="M111" i="11"/>
  <c r="B111" i="11" s="1" a="1"/>
  <c r="B111" i="11" s="1"/>
  <c r="L59" i="11"/>
  <c r="K101" i="11"/>
  <c r="L100" i="11"/>
  <c r="K93" i="11"/>
  <c r="M128" i="11"/>
  <c r="B128" i="11" s="1" a="1"/>
  <c r="B128" i="11" s="1"/>
  <c r="L66" i="11"/>
  <c r="M7" i="11"/>
  <c r="M26" i="11"/>
  <c r="B26" i="11" s="1" a="1"/>
  <c r="B26" i="11" s="1"/>
  <c r="L26" i="11"/>
  <c r="M24" i="11"/>
  <c r="B24" i="11" s="1" a="1"/>
  <c r="B24" i="11" s="1"/>
  <c r="L24" i="11"/>
  <c r="L79" i="11"/>
  <c r="K79" i="11"/>
  <c r="M28" i="11"/>
  <c r="B28" i="11" s="1" a="1"/>
  <c r="B28" i="11" s="1"/>
  <c r="L28" i="11"/>
  <c r="M20" i="11"/>
  <c r="B20" i="11" s="1" a="1"/>
  <c r="B20" i="11" s="1"/>
  <c r="K28" i="11"/>
  <c r="L20" i="11"/>
  <c r="K46" i="11"/>
  <c r="L34" i="11"/>
  <c r="L56" i="11"/>
  <c r="K56" i="11"/>
  <c r="L44" i="11"/>
  <c r="K44" i="11"/>
  <c r="K69" i="11"/>
  <c r="L47" i="11"/>
  <c r="K47" i="11"/>
  <c r="M36" i="11"/>
  <c r="B36" i="11" s="1" a="1"/>
  <c r="B36" i="11" s="1"/>
  <c r="M57" i="11"/>
  <c r="B57" i="11" s="1" a="1"/>
  <c r="B57" i="11" s="1"/>
  <c r="L57" i="11"/>
  <c r="K59" i="11"/>
  <c r="K53" i="11"/>
  <c r="L73" i="11"/>
  <c r="L74" i="11"/>
  <c r="L55" i="11"/>
  <c r="L42" i="11"/>
  <c r="L62" i="11"/>
  <c r="L36" i="11"/>
  <c r="M65" i="11"/>
  <c r="B65" i="11" s="1" a="1"/>
  <c r="B65" i="11" s="1"/>
  <c r="K74" i="11"/>
  <c r="M40" i="11"/>
  <c r="B40" i="11" s="1" a="1"/>
  <c r="B40" i="11" s="1"/>
  <c r="K55" i="11"/>
  <c r="M35" i="11"/>
  <c r="B35" i="11" s="1" a="1"/>
  <c r="B35" i="11" s="1"/>
  <c r="K42" i="11"/>
  <c r="M58" i="11"/>
  <c r="B58" i="11" s="1" a="1"/>
  <c r="B58" i="11" s="1"/>
  <c r="K62" i="11"/>
  <c r="M45" i="11"/>
  <c r="B45" i="11" s="1" a="1"/>
  <c r="B45" i="11" s="1"/>
  <c r="K36" i="11"/>
  <c r="L65" i="11"/>
  <c r="L40" i="11"/>
  <c r="L35" i="11"/>
  <c r="L58" i="11"/>
  <c r="L45" i="11"/>
  <c r="M88" i="11"/>
  <c r="B88" i="11" s="1" a="1"/>
  <c r="B88" i="11" s="1"/>
  <c r="M94" i="11"/>
  <c r="B94" i="11" s="1" a="1"/>
  <c r="B94" i="11" s="1"/>
  <c r="L111" i="11"/>
  <c r="K96" i="11"/>
  <c r="L109" i="11"/>
  <c r="M124" i="11"/>
  <c r="B124" i="11" s="1" a="1"/>
  <c r="B124" i="11" s="1"/>
  <c r="M91" i="11"/>
  <c r="B91" i="11" s="1" a="1"/>
  <c r="B91" i="11" s="1"/>
  <c r="M102" i="11"/>
  <c r="B102" i="11" s="1" a="1"/>
  <c r="B102" i="11" s="1"/>
  <c r="K91" i="11"/>
  <c r="L119" i="11"/>
  <c r="M115" i="11"/>
  <c r="B115" i="11" s="1" a="1"/>
  <c r="B115" i="11" s="1"/>
  <c r="M127" i="11"/>
  <c r="B127" i="11" s="1" a="1"/>
  <c r="B127" i="11" s="1"/>
  <c r="K124" i="11"/>
  <c r="M61" i="11"/>
  <c r="B61" i="11" s="1" a="1"/>
  <c r="B61" i="11" s="1"/>
  <c r="M96" i="11"/>
  <c r="B96" i="11" s="1" a="1"/>
  <c r="B96" i="11" s="1"/>
  <c r="L128" i="11"/>
  <c r="M53" i="11"/>
  <c r="B53" i="11" s="1" a="1"/>
  <c r="B53" i="11" s="1"/>
  <c r="K73" i="11"/>
  <c r="M97" i="11"/>
  <c r="B97" i="11" s="1" a="1"/>
  <c r="B97" i="11" s="1"/>
  <c r="K100" i="11"/>
  <c r="M90" i="11"/>
  <c r="B90" i="11" s="1" a="1"/>
  <c r="B90" i="11" s="1"/>
  <c r="K111" i="11"/>
  <c r="M110" i="11"/>
  <c r="B110" i="11" s="1" a="1"/>
  <c r="B110" i="11" s="1"/>
  <c r="K109" i="11"/>
  <c r="M123" i="11"/>
  <c r="B123" i="11" s="1" a="1"/>
  <c r="B123" i="11" s="1"/>
  <c r="K128" i="11"/>
  <c r="M70" i="11"/>
  <c r="B70" i="11" s="1" a="1"/>
  <c r="B70" i="11" s="1"/>
  <c r="K119" i="11"/>
  <c r="L53" i="11"/>
  <c r="L97" i="11"/>
  <c r="L90" i="11"/>
  <c r="L110" i="11"/>
  <c r="L123" i="11"/>
  <c r="L70" i="11"/>
  <c r="K90" i="11"/>
  <c r="K123" i="11"/>
  <c r="K70" i="11"/>
  <c r="K110" i="11"/>
  <c r="L61" i="11"/>
  <c r="L91" i="11"/>
  <c r="L94" i="11"/>
  <c r="L93" i="11"/>
  <c r="L88" i="11"/>
  <c r="L101" i="11"/>
  <c r="L102" i="11"/>
  <c r="L115" i="11"/>
  <c r="L127" i="11"/>
  <c r="K5" i="11"/>
  <c r="M5" i="11"/>
  <c r="L49" i="3"/>
  <c r="M75" i="3"/>
  <c r="B75" i="3" s="1" a="1"/>
  <c r="B75" i="3" s="1"/>
  <c r="K78" i="3"/>
  <c r="K11" i="3"/>
  <c r="L38" i="3"/>
  <c r="L35" i="3"/>
  <c r="K28" i="3"/>
  <c r="K85" i="3"/>
  <c r="K65" i="3"/>
  <c r="M78" i="3"/>
  <c r="B78" i="3" s="1" a="1"/>
  <c r="B78" i="3" s="1"/>
  <c r="M66" i="3"/>
  <c r="B66" i="3" s="1" a="1"/>
  <c r="B66" i="3" s="1"/>
  <c r="M74" i="3"/>
  <c r="B74" i="3" s="1" a="1"/>
  <c r="B74" i="3" s="1"/>
  <c r="L4" i="3"/>
  <c r="K4" i="3"/>
  <c r="K23" i="3"/>
  <c r="L17" i="3"/>
  <c r="K17" i="3"/>
  <c r="M48" i="3"/>
  <c r="B48" i="3" s="1" a="1"/>
  <c r="B48" i="3" s="1"/>
  <c r="K48" i="3"/>
  <c r="L50" i="3"/>
  <c r="K50" i="3"/>
  <c r="K49" i="3"/>
  <c r="L45" i="3"/>
  <c r="K45" i="3"/>
  <c r="M46" i="3"/>
  <c r="B46" i="3" s="1" a="1"/>
  <c r="B46" i="3" s="1"/>
  <c r="K39" i="3"/>
  <c r="L48" i="3"/>
  <c r="M14" i="3"/>
  <c r="B14" i="3" s="1" a="1"/>
  <c r="B14" i="3" s="1"/>
  <c r="M22" i="3"/>
  <c r="B22" i="3" s="1" a="1"/>
  <c r="B22" i="3" s="1"/>
  <c r="M42" i="3"/>
  <c r="B42" i="3" s="1" a="1"/>
  <c r="B42" i="3" s="1"/>
  <c r="L14" i="3"/>
  <c r="L22" i="3"/>
  <c r="L42" i="3"/>
  <c r="K63" i="3"/>
  <c r="K71" i="3"/>
  <c r="L71" i="3"/>
  <c r="M71" i="3"/>
  <c r="B71" i="3" s="1" a="1"/>
  <c r="B71" i="3" s="1"/>
  <c r="M79" i="3"/>
  <c r="B79" i="3" s="1" a="1"/>
  <c r="B79" i="3" s="1"/>
  <c r="K79" i="3"/>
  <c r="K70" i="3"/>
  <c r="L66" i="3"/>
  <c r="M69" i="3"/>
  <c r="B69" i="3" s="1" a="1"/>
  <c r="B69" i="3" s="1"/>
  <c r="L74" i="3"/>
  <c r="K74" i="3"/>
  <c r="M62" i="3"/>
  <c r="B62" i="3" s="1" a="1"/>
  <c r="B62" i="3" s="1"/>
  <c r="K62" i="3"/>
  <c r="M77" i="3"/>
  <c r="B77" i="3" s="1" a="1"/>
  <c r="B77" i="3" s="1"/>
  <c r="L77" i="3"/>
  <c r="K77" i="3"/>
  <c r="K88" i="3"/>
  <c r="M88" i="3"/>
  <c r="B88" i="3" s="1" a="1"/>
  <c r="B88" i="3" s="1"/>
  <c r="M55" i="3"/>
  <c r="A55" i="3" s="1" a="1"/>
  <c r="A55" i="3" s="1"/>
  <c r="M40" i="3"/>
  <c r="B40" i="3" s="1" a="1"/>
  <c r="B40" i="3" s="1"/>
  <c r="M76" i="3"/>
  <c r="B76" i="3" s="1" a="1"/>
  <c r="B76" i="3" s="1"/>
  <c r="M80" i="3"/>
  <c r="B80" i="3" s="1" a="1"/>
  <c r="B80" i="3" s="1"/>
  <c r="K66" i="3"/>
  <c r="L40" i="3"/>
  <c r="L76" i="3"/>
  <c r="L80" i="3"/>
  <c r="M39" i="3"/>
  <c r="B39" i="3" s="1" a="1"/>
  <c r="B39" i="3" s="1"/>
  <c r="K40" i="3"/>
  <c r="M63" i="3"/>
  <c r="B63" i="3" s="1" a="1"/>
  <c r="B63" i="3" s="1"/>
  <c r="K76" i="3"/>
  <c r="M70" i="3"/>
  <c r="B70" i="3" s="1" a="1"/>
  <c r="B70" i="3" s="1"/>
  <c r="K80" i="3"/>
  <c r="L39" i="3"/>
  <c r="L63" i="3"/>
  <c r="L70" i="3"/>
  <c r="L46" i="3"/>
  <c r="K75" i="3"/>
  <c r="L69" i="3"/>
  <c r="L62" i="3"/>
  <c r="K69" i="3"/>
  <c r="M85" i="3"/>
  <c r="A85" i="3" s="1" a="1"/>
  <c r="A85" i="3" s="1"/>
  <c r="M65" i="3"/>
  <c r="B65" i="3" s="1" a="1"/>
  <c r="B65" i="3" s="1"/>
  <c r="L65" i="3"/>
  <c r="L85" i="3"/>
  <c r="L55" i="3"/>
  <c r="K55" i="3"/>
  <c r="G3" i="17"/>
  <c r="H3" i="17" s="1"/>
  <c r="G2" i="17"/>
  <c r="H2" i="17" s="1"/>
  <c r="D55" i="16"/>
  <c r="D74" i="16"/>
  <c r="D75" i="16"/>
  <c r="D51" i="16"/>
  <c r="D57" i="16"/>
  <c r="D58" i="16"/>
  <c r="D60" i="16"/>
  <c r="D69" i="16"/>
  <c r="D64" i="16"/>
  <c r="D62" i="16"/>
  <c r="D25" i="16"/>
  <c r="D28" i="16"/>
  <c r="D44" i="16"/>
  <c r="D24" i="16"/>
  <c r="D46" i="16"/>
  <c r="D35" i="16"/>
  <c r="D30" i="16"/>
  <c r="D27" i="16"/>
  <c r="D37" i="16"/>
  <c r="D52" i="16"/>
  <c r="D41" i="16"/>
  <c r="D32" i="16"/>
  <c r="D47" i="16"/>
  <c r="D50" i="16"/>
  <c r="D70" i="16"/>
  <c r="D25" i="15"/>
  <c r="D52" i="14"/>
  <c r="D80" i="14"/>
  <c r="D62" i="14"/>
  <c r="D63" i="14"/>
  <c r="D37" i="14"/>
  <c r="D76" i="14"/>
  <c r="D43" i="6"/>
  <c r="D75" i="11"/>
  <c r="D53" i="3"/>
  <c r="G11" i="16"/>
  <c r="G30" i="16"/>
  <c r="G27" i="16"/>
  <c r="G37" i="16"/>
  <c r="G52" i="16"/>
  <c r="G41" i="16"/>
  <c r="G20" i="16"/>
  <c r="G53" i="16"/>
  <c r="G32" i="16"/>
  <c r="G47" i="16"/>
  <c r="G50" i="16"/>
  <c r="G3" i="16"/>
  <c r="G6" i="16"/>
  <c r="G4" i="16"/>
  <c r="G10" i="16"/>
  <c r="G13" i="16"/>
  <c r="G18" i="16"/>
  <c r="G19" i="16"/>
  <c r="G12" i="16"/>
  <c r="G15" i="16"/>
  <c r="G17" i="16"/>
  <c r="G22" i="16"/>
  <c r="G21" i="16"/>
  <c r="G8" i="16"/>
  <c r="R8" i="16" s="1"/>
  <c r="J8" i="16" s="1"/>
  <c r="AF25" i="13"/>
  <c r="Y25" i="13"/>
  <c r="Y15" i="12"/>
  <c r="AF15" i="12"/>
  <c r="AE76" i="11"/>
  <c r="AE121" i="11"/>
  <c r="AE118" i="11"/>
  <c r="AE120" i="11"/>
  <c r="AE126" i="11"/>
  <c r="AE125" i="11"/>
  <c r="AE92" i="11"/>
  <c r="AE83" i="11"/>
  <c r="AE108" i="11"/>
  <c r="AE87" i="11"/>
  <c r="AE99" i="11"/>
  <c r="AE81" i="11"/>
  <c r="AE98" i="11"/>
  <c r="AE95" i="11"/>
  <c r="AE89" i="11"/>
  <c r="AE82" i="11"/>
  <c r="AE105" i="11"/>
  <c r="AE113" i="11"/>
  <c r="AE122" i="11"/>
  <c r="AE106" i="11"/>
  <c r="AE104" i="11"/>
  <c r="AE84" i="11"/>
  <c r="AE103" i="11"/>
  <c r="AE112" i="11"/>
  <c r="AE114" i="11"/>
  <c r="AE107" i="11"/>
  <c r="AE30" i="11"/>
  <c r="AE32" i="11"/>
  <c r="AE48" i="11"/>
  <c r="AE31" i="11"/>
  <c r="AE63" i="11"/>
  <c r="AE33" i="11"/>
  <c r="AE51" i="11"/>
  <c r="AE41" i="11"/>
  <c r="AE43" i="11"/>
  <c r="AE64" i="11"/>
  <c r="AE49" i="11"/>
  <c r="AE71" i="11"/>
  <c r="AE38" i="11"/>
  <c r="AE39" i="11"/>
  <c r="AE50" i="11"/>
  <c r="AE52" i="11"/>
  <c r="AE29" i="11"/>
  <c r="AE37" i="11"/>
  <c r="AE67" i="11"/>
  <c r="AE23" i="11"/>
  <c r="AE68" i="11"/>
  <c r="AE72" i="11"/>
  <c r="AE117" i="11"/>
  <c r="AE116" i="11"/>
  <c r="AE77" i="11"/>
  <c r="AE86" i="11"/>
  <c r="AE85" i="11"/>
  <c r="AE78" i="11"/>
  <c r="AE6" i="11"/>
  <c r="AE9" i="11"/>
  <c r="AE11" i="11"/>
  <c r="AE13" i="11"/>
  <c r="AE18" i="11"/>
  <c r="AE12" i="11"/>
  <c r="AE25" i="11"/>
  <c r="AE27" i="11"/>
  <c r="AE10" i="11"/>
  <c r="AE15" i="11"/>
  <c r="AE19" i="11"/>
  <c r="AE22" i="11"/>
  <c r="AE14" i="11"/>
  <c r="AE17" i="11"/>
  <c r="AE21" i="11"/>
  <c r="AE80" i="11"/>
  <c r="AE3" i="11"/>
  <c r="AE8" i="11"/>
  <c r="AE4" i="11"/>
  <c r="AE75" i="11"/>
  <c r="AE54" i="3"/>
  <c r="AE87" i="3"/>
  <c r="AE83" i="3"/>
  <c r="AE86" i="3"/>
  <c r="AE90" i="3"/>
  <c r="AE84" i="3"/>
  <c r="AE82" i="3"/>
  <c r="AE89" i="3"/>
  <c r="AE56" i="3"/>
  <c r="AE59" i="3"/>
  <c r="AE61" i="3"/>
  <c r="AE67" i="3"/>
  <c r="AE73" i="3"/>
  <c r="AE60" i="3"/>
  <c r="AE64" i="3"/>
  <c r="AE68" i="3"/>
  <c r="AE81" i="3"/>
  <c r="AE72" i="3"/>
  <c r="AE15" i="3"/>
  <c r="AE47" i="3"/>
  <c r="AE34" i="3"/>
  <c r="AE37" i="3"/>
  <c r="AE41" i="3"/>
  <c r="AE44" i="3"/>
  <c r="AE43" i="3"/>
  <c r="AE51" i="3"/>
  <c r="AE30" i="3"/>
  <c r="AE53" i="3"/>
  <c r="AE52" i="3"/>
  <c r="AE58" i="3"/>
  <c r="AE57" i="3"/>
  <c r="AE3" i="3"/>
  <c r="AE16" i="3"/>
  <c r="AE20" i="3"/>
  <c r="AE31" i="3"/>
  <c r="AE27" i="3"/>
  <c r="AE32" i="3"/>
  <c r="AE21" i="3"/>
  <c r="AE29" i="3"/>
  <c r="AE19" i="3"/>
  <c r="AE18" i="3"/>
  <c r="AE24" i="3"/>
  <c r="AE26" i="3"/>
  <c r="AE13" i="3"/>
  <c r="AE33" i="3"/>
  <c r="AE25" i="3"/>
  <c r="AE8" i="3"/>
  <c r="AE10" i="3"/>
  <c r="AE6" i="3"/>
  <c r="AE5" i="3"/>
  <c r="AE7" i="3"/>
  <c r="AE12" i="3"/>
  <c r="AE9" i="3"/>
  <c r="X87" i="3"/>
  <c r="X83" i="3"/>
  <c r="X86" i="3"/>
  <c r="X90" i="3"/>
  <c r="X84" i="3"/>
  <c r="X82" i="3"/>
  <c r="X89" i="3"/>
  <c r="X56" i="3"/>
  <c r="X59" i="3"/>
  <c r="X61" i="3"/>
  <c r="X67" i="3"/>
  <c r="X73" i="3"/>
  <c r="X60" i="3"/>
  <c r="X64" i="3"/>
  <c r="X68" i="3"/>
  <c r="X81" i="3"/>
  <c r="X72" i="3"/>
  <c r="X15" i="3"/>
  <c r="X47" i="3"/>
  <c r="X34" i="3"/>
  <c r="X37" i="3"/>
  <c r="X41" i="3"/>
  <c r="X44" i="3"/>
  <c r="X43" i="3"/>
  <c r="X51" i="3"/>
  <c r="X30" i="3"/>
  <c r="X53" i="3"/>
  <c r="X52" i="3"/>
  <c r="X58" i="3"/>
  <c r="X57" i="3"/>
  <c r="X3" i="3"/>
  <c r="X16" i="3"/>
  <c r="X20" i="3"/>
  <c r="X31" i="3"/>
  <c r="X27" i="3"/>
  <c r="X32" i="3"/>
  <c r="X21" i="3"/>
  <c r="X29" i="3"/>
  <c r="X19" i="3"/>
  <c r="X18" i="3"/>
  <c r="X24" i="3"/>
  <c r="X26" i="3"/>
  <c r="X13" i="3"/>
  <c r="X33" i="3"/>
  <c r="X25" i="3"/>
  <c r="X8" i="3"/>
  <c r="X10" i="3"/>
  <c r="X6" i="3"/>
  <c r="X5" i="3"/>
  <c r="X7" i="3"/>
  <c r="X12" i="3"/>
  <c r="X9" i="3"/>
  <c r="X54" i="3"/>
  <c r="X75" i="11"/>
  <c r="X76" i="11"/>
  <c r="X121" i="11"/>
  <c r="X118" i="11"/>
  <c r="X120" i="11"/>
  <c r="X126" i="11"/>
  <c r="X125" i="11"/>
  <c r="X92" i="11"/>
  <c r="X83" i="11"/>
  <c r="X108" i="11"/>
  <c r="X87" i="11"/>
  <c r="X99" i="11"/>
  <c r="X81" i="11"/>
  <c r="X98" i="11"/>
  <c r="X95" i="11"/>
  <c r="X89" i="11"/>
  <c r="X82" i="11"/>
  <c r="X105" i="11"/>
  <c r="X113" i="11"/>
  <c r="X122" i="11"/>
  <c r="X106" i="11"/>
  <c r="X104" i="11"/>
  <c r="X84" i="11"/>
  <c r="X103" i="11"/>
  <c r="X112" i="11"/>
  <c r="X114" i="11"/>
  <c r="X107" i="11"/>
  <c r="X30" i="11"/>
  <c r="X32" i="11"/>
  <c r="X48" i="11"/>
  <c r="X31" i="11"/>
  <c r="X63" i="11"/>
  <c r="X33" i="11"/>
  <c r="X51" i="11"/>
  <c r="X41" i="11"/>
  <c r="X43" i="11"/>
  <c r="X64" i="11"/>
  <c r="X49" i="11"/>
  <c r="X71" i="11"/>
  <c r="X38" i="11"/>
  <c r="X39" i="11"/>
  <c r="X50" i="11"/>
  <c r="X52" i="11"/>
  <c r="X29" i="11"/>
  <c r="X37" i="11"/>
  <c r="X67" i="11"/>
  <c r="X23" i="11"/>
  <c r="X68" i="11"/>
  <c r="X72" i="11"/>
  <c r="X117" i="11"/>
  <c r="X116" i="11"/>
  <c r="X77" i="11"/>
  <c r="X86" i="11"/>
  <c r="X85" i="11"/>
  <c r="X78" i="11"/>
  <c r="X6" i="11"/>
  <c r="X9" i="11"/>
  <c r="X11" i="11"/>
  <c r="X13" i="11"/>
  <c r="X18" i="11"/>
  <c r="X12" i="11"/>
  <c r="X16" i="11"/>
  <c r="X25" i="11"/>
  <c r="X27" i="11"/>
  <c r="X10" i="11"/>
  <c r="X15" i="11"/>
  <c r="X19" i="11"/>
  <c r="X22" i="11"/>
  <c r="X14" i="11"/>
  <c r="X17" i="11"/>
  <c r="X21" i="11"/>
  <c r="X80" i="11"/>
  <c r="X3" i="11"/>
  <c r="X8" i="11"/>
  <c r="X4" i="11"/>
  <c r="G30" i="11"/>
  <c r="S30" i="11" s="1"/>
  <c r="G32" i="11"/>
  <c r="S32" i="11" s="1"/>
  <c r="G48" i="11"/>
  <c r="S48" i="11" s="1"/>
  <c r="G31" i="11"/>
  <c r="S31" i="11" s="1"/>
  <c r="G63" i="11"/>
  <c r="S63" i="11" s="1"/>
  <c r="G33" i="11"/>
  <c r="S33" i="11" s="1"/>
  <c r="G51" i="11"/>
  <c r="S51" i="11" s="1"/>
  <c r="G41" i="11"/>
  <c r="S41" i="11" s="1"/>
  <c r="G43" i="11"/>
  <c r="S43" i="11" s="1"/>
  <c r="G64" i="11"/>
  <c r="S64" i="11" s="1"/>
  <c r="G49" i="11"/>
  <c r="S49" i="11" s="1"/>
  <c r="G71" i="11"/>
  <c r="S71" i="11" s="1"/>
  <c r="G38" i="11"/>
  <c r="S38" i="11" s="1"/>
  <c r="G39" i="11"/>
  <c r="S39" i="11" s="1"/>
  <c r="G50" i="11"/>
  <c r="S50" i="11" s="1"/>
  <c r="G52" i="11"/>
  <c r="S52" i="11" s="1"/>
  <c r="G29" i="11"/>
  <c r="S29" i="11" s="1"/>
  <c r="G37" i="11"/>
  <c r="S37" i="11" s="1"/>
  <c r="G67" i="11"/>
  <c r="S67" i="11" s="1"/>
  <c r="G23" i="11"/>
  <c r="S23" i="11" s="1"/>
  <c r="G68" i="11"/>
  <c r="S68" i="11" s="1"/>
  <c r="G72" i="11"/>
  <c r="S72" i="11" s="1"/>
  <c r="G117" i="11"/>
  <c r="G116" i="11"/>
  <c r="G77" i="11"/>
  <c r="G86" i="11"/>
  <c r="G19" i="3"/>
  <c r="R19" i="3" s="1"/>
  <c r="G18" i="3"/>
  <c r="R18" i="3" s="1"/>
  <c r="G24" i="3"/>
  <c r="R24" i="3" s="1"/>
  <c r="G26" i="3"/>
  <c r="R26" i="3" s="1"/>
  <c r="G13" i="3"/>
  <c r="R13" i="3" s="1"/>
  <c r="G33" i="3"/>
  <c r="R33" i="3" s="1"/>
  <c r="G25" i="3"/>
  <c r="R25" i="3" s="1"/>
  <c r="G8" i="3"/>
  <c r="G10" i="3"/>
  <c r="R10" i="3" s="1"/>
  <c r="G6" i="3"/>
  <c r="R6" i="3" s="1"/>
  <c r="G5" i="3"/>
  <c r="R5" i="3" s="1"/>
  <c r="G7" i="3"/>
  <c r="G12" i="3"/>
  <c r="R12" i="3" s="1"/>
  <c r="G9" i="3"/>
  <c r="R9" i="3" s="1"/>
  <c r="G83" i="3"/>
  <c r="R83" i="3" s="1"/>
  <c r="G86" i="3"/>
  <c r="R86" i="3" s="1"/>
  <c r="G90" i="3"/>
  <c r="R90" i="3" s="1"/>
  <c r="G84" i="3"/>
  <c r="R84" i="3" s="1"/>
  <c r="G82" i="3"/>
  <c r="R82" i="3" s="1"/>
  <c r="G89" i="3"/>
  <c r="R89" i="3" s="1"/>
  <c r="G56" i="3"/>
  <c r="R56" i="3" s="1"/>
  <c r="G59" i="3"/>
  <c r="G61" i="3"/>
  <c r="R61" i="3" s="1"/>
  <c r="G67" i="3"/>
  <c r="R67" i="3" s="1"/>
  <c r="G73" i="3"/>
  <c r="R73" i="3" s="1"/>
  <c r="G60" i="3"/>
  <c r="R60" i="3" s="1"/>
  <c r="G64" i="3"/>
  <c r="R64" i="3" s="1"/>
  <c r="G68" i="3"/>
  <c r="R68" i="3" s="1"/>
  <c r="G81" i="3"/>
  <c r="R81" i="3" s="1"/>
  <c r="G72" i="3"/>
  <c r="R72" i="3" s="1"/>
  <c r="G15" i="3"/>
  <c r="R15" i="3" s="1"/>
  <c r="G47" i="3"/>
  <c r="R47" i="3" s="1"/>
  <c r="G34" i="3"/>
  <c r="R34" i="3" s="1"/>
  <c r="G37" i="3"/>
  <c r="R37" i="3" s="1"/>
  <c r="G41" i="3"/>
  <c r="R41" i="3" s="1"/>
  <c r="G44" i="3"/>
  <c r="R44" i="3" s="1"/>
  <c r="G43" i="3"/>
  <c r="R43" i="3" s="1"/>
  <c r="G51" i="3"/>
  <c r="R51" i="3" s="1"/>
  <c r="G30" i="3"/>
  <c r="R30" i="3" s="1"/>
  <c r="G53" i="3"/>
  <c r="G52" i="3"/>
  <c r="G58" i="3"/>
  <c r="R58" i="3" s="1"/>
  <c r="G57" i="3"/>
  <c r="R57" i="3" s="1"/>
  <c r="G3" i="3"/>
  <c r="R3" i="3" s="1"/>
  <c r="G16" i="3"/>
  <c r="R16" i="3" s="1"/>
  <c r="G20" i="3"/>
  <c r="R20" i="3" s="1"/>
  <c r="G31" i="3"/>
  <c r="R31" i="3" s="1"/>
  <c r="G27" i="3"/>
  <c r="R27" i="3" s="1"/>
  <c r="G32" i="3"/>
  <c r="R32" i="3" s="1"/>
  <c r="G21" i="3"/>
  <c r="R21" i="3" s="1"/>
  <c r="G29" i="3"/>
  <c r="R29" i="3" s="1"/>
  <c r="G14" i="11"/>
  <c r="S14" i="11" s="1"/>
  <c r="G17" i="11"/>
  <c r="S17" i="11" s="1"/>
  <c r="G21" i="11"/>
  <c r="S21" i="11" s="1"/>
  <c r="G80" i="11"/>
  <c r="G3" i="11"/>
  <c r="G8" i="11"/>
  <c r="S8" i="11" s="1"/>
  <c r="G4" i="11"/>
  <c r="S4" i="11" s="1"/>
  <c r="G76" i="11"/>
  <c r="G121" i="11"/>
  <c r="G118" i="11"/>
  <c r="G120" i="11"/>
  <c r="G126" i="11"/>
  <c r="G125" i="11"/>
  <c r="G92" i="11"/>
  <c r="G83" i="11"/>
  <c r="G108" i="11"/>
  <c r="G87" i="11"/>
  <c r="G99" i="11"/>
  <c r="G81" i="11"/>
  <c r="G98" i="11"/>
  <c r="G95" i="11"/>
  <c r="G89" i="11"/>
  <c r="G82" i="11"/>
  <c r="G105" i="11"/>
  <c r="G113" i="11"/>
  <c r="G122" i="11"/>
  <c r="G106" i="11"/>
  <c r="G104" i="11"/>
  <c r="G84" i="11"/>
  <c r="G103" i="11"/>
  <c r="G112" i="11"/>
  <c r="G114" i="11"/>
  <c r="G107" i="11"/>
  <c r="G85" i="11"/>
  <c r="G78" i="11"/>
  <c r="G6" i="11"/>
  <c r="S6" i="11" s="1"/>
  <c r="G9" i="11"/>
  <c r="S9" i="11" s="1"/>
  <c r="G11" i="11"/>
  <c r="S11" i="11" s="1"/>
  <c r="G13" i="11"/>
  <c r="S13" i="11" s="1"/>
  <c r="G18" i="11"/>
  <c r="S18" i="11" s="1"/>
  <c r="G12" i="11"/>
  <c r="S12" i="11" s="1"/>
  <c r="G16" i="11"/>
  <c r="S16" i="11" s="1"/>
  <c r="G25" i="11"/>
  <c r="S25" i="11" s="1"/>
  <c r="G27" i="11"/>
  <c r="S27" i="11" s="1"/>
  <c r="G10" i="11"/>
  <c r="S10" i="11" s="1"/>
  <c r="G15" i="11"/>
  <c r="S15" i="11" s="1"/>
  <c r="G19" i="11"/>
  <c r="S19" i="11" s="1"/>
  <c r="G22" i="11"/>
  <c r="S22" i="11" s="1"/>
  <c r="G55" i="16"/>
  <c r="G74" i="16"/>
  <c r="G75" i="16"/>
  <c r="G51" i="16"/>
  <c r="G57" i="16"/>
  <c r="G58" i="16"/>
  <c r="G60" i="16"/>
  <c r="G69" i="16"/>
  <c r="G64" i="16"/>
  <c r="G62" i="16"/>
  <c r="G25" i="16"/>
  <c r="G28" i="16"/>
  <c r="G44" i="16"/>
  <c r="G24" i="16"/>
  <c r="G46" i="16"/>
  <c r="G34" i="16"/>
  <c r="G35" i="16"/>
  <c r="G14" i="16"/>
  <c r="G7" i="16"/>
  <c r="G70" i="16"/>
  <c r="G37" i="15"/>
  <c r="G36" i="15"/>
  <c r="G34" i="15"/>
  <c r="G35" i="15"/>
  <c r="G29" i="15"/>
  <c r="G28" i="15"/>
  <c r="G16" i="15"/>
  <c r="G24" i="15"/>
  <c r="G19" i="15"/>
  <c r="G20" i="15"/>
  <c r="G5" i="15"/>
  <c r="G9" i="15"/>
  <c r="G12" i="15"/>
  <c r="G14" i="15"/>
  <c r="G4" i="15"/>
  <c r="G7" i="15"/>
  <c r="G25" i="15"/>
  <c r="G68" i="6"/>
  <c r="G74" i="6"/>
  <c r="G72" i="6"/>
  <c r="G77" i="6"/>
  <c r="G70" i="6"/>
  <c r="G64" i="6"/>
  <c r="G48" i="6"/>
  <c r="G52" i="6"/>
  <c r="G57" i="6"/>
  <c r="R57" i="6" s="1"/>
  <c r="J57" i="6" s="1"/>
  <c r="G50" i="6"/>
  <c r="G9" i="6"/>
  <c r="G30" i="6"/>
  <c r="G26" i="6"/>
  <c r="G38" i="6"/>
  <c r="G35" i="6"/>
  <c r="G31" i="6"/>
  <c r="G34" i="6"/>
  <c r="G65" i="6"/>
  <c r="G67" i="6"/>
  <c r="G44" i="6"/>
  <c r="G43" i="6"/>
  <c r="G46" i="6"/>
  <c r="G49" i="6"/>
  <c r="G45" i="6"/>
  <c r="G7" i="6"/>
  <c r="G3" i="6"/>
  <c r="G15" i="6"/>
  <c r="G20" i="6"/>
  <c r="G6" i="6"/>
  <c r="G23" i="6"/>
  <c r="G16" i="6"/>
  <c r="G19" i="6"/>
  <c r="G18" i="6"/>
  <c r="G29" i="6"/>
  <c r="G8" i="6"/>
  <c r="G24" i="6"/>
  <c r="G21" i="6"/>
  <c r="G11" i="6"/>
  <c r="R11" i="6" s="1"/>
  <c r="J11" i="6" s="1"/>
  <c r="G10" i="6"/>
  <c r="G17" i="6"/>
  <c r="G12" i="6"/>
  <c r="G25" i="6"/>
  <c r="R25" i="6" s="1"/>
  <c r="J25" i="6" s="1"/>
  <c r="G13" i="6"/>
  <c r="G5" i="6"/>
  <c r="G22" i="6"/>
  <c r="G27" i="6"/>
  <c r="G66" i="6"/>
  <c r="G16" i="14"/>
  <c r="G17" i="14"/>
  <c r="G7" i="14"/>
  <c r="G23" i="14"/>
  <c r="G12" i="14"/>
  <c r="G24" i="14"/>
  <c r="G22" i="14"/>
  <c r="G8" i="14"/>
  <c r="G9" i="14"/>
  <c r="G3" i="14"/>
  <c r="G10" i="14"/>
  <c r="G5" i="14"/>
  <c r="G4" i="14"/>
  <c r="G21" i="14"/>
  <c r="G80" i="14"/>
  <c r="R80" i="14" s="1"/>
  <c r="J80" i="14" s="1"/>
  <c r="G83" i="14"/>
  <c r="G79" i="14"/>
  <c r="G53" i="14"/>
  <c r="G60" i="14"/>
  <c r="G67" i="14"/>
  <c r="G73" i="14"/>
  <c r="G56" i="14"/>
  <c r="G62" i="14"/>
  <c r="G70" i="14"/>
  <c r="G63" i="14"/>
  <c r="G19" i="14"/>
  <c r="G49" i="14"/>
  <c r="G20" i="14"/>
  <c r="G31" i="14"/>
  <c r="G42" i="14"/>
  <c r="G37" i="14"/>
  <c r="G34" i="14"/>
  <c r="G15" i="14"/>
  <c r="G36" i="14"/>
  <c r="G39" i="14"/>
  <c r="G33" i="14"/>
  <c r="G26" i="14"/>
  <c r="G77" i="14"/>
  <c r="G78" i="14"/>
  <c r="G54" i="14"/>
  <c r="G55" i="14"/>
  <c r="G58" i="14"/>
  <c r="G6" i="14"/>
  <c r="G11" i="14"/>
  <c r="G14" i="14"/>
  <c r="G13" i="14"/>
  <c r="G76" i="14"/>
  <c r="G52" i="14"/>
  <c r="T25" i="13"/>
  <c r="H25" i="13"/>
  <c r="T15" i="12"/>
  <c r="H15" i="12"/>
  <c r="G75" i="11"/>
  <c r="G87" i="3"/>
  <c r="R87" i="3" s="1"/>
  <c r="G54" i="3"/>
  <c r="R54" i="3" s="1"/>
  <c r="B10" i="15" l="1" a="1"/>
  <c r="B10" i="15" s="1"/>
  <c r="A10" i="15" a="1"/>
  <c r="A10" i="15" s="1"/>
  <c r="Q10" i="15" s="1"/>
  <c r="B11" i="3" a="1"/>
  <c r="B11" i="3" s="1"/>
  <c r="A11" i="3" a="1"/>
  <c r="A11" i="3" s="1"/>
  <c r="Q11" i="3" s="1"/>
  <c r="S86" i="11"/>
  <c r="R5" i="13"/>
  <c r="B5" i="13" a="1"/>
  <c r="B5" i="13" s="1"/>
  <c r="R53" i="3"/>
  <c r="J53" i="3" s="1"/>
  <c r="R8" i="14"/>
  <c r="J8" i="14" s="1"/>
  <c r="R7" i="15"/>
  <c r="J7" i="15" s="1"/>
  <c r="B6" i="13" a="1"/>
  <c r="B6" i="13" s="1"/>
  <c r="A6" i="13" a="1"/>
  <c r="A6" i="13" s="1"/>
  <c r="R6" i="13" s="1"/>
  <c r="B61" i="6" a="1"/>
  <c r="B61" i="6" s="1"/>
  <c r="Q61" i="6"/>
  <c r="B51" i="6" a="1"/>
  <c r="B51" i="6" s="1"/>
  <c r="Q51" i="6"/>
  <c r="B23" i="16" a="1"/>
  <c r="B23" i="16" s="1"/>
  <c r="Q23" i="16"/>
  <c r="B63" i="16" a="1"/>
  <c r="B63" i="16" s="1"/>
  <c r="Q63" i="16"/>
  <c r="B16" i="16" a="1"/>
  <c r="B16" i="16" s="1"/>
  <c r="Q16" i="16"/>
  <c r="B13" i="15" a="1"/>
  <c r="B13" i="15" s="1"/>
  <c r="Q13" i="15"/>
  <c r="B31" i="15" a="1"/>
  <c r="B31" i="15" s="1"/>
  <c r="Q31" i="15"/>
  <c r="S125" i="11"/>
  <c r="S77" i="11"/>
  <c r="S95" i="11"/>
  <c r="S84" i="11"/>
  <c r="B79" i="11" a="1"/>
  <c r="B79" i="11" s="1"/>
  <c r="Q79" i="11"/>
  <c r="C32" i="17" s="1"/>
  <c r="D32" i="17" s="1"/>
  <c r="S114" i="11"/>
  <c r="S105" i="11"/>
  <c r="S76" i="11"/>
  <c r="S108" i="11"/>
  <c r="R59" i="3"/>
  <c r="J59" i="3" s="1"/>
  <c r="B55" i="3" a="1"/>
  <c r="B55" i="3" s="1"/>
  <c r="Q55" i="3"/>
  <c r="B85" i="3" a="1"/>
  <c r="B85" i="3" s="1"/>
  <c r="Q85" i="3"/>
  <c r="B71" i="14" a="1"/>
  <c r="B71" i="14" s="1"/>
  <c r="Q71" i="14"/>
  <c r="B68" i="14" a="1"/>
  <c r="B68" i="14" s="1"/>
  <c r="Q68" i="14"/>
  <c r="K53" i="14"/>
  <c r="R53" i="14"/>
  <c r="J53" i="14" s="1"/>
  <c r="K55" i="14"/>
  <c r="R55" i="14"/>
  <c r="J55" i="14" s="1"/>
  <c r="K15" i="14"/>
  <c r="R15" i="14"/>
  <c r="J15" i="14" s="1"/>
  <c r="K63" i="14"/>
  <c r="R63" i="14"/>
  <c r="J63" i="14" s="1"/>
  <c r="K79" i="14"/>
  <c r="R79" i="14"/>
  <c r="J79" i="14" s="1"/>
  <c r="M9" i="14"/>
  <c r="R9" i="14"/>
  <c r="J9" i="14" s="1"/>
  <c r="M16" i="14"/>
  <c r="A16" i="14" s="1" a="1"/>
  <c r="A16" i="14" s="1"/>
  <c r="R16" i="14"/>
  <c r="J16" i="14" s="1"/>
  <c r="M83" i="14"/>
  <c r="A83" i="14" s="1" a="1"/>
  <c r="A83" i="14" s="1"/>
  <c r="R83" i="14"/>
  <c r="J83" i="14" s="1"/>
  <c r="K19" i="14"/>
  <c r="R19" i="14"/>
  <c r="J19" i="14" s="1"/>
  <c r="M76" i="14"/>
  <c r="R76" i="14"/>
  <c r="J76" i="14" s="1"/>
  <c r="K78" i="14"/>
  <c r="R78" i="14"/>
  <c r="J78" i="14" s="1"/>
  <c r="K37" i="14"/>
  <c r="R37" i="14"/>
  <c r="J37" i="14" s="1"/>
  <c r="K62" i="14"/>
  <c r="R62" i="14"/>
  <c r="J62" i="14" s="1"/>
  <c r="K22" i="14"/>
  <c r="R22" i="14"/>
  <c r="J22" i="14" s="1"/>
  <c r="K77" i="14"/>
  <c r="R77" i="14"/>
  <c r="J77" i="14" s="1"/>
  <c r="K42" i="14"/>
  <c r="R42" i="14"/>
  <c r="J42" i="14" s="1"/>
  <c r="M21" i="14"/>
  <c r="B21" i="14" s="1" a="1"/>
  <c r="B21" i="14" s="1"/>
  <c r="R21" i="14"/>
  <c r="J21" i="14" s="1"/>
  <c r="K24" i="14"/>
  <c r="R24" i="14"/>
  <c r="J24" i="14" s="1"/>
  <c r="L3" i="14"/>
  <c r="R3" i="14"/>
  <c r="J3" i="14" s="1"/>
  <c r="M34" i="14"/>
  <c r="B34" i="14" s="1" a="1"/>
  <c r="B34" i="14" s="1"/>
  <c r="R34" i="14"/>
  <c r="J34" i="14" s="1"/>
  <c r="M13" i="14"/>
  <c r="A13" i="14" s="1" a="1"/>
  <c r="A13" i="14" s="1"/>
  <c r="R13" i="14"/>
  <c r="J13" i="14" s="1"/>
  <c r="K56" i="14"/>
  <c r="R56" i="14"/>
  <c r="J56" i="14" s="1"/>
  <c r="K14" i="14"/>
  <c r="R14" i="14"/>
  <c r="J14" i="14" s="1"/>
  <c r="K26" i="14"/>
  <c r="R26" i="14"/>
  <c r="J26" i="14" s="1"/>
  <c r="K31" i="14"/>
  <c r="R31" i="14"/>
  <c r="J31" i="14" s="1"/>
  <c r="K73" i="14"/>
  <c r="R73" i="14"/>
  <c r="J73" i="14" s="1"/>
  <c r="K4" i="14"/>
  <c r="R4" i="14"/>
  <c r="J4" i="14" s="1"/>
  <c r="K12" i="14"/>
  <c r="R12" i="14"/>
  <c r="J12" i="14" s="1"/>
  <c r="K58" i="14"/>
  <c r="R58" i="14"/>
  <c r="J58" i="14" s="1"/>
  <c r="K17" i="14"/>
  <c r="R17" i="14"/>
  <c r="J17" i="14" s="1"/>
  <c r="M54" i="14"/>
  <c r="R54" i="14"/>
  <c r="J54" i="14" s="1"/>
  <c r="K33" i="14"/>
  <c r="R33" i="14"/>
  <c r="J33" i="14" s="1"/>
  <c r="K5" i="14"/>
  <c r="R5" i="14"/>
  <c r="J5" i="14" s="1"/>
  <c r="K36" i="14"/>
  <c r="R36" i="14"/>
  <c r="J36" i="14" s="1"/>
  <c r="K52" i="14"/>
  <c r="R52" i="14"/>
  <c r="J52" i="14" s="1"/>
  <c r="M70" i="14"/>
  <c r="B70" i="14" s="1" a="1"/>
  <c r="B70" i="14" s="1"/>
  <c r="R70" i="14"/>
  <c r="J70" i="14" s="1"/>
  <c r="M11" i="14"/>
  <c r="R11" i="14"/>
  <c r="J11" i="14" s="1"/>
  <c r="K20" i="14"/>
  <c r="R20" i="14"/>
  <c r="J20" i="14" s="1"/>
  <c r="K67" i="14"/>
  <c r="R67" i="14"/>
  <c r="J67" i="14" s="1"/>
  <c r="L23" i="14"/>
  <c r="R23" i="14"/>
  <c r="J23" i="14" s="1"/>
  <c r="L6" i="14"/>
  <c r="R6" i="14"/>
  <c r="J6" i="14" s="1"/>
  <c r="L39" i="14"/>
  <c r="R39" i="14"/>
  <c r="J39" i="14" s="1"/>
  <c r="L49" i="14"/>
  <c r="R49" i="14"/>
  <c r="J49" i="14" s="1"/>
  <c r="L60" i="14"/>
  <c r="R60" i="14"/>
  <c r="J60" i="14" s="1"/>
  <c r="K10" i="14"/>
  <c r="R10" i="14"/>
  <c r="J10" i="14" s="1"/>
  <c r="K7" i="14"/>
  <c r="R7" i="14"/>
  <c r="J7" i="14" s="1"/>
  <c r="M21" i="6"/>
  <c r="R21" i="6"/>
  <c r="J21" i="6" s="1"/>
  <c r="L26" i="6"/>
  <c r="R26" i="6"/>
  <c r="J26" i="6" s="1"/>
  <c r="M5" i="6"/>
  <c r="R5" i="6"/>
  <c r="J5" i="6" s="1"/>
  <c r="L24" i="6"/>
  <c r="R24" i="6"/>
  <c r="J24" i="6" s="1"/>
  <c r="M20" i="6"/>
  <c r="R20" i="6"/>
  <c r="J20" i="6" s="1"/>
  <c r="M44" i="6"/>
  <c r="R44" i="6"/>
  <c r="J44" i="6" s="1"/>
  <c r="M30" i="6"/>
  <c r="B30" i="6" s="1" a="1"/>
  <c r="B30" i="6" s="1"/>
  <c r="R30" i="6"/>
  <c r="J30" i="6" s="1"/>
  <c r="M77" i="6"/>
  <c r="B77" i="6" s="1" a="1"/>
  <c r="B77" i="6" s="1"/>
  <c r="R77" i="6"/>
  <c r="J77" i="6" s="1"/>
  <c r="L15" i="6"/>
  <c r="R15" i="6"/>
  <c r="J15" i="6" s="1"/>
  <c r="L22" i="6"/>
  <c r="R22" i="6"/>
  <c r="J22" i="6" s="1"/>
  <c r="L67" i="6"/>
  <c r="R67" i="6"/>
  <c r="J67" i="6" s="1"/>
  <c r="L3" i="6"/>
  <c r="R3" i="6"/>
  <c r="J3" i="6" s="1"/>
  <c r="L70" i="6"/>
  <c r="R70" i="6"/>
  <c r="J70" i="6" s="1"/>
  <c r="M13" i="6"/>
  <c r="R13" i="6"/>
  <c r="J13" i="6" s="1"/>
  <c r="L74" i="6"/>
  <c r="R74" i="6"/>
  <c r="J74" i="6" s="1"/>
  <c r="M7" i="6"/>
  <c r="R7" i="6"/>
  <c r="J7" i="6" s="1"/>
  <c r="L9" i="6"/>
  <c r="R9" i="6"/>
  <c r="J9" i="6" s="1"/>
  <c r="L17" i="6"/>
  <c r="R17" i="6"/>
  <c r="J17" i="6" s="1"/>
  <c r="M19" i="6"/>
  <c r="R19" i="6"/>
  <c r="J19" i="6" s="1"/>
  <c r="K45" i="6"/>
  <c r="R45" i="6"/>
  <c r="J45" i="6" s="1"/>
  <c r="M31" i="6"/>
  <c r="A31" i="6" s="1" a="1"/>
  <c r="A31" i="6" s="1"/>
  <c r="R31" i="6"/>
  <c r="J31" i="6" s="1"/>
  <c r="M52" i="6"/>
  <c r="B52" i="6" s="1" a="1"/>
  <c r="B52" i="6" s="1"/>
  <c r="R52" i="6"/>
  <c r="J52" i="6" s="1"/>
  <c r="L6" i="6"/>
  <c r="R6" i="6"/>
  <c r="J6" i="6" s="1"/>
  <c r="M8" i="6"/>
  <c r="R8" i="6"/>
  <c r="J8" i="6" s="1"/>
  <c r="L50" i="6"/>
  <c r="R50" i="6"/>
  <c r="J50" i="6" s="1"/>
  <c r="M12" i="6"/>
  <c r="R12" i="6"/>
  <c r="J12" i="6" s="1"/>
  <c r="L68" i="6"/>
  <c r="R68" i="6"/>
  <c r="J68" i="6" s="1"/>
  <c r="L66" i="6"/>
  <c r="R66" i="6"/>
  <c r="J66" i="6" s="1"/>
  <c r="M10" i="6"/>
  <c r="R10" i="6"/>
  <c r="J10" i="6" s="1"/>
  <c r="M16" i="6"/>
  <c r="R16" i="6"/>
  <c r="J16" i="6" s="1"/>
  <c r="M49" i="6"/>
  <c r="B49" i="6" s="1" a="1"/>
  <c r="B49" i="6" s="1"/>
  <c r="R49" i="6"/>
  <c r="J49" i="6" s="1"/>
  <c r="M35" i="6"/>
  <c r="B35" i="6" s="1" a="1"/>
  <c r="B35" i="6" s="1"/>
  <c r="R35" i="6"/>
  <c r="J35" i="6" s="1"/>
  <c r="M48" i="6"/>
  <c r="R48" i="6"/>
  <c r="J48" i="6" s="1"/>
  <c r="L43" i="6"/>
  <c r="R43" i="6"/>
  <c r="J43" i="6" s="1"/>
  <c r="L72" i="6"/>
  <c r="R72" i="6"/>
  <c r="J72" i="6" s="1"/>
  <c r="L29" i="6"/>
  <c r="R29" i="6"/>
  <c r="J29" i="6" s="1"/>
  <c r="L65" i="6"/>
  <c r="R65" i="6"/>
  <c r="J65" i="6" s="1"/>
  <c r="M18" i="6"/>
  <c r="R18" i="6"/>
  <c r="J18" i="6" s="1"/>
  <c r="M34" i="6"/>
  <c r="B34" i="6" s="1" a="1"/>
  <c r="B34" i="6" s="1"/>
  <c r="R34" i="6"/>
  <c r="J34" i="6" s="1"/>
  <c r="M27" i="6"/>
  <c r="B27" i="6" s="1" a="1"/>
  <c r="B27" i="6" s="1"/>
  <c r="R27" i="6"/>
  <c r="J27" i="6" s="1"/>
  <c r="M23" i="6"/>
  <c r="R23" i="6"/>
  <c r="J23" i="6" s="1"/>
  <c r="M46" i="6"/>
  <c r="R46" i="6"/>
  <c r="J46" i="6" s="1"/>
  <c r="M38" i="6"/>
  <c r="B38" i="6" s="1" a="1"/>
  <c r="B38" i="6" s="1"/>
  <c r="R38" i="6"/>
  <c r="J38" i="6" s="1"/>
  <c r="M64" i="6"/>
  <c r="B64" i="6" s="1" a="1"/>
  <c r="B64" i="6" s="1"/>
  <c r="R64" i="6"/>
  <c r="J64" i="6" s="1"/>
  <c r="L51" i="16"/>
  <c r="R51" i="16"/>
  <c r="J51" i="16" s="1"/>
  <c r="M12" i="16"/>
  <c r="A12" i="16" s="1" a="1"/>
  <c r="A12" i="16" s="1"/>
  <c r="R12" i="16"/>
  <c r="J12" i="16" s="1"/>
  <c r="M25" i="16"/>
  <c r="A25" i="16" s="1" a="1"/>
  <c r="A25" i="16" s="1"/>
  <c r="R25" i="16"/>
  <c r="J25" i="16" s="1"/>
  <c r="M50" i="16"/>
  <c r="B50" i="16" s="1" a="1"/>
  <c r="B50" i="16" s="1"/>
  <c r="R50" i="16"/>
  <c r="J50" i="16" s="1"/>
  <c r="M75" i="16"/>
  <c r="B75" i="16" s="1" a="1"/>
  <c r="B75" i="16" s="1"/>
  <c r="R75" i="16"/>
  <c r="J75" i="16" s="1"/>
  <c r="K27" i="16"/>
  <c r="R27" i="16"/>
  <c r="J27" i="16" s="1"/>
  <c r="L18" i="16"/>
  <c r="R18" i="16"/>
  <c r="J18" i="16" s="1"/>
  <c r="L32" i="16"/>
  <c r="R32" i="16"/>
  <c r="J32" i="16" s="1"/>
  <c r="K11" i="16"/>
  <c r="R11" i="16"/>
  <c r="J11" i="16" s="1"/>
  <c r="K15" i="16"/>
  <c r="R15" i="16"/>
  <c r="J15" i="16" s="1"/>
  <c r="M7" i="16"/>
  <c r="R7" i="16"/>
  <c r="J7" i="16" s="1"/>
  <c r="M14" i="16"/>
  <c r="B14" i="16" s="1" a="1"/>
  <c r="B14" i="16" s="1"/>
  <c r="R14" i="16"/>
  <c r="J14" i="16" s="1"/>
  <c r="K64" i="16"/>
  <c r="R64" i="16"/>
  <c r="J64" i="16" s="1"/>
  <c r="K34" i="16"/>
  <c r="R34" i="16"/>
  <c r="J34" i="16" s="1"/>
  <c r="K13" i="16"/>
  <c r="R13" i="16"/>
  <c r="J13" i="16" s="1"/>
  <c r="K53" i="16"/>
  <c r="R53" i="16"/>
  <c r="J53" i="16" s="1"/>
  <c r="K28" i="16"/>
  <c r="R28" i="16"/>
  <c r="J28" i="16" s="1"/>
  <c r="M62" i="16"/>
  <c r="B62" i="16" s="1" a="1"/>
  <c r="B62" i="16" s="1"/>
  <c r="R62" i="16"/>
  <c r="J62" i="16" s="1"/>
  <c r="K47" i="16"/>
  <c r="R47" i="16"/>
  <c r="J47" i="16" s="1"/>
  <c r="K55" i="16"/>
  <c r="R55" i="16"/>
  <c r="J55" i="16" s="1"/>
  <c r="L69" i="16"/>
  <c r="R69" i="16"/>
  <c r="J69" i="16" s="1"/>
  <c r="K46" i="16"/>
  <c r="R46" i="16"/>
  <c r="J46" i="16" s="1"/>
  <c r="K60" i="16"/>
  <c r="R60" i="16"/>
  <c r="J60" i="16" s="1"/>
  <c r="K21" i="16"/>
  <c r="R21" i="16"/>
  <c r="J21" i="16" s="1"/>
  <c r="K10" i="16"/>
  <c r="R10" i="16"/>
  <c r="J10" i="16" s="1"/>
  <c r="K20" i="16"/>
  <c r="R20" i="16"/>
  <c r="J20" i="16" s="1"/>
  <c r="M70" i="16"/>
  <c r="R70" i="16"/>
  <c r="J70" i="16" s="1"/>
  <c r="K37" i="16"/>
  <c r="R37" i="16"/>
  <c r="J37" i="16" s="1"/>
  <c r="K74" i="16"/>
  <c r="R74" i="16"/>
  <c r="J74" i="16" s="1"/>
  <c r="K19" i="16"/>
  <c r="R19" i="16"/>
  <c r="J19" i="16" s="1"/>
  <c r="K24" i="16"/>
  <c r="R24" i="16"/>
  <c r="J24" i="16" s="1"/>
  <c r="K58" i="16"/>
  <c r="R58" i="16"/>
  <c r="J58" i="16" s="1"/>
  <c r="K22" i="16"/>
  <c r="R22" i="16"/>
  <c r="J22" i="16" s="1"/>
  <c r="K4" i="16"/>
  <c r="R4" i="16"/>
  <c r="J4" i="16" s="1"/>
  <c r="K41" i="16"/>
  <c r="R41" i="16"/>
  <c r="J41" i="16" s="1"/>
  <c r="K3" i="16"/>
  <c r="R3" i="16"/>
  <c r="J3" i="16" s="1"/>
  <c r="K30" i="16"/>
  <c r="R30" i="16"/>
  <c r="J30" i="16" s="1"/>
  <c r="K35" i="16"/>
  <c r="R35" i="16"/>
  <c r="J35" i="16" s="1"/>
  <c r="K44" i="16"/>
  <c r="R44" i="16"/>
  <c r="J44" i="16" s="1"/>
  <c r="K57" i="16"/>
  <c r="R57" i="16"/>
  <c r="J57" i="16" s="1"/>
  <c r="K17" i="16"/>
  <c r="R17" i="16"/>
  <c r="J17" i="16" s="1"/>
  <c r="K6" i="16"/>
  <c r="R6" i="16"/>
  <c r="J6" i="16" s="1"/>
  <c r="K52" i="16"/>
  <c r="R52" i="16"/>
  <c r="J52" i="16" s="1"/>
  <c r="K4" i="15"/>
  <c r="R4" i="15"/>
  <c r="J4" i="15" s="1"/>
  <c r="K16" i="15"/>
  <c r="R16" i="15"/>
  <c r="J16" i="15" s="1"/>
  <c r="L24" i="15"/>
  <c r="R24" i="15"/>
  <c r="J24" i="15" s="1"/>
  <c r="K14" i="15"/>
  <c r="R14" i="15"/>
  <c r="J14" i="15" s="1"/>
  <c r="K12" i="15"/>
  <c r="R12" i="15"/>
  <c r="J12" i="15" s="1"/>
  <c r="K29" i="15"/>
  <c r="R29" i="15"/>
  <c r="J29" i="15" s="1"/>
  <c r="L35" i="15"/>
  <c r="R35" i="15"/>
  <c r="J35" i="15" s="1"/>
  <c r="L5" i="15"/>
  <c r="R5" i="15"/>
  <c r="J5" i="15" s="1"/>
  <c r="M34" i="15"/>
  <c r="A34" i="15" s="1" a="1"/>
  <c r="A34" i="15" s="1"/>
  <c r="R34" i="15"/>
  <c r="J34" i="15" s="1"/>
  <c r="K9" i="15"/>
  <c r="R9" i="15"/>
  <c r="J9" i="15" s="1"/>
  <c r="M20" i="15"/>
  <c r="B20" i="15" s="1" a="1"/>
  <c r="B20" i="15" s="1"/>
  <c r="R20" i="15"/>
  <c r="J20" i="15" s="1"/>
  <c r="M36" i="15"/>
  <c r="B36" i="15" s="1" a="1"/>
  <c r="B36" i="15" s="1"/>
  <c r="R36" i="15"/>
  <c r="J36" i="15" s="1"/>
  <c r="K28" i="15"/>
  <c r="R28" i="15"/>
  <c r="J28" i="15" s="1"/>
  <c r="K25" i="15"/>
  <c r="R25" i="15"/>
  <c r="J25" i="15" s="1"/>
  <c r="K19" i="15"/>
  <c r="R19" i="15"/>
  <c r="J19" i="15" s="1"/>
  <c r="K37" i="15"/>
  <c r="R37" i="15"/>
  <c r="J37" i="15" s="1"/>
  <c r="N25" i="13"/>
  <c r="B25" i="13" s="1" a="1"/>
  <c r="B25" i="13" s="1"/>
  <c r="S25" i="13"/>
  <c r="K25" i="13" s="1"/>
  <c r="L15" i="12"/>
  <c r="S15" i="12"/>
  <c r="K15" i="12" s="1"/>
  <c r="B4" i="12" s="1" a="1"/>
  <c r="B4" i="12" s="1"/>
  <c r="S104" i="11"/>
  <c r="S126" i="11"/>
  <c r="S98" i="11"/>
  <c r="S75" i="11"/>
  <c r="S112" i="11"/>
  <c r="S82" i="11"/>
  <c r="S83" i="11"/>
  <c r="S103" i="11"/>
  <c r="S89" i="11"/>
  <c r="S92" i="11"/>
  <c r="S107" i="11"/>
  <c r="S113" i="11"/>
  <c r="S87" i="11"/>
  <c r="S121" i="11"/>
  <c r="R3" i="11"/>
  <c r="J3" i="11" s="1"/>
  <c r="S3" i="11"/>
  <c r="S80" i="11"/>
  <c r="S78" i="11"/>
  <c r="S81" i="11"/>
  <c r="S116" i="11"/>
  <c r="S106" i="11"/>
  <c r="S120" i="11"/>
  <c r="S85" i="11"/>
  <c r="S122" i="11"/>
  <c r="S99" i="11"/>
  <c r="S118" i="11"/>
  <c r="S117" i="11"/>
  <c r="S8" i="3"/>
  <c r="R8" i="3"/>
  <c r="J8" i="3" s="1"/>
  <c r="K80" i="14"/>
  <c r="M57" i="6"/>
  <c r="L13" i="11"/>
  <c r="R13" i="11"/>
  <c r="J13" i="11" s="1"/>
  <c r="K23" i="11"/>
  <c r="R23" i="11"/>
  <c r="J23" i="11" s="1"/>
  <c r="L15" i="11"/>
  <c r="R15" i="11"/>
  <c r="J15" i="11" s="1"/>
  <c r="K11" i="11"/>
  <c r="R11" i="11"/>
  <c r="J11" i="11" s="1"/>
  <c r="R103" i="11"/>
  <c r="J103" i="11" s="1"/>
  <c r="R89" i="11"/>
  <c r="J89" i="11" s="1"/>
  <c r="R92" i="11"/>
  <c r="J92" i="11" s="1"/>
  <c r="M8" i="11"/>
  <c r="R8" i="11"/>
  <c r="J8" i="11" s="1"/>
  <c r="K67" i="11"/>
  <c r="R67" i="11"/>
  <c r="J67" i="11" s="1"/>
  <c r="M49" i="11"/>
  <c r="B49" i="11" s="1" a="1"/>
  <c r="B49" i="11" s="1"/>
  <c r="R49" i="11"/>
  <c r="J49" i="11" s="1"/>
  <c r="R48" i="11"/>
  <c r="J48" i="11" s="1"/>
  <c r="M19" i="11"/>
  <c r="A19" i="11" s="1" a="1"/>
  <c r="A19" i="11" s="1"/>
  <c r="R19" i="11"/>
  <c r="J19" i="11" s="1"/>
  <c r="K71" i="11"/>
  <c r="R71" i="11"/>
  <c r="J71" i="11" s="1"/>
  <c r="R9" i="11"/>
  <c r="J9" i="11" s="1"/>
  <c r="R86" i="11"/>
  <c r="J86" i="11" s="1"/>
  <c r="R83" i="11"/>
  <c r="J83" i="11" s="1"/>
  <c r="R125" i="11"/>
  <c r="J125" i="11" s="1"/>
  <c r="M32" i="11"/>
  <c r="B32" i="11" s="1" a="1"/>
  <c r="B32" i="11" s="1"/>
  <c r="R32" i="11"/>
  <c r="J32" i="11" s="1"/>
  <c r="R98" i="11"/>
  <c r="J98" i="11" s="1"/>
  <c r="M30" i="11"/>
  <c r="B30" i="11" s="1" a="1"/>
  <c r="B30" i="11" s="1"/>
  <c r="R30" i="11"/>
  <c r="J30" i="11" s="1"/>
  <c r="R4" i="11"/>
  <c r="J4" i="11" s="1"/>
  <c r="R95" i="11"/>
  <c r="J95" i="11" s="1"/>
  <c r="R37" i="11"/>
  <c r="J37" i="11" s="1"/>
  <c r="M6" i="11"/>
  <c r="R6" i="11"/>
  <c r="J6" i="11" s="1"/>
  <c r="R78" i="11"/>
  <c r="J78" i="11" s="1"/>
  <c r="R112" i="11"/>
  <c r="J112" i="11" s="1"/>
  <c r="R10" i="11"/>
  <c r="J10" i="11" s="1"/>
  <c r="K3" i="11"/>
  <c r="R126" i="11"/>
  <c r="J126" i="11" s="1"/>
  <c r="L29" i="11"/>
  <c r="R29" i="11"/>
  <c r="J29" i="11" s="1"/>
  <c r="L106" i="11"/>
  <c r="R106" i="11"/>
  <c r="J106" i="11" s="1"/>
  <c r="K21" i="11"/>
  <c r="R21" i="11"/>
  <c r="J21" i="11" s="1"/>
  <c r="M52" i="11"/>
  <c r="B52" i="11" s="1" a="1"/>
  <c r="B52" i="11" s="1"/>
  <c r="R52" i="11"/>
  <c r="J52" i="11" s="1"/>
  <c r="R85" i="11"/>
  <c r="J85" i="11" s="1"/>
  <c r="R118" i="11"/>
  <c r="J118" i="11" s="1"/>
  <c r="R117" i="11"/>
  <c r="J117" i="11" s="1"/>
  <c r="L51" i="11"/>
  <c r="R51" i="11"/>
  <c r="J51" i="11" s="1"/>
  <c r="R82" i="11"/>
  <c r="J82" i="11" s="1"/>
  <c r="L31" i="11"/>
  <c r="R31" i="11"/>
  <c r="J31" i="11" s="1"/>
  <c r="R84" i="11"/>
  <c r="J84" i="11" s="1"/>
  <c r="L64" i="11"/>
  <c r="R64" i="11"/>
  <c r="J64" i="11" s="1"/>
  <c r="R104" i="11"/>
  <c r="J104" i="11" s="1"/>
  <c r="M43" i="11"/>
  <c r="B43" i="11" s="1" a="1"/>
  <c r="B43" i="11" s="1"/>
  <c r="R43" i="11"/>
  <c r="J43" i="11" s="1"/>
  <c r="R81" i="11"/>
  <c r="J81" i="11" s="1"/>
  <c r="K16" i="11"/>
  <c r="R16" i="11"/>
  <c r="J16" i="11" s="1"/>
  <c r="R122" i="11"/>
  <c r="J122" i="11" s="1"/>
  <c r="R99" i="11"/>
  <c r="J99" i="11" s="1"/>
  <c r="L17" i="11"/>
  <c r="R17" i="11"/>
  <c r="J17" i="11" s="1"/>
  <c r="R50" i="11"/>
  <c r="J50" i="11" s="1"/>
  <c r="R75" i="11"/>
  <c r="J75" i="11" s="1"/>
  <c r="L12" i="11"/>
  <c r="R12" i="11"/>
  <c r="J12" i="11" s="1"/>
  <c r="L107" i="11"/>
  <c r="R107" i="11"/>
  <c r="J107" i="11" s="1"/>
  <c r="L113" i="11"/>
  <c r="R113" i="11"/>
  <c r="J113" i="11" s="1"/>
  <c r="L87" i="11"/>
  <c r="R87" i="11"/>
  <c r="J87" i="11" s="1"/>
  <c r="L121" i="11"/>
  <c r="R121" i="11"/>
  <c r="J121" i="11" s="1"/>
  <c r="K14" i="11"/>
  <c r="R14" i="11"/>
  <c r="J14" i="11" s="1"/>
  <c r="K72" i="11"/>
  <c r="R72" i="11"/>
  <c r="J72" i="11" s="1"/>
  <c r="K39" i="11"/>
  <c r="R39" i="11"/>
  <c r="J39" i="11" s="1"/>
  <c r="L33" i="11"/>
  <c r="R33" i="11"/>
  <c r="J33" i="11" s="1"/>
  <c r="M27" i="11"/>
  <c r="B27" i="11" s="1" a="1"/>
  <c r="B27" i="11" s="1"/>
  <c r="R27" i="11"/>
  <c r="J27" i="11" s="1"/>
  <c r="R80" i="11"/>
  <c r="J80" i="11" s="1"/>
  <c r="L77" i="11"/>
  <c r="R77" i="11"/>
  <c r="J77" i="11" s="1"/>
  <c r="K25" i="11"/>
  <c r="R25" i="11"/>
  <c r="J25" i="11" s="1"/>
  <c r="R120" i="11"/>
  <c r="J120" i="11" s="1"/>
  <c r="R116" i="11"/>
  <c r="J116" i="11" s="1"/>
  <c r="R41" i="11"/>
  <c r="J41" i="11" s="1"/>
  <c r="L22" i="11"/>
  <c r="R22" i="11"/>
  <c r="J22" i="11" s="1"/>
  <c r="K18" i="11"/>
  <c r="R18" i="11"/>
  <c r="J18" i="11" s="1"/>
  <c r="R114" i="11"/>
  <c r="J114" i="11" s="1"/>
  <c r="L105" i="11"/>
  <c r="R105" i="11"/>
  <c r="J105" i="11" s="1"/>
  <c r="R108" i="11"/>
  <c r="J108" i="11" s="1"/>
  <c r="R76" i="11"/>
  <c r="J76" i="11" s="1"/>
  <c r="L68" i="11"/>
  <c r="R68" i="11"/>
  <c r="J68" i="11" s="1"/>
  <c r="L38" i="11"/>
  <c r="R38" i="11"/>
  <c r="J38" i="11" s="1"/>
  <c r="K63" i="11"/>
  <c r="R63" i="11"/>
  <c r="J63" i="11" s="1"/>
  <c r="R7" i="3"/>
  <c r="J7" i="3" s="1"/>
  <c r="S7" i="3"/>
  <c r="R52" i="3"/>
  <c r="J52" i="3" s="1"/>
  <c r="J77" i="3"/>
  <c r="J83" i="3"/>
  <c r="J57" i="3"/>
  <c r="J80" i="3"/>
  <c r="J75" i="3"/>
  <c r="J67" i="3"/>
  <c r="J78" i="3"/>
  <c r="J87" i="3"/>
  <c r="J88" i="3"/>
  <c r="J81" i="3"/>
  <c r="J54" i="3"/>
  <c r="J74" i="3"/>
  <c r="J85" i="3"/>
  <c r="J72" i="3"/>
  <c r="J56" i="3"/>
  <c r="J51" i="3"/>
  <c r="J44" i="3"/>
  <c r="J70" i="3"/>
  <c r="J68" i="3"/>
  <c r="J89" i="3"/>
  <c r="J63" i="3"/>
  <c r="J41" i="3"/>
  <c r="J65" i="3"/>
  <c r="J76" i="3"/>
  <c r="J61" i="3"/>
  <c r="J66" i="3"/>
  <c r="J55" i="3"/>
  <c r="J69" i="3"/>
  <c r="J62" i="3"/>
  <c r="J79" i="3"/>
  <c r="K32" i="3"/>
  <c r="S32" i="3"/>
  <c r="J32" i="3"/>
  <c r="L73" i="3"/>
  <c r="S73" i="3"/>
  <c r="J73" i="3"/>
  <c r="L19" i="3"/>
  <c r="S19" i="3"/>
  <c r="J19" i="3"/>
  <c r="L34" i="3"/>
  <c r="S34" i="3"/>
  <c r="J34" i="3"/>
  <c r="L67" i="3"/>
  <c r="S67" i="3"/>
  <c r="L31" i="3"/>
  <c r="S31" i="3"/>
  <c r="J31" i="3"/>
  <c r="L30" i="3"/>
  <c r="S30" i="3"/>
  <c r="J30" i="3"/>
  <c r="L15" i="3"/>
  <c r="S15" i="3"/>
  <c r="J15" i="3"/>
  <c r="L61" i="3"/>
  <c r="S61" i="3"/>
  <c r="S83" i="3"/>
  <c r="L25" i="3"/>
  <c r="J25" i="3"/>
  <c r="S25" i="3"/>
  <c r="S90" i="3"/>
  <c r="J90" i="3"/>
  <c r="L86" i="3"/>
  <c r="S86" i="3"/>
  <c r="J86" i="3"/>
  <c r="S54" i="3"/>
  <c r="S72" i="3"/>
  <c r="K33" i="3"/>
  <c r="S33" i="3"/>
  <c r="J33" i="3"/>
  <c r="K10" i="3"/>
  <c r="S10" i="3"/>
  <c r="J10" i="3"/>
  <c r="S27" i="3"/>
  <c r="J27" i="3"/>
  <c r="L8" i="3"/>
  <c r="S20" i="3"/>
  <c r="J20" i="3"/>
  <c r="S81" i="3"/>
  <c r="L12" i="3"/>
  <c r="S12" i="3"/>
  <c r="J12" i="3"/>
  <c r="S53" i="3"/>
  <c r="S59" i="3"/>
  <c r="S16" i="3"/>
  <c r="J16" i="3"/>
  <c r="S43" i="3"/>
  <c r="J43" i="3"/>
  <c r="S56" i="3"/>
  <c r="L13" i="3"/>
  <c r="S13" i="3"/>
  <c r="J13" i="3"/>
  <c r="S3" i="3"/>
  <c r="J3" i="3"/>
  <c r="S44" i="3"/>
  <c r="S68" i="3"/>
  <c r="S89" i="3"/>
  <c r="L7" i="3"/>
  <c r="K26" i="3"/>
  <c r="S26" i="3"/>
  <c r="J26" i="3"/>
  <c r="L52" i="3"/>
  <c r="S52" i="3"/>
  <c r="L47" i="3"/>
  <c r="S47" i="3"/>
  <c r="J47" i="3"/>
  <c r="S87" i="3"/>
  <c r="L51" i="3"/>
  <c r="S51" i="3"/>
  <c r="M9" i="3"/>
  <c r="J9" i="3"/>
  <c r="S9" i="3"/>
  <c r="K29" i="3"/>
  <c r="S29" i="3"/>
  <c r="J29" i="3"/>
  <c r="S57" i="3"/>
  <c r="S41" i="3"/>
  <c r="J64" i="3"/>
  <c r="S64" i="3"/>
  <c r="S82" i="3"/>
  <c r="J82" i="3"/>
  <c r="J5" i="3"/>
  <c r="S5" i="3"/>
  <c r="M24" i="3"/>
  <c r="B24" i="3" s="1" a="1"/>
  <c r="B24" i="3" s="1"/>
  <c r="S24" i="3"/>
  <c r="J24" i="3"/>
  <c r="J71" i="3"/>
  <c r="K21" i="3"/>
  <c r="S21" i="3"/>
  <c r="J21" i="3"/>
  <c r="S58" i="3"/>
  <c r="J58" i="3"/>
  <c r="J37" i="3"/>
  <c r="S37" i="3"/>
  <c r="S60" i="3"/>
  <c r="J60" i="3"/>
  <c r="L84" i="3"/>
  <c r="S84" i="3"/>
  <c r="J84" i="3"/>
  <c r="K6" i="3"/>
  <c r="J6" i="3"/>
  <c r="S6" i="3"/>
  <c r="J18" i="3"/>
  <c r="S18" i="3"/>
  <c r="K80" i="11"/>
  <c r="K8" i="14"/>
  <c r="M11" i="6"/>
  <c r="L8" i="16"/>
  <c r="K7" i="15"/>
  <c r="K85" i="11"/>
  <c r="M75" i="11"/>
  <c r="L53" i="3"/>
  <c r="Q21" i="14"/>
  <c r="Q34" i="14"/>
  <c r="Q70" i="14"/>
  <c r="Q21" i="6"/>
  <c r="E20" i="17" s="1"/>
  <c r="F20" i="17" s="1"/>
  <c r="Q30" i="6"/>
  <c r="Q77" i="6"/>
  <c r="Q38" i="6"/>
  <c r="Q18" i="6"/>
  <c r="Q34" i="6"/>
  <c r="Q64" i="6"/>
  <c r="Q49" i="6"/>
  <c r="Q52" i="6"/>
  <c r="Q48" i="6"/>
  <c r="Q57" i="6"/>
  <c r="Q27" i="6"/>
  <c r="Q35" i="6"/>
  <c r="E19" i="17" s="1"/>
  <c r="F19" i="17" s="1"/>
  <c r="Q50" i="16"/>
  <c r="Q62" i="16"/>
  <c r="Q14" i="16"/>
  <c r="Q7" i="16"/>
  <c r="Q75" i="16"/>
  <c r="Q36" i="15"/>
  <c r="Q20" i="15"/>
  <c r="Q49" i="11"/>
  <c r="Q27" i="11"/>
  <c r="Q32" i="11"/>
  <c r="Q52" i="11"/>
  <c r="Q43" i="11"/>
  <c r="Q30" i="11"/>
  <c r="Q9" i="3"/>
  <c r="Q24" i="3"/>
  <c r="K81" i="11"/>
  <c r="K120" i="11"/>
  <c r="M116" i="11"/>
  <c r="B116" i="11" s="1" a="1"/>
  <c r="B116" i="11" s="1"/>
  <c r="K86" i="11"/>
  <c r="M89" i="11"/>
  <c r="B89" i="11" s="1" a="1"/>
  <c r="B89" i="11" s="1"/>
  <c r="M92" i="11"/>
  <c r="B92" i="11" s="1" a="1"/>
  <c r="B92" i="11" s="1"/>
  <c r="M103" i="11"/>
  <c r="A103" i="11" s="1" a="1"/>
  <c r="A103" i="11" s="1"/>
  <c r="K108" i="11"/>
  <c r="K114" i="11"/>
  <c r="K76" i="11"/>
  <c r="K104" i="11"/>
  <c r="K98" i="11"/>
  <c r="K126" i="11"/>
  <c r="K84" i="11"/>
  <c r="K95" i="11"/>
  <c r="M125" i="11"/>
  <c r="A125" i="11" s="1" a="1"/>
  <c r="A125" i="11" s="1"/>
  <c r="K78" i="11"/>
  <c r="M122" i="11"/>
  <c r="B122" i="11" s="1" a="1"/>
  <c r="B122" i="11" s="1"/>
  <c r="R25" i="13"/>
  <c r="K57" i="3"/>
  <c r="K44" i="3"/>
  <c r="M68" i="3"/>
  <c r="A68" i="3" s="1" a="1"/>
  <c r="A68" i="3" s="1"/>
  <c r="K87" i="3"/>
  <c r="K89" i="3"/>
  <c r="M20" i="3"/>
  <c r="B20" i="3" s="1" a="1"/>
  <c r="B20" i="3" s="1"/>
  <c r="K23" i="14"/>
  <c r="M31" i="14"/>
  <c r="B31" i="14" s="1" a="1"/>
  <c r="B31" i="14" s="1"/>
  <c r="M6" i="6"/>
  <c r="M43" i="6"/>
  <c r="M26" i="6"/>
  <c r="A26" i="6" s="1" a="1"/>
  <c r="A26" i="6" s="1"/>
  <c r="K66" i="6"/>
  <c r="L27" i="6"/>
  <c r="L30" i="6"/>
  <c r="L44" i="6"/>
  <c r="L62" i="16"/>
  <c r="M27" i="16"/>
  <c r="B27" i="16" s="1" a="1"/>
  <c r="B27" i="16" s="1"/>
  <c r="M19" i="15"/>
  <c r="B19" i="15" s="1" a="1"/>
  <c r="B19" i="15" s="1"/>
  <c r="L4" i="15"/>
  <c r="K20" i="15"/>
  <c r="M31" i="11"/>
  <c r="B31" i="11" s="1" a="1"/>
  <c r="B31" i="11" s="1"/>
  <c r="K51" i="11"/>
  <c r="K113" i="11"/>
  <c r="L67" i="11"/>
  <c r="K33" i="11"/>
  <c r="M3" i="3"/>
  <c r="M81" i="3"/>
  <c r="B81" i="3" s="1" a="1"/>
  <c r="B81" i="3" s="1"/>
  <c r="M56" i="3"/>
  <c r="B56" i="3" s="1" a="1"/>
  <c r="B56" i="3" s="1"/>
  <c r="M67" i="11"/>
  <c r="B67" i="11" s="1" a="1"/>
  <c r="B67" i="11" s="1"/>
  <c r="K77" i="11"/>
  <c r="K15" i="11"/>
  <c r="K19" i="11"/>
  <c r="L49" i="11"/>
  <c r="K49" i="11"/>
  <c r="K105" i="11"/>
  <c r="K13" i="3"/>
  <c r="M27" i="3"/>
  <c r="B27" i="3" s="1" a="1"/>
  <c r="B27" i="3" s="1"/>
  <c r="M11" i="16"/>
  <c r="A11" i="16" s="1" a="1"/>
  <c r="A11" i="16" s="1"/>
  <c r="M32" i="16"/>
  <c r="B32" i="16" s="1" a="1"/>
  <c r="B32" i="16" s="1"/>
  <c r="M8" i="16"/>
  <c r="M3" i="16"/>
  <c r="M47" i="16"/>
  <c r="B47" i="16" s="1" a="1"/>
  <c r="B47" i="16" s="1"/>
  <c r="M37" i="16"/>
  <c r="B37" i="16" s="1" a="1"/>
  <c r="B37" i="16" s="1"/>
  <c r="L3" i="16"/>
  <c r="L47" i="16"/>
  <c r="K32" i="16"/>
  <c r="L27" i="16"/>
  <c r="L11" i="16"/>
  <c r="K69" i="16"/>
  <c r="K75" i="16"/>
  <c r="M21" i="16"/>
  <c r="B21" i="16" s="1" a="1"/>
  <c r="B21" i="16" s="1"/>
  <c r="M19" i="16"/>
  <c r="B19" i="16" s="1" a="1"/>
  <c r="B19" i="16" s="1"/>
  <c r="L50" i="16"/>
  <c r="L19" i="15"/>
  <c r="K35" i="15"/>
  <c r="L20" i="15"/>
  <c r="K24" i="15"/>
  <c r="M12" i="15"/>
  <c r="L12" i="15"/>
  <c r="L34" i="15"/>
  <c r="K34" i="15"/>
  <c r="L7" i="14"/>
  <c r="L19" i="14"/>
  <c r="K6" i="14"/>
  <c r="L70" i="14"/>
  <c r="M78" i="14"/>
  <c r="M62" i="14"/>
  <c r="B62" i="14" s="1" a="1"/>
  <c r="B62" i="14" s="1"/>
  <c r="L21" i="14"/>
  <c r="M26" i="14"/>
  <c r="A26" i="14" s="1" a="1"/>
  <c r="A26" i="14" s="1"/>
  <c r="M73" i="14"/>
  <c r="B73" i="14" s="1" a="1"/>
  <c r="B73" i="14" s="1"/>
  <c r="K3" i="14"/>
  <c r="L36" i="14"/>
  <c r="L53" i="14"/>
  <c r="L34" i="14"/>
  <c r="L83" i="14"/>
  <c r="L9" i="14"/>
  <c r="M37" i="14"/>
  <c r="B37" i="14" s="1" a="1"/>
  <c r="B37" i="14" s="1"/>
  <c r="M80" i="14"/>
  <c r="B80" i="14" s="1" a="1"/>
  <c r="B80" i="14" s="1"/>
  <c r="K39" i="14"/>
  <c r="K60" i="14"/>
  <c r="K21" i="14"/>
  <c r="L5" i="14"/>
  <c r="K9" i="14"/>
  <c r="L24" i="14"/>
  <c r="M7" i="14"/>
  <c r="K16" i="14"/>
  <c r="L11" i="14"/>
  <c r="M58" i="14"/>
  <c r="B58" i="14" s="1" a="1"/>
  <c r="B58" i="14" s="1"/>
  <c r="K54" i="14"/>
  <c r="L26" i="14"/>
  <c r="M36" i="14"/>
  <c r="B36" i="14" s="1" a="1"/>
  <c r="B36" i="14" s="1"/>
  <c r="K34" i="14"/>
  <c r="L31" i="14"/>
  <c r="M19" i="14"/>
  <c r="A19" i="14" s="1" a="1"/>
  <c r="A19" i="14" s="1"/>
  <c r="K70" i="14"/>
  <c r="L73" i="14"/>
  <c r="M53" i="14"/>
  <c r="K83" i="14"/>
  <c r="L16" i="14"/>
  <c r="L54" i="14"/>
  <c r="K49" i="14"/>
  <c r="M4" i="14"/>
  <c r="M8" i="14"/>
  <c r="L58" i="14"/>
  <c r="L4" i="14"/>
  <c r="M10" i="14"/>
  <c r="L8" i="14"/>
  <c r="M12" i="14"/>
  <c r="B12" i="14" s="1" a="1"/>
  <c r="B12" i="14" s="1"/>
  <c r="L13" i="14"/>
  <c r="L78" i="14"/>
  <c r="M33" i="14"/>
  <c r="B33" i="14" s="1" a="1"/>
  <c r="B33" i="14" s="1"/>
  <c r="L37" i="14"/>
  <c r="M20" i="14"/>
  <c r="B20" i="14" s="1" a="1"/>
  <c r="B20" i="14" s="1"/>
  <c r="L62" i="14"/>
  <c r="M67" i="14"/>
  <c r="B67" i="14" s="1" a="1"/>
  <c r="B67" i="14" s="1"/>
  <c r="L80" i="14"/>
  <c r="M5" i="14"/>
  <c r="K11" i="14"/>
  <c r="K76" i="14"/>
  <c r="L10" i="14"/>
  <c r="L12" i="14"/>
  <c r="M17" i="14"/>
  <c r="B17" i="14" s="1" a="1"/>
  <c r="B17" i="14" s="1"/>
  <c r="K13" i="14"/>
  <c r="M55" i="14"/>
  <c r="A55" i="14" s="1" a="1"/>
  <c r="A55" i="14" s="1"/>
  <c r="L33" i="14"/>
  <c r="M15" i="14"/>
  <c r="B15" i="14" s="1" a="1"/>
  <c r="B15" i="14" s="1"/>
  <c r="L20" i="14"/>
  <c r="M63" i="14"/>
  <c r="B63" i="14" s="1" a="1"/>
  <c r="B63" i="14" s="1"/>
  <c r="L67" i="14"/>
  <c r="M79" i="14"/>
  <c r="M24" i="14"/>
  <c r="B24" i="14" s="1" a="1"/>
  <c r="B24" i="14" s="1"/>
  <c r="L76" i="14"/>
  <c r="M22" i="14"/>
  <c r="A22" i="14" s="1" a="1"/>
  <c r="A22" i="14" s="1"/>
  <c r="L17" i="14"/>
  <c r="M14" i="14"/>
  <c r="B14" i="14" s="1" a="1"/>
  <c r="B14" i="14" s="1"/>
  <c r="L55" i="14"/>
  <c r="M77" i="14"/>
  <c r="L15" i="14"/>
  <c r="M42" i="14"/>
  <c r="B42" i="14" s="1" a="1"/>
  <c r="B42" i="14" s="1"/>
  <c r="L63" i="14"/>
  <c r="M56" i="14"/>
  <c r="A56" i="14" s="1" a="1"/>
  <c r="A56" i="14" s="1"/>
  <c r="L79" i="14"/>
  <c r="M52" i="14"/>
  <c r="M3" i="14"/>
  <c r="L22" i="14"/>
  <c r="M23" i="14"/>
  <c r="B23" i="14" s="1" a="1"/>
  <c r="B23" i="14" s="1"/>
  <c r="L14" i="14"/>
  <c r="M6" i="14"/>
  <c r="L77" i="14"/>
  <c r="M39" i="14"/>
  <c r="B39" i="14" s="1" a="1"/>
  <c r="B39" i="14" s="1"/>
  <c r="L42" i="14"/>
  <c r="M49" i="14"/>
  <c r="B49" i="14" s="1" a="1"/>
  <c r="B49" i="14" s="1"/>
  <c r="L56" i="14"/>
  <c r="M60" i="14"/>
  <c r="B60" i="14" s="1" a="1"/>
  <c r="B60" i="14" s="1"/>
  <c r="L52" i="14"/>
  <c r="L5" i="6"/>
  <c r="L34" i="6"/>
  <c r="L12" i="6"/>
  <c r="K24" i="6"/>
  <c r="L10" i="6"/>
  <c r="L57" i="6"/>
  <c r="M70" i="6"/>
  <c r="A70" i="6" s="1" a="1"/>
  <c r="A70" i="6" s="1"/>
  <c r="K6" i="6"/>
  <c r="L8" i="6"/>
  <c r="L77" i="6"/>
  <c r="K43" i="6"/>
  <c r="L18" i="6"/>
  <c r="M66" i="6"/>
  <c r="K26" i="6"/>
  <c r="L20" i="6"/>
  <c r="K70" i="6"/>
  <c r="L7" i="6"/>
  <c r="M24" i="6"/>
  <c r="B24" i="6" s="1" a="1"/>
  <c r="B24" i="6" s="1"/>
  <c r="K27" i="6"/>
  <c r="K12" i="6"/>
  <c r="K8" i="6"/>
  <c r="K20" i="6"/>
  <c r="K44" i="6"/>
  <c r="K30" i="6"/>
  <c r="K77" i="6"/>
  <c r="L11" i="6"/>
  <c r="L19" i="6"/>
  <c r="L45" i="6"/>
  <c r="L31" i="6"/>
  <c r="L52" i="6"/>
  <c r="K17" i="6"/>
  <c r="K29" i="6"/>
  <c r="K15" i="6"/>
  <c r="K67" i="6"/>
  <c r="K9" i="6"/>
  <c r="K72" i="6"/>
  <c r="L13" i="6"/>
  <c r="L21" i="6"/>
  <c r="L16" i="6"/>
  <c r="L49" i="6"/>
  <c r="L35" i="6"/>
  <c r="L48" i="6"/>
  <c r="M17" i="6"/>
  <c r="M29" i="6"/>
  <c r="B29" i="6" s="1" a="1"/>
  <c r="B29" i="6" s="1"/>
  <c r="M15" i="6"/>
  <c r="M67" i="6"/>
  <c r="M9" i="6"/>
  <c r="M72" i="6"/>
  <c r="A72" i="6" s="1" a="1"/>
  <c r="A72" i="6" s="1"/>
  <c r="K22" i="6"/>
  <c r="K3" i="6"/>
  <c r="K65" i="6"/>
  <c r="K50" i="6"/>
  <c r="K74" i="6"/>
  <c r="L25" i="6"/>
  <c r="L23" i="6"/>
  <c r="L46" i="6"/>
  <c r="L38" i="6"/>
  <c r="L64" i="6"/>
  <c r="M22" i="6"/>
  <c r="M3" i="6"/>
  <c r="M65" i="6"/>
  <c r="M50" i="6"/>
  <c r="A50" i="6" s="1" a="1"/>
  <c r="A50" i="6" s="1"/>
  <c r="M74" i="6"/>
  <c r="B74" i="6" s="1" a="1"/>
  <c r="B74" i="6" s="1"/>
  <c r="K5" i="6"/>
  <c r="K10" i="6"/>
  <c r="K18" i="6"/>
  <c r="K7" i="6"/>
  <c r="K34" i="6"/>
  <c r="K57" i="6"/>
  <c r="M45" i="6"/>
  <c r="K19" i="6"/>
  <c r="K31" i="6"/>
  <c r="K13" i="6"/>
  <c r="K21" i="6"/>
  <c r="K16" i="6"/>
  <c r="K49" i="6"/>
  <c r="K35" i="6"/>
  <c r="K48" i="6"/>
  <c r="K11" i="6"/>
  <c r="K52" i="6"/>
  <c r="K25" i="6"/>
  <c r="K23" i="6"/>
  <c r="K46" i="6"/>
  <c r="K38" i="6"/>
  <c r="K64" i="6"/>
  <c r="M25" i="6"/>
  <c r="B25" i="6" s="1" a="1"/>
  <c r="B25" i="6" s="1"/>
  <c r="L25" i="13"/>
  <c r="M25" i="13"/>
  <c r="M15" i="11"/>
  <c r="B15" i="11" s="1" a="1"/>
  <c r="B15" i="11" s="1"/>
  <c r="M18" i="11"/>
  <c r="B18" i="11" s="1" a="1"/>
  <c r="B18" i="11" s="1"/>
  <c r="K32" i="11"/>
  <c r="K13" i="11"/>
  <c r="K122" i="11"/>
  <c r="M105" i="11"/>
  <c r="B105" i="11" s="1" a="1"/>
  <c r="B105" i="11" s="1"/>
  <c r="L76" i="11"/>
  <c r="K87" i="11"/>
  <c r="M15" i="12"/>
  <c r="N15" i="12"/>
  <c r="B15" i="12" s="1" a="1"/>
  <c r="B15" i="12" s="1"/>
  <c r="M120" i="11"/>
  <c r="B120" i="11" s="1" a="1"/>
  <c r="B120" i="11" s="1"/>
  <c r="M81" i="11"/>
  <c r="A81" i="11" s="1" a="1"/>
  <c r="A81" i="11" s="1"/>
  <c r="L81" i="11"/>
  <c r="K12" i="11"/>
  <c r="M84" i="11"/>
  <c r="B84" i="11" s="1" a="1"/>
  <c r="B84" i="11" s="1"/>
  <c r="L32" i="3"/>
  <c r="M83" i="3"/>
  <c r="B83" i="3" s="1" a="1"/>
  <c r="B83" i="3" s="1"/>
  <c r="K37" i="3"/>
  <c r="M60" i="3"/>
  <c r="B60" i="3" s="1" a="1"/>
  <c r="B60" i="3" s="1"/>
  <c r="L9" i="3"/>
  <c r="L44" i="3"/>
  <c r="M54" i="3"/>
  <c r="A54" i="3" s="1" a="1"/>
  <c r="A54" i="3" s="1"/>
  <c r="K58" i="3"/>
  <c r="K19" i="3"/>
  <c r="M52" i="3"/>
  <c r="A52" i="3" s="1" a="1"/>
  <c r="A52" i="3" s="1"/>
  <c r="K41" i="3"/>
  <c r="K64" i="3"/>
  <c r="K82" i="3"/>
  <c r="K25" i="3"/>
  <c r="K67" i="3"/>
  <c r="K52" i="3"/>
  <c r="M61" i="3"/>
  <c r="B61" i="3" s="1" a="1"/>
  <c r="B61" i="3" s="1"/>
  <c r="L20" i="3"/>
  <c r="K61" i="3"/>
  <c r="K20" i="3"/>
  <c r="M37" i="3"/>
  <c r="B37" i="3" s="1" a="1"/>
  <c r="B37" i="3" s="1"/>
  <c r="L37" i="3"/>
  <c r="M84" i="3"/>
  <c r="B84" i="3" s="1" a="1"/>
  <c r="B84" i="3" s="1"/>
  <c r="K84" i="3"/>
  <c r="K47" i="3"/>
  <c r="M15" i="3"/>
  <c r="B15" i="3" s="1" a="1"/>
  <c r="B15" i="3" s="1"/>
  <c r="K15" i="3"/>
  <c r="M13" i="3"/>
  <c r="B13" i="3" s="1" a="1"/>
  <c r="B13" i="3" s="1"/>
  <c r="L25" i="15"/>
  <c r="M25" i="15"/>
  <c r="M14" i="15"/>
  <c r="B14" i="15" s="1" a="1"/>
  <c r="B14" i="15" s="1"/>
  <c r="L14" i="15"/>
  <c r="L36" i="15"/>
  <c r="K62" i="16"/>
  <c r="K8" i="16"/>
  <c r="L19" i="16"/>
  <c r="K50" i="16"/>
  <c r="L12" i="16"/>
  <c r="M15" i="16"/>
  <c r="K12" i="16"/>
  <c r="L37" i="16"/>
  <c r="M64" i="16"/>
  <c r="B64" i="16" s="1" a="1"/>
  <c r="B64" i="16" s="1"/>
  <c r="L15" i="16"/>
  <c r="M18" i="16"/>
  <c r="B18" i="16" s="1" a="1"/>
  <c r="B18" i="16" s="1"/>
  <c r="M10" i="16"/>
  <c r="L64" i="16"/>
  <c r="K18" i="16"/>
  <c r="M30" i="16"/>
  <c r="B30" i="16" s="1" a="1"/>
  <c r="B30" i="16" s="1"/>
  <c r="M13" i="16"/>
  <c r="B13" i="16" s="1" a="1"/>
  <c r="B13" i="16" s="1"/>
  <c r="M53" i="16"/>
  <c r="B53" i="16" s="1" a="1"/>
  <c r="B53" i="16" s="1"/>
  <c r="L30" i="16"/>
  <c r="L13" i="16"/>
  <c r="L53" i="16"/>
  <c r="M20" i="16"/>
  <c r="B20" i="16" s="1" a="1"/>
  <c r="B20" i="16" s="1"/>
  <c r="L21" i="16"/>
  <c r="M22" i="16"/>
  <c r="B22" i="16" s="1" a="1"/>
  <c r="B22" i="16" s="1"/>
  <c r="L10" i="16"/>
  <c r="M4" i="16"/>
  <c r="L20" i="16"/>
  <c r="M41" i="16"/>
  <c r="A41" i="16" s="1" a="1"/>
  <c r="A41" i="16" s="1"/>
  <c r="L22" i="16"/>
  <c r="M17" i="16"/>
  <c r="A17" i="16" s="1" a="1"/>
  <c r="A17" i="16" s="1"/>
  <c r="L4" i="16"/>
  <c r="M6" i="16"/>
  <c r="L41" i="16"/>
  <c r="M52" i="16"/>
  <c r="B52" i="16" s="1" a="1"/>
  <c r="B52" i="16" s="1"/>
  <c r="L17" i="16"/>
  <c r="L6" i="16"/>
  <c r="L52" i="16"/>
  <c r="M46" i="16"/>
  <c r="B46" i="16" s="1" a="1"/>
  <c r="B46" i="16" s="1"/>
  <c r="L46" i="16"/>
  <c r="L25" i="16"/>
  <c r="M24" i="16"/>
  <c r="B24" i="16" s="1" a="1"/>
  <c r="B24" i="16" s="1"/>
  <c r="K25" i="16"/>
  <c r="K51" i="16"/>
  <c r="L7" i="16"/>
  <c r="M85" i="11"/>
  <c r="B85" i="11" s="1" a="1"/>
  <c r="B85" i="11" s="1"/>
  <c r="M72" i="11"/>
  <c r="B72" i="11" s="1" a="1"/>
  <c r="B72" i="11" s="1"/>
  <c r="L85" i="11"/>
  <c r="L72" i="11"/>
  <c r="M68" i="11"/>
  <c r="B68" i="11" s="1" a="1"/>
  <c r="B68" i="11" s="1"/>
  <c r="K29" i="11"/>
  <c r="M39" i="11"/>
  <c r="B39" i="11" s="1" a="1"/>
  <c r="B39" i="11" s="1"/>
  <c r="M12" i="11"/>
  <c r="B12" i="11" s="1" a="1"/>
  <c r="B12" i="11" s="1"/>
  <c r="L84" i="11"/>
  <c r="K68" i="11"/>
  <c r="L39" i="11"/>
  <c r="M38" i="11"/>
  <c r="B38" i="11" s="1" a="1"/>
  <c r="B38" i="11" s="1"/>
  <c r="K64" i="11"/>
  <c r="M51" i="11"/>
  <c r="B51" i="11" s="1" a="1"/>
  <c r="B51" i="11" s="1"/>
  <c r="L32" i="11"/>
  <c r="K22" i="11"/>
  <c r="L103" i="11"/>
  <c r="K106" i="11"/>
  <c r="K37" i="11"/>
  <c r="K38" i="11"/>
  <c r="M33" i="11"/>
  <c r="B33" i="11" s="1" a="1"/>
  <c r="B33" i="11" s="1"/>
  <c r="L116" i="11"/>
  <c r="L52" i="11"/>
  <c r="L43" i="11"/>
  <c r="K31" i="11"/>
  <c r="L30" i="11"/>
  <c r="M86" i="11"/>
  <c r="B86" i="11" s="1" a="1"/>
  <c r="B86" i="11" s="1"/>
  <c r="K116" i="11"/>
  <c r="M37" i="11"/>
  <c r="B37" i="11" s="1" a="1"/>
  <c r="B37" i="11" s="1"/>
  <c r="K52" i="11"/>
  <c r="K43" i="11"/>
  <c r="M48" i="11"/>
  <c r="B48" i="11" s="1" a="1"/>
  <c r="B48" i="11" s="1"/>
  <c r="K30" i="11"/>
  <c r="L86" i="11"/>
  <c r="M117" i="11"/>
  <c r="A117" i="11" s="1" a="1"/>
  <c r="A117" i="11" s="1"/>
  <c r="L37" i="11"/>
  <c r="M50" i="11"/>
  <c r="B50" i="11" s="1" a="1"/>
  <c r="B50" i="11" s="1"/>
  <c r="M41" i="11"/>
  <c r="B41" i="11" s="1" a="1"/>
  <c r="B41" i="11" s="1"/>
  <c r="L48" i="11"/>
  <c r="L117" i="11"/>
  <c r="M23" i="11"/>
  <c r="B23" i="11" s="1" a="1"/>
  <c r="B23" i="11" s="1"/>
  <c r="L50" i="11"/>
  <c r="M71" i="11"/>
  <c r="B71" i="11" s="1" a="1"/>
  <c r="B71" i="11" s="1"/>
  <c r="L41" i="11"/>
  <c r="M63" i="11"/>
  <c r="B63" i="11" s="1" a="1"/>
  <c r="B63" i="11" s="1"/>
  <c r="K48" i="11"/>
  <c r="M77" i="11"/>
  <c r="K117" i="11"/>
  <c r="L23" i="11"/>
  <c r="M29" i="11"/>
  <c r="B29" i="11" s="1" a="1"/>
  <c r="B29" i="11" s="1"/>
  <c r="K50" i="11"/>
  <c r="L71" i="11"/>
  <c r="M64" i="11"/>
  <c r="B64" i="11" s="1" a="1"/>
  <c r="B64" i="11" s="1"/>
  <c r="K41" i="11"/>
  <c r="L63" i="11"/>
  <c r="L6" i="11"/>
  <c r="L114" i="11"/>
  <c r="L92" i="11"/>
  <c r="L125" i="11"/>
  <c r="K121" i="11"/>
  <c r="L21" i="11"/>
  <c r="K6" i="11"/>
  <c r="K107" i="11"/>
  <c r="M99" i="11"/>
  <c r="B99" i="11" s="1" a="1"/>
  <c r="B99" i="11" s="1"/>
  <c r="K92" i="11"/>
  <c r="K125" i="11"/>
  <c r="K103" i="11"/>
  <c r="M25" i="11"/>
  <c r="B25" i="11" s="1" a="1"/>
  <c r="B25" i="11" s="1"/>
  <c r="M95" i="11"/>
  <c r="B95" i="11" s="1" a="1"/>
  <c r="B95" i="11" s="1"/>
  <c r="M3" i="11"/>
  <c r="M14" i="11"/>
  <c r="B14" i="11" s="1" a="1"/>
  <c r="B14" i="11" s="1"/>
  <c r="M22" i="11"/>
  <c r="B22" i="11" s="1" a="1"/>
  <c r="B22" i="11" s="1"/>
  <c r="L27" i="11"/>
  <c r="L25" i="11"/>
  <c r="M11" i="11"/>
  <c r="A11" i="11" s="1" a="1"/>
  <c r="A11" i="11" s="1"/>
  <c r="M106" i="11"/>
  <c r="B106" i="11" s="1" a="1"/>
  <c r="B106" i="11" s="1"/>
  <c r="L89" i="11"/>
  <c r="L95" i="11"/>
  <c r="M108" i="11"/>
  <c r="B108" i="11" s="1" a="1"/>
  <c r="B108" i="11" s="1"/>
  <c r="L120" i="11"/>
  <c r="L3" i="11"/>
  <c r="L14" i="11"/>
  <c r="K27" i="11"/>
  <c r="L11" i="11"/>
  <c r="K89" i="11"/>
  <c r="L108" i="11"/>
  <c r="M76" i="11"/>
  <c r="L8" i="11"/>
  <c r="K17" i="11"/>
  <c r="M114" i="11"/>
  <c r="B114" i="11" s="1" a="1"/>
  <c r="B114" i="11" s="1"/>
  <c r="M21" i="11"/>
  <c r="B21" i="11" s="1" a="1"/>
  <c r="B21" i="11" s="1"/>
  <c r="M34" i="3"/>
  <c r="B34" i="3" s="1" a="1"/>
  <c r="B34" i="3" s="1"/>
  <c r="M73" i="3"/>
  <c r="B73" i="3" s="1" a="1"/>
  <c r="B73" i="3" s="1"/>
  <c r="L18" i="3"/>
  <c r="M29" i="3"/>
  <c r="B29" i="3" s="1" a="1"/>
  <c r="B29" i="3" s="1"/>
  <c r="M53" i="3"/>
  <c r="A53" i="3" s="1" a="1"/>
  <c r="A53" i="3" s="1"/>
  <c r="K18" i="3"/>
  <c r="L29" i="3"/>
  <c r="K60" i="3"/>
  <c r="M33" i="3"/>
  <c r="B33" i="3" s="1" a="1"/>
  <c r="B33" i="3" s="1"/>
  <c r="K54" i="3"/>
  <c r="M7" i="3"/>
  <c r="L33" i="3"/>
  <c r="K31" i="3"/>
  <c r="K7" i="3"/>
  <c r="L24" i="3"/>
  <c r="K24" i="3"/>
  <c r="M18" i="3"/>
  <c r="A18" i="3" s="1" a="1"/>
  <c r="A18" i="3" s="1"/>
  <c r="M26" i="3"/>
  <c r="B26" i="3" s="1" a="1"/>
  <c r="B26" i="3" s="1"/>
  <c r="M25" i="3"/>
  <c r="B25" i="3" s="1" a="1"/>
  <c r="B25" i="3" s="1"/>
  <c r="L26" i="3"/>
  <c r="M19" i="3"/>
  <c r="B19" i="3" s="1" a="1"/>
  <c r="B19" i="3" s="1"/>
  <c r="M32" i="3"/>
  <c r="B32" i="3" s="1" a="1"/>
  <c r="B32" i="3" s="1"/>
  <c r="L27" i="3"/>
  <c r="K3" i="3"/>
  <c r="K30" i="3"/>
  <c r="K51" i="3"/>
  <c r="M44" i="3"/>
  <c r="B44" i="3" s="1" a="1"/>
  <c r="B44" i="3" s="1"/>
  <c r="L60" i="3"/>
  <c r="K56" i="3"/>
  <c r="K12" i="3"/>
  <c r="K8" i="3"/>
  <c r="L81" i="3"/>
  <c r="L68" i="3"/>
  <c r="K81" i="3"/>
  <c r="K68" i="3"/>
  <c r="M57" i="3"/>
  <c r="B57" i="3" s="1" a="1"/>
  <c r="B57" i="3" s="1"/>
  <c r="M51" i="3"/>
  <c r="B51" i="3" s="1" a="1"/>
  <c r="B51" i="3" s="1"/>
  <c r="M89" i="3"/>
  <c r="A89" i="3" s="1" a="1"/>
  <c r="A89" i="3" s="1"/>
  <c r="L83" i="3"/>
  <c r="M12" i="3"/>
  <c r="A12" i="3" s="1" a="1"/>
  <c r="A12" i="3" s="1"/>
  <c r="M6" i="3"/>
  <c r="M8" i="3"/>
  <c r="L3" i="3"/>
  <c r="L57" i="3"/>
  <c r="L56" i="3"/>
  <c r="L89" i="3"/>
  <c r="K86" i="3"/>
  <c r="K83" i="3"/>
  <c r="L6" i="3"/>
  <c r="K9" i="3"/>
  <c r="M5" i="3"/>
  <c r="L5" i="3"/>
  <c r="M10" i="3"/>
  <c r="B10" i="3" s="1" a="1"/>
  <c r="B10" i="3" s="1"/>
  <c r="K5" i="3"/>
  <c r="L10" i="3"/>
  <c r="M90" i="3"/>
  <c r="A90" i="3" s="1" a="1"/>
  <c r="A90" i="3" s="1"/>
  <c r="M16" i="3"/>
  <c r="A16" i="3" s="1" a="1"/>
  <c r="A16" i="3" s="1"/>
  <c r="M43" i="3"/>
  <c r="B43" i="3" s="1" a="1"/>
  <c r="B43" i="3" s="1"/>
  <c r="M72" i="3"/>
  <c r="B72" i="3" s="1" a="1"/>
  <c r="B72" i="3" s="1"/>
  <c r="M59" i="3"/>
  <c r="B59" i="3" s="1" a="1"/>
  <c r="B59" i="3" s="1"/>
  <c r="L90" i="3"/>
  <c r="M21" i="3"/>
  <c r="B21" i="3" s="1" a="1"/>
  <c r="B21" i="3" s="1"/>
  <c r="K27" i="3"/>
  <c r="L16" i="3"/>
  <c r="M58" i="3"/>
  <c r="B58" i="3" s="1" a="1"/>
  <c r="B58" i="3" s="1"/>
  <c r="K53" i="3"/>
  <c r="L43" i="3"/>
  <c r="M41" i="3"/>
  <c r="B41" i="3" s="1" a="1"/>
  <c r="B41" i="3" s="1"/>
  <c r="K34" i="3"/>
  <c r="L72" i="3"/>
  <c r="M64" i="3"/>
  <c r="B64" i="3" s="1" a="1"/>
  <c r="B64" i="3" s="1"/>
  <c r="K73" i="3"/>
  <c r="L59" i="3"/>
  <c r="M82" i="3"/>
  <c r="A82" i="3" s="1" a="1"/>
  <c r="A82" i="3" s="1"/>
  <c r="K90" i="3"/>
  <c r="L21" i="3"/>
  <c r="M31" i="3"/>
  <c r="B31" i="3" s="1" a="1"/>
  <c r="B31" i="3" s="1"/>
  <c r="K16" i="3"/>
  <c r="L58" i="3"/>
  <c r="M30" i="3"/>
  <c r="A30" i="3" s="1" a="1"/>
  <c r="A30" i="3" s="1"/>
  <c r="K43" i="3"/>
  <c r="L41" i="3"/>
  <c r="M47" i="3"/>
  <c r="B47" i="3" s="1" a="1"/>
  <c r="B47" i="3" s="1"/>
  <c r="K72" i="3"/>
  <c r="L64" i="3"/>
  <c r="M67" i="3"/>
  <c r="B67" i="3" s="1" a="1"/>
  <c r="B67" i="3" s="1"/>
  <c r="K59" i="3"/>
  <c r="L82" i="3"/>
  <c r="M86" i="3"/>
  <c r="B86" i="3" s="1" a="1"/>
  <c r="B86" i="3" s="1"/>
  <c r="L54" i="3"/>
  <c r="M87" i="3"/>
  <c r="B87" i="3" s="1" a="1"/>
  <c r="B87" i="3" s="1"/>
  <c r="L87" i="3"/>
  <c r="K8" i="11"/>
  <c r="M4" i="11"/>
  <c r="L4" i="11"/>
  <c r="M80" i="11"/>
  <c r="A80" i="11" s="1" a="1"/>
  <c r="A80" i="11" s="1"/>
  <c r="K4" i="11"/>
  <c r="L80" i="11"/>
  <c r="M17" i="11"/>
  <c r="B17" i="11" s="1" a="1"/>
  <c r="B17" i="11" s="1"/>
  <c r="M118" i="11"/>
  <c r="A118" i="11" s="1" a="1"/>
  <c r="A118" i="11" s="1"/>
  <c r="L19" i="11"/>
  <c r="M10" i="11"/>
  <c r="L18" i="11"/>
  <c r="M9" i="11"/>
  <c r="M112" i="11"/>
  <c r="B112" i="11" s="1" a="1"/>
  <c r="B112" i="11" s="1"/>
  <c r="L122" i="11"/>
  <c r="M82" i="11"/>
  <c r="B82" i="11" s="1" a="1"/>
  <c r="B82" i="11" s="1"/>
  <c r="L99" i="11"/>
  <c r="M83" i="11"/>
  <c r="B83" i="11" s="1" a="1"/>
  <c r="B83" i="11" s="1"/>
  <c r="L118" i="11"/>
  <c r="L10" i="11"/>
  <c r="M16" i="11"/>
  <c r="B16" i="11" s="1" a="1"/>
  <c r="B16" i="11" s="1"/>
  <c r="L9" i="11"/>
  <c r="M78" i="11"/>
  <c r="L112" i="11"/>
  <c r="M104" i="11"/>
  <c r="B104" i="11" s="1" a="1"/>
  <c r="B104" i="11" s="1"/>
  <c r="L82" i="11"/>
  <c r="M98" i="11"/>
  <c r="B98" i="11" s="1" a="1"/>
  <c r="B98" i="11" s="1"/>
  <c r="K99" i="11"/>
  <c r="L83" i="11"/>
  <c r="M126" i="11"/>
  <c r="B126" i="11" s="1" a="1"/>
  <c r="B126" i="11" s="1"/>
  <c r="K118" i="11"/>
  <c r="K10" i="11"/>
  <c r="L16" i="11"/>
  <c r="M13" i="11"/>
  <c r="A13" i="11" s="1" a="1"/>
  <c r="A13" i="11" s="1"/>
  <c r="K9" i="11"/>
  <c r="L78" i="11"/>
  <c r="M107" i="11"/>
  <c r="B107" i="11" s="1" a="1"/>
  <c r="B107" i="11" s="1"/>
  <c r="K112" i="11"/>
  <c r="L104" i="11"/>
  <c r="M113" i="11"/>
  <c r="B113" i="11" s="1" a="1"/>
  <c r="B113" i="11" s="1"/>
  <c r="K82" i="11"/>
  <c r="L98" i="11"/>
  <c r="M87" i="11"/>
  <c r="B87" i="11" s="1" a="1"/>
  <c r="B87" i="11" s="1"/>
  <c r="K83" i="11"/>
  <c r="L126" i="11"/>
  <c r="M121" i="11"/>
  <c r="A121" i="11" s="1" a="1"/>
  <c r="A121" i="11" s="1"/>
  <c r="K75" i="11"/>
  <c r="L75" i="11"/>
  <c r="L24" i="16"/>
  <c r="M34" i="16"/>
  <c r="B34" i="16" s="1" a="1"/>
  <c r="B34" i="16" s="1"/>
  <c r="M35" i="16"/>
  <c r="B35" i="16" s="1" a="1"/>
  <c r="B35" i="16" s="1"/>
  <c r="L34" i="16"/>
  <c r="M55" i="16"/>
  <c r="K7" i="16"/>
  <c r="L35" i="16"/>
  <c r="M60" i="16"/>
  <c r="B60" i="16" s="1" a="1"/>
  <c r="B60" i="16" s="1"/>
  <c r="M74" i="16"/>
  <c r="B74" i="16" s="1" a="1"/>
  <c r="B74" i="16" s="1"/>
  <c r="L55" i="16"/>
  <c r="L14" i="16"/>
  <c r="M69" i="16"/>
  <c r="B69" i="16" s="1" a="1"/>
  <c r="B69" i="16" s="1"/>
  <c r="L60" i="16"/>
  <c r="L74" i="16"/>
  <c r="K14" i="16"/>
  <c r="L75" i="16"/>
  <c r="M44" i="16"/>
  <c r="B44" i="16" s="1" a="1"/>
  <c r="B44" i="16" s="1"/>
  <c r="M58" i="16"/>
  <c r="A58" i="16" s="1" a="1"/>
  <c r="A58" i="16" s="1"/>
  <c r="L44" i="16"/>
  <c r="M28" i="16"/>
  <c r="B28" i="16" s="1" a="1"/>
  <c r="B28" i="16" s="1"/>
  <c r="L58" i="16"/>
  <c r="M57" i="16"/>
  <c r="B57" i="16" s="1" a="1"/>
  <c r="B57" i="16" s="1"/>
  <c r="L28" i="16"/>
  <c r="L57" i="16"/>
  <c r="M51" i="16"/>
  <c r="B51" i="16" s="1" a="1"/>
  <c r="B51" i="16" s="1"/>
  <c r="K70" i="16"/>
  <c r="L70" i="16"/>
  <c r="K36" i="15"/>
  <c r="M4" i="15"/>
  <c r="M7" i="15"/>
  <c r="L7" i="15"/>
  <c r="M16" i="15"/>
  <c r="B16" i="15" s="1" a="1"/>
  <c r="B16" i="15" s="1"/>
  <c r="M37" i="15"/>
  <c r="B37" i="15" s="1" a="1"/>
  <c r="B37" i="15" s="1"/>
  <c r="K5" i="15"/>
  <c r="M24" i="15"/>
  <c r="B24" i="15" s="1" a="1"/>
  <c r="B24" i="15" s="1"/>
  <c r="L16" i="15"/>
  <c r="L37" i="15"/>
  <c r="M9" i="15"/>
  <c r="M28" i="15"/>
  <c r="B28" i="15" s="1" a="1"/>
  <c r="B28" i="15" s="1"/>
  <c r="L9" i="15"/>
  <c r="L28" i="15"/>
  <c r="M29" i="15"/>
  <c r="B29" i="15" s="1" a="1"/>
  <c r="B29" i="15" s="1"/>
  <c r="M5" i="15"/>
  <c r="L29" i="15"/>
  <c r="M35" i="15"/>
  <c r="A35" i="15" s="1" a="1"/>
  <c r="A35" i="15" s="1"/>
  <c r="K68" i="6"/>
  <c r="M68" i="6"/>
  <c r="B68" i="6" s="1" a="1"/>
  <c r="B68" i="6" s="1"/>
  <c r="A53" i="14" l="1" a="1"/>
  <c r="A53" i="14" s="1"/>
  <c r="Q53" i="14" s="1"/>
  <c r="E38" i="17" s="1"/>
  <c r="A4" i="15" a="1"/>
  <c r="A4" i="15" s="1"/>
  <c r="B12" i="15" a="1"/>
  <c r="B12" i="15" s="1"/>
  <c r="A12" i="15" a="1"/>
  <c r="A12" i="15" s="1"/>
  <c r="B9" i="15" a="1"/>
  <c r="B9" i="15" s="1"/>
  <c r="A9" i="15" a="1"/>
  <c r="A9" i="15" s="1"/>
  <c r="A45" i="6" a="1"/>
  <c r="A45" i="6" s="1"/>
  <c r="A3" i="12" a="1"/>
  <c r="A3" i="12" s="1"/>
  <c r="A9" i="6" a="1"/>
  <c r="A9" i="6" s="1"/>
  <c r="Q9" i="6" s="1"/>
  <c r="A65" i="6" a="1"/>
  <c r="A65" i="6" s="1"/>
  <c r="A6" i="16" a="1"/>
  <c r="A6" i="16" s="1"/>
  <c r="A5" i="16" a="1"/>
  <c r="A5" i="16" s="1"/>
  <c r="A4" i="13" a="1"/>
  <c r="A4" i="13" s="1"/>
  <c r="A10" i="11" a="1"/>
  <c r="A10" i="11" s="1"/>
  <c r="Q10" i="11" s="1"/>
  <c r="A9" i="11" a="1"/>
  <c r="A9" i="11" s="1"/>
  <c r="A77" i="11" a="1"/>
  <c r="A77" i="11" s="1"/>
  <c r="A7" i="11" a="1"/>
  <c r="A7" i="11" s="1"/>
  <c r="A3" i="13" a="1"/>
  <c r="A3" i="13" s="1"/>
  <c r="A6" i="3" a="1"/>
  <c r="A6" i="3" s="1"/>
  <c r="A5" i="3" a="1"/>
  <c r="A5" i="3" s="1"/>
  <c r="A4" i="3" a="1"/>
  <c r="A4" i="3" s="1"/>
  <c r="A77" i="14" a="1"/>
  <c r="A77" i="14" s="1"/>
  <c r="A7" i="14" a="1"/>
  <c r="A7" i="14" s="1"/>
  <c r="Q7" i="14" s="1"/>
  <c r="A6" i="11" a="1"/>
  <c r="A6" i="11" s="1"/>
  <c r="A75" i="11" a="1"/>
  <c r="A75" i="11" s="1"/>
  <c r="A5" i="11" a="1"/>
  <c r="A5" i="11" s="1"/>
  <c r="A8" i="11" a="1"/>
  <c r="A8" i="11" s="1"/>
  <c r="A47" i="6" a="1"/>
  <c r="A47" i="6" s="1"/>
  <c r="Q47" i="6" s="1"/>
  <c r="E48" i="17" s="1"/>
  <c r="F48" i="17" s="1"/>
  <c r="A6" i="15" a="1"/>
  <c r="A6" i="15" s="1"/>
  <c r="A33" i="15" a="1"/>
  <c r="A33" i="15" s="1"/>
  <c r="Q33" i="15" s="1"/>
  <c r="G44" i="17" s="1"/>
  <c r="A6" i="14" a="1"/>
  <c r="A6" i="14" s="1"/>
  <c r="A5" i="14" a="1"/>
  <c r="A5" i="14" s="1"/>
  <c r="A78" i="14" a="1"/>
  <c r="A78" i="14" s="1"/>
  <c r="A52" i="14" a="1"/>
  <c r="A52" i="14" s="1"/>
  <c r="A4" i="14" a="1"/>
  <c r="A4" i="14" s="1"/>
  <c r="A3" i="14" a="1"/>
  <c r="A3" i="14" s="1"/>
  <c r="A76" i="14" a="1"/>
  <c r="A76" i="14" s="1"/>
  <c r="A3" i="6" a="1"/>
  <c r="A3" i="6" s="1"/>
  <c r="A43" i="6" a="1"/>
  <c r="A43" i="6" s="1"/>
  <c r="A4" i="6" a="1"/>
  <c r="A4" i="6" s="1"/>
  <c r="A66" i="6" a="1"/>
  <c r="A66" i="6" s="1"/>
  <c r="Q66" i="6" s="1"/>
  <c r="A46" i="6" a="1"/>
  <c r="A46" i="6" s="1"/>
  <c r="A8" i="6" a="1"/>
  <c r="A8" i="6" s="1"/>
  <c r="Q8" i="6" s="1"/>
  <c r="A7" i="6" a="1"/>
  <c r="A7" i="6" s="1"/>
  <c r="Q7" i="6" s="1"/>
  <c r="A10" i="6" a="1"/>
  <c r="A10" i="6" s="1"/>
  <c r="B10" i="6" a="1"/>
  <c r="B10" i="6" s="1"/>
  <c r="A5" i="6" a="1"/>
  <c r="A5" i="6" s="1"/>
  <c r="A6" i="6" a="1"/>
  <c r="A6" i="6" s="1"/>
  <c r="A44" i="6" a="1"/>
  <c r="A44" i="6" s="1"/>
  <c r="A3" i="16" a="1"/>
  <c r="A3" i="16" s="1"/>
  <c r="A55" i="16" a="1"/>
  <c r="A55" i="16" s="1"/>
  <c r="A70" i="16" a="1"/>
  <c r="A70" i="16" s="1"/>
  <c r="A4" i="16" a="1"/>
  <c r="A4" i="16" s="1"/>
  <c r="A5" i="15" a="1"/>
  <c r="A5" i="15" s="1"/>
  <c r="A25" i="15" a="1"/>
  <c r="A25" i="15" s="1"/>
  <c r="A3" i="15" a="1"/>
  <c r="A3" i="15" s="1"/>
  <c r="A38" i="13" a="1"/>
  <c r="A38" i="13" s="1"/>
  <c r="A3" i="11" a="1"/>
  <c r="A3" i="11" s="1"/>
  <c r="A4" i="11" a="1"/>
  <c r="A4" i="11" s="1"/>
  <c r="A76" i="11" a="1"/>
  <c r="A76" i="11" s="1"/>
  <c r="A3" i="3" a="1"/>
  <c r="A3" i="3" s="1"/>
  <c r="B66" i="6" a="1"/>
  <c r="B66" i="6" s="1"/>
  <c r="B26" i="6" a="1"/>
  <c r="B26" i="6" s="1"/>
  <c r="B70" i="6" a="1"/>
  <c r="B70" i="6" s="1"/>
  <c r="B31" i="6" a="1"/>
  <c r="B31" i="6" s="1"/>
  <c r="Q31" i="6"/>
  <c r="B50" i="6" a="1"/>
  <c r="B50" i="6" s="1"/>
  <c r="B17" i="16" a="1"/>
  <c r="B17" i="16" s="1"/>
  <c r="B58" i="16" a="1"/>
  <c r="B58" i="16" s="1"/>
  <c r="Q58" i="16"/>
  <c r="B41" i="16" a="1"/>
  <c r="B41" i="16" s="1"/>
  <c r="B11" i="16" a="1"/>
  <c r="B11" i="16" s="1"/>
  <c r="B25" i="16" a="1"/>
  <c r="B25" i="16" s="1"/>
  <c r="Q25" i="16"/>
  <c r="B12" i="16" a="1"/>
  <c r="B12" i="16" s="1"/>
  <c r="Q12" i="16"/>
  <c r="B34" i="15" a="1"/>
  <c r="B34" i="15" s="1"/>
  <c r="Q34" i="15"/>
  <c r="B35" i="15" a="1"/>
  <c r="B35" i="15" s="1"/>
  <c r="B4" i="13" a="1"/>
  <c r="B4" i="13" s="1"/>
  <c r="B38" i="13" a="1"/>
  <c r="B38" i="13" s="1"/>
  <c r="B3" i="13" a="1"/>
  <c r="B3" i="13" s="1"/>
  <c r="B121" i="11" a="1"/>
  <c r="B121" i="11" s="1"/>
  <c r="B80" i="11" a="1"/>
  <c r="B80" i="11" s="1"/>
  <c r="B11" i="11" a="1"/>
  <c r="B11" i="11" s="1"/>
  <c r="B117" i="11" a="1"/>
  <c r="B117" i="11" s="1"/>
  <c r="B19" i="11" a="1"/>
  <c r="B19" i="11" s="1"/>
  <c r="Q19" i="11"/>
  <c r="B81" i="11" a="1"/>
  <c r="B81" i="11" s="1"/>
  <c r="B125" i="11" a="1"/>
  <c r="B125" i="11" s="1"/>
  <c r="B13" i="11" a="1"/>
  <c r="B13" i="11" s="1"/>
  <c r="B103" i="11" a="1"/>
  <c r="B103" i="11" s="1"/>
  <c r="B118" i="11" a="1"/>
  <c r="B118" i="11" s="1"/>
  <c r="B52" i="3" a="1"/>
  <c r="B52" i="3" s="1"/>
  <c r="B68" i="3" a="1"/>
  <c r="B68" i="3" s="1"/>
  <c r="B18" i="3" a="1"/>
  <c r="B18" i="3" s="1"/>
  <c r="Q18" i="3"/>
  <c r="B30" i="3" a="1"/>
  <c r="B30" i="3" s="1"/>
  <c r="Q30" i="3"/>
  <c r="B12" i="3" a="1"/>
  <c r="B12" i="3" s="1"/>
  <c r="B54" i="3" a="1"/>
  <c r="B54" i="3" s="1"/>
  <c r="B82" i="3" a="1"/>
  <c r="B82" i="3" s="1"/>
  <c r="B90" i="3" a="1"/>
  <c r="B90" i="3" s="1"/>
  <c r="Q90" i="3"/>
  <c r="B16" i="3" a="1"/>
  <c r="B16" i="3" s="1"/>
  <c r="B89" i="3" a="1"/>
  <c r="B89" i="3" s="1"/>
  <c r="B19" i="14" a="1"/>
  <c r="B19" i="14" s="1"/>
  <c r="B56" i="14" a="1"/>
  <c r="B56" i="14" s="1"/>
  <c r="B26" i="14" a="1"/>
  <c r="B26" i="14" s="1"/>
  <c r="B22" i="14" a="1"/>
  <c r="B22" i="14" s="1"/>
  <c r="B55" i="14" a="1"/>
  <c r="B55" i="14" s="1"/>
  <c r="B13" i="14" a="1"/>
  <c r="B13" i="14" s="1"/>
  <c r="Q13" i="14"/>
  <c r="B83" i="14" a="1"/>
  <c r="B83" i="14" s="1"/>
  <c r="Q83" i="14"/>
  <c r="B16" i="14" a="1"/>
  <c r="B16" i="14" s="1"/>
  <c r="Q16" i="14"/>
  <c r="B72" i="6" a="1"/>
  <c r="B72" i="6" s="1"/>
  <c r="B79" i="16" a="1"/>
  <c r="B79" i="16" s="1"/>
  <c r="B53" i="14" a="1"/>
  <c r="B53" i="14" s="1"/>
  <c r="B10" i="16" a="1"/>
  <c r="B10" i="16" s="1"/>
  <c r="B10" i="11" a="1"/>
  <c r="B10" i="11" s="1"/>
  <c r="B9" i="11" a="1"/>
  <c r="B9" i="11" s="1"/>
  <c r="B4" i="15" a="1"/>
  <c r="B4" i="15" s="1"/>
  <c r="B8" i="15" a="1"/>
  <c r="B8" i="15" s="1"/>
  <c r="B8" i="14" a="1"/>
  <c r="B8" i="14" s="1"/>
  <c r="B78" i="14" a="1"/>
  <c r="B78" i="14" s="1"/>
  <c r="B8" i="6" a="1"/>
  <c r="B8" i="6" s="1"/>
  <c r="B57" i="6" a="1"/>
  <c r="B57" i="6" s="1"/>
  <c r="B78" i="6" a="1"/>
  <c r="B78" i="6" s="1"/>
  <c r="B47" i="6" a="1"/>
  <c r="B47" i="6" s="1"/>
  <c r="B67" i="6" a="1"/>
  <c r="B67" i="6" s="1"/>
  <c r="B46" i="6" a="1"/>
  <c r="B46" i="6" s="1"/>
  <c r="B44" i="6" a="1"/>
  <c r="B44" i="6" s="1"/>
  <c r="B48" i="6" a="1"/>
  <c r="B48" i="6" s="1"/>
  <c r="B6" i="16" a="1"/>
  <c r="B6" i="16" s="1"/>
  <c r="B38" i="15" a="1"/>
  <c r="B38" i="15" s="1"/>
  <c r="B33" i="15" a="1"/>
  <c r="B33" i="15" s="1"/>
  <c r="B5" i="14" a="1"/>
  <c r="B5" i="14" s="1"/>
  <c r="B9" i="6" a="1"/>
  <c r="B9" i="6" s="1"/>
  <c r="B45" i="6" a="1"/>
  <c r="B45" i="6" s="1"/>
  <c r="B65" i="6" a="1"/>
  <c r="B65" i="6" s="1"/>
  <c r="B21" i="6" a="1"/>
  <c r="B21" i="6" s="1"/>
  <c r="B14" i="6" a="1"/>
  <c r="B14" i="6" s="1"/>
  <c r="B18" i="6" a="1"/>
  <c r="B18" i="6" s="1"/>
  <c r="B15" i="16" a="1"/>
  <c r="B15" i="16" s="1"/>
  <c r="B5" i="16" a="1"/>
  <c r="B5" i="16" s="1"/>
  <c r="B9" i="16" a="1"/>
  <c r="B9" i="16" s="1"/>
  <c r="B9" i="14" a="1"/>
  <c r="B9" i="14" s="1"/>
  <c r="B3" i="14" a="1"/>
  <c r="B3" i="14" s="1"/>
  <c r="B76" i="14" a="1"/>
  <c r="B76" i="14" s="1"/>
  <c r="B52" i="14" a="1"/>
  <c r="B52" i="14" s="1"/>
  <c r="B10" i="14" a="1"/>
  <c r="B10" i="14" s="1"/>
  <c r="B7" i="14" a="1"/>
  <c r="B7" i="14" s="1"/>
  <c r="B6" i="14" a="1"/>
  <c r="B6" i="14" s="1"/>
  <c r="B4" i="14" a="1"/>
  <c r="B4" i="14" s="1"/>
  <c r="B79" i="14" a="1"/>
  <c r="B79" i="14" s="1"/>
  <c r="B77" i="14" a="1"/>
  <c r="B77" i="14" s="1"/>
  <c r="B11" i="14" a="1"/>
  <c r="B11" i="14" s="1"/>
  <c r="B54" i="14" a="1"/>
  <c r="B54" i="14" s="1"/>
  <c r="B15" i="6" a="1"/>
  <c r="B15" i="6" s="1"/>
  <c r="B7" i="6" a="1"/>
  <c r="B7" i="6" s="1"/>
  <c r="B17" i="6" a="1"/>
  <c r="B17" i="6" s="1"/>
  <c r="B22" i="6" a="1"/>
  <c r="B22" i="6" s="1"/>
  <c r="B11" i="6" a="1"/>
  <c r="B11" i="6" s="1"/>
  <c r="B12" i="6" a="1"/>
  <c r="B12" i="6" s="1"/>
  <c r="B3" i="6" a="1"/>
  <c r="B3" i="6" s="1"/>
  <c r="B13" i="6" a="1"/>
  <c r="B13" i="6" s="1"/>
  <c r="B23" i="6" a="1"/>
  <c r="B23" i="6" s="1"/>
  <c r="B6" i="6" a="1"/>
  <c r="B6" i="6" s="1"/>
  <c r="B4" i="6" a="1"/>
  <c r="B4" i="6" s="1"/>
  <c r="B20" i="6" a="1"/>
  <c r="B20" i="6" s="1"/>
  <c r="B43" i="6" a="1"/>
  <c r="B43" i="6" s="1"/>
  <c r="B19" i="6" a="1"/>
  <c r="B19" i="6" s="1"/>
  <c r="B16" i="6" a="1"/>
  <c r="B16" i="6" s="1"/>
  <c r="B5" i="6" a="1"/>
  <c r="B5" i="6" s="1"/>
  <c r="B8" i="16" a="1"/>
  <c r="B8" i="16" s="1"/>
  <c r="B4" i="16" a="1"/>
  <c r="B4" i="16" s="1"/>
  <c r="B3" i="16" a="1"/>
  <c r="B3" i="16" s="1"/>
  <c r="B7" i="16" a="1"/>
  <c r="B7" i="16" s="1"/>
  <c r="B55" i="16" a="1"/>
  <c r="B55" i="16" s="1"/>
  <c r="B70" i="16" a="1"/>
  <c r="B70" i="16" s="1"/>
  <c r="B3" i="12" a="1"/>
  <c r="B3" i="12" s="1"/>
  <c r="B5" i="15" a="1"/>
  <c r="B5" i="15" s="1"/>
  <c r="B7" i="15" a="1"/>
  <c r="B7" i="15" s="1"/>
  <c r="B6" i="15" a="1"/>
  <c r="B6" i="15" s="1"/>
  <c r="B3" i="15" a="1"/>
  <c r="B3" i="15" s="1"/>
  <c r="B25" i="15" a="1"/>
  <c r="B25" i="15" s="1"/>
  <c r="B3" i="11" a="1"/>
  <c r="B3" i="11" s="1"/>
  <c r="B75" i="11" a="1"/>
  <c r="B75" i="11" s="1"/>
  <c r="B76" i="11" a="1"/>
  <c r="B76" i="11" s="1"/>
  <c r="B77" i="11" a="1"/>
  <c r="B77" i="11" s="1"/>
  <c r="B78" i="11" a="1"/>
  <c r="B78" i="11" s="1"/>
  <c r="B6" i="11" a="1"/>
  <c r="B6" i="11" s="1"/>
  <c r="B4" i="11" a="1"/>
  <c r="B4" i="11" s="1"/>
  <c r="B8" i="11" a="1"/>
  <c r="B8" i="11" s="1"/>
  <c r="B5" i="11" a="1"/>
  <c r="B5" i="11" s="1"/>
  <c r="B7" i="11" a="1"/>
  <c r="B7" i="11" s="1"/>
  <c r="B8" i="3" a="1"/>
  <c r="B8" i="3" s="1"/>
  <c r="B7" i="3" a="1"/>
  <c r="B7" i="3" s="1"/>
  <c r="B3" i="3" a="1"/>
  <c r="B3" i="3" s="1"/>
  <c r="B6" i="3" a="1"/>
  <c r="B6" i="3" s="1"/>
  <c r="B9" i="3" a="1"/>
  <c r="B9" i="3" s="1"/>
  <c r="B53" i="3" a="1"/>
  <c r="B53" i="3" s="1"/>
  <c r="B5" i="3" a="1"/>
  <c r="B5" i="3" s="1"/>
  <c r="B4" i="3" a="1"/>
  <c r="B4" i="3" s="1"/>
  <c r="Q15" i="6"/>
  <c r="E2" i="17" s="1"/>
  <c r="F2" i="17" s="1"/>
  <c r="Q22" i="6"/>
  <c r="Q11" i="14"/>
  <c r="Q49" i="14"/>
  <c r="E57" i="17" s="1"/>
  <c r="F57" i="17" s="1"/>
  <c r="Q63" i="14"/>
  <c r="Q58" i="14"/>
  <c r="Q31" i="14"/>
  <c r="Q20" i="14"/>
  <c r="Q14" i="14"/>
  <c r="Q33" i="14"/>
  <c r="Q60" i="14"/>
  <c r="Q39" i="14"/>
  <c r="Q15" i="14"/>
  <c r="E31" i="17" s="1"/>
  <c r="F31" i="17" s="1"/>
  <c r="Q19" i="14"/>
  <c r="Q80" i="14"/>
  <c r="Q73" i="14"/>
  <c r="Q37" i="14"/>
  <c r="Q26" i="14"/>
  <c r="E6" i="17" s="1"/>
  <c r="F6" i="17" s="1"/>
  <c r="Q55" i="14"/>
  <c r="Q12" i="14"/>
  <c r="E60" i="17" s="1"/>
  <c r="F60" i="17" s="1"/>
  <c r="Q10" i="14"/>
  <c r="Q17" i="14"/>
  <c r="Q56" i="14"/>
  <c r="Q22" i="14"/>
  <c r="Q42" i="14"/>
  <c r="Q24" i="14"/>
  <c r="Q67" i="14"/>
  <c r="Q36" i="14"/>
  <c r="Q62" i="14"/>
  <c r="Q23" i="14"/>
  <c r="Q19" i="6"/>
  <c r="Q29" i="6"/>
  <c r="Q13" i="6"/>
  <c r="Q74" i="6"/>
  <c r="Q70" i="6"/>
  <c r="Q67" i="6"/>
  <c r="E17" i="17" s="1"/>
  <c r="F17" i="17" s="1"/>
  <c r="Q20" i="6"/>
  <c r="Q25" i="6"/>
  <c r="Q24" i="6"/>
  <c r="E29" i="17" s="1"/>
  <c r="F29" i="17" s="1"/>
  <c r="Q12" i="6"/>
  <c r="Q23" i="6"/>
  <c r="Q68" i="6"/>
  <c r="Q50" i="6"/>
  <c r="Q72" i="6"/>
  <c r="Q26" i="6"/>
  <c r="Q16" i="6"/>
  <c r="E14" i="17" s="1"/>
  <c r="F14" i="17" s="1"/>
  <c r="Q51" i="16"/>
  <c r="Q44" i="16"/>
  <c r="Q74" i="16"/>
  <c r="Q60" i="16"/>
  <c r="Q15" i="16"/>
  <c r="Q47" i="16"/>
  <c r="Q27" i="16"/>
  <c r="G14" i="17" s="1"/>
  <c r="H14" i="17" s="1"/>
  <c r="Q17" i="16"/>
  <c r="Q57" i="16"/>
  <c r="Q10" i="16"/>
  <c r="Q20" i="16"/>
  <c r="G31" i="17" s="1"/>
  <c r="H31" i="17" s="1"/>
  <c r="Q41" i="16"/>
  <c r="Q18" i="16"/>
  <c r="Q32" i="16"/>
  <c r="Q46" i="16"/>
  <c r="Q28" i="16"/>
  <c r="Q69" i="16"/>
  <c r="Q11" i="16"/>
  <c r="G25" i="17" s="1"/>
  <c r="H25" i="17" s="1"/>
  <c r="Q53" i="16"/>
  <c r="G57" i="17" s="1"/>
  <c r="H57" i="17" s="1"/>
  <c r="Q64" i="16"/>
  <c r="Q35" i="16"/>
  <c r="Q52" i="16"/>
  <c r="G50" i="17" s="1"/>
  <c r="H50" i="17" s="1"/>
  <c r="Q34" i="16"/>
  <c r="Q24" i="16"/>
  <c r="Q13" i="16"/>
  <c r="Q19" i="16"/>
  <c r="Q22" i="16"/>
  <c r="Q30" i="16"/>
  <c r="Q21" i="16"/>
  <c r="G9" i="17" s="1"/>
  <c r="H9" i="17" s="1"/>
  <c r="Q37" i="16"/>
  <c r="Q24" i="15"/>
  <c r="G19" i="17" s="1"/>
  <c r="H19" i="17" s="1"/>
  <c r="Q29" i="15"/>
  <c r="G55" i="17" s="1"/>
  <c r="H55" i="17" s="1"/>
  <c r="Q37" i="15"/>
  <c r="G17" i="17" s="1"/>
  <c r="H17" i="17" s="1"/>
  <c r="Q14" i="15"/>
  <c r="Q12" i="15"/>
  <c r="Q19" i="15"/>
  <c r="Q9" i="15"/>
  <c r="Q28" i="15"/>
  <c r="Q35" i="15"/>
  <c r="Q16" i="15"/>
  <c r="G22" i="17" s="1"/>
  <c r="H22" i="17" s="1"/>
  <c r="Q83" i="11"/>
  <c r="Q11" i="11"/>
  <c r="Q38" i="11"/>
  <c r="Q39" i="11"/>
  <c r="Q15" i="11"/>
  <c r="Q67" i="11"/>
  <c r="Q107" i="11"/>
  <c r="C38" i="17" s="1"/>
  <c r="D38" i="17" s="1"/>
  <c r="Q87" i="11"/>
  <c r="Q13" i="11"/>
  <c r="Q104" i="11"/>
  <c r="Q118" i="11"/>
  <c r="Q71" i="11"/>
  <c r="Q117" i="11"/>
  <c r="Q86" i="11"/>
  <c r="Q122" i="11"/>
  <c r="Q16" i="11"/>
  <c r="Q98" i="11"/>
  <c r="Q113" i="11"/>
  <c r="Q17" i="11"/>
  <c r="Q21" i="11"/>
  <c r="Q108" i="11"/>
  <c r="Q95" i="11"/>
  <c r="Q29" i="11"/>
  <c r="Q68" i="11"/>
  <c r="Q85" i="11"/>
  <c r="Q84" i="11"/>
  <c r="Q116" i="11"/>
  <c r="Q25" i="11"/>
  <c r="Q99" i="11"/>
  <c r="Q23" i="11"/>
  <c r="Q105" i="11"/>
  <c r="Q125" i="11"/>
  <c r="Q82" i="11"/>
  <c r="Q114" i="11"/>
  <c r="Q121" i="11"/>
  <c r="Q126" i="11"/>
  <c r="Q112" i="11"/>
  <c r="Q48" i="11"/>
  <c r="Q81" i="11"/>
  <c r="Q103" i="11"/>
  <c r="Q106" i="11"/>
  <c r="Q14" i="11"/>
  <c r="Q41" i="11"/>
  <c r="Q51" i="11"/>
  <c r="Q72" i="11"/>
  <c r="Q120" i="11"/>
  <c r="Q31" i="11"/>
  <c r="Q92" i="11"/>
  <c r="Q22" i="11"/>
  <c r="Q64" i="11"/>
  <c r="Q63" i="11"/>
  <c r="Q50" i="11"/>
  <c r="C60" i="17" s="1"/>
  <c r="D60" i="17" s="1"/>
  <c r="Q37" i="11"/>
  <c r="Q33" i="11"/>
  <c r="Q12" i="11"/>
  <c r="Q18" i="11"/>
  <c r="Q89" i="11"/>
  <c r="Q16" i="3"/>
  <c r="Q60" i="3"/>
  <c r="Q13" i="3"/>
  <c r="C16" i="17" s="1"/>
  <c r="D16" i="17" s="1"/>
  <c r="Q83" i="3"/>
  <c r="Q56" i="3"/>
  <c r="Q12" i="3"/>
  <c r="Q33" i="3"/>
  <c r="Q20" i="3"/>
  <c r="Q68" i="3"/>
  <c r="Q32" i="3"/>
  <c r="Q31" i="3"/>
  <c r="Q10" i="3"/>
  <c r="Q19" i="3"/>
  <c r="Q25" i="3"/>
  <c r="Q26" i="3"/>
  <c r="Q67" i="3"/>
  <c r="Q41" i="3"/>
  <c r="Q59" i="3"/>
  <c r="Q34" i="3"/>
  <c r="Q52" i="3"/>
  <c r="Q61" i="3"/>
  <c r="C55" i="17" s="1"/>
  <c r="D55" i="17" s="1"/>
  <c r="Q89" i="3"/>
  <c r="Q44" i="3"/>
  <c r="Q82" i="3"/>
  <c r="Q43" i="3"/>
  <c r="C47" i="17" s="1"/>
  <c r="D47" i="17" s="1"/>
  <c r="Q51" i="3"/>
  <c r="Q73" i="3"/>
  <c r="Q87" i="3"/>
  <c r="Q47" i="3"/>
  <c r="Q72" i="3"/>
  <c r="Q86" i="3"/>
  <c r="Q58" i="3"/>
  <c r="Q57" i="3"/>
  <c r="Q84" i="3"/>
  <c r="Q64" i="3"/>
  <c r="Q37" i="3"/>
  <c r="Q81" i="3"/>
  <c r="Q4" i="15" l="1"/>
  <c r="Q45" i="6"/>
  <c r="R3" i="13"/>
  <c r="R3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6" i="6"/>
  <c r="Q78" i="14"/>
  <c r="Q44" i="6"/>
  <c r="E3" i="17" s="1"/>
  <c r="R4" i="13"/>
  <c r="D20" i="2" a="1"/>
  <c r="D20" i="2" s="1"/>
  <c r="Q4" i="3"/>
  <c r="Q9" i="11"/>
  <c r="Q5" i="11"/>
  <c r="Q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" i="2" a="1"/>
  <c r="D2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51" i="17"/>
  <c r="F51" i="17" s="1"/>
  <c r="Q6" i="15"/>
  <c r="G47" i="17" s="1"/>
  <c r="R38" i="13"/>
  <c r="C46" i="17" s="1"/>
  <c r="Q4" i="6"/>
  <c r="Q5" i="6"/>
  <c r="Q46" i="6"/>
  <c r="Q55" i="16"/>
  <c r="G32" i="17" s="1"/>
  <c r="Q4" i="16"/>
  <c r="Q5" i="16"/>
  <c r="Q3" i="15"/>
  <c r="G39" i="17" s="1"/>
  <c r="Q7" i="11"/>
  <c r="C48" i="17" s="1"/>
  <c r="G20" i="17"/>
  <c r="H20" i="17" s="1"/>
  <c r="G12" i="17"/>
  <c r="H12" i="17" s="1"/>
  <c r="Q5" i="14"/>
  <c r="Q3" i="14"/>
  <c r="Q6" i="14"/>
  <c r="E12" i="17"/>
  <c r="F12" i="17" s="1"/>
  <c r="C17" i="17"/>
  <c r="D17" i="17" s="1"/>
  <c r="C29" i="17"/>
  <c r="D29" i="17" s="1"/>
  <c r="G6" i="17"/>
  <c r="C9" i="17"/>
  <c r="D9" i="17" s="1"/>
  <c r="G10" i="17"/>
  <c r="H10" i="17" s="1"/>
  <c r="G45" i="17"/>
  <c r="H45" i="17" s="1"/>
  <c r="C49" i="17"/>
  <c r="D49" i="17" s="1"/>
  <c r="C45" i="17"/>
  <c r="D45" i="17" s="1"/>
  <c r="C26" i="17"/>
  <c r="D26" i="17" s="1"/>
  <c r="C31" i="17"/>
  <c r="D31" i="17" s="1"/>
  <c r="E27" i="17"/>
  <c r="E47" i="17"/>
  <c r="F47" i="17" s="1"/>
  <c r="C25" i="17"/>
  <c r="C12" i="17"/>
  <c r="D12" i="17" s="1"/>
  <c r="C13" i="17"/>
  <c r="D13" i="17" s="1"/>
  <c r="C54" i="17"/>
  <c r="D54" i="17" s="1"/>
  <c r="C51" i="17"/>
  <c r="D51" i="17" s="1"/>
  <c r="C10" i="17"/>
  <c r="D10" i="17" s="1"/>
  <c r="C27" i="17"/>
  <c r="D27" i="17" s="1"/>
  <c r="C33" i="17"/>
  <c r="D33" i="17" s="1"/>
  <c r="Q79" i="14"/>
  <c r="Q4" i="14"/>
  <c r="Q8" i="14"/>
  <c r="E41" i="17" s="1"/>
  <c r="F41" i="17" s="1"/>
  <c r="Q76" i="14"/>
  <c r="E46" i="17" s="1"/>
  <c r="Q9" i="14"/>
  <c r="E45" i="17" s="1"/>
  <c r="F45" i="17" s="1"/>
  <c r="Q52" i="14"/>
  <c r="E32" i="17" s="1"/>
  <c r="Q54" i="14"/>
  <c r="Q77" i="14"/>
  <c r="Q11" i="6"/>
  <c r="Q17" i="6"/>
  <c r="Q65" i="6"/>
  <c r="Q43" i="6"/>
  <c r="Q10" i="6"/>
  <c r="Q3" i="6"/>
  <c r="Q3" i="16"/>
  <c r="Q70" i="16"/>
  <c r="G46" i="17" s="1"/>
  <c r="Q6" i="16"/>
  <c r="Q8" i="16"/>
  <c r="Q7" i="15"/>
  <c r="Q5" i="15"/>
  <c r="Q25" i="15"/>
  <c r="Q6" i="11"/>
  <c r="Q75" i="11"/>
  <c r="Q3" i="11"/>
  <c r="Q77" i="11"/>
  <c r="Q78" i="11"/>
  <c r="C18" i="17" s="1"/>
  <c r="D18" i="17" s="1"/>
  <c r="Q76" i="11"/>
  <c r="C35" i="17" s="1"/>
  <c r="Q80" i="11"/>
  <c r="C43" i="17" s="1"/>
  <c r="D43" i="17" s="1"/>
  <c r="Q4" i="11"/>
  <c r="C23" i="17" l="1"/>
  <c r="G13" i="17"/>
  <c r="E25" i="17"/>
  <c r="C42" i="17"/>
  <c r="E55" i="17"/>
  <c r="E18" i="17"/>
  <c r="F18" i="17" s="1"/>
  <c r="E10" i="17"/>
  <c r="G33" i="17"/>
  <c r="G30" i="17"/>
  <c r="E9" i="17"/>
  <c r="G36" i="17"/>
  <c r="E33" i="17"/>
  <c r="E13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38" i="17" l="1"/>
  <c r="H6" i="17"/>
  <c r="F27" i="17"/>
  <c r="F10" i="17"/>
  <c r="F55" i="17"/>
  <c r="F13" i="17"/>
  <c r="F3" i="17"/>
  <c r="F33" i="17"/>
  <c r="F25" i="17"/>
  <c r="F9" i="17"/>
  <c r="F46" i="17"/>
  <c r="F32" i="17"/>
  <c r="H30" i="17"/>
  <c r="H36" i="17"/>
  <c r="H13" i="17"/>
  <c r="H44" i="17"/>
  <c r="H46" i="17"/>
  <c r="H32" i="17"/>
  <c r="H39" i="17"/>
  <c r="H33" i="17"/>
  <c r="H47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6" i="3" l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5" i="3" l="1"/>
  <c r="Q7" i="3"/>
  <c r="Q3" i="3"/>
  <c r="C11" i="17" s="1"/>
  <c r="Q8" i="3"/>
  <c r="Q21" i="3"/>
  <c r="Q29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Q54" i="3"/>
  <c r="C3" i="17" s="1"/>
  <c r="Q27" i="3"/>
  <c r="Q15" i="3"/>
  <c r="Q53" i="3"/>
  <c r="D3" i="17" l="1"/>
  <c r="C56" i="17"/>
  <c r="C14" i="17"/>
  <c r="C41" i="17"/>
  <c r="C21" i="17"/>
  <c r="D21" i="17" s="1"/>
  <c r="D25" i="17" l="1"/>
  <c r="D14" i="17"/>
  <c r="D23" i="17"/>
  <c r="D56" i="17"/>
  <c r="D11" i="17"/>
  <c r="D46" i="17"/>
  <c r="D35" i="17"/>
  <c r="D48" i="17"/>
  <c r="D42" i="17"/>
  <c r="D41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<sst xmlns="http://schemas.openxmlformats.org/spreadsheetml/2006/main" count="2482" uniqueCount="605">
  <si>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</si>
  <si>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</si>
  <si>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</si>
  <si>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</si>
  <si>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</si>
  <si>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</si>
  <si>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</si>
  <si>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</si>
  <si>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</si>
  <si>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</si>
  <si>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</si>
  <si>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</si>
  <si>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</si>
  <si>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</si>
  <si>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</si>
  <si>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</si>
  <si>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</si>
  <si>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</si>
  <si>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</si>
  <si>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</si>
  <si>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</si>
  <si>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</si>
  <si>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</si>
  <si>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</si>
  <si>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</si>
  <si>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</si>
  <si>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</si>
  <si>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</si>
  <si>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</si>
  <si>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</si>
  <si>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</si>
  <si>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</si>
  <si>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</si>
  <si>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</si>
  <si>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</si>
  <si>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</si>
  <si>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</si>
  <si>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</si>
  <si>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</si>
  <si>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LOVE, Ethan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</si>
  <si>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</si>
  <si>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</si>
  <si>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</si>
  <si>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</si>
  <si>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</si>
  <si>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</si>
  <si>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</si>
  <si>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</si>
  <si>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</si>
  <si>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</si>
  <si>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</si>
  <si>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</si>
  <si>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</si>
  <si>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</si>
  <si>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</si>
  <si>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</si>
  <si>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</si>
  <si>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</si>
  <si>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 xml:space="preserve">LEE-MCMEEKEN, Brooklyn </t>
  </si>
  <si>
    <t>TAG</t>
  </si>
  <si>
    <t xml:space="preserve">JACKSON, Claire </t>
  </si>
  <si>
    <t>Pegasus</t>
  </si>
  <si>
    <t>Trampoline intercité</t>
  </si>
  <si>
    <t xml:space="preserve">GRANT , Sienna </t>
  </si>
  <si>
    <t xml:space="preserve">SCHMIDT, Jordyn </t>
  </si>
  <si>
    <t xml:space="preserve">RYGA, Ruby </t>
  </si>
  <si>
    <t xml:space="preserve">RESCHKE, Jami </t>
  </si>
  <si>
    <t xml:space="preserve">VAN BALKOM, Marlee </t>
  </si>
  <si>
    <t xml:space="preserve">KWAN, Sienna </t>
  </si>
  <si>
    <t xml:space="preserve">TOSH, Megan </t>
  </si>
  <si>
    <t>Can-Am</t>
  </si>
  <si>
    <t xml:space="preserve">BILTON, Tayte </t>
  </si>
  <si>
    <t xml:space="preserve">PELLETIER, Brooke </t>
  </si>
  <si>
    <t xml:space="preserve">BROWN, Gabriella </t>
  </si>
  <si>
    <t xml:space="preserve">PEPPER, Emily </t>
  </si>
  <si>
    <t xml:space="preserve">SHUKYN, Arden </t>
  </si>
  <si>
    <t>Wayland</t>
  </si>
  <si>
    <t xml:space="preserve">GROVES, Chelsea </t>
  </si>
  <si>
    <t xml:space="preserve">RESCHKE, Lina </t>
  </si>
  <si>
    <t xml:space="preserve">LOEHR, Hermione </t>
  </si>
  <si>
    <t>KGTC</t>
  </si>
  <si>
    <t xml:space="preserve">FROHNSDORF, Mia </t>
  </si>
  <si>
    <t xml:space="preserve">STEINFORT, Mara </t>
  </si>
  <si>
    <t xml:space="preserve">BISHOP, Seija </t>
  </si>
  <si>
    <t>Okanagan</t>
  </si>
  <si>
    <t xml:space="preserve">SNIKKERS, Nya </t>
  </si>
  <si>
    <t xml:space="preserve">PRNO, Hannah </t>
  </si>
  <si>
    <t xml:space="preserve">SEWELL, Emily </t>
  </si>
  <si>
    <t xml:space="preserve">LEBLANC, Lauren </t>
  </si>
  <si>
    <t>Altadore</t>
  </si>
  <si>
    <t xml:space="preserve">SCHMIDT, Makena </t>
  </si>
  <si>
    <t>Phoenix</t>
  </si>
  <si>
    <t xml:space="preserve">GOOD, Hayden </t>
  </si>
  <si>
    <t xml:space="preserve">KUZNAK, Sienna </t>
  </si>
  <si>
    <t xml:space="preserve">BRASSART, Lola-Rose </t>
  </si>
  <si>
    <t xml:space="preserve">PIPKO, Halle </t>
  </si>
  <si>
    <t xml:space="preserve">DALGETTY, Mckayla </t>
  </si>
  <si>
    <t xml:space="preserve">PROBE, Celia </t>
  </si>
  <si>
    <t xml:space="preserve">PEPPER, Nix </t>
  </si>
  <si>
    <t xml:space="preserve">LEBEL, Meggy </t>
  </si>
  <si>
    <t xml:space="preserve">BECKETT, Lindsey </t>
  </si>
  <si>
    <t xml:space="preserve">ANGST, Caelyn </t>
  </si>
  <si>
    <t xml:space="preserve">LOVELL-SCHMIDT, Sydney </t>
  </si>
  <si>
    <t xml:space="preserve">RUNDELL, CC </t>
  </si>
  <si>
    <t xml:space="preserve">DION, Amélia </t>
  </si>
  <si>
    <t xml:space="preserve">PAPAKYRIAKOPOULOS, Eleni </t>
  </si>
  <si>
    <t xml:space="preserve">THOMPSON, Abby </t>
  </si>
  <si>
    <t xml:space="preserve">FLYNN, Gabby </t>
  </si>
  <si>
    <t xml:space="preserve">METHERAL, Hannah </t>
  </si>
  <si>
    <t xml:space="preserve">HOWELL, Kayla </t>
  </si>
  <si>
    <t xml:space="preserve">PHANEUF, Zoe </t>
  </si>
  <si>
    <t xml:space="preserve">DODD, Kristina </t>
  </si>
  <si>
    <t xml:space="preserve">BODNAR, Cassidy </t>
  </si>
  <si>
    <t xml:space="preserve">PARHAR, Jasmine </t>
  </si>
  <si>
    <t>Junior</t>
  </si>
  <si>
    <t>L5</t>
  </si>
  <si>
    <t>L6</t>
  </si>
  <si>
    <t>L7</t>
  </si>
  <si>
    <t xml:space="preserve">GIBBS, Gavin </t>
  </si>
  <si>
    <t xml:space="preserve">REIMCHE, Wilson </t>
  </si>
  <si>
    <t xml:space="preserve">MICHALSKI, Rylan </t>
  </si>
  <si>
    <t xml:space="preserve">SIDDAWAY, Cassius </t>
  </si>
  <si>
    <t xml:space="preserve">GRAHAM, Andrew </t>
  </si>
  <si>
    <t xml:space="preserve">BENJAMIN, Jai </t>
  </si>
  <si>
    <t xml:space="preserve">OWEGA-CHALMERS, Sebastian </t>
  </si>
  <si>
    <t xml:space="preserve">WEHAGE, Connor </t>
  </si>
  <si>
    <t xml:space="preserve">ANDERSEN, Travis </t>
  </si>
  <si>
    <t xml:space="preserve">ROBERTSON, Griffyn </t>
  </si>
  <si>
    <t xml:space="preserve">PINSK, Benjamin </t>
  </si>
  <si>
    <t>Tamarack</t>
  </si>
  <si>
    <t xml:space="preserve">KOCHYLEMA, Jacob </t>
  </si>
  <si>
    <t xml:space="preserve">SMITH, Haiden </t>
  </si>
  <si>
    <t xml:space="preserve">GIESBRECHT, Caleb </t>
  </si>
  <si>
    <t xml:space="preserve">NOVOSOL, Draven </t>
  </si>
  <si>
    <t>Grande Prairie</t>
  </si>
  <si>
    <t xml:space="preserve">SUSKO , Matthew </t>
  </si>
  <si>
    <t xml:space="preserve">WYGIERA, Liam </t>
  </si>
  <si>
    <t>Exelta</t>
  </si>
  <si>
    <t xml:space="preserve">BLOOM, Tristan </t>
  </si>
  <si>
    <t xml:space="preserve">JOHNSTON, Jack </t>
  </si>
  <si>
    <t xml:space="preserve">HIGHSTEAD, Declan </t>
  </si>
  <si>
    <t>AIM</t>
  </si>
  <si>
    <t xml:space="preserve">HARBO, Owen </t>
  </si>
  <si>
    <t>VIP</t>
  </si>
  <si>
    <t xml:space="preserve">D’HONDT, Luke </t>
  </si>
  <si>
    <t xml:space="preserve">SCOTT, Ethan </t>
  </si>
  <si>
    <t xml:space="preserve">GANDZA, Vince </t>
  </si>
  <si>
    <t xml:space="preserve">KLASSEN, Isaiah </t>
  </si>
  <si>
    <t xml:space="preserve">MEYER, Jeremy </t>
  </si>
  <si>
    <t xml:space="preserve">REMIAS, Botond </t>
  </si>
  <si>
    <t xml:space="preserve">KRAUSHAR, Sam </t>
  </si>
  <si>
    <t xml:space="preserve">RICHARD, Dexter </t>
  </si>
  <si>
    <t xml:space="preserve">MALLAIS, Rylan </t>
  </si>
  <si>
    <t xml:space="preserve">LEVASSEUR, Nathan </t>
  </si>
  <si>
    <t xml:space="preserve">RABIE, Zayden </t>
  </si>
  <si>
    <t xml:space="preserve">COUTURE, Joey </t>
  </si>
  <si>
    <t xml:space="preserve">WALLMAN, Matthew </t>
  </si>
  <si>
    <t xml:space="preserve">THOMPSON, Derek </t>
  </si>
  <si>
    <t>OAA</t>
  </si>
  <si>
    <t xml:space="preserve">MATHIEU, Jean </t>
  </si>
  <si>
    <t xml:space="preserve">LUPISH, Kieran </t>
  </si>
  <si>
    <t xml:space="preserve">DODD, Gavin </t>
  </si>
  <si>
    <t xml:space="preserve">ZUREK, Nolan </t>
  </si>
  <si>
    <t xml:space="preserve">BOLDIZAR, Samson </t>
  </si>
  <si>
    <t xml:space="preserve">PEDERSEN, Mitchel </t>
  </si>
  <si>
    <t xml:space="preserve">NEUFELD, Simon </t>
  </si>
  <si>
    <t xml:space="preserve">KARWACKI, Jordan </t>
  </si>
  <si>
    <t xml:space="preserve">CLOUTIER, Étienne </t>
  </si>
  <si>
    <t>Senior</t>
  </si>
  <si>
    <t>HIGHSTEAD, Declan</t>
  </si>
  <si>
    <t>BEAULIEU, Alex</t>
  </si>
  <si>
    <t>Gymnitours</t>
  </si>
  <si>
    <t>REIMCHE, Wilson</t>
  </si>
  <si>
    <t>MICHALSKI, Rylan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</si>
  <si>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</si>
  <si>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</si>
  <si>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</si>
  <si>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</si>
  <si>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</si>
  <si>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</si>
  <si>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</si>
  <si>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</si>
  <si>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</si>
  <si>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OWEGA-CHALMERS, Sebastian</t>
  </si>
  <si>
    <t>LEUNG, Theo</t>
  </si>
  <si>
    <t>ANDERSEN, Travis</t>
  </si>
  <si>
    <t>GANDZA, Vince</t>
  </si>
  <si>
    <t>BENJAMIN, Jai</t>
  </si>
  <si>
    <t>KENNEDY, Benjamin</t>
  </si>
  <si>
    <t>BOLDIZAR, Samson</t>
  </si>
  <si>
    <t>WYGIERA, Liam</t>
  </si>
  <si>
    <t>ISAAC, Noah</t>
  </si>
  <si>
    <t>PROULX, Kegan</t>
  </si>
  <si>
    <t>MAINGUY, Samuel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</si>
  <si>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</si>
  <si>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</si>
  <si>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</si>
  <si>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</si>
  <si>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</si>
  <si>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</si>
  <si>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</si>
  <si>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D'HONDT, Luke</t>
  </si>
  <si>
    <t>SCOTT, Ethan</t>
  </si>
  <si>
    <t>ABIDIB, Remi</t>
  </si>
  <si>
    <t>EVSTIGNEEV, Gleb</t>
  </si>
  <si>
    <t>Campia</t>
  </si>
  <si>
    <t>MEYER, Jeremy</t>
  </si>
  <si>
    <t>MIMEAULT, Thomas</t>
  </si>
  <si>
    <t>THOMPSON, Derek</t>
  </si>
  <si>
    <t>KARWACKI, Jordan</t>
  </si>
  <si>
    <t>MALLAIS, Rylan</t>
  </si>
  <si>
    <t>BOURGAULT-FOURNIER, Alexis</t>
  </si>
  <si>
    <t>REMIAS, Botond</t>
  </si>
  <si>
    <t>COUTURIER, Justin</t>
  </si>
  <si>
    <t>SMITH, Haiden</t>
  </si>
  <si>
    <t>WALLMAN, Matthew</t>
  </si>
  <si>
    <t>GIESBRECHT, Caleb</t>
  </si>
  <si>
    <t>COLLINSON, Brody</t>
  </si>
  <si>
    <t>Etobicoke</t>
  </si>
  <si>
    <t>LEBLANC, Cedryk</t>
  </si>
  <si>
    <t>KRAUSHAR, Sam</t>
  </si>
  <si>
    <t>AUBIN, Rémi</t>
  </si>
  <si>
    <t>LUPISH, Kieran</t>
  </si>
  <si>
    <t>LEVASSEUR, Nathan</t>
  </si>
  <si>
    <t>Just Bounce</t>
  </si>
  <si>
    <t>CLOUTIER, Étienne</t>
  </si>
  <si>
    <t>CHARTIER, Jérémy</t>
  </si>
  <si>
    <t>RICHARD, Dexter</t>
  </si>
  <si>
    <t>JAMES, Roshni</t>
  </si>
  <si>
    <t>ROY, Anne-Jolie</t>
  </si>
  <si>
    <t>SCHMIDT, Makena</t>
  </si>
  <si>
    <t>GOOD, Hayden</t>
  </si>
  <si>
    <t>SCHMIDT, Jordyn</t>
  </si>
  <si>
    <t>GRANT, Sienna</t>
  </si>
  <si>
    <t>WILLMOTT, Amy</t>
  </si>
  <si>
    <t>GOULD, Keira</t>
  </si>
  <si>
    <t>BRASSART, Lola-Rose</t>
  </si>
  <si>
    <t>THÉORET, Élia</t>
  </si>
  <si>
    <t>QUINN, Olivia</t>
  </si>
  <si>
    <t>TOSH, Megan</t>
  </si>
  <si>
    <t>ROBERGE, Marguerite</t>
  </si>
  <si>
    <t>MURPHY, Kaeleigh</t>
  </si>
  <si>
    <t>JANEVSKI, Léa</t>
  </si>
  <si>
    <t>PIPKO, Halle</t>
  </si>
  <si>
    <t>ALBERT, Audrey</t>
  </si>
  <si>
    <t>LUM, Brooklyn</t>
  </si>
  <si>
    <t>JOHNSEN, Brooklyn</t>
  </si>
  <si>
    <t>SHAW, Avery</t>
  </si>
  <si>
    <t>BILTON, Tayte</t>
  </si>
  <si>
    <t>VAN BALKOM, Marlee</t>
  </si>
  <si>
    <t>BURGESS, Sydni</t>
  </si>
  <si>
    <t>BROWN, Gabriella</t>
  </si>
  <si>
    <t>EDGELL, Melanie</t>
  </si>
  <si>
    <t>NOVAKOWSKI, Summer</t>
  </si>
  <si>
    <t>LESIEUR, Sandrine</t>
  </si>
  <si>
    <t>DUCHESNE, Livia</t>
  </si>
  <si>
    <t>BROWNELL, Abigael</t>
  </si>
  <si>
    <t>Titans</t>
  </si>
  <si>
    <t>L'HEUREUX, Audrey-Anne</t>
  </si>
  <si>
    <t>RAYMOND, Camélia</t>
  </si>
  <si>
    <t>BOISSEAU, Mathilde</t>
  </si>
  <si>
    <t>BISHOP, Lily</t>
  </si>
  <si>
    <t>DIMMOCK-ARSENEAU, Arielle</t>
  </si>
  <si>
    <t>GROVES, Chelsea</t>
  </si>
  <si>
    <t>GARRETT, Amy</t>
  </si>
  <si>
    <t>LEGAULT, Laurianne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</si>
  <si>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</si>
  <si>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</si>
  <si>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</si>
  <si>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</si>
  <si>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</si>
  <si>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</si>
  <si>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</si>
  <si>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</si>
  <si>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</si>
  <si>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BISHOP, Seija</t>
  </si>
  <si>
    <t>LECLERC, Frédérique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</si>
  <si>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</si>
  <si>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</si>
  <si>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</si>
  <si>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</si>
  <si>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</si>
  <si>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</si>
  <si>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</si>
  <si>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ANDERSON, Julie</t>
  </si>
  <si>
    <t>LOVELL-SCHMIDT, Sydney</t>
  </si>
  <si>
    <t>BODNAR, Cassidy</t>
  </si>
  <si>
    <t>SAUVEUR, Laetiah</t>
  </si>
  <si>
    <t>PROBE, Celia</t>
  </si>
  <si>
    <t>KOTKAS, Katarina</t>
  </si>
  <si>
    <t>CHRISTIE, Emily</t>
  </si>
  <si>
    <t>PAPAKYRIAKOPOULOS, Eleni</t>
  </si>
  <si>
    <t>LEBEL, Meggy</t>
  </si>
  <si>
    <t>PINNOCK, Liana</t>
  </si>
  <si>
    <t>BECKETT, Lindsey</t>
  </si>
  <si>
    <t>HOUGHTON, Kezia</t>
  </si>
  <si>
    <t>PHANEUF, Zoe</t>
  </si>
  <si>
    <t>HOWELL, Kayla</t>
  </si>
  <si>
    <t>RUNDELL, CC</t>
  </si>
  <si>
    <t>NOGA BARD, Kasha</t>
  </si>
  <si>
    <t>NAGANO, Mariko</t>
  </si>
  <si>
    <t>FLYNN, Gabby</t>
  </si>
  <si>
    <t>MATTHEWS, Jared</t>
  </si>
  <si>
    <t>Quinte Bay</t>
  </si>
  <si>
    <t>GIBBS, Gavin</t>
  </si>
  <si>
    <t>HAMEL, Zachary</t>
  </si>
  <si>
    <t>OUELLETTE, Rémi</t>
  </si>
  <si>
    <t>Hirondelles</t>
  </si>
  <si>
    <t>O'HANDLEY, Ryan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</si>
  <si>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</si>
  <si>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</si>
  <si>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</si>
  <si>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</si>
  <si>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</si>
  <si>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</si>
  <si>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</si>
  <si>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RABIE, Zayden</t>
  </si>
  <si>
    <t>THOMPSON, Justin</t>
  </si>
  <si>
    <t>JACKSON, Claire</t>
  </si>
  <si>
    <t>KAUFMANN, Vivian</t>
  </si>
  <si>
    <t>Oakville</t>
  </si>
  <si>
    <t>BURKHART, Sofia</t>
  </si>
  <si>
    <t>PELLETIER, Brooke</t>
  </si>
  <si>
    <t>KWAN, Sienna</t>
  </si>
  <si>
    <t>SCHERER, Kiersten</t>
  </si>
  <si>
    <t>KURSOVA, Anastasia</t>
  </si>
  <si>
    <t>MAYRAND, Javan</t>
  </si>
  <si>
    <t>WIEBE, Meghan</t>
  </si>
  <si>
    <t>PEPPER, Emily</t>
  </si>
  <si>
    <t>TARTOUSSIEH, Salma</t>
  </si>
  <si>
    <t>RESCHKE, Lina</t>
  </si>
  <si>
    <t>CARRIÈRE, Sandrine</t>
  </si>
  <si>
    <t>BERGERON, Ella</t>
  </si>
  <si>
    <t>Toronto Premier</t>
  </si>
  <si>
    <t>LEBLANC, Lauren</t>
  </si>
  <si>
    <t>SHUKYN, Arden</t>
  </si>
  <si>
    <t>JURCIC, Ariana</t>
  </si>
  <si>
    <t>SEWELL, Emily</t>
  </si>
  <si>
    <t>PARHAR, Jasmine</t>
  </si>
  <si>
    <t>THOMPSON, Abby</t>
  </si>
  <si>
    <t>DALGETTY, Mckayla</t>
  </si>
  <si>
    <t>SCHOLES, Hannah</t>
  </si>
  <si>
    <t>VURRO, Chloe</t>
  </si>
  <si>
    <t>DODD, Kristina</t>
  </si>
  <si>
    <t>KELLY, Grace</t>
  </si>
  <si>
    <t>BASTIEN, Rose</t>
  </si>
  <si>
    <t>BERG, Katie</t>
  </si>
  <si>
    <t>BOWDITCH, Courtney</t>
  </si>
  <si>
    <t>MILINKOVIC, Julianna</t>
  </si>
  <si>
    <t>DOHAN, Shelynn</t>
  </si>
  <si>
    <t>SIMINUIC, Alexandra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</si>
  <si>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</si>
  <si>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</si>
  <si>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</si>
  <si>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</si>
  <si>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</si>
  <si>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</si>
  <si>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</si>
  <si>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</si>
  <si>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</si>
  <si>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</si>
  <si>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</si>
  <si>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</si>
  <si>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</si>
  <si>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</si>
  <si>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</si>
  <si>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</si>
  <si>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</si>
  <si>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</si>
  <si>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</si>
  <si>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</si>
  <si>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</si>
  <si>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BRABENEC, Maya</t>
  </si>
  <si>
    <t>MAGDALENNA, Sienna</t>
  </si>
  <si>
    <t>CYMAN, Cody</t>
  </si>
  <si>
    <t>MOORE, Hunter</t>
  </si>
  <si>
    <t>COWELL, Evan</t>
  </si>
  <si>
    <t>CREALLY, Joe</t>
  </si>
  <si>
    <t>SKRIPNICENKO, Maksim</t>
  </si>
  <si>
    <t>GLOWAKI, Oskar</t>
  </si>
  <si>
    <t>JOHNSTON, Logan</t>
  </si>
  <si>
    <t>BERKENBOSCH, Bence</t>
  </si>
  <si>
    <t>MCMANUS, Gavin</t>
  </si>
  <si>
    <t>CROTEAU, Mathias</t>
  </si>
  <si>
    <t>BESHARA, Antoine</t>
  </si>
  <si>
    <t>BAIR, Xavier</t>
  </si>
  <si>
    <t>DAVIS, Eric</t>
  </si>
  <si>
    <t>WONG, Symeon</t>
  </si>
  <si>
    <t>WEHAGE, Connor</t>
  </si>
  <si>
    <t>RITCHIE, Owen</t>
  </si>
  <si>
    <t>HEWITT, Hayden</t>
  </si>
  <si>
    <t>TURPIN, Keegan</t>
  </si>
  <si>
    <t>VIAU, Nathan</t>
  </si>
  <si>
    <t>MERCIER, Loïc</t>
  </si>
  <si>
    <t>ÉTHIER, William</t>
  </si>
  <si>
    <t>JENSEN, Hayden</t>
  </si>
  <si>
    <t>LIVESEY, Ronan</t>
  </si>
  <si>
    <t>IVANOV, Alex</t>
  </si>
  <si>
    <t>HOUSER, Jonathan</t>
  </si>
  <si>
    <t>WEBER, Nathaniel</t>
  </si>
  <si>
    <t>MCKEAG, Seamus</t>
  </si>
  <si>
    <t>PROTEAU, Émile</t>
  </si>
  <si>
    <t>HALLEY, Hayden</t>
  </si>
  <si>
    <t>CZENCZEK, Nik</t>
  </si>
  <si>
    <t>FARNSWORTH, Brent</t>
  </si>
  <si>
    <t>KOOMAN, Spencer</t>
  </si>
  <si>
    <t>GORDENKO-SADEVICH, Dennis</t>
  </si>
  <si>
    <t>BRENNER, Adin</t>
  </si>
  <si>
    <t>BIANCHET, Anthony</t>
  </si>
  <si>
    <t>ROJAS, Alex</t>
  </si>
  <si>
    <t>DODD, Gavin</t>
  </si>
  <si>
    <t>FLOYD, Anna</t>
  </si>
  <si>
    <t>PROULX, Sarah-Kim</t>
  </si>
  <si>
    <t>JEAN-LOUIS, Jayda</t>
  </si>
  <si>
    <t>HAYWOOD FAMER, Cheyenne</t>
  </si>
  <si>
    <t>KURTZ, Lily</t>
  </si>
  <si>
    <t>JACKSON, Paige</t>
  </si>
  <si>
    <t>LEPORÉ, Amylia</t>
  </si>
  <si>
    <t>WRIGHT, Sofia</t>
  </si>
  <si>
    <t>RYGA, Ruby</t>
  </si>
  <si>
    <t>GAWLEY, Kayley</t>
  </si>
  <si>
    <t>SWAIN, Larkin</t>
  </si>
  <si>
    <t>SMITH, Nola</t>
  </si>
  <si>
    <t>TURPIN, Cora</t>
  </si>
  <si>
    <t>WILLIAMS, Kendall</t>
  </si>
  <si>
    <t>TIEMERSMA, Abby</t>
  </si>
  <si>
    <t>BOURDAGES, Noémie</t>
  </si>
  <si>
    <t>NELSON, MacKenzie</t>
  </si>
  <si>
    <t>HANNAH, Ashley</t>
  </si>
  <si>
    <t>BLANCHARD, MacKenzie</t>
  </si>
  <si>
    <t>SHALAMOV, Carina</t>
  </si>
  <si>
    <t>ANDREWS, Cadence</t>
  </si>
  <si>
    <t>HUGHES, Charlee</t>
  </si>
  <si>
    <t>CHEW, Keara</t>
  </si>
  <si>
    <t>PROST, Shelby</t>
  </si>
  <si>
    <t>DESGAGNÉ, Marie-Maxim</t>
  </si>
  <si>
    <t>CECCACCI, Jacqueline</t>
  </si>
  <si>
    <t>ELLIS, Julia</t>
  </si>
  <si>
    <t>GUROWKA, Lea</t>
  </si>
  <si>
    <t>BROWN, Alison</t>
  </si>
  <si>
    <t>ALDERSON, Kyla</t>
  </si>
  <si>
    <t>MILNE, Katrien</t>
  </si>
  <si>
    <t>STEENKAMP, Anike</t>
  </si>
  <si>
    <t>LEDUC, Alexianne</t>
  </si>
  <si>
    <t>JOOST, Abby</t>
  </si>
  <si>
    <t>MILLER, Sophie</t>
  </si>
  <si>
    <t>MAILLOUX, Ashley</t>
  </si>
  <si>
    <t>AUCOIN, Emilyn</t>
  </si>
  <si>
    <t>RUNDELL, Sophie</t>
  </si>
  <si>
    <t>HEALY, Elisse</t>
  </si>
  <si>
    <t>PROST, Kristina</t>
  </si>
  <si>
    <t>PESSES, Carly</t>
  </si>
  <si>
    <t>TURAI, Meg</t>
  </si>
  <si>
    <t>MOUNTAIN, Dani</t>
  </si>
  <si>
    <t>THACKERAY, Nyla</t>
  </si>
  <si>
    <t>WAX, Sophie</t>
  </si>
  <si>
    <t>DION, Amélia</t>
  </si>
  <si>
    <t>MCINTOSH, Cyena</t>
  </si>
  <si>
    <t>NOSSACK, Sophie</t>
  </si>
  <si>
    <t>HEWITT &amp; MCMANUS</t>
  </si>
  <si>
    <t>BEAULIEU &amp; BOISSEAU</t>
  </si>
  <si>
    <t>IVANOV &amp; WEBER</t>
  </si>
  <si>
    <t>BERKENBOSCH &amp; OWEGA-CHALMERS</t>
  </si>
  <si>
    <t>ISAAC &amp; LEUNG</t>
  </si>
  <si>
    <t>JOHNSTON &amp; MCKEAG</t>
  </si>
  <si>
    <t>KLASSEN &amp; PINSK</t>
  </si>
  <si>
    <t>BESHARA &amp; MAINGUY</t>
  </si>
  <si>
    <t>D'HONDT &amp; MICHALSKI</t>
  </si>
  <si>
    <t>COWELL &amp; MOORE</t>
  </si>
  <si>
    <t>BOURGAULT-FOURNIER &amp; COUTURIER</t>
  </si>
  <si>
    <t>GIESBRECHT &amp; KRAUSHAR</t>
  </si>
  <si>
    <t>BIANCHET &amp; SMITH</t>
  </si>
  <si>
    <t>CYMAN &amp; KOOMAN</t>
  </si>
  <si>
    <t>COLLINSON &amp; HIGHSTEAD</t>
  </si>
  <si>
    <t>CLOUTIER &amp; LEVASSEUR</t>
  </si>
  <si>
    <t>AUBIN &amp; CHARTIER</t>
  </si>
  <si>
    <t>GROVES &amp; MCALEESE</t>
  </si>
  <si>
    <t>BROWNELL &amp; GARRETT</t>
  </si>
  <si>
    <t>DIMMOCK-ARSENEAU &amp; L'HEUREUX</t>
  </si>
  <si>
    <t>ANGST &amp; VAN BALKOM</t>
  </si>
  <si>
    <t>JEAN-LOUIS &amp; WRIGHT</t>
  </si>
  <si>
    <t>BOURDAGES &amp; RAYMOND</t>
  </si>
  <si>
    <t>ALDERSON &amp; PARHAR</t>
  </si>
  <si>
    <t>DUCHESNE &amp; WILLMOTT</t>
  </si>
  <si>
    <t>BOISSEAU &amp; ROBERGE</t>
  </si>
  <si>
    <t>BROWN &amp; LOEHR</t>
  </si>
  <si>
    <t>ALBERT &amp; LEPORÉ</t>
  </si>
  <si>
    <t>MILLER &amp; SMITH</t>
  </si>
  <si>
    <t>ANDREWS &amp; GOULD</t>
  </si>
  <si>
    <t>KURTZ &amp; SHALAMOV</t>
  </si>
  <si>
    <t>LEGAULT &amp; PERRON</t>
  </si>
  <si>
    <t>MCBRIDE &amp; MURPHY</t>
  </si>
  <si>
    <t>PROST &amp; PROST</t>
  </si>
  <si>
    <t>GOOD &amp; LEE-MCMEEKEN</t>
  </si>
  <si>
    <t>BISHOP &amp; QUINN</t>
  </si>
  <si>
    <t>JANEVSKI &amp; VINETTE</t>
  </si>
  <si>
    <t>ANDERSON &amp; LOVELL-SCHMIDT</t>
  </si>
  <si>
    <t>PEPPER &amp; THACKERAY</t>
  </si>
  <si>
    <t>LEBEL &amp; ST-PIERRE-LEPITRE</t>
  </si>
  <si>
    <t>FLOYD &amp; GADSBY</t>
  </si>
  <si>
    <t>SAUVEUR &amp; THÉORET</t>
  </si>
  <si>
    <t>CROTEAU &amp; DION</t>
  </si>
  <si>
    <t>BODNAR &amp; CHRISTIE</t>
  </si>
  <si>
    <t>BECKETT &amp; PROBE</t>
  </si>
  <si>
    <t>BECKETT &amp; KOTKAS</t>
  </si>
  <si>
    <t>PIPKO &amp; RESCHKE</t>
  </si>
  <si>
    <t>BONHAM &amp; FLYNN</t>
  </si>
  <si>
    <t>JAMES &amp; NOGA-BARD</t>
  </si>
  <si>
    <t>BONNE &amp; NAGANO</t>
  </si>
  <si>
    <t>KOCAK, Jonas</t>
  </si>
  <si>
    <t>MORRISON, Xavier</t>
  </si>
  <si>
    <t>TROYAN, Maksym</t>
  </si>
  <si>
    <t>FLANDERS, Benjamin</t>
  </si>
  <si>
    <t>PETERS, Lane</t>
  </si>
  <si>
    <t>WILSON, Carter</t>
  </si>
  <si>
    <t>STANG, Nathan</t>
  </si>
  <si>
    <t>DOYLE, Theo</t>
  </si>
  <si>
    <t>DYKMAN, Matt</t>
  </si>
  <si>
    <t>SMITH, Neleigha</t>
  </si>
  <si>
    <t>SKJODT, Sophie</t>
  </si>
  <si>
    <t>TOMLINSON, Kira</t>
  </si>
  <si>
    <t>SKJODT, Sage</t>
  </si>
  <si>
    <t>WEAVER, Sienna</t>
  </si>
  <si>
    <t>BROOKER, Aubree</t>
  </si>
  <si>
    <t>CLARK, Claudia</t>
  </si>
  <si>
    <t>BRIDEAUX, Ella</t>
  </si>
  <si>
    <t>FUNK, Heidi</t>
  </si>
  <si>
    <t>CODERRE, Taylor</t>
  </si>
  <si>
    <t>CHEW, Makena</t>
  </si>
  <si>
    <t>WHITE, Aleigha</t>
  </si>
  <si>
    <t>ANDREWS, Megan</t>
  </si>
  <si>
    <t>ANNION, Biranna</t>
  </si>
  <si>
    <t>SAWTAZKY, Kait</t>
  </si>
  <si>
    <t>SISSONS, Ashlynn</t>
  </si>
  <si>
    <t>LEWIS, Jordyn</t>
  </si>
  <si>
    <t>BERMUDEZ, Kayla</t>
  </si>
  <si>
    <t>GEBAUER, Evelyn</t>
  </si>
  <si>
    <t>NEWMAN, Olivia</t>
  </si>
  <si>
    <t>BOND, Avery</t>
  </si>
  <si>
    <t>MADDALENA, Sienna</t>
  </si>
  <si>
    <t>MCCARTHY, Amy</t>
  </si>
  <si>
    <t>BELBECK, Holly</t>
  </si>
  <si>
    <t>SCALES, Reese</t>
  </si>
  <si>
    <t>TRIDER-SCHMIDT, MacKenzie</t>
  </si>
  <si>
    <t>FORSYTHE, Paige</t>
  </si>
  <si>
    <t>STOBBE, Brooklyn</t>
  </si>
  <si>
    <t>TORCHIA, Gabriella</t>
  </si>
  <si>
    <t>BRAZEAU, Carolane</t>
  </si>
  <si>
    <t>BRADLEY, Emlyn</t>
  </si>
  <si>
    <t>MONARQUE, Elodie</t>
  </si>
  <si>
    <t>HOLLANDER, Haley</t>
  </si>
  <si>
    <t>GOYETTE, Lianne</t>
  </si>
  <si>
    <t>JOHANNSEN, Annika</t>
  </si>
  <si>
    <t>MOORE, Sara</t>
  </si>
  <si>
    <t>IBACH, Sam</t>
  </si>
  <si>
    <t>DONG, Helen</t>
  </si>
  <si>
    <t>LOISELLE, Hector</t>
  </si>
  <si>
    <t>MCFARLANE, Michael</t>
  </si>
  <si>
    <t>FADL, Yassin</t>
  </si>
  <si>
    <t>ROBERTSON, Griffyn</t>
  </si>
  <si>
    <t>WIGOOD, Mathew</t>
  </si>
  <si>
    <t>PINSK Benjamin</t>
  </si>
  <si>
    <t>LAPLANTE, Julien</t>
  </si>
  <si>
    <t>MACDONALD, Connor</t>
  </si>
  <si>
    <t>KLASSEN, Isaiah</t>
  </si>
  <si>
    <t>STANNARD, Adam</t>
  </si>
  <si>
    <t>PEDERSEN, Mitchel</t>
  </si>
  <si>
    <t>MALEK, Philo</t>
  </si>
  <si>
    <t>2022 Nationals</t>
  </si>
  <si>
    <t>Club 1</t>
  </si>
  <si>
    <t>Club 2</t>
  </si>
  <si>
    <t>Revelstoke Acrobats</t>
  </si>
  <si>
    <t>Kelowna TNT</t>
  </si>
  <si>
    <t>Spring Action</t>
  </si>
  <si>
    <t>Rose City</t>
  </si>
  <si>
    <t>Airborne KW</t>
  </si>
  <si>
    <t>Pulsars</t>
  </si>
  <si>
    <t>Unigym</t>
  </si>
  <si>
    <t>Anti-Gravity</t>
  </si>
  <si>
    <t>Acrobatique L'Étoile</t>
  </si>
  <si>
    <t>Ascension</t>
  </si>
  <si>
    <t>Québec Performance</t>
  </si>
  <si>
    <t>Vertical Zone</t>
  </si>
  <si>
    <t>Manjak's</t>
  </si>
  <si>
    <t>Rainbow Riders</t>
  </si>
  <si>
    <t>Whistler</t>
  </si>
  <si>
    <t>Zenith</t>
  </si>
  <si>
    <t>Trampoline Intercité</t>
  </si>
  <si>
    <t xml:space="preserve">PROLUX, Kegan </t>
  </si>
  <si>
    <t>Dynamo</t>
  </si>
  <si>
    <t>Airborne Okotoks</t>
  </si>
  <si>
    <t>Westwind</t>
  </si>
  <si>
    <t>Sudbury</t>
  </si>
  <si>
    <t>SCIBERRAS, Annelle</t>
  </si>
  <si>
    <t>DAVIS &amp; KENNEDY</t>
  </si>
  <si>
    <t>BILTON &amp; NELSON</t>
  </si>
  <si>
    <t>ELLIS &amp; HEALY</t>
  </si>
  <si>
    <t>RUNDELL &amp; RUNDELL</t>
  </si>
  <si>
    <t>Best Score With DD</t>
  </si>
  <si>
    <t>Best Score</t>
  </si>
  <si>
    <t>SNIKKERS, Nya</t>
  </si>
  <si>
    <t>MATHIEU, Jean</t>
  </si>
  <si>
    <t>NOVOSOL, Draven</t>
  </si>
  <si>
    <t xml:space="preserve">ST-PIERRE-LEPITRE, Gaëlle 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</si>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</sst>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8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39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62" t="str">
        <f>IF(D2="","","TRA-M")</f>
        <v/>
      </c>
      <c r="B2" s="65" t="s">
        <v>18</v>
      </c>
      <c r="C2" s="62">
        <v>1</v>
      </c>
      <c r="D2" s="43" t="str" cm="1">
        <f t="array" ref="D2">_xlfn.IFNA(INDEX('TRA-M'!C$3:C$90,MATCH(1,(C2='TRA-M'!A$3:A$90)*(B2='TRA-M'!G$3:G$90),0)),"")</f>
        <v/>
      </c>
    </row>
    <row r="3" spans="1:4" hidden="1" x14ac:dyDescent="0.2">
      <c r="A3" s="62" t="str">
        <f t="shared" ref="A3:A33" si="0">IF(D3="","","TRA-M")</f>
        <v/>
      </c>
      <c r="B3" s="65" t="s">
        <v>18</v>
      </c>
      <c r="C3" s="62">
        <v>2</v>
      </c>
      <c r="D3" s="43" t="str" cm="1">
        <f t="array" ref="D3">_xlfn.IFNA(INDEX('TRA-M'!C$3:C$90,MATCH(1,(C3='TRA-M'!A$3:A$90)*(B3='TRA-M'!G$3:G$90),0)),"")</f>
        <v/>
      </c>
    </row>
    <row r="4" spans="1:4" hidden="1" x14ac:dyDescent="0.2">
      <c r="A4" s="62" t="str">
        <f t="shared" si="0"/>
        <v/>
      </c>
      <c r="B4" s="65" t="s">
        <v>18</v>
      </c>
      <c r="C4" s="62">
        <v>3</v>
      </c>
      <c r="D4" s="43" t="str" cm="1">
        <f t="array" ref="D4">_xlfn.IFNA(INDEX('TRA-M'!C$3:C$90,MATCH(1,(C4='TRA-M'!A$3:A$90)*(B4='TRA-M'!G$3:G$90),0)),"")</f>
        <v/>
      </c>
    </row>
    <row r="5" spans="1:4" hidden="1" x14ac:dyDescent="0.2">
      <c r="A5" s="62" t="str">
        <f t="shared" si="0"/>
        <v/>
      </c>
      <c r="B5" s="65" t="s">
        <v>18</v>
      </c>
      <c r="C5" s="62">
        <v>4</v>
      </c>
      <c r="D5" s="43" t="str" cm="1">
        <f t="array" ref="D5">_xlfn.IFNA(INDEX('TRA-M'!C$3:C$90,MATCH(1,(C5='TRA-M'!A$3:A$90)*(B5='TRA-M'!G$3:G$90),0)),"")</f>
        <v/>
      </c>
    </row>
    <row r="6" spans="1:4" hidden="1" x14ac:dyDescent="0.2">
      <c r="A6" s="62" t="str">
        <f t="shared" si="0"/>
        <v/>
      </c>
      <c r="B6" s="65" t="s">
        <v>18</v>
      </c>
      <c r="C6" s="62">
        <v>5</v>
      </c>
      <c r="D6" s="43" t="str" cm="1">
        <f t="array" ref="D6">_xlfn.IFNA(INDEX('TRA-M'!C$3:C$90,MATCH(1,(C6='TRA-M'!A$3:A$90)*(B6='TRA-M'!G$3:G$90),0)),"")</f>
        <v/>
      </c>
    </row>
    <row r="7" spans="1:4" hidden="1" x14ac:dyDescent="0.2">
      <c r="A7" s="62" t="str">
        <f t="shared" si="0"/>
        <v/>
      </c>
      <c r="B7" s="65" t="s">
        <v>18</v>
      </c>
      <c r="C7" s="62">
        <v>6</v>
      </c>
      <c r="D7" s="43" t="str" cm="1">
        <f t="array" ref="D7">_xlfn.IFNA(INDEX('TRA-M'!C$3:C$90,MATCH(1,(C7='TRA-M'!A$3:A$90)*(B7='TRA-M'!G$3:G$90),0)),"")</f>
        <v/>
      </c>
    </row>
    <row r="8" spans="1:4" hidden="1" x14ac:dyDescent="0.2">
      <c r="A8" s="62" t="str">
        <f t="shared" si="0"/>
        <v/>
      </c>
      <c r="B8" s="65" t="s">
        <v>18</v>
      </c>
      <c r="C8" s="62">
        <v>7</v>
      </c>
      <c r="D8" s="43" t="str" cm="1">
        <f t="array" ref="D8">_xlfn.IFNA(INDEX('TRA-M'!C$3:C$90,MATCH(1,(C8='TRA-M'!A$3:A$90)*(B8='TRA-M'!G$3:G$90),0)),"")</f>
        <v/>
      </c>
    </row>
    <row r="9" spans="1:4" hidden="1" x14ac:dyDescent="0.2">
      <c r="A9" s="62" t="str">
        <f t="shared" si="0"/>
        <v/>
      </c>
      <c r="B9" s="65" t="s">
        <v>18</v>
      </c>
      <c r="C9" s="62">
        <v>8</v>
      </c>
      <c r="D9" s="43" t="str" cm="1">
        <f t="array" ref="D9">_xlfn.IFNA(INDEX('TRA-M'!C$3:C$90,MATCH(1,(C9='TRA-M'!A$3:A$90)*(B9='TRA-M'!G$3:G$90),0)),"")</f>
        <v/>
      </c>
    </row>
    <row r="10" spans="1:4" hidden="1" x14ac:dyDescent="0.2">
      <c r="A10" s="62" t="str">
        <f t="shared" si="0"/>
        <v/>
      </c>
      <c r="B10" s="62" t="s">
        <v>17</v>
      </c>
      <c r="C10" s="62">
        <v>1</v>
      </c>
      <c r="D10" s="43" t="str" cm="1">
        <f t="array" ref="D10">_xlfn.IFNA(INDEX('TRA-M'!C$3:C$90,MATCH(1,(C10='TRA-M'!A$3:A$90)*(B10='TRA-M'!G$3:G$90),0)),"")</f>
        <v/>
      </c>
    </row>
    <row r="11" spans="1:4" hidden="1" x14ac:dyDescent="0.2">
      <c r="A11" s="62" t="str">
        <f t="shared" si="0"/>
        <v/>
      </c>
      <c r="B11" s="62" t="s">
        <v>17</v>
      </c>
      <c r="C11" s="62">
        <v>2</v>
      </c>
      <c r="D11" s="43" t="str" cm="1">
        <f t="array" ref="D11">_xlfn.IFNA(INDEX('TRA-M'!C$3:C$90,MATCH(1,(C11='TRA-M'!A$3:A$90)*(B11='TRA-M'!G$3:G$90),0)),"")</f>
        <v/>
      </c>
    </row>
    <row r="12" spans="1:4" hidden="1" x14ac:dyDescent="0.2">
      <c r="A12" s="62" t="str">
        <f t="shared" si="0"/>
        <v/>
      </c>
      <c r="B12" s="62" t="s">
        <v>17</v>
      </c>
      <c r="C12" s="62">
        <v>3</v>
      </c>
      <c r="D12" s="43" t="str" cm="1">
        <f t="array" ref="D12">_xlfn.IFNA(INDEX('TRA-M'!C$3:C$90,MATCH(1,(C12='TRA-M'!A$3:A$90)*(B12='TRA-M'!G$3:G$90),0)),"")</f>
        <v/>
      </c>
    </row>
    <row r="13" spans="1:4" hidden="1" x14ac:dyDescent="0.2">
      <c r="A13" s="62" t="str">
        <f t="shared" si="0"/>
        <v/>
      </c>
      <c r="B13" s="62" t="s">
        <v>17</v>
      </c>
      <c r="C13" s="62">
        <v>4</v>
      </c>
      <c r="D13" s="43" t="str" cm="1">
        <f t="array" ref="D13">_xlfn.IFNA(INDEX('TRA-M'!C$3:C$90,MATCH(1,(C13='TRA-M'!A$3:A$90)*(B13='TRA-M'!G$3:G$90),0)),"")</f>
        <v/>
      </c>
    </row>
    <row r="14" spans="1:4" hidden="1" x14ac:dyDescent="0.2">
      <c r="A14" s="62" t="str">
        <f t="shared" si="0"/>
        <v/>
      </c>
      <c r="B14" s="62" t="s">
        <v>17</v>
      </c>
      <c r="C14" s="62">
        <v>5</v>
      </c>
      <c r="D14" s="43" t="str" cm="1">
        <f t="array" ref="D14">_xlfn.IFNA(INDEX('TRA-M'!C$3:C$90,MATCH(1,(C14='TRA-M'!A$3:A$90)*(B14='TRA-M'!G$3:G$90),0)),"")</f>
        <v/>
      </c>
    </row>
    <row r="15" spans="1:4" hidden="1" x14ac:dyDescent="0.2">
      <c r="A15" s="62" t="str">
        <f t="shared" si="0"/>
        <v/>
      </c>
      <c r="B15" s="62" t="s">
        <v>17</v>
      </c>
      <c r="C15" s="62">
        <v>6</v>
      </c>
      <c r="D15" s="43" t="str" cm="1">
        <f t="array" ref="D15">_xlfn.IFNA(INDEX('TRA-M'!C$3:C$90,MATCH(1,(C15='TRA-M'!A$3:A$90)*(B15='TRA-M'!G$3:G$90),0)),"")</f>
        <v/>
      </c>
    </row>
    <row r="16" spans="1:4" hidden="1" x14ac:dyDescent="0.2">
      <c r="A16" s="62" t="str">
        <f t="shared" si="0"/>
        <v/>
      </c>
      <c r="B16" s="62" t="s">
        <v>17</v>
      </c>
      <c r="C16" s="62">
        <v>7</v>
      </c>
      <c r="D16" s="43" t="str" cm="1">
        <f t="array" ref="D16">_xlfn.IFNA(INDEX('TRA-M'!C$3:C$90,MATCH(1,(C16='TRA-M'!A$3:A$90)*(B16='TRA-M'!G$3:G$90),0)),"")</f>
        <v/>
      </c>
    </row>
    <row r="17" spans="1:4" hidden="1" x14ac:dyDescent="0.2">
      <c r="A17" s="62" t="str">
        <f t="shared" si="0"/>
        <v/>
      </c>
      <c r="B17" s="62" t="s">
        <v>17</v>
      </c>
      <c r="C17" s="62">
        <v>8</v>
      </c>
      <c r="D17" s="43" t="str" cm="1">
        <f t="array" ref="D17">_xlfn.IFNA(INDEX('TRA-M'!C$3:C$90,MATCH(1,(C17='TRA-M'!A$3:A$90)*(B17='TRA-M'!G$3:G$90),0)),"")</f>
        <v/>
      </c>
    </row>
    <row r="18" spans="1:4" hidden="1" x14ac:dyDescent="0.2">
      <c r="A18" s="62" t="str">
        <f t="shared" si="0"/>
        <v/>
      </c>
      <c r="B18" s="62" t="s">
        <v>19</v>
      </c>
      <c r="C18" s="62">
        <v>1</v>
      </c>
      <c r="D18" s="43" t="str" cm="1">
        <f t="array" ref="D18">_xlfn.IFNA(INDEX('TRA-M'!C$3:C$90,MATCH(1,(C18='TRA-M'!A$3:A$90)*(B18='TRA-M'!G$3:G$90),0)),"")</f>
        <v/>
      </c>
    </row>
    <row r="19" spans="1:4" hidden="1" x14ac:dyDescent="0.2">
      <c r="A19" s="62" t="str">
        <f t="shared" si="0"/>
        <v/>
      </c>
      <c r="B19" s="62" t="s">
        <v>19</v>
      </c>
      <c r="C19" s="62">
        <v>2</v>
      </c>
      <c r="D19" s="43" t="str" cm="1">
        <f t="array" ref="D19">_xlfn.IFNA(INDEX('TRA-M'!C$3:C$90,MATCH(1,(C19='TRA-M'!A$3:A$90)*(B19='TRA-M'!G$3:G$90),0)),"")</f>
        <v/>
      </c>
    </row>
    <row r="20" spans="1:4" hidden="1" x14ac:dyDescent="0.2">
      <c r="A20" s="62" t="str">
        <f t="shared" si="0"/>
        <v/>
      </c>
      <c r="B20" s="62" t="s">
        <v>19</v>
      </c>
      <c r="C20" s="62">
        <v>3</v>
      </c>
      <c r="D20" s="43" t="str" cm="1">
        <f t="array" ref="D20">_xlfn.IFNA(INDEX('TRA-M'!C$3:C$90,MATCH(1,(C20='TRA-M'!A$3:A$90)*(B20='TRA-M'!G$3:G$90),0)),"")</f>
        <v/>
      </c>
    </row>
    <row r="21" spans="1:4" hidden="1" x14ac:dyDescent="0.2">
      <c r="A21" s="62" t="str">
        <f t="shared" si="0"/>
        <v/>
      </c>
      <c r="B21" s="62" t="s">
        <v>19</v>
      </c>
      <c r="C21" s="62">
        <v>4</v>
      </c>
      <c r="D21" s="43" t="str" cm="1">
        <f t="array" ref="D21">_xlfn.IFNA(INDEX('TRA-M'!C$3:C$90,MATCH(1,(C21='TRA-M'!A$3:A$90)*(B21='TRA-M'!G$3:G$90),0)),"")</f>
        <v/>
      </c>
    </row>
    <row r="22" spans="1:4" hidden="1" x14ac:dyDescent="0.2">
      <c r="A22" s="62" t="str">
        <f t="shared" si="0"/>
        <v/>
      </c>
      <c r="B22" s="62" t="s">
        <v>19</v>
      </c>
      <c r="C22" s="62">
        <v>5</v>
      </c>
      <c r="D22" s="43" t="str" cm="1">
        <f t="array" ref="D22">_xlfn.IFNA(INDEX('TRA-M'!C$3:C$90,MATCH(1,(C22='TRA-M'!A$3:A$90)*(B22='TRA-M'!G$3:G$90),0)),"")</f>
        <v/>
      </c>
    </row>
    <row r="23" spans="1:4" hidden="1" x14ac:dyDescent="0.2">
      <c r="A23" s="62" t="str">
        <f t="shared" si="0"/>
        <v/>
      </c>
      <c r="B23" s="62" t="s">
        <v>19</v>
      </c>
      <c r="C23" s="62">
        <v>6</v>
      </c>
      <c r="D23" s="43" t="str" cm="1">
        <f t="array" ref="D23">_xlfn.IFNA(INDEX('TRA-M'!C$3:C$90,MATCH(1,(C23='TRA-M'!A$3:A$90)*(B23='TRA-M'!G$3:G$90),0)),"")</f>
        <v/>
      </c>
    </row>
    <row r="24" spans="1:4" hidden="1" x14ac:dyDescent="0.2">
      <c r="A24" s="62" t="str">
        <f t="shared" si="0"/>
        <v/>
      </c>
      <c r="B24" s="62" t="s">
        <v>19</v>
      </c>
      <c r="C24" s="62">
        <v>7</v>
      </c>
      <c r="D24" s="43" t="str" cm="1">
        <f t="array" ref="D24">_xlfn.IFNA(INDEX('TRA-M'!C$3:C$90,MATCH(1,(C24='TRA-M'!A$3:A$90)*(B24='TRA-M'!G$3:G$90),0)),"")</f>
        <v/>
      </c>
    </row>
    <row r="25" spans="1:4" hidden="1" x14ac:dyDescent="0.2">
      <c r="A25" s="62" t="str">
        <f t="shared" si="0"/>
        <v/>
      </c>
      <c r="B25" s="62" t="s">
        <v>19</v>
      </c>
      <c r="C25" s="62">
        <v>8</v>
      </c>
      <c r="D25" s="43" t="str" cm="1">
        <f t="array" ref="D25">_xlfn.IFNA(INDEX('TRA-M'!C$3:C$90,MATCH(1,(C25='TRA-M'!A$3:A$90)*(B25='TRA-M'!G$3:G$90),0)),"")</f>
        <v/>
      </c>
    </row>
    <row r="26" spans="1:4" x14ac:dyDescent="0.2">
      <c r="A26" s="62" t="str">
        <f t="shared" si="0"/>
        <v>TRA-M</v>
      </c>
      <c r="B26" s="62" t="s">
        <v>20</v>
      </c>
      <c r="C26" s="62">
        <v>1</v>
      </c>
      <c r="D26" s="43" t="str" cm="1">
        <f t="array" ref="D26">_xlfn.IFNA(INDEX('TRA-M'!C$3:C$90,MATCH(1,(C26='TRA-M'!A$3:A$90)*(B26='TRA-M'!G$3:G$90),0)),"")</f>
        <v>EVSTIGNEEV, Gleb</v>
      </c>
    </row>
    <row r="27" spans="1:4" x14ac:dyDescent="0.2">
      <c r="A27" s="62" t="str">
        <f t="shared" si="0"/>
        <v>TRA-M</v>
      </c>
      <c r="B27" s="62" t="s">
        <v>20</v>
      </c>
      <c r="C27" s="62">
        <v>2</v>
      </c>
      <c r="D27" s="43" t="str" cm="1">
        <f t="array" ref="D27">_xlfn.IFNA(INDEX('TRA-M'!C$3:C$90,MATCH(1,(C27='TRA-M'!A$3:A$90)*(B27='TRA-M'!G$3:G$90),0)),"")</f>
        <v>DODD, Gavin</v>
      </c>
    </row>
    <row r="28" spans="1:4" x14ac:dyDescent="0.2">
      <c r="A28" s="62" t="str">
        <f t="shared" si="0"/>
        <v>TRA-M</v>
      </c>
      <c r="B28" s="62" t="s">
        <v>20</v>
      </c>
      <c r="C28" s="62">
        <v>3</v>
      </c>
      <c r="D28" s="43" t="str" cm="1">
        <f t="array" ref="D28">_xlfn.IFNA(INDEX('TRA-M'!C$3:C$90,MATCH(1,(C28='TRA-M'!A$3:A$90)*(B28='TRA-M'!G$3:G$90),0)),"")</f>
        <v>CLOUTIER, Étienne</v>
      </c>
    </row>
    <row r="29" spans="1:4" x14ac:dyDescent="0.2">
      <c r="A29" s="62" t="str">
        <f t="shared" si="0"/>
        <v>TRA-M</v>
      </c>
      <c r="B29" s="62" t="s">
        <v>20</v>
      </c>
      <c r="C29" s="62">
        <v>4</v>
      </c>
      <c r="D29" s="43" t="str" cm="1">
        <f t="array" ref="D29">_xlfn.IFNA(INDEX('TRA-M'!C$3:C$90,MATCH(1,(C29='TRA-M'!A$3:A$90)*(B29='TRA-M'!G$3:G$90),0)),"")</f>
        <v>LEVASSEUR, Nathan</v>
      </c>
    </row>
    <row r="30" spans="1:4" hidden="1" x14ac:dyDescent="0.2">
      <c r="A30" s="62" t="str">
        <f t="shared" si="0"/>
        <v/>
      </c>
      <c r="B30" s="62" t="s">
        <v>20</v>
      </c>
      <c r="C30" s="62">
        <v>5</v>
      </c>
      <c r="D30" s="43" t="str" cm="1">
        <f t="array" ref="D30">_xlfn.IFNA(INDEX('TRA-M'!C$3:C$90,MATCH(1,(C30='TRA-M'!A$3:A$90)*(B30='TRA-M'!G$3:G$90),0)),"")</f>
        <v/>
      </c>
    </row>
    <row r="31" spans="1:4" hidden="1" x14ac:dyDescent="0.2">
      <c r="A31" s="62" t="str">
        <f t="shared" si="0"/>
        <v/>
      </c>
      <c r="B31" s="62" t="s">
        <v>20</v>
      </c>
      <c r="C31" s="62">
        <v>6</v>
      </c>
      <c r="D31" s="43" t="str" cm="1">
        <f t="array" ref="D31">_xlfn.IFNA(INDEX('TRA-M'!C$3:C$90,MATCH(1,(C31='TRA-M'!A$3:A$90)*(B31='TRA-M'!G$3:G$90),0)),"")</f>
        <v/>
      </c>
    </row>
    <row r="32" spans="1:4" hidden="1" x14ac:dyDescent="0.2">
      <c r="A32" s="62" t="str">
        <f t="shared" si="0"/>
        <v/>
      </c>
      <c r="B32" s="62" t="s">
        <v>20</v>
      </c>
      <c r="C32" s="62">
        <v>7</v>
      </c>
      <c r="D32" s="43" t="str" cm="1">
        <f t="array" ref="D32">_xlfn.IFNA(INDEX('TRA-M'!C$3:C$90,MATCH(1,(C32='TRA-M'!A$3:A$90)*(B32='TRA-M'!G$3:G$90),0)),"")</f>
        <v/>
      </c>
    </row>
    <row r="33" spans="1:4" hidden="1" x14ac:dyDescent="0.2">
      <c r="A33" s="62" t="str">
        <f t="shared" si="0"/>
        <v/>
      </c>
      <c r="B33" s="62" t="s">
        <v>20</v>
      </c>
      <c r="C33" s="62">
        <v>8</v>
      </c>
      <c r="D33" s="43" t="str" cm="1">
        <f t="array" ref="D33">_xlfn.IFNA(INDEX('TRA-M'!C$3:C$90,MATCH(1,(C33='TRA-M'!A$3:A$90)*(B33='TRA-M'!G$3:G$90),0)),"")</f>
        <v/>
      </c>
    </row>
    <row r="34" spans="1:4" hidden="1" x14ac:dyDescent="0.2">
      <c r="A34" s="63" t="str">
        <f>IF(D34="","","TRA-W")</f>
        <v/>
      </c>
      <c r="B34" s="66" t="s">
        <v>18</v>
      </c>
      <c r="C34" s="63">
        <v>1</v>
      </c>
      <c r="D34" s="44" t="str" cm="1">
        <f t="array" ref="D34">_xlfn.IFNA(INDEX('TRA-W'!C$3:C$128,MATCH(1,(C34='TRA-W'!A$3:A$128)*(B34='TRA-W'!G$3:G$128),0)),"")</f>
        <v/>
      </c>
    </row>
    <row r="35" spans="1:4" hidden="1" x14ac:dyDescent="0.2">
      <c r="A35" s="63" t="str">
        <f t="shared" ref="A35:A65" si="1">IF(D35="","","TRA-W")</f>
        <v/>
      </c>
      <c r="B35" s="66" t="s">
        <v>18</v>
      </c>
      <c r="C35" s="63">
        <v>2</v>
      </c>
      <c r="D35" s="44" t="str" cm="1">
        <f t="array" ref="D35">_xlfn.IFNA(INDEX('TRA-W'!C$3:C$128,MATCH(1,(C35='TRA-W'!A$3:A$128)*(B35='TRA-W'!G$3:G$128),0)),"")</f>
        <v/>
      </c>
    </row>
    <row r="36" spans="1:4" hidden="1" x14ac:dyDescent="0.2">
      <c r="A36" s="63" t="str">
        <f t="shared" si="1"/>
        <v/>
      </c>
      <c r="B36" s="66" t="s">
        <v>18</v>
      </c>
      <c r="C36" s="63">
        <v>3</v>
      </c>
      <c r="D36" s="44" t="str" cm="1">
        <f t="array" ref="D36">_xlfn.IFNA(INDEX('TRA-W'!C$3:C$128,MATCH(1,(C36='TRA-W'!A$3:A$128)*(B36='TRA-W'!G$3:G$128),0)),"")</f>
        <v/>
      </c>
    </row>
    <row r="37" spans="1:4" hidden="1" x14ac:dyDescent="0.2">
      <c r="A37" s="63" t="str">
        <f t="shared" si="1"/>
        <v/>
      </c>
      <c r="B37" s="66" t="s">
        <v>18</v>
      </c>
      <c r="C37" s="63">
        <v>4</v>
      </c>
      <c r="D37" s="44" t="str" cm="1">
        <f t="array" ref="D37">_xlfn.IFNA(INDEX('TRA-W'!C$3:C$128,MATCH(1,(C37='TRA-W'!A$3:A$128)*(B37='TRA-W'!G$3:G$128),0)),"")</f>
        <v/>
      </c>
    </row>
    <row r="38" spans="1:4" hidden="1" x14ac:dyDescent="0.2">
      <c r="A38" s="63" t="str">
        <f t="shared" si="1"/>
        <v/>
      </c>
      <c r="B38" s="66" t="s">
        <v>18</v>
      </c>
      <c r="C38" s="63">
        <v>5</v>
      </c>
      <c r="D38" s="44" t="str" cm="1">
        <f t="array" ref="D38">_xlfn.IFNA(INDEX('TRA-W'!C$3:C$128,MATCH(1,(C38='TRA-W'!A$3:A$128)*(B38='TRA-W'!G$3:G$128),0)),"")</f>
        <v/>
      </c>
    </row>
    <row r="39" spans="1:4" hidden="1" x14ac:dyDescent="0.2">
      <c r="A39" s="63" t="str">
        <f t="shared" si="1"/>
        <v/>
      </c>
      <c r="B39" s="66" t="s">
        <v>18</v>
      </c>
      <c r="C39" s="63">
        <v>6</v>
      </c>
      <c r="D39" s="44" t="str" cm="1">
        <f t="array" ref="D39">_xlfn.IFNA(INDEX('TRA-W'!C$3:C$128,MATCH(1,(C39='TRA-W'!A$3:A$128)*(B39='TRA-W'!G$3:G$128),0)),"")</f>
        <v/>
      </c>
    </row>
    <row r="40" spans="1:4" hidden="1" x14ac:dyDescent="0.2">
      <c r="A40" s="63" t="str">
        <f t="shared" si="1"/>
        <v/>
      </c>
      <c r="B40" s="66" t="s">
        <v>18</v>
      </c>
      <c r="C40" s="63">
        <v>7</v>
      </c>
      <c r="D40" s="44" t="str" cm="1">
        <f t="array" ref="D40">_xlfn.IFNA(INDEX('TRA-W'!C$3:C$128,MATCH(1,(C40='TRA-W'!A$3:A$128)*(B40='TRA-W'!G$3:G$128),0)),"")</f>
        <v/>
      </c>
    </row>
    <row r="41" spans="1:4" hidden="1" x14ac:dyDescent="0.2">
      <c r="A41" s="63" t="str">
        <f t="shared" si="1"/>
        <v/>
      </c>
      <c r="B41" s="66" t="s">
        <v>18</v>
      </c>
      <c r="C41" s="63">
        <v>8</v>
      </c>
      <c r="D41" s="44" t="str" cm="1">
        <f t="array" ref="D41">_xlfn.IFNA(INDEX('TRA-W'!C$3:C$128,MATCH(1,(C41='TRA-W'!A$3:A$128)*(B41='TRA-W'!G$3:G$128),0)),"")</f>
        <v/>
      </c>
    </row>
    <row r="42" spans="1:4" hidden="1" x14ac:dyDescent="0.2">
      <c r="A42" s="63" t="str">
        <f t="shared" si="1"/>
        <v/>
      </c>
      <c r="B42" s="63" t="s">
        <v>17</v>
      </c>
      <c r="C42" s="63">
        <v>1</v>
      </c>
      <c r="D42" s="44" t="str" cm="1">
        <f t="array" ref="D42">_xlfn.IFNA(INDEX('TRA-W'!C$3:C$128,MATCH(1,(C42='TRA-W'!A$3:A$128)*(B42='TRA-W'!G$3:G$128),0)),"")</f>
        <v/>
      </c>
    </row>
    <row r="43" spans="1:4" hidden="1" x14ac:dyDescent="0.2">
      <c r="A43" s="63" t="str">
        <f t="shared" si="1"/>
        <v/>
      </c>
      <c r="B43" s="63" t="s">
        <v>17</v>
      </c>
      <c r="C43" s="63">
        <v>2</v>
      </c>
      <c r="D43" s="44" t="str" cm="1">
        <f t="array" ref="D43">_xlfn.IFNA(INDEX('TRA-W'!C$3:C$128,MATCH(1,(C43='TRA-W'!A$3:A$128)*(B43='TRA-W'!G$3:G$128),0)),"")</f>
        <v/>
      </c>
    </row>
    <row r="44" spans="1:4" hidden="1" x14ac:dyDescent="0.2">
      <c r="A44" s="63" t="str">
        <f t="shared" si="1"/>
        <v/>
      </c>
      <c r="B44" s="63" t="s">
        <v>17</v>
      </c>
      <c r="C44" s="63">
        <v>3</v>
      </c>
      <c r="D44" s="44" t="str" cm="1">
        <f t="array" ref="D44">_xlfn.IFNA(INDEX('TRA-W'!C$3:C$128,MATCH(1,(C44='TRA-W'!A$3:A$128)*(B44='TRA-W'!G$3:G$128),0)),"")</f>
        <v/>
      </c>
    </row>
    <row r="45" spans="1:4" hidden="1" x14ac:dyDescent="0.2">
      <c r="A45" s="63" t="str">
        <f t="shared" si="1"/>
        <v/>
      </c>
      <c r="B45" s="63" t="s">
        <v>17</v>
      </c>
      <c r="C45" s="63">
        <v>4</v>
      </c>
      <c r="D45" s="44" t="str" cm="1">
        <f t="array" ref="D45">_xlfn.IFNA(INDEX('TRA-W'!C$3:C$128,MATCH(1,(C45='TRA-W'!A$3:A$128)*(B45='TRA-W'!G$3:G$128),0)),"")</f>
        <v/>
      </c>
    </row>
    <row r="46" spans="1:4" hidden="1" x14ac:dyDescent="0.2">
      <c r="A46" s="63" t="str">
        <f t="shared" si="1"/>
        <v/>
      </c>
      <c r="B46" s="63" t="s">
        <v>17</v>
      </c>
      <c r="C46" s="63">
        <v>5</v>
      </c>
      <c r="D46" s="44" t="str" cm="1">
        <f t="array" ref="D46">_xlfn.IFNA(INDEX('TRA-W'!C$3:C$128,MATCH(1,(C46='TRA-W'!A$3:A$128)*(B46='TRA-W'!G$3:G$128),0)),"")</f>
        <v/>
      </c>
    </row>
    <row r="47" spans="1:4" hidden="1" x14ac:dyDescent="0.2">
      <c r="A47" s="63" t="str">
        <f t="shared" si="1"/>
        <v/>
      </c>
      <c r="B47" s="63" t="s">
        <v>17</v>
      </c>
      <c r="C47" s="63">
        <v>6</v>
      </c>
      <c r="D47" s="44" t="str" cm="1">
        <f t="array" ref="D47">_xlfn.IFNA(INDEX('TRA-W'!C$3:C$128,MATCH(1,(C47='TRA-W'!A$3:A$128)*(B47='TRA-W'!G$3:G$128),0)),"")</f>
        <v/>
      </c>
    </row>
    <row r="48" spans="1:4" hidden="1" x14ac:dyDescent="0.2">
      <c r="A48" s="63" t="str">
        <f t="shared" si="1"/>
        <v/>
      </c>
      <c r="B48" s="63" t="s">
        <v>17</v>
      </c>
      <c r="C48" s="63">
        <v>7</v>
      </c>
      <c r="D48" s="44" t="str" cm="1">
        <f t="array" ref="D48">_xlfn.IFNA(INDEX('TRA-W'!C$3:C$128,MATCH(1,(C48='TRA-W'!A$3:A$128)*(B48='TRA-W'!G$3:G$128),0)),"")</f>
        <v/>
      </c>
    </row>
    <row r="49" spans="1:4" hidden="1" x14ac:dyDescent="0.2">
      <c r="A49" s="63" t="str">
        <f t="shared" si="1"/>
        <v/>
      </c>
      <c r="B49" s="63" t="s">
        <v>17</v>
      </c>
      <c r="C49" s="63">
        <v>8</v>
      </c>
      <c r="D49" s="44" t="str" cm="1">
        <f t="array" ref="D49">_xlfn.IFNA(INDEX('TRA-W'!C$3:C$128,MATCH(1,(C49='TRA-W'!A$3:A$128)*(B49='TRA-W'!G$3:G$128),0)),"")</f>
        <v/>
      </c>
    </row>
    <row r="50" spans="1:4" x14ac:dyDescent="0.2">
      <c r="A50" s="63" t="str">
        <f t="shared" si="1"/>
        <v>TRA-W</v>
      </c>
      <c r="B50" s="63" t="s">
        <v>19</v>
      </c>
      <c r="C50" s="63">
        <v>1</v>
      </c>
      <c r="D50" s="44" t="str" cm="1">
        <f t="array" ref="D50">_xlfn.IFNA(INDEX('TRA-W'!C$3:C$128,MATCH(1,(C50='TRA-W'!A$3:A$128)*(B50='TRA-W'!G$3:G$128),0)),"")</f>
        <v>JAMES, Roshni</v>
      </c>
    </row>
    <row r="51" spans="1:4" x14ac:dyDescent="0.2">
      <c r="A51" s="63" t="str">
        <f t="shared" si="1"/>
        <v>TRA-W</v>
      </c>
      <c r="B51" s="63" t="s">
        <v>19</v>
      </c>
      <c r="C51" s="63">
        <v>2</v>
      </c>
      <c r="D51" s="44" t="str" cm="1">
        <f t="array" ref="D51">_xlfn.IFNA(INDEX('TRA-W'!C$3:C$128,MATCH(1,(C51='TRA-W'!A$3:A$128)*(B51='TRA-W'!G$3:G$128),0)),"")</f>
        <v>ROY, Anne-Jolie</v>
      </c>
    </row>
    <row r="52" spans="1:4" x14ac:dyDescent="0.2">
      <c r="A52" s="63" t="str">
        <f t="shared" si="1"/>
        <v>TRA-W</v>
      </c>
      <c r="B52" s="63" t="s">
        <v>19</v>
      </c>
      <c r="C52" s="63">
        <v>3</v>
      </c>
      <c r="D52" s="44" t="str" cm="1">
        <f t="array" ref="D52">_xlfn.IFNA(INDEX('TRA-W'!C$3:C$128,MATCH(1,(C52='TRA-W'!A$3:A$128)*(B52='TRA-W'!G$3:G$128),0)),"")</f>
        <v>CORRIVEAU, Mélina</v>
      </c>
    </row>
    <row r="53" spans="1:4" hidden="1" x14ac:dyDescent="0.2">
      <c r="A53" s="63" t="str">
        <f t="shared" si="1"/>
        <v/>
      </c>
      <c r="B53" s="63" t="s">
        <v>19</v>
      </c>
      <c r="C53" s="63">
        <v>4</v>
      </c>
      <c r="D53" s="44" t="str" cm="1">
        <f t="array" ref="D53">_xlfn.IFNA(INDEX('TRA-W'!C$3:C$128,MATCH(1,(C53='TRA-W'!A$3:A$128)*(B53='TRA-W'!G$3:G$128),0)),"")</f>
        <v/>
      </c>
    </row>
    <row r="54" spans="1:4" hidden="1" x14ac:dyDescent="0.2">
      <c r="A54" s="63" t="str">
        <f t="shared" si="1"/>
        <v/>
      </c>
      <c r="B54" s="63" t="s">
        <v>19</v>
      </c>
      <c r="C54" s="63">
        <v>5</v>
      </c>
      <c r="D54" s="44" t="str" cm="1">
        <f t="array" ref="D54">_xlfn.IFNA(INDEX('TRA-W'!C$3:C$128,MATCH(1,(C54='TRA-W'!A$3:A$128)*(B54='TRA-W'!G$3:G$128),0)),"")</f>
        <v/>
      </c>
    </row>
    <row r="55" spans="1:4" hidden="1" x14ac:dyDescent="0.2">
      <c r="A55" s="63" t="str">
        <f t="shared" si="1"/>
        <v/>
      </c>
      <c r="B55" s="63" t="s">
        <v>19</v>
      </c>
      <c r="C55" s="63">
        <v>6</v>
      </c>
      <c r="D55" s="44" t="str" cm="1">
        <f t="array" ref="D55">_xlfn.IFNA(INDEX('TRA-W'!C$3:C$128,MATCH(1,(C55='TRA-W'!A$3:A$128)*(B55='TRA-W'!G$3:G$128),0)),"")</f>
        <v/>
      </c>
    </row>
    <row r="56" spans="1:4" hidden="1" x14ac:dyDescent="0.2">
      <c r="A56" s="63" t="str">
        <f t="shared" si="1"/>
        <v/>
      </c>
      <c r="B56" s="63" t="s">
        <v>19</v>
      </c>
      <c r="C56" s="63">
        <v>7</v>
      </c>
      <c r="D56" s="44" t="str" cm="1">
        <f t="array" ref="D56">_xlfn.IFNA(INDEX('TRA-W'!C$3:C$128,MATCH(1,(C56='TRA-W'!A$3:A$128)*(B56='TRA-W'!G$3:G$128),0)),"")</f>
        <v/>
      </c>
    </row>
    <row r="57" spans="1:4" hidden="1" x14ac:dyDescent="0.2">
      <c r="A57" s="63" t="str">
        <f t="shared" si="1"/>
        <v/>
      </c>
      <c r="B57" s="63" t="s">
        <v>19</v>
      </c>
      <c r="C57" s="63">
        <v>8</v>
      </c>
      <c r="D57" s="44" t="str" cm="1">
        <f t="array" ref="D57">_xlfn.IFNA(INDEX('TRA-W'!C$3:C$128,MATCH(1,(C57='TRA-W'!A$3:A$128)*(B57='TRA-W'!G$3:G$128),0)),"")</f>
        <v/>
      </c>
    </row>
    <row r="58" spans="1:4" x14ac:dyDescent="0.2">
      <c r="A58" s="63" t="str">
        <f t="shared" si="1"/>
        <v>TRA-W</v>
      </c>
      <c r="B58" s="63" t="s">
        <v>20</v>
      </c>
      <c r="C58" s="63">
        <v>1</v>
      </c>
      <c r="D58" s="44" t="str" cm="1">
        <f t="array" ref="D58">_xlfn.IFNA(INDEX('TRA-W'!C$3:C$128,MATCH(1,(C58='TRA-W'!A$3:A$128)*(B58='TRA-W'!G$3:G$128),0)),"")</f>
        <v>BONHAM, Maja</v>
      </c>
    </row>
    <row r="59" spans="1:4" x14ac:dyDescent="0.2">
      <c r="A59" s="63" t="str">
        <f t="shared" si="1"/>
        <v>TRA-W</v>
      </c>
      <c r="B59" s="63" t="s">
        <v>20</v>
      </c>
      <c r="C59" s="63">
        <v>2</v>
      </c>
      <c r="D59" s="44" t="str" cm="1">
        <f t="array" ref="D59">_xlfn.IFNA(INDEX('TRA-W'!C$3:C$128,MATCH(1,(C59='TRA-W'!A$3:A$128)*(B59='TRA-W'!G$3:G$128),0)),"")</f>
        <v>FLYNN, Gabby</v>
      </c>
    </row>
    <row r="60" spans="1:4" x14ac:dyDescent="0.2">
      <c r="A60" s="63" t="str">
        <f t="shared" si="1"/>
        <v>TRA-W</v>
      </c>
      <c r="B60" s="63" t="s">
        <v>20</v>
      </c>
      <c r="C60" s="63">
        <v>3</v>
      </c>
      <c r="D60" s="44" t="str" cm="1">
        <f t="array" ref="D60">_xlfn.IFNA(INDEX('TRA-W'!C$3:C$128,MATCH(1,(C60='TRA-W'!A$3:A$128)*(B60='TRA-W'!G$3:G$128),0)),"")</f>
        <v>NOGA BARD, Kasha</v>
      </c>
    </row>
    <row r="61" spans="1:4" x14ac:dyDescent="0.2">
      <c r="A61" s="63" t="str">
        <f t="shared" si="1"/>
        <v>TRA-W</v>
      </c>
      <c r="B61" s="63" t="s">
        <v>20</v>
      </c>
      <c r="C61" s="63">
        <v>4</v>
      </c>
      <c r="D61" s="44" t="str" cm="1">
        <f t="array" ref="D61">_xlfn.IFNA(INDEX('TRA-W'!C$3:C$128,MATCH(1,(C61='TRA-W'!A$3:A$128)*(B61='TRA-W'!G$3:G$128),0)),"")</f>
        <v>BONNE, Rielle</v>
      </c>
    </row>
    <row r="62" spans="1:4" x14ac:dyDescent="0.2">
      <c r="A62" s="63" t="str">
        <f t="shared" si="1"/>
        <v>TRA-W</v>
      </c>
      <c r="B62" s="63" t="s">
        <v>20</v>
      </c>
      <c r="C62" s="63">
        <v>5</v>
      </c>
      <c r="D62" s="44" t="str" cm="1">
        <f t="array" ref="D62">_xlfn.IFNA(INDEX('TRA-W'!C$3:C$128,MATCH(1,(C62='TRA-W'!A$3:A$128)*(B62='TRA-W'!G$3:G$128),0)),"")</f>
        <v>NOSSACK, Sophie</v>
      </c>
    </row>
    <row r="63" spans="1:4" x14ac:dyDescent="0.2">
      <c r="A63" s="63" t="str">
        <f t="shared" si="1"/>
        <v>TRA-W</v>
      </c>
      <c r="B63" s="63" t="s">
        <v>20</v>
      </c>
      <c r="C63" s="63">
        <v>6</v>
      </c>
      <c r="D63" s="44" t="str" cm="1">
        <f t="array" ref="D63">_xlfn.IFNA(INDEX('TRA-W'!C$3:C$128,MATCH(1,(C63='TRA-W'!A$3:A$128)*(B63='TRA-W'!G$3:G$128),0)),"")</f>
        <v>NAGANO, Mariko</v>
      </c>
    </row>
    <row r="64" spans="1:4" x14ac:dyDescent="0.2">
      <c r="A64" s="63" t="str">
        <f t="shared" si="1"/>
        <v>TRA-W</v>
      </c>
      <c r="B64" s="63" t="s">
        <v>20</v>
      </c>
      <c r="C64" s="63">
        <v>7</v>
      </c>
      <c r="D64" s="44" t="str" cm="1">
        <f t="array" ref="D64">_xlfn.IFNA(INDEX('TRA-W'!C$3:C$128,MATCH(1,(C64='TRA-W'!A$3:A$128)*(B64='TRA-W'!G$3:G$128),0)),"")</f>
        <v>ANDERSON, Julie</v>
      </c>
    </row>
    <row r="65" spans="1:4" x14ac:dyDescent="0.2">
      <c r="A65" s="63" t="str">
        <f t="shared" si="1"/>
        <v>TRA-W</v>
      </c>
      <c r="B65" s="63" t="s">
        <v>20</v>
      </c>
      <c r="C65" s="63">
        <v>8</v>
      </c>
      <c r="D65" s="44" t="str" cm="1">
        <f t="array" ref="D65">_xlfn.IFNA(INDEX('TRA-W'!C$3:C$128,MATCH(1,(C65='TRA-W'!A$3:A$128)*(B65='TRA-W'!G$3:G$128),0)),"")</f>
        <v>LEBEL, Meggy</v>
      </c>
    </row>
    <row r="66" spans="1:4" hidden="1" x14ac:dyDescent="0.2">
      <c r="A66" s="62" t="str">
        <f>IF(D66="","","SYN-M")</f>
        <v/>
      </c>
      <c r="B66" s="65" t="s">
        <v>18</v>
      </c>
      <c r="C66" s="62">
        <v>1</v>
      </c>
      <c r="D66" s="43" t="str" cm="1">
        <f t="array" ref="D66">_xlfn.IFNA(INDEX('SYN-M'!C$3:C$20,MATCH(1,(C66='SYN-M'!A$3:A$20)*(B66='SYN-M'!H$3:H$20),0)),"")</f>
        <v/>
      </c>
    </row>
    <row r="67" spans="1:4" hidden="1" x14ac:dyDescent="0.2">
      <c r="A67" s="62" t="str">
        <f t="shared" ref="A67:A81" si="2">IF(D67="","","SYN-M")</f>
        <v/>
      </c>
      <c r="B67" s="65" t="s">
        <v>18</v>
      </c>
      <c r="C67" s="62">
        <v>2</v>
      </c>
      <c r="D67" s="43" t="str" cm="1">
        <f t="array" ref="D67">_xlfn.IFNA(INDEX('SYN-M'!C$3:C$20,MATCH(1,(C67='SYN-M'!A$3:A$20)*(B67='SYN-M'!H$3:H$20),0)),"")</f>
        <v/>
      </c>
    </row>
    <row r="68" spans="1:4" hidden="1" x14ac:dyDescent="0.2">
      <c r="A68" s="62" t="str">
        <f t="shared" si="2"/>
        <v/>
      </c>
      <c r="B68" s="65" t="s">
        <v>18</v>
      </c>
      <c r="C68" s="62">
        <v>3</v>
      </c>
      <c r="D68" s="43" t="str" cm="1">
        <f t="array" ref="D68">_xlfn.IFNA(INDEX('SYN-M'!C$3:C$20,MATCH(1,(C68='SYN-M'!A$3:A$20)*(B68='SYN-M'!H$3:H$20),0)),"")</f>
        <v/>
      </c>
    </row>
    <row r="69" spans="1:4" hidden="1" x14ac:dyDescent="0.2">
      <c r="A69" s="62" t="str">
        <f t="shared" si="2"/>
        <v/>
      </c>
      <c r="B69" s="65" t="s">
        <v>18</v>
      </c>
      <c r="C69" s="62">
        <v>4</v>
      </c>
      <c r="D69" s="43" t="str" cm="1">
        <f t="array" ref="D69">_xlfn.IFNA(INDEX('SYN-M'!C$3:C$20,MATCH(1,(C69='SYN-M'!A$3:A$20)*(B69='SYN-M'!H$3:H$20),0)),"")</f>
        <v/>
      </c>
    </row>
    <row r="70" spans="1:4" hidden="1" x14ac:dyDescent="0.2">
      <c r="A70" s="62" t="str">
        <f t="shared" si="2"/>
        <v/>
      </c>
      <c r="B70" s="62" t="s">
        <v>17</v>
      </c>
      <c r="C70" s="62">
        <v>1</v>
      </c>
      <c r="D70" s="43" t="str" cm="1">
        <f t="array" ref="D70">_xlfn.IFNA(INDEX('SYN-M'!C$3:C$20,MATCH(1,(C70='SYN-M'!A$3:A$20)*(B70='SYN-M'!H$3:H$20),0)),"")</f>
        <v/>
      </c>
    </row>
    <row r="71" spans="1:4" hidden="1" x14ac:dyDescent="0.2">
      <c r="A71" s="62" t="str">
        <f t="shared" si="2"/>
        <v/>
      </c>
      <c r="B71" s="62" t="s">
        <v>17</v>
      </c>
      <c r="C71" s="62">
        <v>2</v>
      </c>
      <c r="D71" s="43" t="str" cm="1">
        <f t="array" ref="D71">_xlfn.IFNA(INDEX('SYN-M'!C$3:C$20,MATCH(1,(C71='SYN-M'!A$3:A$20)*(B71='SYN-M'!H$3:H$20),0)),"")</f>
        <v/>
      </c>
    </row>
    <row r="72" spans="1:4" hidden="1" x14ac:dyDescent="0.2">
      <c r="A72" s="62" t="str">
        <f t="shared" si="2"/>
        <v/>
      </c>
      <c r="B72" s="62" t="s">
        <v>17</v>
      </c>
      <c r="C72" s="62">
        <v>3</v>
      </c>
      <c r="D72" s="43" t="str" cm="1">
        <f t="array" ref="D72">_xlfn.IFNA(INDEX('SYN-M'!C$3:C$20,MATCH(1,(C72='SYN-M'!A$3:A$20)*(B72='SYN-M'!H$3:H$20),0)),"")</f>
        <v/>
      </c>
    </row>
    <row r="73" spans="1:4" hidden="1" x14ac:dyDescent="0.2">
      <c r="A73" s="62" t="str">
        <f t="shared" si="2"/>
        <v/>
      </c>
      <c r="B73" s="62" t="s">
        <v>17</v>
      </c>
      <c r="C73" s="62">
        <v>4</v>
      </c>
      <c r="D73" s="43" t="str" cm="1">
        <f t="array" ref="D73">_xlfn.IFNA(INDEX('SYN-M'!C$3:C$20,MATCH(1,(C73='SYN-M'!A$3:A$20)*(B73='SYN-M'!H$3:H$20),0)),"")</f>
        <v/>
      </c>
    </row>
    <row r="74" spans="1:4" hidden="1" x14ac:dyDescent="0.2">
      <c r="A74" s="62" t="str">
        <f t="shared" si="2"/>
        <v/>
      </c>
      <c r="B74" s="62" t="s">
        <v>19</v>
      </c>
      <c r="C74" s="62">
        <v>1</v>
      </c>
      <c r="D74" s="43" t="str" cm="1">
        <f t="array" ref="D74">_xlfn.IFNA(INDEX('SYN-M'!C$3:C$20,MATCH(1,(C74='SYN-M'!A$3:A$20)*(B74='SYN-M'!H$3:H$20),0)),"")</f>
        <v/>
      </c>
    </row>
    <row r="75" spans="1:4" hidden="1" x14ac:dyDescent="0.2">
      <c r="A75" s="62" t="str">
        <f t="shared" si="2"/>
        <v/>
      </c>
      <c r="B75" s="62" t="s">
        <v>19</v>
      </c>
      <c r="C75" s="62">
        <v>2</v>
      </c>
      <c r="D75" s="43" t="str" cm="1">
        <f t="array" ref="D75">_xlfn.IFNA(INDEX('SYN-M'!C$3:C$20,MATCH(1,(C75='SYN-M'!A$3:A$20)*(B75='SYN-M'!H$3:H$20),0)),"")</f>
        <v/>
      </c>
    </row>
    <row r="76" spans="1:4" hidden="1" x14ac:dyDescent="0.2">
      <c r="A76" s="62" t="str">
        <f t="shared" si="2"/>
        <v/>
      </c>
      <c r="B76" s="62" t="s">
        <v>19</v>
      </c>
      <c r="C76" s="62">
        <v>3</v>
      </c>
      <c r="D76" s="43" t="str" cm="1">
        <f t="array" ref="D76">_xlfn.IFNA(INDEX('SYN-M'!C$3:C$20,MATCH(1,(C76='SYN-M'!A$3:A$20)*(B76='SYN-M'!H$3:H$20),0)),"")</f>
        <v/>
      </c>
    </row>
    <row r="77" spans="1:4" hidden="1" x14ac:dyDescent="0.2">
      <c r="A77" s="62" t="str">
        <f t="shared" si="2"/>
        <v/>
      </c>
      <c r="B77" s="62" t="s">
        <v>19</v>
      </c>
      <c r="C77" s="62">
        <v>4</v>
      </c>
      <c r="D77" s="43" t="str" cm="1">
        <f t="array" ref="D77">_xlfn.IFNA(INDEX('SYN-M'!C$3:C$20,MATCH(1,(C77='SYN-M'!A$3:A$20)*(B77='SYN-M'!H$3:H$20),0)),"")</f>
        <v/>
      </c>
    </row>
    <row r="78" spans="1:4" x14ac:dyDescent="0.2">
      <c r="A78" s="62" t="str">
        <f t="shared" si="2"/>
        <v>SYN-M</v>
      </c>
      <c r="B78" s="62" t="s">
        <v>20</v>
      </c>
      <c r="C78" s="62">
        <v>1</v>
      </c>
      <c r="D78" s="43" t="str" cm="1">
        <f t="array" ref="D78">_xlfn.IFNA(INDEX('SYN-M'!C$3:C$20,MATCH(1,(C78='SYN-M'!A$3:A$20)*(B78='SYN-M'!H$3:H$20),0)),"")</f>
        <v>CLOUTIER &amp; LEVASSEUR</v>
      </c>
    </row>
    <row r="79" spans="1:4" hidden="1" x14ac:dyDescent="0.2">
      <c r="A79" s="62" t="str">
        <f t="shared" si="2"/>
        <v/>
      </c>
      <c r="B79" s="62" t="s">
        <v>20</v>
      </c>
      <c r="C79" s="62">
        <v>2</v>
      </c>
      <c r="D79" s="43" t="str" cm="1">
        <f t="array" ref="D79">_xlfn.IFNA(INDEX('SYN-M'!C$3:C$20,MATCH(1,(C79='SYN-M'!A$3:A$20)*(B79='SYN-M'!H$3:H$20),0)),"")</f>
        <v/>
      </c>
    </row>
    <row r="80" spans="1:4" hidden="1" x14ac:dyDescent="0.2">
      <c r="A80" s="62" t="str">
        <f t="shared" si="2"/>
        <v/>
      </c>
      <c r="B80" s="62" t="s">
        <v>20</v>
      </c>
      <c r="C80" s="62">
        <v>3</v>
      </c>
      <c r="D80" s="43" t="str" cm="1">
        <f t="array" ref="D80">_xlfn.IFNA(INDEX('SYN-M'!C$3:C$20,MATCH(1,(C80='SYN-M'!A$3:A$20)*(B80='SYN-M'!H$3:H$20),0)),"")</f>
        <v/>
      </c>
    </row>
    <row r="81" spans="1:4" hidden="1" x14ac:dyDescent="0.2">
      <c r="A81" s="62" t="str">
        <f t="shared" si="2"/>
        <v/>
      </c>
      <c r="B81" s="62" t="s">
        <v>20</v>
      </c>
      <c r="C81" s="62">
        <v>4</v>
      </c>
      <c r="D81" s="43" t="str" cm="1">
        <f t="array" ref="D81">_xlfn.IFNA(INDEX('SYN-M'!C$3:C$20,MATCH(1,(C81='SYN-M'!A$3:A$20)*(B81='SYN-M'!H$3:H$20),0)),"")</f>
        <v/>
      </c>
    </row>
    <row r="82" spans="1:4" hidden="1" x14ac:dyDescent="0.2">
      <c r="A82" s="63" t="str">
        <f>IF(D82="","","SYN-W")</f>
        <v/>
      </c>
      <c r="B82" s="66" t="s">
        <v>18</v>
      </c>
      <c r="C82" s="63">
        <v>1</v>
      </c>
      <c r="D82" s="44" t="str" cm="1">
        <f t="array" ref="D82">_xlfn.IFNA(INDEX('SYN-W'!C$3:C$38,MATCH(1,(C82='SYN-W'!A$3:A$38)*(B82='SYN-W'!H$3:H$38),0)),"")</f>
        <v/>
      </c>
    </row>
    <row r="83" spans="1:4" hidden="1" x14ac:dyDescent="0.2">
      <c r="A83" s="63" t="str">
        <f t="shared" ref="A83:A97" si="3">IF(D83="","","SYN-W")</f>
        <v/>
      </c>
      <c r="B83" s="66" t="s">
        <v>18</v>
      </c>
      <c r="C83" s="63">
        <v>2</v>
      </c>
      <c r="D83" s="44" t="str" cm="1">
        <f t="array" ref="D83">_xlfn.IFNA(INDEX('SYN-W'!C$3:C$38,MATCH(1,(C83='SYN-W'!A$3:A$38)*(B83='SYN-W'!H$3:H$38),0)),"")</f>
        <v/>
      </c>
    </row>
    <row r="84" spans="1:4" hidden="1" x14ac:dyDescent="0.2">
      <c r="A84" s="63" t="str">
        <f t="shared" si="3"/>
        <v/>
      </c>
      <c r="B84" s="66" t="s">
        <v>18</v>
      </c>
      <c r="C84" s="63">
        <v>3</v>
      </c>
      <c r="D84" s="44" t="str" cm="1">
        <f t="array" ref="D84">_xlfn.IFNA(INDEX('SYN-W'!C$3:C$38,MATCH(1,(C84='SYN-W'!A$3:A$38)*(B84='SYN-W'!H$3:H$38),0)),"")</f>
        <v/>
      </c>
    </row>
    <row r="85" spans="1:4" hidden="1" x14ac:dyDescent="0.2">
      <c r="A85" s="63" t="str">
        <f t="shared" si="3"/>
        <v/>
      </c>
      <c r="B85" s="66" t="s">
        <v>18</v>
      </c>
      <c r="C85" s="63">
        <v>4</v>
      </c>
      <c r="D85" s="44" t="str" cm="1">
        <f t="array" ref="D85">_xlfn.IFNA(INDEX('SYN-W'!C$3:C$38,MATCH(1,(C85='SYN-W'!A$3:A$38)*(B85='SYN-W'!H$3:H$38),0)),"")</f>
        <v/>
      </c>
    </row>
    <row r="86" spans="1:4" x14ac:dyDescent="0.2">
      <c r="A86" s="63" t="str">
        <f t="shared" si="3"/>
        <v>SYN-W</v>
      </c>
      <c r="B86" s="63" t="s">
        <v>17</v>
      </c>
      <c r="C86" s="63">
        <v>1</v>
      </c>
      <c r="D86" s="44" t="str" cm="1">
        <f t="array" ref="D86">_xlfn.IFNA(INDEX('SYN-W'!C$3:C$38,MATCH(1,(C86='SYN-W'!A$3:A$38)*(B86='SYN-W'!H$3:H$38),0)),"")</f>
        <v>GOOD &amp; LEE-MCMEEKEN</v>
      </c>
    </row>
    <row r="87" spans="1:4" hidden="1" x14ac:dyDescent="0.2">
      <c r="A87" s="63" t="str">
        <f t="shared" si="3"/>
        <v/>
      </c>
      <c r="B87" s="63" t="s">
        <v>17</v>
      </c>
      <c r="C87" s="63">
        <v>2</v>
      </c>
      <c r="D87" s="44" t="str" cm="1">
        <f t="array" ref="D87">_xlfn.IFNA(INDEX('SYN-W'!C$3:C$38,MATCH(1,(C87='SYN-W'!A$3:A$38)*(B87='SYN-W'!H$3:H$38),0)),"")</f>
        <v/>
      </c>
    </row>
    <row r="88" spans="1:4" hidden="1" x14ac:dyDescent="0.2">
      <c r="A88" s="63" t="str">
        <f t="shared" si="3"/>
        <v/>
      </c>
      <c r="B88" s="63" t="s">
        <v>17</v>
      </c>
      <c r="C88" s="63">
        <v>3</v>
      </c>
      <c r="D88" s="44" t="str" cm="1">
        <f t="array" ref="D88">_xlfn.IFNA(INDEX('SYN-W'!C$3:C$38,MATCH(1,(C88='SYN-W'!A$3:A$38)*(B88='SYN-W'!H$3:H$38),0)),"")</f>
        <v/>
      </c>
    </row>
    <row r="89" spans="1:4" hidden="1" x14ac:dyDescent="0.2">
      <c r="A89" s="63" t="str">
        <f t="shared" si="3"/>
        <v/>
      </c>
      <c r="B89" s="63" t="s">
        <v>17</v>
      </c>
      <c r="C89" s="63">
        <v>4</v>
      </c>
      <c r="D89" s="44" t="str" cm="1">
        <f t="array" ref="D89">_xlfn.IFNA(INDEX('SYN-W'!C$3:C$38,MATCH(1,(C89='SYN-W'!A$3:A$38)*(B89='SYN-W'!H$3:H$38),0)),"")</f>
        <v/>
      </c>
    </row>
    <row r="90" spans="1:4" hidden="1" x14ac:dyDescent="0.2">
      <c r="A90" s="63" t="str">
        <f t="shared" si="3"/>
        <v/>
      </c>
      <c r="B90" s="63" t="s">
        <v>19</v>
      </c>
      <c r="C90" s="63">
        <v>1</v>
      </c>
      <c r="D90" s="44" t="str" cm="1">
        <f t="array" ref="D90">_xlfn.IFNA(INDEX('SYN-W'!C$3:C$38,MATCH(1,(C90='SYN-W'!A$3:A$38)*(B90='SYN-W'!H$3:H$38),0)),"")</f>
        <v/>
      </c>
    </row>
    <row r="91" spans="1:4" hidden="1" x14ac:dyDescent="0.2">
      <c r="A91" s="63" t="str">
        <f t="shared" si="3"/>
        <v/>
      </c>
      <c r="B91" s="63" t="s">
        <v>19</v>
      </c>
      <c r="C91" s="63">
        <v>2</v>
      </c>
      <c r="D91" s="44" t="str" cm="1">
        <f t="array" ref="D91">_xlfn.IFNA(INDEX('SYN-W'!C$3:C$38,MATCH(1,(C91='SYN-W'!A$3:A$38)*(B91='SYN-W'!H$3:H$38),0)),"")</f>
        <v/>
      </c>
    </row>
    <row r="92" spans="1:4" hidden="1" x14ac:dyDescent="0.2">
      <c r="A92" s="63" t="str">
        <f t="shared" si="3"/>
        <v/>
      </c>
      <c r="B92" s="63" t="s">
        <v>19</v>
      </c>
      <c r="C92" s="63">
        <v>3</v>
      </c>
      <c r="D92" s="44" t="str" cm="1">
        <f t="array" ref="D92">_xlfn.IFNA(INDEX('SYN-W'!C$3:C$38,MATCH(1,(C92='SYN-W'!A$3:A$38)*(B92='SYN-W'!H$3:H$38),0)),"")</f>
        <v/>
      </c>
    </row>
    <row r="93" spans="1:4" hidden="1" x14ac:dyDescent="0.2">
      <c r="A93" s="63" t="str">
        <f t="shared" si="3"/>
        <v/>
      </c>
      <c r="B93" s="63" t="s">
        <v>19</v>
      </c>
      <c r="C93" s="63">
        <v>4</v>
      </c>
      <c r="D93" s="44" t="str" cm="1">
        <f t="array" ref="D93">_xlfn.IFNA(INDEX('SYN-W'!C$3:C$38,MATCH(1,(C93='SYN-W'!A$3:A$38)*(B93='SYN-W'!H$3:H$38),0)),"")</f>
        <v/>
      </c>
    </row>
    <row r="94" spans="1:4" x14ac:dyDescent="0.2">
      <c r="A94" s="63" t="str">
        <f t="shared" si="3"/>
        <v>SYN-W</v>
      </c>
      <c r="B94" s="63" t="s">
        <v>20</v>
      </c>
      <c r="C94" s="63">
        <v>1</v>
      </c>
      <c r="D94" s="44" t="str" cm="1">
        <f t="array" ref="D94">_xlfn.IFNA(INDEX('SYN-W'!C$3:C$38,MATCH(1,(C94='SYN-W'!A$3:A$38)*(B94='SYN-W'!H$3:H$38),0)),"")</f>
        <v>JAMES &amp; NOGA-BARD</v>
      </c>
    </row>
    <row r="95" spans="1:4" x14ac:dyDescent="0.2">
      <c r="A95" s="63" t="str">
        <f t="shared" si="3"/>
        <v>SYN-W</v>
      </c>
      <c r="B95" s="63" t="s">
        <v>20</v>
      </c>
      <c r="C95" s="63">
        <v>2</v>
      </c>
      <c r="D95" s="44" t="str" cm="1">
        <f t="array" ref="D95">_xlfn.IFNA(INDEX('SYN-W'!C$3:C$38,MATCH(1,(C95='SYN-W'!A$3:A$38)*(B95='SYN-W'!H$3:H$38),0)),"")</f>
        <v>BONNE &amp; NAGANO</v>
      </c>
    </row>
    <row r="96" spans="1:4" hidden="1" x14ac:dyDescent="0.2">
      <c r="A96" s="63" t="str">
        <f t="shared" si="3"/>
        <v/>
      </c>
      <c r="B96" s="63" t="s">
        <v>20</v>
      </c>
      <c r="C96" s="63">
        <v>3</v>
      </c>
      <c r="D96" s="44" t="str" cm="1">
        <f t="array" ref="D96">_xlfn.IFNA(INDEX('SYN-W'!C$3:C$38,MATCH(1,(C96='SYN-W'!A$3:A$38)*(B96='SYN-W'!H$3:H$38),0)),"")</f>
        <v/>
      </c>
    </row>
    <row r="97" spans="1:4" hidden="1" x14ac:dyDescent="0.2">
      <c r="A97" s="63" t="str">
        <f t="shared" si="3"/>
        <v/>
      </c>
      <c r="B97" s="63" t="s">
        <v>20</v>
      </c>
      <c r="C97" s="63">
        <v>4</v>
      </c>
      <c r="D97" s="44" t="str" cm="1">
        <f t="array" ref="D97">_xlfn.IFNA(INDEX('SYN-W'!C$3:C$38,MATCH(1,(C97='SYN-W'!A$3:A$38)*(B97='SYN-W'!H$3:H$38),0)),"")</f>
        <v/>
      </c>
    </row>
    <row r="98" spans="1:4" hidden="1" x14ac:dyDescent="0.2">
      <c r="A98" s="62" t="str">
        <f>IF(D98="","","DMT-M")</f>
        <v/>
      </c>
      <c r="B98" s="65" t="s">
        <v>18</v>
      </c>
      <c r="C98" s="62">
        <v>1</v>
      </c>
      <c r="D98" s="43" t="str" cm="1">
        <f t="array" ref="D98">_xlfn.IFNA(INDEX('DMT-M'!C$3:C$78,MATCH(1,(C98='DMT-M'!A$3:A$78)*(B98='DMT-M'!G$3:G$78),0)),"")</f>
        <v/>
      </c>
    </row>
    <row r="99" spans="1:4" hidden="1" x14ac:dyDescent="0.2">
      <c r="A99" s="62" t="str">
        <f t="shared" ref="A99:A129" si="4">IF(D99="","","DMT-M")</f>
        <v/>
      </c>
      <c r="B99" s="65" t="s">
        <v>18</v>
      </c>
      <c r="C99" s="62">
        <v>2</v>
      </c>
      <c r="D99" s="43" t="str" cm="1">
        <f t="array" ref="D99">_xlfn.IFNA(INDEX('DMT-M'!C$3:C$78,MATCH(1,(C99='DMT-M'!A$3:A$78)*(B99='DMT-M'!G$3:G$78),0)),"")</f>
        <v/>
      </c>
    </row>
    <row r="100" spans="1:4" hidden="1" x14ac:dyDescent="0.2">
      <c r="A100" s="62" t="str">
        <f t="shared" si="4"/>
        <v/>
      </c>
      <c r="B100" s="65" t="s">
        <v>18</v>
      </c>
      <c r="C100" s="62">
        <v>3</v>
      </c>
      <c r="D100" s="43" t="str" cm="1">
        <f t="array" ref="D100">_xlfn.IFNA(INDEX('DMT-M'!C$3:C$78,MATCH(1,(C100='DMT-M'!A$3:A$78)*(B100='DMT-M'!G$3:G$78),0)),"")</f>
        <v/>
      </c>
    </row>
    <row r="101" spans="1:4" hidden="1" x14ac:dyDescent="0.2">
      <c r="A101" s="62" t="str">
        <f t="shared" si="4"/>
        <v/>
      </c>
      <c r="B101" s="65" t="s">
        <v>18</v>
      </c>
      <c r="C101" s="62">
        <v>4</v>
      </c>
      <c r="D101" s="43" t="str" cm="1">
        <f t="array" ref="D101">_xlfn.IFNA(INDEX('DMT-M'!C$3:C$78,MATCH(1,(C101='DMT-M'!A$3:A$78)*(B101='DMT-M'!G$3:G$78),0)),"")</f>
        <v/>
      </c>
    </row>
    <row r="102" spans="1:4" hidden="1" x14ac:dyDescent="0.2">
      <c r="A102" s="62" t="str">
        <f t="shared" si="4"/>
        <v/>
      </c>
      <c r="B102" s="65" t="s">
        <v>18</v>
      </c>
      <c r="C102" s="62">
        <v>5</v>
      </c>
      <c r="D102" s="43" t="str" cm="1">
        <f t="array" ref="D102">_xlfn.IFNA(INDEX('DMT-M'!C$3:C$78,MATCH(1,(C102='DMT-M'!A$3:A$78)*(B102='DMT-M'!G$3:G$78),0)),"")</f>
        <v/>
      </c>
    </row>
    <row r="103" spans="1:4" hidden="1" x14ac:dyDescent="0.2">
      <c r="A103" s="62" t="str">
        <f t="shared" si="4"/>
        <v/>
      </c>
      <c r="B103" s="65" t="s">
        <v>18</v>
      </c>
      <c r="C103" s="62">
        <v>6</v>
      </c>
      <c r="D103" s="43" t="str" cm="1">
        <f t="array" ref="D103">_xlfn.IFNA(INDEX('DMT-M'!C$3:C$78,MATCH(1,(C103='DMT-M'!A$3:A$78)*(B103='DMT-M'!G$3:G$78),0)),"")</f>
        <v/>
      </c>
    </row>
    <row r="104" spans="1:4" hidden="1" x14ac:dyDescent="0.2">
      <c r="A104" s="62" t="str">
        <f t="shared" si="4"/>
        <v/>
      </c>
      <c r="B104" s="65" t="s">
        <v>18</v>
      </c>
      <c r="C104" s="62">
        <v>7</v>
      </c>
      <c r="D104" s="43" t="str" cm="1">
        <f t="array" ref="D104">_xlfn.IFNA(INDEX('DMT-M'!C$3:C$78,MATCH(1,(C104='DMT-M'!A$3:A$78)*(B104='DMT-M'!G$3:G$78),0)),"")</f>
        <v/>
      </c>
    </row>
    <row r="105" spans="1:4" hidden="1" x14ac:dyDescent="0.2">
      <c r="A105" s="62" t="str">
        <f t="shared" si="4"/>
        <v/>
      </c>
      <c r="B105" s="65" t="s">
        <v>18</v>
      </c>
      <c r="C105" s="62">
        <v>8</v>
      </c>
      <c r="D105" s="43" t="str" cm="1">
        <f t="array" ref="D105">_xlfn.IFNA(INDEX('DMT-M'!C$3:C$78,MATCH(1,(C105='DMT-M'!A$3:A$78)*(B105='DMT-M'!G$3:G$78),0)),"")</f>
        <v/>
      </c>
    </row>
    <row r="106" spans="1:4" x14ac:dyDescent="0.2">
      <c r="A106" s="62" t="str">
        <f t="shared" si="4"/>
        <v>DMT-M</v>
      </c>
      <c r="B106" s="62" t="s">
        <v>17</v>
      </c>
      <c r="C106" s="62">
        <v>1</v>
      </c>
      <c r="D106" s="43" t="str" cm="1">
        <f t="array" ref="D106">_xlfn.IFNA(INDEX('DMT-M'!C$3:C$78,MATCH(1,(C106='DMT-M'!A$3:A$78)*(B106='DMT-M'!G$3:G$78),0)),"")</f>
        <v xml:space="preserve">BLOOM, Tristan </v>
      </c>
    </row>
    <row r="107" spans="1:4" x14ac:dyDescent="0.2">
      <c r="A107" s="62" t="str">
        <f t="shared" si="4"/>
        <v>DMT-M</v>
      </c>
      <c r="B107" s="62" t="s">
        <v>17</v>
      </c>
      <c r="C107" s="62">
        <v>2</v>
      </c>
      <c r="D107" s="43" t="str" cm="1">
        <f t="array" ref="D107">_xlfn.IFNA(INDEX('DMT-M'!C$3:C$78,MATCH(1,(C107='DMT-M'!A$3:A$78)*(B107='DMT-M'!G$3:G$78),0)),"")</f>
        <v xml:space="preserve">GIBBS, Gavin </v>
      </c>
    </row>
    <row r="108" spans="1:4" hidden="1" x14ac:dyDescent="0.2">
      <c r="A108" s="62" t="str">
        <f t="shared" si="4"/>
        <v/>
      </c>
      <c r="B108" s="62" t="s">
        <v>17</v>
      </c>
      <c r="C108" s="62">
        <v>3</v>
      </c>
      <c r="D108" s="43" t="str" cm="1">
        <f t="array" ref="D108">_xlfn.IFNA(INDEX('DMT-M'!C$3:C$78,MATCH(1,(C108='DMT-M'!A$3:A$78)*(B108='DMT-M'!G$3:G$78),0)),"")</f>
        <v/>
      </c>
    </row>
    <row r="109" spans="1:4" hidden="1" x14ac:dyDescent="0.2">
      <c r="A109" s="62" t="str">
        <f t="shared" si="4"/>
        <v/>
      </c>
      <c r="B109" s="62" t="s">
        <v>17</v>
      </c>
      <c r="C109" s="62">
        <v>4</v>
      </c>
      <c r="D109" s="43" t="str" cm="1">
        <f t="array" ref="D109">_xlfn.IFNA(INDEX('DMT-M'!C$3:C$78,MATCH(1,(C109='DMT-M'!A$3:A$78)*(B109='DMT-M'!G$3:G$78),0)),"")</f>
        <v/>
      </c>
    </row>
    <row r="110" spans="1:4" hidden="1" x14ac:dyDescent="0.2">
      <c r="A110" s="62" t="str">
        <f t="shared" si="4"/>
        <v/>
      </c>
      <c r="B110" s="62" t="s">
        <v>17</v>
      </c>
      <c r="C110" s="62">
        <v>5</v>
      </c>
      <c r="D110" s="43" t="str" cm="1">
        <f t="array" ref="D110">_xlfn.IFNA(INDEX('DMT-M'!C$3:C$78,MATCH(1,(C110='DMT-M'!A$3:A$78)*(B110='DMT-M'!G$3:G$78),0)),"")</f>
        <v/>
      </c>
    </row>
    <row r="111" spans="1:4" hidden="1" x14ac:dyDescent="0.2">
      <c r="A111" s="62" t="str">
        <f t="shared" si="4"/>
        <v/>
      </c>
      <c r="B111" s="62" t="s">
        <v>17</v>
      </c>
      <c r="C111" s="62">
        <v>6</v>
      </c>
      <c r="D111" s="43" t="str" cm="1">
        <f t="array" ref="D111">_xlfn.IFNA(INDEX('DMT-M'!C$3:C$78,MATCH(1,(C111='DMT-M'!A$3:A$78)*(B111='DMT-M'!G$3:G$78),0)),"")</f>
        <v/>
      </c>
    </row>
    <row r="112" spans="1:4" hidden="1" x14ac:dyDescent="0.2">
      <c r="A112" s="62" t="str">
        <f t="shared" si="4"/>
        <v/>
      </c>
      <c r="B112" s="62" t="s">
        <v>17</v>
      </c>
      <c r="C112" s="62">
        <v>7</v>
      </c>
      <c r="D112" s="43" t="str" cm="1">
        <f t="array" ref="D112">_xlfn.IFNA(INDEX('DMT-M'!C$3:C$78,MATCH(1,(C112='DMT-M'!A$3:A$78)*(B112='DMT-M'!G$3:G$78),0)),"")</f>
        <v/>
      </c>
    </row>
    <row r="113" spans="1:4" hidden="1" x14ac:dyDescent="0.2">
      <c r="A113" s="62" t="str">
        <f t="shared" si="4"/>
        <v/>
      </c>
      <c r="B113" s="62" t="s">
        <v>17</v>
      </c>
      <c r="C113" s="62">
        <v>8</v>
      </c>
      <c r="D113" s="43" t="str" cm="1">
        <f t="array" ref="D113">_xlfn.IFNA(INDEX('DMT-M'!C$3:C$78,MATCH(1,(C113='DMT-M'!A$3:A$78)*(B113='DMT-M'!G$3:G$78),0)),"")</f>
        <v/>
      </c>
    </row>
    <row r="114" spans="1:4" x14ac:dyDescent="0.2">
      <c r="A114" s="62" t="str">
        <f t="shared" si="4"/>
        <v>DMT-M</v>
      </c>
      <c r="B114" s="62" t="s">
        <v>19</v>
      </c>
      <c r="C114" s="62">
        <v>1</v>
      </c>
      <c r="D114" s="43" t="str" cm="1">
        <f t="array" ref="D114">_xlfn.IFNA(INDEX('DMT-M'!C$3:C$78,MATCH(1,(C114='DMT-M'!A$3:A$78)*(B114='DMT-M'!G$3:G$78),0)),"")</f>
        <v xml:space="preserve">HARBO, Owen </v>
      </c>
    </row>
    <row r="115" spans="1:4" x14ac:dyDescent="0.2">
      <c r="A115" s="62" t="str">
        <f t="shared" si="4"/>
        <v>DMT-M</v>
      </c>
      <c r="B115" s="62" t="s">
        <v>19</v>
      </c>
      <c r="C115" s="62">
        <v>2</v>
      </c>
      <c r="D115" s="43" t="str" cm="1">
        <f t="array" ref="D115">_xlfn.IFNA(INDEX('DMT-M'!C$3:C$78,MATCH(1,(C115='DMT-M'!A$3:A$78)*(B115='DMT-M'!G$3:G$78),0)),"")</f>
        <v xml:space="preserve">HIGHSTEAD, Declan </v>
      </c>
    </row>
    <row r="116" spans="1:4" x14ac:dyDescent="0.2">
      <c r="A116" s="62" t="str">
        <f t="shared" si="4"/>
        <v>DMT-M</v>
      </c>
      <c r="B116" s="62" t="s">
        <v>19</v>
      </c>
      <c r="C116" s="62">
        <v>3</v>
      </c>
      <c r="D116" s="43" t="str" cm="1">
        <f t="array" ref="D116">_xlfn.IFNA(INDEX('DMT-M'!C$3:C$78,MATCH(1,(C116='DMT-M'!A$3:A$78)*(B116='DMT-M'!G$3:G$78),0)),"")</f>
        <v xml:space="preserve">GANDZA, Vince </v>
      </c>
    </row>
    <row r="117" spans="1:4" x14ac:dyDescent="0.2">
      <c r="A117" s="62" t="str">
        <f t="shared" si="4"/>
        <v>DMT-M</v>
      </c>
      <c r="B117" s="62" t="s">
        <v>19</v>
      </c>
      <c r="C117" s="62">
        <v>4</v>
      </c>
      <c r="D117" s="43" t="str" cm="1">
        <f t="array" ref="D117">_xlfn.IFNA(INDEX('DMT-M'!C$3:C$78,MATCH(1,(C117='DMT-M'!A$3:A$78)*(B117='DMT-M'!G$3:G$78),0)),"")</f>
        <v xml:space="preserve">D’HONDT, Luke </v>
      </c>
    </row>
    <row r="118" spans="1:4" x14ac:dyDescent="0.2">
      <c r="A118" s="62" t="str">
        <f t="shared" si="4"/>
        <v>DMT-M</v>
      </c>
      <c r="B118" s="62" t="s">
        <v>19</v>
      </c>
      <c r="C118" s="62">
        <v>5</v>
      </c>
      <c r="D118" s="43" t="str" cm="1">
        <f t="array" ref="D118">_xlfn.IFNA(INDEX('DMT-M'!C$3:C$78,MATCH(1,(C118='DMT-M'!A$3:A$78)*(B118='DMT-M'!G$3:G$78),0)),"")</f>
        <v>CYMAN, Cody</v>
      </c>
    </row>
    <row r="119" spans="1:4" hidden="1" x14ac:dyDescent="0.2">
      <c r="A119" s="62" t="str">
        <f t="shared" si="4"/>
        <v/>
      </c>
      <c r="B119" s="62" t="s">
        <v>19</v>
      </c>
      <c r="C119" s="62">
        <v>6</v>
      </c>
      <c r="D119" s="43" t="str" cm="1">
        <f t="array" ref="D119">_xlfn.IFNA(INDEX('DMT-M'!C$3:C$78,MATCH(1,(C119='DMT-M'!A$3:A$78)*(B119='DMT-M'!G$3:G$78),0)),"")</f>
        <v/>
      </c>
    </row>
    <row r="120" spans="1:4" hidden="1" x14ac:dyDescent="0.2">
      <c r="A120" s="62" t="str">
        <f t="shared" si="4"/>
        <v/>
      </c>
      <c r="B120" s="62" t="s">
        <v>19</v>
      </c>
      <c r="C120" s="62">
        <v>7</v>
      </c>
      <c r="D120" s="43" t="str" cm="1">
        <f t="array" ref="D120">_xlfn.IFNA(INDEX('DMT-M'!C$3:C$78,MATCH(1,(C120='DMT-M'!A$3:A$78)*(B120='DMT-M'!G$3:G$78),0)),"")</f>
        <v/>
      </c>
    </row>
    <row r="121" spans="1:4" hidden="1" x14ac:dyDescent="0.2">
      <c r="A121" s="62" t="str">
        <f t="shared" si="4"/>
        <v/>
      </c>
      <c r="B121" s="62" t="s">
        <v>19</v>
      </c>
      <c r="C121" s="62">
        <v>8</v>
      </c>
      <c r="D121" s="43" t="str" cm="1">
        <f t="array" ref="D121">_xlfn.IFNA(INDEX('DMT-M'!C$3:C$78,MATCH(1,(C121='DMT-M'!A$3:A$78)*(B121='DMT-M'!G$3:G$78),0)),"")</f>
        <v/>
      </c>
    </row>
    <row r="122" spans="1:4" x14ac:dyDescent="0.2">
      <c r="A122" s="62" t="str">
        <f t="shared" si="4"/>
        <v>DMT-M</v>
      </c>
      <c r="B122" s="62" t="s">
        <v>20</v>
      </c>
      <c r="C122" s="62">
        <v>1</v>
      </c>
      <c r="D122" s="43" t="str" cm="1">
        <f t="array" ref="D122">_xlfn.IFNA(INDEX('DMT-M'!C$3:C$78,MATCH(1,(C122='DMT-M'!A$3:A$78)*(B122='DMT-M'!G$3:G$78),0)),"")</f>
        <v xml:space="preserve">MEYER, Jeremy </v>
      </c>
    </row>
    <row r="123" spans="1:4" x14ac:dyDescent="0.2">
      <c r="A123" s="62" t="str">
        <f t="shared" si="4"/>
        <v>DMT-M</v>
      </c>
      <c r="B123" s="62" t="s">
        <v>20</v>
      </c>
      <c r="C123" s="62">
        <v>2</v>
      </c>
      <c r="D123" s="43" t="str" cm="1">
        <f t="array" ref="D123">_xlfn.IFNA(INDEX('DMT-M'!C$3:C$78,MATCH(1,(C123='DMT-M'!A$3:A$78)*(B123='DMT-M'!G$3:G$78),0)),"")</f>
        <v>BRENNER, Adin</v>
      </c>
    </row>
    <row r="124" spans="1:4" x14ac:dyDescent="0.2">
      <c r="A124" s="62" t="str">
        <f t="shared" si="4"/>
        <v>DMT-M</v>
      </c>
      <c r="B124" s="62" t="s">
        <v>20</v>
      </c>
      <c r="C124" s="62">
        <v>3</v>
      </c>
      <c r="D124" s="43" t="str" cm="1">
        <f t="array" ref="D124">_xlfn.IFNA(INDEX('DMT-M'!C$3:C$78,MATCH(1,(C124='DMT-M'!A$3:A$78)*(B124='DMT-M'!G$3:G$78),0)),"")</f>
        <v xml:space="preserve">NEUFELD, Simon </v>
      </c>
    </row>
    <row r="125" spans="1:4" x14ac:dyDescent="0.2">
      <c r="A125" s="62" t="str">
        <f t="shared" si="4"/>
        <v>DMT-M</v>
      </c>
      <c r="B125" s="62" t="s">
        <v>20</v>
      </c>
      <c r="C125" s="62">
        <v>4</v>
      </c>
      <c r="D125" s="43" t="str" cm="1">
        <f t="array" ref="D125">_xlfn.IFNA(INDEX('DMT-M'!C$3:C$78,MATCH(1,(C125='DMT-M'!A$3:A$78)*(B125='DMT-M'!G$3:G$78),0)),"")</f>
        <v xml:space="preserve">RICHARD, Dexter </v>
      </c>
    </row>
    <row r="126" spans="1:4" x14ac:dyDescent="0.2">
      <c r="A126" s="62" t="str">
        <f t="shared" si="4"/>
        <v>DMT-M</v>
      </c>
      <c r="B126" s="62" t="s">
        <v>20</v>
      </c>
      <c r="C126" s="62">
        <v>5</v>
      </c>
      <c r="D126" s="43" t="str" cm="1">
        <f t="array" ref="D126">_xlfn.IFNA(INDEX('DMT-M'!C$3:C$78,MATCH(1,(C126='DMT-M'!A$3:A$78)*(B126='DMT-M'!G$3:G$78),0)),"")</f>
        <v xml:space="preserve">KLASSEN, Isaiah </v>
      </c>
    </row>
    <row r="127" spans="1:4" x14ac:dyDescent="0.2">
      <c r="A127" s="62" t="str">
        <f t="shared" si="4"/>
        <v>DMT-M</v>
      </c>
      <c r="B127" s="62" t="s">
        <v>20</v>
      </c>
      <c r="C127" s="62">
        <v>6</v>
      </c>
      <c r="D127" s="43" t="str" cm="1">
        <f t="array" ref="D127">_xlfn.IFNA(INDEX('DMT-M'!C$3:C$78,MATCH(1,(C127='DMT-M'!A$3:A$78)*(B127='DMT-M'!G$3:G$78),0)),"")</f>
        <v xml:space="preserve">WALLMAN, Matthew </v>
      </c>
    </row>
    <row r="128" spans="1:4" x14ac:dyDescent="0.2">
      <c r="A128" s="62" t="str">
        <f t="shared" si="4"/>
        <v>DMT-M</v>
      </c>
      <c r="B128" s="62" t="s">
        <v>20</v>
      </c>
      <c r="C128" s="62">
        <v>7</v>
      </c>
      <c r="D128" s="43" t="str" cm="1">
        <f t="array" ref="D128">_xlfn.IFNA(INDEX('DMT-M'!C$3:C$78,MATCH(1,(C128='DMT-M'!A$3:A$78)*(B128='DMT-M'!G$3:G$78),0)),"")</f>
        <v xml:space="preserve">PINSK, Benjamin </v>
      </c>
    </row>
    <row r="129" spans="1:4" hidden="1" x14ac:dyDescent="0.2">
      <c r="A129" s="62" t="str">
        <f t="shared" si="4"/>
        <v/>
      </c>
      <c r="B129" s="62" t="s">
        <v>20</v>
      </c>
      <c r="C129" s="62">
        <v>8</v>
      </c>
      <c r="D129" s="43" t="str" cm="1">
        <f t="array" ref="D129">_xlfn.IFNA(INDEX('DMT-M'!C$3:C$78,MATCH(1,(C129='DMT-M'!A$3:A$78)*(B129='DMT-M'!G$3:G$78),0)),"")</f>
        <v/>
      </c>
    </row>
    <row r="130" spans="1:4" hidden="1" x14ac:dyDescent="0.2">
      <c r="A130" s="63" t="str">
        <f>IF(D130="","","DMT-W")</f>
        <v/>
      </c>
      <c r="B130" s="66" t="s">
        <v>18</v>
      </c>
      <c r="C130" s="63">
        <v>1</v>
      </c>
      <c r="D130" s="44" t="str" cm="1">
        <f t="array" ref="D130">_xlfn.IFNA(INDEX('DMT-W'!C$3:C$88,MATCH(1,(C130='DMT-W'!A$3:A$88)*(B130='DMT-W'!G$3:G$88),0)),"")</f>
        <v/>
      </c>
    </row>
    <row r="131" spans="1:4" hidden="1" x14ac:dyDescent="0.2">
      <c r="A131" s="63" t="str">
        <f t="shared" ref="A131:A161" si="5">IF(D131="","","DMT-W")</f>
        <v/>
      </c>
      <c r="B131" s="66" t="s">
        <v>18</v>
      </c>
      <c r="C131" s="63">
        <v>2</v>
      </c>
      <c r="D131" s="44" t="str" cm="1">
        <f t="array" ref="D131">_xlfn.IFNA(INDEX('DMT-W'!C$3:C$88,MATCH(1,(C131='DMT-W'!A$3:A$88)*(B131='DMT-W'!G$3:G$88),0)),"")</f>
        <v/>
      </c>
    </row>
    <row r="132" spans="1:4" hidden="1" x14ac:dyDescent="0.2">
      <c r="A132" s="63" t="str">
        <f t="shared" si="5"/>
        <v/>
      </c>
      <c r="B132" s="66" t="s">
        <v>18</v>
      </c>
      <c r="C132" s="63">
        <v>3</v>
      </c>
      <c r="D132" s="44" t="str" cm="1">
        <f t="array" ref="D132">_xlfn.IFNA(INDEX('DMT-W'!C$3:C$88,MATCH(1,(C132='DMT-W'!A$3:A$88)*(B132='DMT-W'!G$3:G$88),0)),"")</f>
        <v/>
      </c>
    </row>
    <row r="133" spans="1:4" hidden="1" x14ac:dyDescent="0.2">
      <c r="A133" s="63" t="str">
        <f t="shared" si="5"/>
        <v/>
      </c>
      <c r="B133" s="66" t="s">
        <v>18</v>
      </c>
      <c r="C133" s="63">
        <v>4</v>
      </c>
      <c r="D133" s="44" t="str" cm="1">
        <f t="array" ref="D133">_xlfn.IFNA(INDEX('DMT-W'!C$3:C$88,MATCH(1,(C133='DMT-W'!A$3:A$88)*(B133='DMT-W'!G$3:G$88),0)),"")</f>
        <v/>
      </c>
    </row>
    <row r="134" spans="1:4" hidden="1" x14ac:dyDescent="0.2">
      <c r="A134" s="63" t="str">
        <f t="shared" si="5"/>
        <v/>
      </c>
      <c r="B134" s="66" t="s">
        <v>18</v>
      </c>
      <c r="C134" s="63">
        <v>5</v>
      </c>
      <c r="D134" s="44" t="str" cm="1">
        <f t="array" ref="D134">_xlfn.IFNA(INDEX('DMT-W'!C$3:C$88,MATCH(1,(C134='DMT-W'!A$3:A$88)*(B134='DMT-W'!G$3:G$88),0)),"")</f>
        <v/>
      </c>
    </row>
    <row r="135" spans="1:4" hidden="1" x14ac:dyDescent="0.2">
      <c r="A135" s="63" t="str">
        <f t="shared" si="5"/>
        <v/>
      </c>
      <c r="B135" s="66" t="s">
        <v>18</v>
      </c>
      <c r="C135" s="63">
        <v>6</v>
      </c>
      <c r="D135" s="44" t="str" cm="1">
        <f t="array" ref="D135">_xlfn.IFNA(INDEX('DMT-W'!C$3:C$88,MATCH(1,(C135='DMT-W'!A$3:A$88)*(B135='DMT-W'!G$3:G$88),0)),"")</f>
        <v/>
      </c>
    </row>
    <row r="136" spans="1:4" hidden="1" x14ac:dyDescent="0.2">
      <c r="A136" s="63" t="str">
        <f t="shared" si="5"/>
        <v/>
      </c>
      <c r="B136" s="66" t="s">
        <v>18</v>
      </c>
      <c r="C136" s="63">
        <v>7</v>
      </c>
      <c r="D136" s="44" t="str" cm="1">
        <f t="array" ref="D136">_xlfn.IFNA(INDEX('DMT-W'!C$3:C$88,MATCH(1,(C136='DMT-W'!A$3:A$88)*(B136='DMT-W'!G$3:G$88),0)),"")</f>
        <v/>
      </c>
    </row>
    <row r="137" spans="1:4" hidden="1" x14ac:dyDescent="0.2">
      <c r="A137" s="63" t="str">
        <f t="shared" si="5"/>
        <v/>
      </c>
      <c r="B137" s="66" t="s">
        <v>18</v>
      </c>
      <c r="C137" s="63">
        <v>8</v>
      </c>
      <c r="D137" s="44" t="str" cm="1">
        <f t="array" ref="D137">_xlfn.IFNA(INDEX('DMT-W'!C$3:C$88,MATCH(1,(C137='DMT-W'!A$3:A$88)*(B137='DMT-W'!G$3:G$88),0)),"")</f>
        <v/>
      </c>
    </row>
    <row r="138" spans="1:4" x14ac:dyDescent="0.2">
      <c r="A138" s="63" t="str">
        <f t="shared" si="5"/>
        <v>DMT-W</v>
      </c>
      <c r="B138" s="63" t="s">
        <v>17</v>
      </c>
      <c r="C138" s="63">
        <v>1</v>
      </c>
      <c r="D138" s="44" t="str" cm="1">
        <f t="array" ref="D138">_xlfn.IFNA(INDEX('DMT-W'!C$3:C$88,MATCH(1,(C138='DMT-W'!A$3:A$88)*(B138='DMT-W'!G$3:G$88),0)),"")</f>
        <v xml:space="preserve">LEE-MCMEEKEN, Brooklyn </v>
      </c>
    </row>
    <row r="139" spans="1:4" x14ac:dyDescent="0.2">
      <c r="A139" s="63" t="str">
        <f t="shared" si="5"/>
        <v>DMT-W</v>
      </c>
      <c r="B139" s="63" t="s">
        <v>17</v>
      </c>
      <c r="C139" s="63">
        <v>2</v>
      </c>
      <c r="D139" s="44" t="str" cm="1">
        <f t="array" ref="D139">_xlfn.IFNA(INDEX('DMT-W'!C$3:C$88,MATCH(1,(C139='DMT-W'!A$3:A$88)*(B139='DMT-W'!G$3:G$88),0)),"")</f>
        <v xml:space="preserve">SCHMIDT, Makena </v>
      </c>
    </row>
    <row r="140" spans="1:4" x14ac:dyDescent="0.2">
      <c r="A140" s="63" t="str">
        <f t="shared" si="5"/>
        <v>DMT-W</v>
      </c>
      <c r="B140" s="63" t="s">
        <v>17</v>
      </c>
      <c r="C140" s="63">
        <v>3</v>
      </c>
      <c r="D140" s="44" t="str" cm="1">
        <f t="array" ref="D140">_xlfn.IFNA(INDEX('DMT-W'!C$3:C$88,MATCH(1,(C140='DMT-W'!A$3:A$88)*(B140='DMT-W'!G$3:G$88),0)),"")</f>
        <v xml:space="preserve">GOOD, Hayden </v>
      </c>
    </row>
    <row r="141" spans="1:4" hidden="1" x14ac:dyDescent="0.2">
      <c r="A141" s="63" t="str">
        <f t="shared" si="5"/>
        <v/>
      </c>
      <c r="B141" s="63" t="s">
        <v>17</v>
      </c>
      <c r="C141" s="63">
        <v>4</v>
      </c>
      <c r="D141" s="44" t="str" cm="1">
        <f t="array" ref="D141">_xlfn.IFNA(INDEX('DMT-W'!C$3:C$88,MATCH(1,(C141='DMT-W'!A$3:A$88)*(B141='DMT-W'!G$3:G$88),0)),"")</f>
        <v/>
      </c>
    </row>
    <row r="142" spans="1:4" hidden="1" x14ac:dyDescent="0.2">
      <c r="A142" s="63" t="str">
        <f t="shared" si="5"/>
        <v/>
      </c>
      <c r="B142" s="63" t="s">
        <v>17</v>
      </c>
      <c r="C142" s="63">
        <v>5</v>
      </c>
      <c r="D142" s="44" t="str" cm="1">
        <f t="array" ref="D142">_xlfn.IFNA(INDEX('DMT-W'!C$3:C$88,MATCH(1,(C142='DMT-W'!A$3:A$88)*(B142='DMT-W'!G$3:G$88),0)),"")</f>
        <v/>
      </c>
    </row>
    <row r="143" spans="1:4" hidden="1" x14ac:dyDescent="0.2">
      <c r="A143" s="63" t="str">
        <f t="shared" si="5"/>
        <v/>
      </c>
      <c r="B143" s="63" t="s">
        <v>17</v>
      </c>
      <c r="C143" s="63">
        <v>6</v>
      </c>
      <c r="D143" s="44" t="str" cm="1">
        <f t="array" ref="D143">_xlfn.IFNA(INDEX('DMT-W'!C$3:C$88,MATCH(1,(C143='DMT-W'!A$3:A$88)*(B143='DMT-W'!G$3:G$88),0)),"")</f>
        <v/>
      </c>
    </row>
    <row r="144" spans="1:4" hidden="1" x14ac:dyDescent="0.2">
      <c r="A144" s="63" t="str">
        <f t="shared" si="5"/>
        <v/>
      </c>
      <c r="B144" s="63" t="s">
        <v>17</v>
      </c>
      <c r="C144" s="63">
        <v>7</v>
      </c>
      <c r="D144" s="44" t="str" cm="1">
        <f t="array" ref="D144">_xlfn.IFNA(INDEX('DMT-W'!C$3:C$88,MATCH(1,(C144='DMT-W'!A$3:A$88)*(B144='DMT-W'!G$3:G$88),0)),"")</f>
        <v/>
      </c>
    </row>
    <row r="145" spans="1:4" hidden="1" x14ac:dyDescent="0.2">
      <c r="A145" s="63" t="str">
        <f t="shared" si="5"/>
        <v/>
      </c>
      <c r="B145" s="63" t="s">
        <v>17</v>
      </c>
      <c r="C145" s="63">
        <v>8</v>
      </c>
      <c r="D145" s="44" t="str" cm="1">
        <f t="array" ref="D145">_xlfn.IFNA(INDEX('DMT-W'!C$3:C$88,MATCH(1,(C145='DMT-W'!A$3:A$88)*(B145='DMT-W'!G$3:G$88),0)),"")</f>
        <v/>
      </c>
    </row>
    <row r="146" spans="1:4" x14ac:dyDescent="0.2">
      <c r="A146" s="63" t="str">
        <f t="shared" si="5"/>
        <v>DMT-W</v>
      </c>
      <c r="B146" s="63" t="s">
        <v>19</v>
      </c>
      <c r="C146" s="63">
        <v>1</v>
      </c>
      <c r="D146" s="44" t="str" cm="1">
        <f t="array" ref="D146">_xlfn.IFNA(INDEX('DMT-W'!C$3:C$88,MATCH(1,(C146='DMT-W'!A$3:A$88)*(B146='DMT-W'!G$3:G$88),0)),"")</f>
        <v xml:space="preserve">JACKSON, Claire </v>
      </c>
    </row>
    <row r="147" spans="1:4" x14ac:dyDescent="0.2">
      <c r="A147" s="63" t="str">
        <f t="shared" si="5"/>
        <v>DMT-W</v>
      </c>
      <c r="B147" s="63" t="s">
        <v>19</v>
      </c>
      <c r="C147" s="63">
        <v>2</v>
      </c>
      <c r="D147" s="44" t="str" cm="1">
        <f t="array" ref="D147">_xlfn.IFNA(INDEX('DMT-W'!C$3:C$88,MATCH(1,(C147='DMT-W'!A$3:A$88)*(B147='DMT-W'!G$3:G$88),0)),"")</f>
        <v xml:space="preserve">RYGA, Ruby </v>
      </c>
    </row>
    <row r="148" spans="1:4" hidden="1" x14ac:dyDescent="0.2">
      <c r="A148" s="63" t="str">
        <f t="shared" si="5"/>
        <v/>
      </c>
      <c r="B148" s="63" t="s">
        <v>19</v>
      </c>
      <c r="C148" s="63">
        <v>3</v>
      </c>
      <c r="D148" s="44" t="str" cm="1">
        <f t="array" ref="D148">_xlfn.IFNA(INDEX('DMT-W'!C$3:C$88,MATCH(1,(C148='DMT-W'!A$3:A$88)*(B148='DMT-W'!G$3:G$88),0)),"")</f>
        <v/>
      </c>
    </row>
    <row r="149" spans="1:4" hidden="1" x14ac:dyDescent="0.2">
      <c r="A149" s="63" t="str">
        <f t="shared" si="5"/>
        <v/>
      </c>
      <c r="B149" s="63" t="s">
        <v>19</v>
      </c>
      <c r="C149" s="63">
        <v>4</v>
      </c>
      <c r="D149" s="44" t="str" cm="1">
        <f t="array" ref="D149">_xlfn.IFNA(INDEX('DMT-W'!C$3:C$88,MATCH(1,(C149='DMT-W'!A$3:A$88)*(B149='DMT-W'!G$3:G$88),0)),"")</f>
        <v/>
      </c>
    </row>
    <row r="150" spans="1:4" hidden="1" x14ac:dyDescent="0.2">
      <c r="A150" s="63" t="str">
        <f t="shared" si="5"/>
        <v/>
      </c>
      <c r="B150" s="63" t="s">
        <v>19</v>
      </c>
      <c r="C150" s="63">
        <v>5</v>
      </c>
      <c r="D150" s="44" t="str" cm="1">
        <f t="array" ref="D150">_xlfn.IFNA(INDEX('DMT-W'!C$3:C$88,MATCH(1,(C150='DMT-W'!A$3:A$88)*(B150='DMT-W'!G$3:G$88),0)),"")</f>
        <v/>
      </c>
    </row>
    <row r="151" spans="1:4" hidden="1" x14ac:dyDescent="0.2">
      <c r="A151" s="63" t="str">
        <f t="shared" si="5"/>
        <v/>
      </c>
      <c r="B151" s="63" t="s">
        <v>19</v>
      </c>
      <c r="C151" s="63">
        <v>6</v>
      </c>
      <c r="D151" s="44" t="str" cm="1">
        <f t="array" ref="D151">_xlfn.IFNA(INDEX('DMT-W'!C$3:C$88,MATCH(1,(C151='DMT-W'!A$3:A$88)*(B151='DMT-W'!G$3:G$88),0)),"")</f>
        <v/>
      </c>
    </row>
    <row r="152" spans="1:4" hidden="1" x14ac:dyDescent="0.2">
      <c r="A152" s="63" t="str">
        <f t="shared" si="5"/>
        <v/>
      </c>
      <c r="B152" s="63" t="s">
        <v>19</v>
      </c>
      <c r="C152" s="63">
        <v>7</v>
      </c>
      <c r="D152" s="44" t="str" cm="1">
        <f t="array" ref="D152">_xlfn.IFNA(INDEX('DMT-W'!C$3:C$88,MATCH(1,(C152='DMT-W'!A$3:A$88)*(B152='DMT-W'!G$3:G$88),0)),"")</f>
        <v/>
      </c>
    </row>
    <row r="153" spans="1:4" hidden="1" x14ac:dyDescent="0.2">
      <c r="A153" s="63" t="str">
        <f t="shared" si="5"/>
        <v/>
      </c>
      <c r="B153" s="63" t="s">
        <v>19</v>
      </c>
      <c r="C153" s="63">
        <v>8</v>
      </c>
      <c r="D153" s="44" t="str" cm="1">
        <f t="array" ref="D153">_xlfn.IFNA(INDEX('DMT-W'!C$3:C$88,MATCH(1,(C153='DMT-W'!A$3:A$88)*(B153='DMT-W'!G$3:G$88),0)),"")</f>
        <v/>
      </c>
    </row>
    <row r="154" spans="1:4" x14ac:dyDescent="0.2">
      <c r="A154" s="63" t="str">
        <f t="shared" si="5"/>
        <v>DMT-W</v>
      </c>
      <c r="B154" s="63" t="s">
        <v>20</v>
      </c>
      <c r="C154" s="63">
        <v>1</v>
      </c>
      <c r="D154" s="44" t="str" cm="1">
        <f t="array" ref="D154">_xlfn.IFNA(INDEX('DMT-W'!C$3:C$88,MATCH(1,(C154='DMT-W'!A$3:A$88)*(B154='DMT-W'!G$3:G$88),0)),"")</f>
        <v xml:space="preserve">HOWELL, Kayla </v>
      </c>
    </row>
    <row r="155" spans="1:4" x14ac:dyDescent="0.2">
      <c r="A155" s="63" t="str">
        <f t="shared" si="5"/>
        <v>DMT-W</v>
      </c>
      <c r="B155" s="63" t="s">
        <v>20</v>
      </c>
      <c r="C155" s="63">
        <v>2</v>
      </c>
      <c r="D155" s="44" t="str" cm="1">
        <f t="array" ref="D155">_xlfn.IFNA(INDEX('DMT-W'!C$3:C$88,MATCH(1,(C155='DMT-W'!A$3:A$88)*(B155='DMT-W'!G$3:G$88),0)),"")</f>
        <v xml:space="preserve">BODNAR, Cassidy </v>
      </c>
    </row>
    <row r="156" spans="1:4" x14ac:dyDescent="0.2">
      <c r="A156" s="63" t="str">
        <f t="shared" si="5"/>
        <v>DMT-W</v>
      </c>
      <c r="B156" s="63" t="s">
        <v>20</v>
      </c>
      <c r="C156" s="63">
        <v>3</v>
      </c>
      <c r="D156" s="44" t="str" cm="1">
        <f t="array" ref="D156">_xlfn.IFNA(INDEX('DMT-W'!C$3:C$88,MATCH(1,(C156='DMT-W'!A$3:A$88)*(B156='DMT-W'!G$3:G$88),0)),"")</f>
        <v xml:space="preserve">DODD, Kristina </v>
      </c>
    </row>
    <row r="157" spans="1:4" x14ac:dyDescent="0.2">
      <c r="A157" s="63" t="str">
        <f t="shared" si="5"/>
        <v>DMT-W</v>
      </c>
      <c r="B157" s="63" t="s">
        <v>20</v>
      </c>
      <c r="C157" s="63">
        <v>4</v>
      </c>
      <c r="D157" s="44" t="str" cm="1">
        <f t="array" ref="D157">_xlfn.IFNA(INDEX('DMT-W'!C$3:C$88,MATCH(1,(C157='DMT-W'!A$3:A$88)*(B157='DMT-W'!G$3:G$88),0)),"")</f>
        <v xml:space="preserve">DALGETTY, Mckayla </v>
      </c>
    </row>
    <row r="158" spans="1:4" x14ac:dyDescent="0.2">
      <c r="A158" s="63" t="str">
        <f t="shared" si="5"/>
        <v>DMT-W</v>
      </c>
      <c r="B158" s="63" t="s">
        <v>20</v>
      </c>
      <c r="C158" s="63">
        <v>5</v>
      </c>
      <c r="D158" s="44" t="str" cm="1">
        <f t="array" ref="D158">_xlfn.IFNA(INDEX('DMT-W'!C$3:C$88,MATCH(1,(C158='DMT-W'!A$3:A$88)*(B158='DMT-W'!G$3:G$88),0)),"")</f>
        <v xml:space="preserve">LOVELL-SCHMIDT, Sydney </v>
      </c>
    </row>
    <row r="159" spans="1:4" hidden="1" x14ac:dyDescent="0.2">
      <c r="A159" s="63" t="str">
        <f t="shared" si="5"/>
        <v/>
      </c>
      <c r="B159" s="63" t="s">
        <v>20</v>
      </c>
      <c r="C159" s="63">
        <v>6</v>
      </c>
      <c r="D159" s="44" t="str" cm="1">
        <f t="array" ref="D159">_xlfn.IFNA(INDEX('DMT-W'!C$3:C$88,MATCH(1,(C159='DMT-W'!A$3:A$88)*(B159='DMT-W'!G$3:G$88),0)),"")</f>
        <v/>
      </c>
    </row>
    <row r="160" spans="1:4" hidden="1" x14ac:dyDescent="0.2">
      <c r="A160" s="63" t="str">
        <f t="shared" si="5"/>
        <v/>
      </c>
      <c r="B160" s="63" t="s">
        <v>20</v>
      </c>
      <c r="C160" s="63">
        <v>7</v>
      </c>
      <c r="D160" s="44" t="str" cm="1">
        <f t="array" ref="D160">_xlfn.IFNA(INDEX('DMT-W'!C$3:C$88,MATCH(1,(C160='DMT-W'!A$3:A$88)*(B160='DMT-W'!G$3:G$88),0)),"")</f>
        <v/>
      </c>
    </row>
    <row r="161" spans="1:4" hidden="1" x14ac:dyDescent="0.2">
      <c r="A161" s="63" t="str">
        <f t="shared" si="5"/>
        <v/>
      </c>
      <c r="B161" s="63" t="s">
        <v>20</v>
      </c>
      <c r="C161" s="63">
        <v>8</v>
      </c>
      <c r="D161" s="44" t="str" cm="1">
        <f t="array" ref="D161">_xlfn.IFNA(INDEX('DMT-W'!C$3:C$88,MATCH(1,(C161='DMT-W'!A$3:A$88)*(B161='DMT-W'!G$3:G$88),0)),"")</f>
        <v/>
      </c>
    </row>
    <row r="162" spans="1:4" hidden="1" x14ac:dyDescent="0.2">
      <c r="A162" s="62" t="str">
        <f>IF(D162="","","TUM-M")</f>
        <v/>
      </c>
      <c r="B162" s="65" t="s">
        <v>18</v>
      </c>
      <c r="C162" s="62">
        <v>1</v>
      </c>
      <c r="D162" s="43" t="str" cm="1">
        <f t="array" ref="D162">_xlfn.IFNA(INDEX('TUM-M'!C$3:C$38,MATCH(1,(C162='TUM-M'!A$3:A$38)*(B162='TUM-M'!G$3:G$38),0)),"")</f>
        <v/>
      </c>
    </row>
    <row r="163" spans="1:4" hidden="1" x14ac:dyDescent="0.2">
      <c r="A163" s="62" t="str">
        <f t="shared" ref="A163:A193" si="6">IF(D163="","","TUM-M")</f>
        <v/>
      </c>
      <c r="B163" s="65" t="s">
        <v>18</v>
      </c>
      <c r="C163" s="62">
        <v>2</v>
      </c>
      <c r="D163" s="43" t="str" cm="1">
        <f t="array" ref="D163">_xlfn.IFNA(INDEX('TUM-M'!C$3:C$38,MATCH(1,(C163='TUM-M'!A$3:A$38)*(B163='TUM-M'!G$3:G$38),0)),"")</f>
        <v/>
      </c>
    </row>
    <row r="164" spans="1:4" hidden="1" x14ac:dyDescent="0.2">
      <c r="A164" s="62" t="str">
        <f t="shared" si="6"/>
        <v/>
      </c>
      <c r="B164" s="65" t="s">
        <v>18</v>
      </c>
      <c r="C164" s="62">
        <v>3</v>
      </c>
      <c r="D164" s="43" t="str" cm="1">
        <f t="array" ref="D164">_xlfn.IFNA(INDEX('TUM-M'!C$3:C$38,MATCH(1,(C164='TUM-M'!A$3:A$38)*(B164='TUM-M'!G$3:G$38),0)),"")</f>
        <v/>
      </c>
    </row>
    <row r="165" spans="1:4" hidden="1" x14ac:dyDescent="0.2">
      <c r="A165" s="62" t="str">
        <f t="shared" si="6"/>
        <v/>
      </c>
      <c r="B165" s="65" t="s">
        <v>18</v>
      </c>
      <c r="C165" s="62">
        <v>4</v>
      </c>
      <c r="D165" s="43" t="str" cm="1">
        <f t="array" ref="D165">_xlfn.IFNA(INDEX('TUM-M'!C$3:C$38,MATCH(1,(C165='TUM-M'!A$3:A$38)*(B165='TUM-M'!G$3:G$38),0)),"")</f>
        <v/>
      </c>
    </row>
    <row r="166" spans="1:4" hidden="1" x14ac:dyDescent="0.2">
      <c r="A166" s="62" t="str">
        <f t="shared" si="6"/>
        <v/>
      </c>
      <c r="B166" s="65" t="s">
        <v>18</v>
      </c>
      <c r="C166" s="62">
        <v>5</v>
      </c>
      <c r="D166" s="43" t="str" cm="1">
        <f t="array" ref="D166">_xlfn.IFNA(INDEX('TUM-M'!C$3:C$38,MATCH(1,(C166='TUM-M'!A$3:A$38)*(B166='TUM-M'!G$3:G$38),0)),"")</f>
        <v/>
      </c>
    </row>
    <row r="167" spans="1:4" hidden="1" x14ac:dyDescent="0.2">
      <c r="A167" s="62" t="str">
        <f t="shared" si="6"/>
        <v/>
      </c>
      <c r="B167" s="65" t="s">
        <v>18</v>
      </c>
      <c r="C167" s="62">
        <v>6</v>
      </c>
      <c r="D167" s="43" t="str" cm="1">
        <f t="array" ref="D167">_xlfn.IFNA(INDEX('TUM-M'!C$3:C$38,MATCH(1,(C167='TUM-M'!A$3:A$38)*(B167='TUM-M'!G$3:G$38),0)),"")</f>
        <v/>
      </c>
    </row>
    <row r="168" spans="1:4" hidden="1" x14ac:dyDescent="0.2">
      <c r="A168" s="62" t="str">
        <f t="shared" si="6"/>
        <v/>
      </c>
      <c r="B168" s="65" t="s">
        <v>18</v>
      </c>
      <c r="C168" s="62">
        <v>7</v>
      </c>
      <c r="D168" s="43" t="str" cm="1">
        <f t="array" ref="D168">_xlfn.IFNA(INDEX('TUM-M'!C$3:C$38,MATCH(1,(C168='TUM-M'!A$3:A$38)*(B168='TUM-M'!G$3:G$38),0)),"")</f>
        <v/>
      </c>
    </row>
    <row r="169" spans="1:4" hidden="1" x14ac:dyDescent="0.2">
      <c r="A169" s="62" t="str">
        <f t="shared" si="6"/>
        <v/>
      </c>
      <c r="B169" s="65" t="s">
        <v>18</v>
      </c>
      <c r="C169" s="62">
        <v>8</v>
      </c>
      <c r="D169" s="43" t="str" cm="1">
        <f t="array" ref="D169">_xlfn.IFNA(INDEX('TUM-M'!C$3:C$38,MATCH(1,(C169='TUM-M'!A$3:A$38)*(B169='TUM-M'!G$3:G$38),0)),"")</f>
        <v/>
      </c>
    </row>
    <row r="170" spans="1:4" x14ac:dyDescent="0.2">
      <c r="A170" s="62" t="str">
        <f t="shared" si="6"/>
        <v>TUM-M</v>
      </c>
      <c r="B170" s="62" t="s">
        <v>17</v>
      </c>
      <c r="C170" s="62">
        <v>1</v>
      </c>
      <c r="D170" s="43" t="str" cm="1">
        <f t="array" ref="D170">_xlfn.IFNA(INDEX('TUM-M'!C$3:C$38,MATCH(1,(C170='TUM-M'!A$3:A$38)*(B170='TUM-M'!G$3:G$38),0)),"")</f>
        <v>LOISELLE, Hector</v>
      </c>
    </row>
    <row r="171" spans="1:4" hidden="1" x14ac:dyDescent="0.2">
      <c r="A171" s="62" t="str">
        <f t="shared" si="6"/>
        <v/>
      </c>
      <c r="B171" s="62" t="s">
        <v>17</v>
      </c>
      <c r="C171" s="62">
        <v>2</v>
      </c>
      <c r="D171" s="43" t="str" cm="1">
        <f t="array" ref="D171">_xlfn.IFNA(INDEX('TUM-M'!C$3:C$38,MATCH(1,(C171='TUM-M'!A$3:A$38)*(B171='TUM-M'!G$3:G$38),0)),"")</f>
        <v/>
      </c>
    </row>
    <row r="172" spans="1:4" hidden="1" x14ac:dyDescent="0.2">
      <c r="A172" s="62" t="str">
        <f t="shared" si="6"/>
        <v/>
      </c>
      <c r="B172" s="62" t="s">
        <v>17</v>
      </c>
      <c r="C172" s="62">
        <v>3</v>
      </c>
      <c r="D172" s="43" t="str" cm="1">
        <f t="array" ref="D172">_xlfn.IFNA(INDEX('TUM-M'!C$3:C$38,MATCH(1,(C172='TUM-M'!A$3:A$38)*(B172='TUM-M'!G$3:G$38),0)),"")</f>
        <v/>
      </c>
    </row>
    <row r="173" spans="1:4" hidden="1" x14ac:dyDescent="0.2">
      <c r="A173" s="62" t="str">
        <f t="shared" si="6"/>
        <v/>
      </c>
      <c r="B173" s="62" t="s">
        <v>17</v>
      </c>
      <c r="C173" s="62">
        <v>4</v>
      </c>
      <c r="D173" s="43" t="str" cm="1">
        <f t="array" ref="D173">_xlfn.IFNA(INDEX('TUM-M'!C$3:C$38,MATCH(1,(C173='TUM-M'!A$3:A$38)*(B173='TUM-M'!G$3:G$38),0)),"")</f>
        <v/>
      </c>
    </row>
    <row r="174" spans="1:4" hidden="1" x14ac:dyDescent="0.2">
      <c r="A174" s="62" t="str">
        <f t="shared" si="6"/>
        <v/>
      </c>
      <c r="B174" s="62" t="s">
        <v>17</v>
      </c>
      <c r="C174" s="62">
        <v>5</v>
      </c>
      <c r="D174" s="43" t="str" cm="1">
        <f t="array" ref="D174">_xlfn.IFNA(INDEX('TUM-M'!C$3:C$38,MATCH(1,(C174='TUM-M'!A$3:A$38)*(B174='TUM-M'!G$3:G$38),0)),"")</f>
        <v/>
      </c>
    </row>
    <row r="175" spans="1:4" hidden="1" x14ac:dyDescent="0.2">
      <c r="A175" s="62" t="str">
        <f t="shared" si="6"/>
        <v/>
      </c>
      <c r="B175" s="62" t="s">
        <v>17</v>
      </c>
      <c r="C175" s="62">
        <v>6</v>
      </c>
      <c r="D175" s="43" t="str" cm="1">
        <f t="array" ref="D175">_xlfn.IFNA(INDEX('TUM-M'!C$3:C$38,MATCH(1,(C175='TUM-M'!A$3:A$38)*(B175='TUM-M'!G$3:G$38),0)),"")</f>
        <v/>
      </c>
    </row>
    <row r="176" spans="1:4" hidden="1" x14ac:dyDescent="0.2">
      <c r="A176" s="62" t="str">
        <f t="shared" si="6"/>
        <v/>
      </c>
      <c r="B176" s="62" t="s">
        <v>17</v>
      </c>
      <c r="C176" s="62">
        <v>7</v>
      </c>
      <c r="D176" s="43" t="str" cm="1">
        <f t="array" ref="D176">_xlfn.IFNA(INDEX('TUM-M'!C$3:C$38,MATCH(1,(C176='TUM-M'!A$3:A$38)*(B176='TUM-M'!G$3:G$38),0)),"")</f>
        <v/>
      </c>
    </row>
    <row r="177" spans="1:4" hidden="1" x14ac:dyDescent="0.2">
      <c r="A177" s="62" t="str">
        <f t="shared" si="6"/>
        <v/>
      </c>
      <c r="B177" s="62" t="s">
        <v>17</v>
      </c>
      <c r="C177" s="62">
        <v>8</v>
      </c>
      <c r="D177" s="43" t="str" cm="1">
        <f t="array" ref="D177">_xlfn.IFNA(INDEX('TUM-M'!C$3:C$38,MATCH(1,(C177='TUM-M'!A$3:A$38)*(B177='TUM-M'!G$3:G$38),0)),"")</f>
        <v/>
      </c>
    </row>
    <row r="178" spans="1:4" x14ac:dyDescent="0.2">
      <c r="A178" s="62" t="str">
        <f t="shared" si="6"/>
        <v>TUM-M</v>
      </c>
      <c r="B178" s="62" t="s">
        <v>19</v>
      </c>
      <c r="C178" s="62">
        <v>1</v>
      </c>
      <c r="D178" s="43" t="str" cm="1">
        <f t="array" ref="D178">_xlfn.IFNA(INDEX('TUM-M'!C$3:C$38,MATCH(1,(C178='TUM-M'!A$3:A$38)*(B178='TUM-M'!G$3:G$38),0)),"")</f>
        <v>MATTHEWS, Jared</v>
      </c>
    </row>
    <row r="179" spans="1:4" hidden="1" x14ac:dyDescent="0.2">
      <c r="A179" s="62" t="str">
        <f t="shared" si="6"/>
        <v/>
      </c>
      <c r="B179" s="62" t="s">
        <v>19</v>
      </c>
      <c r="C179" s="62">
        <v>2</v>
      </c>
      <c r="D179" s="43" t="str" cm="1">
        <f t="array" ref="D179">_xlfn.IFNA(INDEX('TUM-M'!C$3:C$38,MATCH(1,(C179='TUM-M'!A$3:A$38)*(B179='TUM-M'!G$3:G$38),0)),"")</f>
        <v/>
      </c>
    </row>
    <row r="180" spans="1:4" hidden="1" x14ac:dyDescent="0.2">
      <c r="A180" s="62" t="str">
        <f t="shared" si="6"/>
        <v/>
      </c>
      <c r="B180" s="62" t="s">
        <v>19</v>
      </c>
      <c r="C180" s="62">
        <v>3</v>
      </c>
      <c r="D180" s="43" t="str" cm="1">
        <f t="array" ref="D180">_xlfn.IFNA(INDEX('TUM-M'!C$3:C$38,MATCH(1,(C180='TUM-M'!A$3:A$38)*(B180='TUM-M'!G$3:G$38),0)),"")</f>
        <v/>
      </c>
    </row>
    <row r="181" spans="1:4" hidden="1" x14ac:dyDescent="0.2">
      <c r="A181" s="62" t="str">
        <f t="shared" si="6"/>
        <v/>
      </c>
      <c r="B181" s="62" t="s">
        <v>19</v>
      </c>
      <c r="C181" s="62">
        <v>4</v>
      </c>
      <c r="D181" s="43" t="str" cm="1">
        <f t="array" ref="D181">_xlfn.IFNA(INDEX('TUM-M'!C$3:C$38,MATCH(1,(C181='TUM-M'!A$3:A$38)*(B181='TUM-M'!G$3:G$38),0)),"")</f>
        <v/>
      </c>
    </row>
    <row r="182" spans="1:4" hidden="1" x14ac:dyDescent="0.2">
      <c r="A182" s="62" t="str">
        <f t="shared" si="6"/>
        <v/>
      </c>
      <c r="B182" s="62" t="s">
        <v>19</v>
      </c>
      <c r="C182" s="62">
        <v>5</v>
      </c>
      <c r="D182" s="43" t="str" cm="1">
        <f t="array" ref="D182">_xlfn.IFNA(INDEX('TUM-M'!C$3:C$38,MATCH(1,(C182='TUM-M'!A$3:A$38)*(B182='TUM-M'!G$3:G$38),0)),"")</f>
        <v/>
      </c>
    </row>
    <row r="183" spans="1:4" hidden="1" x14ac:dyDescent="0.2">
      <c r="A183" s="62" t="str">
        <f t="shared" si="6"/>
        <v/>
      </c>
      <c r="B183" s="62" t="s">
        <v>19</v>
      </c>
      <c r="C183" s="62">
        <v>6</v>
      </c>
      <c r="D183" s="43" t="str" cm="1">
        <f t="array" ref="D183">_xlfn.IFNA(INDEX('TUM-M'!C$3:C$38,MATCH(1,(C183='TUM-M'!A$3:A$38)*(B183='TUM-M'!G$3:G$38),0)),"")</f>
        <v/>
      </c>
    </row>
    <row r="184" spans="1:4" hidden="1" x14ac:dyDescent="0.2">
      <c r="A184" s="62" t="str">
        <f t="shared" si="6"/>
        <v/>
      </c>
      <c r="B184" s="62" t="s">
        <v>19</v>
      </c>
      <c r="C184" s="62">
        <v>7</v>
      </c>
      <c r="D184" s="43" t="str" cm="1">
        <f t="array" ref="D184">_xlfn.IFNA(INDEX('TUM-M'!C$3:C$38,MATCH(1,(C184='TUM-M'!A$3:A$38)*(B184='TUM-M'!G$3:G$38),0)),"")</f>
        <v/>
      </c>
    </row>
    <row r="185" spans="1:4" hidden="1" x14ac:dyDescent="0.2">
      <c r="A185" s="62" t="str">
        <f t="shared" si="6"/>
        <v/>
      </c>
      <c r="B185" s="62" t="s">
        <v>19</v>
      </c>
      <c r="C185" s="62">
        <v>8</v>
      </c>
      <c r="D185" s="43" t="str" cm="1">
        <f t="array" ref="D185">_xlfn.IFNA(INDEX('TUM-M'!C$3:C$38,MATCH(1,(C185='TUM-M'!A$3:A$38)*(B185='TUM-M'!G$3:G$38),0)),"")</f>
        <v/>
      </c>
    </row>
    <row r="186" spans="1:4" x14ac:dyDescent="0.2">
      <c r="A186" s="62" t="str">
        <f t="shared" si="6"/>
        <v>TUM-M</v>
      </c>
      <c r="B186" s="62" t="s">
        <v>20</v>
      </c>
      <c r="C186" s="62">
        <v>1</v>
      </c>
      <c r="D186" s="43" t="str" cm="1">
        <f t="array" ref="D186">_xlfn.IFNA(INDEX('TUM-M'!C$3:C$38,MATCH(1,(C186='TUM-M'!A$3:A$38)*(B186='TUM-M'!G$3:G$38),0)),"")</f>
        <v>MALEK, Philo</v>
      </c>
    </row>
    <row r="187" spans="1:4" x14ac:dyDescent="0.2">
      <c r="A187" s="62" t="str">
        <f t="shared" si="6"/>
        <v>TUM-M</v>
      </c>
      <c r="B187" s="62" t="s">
        <v>20</v>
      </c>
      <c r="C187" s="62">
        <v>2</v>
      </c>
      <c r="D187" s="43" t="str" cm="1">
        <f t="array" ref="D187">_xlfn.IFNA(INDEX('TUM-M'!C$3:C$38,MATCH(1,(C187='TUM-M'!A$3:A$38)*(B187='TUM-M'!G$3:G$38),0)),"")</f>
        <v>RABIE, Zayden</v>
      </c>
    </row>
    <row r="188" spans="1:4" x14ac:dyDescent="0.2">
      <c r="A188" s="62" t="str">
        <f t="shared" si="6"/>
        <v>TUM-M</v>
      </c>
      <c r="B188" s="62" t="s">
        <v>20</v>
      </c>
      <c r="C188" s="62">
        <v>3</v>
      </c>
      <c r="D188" s="43" t="str" cm="1">
        <f t="array" ref="D188">_xlfn.IFNA(INDEX('TUM-M'!C$3:C$38,MATCH(1,(C188='TUM-M'!A$3:A$38)*(B188='TUM-M'!G$3:G$38),0)),"")</f>
        <v>NEUFELD, Simon</v>
      </c>
    </row>
    <row r="189" spans="1:4" x14ac:dyDescent="0.2">
      <c r="A189" s="62" t="str">
        <f t="shared" si="6"/>
        <v>TUM-M</v>
      </c>
      <c r="B189" s="62" t="s">
        <v>20</v>
      </c>
      <c r="C189" s="62">
        <v>4</v>
      </c>
      <c r="D189" s="43" t="str" cm="1">
        <f t="array" ref="D189">_xlfn.IFNA(INDEX('TUM-M'!C$3:C$38,MATCH(1,(C189='TUM-M'!A$3:A$38)*(B189='TUM-M'!G$3:G$38),0)),"")</f>
        <v>KLASSEN, Isaiah</v>
      </c>
    </row>
    <row r="190" spans="1:4" hidden="1" x14ac:dyDescent="0.2">
      <c r="A190" s="62" t="str">
        <f t="shared" si="6"/>
        <v/>
      </c>
      <c r="B190" s="62" t="s">
        <v>20</v>
      </c>
      <c r="C190" s="62">
        <v>5</v>
      </c>
      <c r="D190" s="43" t="str" cm="1">
        <f t="array" ref="D190">_xlfn.IFNA(INDEX('TUM-M'!C$3:C$38,MATCH(1,(C190='TUM-M'!A$3:A$38)*(B190='TUM-M'!G$3:G$38),0)),"")</f>
        <v/>
      </c>
    </row>
    <row r="191" spans="1:4" hidden="1" x14ac:dyDescent="0.2">
      <c r="A191" s="62" t="str">
        <f t="shared" si="6"/>
        <v/>
      </c>
      <c r="B191" s="62" t="s">
        <v>20</v>
      </c>
      <c r="C191" s="62">
        <v>6</v>
      </c>
      <c r="D191" s="43" t="str" cm="1">
        <f t="array" ref="D191">_xlfn.IFNA(INDEX('TUM-M'!C$3:C$38,MATCH(1,(C191='TUM-M'!A$3:A$38)*(B191='TUM-M'!G$3:G$38),0)),"")</f>
        <v/>
      </c>
    </row>
    <row r="192" spans="1:4" hidden="1" x14ac:dyDescent="0.2">
      <c r="A192" s="62" t="str">
        <f t="shared" si="6"/>
        <v/>
      </c>
      <c r="B192" s="62" t="s">
        <v>20</v>
      </c>
      <c r="C192" s="62">
        <v>7</v>
      </c>
      <c r="D192" s="43" t="str" cm="1">
        <f t="array" ref="D192">_xlfn.IFNA(INDEX('TUM-M'!C$3:C$38,MATCH(1,(C192='TUM-M'!A$3:A$38)*(B192='TUM-M'!G$3:G$38),0)),"")</f>
        <v/>
      </c>
    </row>
    <row r="193" spans="1:4" hidden="1" x14ac:dyDescent="0.2">
      <c r="A193" s="62" t="str">
        <f t="shared" si="6"/>
        <v/>
      </c>
      <c r="B193" s="62" t="s">
        <v>20</v>
      </c>
      <c r="C193" s="62">
        <v>8</v>
      </c>
      <c r="D193" s="43" t="str" cm="1">
        <f t="array" ref="D193">_xlfn.IFNA(INDEX('TUM-M'!C$3:C$38,MATCH(1,(C193='TUM-M'!A$3:A$38)*(B193='TUM-M'!G$3:G$38),0)),"")</f>
        <v/>
      </c>
    </row>
    <row r="194" spans="1:4" hidden="1" x14ac:dyDescent="0.2">
      <c r="A194" s="63" t="str">
        <f>IF(D194="","","TUM-W")</f>
        <v/>
      </c>
      <c r="B194" s="66" t="s">
        <v>18</v>
      </c>
      <c r="C194" s="63">
        <v>1</v>
      </c>
      <c r="D194" s="44" t="str" cm="1">
        <f t="array" ref="D194">_xlfn.IFNA(INDEX('TUM-W'!C$3:C$79,MATCH(1,(C194='TUM-W'!A$3:A$79)*(B194='TUM-W'!G$3:G$79),0)),"")</f>
        <v/>
      </c>
    </row>
    <row r="195" spans="1:4" hidden="1" x14ac:dyDescent="0.2">
      <c r="A195" s="63" t="str">
        <f t="shared" ref="A195:A225" si="7">IF(D195="","","TUM-W")</f>
        <v/>
      </c>
      <c r="B195" s="66" t="s">
        <v>18</v>
      </c>
      <c r="C195" s="63">
        <v>2</v>
      </c>
      <c r="D195" s="44" t="str" cm="1">
        <f t="array" ref="D195">_xlfn.IFNA(INDEX('TUM-W'!C$3:C$79,MATCH(1,(C195='TUM-W'!A$3:A$79)*(B195='TUM-W'!G$3:G$79),0)),"")</f>
        <v/>
      </c>
    </row>
    <row r="196" spans="1:4" hidden="1" x14ac:dyDescent="0.2">
      <c r="A196" s="63" t="str">
        <f t="shared" si="7"/>
        <v/>
      </c>
      <c r="B196" s="66" t="s">
        <v>18</v>
      </c>
      <c r="C196" s="63">
        <v>3</v>
      </c>
      <c r="D196" s="44" t="str" cm="1">
        <f t="array" ref="D196">_xlfn.IFNA(INDEX('TUM-W'!C$3:C$79,MATCH(1,(C196='TUM-W'!A$3:A$79)*(B196='TUM-W'!G$3:G$79),0)),"")</f>
        <v/>
      </c>
    </row>
    <row r="197" spans="1:4" hidden="1" x14ac:dyDescent="0.2">
      <c r="A197" s="63" t="str">
        <f t="shared" si="7"/>
        <v/>
      </c>
      <c r="B197" s="66" t="s">
        <v>18</v>
      </c>
      <c r="C197" s="63">
        <v>4</v>
      </c>
      <c r="D197" s="44" t="str" cm="1">
        <f t="array" ref="D197">_xlfn.IFNA(INDEX('TUM-W'!C$3:C$79,MATCH(1,(C197='TUM-W'!A$3:A$79)*(B197='TUM-W'!G$3:G$79),0)),"")</f>
        <v/>
      </c>
    </row>
    <row r="198" spans="1:4" hidden="1" x14ac:dyDescent="0.2">
      <c r="A198" s="63" t="str">
        <f t="shared" si="7"/>
        <v/>
      </c>
      <c r="B198" s="66" t="s">
        <v>18</v>
      </c>
      <c r="C198" s="63">
        <v>5</v>
      </c>
      <c r="D198" s="44" t="str" cm="1">
        <f t="array" ref="D198">_xlfn.IFNA(INDEX('TUM-W'!C$3:C$79,MATCH(1,(C198='TUM-W'!A$3:A$79)*(B198='TUM-W'!G$3:G$79),0)),"")</f>
        <v/>
      </c>
    </row>
    <row r="199" spans="1:4" hidden="1" x14ac:dyDescent="0.2">
      <c r="A199" s="63" t="str">
        <f t="shared" si="7"/>
        <v/>
      </c>
      <c r="B199" s="66" t="s">
        <v>18</v>
      </c>
      <c r="C199" s="63">
        <v>6</v>
      </c>
      <c r="D199" s="44" t="str" cm="1">
        <f t="array" ref="D199">_xlfn.IFNA(INDEX('TUM-W'!C$3:C$79,MATCH(1,(C199='TUM-W'!A$3:A$79)*(B199='TUM-W'!G$3:G$79),0)),"")</f>
        <v/>
      </c>
    </row>
    <row r="200" spans="1:4" hidden="1" x14ac:dyDescent="0.2">
      <c r="A200" s="63" t="str">
        <f t="shared" si="7"/>
        <v/>
      </c>
      <c r="B200" s="66" t="s">
        <v>18</v>
      </c>
      <c r="C200" s="63">
        <v>7</v>
      </c>
      <c r="D200" s="44" t="str" cm="1">
        <f t="array" ref="D200">_xlfn.IFNA(INDEX('TUM-W'!C$3:C$79,MATCH(1,(C200='TUM-W'!A$3:A$79)*(B200='TUM-W'!G$3:G$79),0)),"")</f>
        <v/>
      </c>
    </row>
    <row r="201" spans="1:4" hidden="1" x14ac:dyDescent="0.2">
      <c r="A201" s="63" t="str">
        <f t="shared" si="7"/>
        <v/>
      </c>
      <c r="B201" s="66" t="s">
        <v>18</v>
      </c>
      <c r="C201" s="63">
        <v>8</v>
      </c>
      <c r="D201" s="44" t="str" cm="1">
        <f t="array" ref="D201">_xlfn.IFNA(INDEX('TUM-W'!C$3:C$79,MATCH(1,(C201='TUM-W'!A$3:A$79)*(B201='TUM-W'!G$3:G$79),0)),"")</f>
        <v/>
      </c>
    </row>
    <row r="202" spans="1:4" x14ac:dyDescent="0.2">
      <c r="A202" s="63" t="str">
        <f t="shared" si="7"/>
        <v>TUM-W</v>
      </c>
      <c r="B202" s="63" t="s">
        <v>17</v>
      </c>
      <c r="C202" s="63">
        <v>1</v>
      </c>
      <c r="D202" s="44" t="str" cm="1">
        <f t="array" ref="D202">_xlfn.IFNA(INDEX('TUM-W'!C$3:C$79,MATCH(1,(C202='TUM-W'!A$3:A$79)*(B202='TUM-W'!G$3:G$79),0)),"")</f>
        <v>LEE-MCMEEKEN, Brooklyn</v>
      </c>
    </row>
    <row r="203" spans="1:4" hidden="1" x14ac:dyDescent="0.2">
      <c r="A203" s="63" t="str">
        <f t="shared" si="7"/>
        <v/>
      </c>
      <c r="B203" s="63" t="s">
        <v>17</v>
      </c>
      <c r="C203" s="63">
        <v>2</v>
      </c>
      <c r="D203" s="44" t="str" cm="1">
        <f t="array" ref="D203">_xlfn.IFNA(INDEX('TUM-W'!C$3:C$79,MATCH(1,(C203='TUM-W'!A$3:A$79)*(B203='TUM-W'!G$3:G$79),0)),"")</f>
        <v/>
      </c>
    </row>
    <row r="204" spans="1:4" hidden="1" x14ac:dyDescent="0.2">
      <c r="A204" s="63" t="str">
        <f t="shared" si="7"/>
        <v/>
      </c>
      <c r="B204" s="63" t="s">
        <v>17</v>
      </c>
      <c r="C204" s="63">
        <v>3</v>
      </c>
      <c r="D204" s="44" t="str" cm="1">
        <f t="array" ref="D204">_xlfn.IFNA(INDEX('TUM-W'!C$3:C$79,MATCH(1,(C204='TUM-W'!A$3:A$79)*(B204='TUM-W'!G$3:G$79),0)),"")</f>
        <v/>
      </c>
    </row>
    <row r="205" spans="1:4" hidden="1" x14ac:dyDescent="0.2">
      <c r="A205" s="63" t="str">
        <f t="shared" si="7"/>
        <v/>
      </c>
      <c r="B205" s="63" t="s">
        <v>17</v>
      </c>
      <c r="C205" s="63">
        <v>4</v>
      </c>
      <c r="D205" s="44" t="str" cm="1">
        <f t="array" ref="D205">_xlfn.IFNA(INDEX('TUM-W'!C$3:C$79,MATCH(1,(C205='TUM-W'!A$3:A$79)*(B205='TUM-W'!G$3:G$79),0)),"")</f>
        <v/>
      </c>
    </row>
    <row r="206" spans="1:4" hidden="1" x14ac:dyDescent="0.2">
      <c r="A206" s="63" t="str">
        <f t="shared" si="7"/>
        <v/>
      </c>
      <c r="B206" s="63" t="s">
        <v>17</v>
      </c>
      <c r="C206" s="63">
        <v>5</v>
      </c>
      <c r="D206" s="44" t="str" cm="1">
        <f t="array" ref="D206">_xlfn.IFNA(INDEX('TUM-W'!C$3:C$79,MATCH(1,(C206='TUM-W'!A$3:A$79)*(B206='TUM-W'!G$3:G$79),0)),"")</f>
        <v/>
      </c>
    </row>
    <row r="207" spans="1:4" hidden="1" x14ac:dyDescent="0.2">
      <c r="A207" s="63" t="str">
        <f t="shared" si="7"/>
        <v/>
      </c>
      <c r="B207" s="63" t="s">
        <v>17</v>
      </c>
      <c r="C207" s="63">
        <v>6</v>
      </c>
      <c r="D207" s="44" t="str" cm="1">
        <f t="array" ref="D207">_xlfn.IFNA(INDEX('TUM-W'!C$3:C$79,MATCH(1,(C207='TUM-W'!A$3:A$79)*(B207='TUM-W'!G$3:G$79),0)),"")</f>
        <v/>
      </c>
    </row>
    <row r="208" spans="1:4" hidden="1" x14ac:dyDescent="0.2">
      <c r="A208" s="63" t="str">
        <f t="shared" si="7"/>
        <v/>
      </c>
      <c r="B208" s="63" t="s">
        <v>17</v>
      </c>
      <c r="C208" s="63">
        <v>7</v>
      </c>
      <c r="D208" s="44" t="str" cm="1">
        <f t="array" ref="D208">_xlfn.IFNA(INDEX('TUM-W'!C$3:C$79,MATCH(1,(C208='TUM-W'!A$3:A$79)*(B208='TUM-W'!G$3:G$79),0)),"")</f>
        <v/>
      </c>
    </row>
    <row r="209" spans="1:4" hidden="1" x14ac:dyDescent="0.2">
      <c r="A209" s="63" t="str">
        <f t="shared" si="7"/>
        <v/>
      </c>
      <c r="B209" s="63" t="s">
        <v>17</v>
      </c>
      <c r="C209" s="63">
        <v>8</v>
      </c>
      <c r="D209" s="44" t="str" cm="1">
        <f t="array" ref="D209">_xlfn.IFNA(INDEX('TUM-W'!C$3:C$79,MATCH(1,(C209='TUM-W'!A$3:A$79)*(B209='TUM-W'!G$3:G$79),0)),"")</f>
        <v/>
      </c>
    </row>
    <row r="210" spans="1:4" x14ac:dyDescent="0.2">
      <c r="A210" s="63" t="str">
        <f t="shared" si="7"/>
        <v>TUM-W</v>
      </c>
      <c r="B210" s="63" t="s">
        <v>19</v>
      </c>
      <c r="C210" s="63">
        <v>1</v>
      </c>
      <c r="D210" s="44" t="str" cm="1">
        <f t="array" ref="D210">_xlfn.IFNA(INDEX('TUM-W'!C$3:C$79,MATCH(1,(C210='TUM-W'!A$3:A$79)*(B210='TUM-W'!G$3:G$79),0)),"")</f>
        <v>JACKSON, Claire</v>
      </c>
    </row>
    <row r="211" spans="1:4" hidden="1" x14ac:dyDescent="0.2">
      <c r="A211" s="63" t="str">
        <f t="shared" si="7"/>
        <v/>
      </c>
      <c r="B211" s="63" t="s">
        <v>19</v>
      </c>
      <c r="C211" s="63">
        <v>2</v>
      </c>
      <c r="D211" s="44" t="str" cm="1">
        <f t="array" ref="D211">_xlfn.IFNA(INDEX('TUM-W'!C$3:C$79,MATCH(1,(C211='TUM-W'!A$3:A$79)*(B211='TUM-W'!G$3:G$79),0)),"")</f>
        <v/>
      </c>
    </row>
    <row r="212" spans="1:4" hidden="1" x14ac:dyDescent="0.2">
      <c r="A212" s="63" t="str">
        <f t="shared" si="7"/>
        <v/>
      </c>
      <c r="B212" s="63" t="s">
        <v>19</v>
      </c>
      <c r="C212" s="63">
        <v>3</v>
      </c>
      <c r="D212" s="44" t="str" cm="1">
        <f t="array" ref="D212">_xlfn.IFNA(INDEX('TUM-W'!C$3:C$79,MATCH(1,(C212='TUM-W'!A$3:A$79)*(B212='TUM-W'!G$3:G$79),0)),"")</f>
        <v/>
      </c>
    </row>
    <row r="213" spans="1:4" hidden="1" x14ac:dyDescent="0.2">
      <c r="A213" s="63" t="str">
        <f t="shared" si="7"/>
        <v/>
      </c>
      <c r="B213" s="63" t="s">
        <v>19</v>
      </c>
      <c r="C213" s="63">
        <v>4</v>
      </c>
      <c r="D213" s="44" t="str" cm="1">
        <f t="array" ref="D213">_xlfn.IFNA(INDEX('TUM-W'!C$3:C$79,MATCH(1,(C213='TUM-W'!A$3:A$79)*(B213='TUM-W'!G$3:G$79),0)),"")</f>
        <v/>
      </c>
    </row>
    <row r="214" spans="1:4" hidden="1" x14ac:dyDescent="0.2">
      <c r="A214" s="63" t="str">
        <f t="shared" si="7"/>
        <v/>
      </c>
      <c r="B214" s="63" t="s">
        <v>19</v>
      </c>
      <c r="C214" s="63">
        <v>5</v>
      </c>
      <c r="D214" s="44" t="str" cm="1">
        <f t="array" ref="D214">_xlfn.IFNA(INDEX('TUM-W'!C$3:C$79,MATCH(1,(C214='TUM-W'!A$3:A$79)*(B214='TUM-W'!G$3:G$79),0)),"")</f>
        <v/>
      </c>
    </row>
    <row r="215" spans="1:4" hidden="1" x14ac:dyDescent="0.2">
      <c r="A215" s="63" t="str">
        <f t="shared" si="7"/>
        <v/>
      </c>
      <c r="B215" s="63" t="s">
        <v>19</v>
      </c>
      <c r="C215" s="63">
        <v>6</v>
      </c>
      <c r="D215" s="44" t="str" cm="1">
        <f t="array" ref="D215">_xlfn.IFNA(INDEX('TUM-W'!C$3:C$79,MATCH(1,(C215='TUM-W'!A$3:A$79)*(B215='TUM-W'!G$3:G$79),0)),"")</f>
        <v/>
      </c>
    </row>
    <row r="216" spans="1:4" hidden="1" x14ac:dyDescent="0.2">
      <c r="A216" s="63" t="str">
        <f t="shared" si="7"/>
        <v/>
      </c>
      <c r="B216" s="63" t="s">
        <v>19</v>
      </c>
      <c r="C216" s="63">
        <v>7</v>
      </c>
      <c r="D216" s="44" t="str" cm="1">
        <f t="array" ref="D216">_xlfn.IFNA(INDEX('TUM-W'!C$3:C$79,MATCH(1,(C216='TUM-W'!A$3:A$79)*(B216='TUM-W'!G$3:G$79),0)),"")</f>
        <v/>
      </c>
    </row>
    <row r="217" spans="1:4" hidden="1" x14ac:dyDescent="0.2">
      <c r="A217" s="63" t="str">
        <f t="shared" si="7"/>
        <v/>
      </c>
      <c r="B217" s="63" t="s">
        <v>19</v>
      </c>
      <c r="C217" s="63">
        <v>8</v>
      </c>
      <c r="D217" s="44" t="str" cm="1">
        <f t="array" ref="D217">_xlfn.IFNA(INDEX('TUM-W'!C$3:C$79,MATCH(1,(C217='TUM-W'!A$3:A$79)*(B217='TUM-W'!G$3:G$79),0)),"")</f>
        <v/>
      </c>
    </row>
    <row r="218" spans="1:4" x14ac:dyDescent="0.2">
      <c r="A218" s="63" t="str">
        <f t="shared" si="7"/>
        <v>TUM-W</v>
      </c>
      <c r="B218" s="63" t="s">
        <v>20</v>
      </c>
      <c r="C218" s="63">
        <v>1</v>
      </c>
      <c r="D218" s="44" t="str" cm="1">
        <f t="array" ref="D218">_xlfn.IFNA(INDEX('TUM-W'!C$3:C$79,MATCH(1,(C218='TUM-W'!A$3:A$79)*(B218='TUM-W'!G$3:G$79),0)),"")</f>
        <v>THOMPSON, Abby</v>
      </c>
    </row>
    <row r="219" spans="1:4" x14ac:dyDescent="0.2">
      <c r="A219" s="63" t="str">
        <f t="shared" si="7"/>
        <v>TUM-W</v>
      </c>
      <c r="B219" s="63" t="s">
        <v>20</v>
      </c>
      <c r="C219" s="63">
        <v>2</v>
      </c>
      <c r="D219" s="44" t="str" cm="1">
        <f t="array" ref="D219">_xlfn.IFNA(INDEX('TUM-W'!C$3:C$79,MATCH(1,(C219='TUM-W'!A$3:A$79)*(B219='TUM-W'!G$3:G$79),0)),"")</f>
        <v>SCHOLES, Hannah</v>
      </c>
    </row>
    <row r="220" spans="1:4" x14ac:dyDescent="0.2">
      <c r="A220" s="63" t="str">
        <f t="shared" si="7"/>
        <v>TUM-W</v>
      </c>
      <c r="B220" s="63" t="s">
        <v>20</v>
      </c>
      <c r="C220" s="63">
        <v>3</v>
      </c>
      <c r="D220" s="44" t="str" cm="1">
        <f t="array" ref="D220">_xlfn.IFNA(INDEX('TUM-W'!C$3:C$79,MATCH(1,(C220='TUM-W'!A$3:A$79)*(B220='TUM-W'!G$3:G$79),0)),"")</f>
        <v>IBACH, Sam</v>
      </c>
    </row>
    <row r="221" spans="1:4" x14ac:dyDescent="0.2">
      <c r="A221" s="63" t="str">
        <f t="shared" si="7"/>
        <v>TUM-W</v>
      </c>
      <c r="B221" s="63" t="s">
        <v>20</v>
      </c>
      <c r="C221" s="63">
        <v>4</v>
      </c>
      <c r="D221" s="44" t="str" cm="1">
        <f t="array" ref="D221">_xlfn.IFNA(INDEX('TUM-W'!C$3:C$79,MATCH(1,(C221='TUM-W'!A$3:A$79)*(B221='TUM-W'!G$3:G$79),0)),"")</f>
        <v>DALGETTY, Mckayla</v>
      </c>
    </row>
    <row r="222" spans="1:4" hidden="1" x14ac:dyDescent="0.2">
      <c r="A222" s="63" t="str">
        <f t="shared" si="7"/>
        <v/>
      </c>
      <c r="B222" s="63" t="s">
        <v>20</v>
      </c>
      <c r="C222" s="63">
        <v>5</v>
      </c>
      <c r="D222" s="44" t="str" cm="1">
        <f t="array" ref="D222">_xlfn.IFNA(INDEX('TUM-W'!C$3:C$79,MATCH(1,(C222='TUM-W'!A$3:A$79)*(B222='TUM-W'!G$3:G$79),0)),"")</f>
        <v/>
      </c>
    </row>
    <row r="223" spans="1:4" hidden="1" x14ac:dyDescent="0.2">
      <c r="A223" s="63" t="str">
        <f t="shared" si="7"/>
        <v/>
      </c>
      <c r="B223" s="63" t="s">
        <v>20</v>
      </c>
      <c r="C223" s="63">
        <v>6</v>
      </c>
      <c r="D223" s="44" t="str" cm="1">
        <f t="array" ref="D223">_xlfn.IFNA(INDEX('TUM-W'!C$3:C$79,MATCH(1,(C223='TUM-W'!A$3:A$79)*(B223='TUM-W'!G$3:G$79),0)),"")</f>
        <v/>
      </c>
    </row>
    <row r="224" spans="1:4" hidden="1" x14ac:dyDescent="0.2">
      <c r="A224" s="63" t="str">
        <f t="shared" si="7"/>
        <v/>
      </c>
      <c r="B224" s="63" t="s">
        <v>20</v>
      </c>
      <c r="C224" s="63">
        <v>7</v>
      </c>
      <c r="D224" s="44" t="str" cm="1">
        <f t="array" ref="D224">_xlfn.IFNA(INDEX('TUM-W'!C$3:C$79,MATCH(1,(C224='TUM-W'!A$3:A$79)*(B224='TUM-W'!G$3:G$79),0)),"")</f>
        <v/>
      </c>
    </row>
    <row r="225" spans="1:6" hidden="1" x14ac:dyDescent="0.2">
      <c r="A225" s="63" t="str">
        <f t="shared" si="7"/>
        <v/>
      </c>
      <c r="B225" s="63" t="s">
        <v>20</v>
      </c>
      <c r="C225" s="63">
        <v>8</v>
      </c>
      <c r="D225" s="44" t="str" cm="1">
        <f t="array" ref="D225">_xlfn.IFNA(INDEX('TUM-W'!C$3:C$79,MATCH(1,(C225='TUM-W'!A$3:A$79)*(B225='TUM-W'!G$3:G$79),0)),"")</f>
        <v/>
      </c>
    </row>
    <row r="227" spans="1:6" x14ac:dyDescent="0.2">
      <c r="B227" s="72" t="s">
        <v>32</v>
      </c>
      <c r="C227" s="72"/>
      <c r="D227" s="72"/>
    </row>
    <row r="228" spans="1:6" x14ac:dyDescent="0.2">
      <c r="B228" s="72" t="s">
        <v>371</v>
      </c>
      <c r="C228" s="72"/>
      <c r="D228" s="72"/>
    </row>
    <row r="229" spans="1:6" x14ac:dyDescent="0.2">
      <c r="B229" s="70" t="s">
        <v>35</v>
      </c>
      <c r="C229" s="70"/>
      <c r="D229" s="70"/>
      <c r="E229" s="1" t="s">
        <v>34</v>
      </c>
    </row>
    <row r="230" spans="1:6" x14ac:dyDescent="0.2">
      <c r="B230" s="70" t="s">
        <v>36</v>
      </c>
      <c r="C230" s="70"/>
      <c r="D230" s="70"/>
      <c r="E230" s="1" t="s">
        <v>34</v>
      </c>
      <c r="F230" t="s">
        <v>34</v>
      </c>
    </row>
    <row r="231" spans="1:6" x14ac:dyDescent="0.2">
      <c r="A231" s="64" t="s">
        <v>40</v>
      </c>
      <c r="B231" s="69">
        <v>44766</v>
      </c>
      <c r="C231" s="69"/>
      <c r="D231" s="69"/>
    </row>
    <row r="232" spans="1:6" x14ac:dyDescent="0.2">
      <c r="A232" s="64"/>
      <c r="B232" s="71" t="s">
        <v>568</v>
      </c>
      <c r="C232" s="71"/>
      <c r="D232" s="71"/>
    </row>
    <row r="233" spans="1:6" x14ac:dyDescent="0.2">
      <c r="B233" s="61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38" priority="5">
      <formula>IF($B2="17-21",1,0)</formula>
    </cfRule>
    <cfRule type="expression" dxfId="37" priority="6">
      <formula>IF($B2="15-16",1,0)</formula>
    </cfRule>
    <cfRule type="expression" dxfId="36" priority="7">
      <formula>IF($B2="13-14",1,0)</formula>
    </cfRule>
    <cfRule type="expression" dxfId="35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2022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43.4</v>
      </c>
      <c r="G4" s="21">
        <v>43</v>
      </c>
      <c r="H4" s="21">
        <v>39.299999999999997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44.7</v>
      </c>
      <c r="G5" s="25">
        <v>43.5</v>
      </c>
      <c r="H5" s="25">
        <v>41</v>
      </c>
      <c r="I5" s="25">
        <v>40.6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46</v>
      </c>
      <c r="G6" s="29">
        <v>44.5</v>
      </c>
      <c r="H6" s="29">
        <v>42.6</v>
      </c>
      <c r="I6" s="29">
        <v>41.2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47.6</v>
      </c>
      <c r="G7" s="16">
        <v>45.1</v>
      </c>
      <c r="H7" s="16">
        <v>44.1</v>
      </c>
      <c r="I7" s="16">
        <v>41.6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0"/>
  <sheetViews>
    <sheetView workbookViewId="0"/>
  </sheetViews>
  <sheetFormatPr baseColWidth="10" defaultRowHeight="16" x14ac:dyDescent="0.2"/>
  <cols>
    <col min="1" max="1" width="18" style="60" bestFit="1" customWidth="1"/>
    <col min="2" max="3" width="10.83203125" style="60"/>
    <col min="4" max="4" width="14.5" style="60" bestFit="1" customWidth="1"/>
    <col min="5" max="5" width="10.83203125" style="60"/>
    <col min="6" max="6" width="15.1640625" style="60" bestFit="1" customWidth="1"/>
    <col min="7" max="7" width="10.83203125" style="60"/>
    <col min="8" max="8" width="15.1640625" style="60" bestFit="1" customWidth="1"/>
  </cols>
  <sheetData>
    <row r="1" spans="1:19" ht="17" thickBot="1" x14ac:dyDescent="0.25">
      <c r="A1" s="47" t="s">
        <v>2</v>
      </c>
      <c r="B1" s="47" t="s">
        <v>1</v>
      </c>
      <c r="C1" s="59" t="s">
        <v>362</v>
      </c>
      <c r="D1" s="47" t="s">
        <v>368</v>
      </c>
      <c r="E1" s="59" t="s">
        <v>363</v>
      </c>
      <c r="F1" s="47" t="s">
        <v>369</v>
      </c>
      <c r="G1" s="59" t="s">
        <v>364</v>
      </c>
      <c r="H1" s="47" t="s">
        <v>370</v>
      </c>
    </row>
    <row r="2" spans="1:19" ht="17" thickTop="1" x14ac:dyDescent="0.2">
      <c r="A2" s="67" t="s">
        <v>579</v>
      </c>
      <c r="B2" s="51" t="s">
        <v>355</v>
      </c>
      <c r="C2" s="50">
        <f>SUMIF('TRA-M'!E:E,A2,'TRA-M'!Q:Q)+SUMIF('TRA-W'!E:E,A2,'TRA-W'!Q:Q)+SUMIF('SYN-M'!E:E,A2,'SYN-M'!R:R)/2+SUMIF('SYN-W'!E:E,A2,'SYN-W'!R:R)/2+SUMIF('SYN-M'!F:F,A2,'SYN-M'!R:R)/2+SUMIF('SYN-W'!F:F,A2,'SYN-W'!R:R)/2</f>
        <v>0</v>
      </c>
      <c r="D2" s="52" t="str">
        <f>IF(C2&gt;0,RANK(C2,C$2:C$60),"")</f>
        <v/>
      </c>
      <c r="E2" s="50">
        <f>SUMIF('DMT-M'!E:E,A2,'DMT-M'!Q:Q)+SUMIF('DMT-W'!E:E,A2,'DMT-W'!Q:Q)</f>
        <v>0</v>
      </c>
      <c r="F2" s="52" t="str">
        <f>IF(E2&gt;0,RANK(E2,E$2:E$60),"")</f>
        <v/>
      </c>
      <c r="G2" s="50">
        <f>SUMIF('TUM-M'!E:E,A2,'TUM-M'!Q:Q)+SUMIF('TUM-W'!E:E,A2,'TUM-W'!Q:Q)</f>
        <v>0</v>
      </c>
      <c r="H2" s="52" t="str">
        <f>IF(G2&gt;0,RANK(G2,G$2:G$60),"")</f>
        <v/>
      </c>
    </row>
    <row r="3" spans="1:19" x14ac:dyDescent="0.2">
      <c r="A3" s="68" t="s">
        <v>141</v>
      </c>
      <c r="B3" s="54" t="s">
        <v>352</v>
      </c>
      <c r="C3" s="53">
        <f>SUMIF('TRA-M'!E:E,A3,'TRA-M'!Q:Q)+SUMIF('TRA-W'!E:E,A3,'TRA-W'!Q:Q)+SUMIF('SYN-M'!E:E,A3,'SYN-M'!R:R)/2+SUMIF('SYN-W'!E:E,A3,'SYN-W'!R:R)/2+SUMIF('SYN-M'!F:F,A3,'SYN-M'!R:R)/2+SUMIF('SYN-W'!F:F,A3,'SYN-W'!R:R)/2</f>
        <v>0</v>
      </c>
      <c r="D3" s="55" t="str">
        <f t="shared" ref="D3:D60" si="0">IF(C3&gt;0,RANK(C3,C$2:C$60),"")</f>
        <v/>
      </c>
      <c r="E3" s="53">
        <f>SUMIF('DMT-M'!E:E,A3,'DMT-M'!Q:Q)+SUMIF('DMT-W'!E:E,A3,'DMT-W'!Q:Q)</f>
        <v>3</v>
      </c>
      <c r="F3" s="55">
        <f t="shared" ref="F3:F60" si="1">IF(E3&gt;0,RANK(E3,E$2:E$60),"")</f>
        <v>6</v>
      </c>
      <c r="G3" s="53">
        <f>SUMIF('TUM-M'!E:E,A3,'TUM-M'!Q:Q)+SUMIF('TUM-W'!E:E,A3,'TUM-W'!Q:Q)</f>
        <v>0</v>
      </c>
      <c r="H3" s="55" t="str">
        <f t="shared" ref="H3:H60" si="2">IF(G3&gt;0,RANK(G3,G$2:G$60),"")</f>
        <v/>
      </c>
    </row>
    <row r="4" spans="1:19" x14ac:dyDescent="0.2">
      <c r="A4" s="68" t="s">
        <v>575</v>
      </c>
      <c r="B4" s="54" t="s">
        <v>352</v>
      </c>
      <c r="C4" s="53">
        <f>SUMIF('TRA-M'!E:E,A4,'TRA-M'!Q:Q)+SUMIF('TRA-W'!E:E,A4,'TRA-W'!Q:Q)+SUMIF('SYN-M'!E:E,A4,'SYN-M'!R:R)/2+SUMIF('SYN-W'!E:E,A4,'SYN-W'!R:R)/2+SUMIF('SYN-M'!F:F,A4,'SYN-M'!R:R)/2+SUMIF('SYN-W'!F:F,A4,'SYN-W'!R:R)/2</f>
        <v>0</v>
      </c>
      <c r="D4" s="55" t="str">
        <f t="shared" si="0"/>
        <v/>
      </c>
      <c r="E4" s="53">
        <f>SUMIF('DMT-M'!E:E,A4,'DMT-M'!Q:Q)+SUMIF('DMT-W'!E:E,A4,'DMT-W'!Q:Q)</f>
        <v>0</v>
      </c>
      <c r="F4" s="55" t="str">
        <f t="shared" si="1"/>
        <v/>
      </c>
      <c r="G4" s="53">
        <f>SUMIF('TUM-M'!E:E,A4,'TUM-M'!Q:Q)+SUMIF('TUM-W'!E:E,A4,'TUM-W'!Q:Q)</f>
        <v>0</v>
      </c>
      <c r="H4" s="55" t="str">
        <f t="shared" si="2"/>
        <v/>
      </c>
    </row>
    <row r="5" spans="1:19" x14ac:dyDescent="0.2">
      <c r="A5" s="68" t="s">
        <v>590</v>
      </c>
      <c r="B5" s="54" t="s">
        <v>354</v>
      </c>
      <c r="C5" s="53">
        <f>SUMIF('TRA-M'!E:E,A5,'TRA-M'!Q:Q)+SUMIF('TRA-W'!E:E,A5,'TRA-W'!Q:Q)+SUMIF('SYN-M'!E:E,A5,'SYN-M'!R:R)/2+SUMIF('SYN-W'!E:E,A5,'SYN-W'!R:R)/2+SUMIF('SYN-M'!F:F,A5,'SYN-M'!R:R)/2+SUMIF('SYN-W'!F:F,A5,'SYN-W'!R:R)/2</f>
        <v>0</v>
      </c>
      <c r="D5" s="55" t="str">
        <f t="shared" si="0"/>
        <v/>
      </c>
      <c r="E5" s="53">
        <f>SUMIF('DMT-M'!E:E,A5,'DMT-M'!Q:Q)+SUMIF('DMT-W'!E:E,A5,'DMT-W'!Q:Q)</f>
        <v>0</v>
      </c>
      <c r="F5" s="55" t="str">
        <f t="shared" si="1"/>
        <v/>
      </c>
      <c r="G5" s="53">
        <f>SUMIF('TUM-M'!E:E,A5,'TUM-M'!Q:Q)+SUMIF('TUM-W'!E:E,A5,'TUM-W'!Q:Q)</f>
        <v>0</v>
      </c>
      <c r="H5" s="55" t="str">
        <f t="shared" si="2"/>
        <v/>
      </c>
    </row>
    <row r="6" spans="1:19" x14ac:dyDescent="0.2">
      <c r="A6" s="68" t="s">
        <v>89</v>
      </c>
      <c r="B6" s="54" t="s">
        <v>354</v>
      </c>
      <c r="C6" s="53">
        <f>SUMIF('TRA-M'!E:E,A6,'TRA-M'!Q:Q)+SUMIF('TRA-W'!E:E,A6,'TRA-W'!Q:Q)+SUMIF('SYN-M'!E:E,A6,'SYN-M'!R:R)/2+SUMIF('SYN-W'!E:E,A6,'SYN-W'!R:R)/2+SUMIF('SYN-M'!F:F,A6,'SYN-M'!R:R)/2+SUMIF('SYN-W'!F:F,A6,'SYN-W'!R:R)/2</f>
        <v>0</v>
      </c>
      <c r="D6" s="55" t="str">
        <f t="shared" si="0"/>
        <v/>
      </c>
      <c r="E6" s="53">
        <f>SUMIF('DMT-M'!E:E,A6,'DMT-M'!Q:Q)+SUMIF('DMT-W'!E:E,A6,'DMT-W'!Q:Q)</f>
        <v>0</v>
      </c>
      <c r="F6" s="55" t="str">
        <f t="shared" si="1"/>
        <v/>
      </c>
      <c r="G6" s="53">
        <f>SUMIF('TUM-M'!E:E,A6,'TUM-M'!Q:Q)+SUMIF('TUM-W'!E:E,A6,'TUM-W'!Q:Q)</f>
        <v>3</v>
      </c>
      <c r="H6" s="55">
        <f t="shared" si="2"/>
        <v>4</v>
      </c>
    </row>
    <row r="7" spans="1:19" x14ac:dyDescent="0.2">
      <c r="A7" s="68" t="s">
        <v>578</v>
      </c>
      <c r="B7" s="54" t="s">
        <v>352</v>
      </c>
      <c r="C7" s="53">
        <f>SUMIF('TRA-M'!E:E,A7,'TRA-M'!Q:Q)+SUMIF('TRA-W'!E:E,A7,'TRA-W'!Q:Q)+SUMIF('SYN-M'!E:E,A7,'SYN-M'!R:R)/2+SUMIF('SYN-W'!E:E,A7,'SYN-W'!R:R)/2+SUMIF('SYN-M'!F:F,A7,'SYN-M'!R:R)/2+SUMIF('SYN-W'!F:F,A7,'SYN-W'!R:R)/2</f>
        <v>0</v>
      </c>
      <c r="D7" s="55" t="str">
        <f t="shared" si="0"/>
        <v/>
      </c>
      <c r="E7" s="53">
        <f>SUMIF('DMT-M'!E:E,A7,'DMT-M'!Q:Q)+SUMIF('DMT-W'!E:E,A7,'DMT-W'!Q:Q)</f>
        <v>0</v>
      </c>
      <c r="F7" s="55" t="str">
        <f t="shared" si="1"/>
        <v/>
      </c>
      <c r="G7" s="53">
        <f>SUMIF('TUM-M'!E:E,A7,'TUM-M'!Q:Q)+SUMIF('TUM-W'!E:E,A7,'TUM-W'!Q:Q)</f>
        <v>0</v>
      </c>
      <c r="H7" s="55" t="str">
        <f t="shared" si="2"/>
        <v/>
      </c>
    </row>
    <row r="8" spans="1:19" x14ac:dyDescent="0.2">
      <c r="A8" s="68" t="s">
        <v>580</v>
      </c>
      <c r="B8" s="54" t="s">
        <v>352</v>
      </c>
      <c r="C8" s="53">
        <f>SUMIF('TRA-M'!E:E,A8,'TRA-M'!Q:Q)+SUMIF('TRA-W'!E:E,A8,'TRA-W'!Q:Q)+SUMIF('SYN-M'!E:E,A8,'SYN-M'!R:R)/2+SUMIF('SYN-W'!E:E,A8,'SYN-W'!R:R)/2+SUMIF('SYN-M'!F:F,A8,'SYN-M'!R:R)/2+SUMIF('SYN-W'!F:F,A8,'SYN-W'!R:R)/2</f>
        <v>0</v>
      </c>
      <c r="D8" s="55" t="str">
        <f t="shared" si="0"/>
        <v/>
      </c>
      <c r="E8" s="53">
        <f>SUMIF('DMT-M'!E:E,A8,'DMT-M'!Q:Q)+SUMIF('DMT-W'!E:E,A8,'DMT-W'!Q:Q)</f>
        <v>0</v>
      </c>
      <c r="F8" s="55" t="str">
        <f t="shared" si="1"/>
        <v/>
      </c>
      <c r="G8" s="53">
        <f>SUMIF('TUM-M'!E:E,A8,'TUM-M'!Q:Q)+SUMIF('TUM-W'!E:E,A8,'TUM-W'!Q:Q)</f>
        <v>0</v>
      </c>
      <c r="H8" s="55" t="str">
        <f t="shared" si="2"/>
        <v/>
      </c>
    </row>
    <row r="9" spans="1:19" x14ac:dyDescent="0.2">
      <c r="A9" s="68" t="s">
        <v>42</v>
      </c>
      <c r="B9" s="54" t="s">
        <v>356</v>
      </c>
      <c r="C9" s="53">
        <f>SUMIF('TRA-M'!E:E,A9,'TRA-M'!Q:Q)+SUMIF('TRA-W'!E:E,A9,'TRA-W'!Q:Q)+SUMIF('SYN-M'!E:E,A9,'SYN-M'!R:R)/2+SUMIF('SYN-W'!E:E,A9,'SYN-W'!R:R)/2+SUMIF('SYN-M'!F:F,A9,'SYN-M'!R:R)/2+SUMIF('SYN-W'!F:F,A9,'SYN-W'!R:R)/2</f>
        <v>0</v>
      </c>
      <c r="D9" s="55" t="str">
        <f t="shared" si="0"/>
        <v/>
      </c>
      <c r="E9" s="53">
        <f>SUMIF('DMT-M'!E:E,A9,'DMT-M'!Q:Q)+SUMIF('DMT-W'!E:E,A9,'DMT-W'!Q:Q)</f>
        <v>7</v>
      </c>
      <c r="F9" s="55">
        <f t="shared" si="1"/>
        <v>1</v>
      </c>
      <c r="G9" s="53">
        <f>SUMIF('TUM-M'!E:E,A9,'TUM-M'!Q:Q)+SUMIF('TUM-W'!E:E,A9,'TUM-W'!Q:Q)</f>
        <v>0</v>
      </c>
      <c r="H9" s="55" t="str">
        <f t="shared" si="2"/>
        <v/>
      </c>
    </row>
    <row r="10" spans="1:19" x14ac:dyDescent="0.2">
      <c r="A10" s="68" t="s">
        <v>48</v>
      </c>
      <c r="B10" s="54" t="s">
        <v>352</v>
      </c>
      <c r="C10" s="53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5" t="str">
        <f t="shared" si="0"/>
        <v/>
      </c>
      <c r="E10" s="53">
        <f>SUMIF('DMT-M'!E:E,A10,'DMT-M'!Q:Q)+SUMIF('DMT-W'!E:E,A10,'DMT-W'!Q:Q)</f>
        <v>2</v>
      </c>
      <c r="F10" s="55">
        <f t="shared" si="1"/>
        <v>7</v>
      </c>
      <c r="G10" s="53">
        <f>SUMIF('TUM-M'!E:E,A10,'TUM-M'!Q:Q)+SUMIF('TUM-W'!E:E,A10,'TUM-W'!Q:Q)</f>
        <v>0</v>
      </c>
      <c r="H10" s="55" t="str">
        <f t="shared" si="2"/>
        <v/>
      </c>
    </row>
    <row r="11" spans="1:19" x14ac:dyDescent="0.2">
      <c r="A11" s="68" t="s">
        <v>205</v>
      </c>
      <c r="B11" s="54" t="s">
        <v>360</v>
      </c>
      <c r="C11" s="53">
        <f>SUMIF('TRA-M'!E:E,A11,'TRA-M'!Q:Q)+SUMIF('TRA-W'!E:E,A11,'TRA-W'!Q:Q)+SUMIF('SYN-M'!E:E,A11,'SYN-M'!R:R)/2+SUMIF('SYN-W'!E:E,A11,'SYN-W'!R:R)/2+SUMIF('SYN-M'!F:F,A11,'SYN-M'!R:R)/2+SUMIF('SYN-W'!F:F,A11,'SYN-W'!R:R)/2</f>
        <v>4</v>
      </c>
      <c r="D11" s="55">
        <f t="shared" si="0"/>
        <v>3</v>
      </c>
      <c r="E11" s="53">
        <f>SUMIF('DMT-M'!E:E,A11,'DMT-M'!Q:Q)+SUMIF('DMT-W'!E:E,A11,'DMT-W'!Q:Q)</f>
        <v>0</v>
      </c>
      <c r="F11" s="55" t="str">
        <f t="shared" si="1"/>
        <v/>
      </c>
      <c r="G11" s="53">
        <f>SUMIF('TUM-M'!E:E,A11,'TUM-M'!Q:Q)+SUMIF('TUM-W'!E:E,A11,'TUM-W'!Q:Q)</f>
        <v>0</v>
      </c>
      <c r="H11" s="55" t="str">
        <f t="shared" si="2"/>
        <v/>
      </c>
    </row>
    <row r="12" spans="1:19" x14ac:dyDescent="0.2">
      <c r="A12" s="68" t="s">
        <v>70</v>
      </c>
      <c r="B12" s="54" t="s">
        <v>353</v>
      </c>
      <c r="C12" s="53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5" t="str">
        <f t="shared" si="0"/>
        <v/>
      </c>
      <c r="E12" s="53">
        <f>SUMIF('DMT-M'!E:E,A12,'DMT-M'!Q:Q)+SUMIF('DMT-W'!E:E,A12,'DMT-W'!Q:Q)</f>
        <v>0</v>
      </c>
      <c r="F12" s="55" t="str">
        <f t="shared" si="1"/>
        <v/>
      </c>
      <c r="G12" s="53">
        <f>SUMIF('TUM-M'!E:E,A12,'TUM-M'!Q:Q)+SUMIF('TUM-W'!E:E,A12,'TUM-W'!Q:Q)</f>
        <v>0</v>
      </c>
      <c r="H12" s="55" t="str">
        <f t="shared" si="2"/>
        <v/>
      </c>
    </row>
    <row r="13" spans="1:19" x14ac:dyDescent="0.2">
      <c r="A13" s="68" t="s">
        <v>29</v>
      </c>
      <c r="B13" s="54" t="s">
        <v>354</v>
      </c>
      <c r="C13" s="53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5" t="str">
        <f t="shared" si="0"/>
        <v/>
      </c>
      <c r="E13" s="53">
        <f>SUMIF('DMT-M'!E:E,A13,'DMT-M'!Q:Q)+SUMIF('DMT-W'!E:E,A13,'DMT-W'!Q:Q)</f>
        <v>6</v>
      </c>
      <c r="F13" s="55">
        <f t="shared" si="1"/>
        <v>4</v>
      </c>
      <c r="G13" s="53">
        <f>SUMIF('TUM-M'!E:E,A13,'TUM-M'!Q:Q)+SUMIF('TUM-W'!E:E,A13,'TUM-W'!Q:Q)</f>
        <v>5</v>
      </c>
      <c r="H13" s="55">
        <f t="shared" si="2"/>
        <v>1</v>
      </c>
      <c r="N13" s="1"/>
      <c r="O13" s="1"/>
      <c r="P13" s="1"/>
      <c r="Q13" s="1"/>
      <c r="R13" s="1"/>
      <c r="S13" s="1"/>
    </row>
    <row r="14" spans="1:19" x14ac:dyDescent="0.2">
      <c r="A14" s="68" t="s">
        <v>3</v>
      </c>
      <c r="B14" s="54" t="s">
        <v>355</v>
      </c>
      <c r="C14" s="53">
        <f>SUMIF('TRA-M'!E:E,A14,'TRA-M'!Q:Q)+SUMIF('TRA-W'!E:E,A14,'TRA-W'!Q:Q)+SUMIF('SYN-M'!E:E,A14,'SYN-M'!R:R)/2+SUMIF('SYN-W'!E:E,A14,'SYN-W'!R:R)/2+SUMIF('SYN-M'!F:F,A14,'SYN-M'!R:R)/2+SUMIF('SYN-W'!F:F,A14,'SYN-W'!R:R)/2</f>
        <v>4</v>
      </c>
      <c r="D14" s="55">
        <f t="shared" si="0"/>
        <v>3</v>
      </c>
      <c r="E14" s="53">
        <f>SUMIF('DMT-M'!E:E,A14,'DMT-M'!Q:Q)+SUMIF('DMT-W'!E:E,A14,'DMT-W'!Q:Q)</f>
        <v>0</v>
      </c>
      <c r="F14" s="55" t="str">
        <f t="shared" si="1"/>
        <v/>
      </c>
      <c r="G14" s="53">
        <f>SUMIF('TUM-M'!E:E,A14,'TUM-M'!Q:Q)+SUMIF('TUM-W'!E:E,A14,'TUM-W'!Q:Q)</f>
        <v>0</v>
      </c>
      <c r="H14" s="55" t="str">
        <f t="shared" si="2"/>
        <v/>
      </c>
    </row>
    <row r="15" spans="1:19" x14ac:dyDescent="0.2">
      <c r="A15" s="68" t="s">
        <v>589</v>
      </c>
      <c r="B15" s="54" t="s">
        <v>355</v>
      </c>
      <c r="C15" s="53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5" t="str">
        <f t="shared" si="0"/>
        <v/>
      </c>
      <c r="E15" s="53">
        <f>SUMIF('DMT-M'!E:E,A15,'DMT-M'!Q:Q)+SUMIF('DMT-W'!E:E,A15,'DMT-W'!Q:Q)</f>
        <v>0</v>
      </c>
      <c r="F15" s="55" t="str">
        <f t="shared" si="1"/>
        <v/>
      </c>
      <c r="G15" s="53">
        <f>SUMIF('TUM-M'!E:E,A15,'TUM-M'!Q:Q)+SUMIF('TUM-W'!E:E,A15,'TUM-W'!Q:Q)</f>
        <v>0</v>
      </c>
      <c r="H15" s="55" t="str">
        <f t="shared" si="2"/>
        <v/>
      </c>
    </row>
    <row r="16" spans="1:19" x14ac:dyDescent="0.2">
      <c r="A16" s="68" t="s">
        <v>218</v>
      </c>
      <c r="B16" s="54" t="s">
        <v>352</v>
      </c>
      <c r="C16" s="53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5" t="str">
        <f t="shared" si="0"/>
        <v/>
      </c>
      <c r="E16" s="53">
        <f>SUMIF('DMT-M'!E:E,A16,'DMT-M'!Q:Q)+SUMIF('DMT-W'!E:E,A16,'DMT-W'!Q:Q)</f>
        <v>0</v>
      </c>
      <c r="F16" s="55" t="str">
        <f t="shared" si="1"/>
        <v/>
      </c>
      <c r="G16" s="53">
        <f>SUMIF('TUM-M'!E:E,A16,'TUM-M'!Q:Q)+SUMIF('TUM-W'!E:E,A16,'TUM-W'!Q:Q)</f>
        <v>0</v>
      </c>
      <c r="H16" s="55" t="str">
        <f t="shared" si="2"/>
        <v/>
      </c>
    </row>
    <row r="17" spans="1:8" x14ac:dyDescent="0.2">
      <c r="A17" s="68" t="s">
        <v>137</v>
      </c>
      <c r="B17" s="54" t="s">
        <v>354</v>
      </c>
      <c r="C17" s="53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5" t="str">
        <f t="shared" si="0"/>
        <v/>
      </c>
      <c r="E17" s="53">
        <f>SUMIF('DMT-M'!E:E,A17,'DMT-M'!Q:Q)+SUMIF('DMT-W'!E:E,A17,'DMT-W'!Q:Q)</f>
        <v>0</v>
      </c>
      <c r="F17" s="55" t="str">
        <f t="shared" si="1"/>
        <v/>
      </c>
      <c r="G17" s="53">
        <f>SUMIF('TUM-M'!E:E,A17,'TUM-M'!Q:Q)+SUMIF('TUM-W'!E:E,A17,'TUM-W'!Q:Q)</f>
        <v>0</v>
      </c>
      <c r="H17" s="55" t="str">
        <f t="shared" si="2"/>
        <v/>
      </c>
    </row>
    <row r="18" spans="1:8" x14ac:dyDescent="0.2">
      <c r="A18" s="68" t="s">
        <v>47</v>
      </c>
      <c r="B18" s="54" t="s">
        <v>356</v>
      </c>
      <c r="C18" s="53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5" t="str">
        <f t="shared" si="0"/>
        <v/>
      </c>
      <c r="E18" s="53">
        <f>SUMIF('DMT-M'!E:E,A18,'DMT-M'!Q:Q)+SUMIF('DMT-W'!E:E,A18,'DMT-W'!Q:Q)</f>
        <v>0</v>
      </c>
      <c r="F18" s="55" t="str">
        <f t="shared" si="1"/>
        <v/>
      </c>
      <c r="G18" s="53">
        <f>SUMIF('TUM-M'!E:E,A18,'TUM-M'!Q:Q)+SUMIF('TUM-W'!E:E,A18,'TUM-W'!Q:Q)</f>
        <v>0</v>
      </c>
      <c r="H18" s="55" t="str">
        <f t="shared" si="2"/>
        <v/>
      </c>
    </row>
    <row r="19" spans="1:8" x14ac:dyDescent="0.2">
      <c r="A19" s="68" t="s">
        <v>134</v>
      </c>
      <c r="B19" s="54" t="s">
        <v>354</v>
      </c>
      <c r="C19" s="53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5" t="str">
        <f t="shared" si="0"/>
        <v/>
      </c>
      <c r="E19" s="53">
        <f>SUMIF('DMT-M'!E:E,A19,'DMT-M'!Q:Q)+SUMIF('DMT-W'!E:E,A19,'DMT-W'!Q:Q)</f>
        <v>0</v>
      </c>
      <c r="F19" s="55" t="str">
        <f t="shared" si="1"/>
        <v/>
      </c>
      <c r="G19" s="53">
        <f>SUMIF('TUM-M'!E:E,A19,'TUM-M'!Q:Q)+SUMIF('TUM-W'!E:E,A19,'TUM-W'!Q:Q)</f>
        <v>0</v>
      </c>
      <c r="H19" s="55" t="str">
        <f t="shared" si="2"/>
        <v/>
      </c>
    </row>
    <row r="20" spans="1:8" x14ac:dyDescent="0.2">
      <c r="A20" s="68" t="s">
        <v>361</v>
      </c>
      <c r="B20" s="54" t="s">
        <v>355</v>
      </c>
      <c r="C20" s="53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5" t="str">
        <f t="shared" si="0"/>
        <v/>
      </c>
      <c r="E20" s="53">
        <f>SUMIF('DMT-M'!E:E,A20,'DMT-M'!Q:Q)+SUMIF('DMT-W'!E:E,A20,'DMT-W'!Q:Q)</f>
        <v>0</v>
      </c>
      <c r="F20" s="55" t="str">
        <f t="shared" si="1"/>
        <v/>
      </c>
      <c r="G20" s="53">
        <f>SUMIF('TUM-M'!E:E,A20,'TUM-M'!Q:Q)+SUMIF('TUM-W'!E:E,A20,'TUM-W'!Q:Q)</f>
        <v>0</v>
      </c>
      <c r="H20" s="55" t="str">
        <f t="shared" si="2"/>
        <v/>
      </c>
    </row>
    <row r="21" spans="1:8" x14ac:dyDescent="0.2">
      <c r="A21" s="68" t="s">
        <v>171</v>
      </c>
      <c r="B21" s="54" t="s">
        <v>355</v>
      </c>
      <c r="C21" s="53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5" t="str">
        <f t="shared" si="0"/>
        <v/>
      </c>
      <c r="E21" s="53">
        <f>SUMIF('DMT-M'!E:E,A21,'DMT-M'!Q:Q)+SUMIF('DMT-W'!E:E,A21,'DMT-W'!Q:Q)</f>
        <v>0</v>
      </c>
      <c r="F21" s="55" t="str">
        <f t="shared" si="1"/>
        <v/>
      </c>
      <c r="G21" s="53">
        <f>SUMIF('TUM-M'!E:E,A21,'TUM-M'!Q:Q)+SUMIF('TUM-W'!E:E,A21,'TUM-W'!Q:Q)</f>
        <v>0</v>
      </c>
      <c r="H21" s="55" t="str">
        <f t="shared" si="2"/>
        <v/>
      </c>
    </row>
    <row r="22" spans="1:8" x14ac:dyDescent="0.2">
      <c r="A22" s="68" t="s">
        <v>307</v>
      </c>
      <c r="B22" s="54" t="s">
        <v>355</v>
      </c>
      <c r="C22" s="53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5" t="str">
        <f t="shared" si="0"/>
        <v/>
      </c>
      <c r="E22" s="53">
        <f>SUMIF('DMT-M'!E:E,A22,'DMT-M'!Q:Q)+SUMIF('DMT-W'!E:E,A22,'DMT-W'!Q:Q)</f>
        <v>0</v>
      </c>
      <c r="F22" s="55" t="str">
        <f t="shared" si="1"/>
        <v/>
      </c>
      <c r="G22" s="53">
        <f>SUMIF('TUM-M'!E:E,A22,'TUM-M'!Q:Q)+SUMIF('TUM-W'!E:E,A22,'TUM-W'!Q:Q)</f>
        <v>0</v>
      </c>
      <c r="H22" s="55" t="str">
        <f t="shared" si="2"/>
        <v/>
      </c>
    </row>
    <row r="23" spans="1:8" x14ac:dyDescent="0.2">
      <c r="A23" s="68" t="s">
        <v>224</v>
      </c>
      <c r="B23" s="54" t="s">
        <v>352</v>
      </c>
      <c r="C23" s="53">
        <f>SUMIF('TRA-M'!E:E,A23,'TRA-M'!Q:Q)+SUMIF('TRA-W'!E:E,A23,'TRA-W'!Q:Q)+SUMIF('SYN-M'!E:E,A23,'SYN-M'!R:R)/2+SUMIF('SYN-W'!E:E,A23,'SYN-W'!R:R)/2+SUMIF('SYN-M'!F:F,A23,'SYN-M'!R:R)/2+SUMIF('SYN-W'!F:F,A23,'SYN-W'!R:R)/2</f>
        <v>1.5</v>
      </c>
      <c r="D23" s="55">
        <f t="shared" si="0"/>
        <v>7</v>
      </c>
      <c r="E23" s="53">
        <f>SUMIF('DMT-M'!E:E,A23,'DMT-M'!Q:Q)+SUMIF('DMT-W'!E:E,A23,'DMT-W'!Q:Q)</f>
        <v>0</v>
      </c>
      <c r="F23" s="55" t="str">
        <f t="shared" si="1"/>
        <v/>
      </c>
      <c r="G23" s="53">
        <f>SUMIF('TUM-M'!E:E,A23,'TUM-M'!Q:Q)+SUMIF('TUM-W'!E:E,A23,'TUM-W'!Q:Q)</f>
        <v>0</v>
      </c>
      <c r="H23" s="55" t="str">
        <f t="shared" si="2"/>
        <v/>
      </c>
    </row>
    <row r="24" spans="1:8" x14ac:dyDescent="0.2">
      <c r="A24" s="68" t="s">
        <v>572</v>
      </c>
      <c r="B24" s="54" t="s">
        <v>356</v>
      </c>
      <c r="C24" s="53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5" t="str">
        <f t="shared" si="0"/>
        <v/>
      </c>
      <c r="E24" s="53">
        <f>SUMIF('DMT-M'!E:E,A24,'DMT-M'!Q:Q)+SUMIF('DMT-W'!E:E,A24,'DMT-W'!Q:Q)</f>
        <v>0</v>
      </c>
      <c r="F24" s="55" t="str">
        <f t="shared" si="1"/>
        <v/>
      </c>
      <c r="G24" s="53">
        <f>SUMIF('TUM-M'!E:E,A24,'TUM-M'!Q:Q)+SUMIF('TUM-W'!E:E,A24,'TUM-W'!Q:Q)</f>
        <v>0</v>
      </c>
      <c r="H24" s="55" t="str">
        <f t="shared" si="2"/>
        <v/>
      </c>
    </row>
    <row r="25" spans="1:8" x14ac:dyDescent="0.2">
      <c r="A25" s="68" t="s">
        <v>80</v>
      </c>
      <c r="B25" s="54" t="s">
        <v>356</v>
      </c>
      <c r="C25" s="53">
        <f>SUMIF('TRA-M'!E:E,A25,'TRA-M'!Q:Q)+SUMIF('TRA-W'!E:E,A25,'TRA-W'!Q:Q)+SUMIF('SYN-M'!E:E,A25,'SYN-M'!R:R)/2+SUMIF('SYN-W'!E:E,A25,'SYN-W'!R:R)/2+SUMIF('SYN-M'!F:F,A25,'SYN-M'!R:R)/2+SUMIF('SYN-W'!F:F,A25,'SYN-W'!R:R)/2</f>
        <v>3</v>
      </c>
      <c r="D25" s="55">
        <f t="shared" si="0"/>
        <v>5</v>
      </c>
      <c r="E25" s="53">
        <f>SUMIF('DMT-M'!E:E,A25,'DMT-M'!Q:Q)+SUMIF('DMT-W'!E:E,A25,'DMT-W'!Q:Q)</f>
        <v>2</v>
      </c>
      <c r="F25" s="55">
        <f t="shared" si="1"/>
        <v>7</v>
      </c>
      <c r="G25" s="53">
        <f>SUMIF('TUM-M'!E:E,A25,'TUM-M'!Q:Q)+SUMIF('TUM-W'!E:E,A25,'TUM-W'!Q:Q)</f>
        <v>0</v>
      </c>
      <c r="H25" s="55" t="str">
        <f t="shared" si="2"/>
        <v/>
      </c>
    </row>
    <row r="26" spans="1:8" x14ac:dyDescent="0.2">
      <c r="A26" s="68" t="s">
        <v>199</v>
      </c>
      <c r="B26" s="54" t="s">
        <v>352</v>
      </c>
      <c r="C26" s="53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5" t="str">
        <f t="shared" si="0"/>
        <v/>
      </c>
      <c r="E26" s="53">
        <f>SUMIF('DMT-M'!E:E,A26,'DMT-M'!Q:Q)+SUMIF('DMT-W'!E:E,A26,'DMT-W'!Q:Q)</f>
        <v>0</v>
      </c>
      <c r="F26" s="55" t="str">
        <f t="shared" si="1"/>
        <v/>
      </c>
      <c r="G26" s="53">
        <f>SUMIF('TUM-M'!E:E,A26,'TUM-M'!Q:Q)+SUMIF('TUM-W'!E:E,A26,'TUM-W'!Q:Q)</f>
        <v>0</v>
      </c>
      <c r="H26" s="55" t="str">
        <f t="shared" si="2"/>
        <v/>
      </c>
    </row>
    <row r="27" spans="1:8" x14ac:dyDescent="0.2">
      <c r="A27" s="68" t="s">
        <v>49</v>
      </c>
      <c r="B27" s="54" t="s">
        <v>358</v>
      </c>
      <c r="C27" s="53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5" t="str">
        <f t="shared" si="0"/>
        <v/>
      </c>
      <c r="E27" s="53">
        <f>SUMIF('DMT-M'!E:E,A27,'DMT-M'!Q:Q)+SUMIF('DMT-W'!E:E,A27,'DMT-W'!Q:Q)</f>
        <v>1</v>
      </c>
      <c r="F27" s="55">
        <f t="shared" si="1"/>
        <v>10</v>
      </c>
      <c r="G27" s="53">
        <f>SUMIF('TUM-M'!E:E,A27,'TUM-M'!Q:Q)+SUMIF('TUM-W'!E:E,A27,'TUM-W'!Q:Q)</f>
        <v>0</v>
      </c>
      <c r="H27" s="55" t="str">
        <f t="shared" si="2"/>
        <v/>
      </c>
    </row>
    <row r="28" spans="1:8" x14ac:dyDescent="0.2">
      <c r="A28" s="68" t="s">
        <v>583</v>
      </c>
      <c r="B28" s="54" t="s">
        <v>352</v>
      </c>
      <c r="C28" s="53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5" t="str">
        <f t="shared" si="0"/>
        <v/>
      </c>
      <c r="E28" s="53">
        <f>SUMIF('DMT-M'!E:E,A28,'DMT-M'!Q:Q)+SUMIF('DMT-W'!E:E,A28,'DMT-W'!Q:Q)</f>
        <v>0</v>
      </c>
      <c r="F28" s="55" t="str">
        <f t="shared" si="1"/>
        <v/>
      </c>
      <c r="G28" s="53">
        <f>SUMIF('TUM-M'!E:E,A28,'TUM-M'!Q:Q)+SUMIF('TUM-W'!E:E,A28,'TUM-W'!Q:Q)</f>
        <v>0</v>
      </c>
      <c r="H28" s="55" t="str">
        <f t="shared" si="2"/>
        <v/>
      </c>
    </row>
    <row r="29" spans="1:8" x14ac:dyDescent="0.2">
      <c r="A29" s="68" t="s">
        <v>158</v>
      </c>
      <c r="B29" s="54" t="s">
        <v>352</v>
      </c>
      <c r="C29" s="53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5" t="str">
        <f t="shared" si="0"/>
        <v/>
      </c>
      <c r="E29" s="53">
        <f>SUMIF('DMT-M'!E:E,A29,'DMT-M'!Q:Q)+SUMIF('DMT-W'!E:E,A29,'DMT-W'!Q:Q)</f>
        <v>0</v>
      </c>
      <c r="F29" s="55" t="str">
        <f t="shared" si="1"/>
        <v/>
      </c>
      <c r="G29" s="53">
        <f>SUMIF('TUM-M'!E:E,A29,'TUM-M'!Q:Q)+SUMIF('TUM-W'!E:E,A29,'TUM-W'!Q:Q)</f>
        <v>0</v>
      </c>
      <c r="H29" s="55" t="str">
        <f t="shared" si="2"/>
        <v/>
      </c>
    </row>
    <row r="30" spans="1:8" x14ac:dyDescent="0.2">
      <c r="A30" s="68" t="s">
        <v>320</v>
      </c>
      <c r="B30" s="54" t="s">
        <v>352</v>
      </c>
      <c r="C30" s="53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5" t="str">
        <f t="shared" si="0"/>
        <v/>
      </c>
      <c r="E30" s="53">
        <f>SUMIF('DMT-M'!E:E,A30,'DMT-M'!Q:Q)+SUMIF('DMT-W'!E:E,A30,'DMT-W'!Q:Q)</f>
        <v>0</v>
      </c>
      <c r="F30" s="55" t="str">
        <f t="shared" si="1"/>
        <v/>
      </c>
      <c r="G30" s="53">
        <f>SUMIF('TUM-M'!E:E,A30,'TUM-M'!Q:Q)+SUMIF('TUM-W'!E:E,A30,'TUM-W'!Q:Q)</f>
        <v>3</v>
      </c>
      <c r="H30" s="55">
        <f t="shared" si="2"/>
        <v>4</v>
      </c>
    </row>
    <row r="31" spans="1:8" x14ac:dyDescent="0.2">
      <c r="A31" s="68" t="s">
        <v>84</v>
      </c>
      <c r="B31" s="54" t="s">
        <v>356</v>
      </c>
      <c r="C31" s="53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5" t="str">
        <f t="shared" si="0"/>
        <v/>
      </c>
      <c r="E31" s="53">
        <f>SUMIF('DMT-M'!E:E,A31,'DMT-M'!Q:Q)+SUMIF('DMT-W'!E:E,A31,'DMT-W'!Q:Q)</f>
        <v>0</v>
      </c>
      <c r="F31" s="55" t="str">
        <f t="shared" si="1"/>
        <v/>
      </c>
      <c r="G31" s="53">
        <f>SUMIF('TUM-M'!E:E,A31,'TUM-M'!Q:Q)+SUMIF('TUM-W'!E:E,A31,'TUM-W'!Q:Q)</f>
        <v>0</v>
      </c>
      <c r="H31" s="55" t="str">
        <f t="shared" si="2"/>
        <v/>
      </c>
    </row>
    <row r="32" spans="1:8" x14ac:dyDescent="0.2">
      <c r="A32" s="68" t="s">
        <v>61</v>
      </c>
      <c r="B32" s="54" t="s">
        <v>354</v>
      </c>
      <c r="C32" s="53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5" t="str">
        <f t="shared" si="0"/>
        <v/>
      </c>
      <c r="E32" s="53">
        <f>SUMIF('DMT-M'!E:E,A32,'DMT-M'!Q:Q)+SUMIF('DMT-W'!E:E,A32,'DMT-W'!Q:Q)</f>
        <v>2</v>
      </c>
      <c r="F32" s="55">
        <f t="shared" si="1"/>
        <v>7</v>
      </c>
      <c r="G32" s="53">
        <f>SUMIF('TUM-M'!E:E,A32,'TUM-M'!Q:Q)+SUMIF('TUM-W'!E:E,A32,'TUM-W'!Q:Q)</f>
        <v>1</v>
      </c>
      <c r="H32" s="55">
        <f t="shared" si="2"/>
        <v>6</v>
      </c>
    </row>
    <row r="33" spans="1:8" x14ac:dyDescent="0.2">
      <c r="A33" s="68" t="s">
        <v>91</v>
      </c>
      <c r="B33" s="54" t="s">
        <v>354</v>
      </c>
      <c r="C33" s="53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5" t="str">
        <f t="shared" si="0"/>
        <v/>
      </c>
      <c r="E33" s="53">
        <f>SUMIF('DMT-M'!E:E,A33,'DMT-M'!Q:Q)+SUMIF('DMT-W'!E:E,A33,'DMT-W'!Q:Q)</f>
        <v>7</v>
      </c>
      <c r="F33" s="55">
        <f t="shared" si="1"/>
        <v>1</v>
      </c>
      <c r="G33" s="53">
        <f>SUMIF('TUM-M'!E:E,A33,'TUM-M'!Q:Q)+SUMIF('TUM-W'!E:E,A33,'TUM-W'!Q:Q)</f>
        <v>4</v>
      </c>
      <c r="H33" s="55">
        <f t="shared" si="2"/>
        <v>2</v>
      </c>
    </row>
    <row r="34" spans="1:8" x14ac:dyDescent="0.2">
      <c r="A34" s="68" t="s">
        <v>576</v>
      </c>
      <c r="B34" s="54" t="s">
        <v>352</v>
      </c>
      <c r="C34" s="53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5" t="str">
        <f t="shared" si="0"/>
        <v/>
      </c>
      <c r="E34" s="53">
        <f>SUMIF('DMT-M'!E:E,A34,'DMT-M'!Q:Q)+SUMIF('DMT-W'!E:E,A34,'DMT-W'!Q:Q)</f>
        <v>0</v>
      </c>
      <c r="F34" s="55" t="str">
        <f t="shared" si="1"/>
        <v/>
      </c>
      <c r="G34" s="53">
        <f>SUMIF('TUM-M'!E:E,A34,'TUM-M'!Q:Q)+SUMIF('TUM-W'!E:E,A34,'TUM-W'!Q:Q)</f>
        <v>0</v>
      </c>
      <c r="H34" s="55" t="str">
        <f t="shared" si="2"/>
        <v/>
      </c>
    </row>
    <row r="35" spans="1:8" x14ac:dyDescent="0.2">
      <c r="A35" s="68" t="s">
        <v>581</v>
      </c>
      <c r="B35" s="54" t="s">
        <v>355</v>
      </c>
      <c r="C35" s="53">
        <f>SUMIF('TRA-M'!E:E,A35,'TRA-M'!Q:Q)+SUMIF('TRA-W'!E:E,A35,'TRA-W'!Q:Q)+SUMIF('SYN-M'!E:E,A35,'SYN-M'!R:R)/2+SUMIF('SYN-W'!E:E,A35,'SYN-W'!R:R)/2+SUMIF('SYN-M'!F:F,A35,'SYN-M'!R:R)/2+SUMIF('SYN-W'!F:F,A35,'SYN-W'!R:R)/2</f>
        <v>2</v>
      </c>
      <c r="D35" s="55">
        <f t="shared" si="0"/>
        <v>6</v>
      </c>
      <c r="E35" s="53">
        <f>SUMIF('DMT-M'!E:E,A35,'DMT-M'!Q:Q)+SUMIF('DMT-W'!E:E,A35,'DMT-W'!Q:Q)</f>
        <v>0</v>
      </c>
      <c r="F35" s="55" t="str">
        <f t="shared" si="1"/>
        <v/>
      </c>
      <c r="G35" s="53">
        <f>SUMIF('TUM-M'!E:E,A35,'TUM-M'!Q:Q)+SUMIF('TUM-W'!E:E,A35,'TUM-W'!Q:Q)</f>
        <v>0</v>
      </c>
      <c r="H35" s="55" t="str">
        <f t="shared" si="2"/>
        <v/>
      </c>
    </row>
    <row r="36" spans="1:8" x14ac:dyDescent="0.2">
      <c r="A36" s="68" t="s">
        <v>303</v>
      </c>
      <c r="B36" s="54" t="s">
        <v>352</v>
      </c>
      <c r="C36" s="53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5" t="str">
        <f t="shared" si="0"/>
        <v/>
      </c>
      <c r="E36" s="53">
        <f>SUMIF('DMT-M'!E:E,A36,'DMT-M'!Q:Q)+SUMIF('DMT-W'!E:E,A36,'DMT-W'!Q:Q)</f>
        <v>0</v>
      </c>
      <c r="F36" s="55" t="str">
        <f t="shared" si="1"/>
        <v/>
      </c>
      <c r="G36" s="53">
        <f>SUMIF('TUM-M'!E:E,A36,'TUM-M'!Q:Q)+SUMIF('TUM-W'!E:E,A36,'TUM-W'!Q:Q)</f>
        <v>1</v>
      </c>
      <c r="H36" s="55">
        <f t="shared" si="2"/>
        <v>6</v>
      </c>
    </row>
    <row r="37" spans="1:8" x14ac:dyDescent="0.2">
      <c r="A37" s="68" t="s">
        <v>584</v>
      </c>
      <c r="B37" s="54" t="s">
        <v>357</v>
      </c>
      <c r="C37" s="53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5" t="str">
        <f t="shared" si="0"/>
        <v/>
      </c>
      <c r="E37" s="53">
        <f>SUMIF('DMT-M'!E:E,A37,'DMT-M'!Q:Q)+SUMIF('DMT-W'!E:E,A37,'DMT-W'!Q:Q)</f>
        <v>0</v>
      </c>
      <c r="F37" s="55" t="str">
        <f t="shared" si="1"/>
        <v/>
      </c>
      <c r="G37" s="53">
        <f>SUMIF('TUM-M'!E:E,A37,'TUM-M'!Q:Q)+SUMIF('TUM-W'!E:E,A37,'TUM-W'!Q:Q)</f>
        <v>0</v>
      </c>
      <c r="H37" s="55" t="str">
        <f t="shared" si="2"/>
        <v/>
      </c>
    </row>
    <row r="38" spans="1:8" x14ac:dyDescent="0.2">
      <c r="A38" s="68" t="s">
        <v>571</v>
      </c>
      <c r="B38" s="54" t="s">
        <v>356</v>
      </c>
      <c r="C38" s="53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5" t="str">
        <f t="shared" si="0"/>
        <v/>
      </c>
      <c r="E38" s="53">
        <f>SUMIF('DMT-M'!E:E,A38,'DMT-M'!Q:Q)+SUMIF('DMT-W'!E:E,A38,'DMT-W'!Q:Q)</f>
        <v>1</v>
      </c>
      <c r="F38" s="55">
        <f t="shared" si="1"/>
        <v>10</v>
      </c>
      <c r="G38" s="53">
        <f>SUMIF('TUM-M'!E:E,A38,'TUM-M'!Q:Q)+SUMIF('TUM-W'!E:E,A38,'TUM-W'!Q:Q)</f>
        <v>0</v>
      </c>
      <c r="H38" s="55" t="str">
        <f t="shared" si="2"/>
        <v/>
      </c>
    </row>
    <row r="39" spans="1:8" x14ac:dyDescent="0.2">
      <c r="A39" s="68" t="s">
        <v>310</v>
      </c>
      <c r="B39" s="54" t="s">
        <v>352</v>
      </c>
      <c r="C39" s="53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5" t="str">
        <f t="shared" si="0"/>
        <v/>
      </c>
      <c r="E39" s="53">
        <f>SUMIF('DMT-M'!E:E,A39,'DMT-M'!Q:Q)+SUMIF('DMT-W'!E:E,A39,'DMT-W'!Q:Q)</f>
        <v>0</v>
      </c>
      <c r="F39" s="55" t="str">
        <f t="shared" si="1"/>
        <v/>
      </c>
      <c r="G39" s="53">
        <f>SUMIF('TUM-M'!E:E,A39,'TUM-M'!Q:Q)+SUMIF('TUM-W'!E:E,A39,'TUM-W'!Q:Q)</f>
        <v>4</v>
      </c>
      <c r="H39" s="55">
        <f t="shared" si="2"/>
        <v>2</v>
      </c>
    </row>
    <row r="40" spans="1:8" x14ac:dyDescent="0.2">
      <c r="A40" s="68" t="s">
        <v>574</v>
      </c>
      <c r="B40" s="54" t="s">
        <v>352</v>
      </c>
      <c r="C40" s="53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5" t="str">
        <f t="shared" si="0"/>
        <v/>
      </c>
      <c r="E40" s="53">
        <f>SUMIF('DMT-M'!E:E,A40,'DMT-M'!Q:Q)+SUMIF('DMT-W'!E:E,A40,'DMT-W'!Q:Q)</f>
        <v>0</v>
      </c>
      <c r="F40" s="55" t="str">
        <f t="shared" si="1"/>
        <v/>
      </c>
      <c r="G40" s="53">
        <f>SUMIF('TUM-M'!E:E,A40,'TUM-M'!Q:Q)+SUMIF('TUM-W'!E:E,A40,'TUM-W'!Q:Q)</f>
        <v>0</v>
      </c>
      <c r="H40" s="55" t="str">
        <f t="shared" si="2"/>
        <v/>
      </c>
    </row>
    <row r="41" spans="1:8" x14ac:dyDescent="0.2">
      <c r="A41" s="68" t="s">
        <v>37</v>
      </c>
      <c r="B41" s="54" t="s">
        <v>356</v>
      </c>
      <c r="C41" s="53">
        <f>SUMIF('TRA-M'!E:E,A41,'TRA-M'!Q:Q)+SUMIF('TRA-W'!E:E,A41,'TRA-W'!Q:Q)+SUMIF('SYN-M'!E:E,A41,'SYN-M'!R:R)/2+SUMIF('SYN-W'!E:E,A41,'SYN-W'!R:R)/2+SUMIF('SYN-M'!F:F,A41,'SYN-M'!R:R)/2+SUMIF('SYN-W'!F:F,A41,'SYN-W'!R:R)/2</f>
        <v>7</v>
      </c>
      <c r="D41" s="55">
        <f t="shared" si="0"/>
        <v>2</v>
      </c>
      <c r="E41" s="53">
        <f>SUMIF('DMT-M'!E:E,A41,'DMT-M'!Q:Q)+SUMIF('DMT-W'!E:E,A41,'DMT-W'!Q:Q)</f>
        <v>0</v>
      </c>
      <c r="F41" s="55" t="str">
        <f t="shared" si="1"/>
        <v/>
      </c>
      <c r="G41" s="53">
        <f>SUMIF('TUM-M'!E:E,A41,'TUM-M'!Q:Q)+SUMIF('TUM-W'!E:E,A41,'TUM-W'!Q:Q)</f>
        <v>0</v>
      </c>
      <c r="H41" s="55" t="str">
        <f t="shared" si="2"/>
        <v/>
      </c>
    </row>
    <row r="42" spans="1:8" x14ac:dyDescent="0.2">
      <c r="A42" s="68" t="s">
        <v>38</v>
      </c>
      <c r="B42" s="54" t="s">
        <v>352</v>
      </c>
      <c r="C42" s="53">
        <f>SUMIF('TRA-M'!E:E,A42,'TRA-M'!Q:Q)+SUMIF('TRA-W'!E:E,A42,'TRA-W'!Q:Q)+SUMIF('SYN-M'!E:E,A42,'SYN-M'!R:R)/2+SUMIF('SYN-W'!E:E,A42,'SYN-W'!R:R)/2+SUMIF('SYN-M'!F:F,A42,'SYN-M'!R:R)/2+SUMIF('SYN-W'!F:F,A42,'SYN-W'!R:R)/2</f>
        <v>7.5</v>
      </c>
      <c r="D42" s="55">
        <f t="shared" si="0"/>
        <v>1</v>
      </c>
      <c r="E42" s="53">
        <f>SUMIF('DMT-M'!E:E,A42,'DMT-M'!Q:Q)+SUMIF('DMT-W'!E:E,A42,'DMT-W'!Q:Q)</f>
        <v>0</v>
      </c>
      <c r="F42" s="55" t="str">
        <f t="shared" si="1"/>
        <v/>
      </c>
      <c r="G42" s="53">
        <f>SUMIF('TUM-M'!E:E,A42,'TUM-M'!Q:Q)+SUMIF('TUM-W'!E:E,A42,'TUM-W'!Q:Q)</f>
        <v>0</v>
      </c>
      <c r="H42" s="55" t="str">
        <f t="shared" si="2"/>
        <v/>
      </c>
    </row>
    <row r="43" spans="1:8" x14ac:dyDescent="0.2">
      <c r="A43" s="55" t="s">
        <v>573</v>
      </c>
      <c r="B43" s="54" t="s">
        <v>352</v>
      </c>
      <c r="C43" s="53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5" t="str">
        <f t="shared" si="0"/>
        <v/>
      </c>
      <c r="E43" s="53">
        <f>SUMIF('DMT-M'!E:E,A43,'DMT-M'!Q:Q)+SUMIF('DMT-W'!E:E,A43,'DMT-W'!Q:Q)</f>
        <v>0</v>
      </c>
      <c r="F43" s="55" t="str">
        <f t="shared" si="1"/>
        <v/>
      </c>
      <c r="G43" s="53">
        <f>SUMIF('TUM-M'!E:E,A43,'TUM-M'!Q:Q)+SUMIF('TUM-W'!E:E,A43,'TUM-W'!Q:Q)</f>
        <v>0</v>
      </c>
      <c r="H43" s="55" t="str">
        <f t="shared" si="2"/>
        <v/>
      </c>
    </row>
    <row r="44" spans="1:8" x14ac:dyDescent="0.2">
      <c r="A44" s="55" t="s">
        <v>592</v>
      </c>
      <c r="B44" s="54" t="s">
        <v>352</v>
      </c>
      <c r="C44" s="53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5" t="str">
        <f t="shared" si="0"/>
        <v/>
      </c>
      <c r="E44" s="53">
        <f>SUMIF('DMT-M'!E:E,A44,'DMT-M'!Q:Q)+SUMIF('DMT-W'!E:E,A44,'DMT-W'!Q:Q)</f>
        <v>0</v>
      </c>
      <c r="F44" s="55" t="str">
        <f t="shared" si="1"/>
        <v/>
      </c>
      <c r="G44" s="53">
        <f>SUMIF('TUM-M'!E:E,A44,'TUM-M'!Q:Q)+SUMIF('TUM-W'!E:E,A44,'TUM-W'!Q:Q)</f>
        <v>1</v>
      </c>
      <c r="H44" s="55">
        <f t="shared" si="2"/>
        <v>6</v>
      </c>
    </row>
    <row r="45" spans="1:8" x14ac:dyDescent="0.2">
      <c r="A45" s="55" t="s">
        <v>46</v>
      </c>
      <c r="B45" s="54" t="s">
        <v>353</v>
      </c>
      <c r="C45" s="53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5" t="str">
        <f t="shared" si="0"/>
        <v/>
      </c>
      <c r="E45" s="53">
        <f>SUMIF('DMT-M'!E:E,A45,'DMT-M'!Q:Q)+SUMIF('DMT-W'!E:E,A45,'DMT-W'!Q:Q)</f>
        <v>0</v>
      </c>
      <c r="F45" s="55" t="str">
        <f t="shared" si="1"/>
        <v/>
      </c>
      <c r="G45" s="53">
        <f>SUMIF('TUM-M'!E:E,A45,'TUM-M'!Q:Q)+SUMIF('TUM-W'!E:E,A45,'TUM-W'!Q:Q)</f>
        <v>0</v>
      </c>
      <c r="H45" s="55" t="str">
        <f t="shared" si="2"/>
        <v/>
      </c>
    </row>
    <row r="46" spans="1:8" x14ac:dyDescent="0.2">
      <c r="A46" s="55" t="s">
        <v>59</v>
      </c>
      <c r="B46" s="54" t="s">
        <v>356</v>
      </c>
      <c r="C46" s="53">
        <f>SUMIF('TRA-M'!E:E,A46,'TRA-M'!Q:Q)+SUMIF('TRA-W'!E:E,A46,'TRA-W'!Q:Q)+SUMIF('SYN-M'!E:E,A46,'SYN-M'!R:R)/2+SUMIF('SYN-W'!E:E,A46,'SYN-W'!R:R)/2+SUMIF('SYN-M'!F:F,A46,'SYN-M'!R:R)/2+SUMIF('SYN-W'!F:F,A46,'SYN-W'!R:R)/2</f>
        <v>1</v>
      </c>
      <c r="D46" s="55">
        <f t="shared" si="0"/>
        <v>8</v>
      </c>
      <c r="E46" s="53">
        <f>SUMIF('DMT-M'!E:E,A46,'DMT-M'!Q:Q)+SUMIF('DMT-W'!E:E,A46,'DMT-W'!Q:Q)</f>
        <v>4</v>
      </c>
      <c r="F46" s="55">
        <f t="shared" si="1"/>
        <v>5</v>
      </c>
      <c r="G46" s="53">
        <f>SUMIF('TUM-M'!E:E,A46,'TUM-M'!Q:Q)+SUMIF('TUM-W'!E:E,A46,'TUM-W'!Q:Q)</f>
        <v>1</v>
      </c>
      <c r="H46" s="55">
        <f t="shared" si="2"/>
        <v>6</v>
      </c>
    </row>
    <row r="47" spans="1:8" x14ac:dyDescent="0.2">
      <c r="A47" s="55" t="s">
        <v>129</v>
      </c>
      <c r="B47" s="54" t="s">
        <v>359</v>
      </c>
      <c r="C47" s="53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5" t="str">
        <f t="shared" si="0"/>
        <v/>
      </c>
      <c r="E47" s="53">
        <f>SUMIF('DMT-M'!E:E,A47,'DMT-M'!Q:Q)+SUMIF('DMT-W'!E:E,A47,'DMT-W'!Q:Q)</f>
        <v>0</v>
      </c>
      <c r="F47" s="55" t="str">
        <f t="shared" si="1"/>
        <v/>
      </c>
      <c r="G47" s="53">
        <f>SUMIF('TUM-M'!E:E,A47,'TUM-M'!Q:Q)+SUMIF('TUM-W'!E:E,A47,'TUM-W'!Q:Q)</f>
        <v>1</v>
      </c>
      <c r="H47" s="55">
        <f t="shared" si="2"/>
        <v>6</v>
      </c>
    </row>
    <row r="48" spans="1:8" x14ac:dyDescent="0.2">
      <c r="A48" s="55" t="s">
        <v>41</v>
      </c>
      <c r="B48" s="54" t="s">
        <v>354</v>
      </c>
      <c r="C48" s="53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5" t="str">
        <f t="shared" si="0"/>
        <v/>
      </c>
      <c r="E48" s="53">
        <f>SUMIF('DMT-M'!E:E,A48,'DMT-M'!Q:Q)+SUMIF('DMT-W'!E:E,A48,'DMT-W'!Q:Q)</f>
        <v>0</v>
      </c>
      <c r="F48" s="55" t="str">
        <f t="shared" si="1"/>
        <v/>
      </c>
      <c r="G48" s="53">
        <f>SUMIF('TUM-M'!E:E,A48,'TUM-M'!Q:Q)+SUMIF('TUM-W'!E:E,A48,'TUM-W'!Q:Q)</f>
        <v>0</v>
      </c>
      <c r="H48" s="55" t="str">
        <f t="shared" si="2"/>
        <v/>
      </c>
    </row>
    <row r="49" spans="1:8" x14ac:dyDescent="0.2">
      <c r="A49" s="55" t="s">
        <v>257</v>
      </c>
      <c r="B49" s="54" t="s">
        <v>357</v>
      </c>
      <c r="C49" s="53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5" t="str">
        <f t="shared" si="0"/>
        <v/>
      </c>
      <c r="E49" s="53">
        <f>SUMIF('DMT-M'!E:E,A49,'DMT-M'!Q:Q)+SUMIF('DMT-W'!E:E,A49,'DMT-W'!Q:Q)</f>
        <v>0</v>
      </c>
      <c r="F49" s="55" t="str">
        <f t="shared" si="1"/>
        <v/>
      </c>
      <c r="G49" s="53">
        <f>SUMIF('TUM-M'!E:E,A49,'TUM-M'!Q:Q)+SUMIF('TUM-W'!E:E,A49,'TUM-W'!Q:Q)</f>
        <v>0</v>
      </c>
      <c r="H49" s="55" t="str">
        <f t="shared" si="2"/>
        <v/>
      </c>
    </row>
    <row r="50" spans="1:8" x14ac:dyDescent="0.2">
      <c r="A50" s="55" t="s">
        <v>333</v>
      </c>
      <c r="B50" s="54" t="s">
        <v>352</v>
      </c>
      <c r="C50" s="53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5" t="str">
        <f t="shared" si="0"/>
        <v/>
      </c>
      <c r="E50" s="53">
        <f>SUMIF('DMT-M'!E:E,A50,'DMT-M'!Q:Q)+SUMIF('DMT-W'!E:E,A50,'DMT-W'!Q:Q)</f>
        <v>0</v>
      </c>
      <c r="F50" s="55" t="str">
        <f t="shared" si="1"/>
        <v/>
      </c>
      <c r="G50" s="53">
        <f>SUMIF('TUM-M'!E:E,A50,'TUM-M'!Q:Q)+SUMIF('TUM-W'!E:E,A50,'TUM-W'!Q:Q)</f>
        <v>0</v>
      </c>
      <c r="H50" s="55" t="str">
        <f t="shared" si="2"/>
        <v/>
      </c>
    </row>
    <row r="51" spans="1:8" x14ac:dyDescent="0.2">
      <c r="A51" s="55" t="s">
        <v>62</v>
      </c>
      <c r="B51" s="54" t="s">
        <v>355</v>
      </c>
      <c r="C51" s="53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5" t="str">
        <f t="shared" si="0"/>
        <v/>
      </c>
      <c r="E51" s="53">
        <f>SUMIF('DMT-M'!E:E,A51,'DMT-M'!Q:Q)+SUMIF('DMT-W'!E:E,A51,'DMT-W'!Q:Q)</f>
        <v>0</v>
      </c>
      <c r="F51" s="55" t="str">
        <f t="shared" si="1"/>
        <v/>
      </c>
      <c r="G51" s="53">
        <f>SUMIF('TUM-M'!E:E,A51,'TUM-M'!Q:Q)+SUMIF('TUM-W'!E:E,A51,'TUM-W'!Q:Q)</f>
        <v>0</v>
      </c>
      <c r="H51" s="55" t="str">
        <f t="shared" si="2"/>
        <v/>
      </c>
    </row>
    <row r="52" spans="1:8" x14ac:dyDescent="0.2">
      <c r="A52" s="55" t="s">
        <v>577</v>
      </c>
      <c r="B52" s="54" t="s">
        <v>355</v>
      </c>
      <c r="C52" s="53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5" t="str">
        <f t="shared" si="0"/>
        <v/>
      </c>
      <c r="E52" s="53">
        <f>SUMIF('DMT-M'!E:E,A52,'DMT-M'!Q:Q)+SUMIF('DMT-W'!E:E,A52,'DMT-W'!Q:Q)</f>
        <v>0</v>
      </c>
      <c r="F52" s="55" t="str">
        <f t="shared" si="1"/>
        <v/>
      </c>
      <c r="G52" s="53">
        <f>SUMIF('TUM-M'!E:E,A52,'TUM-M'!Q:Q)+SUMIF('TUM-W'!E:E,A52,'TUM-W'!Q:Q)</f>
        <v>0</v>
      </c>
      <c r="H52" s="55" t="str">
        <f t="shared" si="2"/>
        <v/>
      </c>
    </row>
    <row r="53" spans="1:8" x14ac:dyDescent="0.2">
      <c r="A53" s="55" t="s">
        <v>582</v>
      </c>
      <c r="B53" s="54" t="s">
        <v>352</v>
      </c>
      <c r="C53" s="53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5" t="str">
        <f t="shared" si="0"/>
        <v/>
      </c>
      <c r="E53" s="53">
        <f>SUMIF('DMT-M'!E:E,A53,'DMT-M'!Q:Q)+SUMIF('DMT-W'!E:E,A53,'DMT-W'!Q:Q)</f>
        <v>0</v>
      </c>
      <c r="F53" s="55" t="str">
        <f t="shared" si="1"/>
        <v/>
      </c>
      <c r="G53" s="53">
        <f>SUMIF('TUM-M'!E:E,A53,'TUM-M'!Q:Q)+SUMIF('TUM-W'!E:E,A53,'TUM-W'!Q:Q)</f>
        <v>0</v>
      </c>
      <c r="H53" s="55" t="str">
        <f t="shared" si="2"/>
        <v/>
      </c>
    </row>
    <row r="54" spans="1:8" x14ac:dyDescent="0.2">
      <c r="A54" s="55" t="s">
        <v>195</v>
      </c>
      <c r="B54" s="54" t="s">
        <v>355</v>
      </c>
      <c r="C54" s="53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5" t="str">
        <f t="shared" si="0"/>
        <v/>
      </c>
      <c r="E54" s="53">
        <f>SUMIF('DMT-M'!E:E,A54,'DMT-M'!Q:Q)+SUMIF('DMT-W'!E:E,A54,'DMT-W'!Q:Q)</f>
        <v>0</v>
      </c>
      <c r="F54" s="55" t="str">
        <f t="shared" si="1"/>
        <v/>
      </c>
      <c r="G54" s="53">
        <f>SUMIF('TUM-M'!E:E,A54,'TUM-M'!Q:Q)+SUMIF('TUM-W'!E:E,A54,'TUM-W'!Q:Q)</f>
        <v>0</v>
      </c>
      <c r="H54" s="55" t="str">
        <f t="shared" si="2"/>
        <v/>
      </c>
    </row>
    <row r="55" spans="1:8" x14ac:dyDescent="0.2">
      <c r="A55" s="55" t="s">
        <v>143</v>
      </c>
      <c r="B55" s="54" t="s">
        <v>356</v>
      </c>
      <c r="C55" s="53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5" t="str">
        <f t="shared" si="0"/>
        <v/>
      </c>
      <c r="E55" s="53">
        <f>SUMIF('DMT-M'!E:E,A55,'DMT-M'!Q:Q)+SUMIF('DMT-W'!E:E,A55,'DMT-W'!Q:Q)</f>
        <v>7</v>
      </c>
      <c r="F55" s="55">
        <f t="shared" si="1"/>
        <v>1</v>
      </c>
      <c r="G55" s="53">
        <f>SUMIF('TUM-M'!E:E,A55,'TUM-M'!Q:Q)+SUMIF('TUM-W'!E:E,A55,'TUM-W'!Q:Q)</f>
        <v>0</v>
      </c>
      <c r="H55" s="55" t="str">
        <f t="shared" si="2"/>
        <v/>
      </c>
    </row>
    <row r="56" spans="1:8" x14ac:dyDescent="0.2">
      <c r="A56" s="55" t="s">
        <v>179</v>
      </c>
      <c r="B56" s="54" t="s">
        <v>355</v>
      </c>
      <c r="C56" s="53">
        <f>SUMIF('TRA-M'!E:E,A56,'TRA-M'!Q:Q)+SUMIF('TRA-W'!E:E,A56,'TRA-W'!Q:Q)+SUMIF('SYN-M'!E:E,A56,'SYN-M'!R:R)/2+SUMIF('SYN-W'!E:E,A56,'SYN-W'!R:R)/2+SUMIF('SYN-M'!F:F,A56,'SYN-M'!R:R)/2+SUMIF('SYN-W'!F:F,A56,'SYN-W'!R:R)/2</f>
        <v>1</v>
      </c>
      <c r="D56" s="55">
        <f t="shared" si="0"/>
        <v>8</v>
      </c>
      <c r="E56" s="53">
        <f>SUMIF('DMT-M'!E:E,A56,'DMT-M'!Q:Q)+SUMIF('DMT-W'!E:E,A56,'DMT-W'!Q:Q)</f>
        <v>0</v>
      </c>
      <c r="F56" s="55" t="str">
        <f t="shared" si="1"/>
        <v/>
      </c>
      <c r="G56" s="53">
        <f>SUMIF('TUM-M'!E:E,A56,'TUM-M'!Q:Q)+SUMIF('TUM-W'!E:E,A56,'TUM-W'!Q:Q)</f>
        <v>0</v>
      </c>
      <c r="H56" s="55" t="str">
        <f t="shared" si="2"/>
        <v/>
      </c>
    </row>
    <row r="57" spans="1:8" x14ac:dyDescent="0.2">
      <c r="A57" s="55" t="s">
        <v>76</v>
      </c>
      <c r="B57" s="54" t="s">
        <v>356</v>
      </c>
      <c r="C57" s="53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5" t="str">
        <f t="shared" si="0"/>
        <v/>
      </c>
      <c r="E57" s="53">
        <f>SUMIF('DMT-M'!E:E,A57,'DMT-M'!Q:Q)+SUMIF('DMT-W'!E:E,A57,'DMT-W'!Q:Q)</f>
        <v>0</v>
      </c>
      <c r="F57" s="55" t="str">
        <f t="shared" si="1"/>
        <v/>
      </c>
      <c r="G57" s="53">
        <f>SUMIF('TUM-M'!E:E,A57,'TUM-M'!Q:Q)+SUMIF('TUM-W'!E:E,A57,'TUM-W'!Q:Q)</f>
        <v>0</v>
      </c>
      <c r="H57" s="55" t="str">
        <f t="shared" si="2"/>
        <v/>
      </c>
    </row>
    <row r="58" spans="1:8" x14ac:dyDescent="0.2">
      <c r="A58" s="55" t="s">
        <v>591</v>
      </c>
      <c r="B58" s="54" t="s">
        <v>354</v>
      </c>
      <c r="C58" s="53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5" t="str">
        <f t="shared" si="0"/>
        <v/>
      </c>
      <c r="E58" s="53">
        <f>SUMIF('DMT-M'!E:E,A58,'DMT-M'!Q:Q)+SUMIF('DMT-W'!E:E,A58,'DMT-W'!Q:Q)</f>
        <v>0</v>
      </c>
      <c r="F58" s="55" t="str">
        <f t="shared" si="1"/>
        <v/>
      </c>
      <c r="G58" s="53">
        <f>SUMIF('TUM-M'!E:E,A58,'TUM-M'!Q:Q)+SUMIF('TUM-W'!E:E,A58,'TUM-W'!Q:Q)</f>
        <v>0</v>
      </c>
      <c r="H58" s="55" t="str">
        <f t="shared" si="2"/>
        <v/>
      </c>
    </row>
    <row r="59" spans="1:8" x14ac:dyDescent="0.2">
      <c r="A59" s="55" t="s">
        <v>585</v>
      </c>
      <c r="B59" s="54" t="s">
        <v>356</v>
      </c>
      <c r="C59" s="53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5" t="str">
        <f t="shared" si="0"/>
        <v/>
      </c>
      <c r="E59" s="53">
        <f>SUMIF('DMT-M'!E:E,A59,'DMT-M'!Q:Q)+SUMIF('DMT-W'!E:E,A59,'DMT-W'!Q:Q)</f>
        <v>0</v>
      </c>
      <c r="F59" s="55" t="str">
        <f t="shared" si="1"/>
        <v/>
      </c>
      <c r="G59" s="53">
        <f>SUMIF('TUM-M'!E:E,A59,'TUM-M'!Q:Q)+SUMIF('TUM-W'!E:E,A59,'TUM-W'!Q:Q)</f>
        <v>0</v>
      </c>
      <c r="H59" s="55" t="str">
        <f t="shared" si="2"/>
        <v/>
      </c>
    </row>
    <row r="60" spans="1:8" x14ac:dyDescent="0.2">
      <c r="A60" s="58" t="s">
        <v>586</v>
      </c>
      <c r="B60" s="57" t="s">
        <v>355</v>
      </c>
      <c r="C60" s="5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8" t="str">
        <f t="shared" si="0"/>
        <v/>
      </c>
      <c r="E60" s="56">
        <f>SUMIF('DMT-M'!E:E,A60,'DMT-M'!Q:Q)+SUMIF('DMT-W'!E:E,A60,'DMT-W'!Q:Q)</f>
        <v>0</v>
      </c>
      <c r="F60" s="58" t="str">
        <f t="shared" si="1"/>
        <v/>
      </c>
      <c r="G60" s="56">
        <f>SUMIF('TUM-M'!E:E,A60,'TUM-M'!Q:Q)+SUMIF('TUM-W'!E:E,A60,'TUM-W'!Q:Q)</f>
        <v>0</v>
      </c>
      <c r="H60" s="58" t="str">
        <f t="shared" si="2"/>
        <v/>
      </c>
    </row>
  </sheetData>
  <conditionalFormatting sqref="D1:D1048576">
    <cfRule type="expression" dxfId="34" priority="1">
      <formula>IF(AND(D1&lt;&gt;"",D1&lt;=2),1,0)</formula>
    </cfRule>
  </conditionalFormatting>
  <conditionalFormatting sqref="F1:F1048576">
    <cfRule type="expression" dxfId="33" priority="2">
      <formula>IF(AND(F1&lt;&gt;"",F1&lt;=1),1,0)</formula>
    </cfRule>
  </conditionalFormatting>
  <conditionalFormatting sqref="H1:H1048576">
    <cfRule type="expression" dxfId="32" priority="3">
      <formula>IF(AND(H1&lt;&gt;"",H1&lt;=1),1,0)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9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/>
      <c r="Y1" s="83"/>
      <c r="Z1" s="83"/>
      <c r="AA1" s="83" t="s">
        <v>44</v>
      </c>
      <c r="AB1" s="83"/>
      <c r="AC1" s="83"/>
      <c r="AD1" s="83"/>
      <c r="AE1" s="83"/>
      <c r="AF1" s="83"/>
      <c r="AG1" s="83"/>
    </row>
    <row r="2" spans="1:33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$90&lt;&gt;"")*(G$3:G$90=G3)*(J$3:J$90&gt;J3)*(I$3:I$90="P"))+1,IF(O3&lt;&gt;"",SUMPRODUCT((O$3:O$90&lt;&gt;"")*(P$3:P$90="")*(G$3:G$90=G3)*(J$3:J$90&gt;J3)*(I$3:I$90="P"))+SUMPRODUCT((P$3:P$90&lt;&gt;"")*(G$3:G$90=G3)*(I$3:I$90="P"))+1,IF(N3&lt;&gt;"",SUMPRODUCT((N$3:N$90&lt;&gt;"")*(G$3:G$90=G3)*(J$3:J$90&gt;J3)*(I$3:I$90="P"))+1,IF(M3="P",SUMPRODUCT((O$3:O$90&lt;&gt;"")*(P$3:P$90="")*(G$3:G$90=G3)*(I$3:I$90="P"))+SUMPRODUCT((P$3:P$90&lt;&gt;"")*(G$3:G$90=G3)*(I$3:I$90="P"))+SUMPRODUCT((N$3:N$90&lt;&gt;"")*(G$3:G$90=G3)*(I$3:I$90="P"))+SUMPRODUCT((P$3:P$90="")*(O$3:O$90="")*(N$3:N$90="")*(M$3:M$90="P")*(G$3:G$90=G3)*(J$3:J$90&gt;J3)*(I$3:I$90="P"))+IF(H3="L5",SUMPRODUCT((P$3:P$90="")*(O$3:O$90="")*(N$3:N$90="")*(M$3:M$90="P")*(G$3:G$90=G3)*(J$3:J$90&lt;J3)*(H$3:H$90&lt;&gt;H3)*(I$3:I$90="P")),-1*SUMPRODUCT((P$3:P$90="")*(O$3:O$90="")*(N$3:N$90="")*(M$3:M$90="P")*(G$3:G$90=G3)*(J$3:J$90&gt;J3)*(H$3:H$90="L5")*(I$3:I$90="P")))+1,"")))))</f>
        <v>1</v>
      </c>
      <c r="B3" s="1" cm="1">
        <f t="array" ref="B3">IF(P3&lt;&gt;"",SUMPRODUCT((P$3:P$90&lt;&gt;"")*(G$3:G$90=G3)*(J$3:J$90&gt;J3))+1,IF(O3&lt;&gt;"",SUMPRODUCT((O$3:O$90&lt;&gt;"")*(P$3:P$90="")*(G$3:G$90=G3)*(J$3:J$90&gt;J3))+SUMPRODUCT((P$3:P$90&lt;&gt;"")*(G$3:G$90=G3))+1,IF(N3&lt;&gt;"",SUMPRODUCT((N$3:N$90&lt;&gt;"")*(G$3:G$90=G3)*(J$3:J$90&gt;J3))+1,IF(M3="P",SUMPRODUCT((O$3:O$90&lt;&gt;"")*(P$3:P$90="")*(G$3:G$90=G3))+SUMPRODUCT((P$3:P$90&lt;&gt;"")*(G$3:G$90=G3))+SUMPRODUCT((N$3:N$90&lt;&gt;"")*(G$3:G$90=G3))+SUMPRODUCT((P$3:P$90="")*(O$3:O$90="")*(N$3:N$90="")*(M$3:M$90="P")*(G$3:G$90=G3)*(J$3:J$90&gt;J3))+IF(H3="L5",SUMPRODUCT((P$3:P$90="")*(O$3:O$90="")*(N$3:N$90="")*(M$3:M$90="P")*(G$3:G$90=G3)*(J$3:J$90&lt;J3)*(H$3:H$90&lt;&gt;H3)),-1*SUMPRODUCT((P$3:P$90="")*(O$3:O$90="")*(N$3:N$90="")*(M$3:M$90="P")*(G$3:G$90=G3)*(J$3:J$90&gt;J3)*(H$3:H$90="L5")))+1,""))))</f>
        <v>3</v>
      </c>
      <c r="C3" s="36" t="s">
        <v>204</v>
      </c>
      <c r="D3" s="36" t="str">
        <f>IF(E3="","",VLOOKUP(E3,'Coaching Points'!A:B,2,0))</f>
        <v>NL</v>
      </c>
      <c r="E3" s="36" t="s">
        <v>205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53.670205367000001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3</v>
      </c>
      <c r="Q3" s="49">
        <f>IF(A3&lt;5,IF(_xlfn.MAXIFS(A:A,G:G,G3)&gt;3,5-A3,_xlfn.MAXIFS(A:A,G:G,G3)+1-A3),"")</f>
        <v>4</v>
      </c>
      <c r="R3" s="4">
        <f>IF(G3="Not Age Eligible",0,IF(G3="17-21",MAX(IF(U3&gt;='Qualifying Scores'!B$13,T3,0),IF(W3&gt;='Qualifying Scores'!B$13,V3,0),IF(Z3&gt;='Qualifying Scores'!B$13,Y3,0),IF(AB3&gt;='Qualifying Scores'!B$13,AA3,0),IF(AD3&gt;'Qualifying Scores'!B$13,AC3,0),IF(AG3&gt;'Qualifying Scores'!B$13,AF3,0)),MAX(IF(OR(AND(G3="15-16",W3&gt;='Qualifying Scores'!B$12),AND(G3="13-14",W3&gt;='Qualifying Scores'!B$11),AND(G3="11-12",W3&gt;='Qualifying Scores'!B$10)),X3,0),IF(OR(AND(G3="15-16",AD3&gt;='Qualifying Scores'!B$12),AND(G3="13-14",AD3&gt;='Qualifying Scores'!B$11),AND(G3="11-12",AD3&gt;='Qualifying Scores'!B$10)),AE3,0))))</f>
        <v>53.67</v>
      </c>
      <c r="S3" s="4">
        <f>IF(G3="17-21",MAX(T3,V3,Y3,AA3,AC3,AF3),MAX(X3,AE3))</f>
        <v>53.67</v>
      </c>
      <c r="T3" s="33">
        <v>43.66</v>
      </c>
      <c r="U3" s="40">
        <v>2.9000000000000004</v>
      </c>
      <c r="V3" s="34">
        <v>52.660000000000004</v>
      </c>
      <c r="W3" s="40">
        <v>14.000000000000002</v>
      </c>
      <c r="X3" s="4">
        <f>IF(H3="Senior",MAX(T3,V3),T3+V3)</f>
        <v>52.660000000000004</v>
      </c>
      <c r="Y3" s="34">
        <v>53.67</v>
      </c>
      <c r="Z3" s="40">
        <v>13.8</v>
      </c>
      <c r="AA3" s="33">
        <v>52.91</v>
      </c>
      <c r="AB3" s="40">
        <v>13.6</v>
      </c>
      <c r="AC3" s="34">
        <v>47.98</v>
      </c>
      <c r="AD3" s="40">
        <v>12.3</v>
      </c>
      <c r="AE3" s="4">
        <f>IF(H3="Senior",MAX(AA3,AC3),AA3+AC3)</f>
        <v>52.91</v>
      </c>
      <c r="AF3" s="34">
        <v>53.67</v>
      </c>
      <c r="AG3" s="37">
        <v>13.6</v>
      </c>
    </row>
    <row r="4" spans="1:33" x14ac:dyDescent="0.2">
      <c r="A4" s="1" cm="1">
        <f t="array" ref="A4">IF(I4="","",IF(P4&lt;&gt;"",SUMPRODUCT((P$3:P$90&lt;&gt;"")*(G$3:G$90=G4)*(J$3:J$90&gt;J4)*(I$3:I$90="P"))+1,IF(O4&lt;&gt;"",SUMPRODUCT((O$3:O$90&lt;&gt;"")*(P$3:P$90="")*(G$3:G$90=G4)*(J$3:J$90&gt;J4)*(I$3:I$90="P"))+SUMPRODUCT((P$3:P$90&lt;&gt;"")*(G$3:G$90=G4)*(I$3:I$90="P"))+1,IF(N4&lt;&gt;"",SUMPRODUCT((N$3:N$90&lt;&gt;"")*(G$3:G$90=G4)*(J$3:J$90&gt;J4)*(I$3:I$90="P"))+1,IF(M4="P",SUMPRODUCT((O$3:O$90&lt;&gt;"")*(P$3:P$90="")*(G$3:G$90=G4)*(I$3:I$90="P"))+SUMPRODUCT((P$3:P$90&lt;&gt;"")*(G$3:G$90=G4)*(I$3:I$90="P"))+SUMPRODUCT((N$3:N$90&lt;&gt;"")*(G$3:G$90=G4)*(I$3:I$90="P"))+SUMPRODUCT((P$3:P$90="")*(O$3:O$90="")*(N$3:N$90="")*(M$3:M$90="P")*(G$3:G$90=G4)*(J$3:J$90&gt;J4)*(I$3:I$90="P"))+IF(H4="L5",SUMPRODUCT((P$3:P$90="")*(O$3:O$90="")*(N$3:N$90="")*(M$3:M$90="P")*(G$3:G$90=G4)*(J$3:J$90&lt;J4)*(H$3:H$90&lt;&gt;H4)*(I$3:I$90="P")),-1*SUMPRODUCT((P$3:P$90="")*(O$3:O$90="")*(N$3:N$90="")*(M$3:M$90="P")*(G$3:G$90=G4)*(J$3:J$90&gt;J4)*(H$3:H$90="L5")*(I$3:I$90="P")))+1,"")))))</f>
        <v>2</v>
      </c>
      <c r="B4" s="1" cm="1">
        <f t="array" ref="B4">IF(P4&lt;&gt;"",SUMPRODUCT((P$3:P$90&lt;&gt;"")*(G$3:G$90=G4)*(J$3:J$90&gt;J4))+1,IF(O4&lt;&gt;"",SUMPRODUCT((O$3:O$90&lt;&gt;"")*(P$3:P$90="")*(G$3:G$90=G4)*(J$3:J$90&gt;J4))+SUMPRODUCT((P$3:P$90&lt;&gt;"")*(G$3:G$90=G4))+1,IF(N4&lt;&gt;"",SUMPRODUCT((N$3:N$90&lt;&gt;"")*(G$3:G$90=G4)*(J$3:J$90&gt;J4))+1,IF(M4="P",SUMPRODUCT((O$3:O$90&lt;&gt;"")*(P$3:P$90="")*(G$3:G$90=G4))+SUMPRODUCT((P$3:P$90&lt;&gt;"")*(G$3:G$90=G4))+SUMPRODUCT((N$3:N$90&lt;&gt;"")*(G$3:G$90=G4))+SUMPRODUCT((P$3:P$90="")*(O$3:O$90="")*(N$3:N$90="")*(M$3:M$90="P")*(G$3:G$90=G4)*(J$3:J$90&gt;J4))+IF(H4="L5",SUMPRODUCT((P$3:P$90="")*(O$3:O$90="")*(N$3:N$90="")*(M$3:M$90="P")*(G$3:G$90=G4)*(J$3:J$90&lt;J4)*(H$3:H$90&lt;&gt;H4)),-1*SUMPRODUCT((P$3:P$90="")*(O$3:O$90="")*(N$3:N$90="")*(M$3:M$90="P")*(G$3:G$90=G4)*(J$3:J$90&gt;J4)*(H$3:H$90="L5")))+1,""))))</f>
        <v>4</v>
      </c>
      <c r="C4" s="36" t="s">
        <v>410</v>
      </c>
      <c r="D4" s="36" t="str">
        <f>IF(E4="","",VLOOKUP(E4,'Coaching Points'!A:B,2,0))</f>
        <v>BC</v>
      </c>
      <c r="E4" s="36" t="s">
        <v>80</v>
      </c>
      <c r="F4" s="35">
        <v>2003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53.590205358999995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4</v>
      </c>
      <c r="Q4" s="49">
        <f>IF(A4&lt;5,IF(_xlfn.MAXIFS(A:A,G:G,G4)&gt;3,5-A4,_xlfn.MAXIFS(A:A,G:G,G4)+1-A4),"")</f>
        <v>3</v>
      </c>
      <c r="R4" s="4">
        <f>IF(G4="Not Age Eligible",0,IF(G4="17-21",MAX(IF(U4&gt;='Qualifying Scores'!B$13,T4,0),IF(W4&gt;='Qualifying Scores'!B$13,V4,0),IF(Z4&gt;='Qualifying Scores'!B$13,Y4,0),IF(AB4&gt;='Qualifying Scores'!B$13,AA4,0),IF(AD4&gt;'Qualifying Scores'!B$13,AC4,0),IF(AG4&gt;'Qualifying Scores'!B$13,AF4,0)),MAX(IF(OR(AND(G4="15-16",W4&gt;='Qualifying Scores'!B$12),AND(G4="13-14",W4&gt;='Qualifying Scores'!B$11),AND(G4="11-12",W4&gt;='Qualifying Scores'!B$10)),X4,0),IF(OR(AND(G4="15-16",AD4&gt;='Qualifying Scores'!B$12),AND(G4="13-14",AD4&gt;='Qualifying Scores'!B$11),AND(G4="11-12",AD4&gt;='Qualifying Scores'!B$10)),AE4,0))))</f>
        <v>53.589999999999996</v>
      </c>
      <c r="S4" s="4">
        <f>IF(G4="17-21",MAX(T4,V4,Y4,AA4,AC4,AF4),MAX(X4,AE4))</f>
        <v>53.589999999999996</v>
      </c>
      <c r="T4" s="33"/>
      <c r="U4" s="40"/>
      <c r="V4" s="34"/>
      <c r="W4" s="40"/>
      <c r="X4" s="4">
        <f>IF(H4="Senior",MAX(T4,V4),T4+V4)</f>
        <v>0</v>
      </c>
      <c r="Y4" s="34"/>
      <c r="Z4" s="40"/>
      <c r="AA4" s="33">
        <v>53.48</v>
      </c>
      <c r="AB4" s="40">
        <v>13.1</v>
      </c>
      <c r="AC4" s="34">
        <v>24.070000000000004</v>
      </c>
      <c r="AD4" s="40">
        <v>6.9</v>
      </c>
      <c r="AE4" s="4">
        <f>IF(H4="Senior",MAX(AA4,AC4),AA4+AC4)</f>
        <v>53.48</v>
      </c>
      <c r="AF4" s="34">
        <v>53.589999999999996</v>
      </c>
      <c r="AG4" s="37">
        <v>13.7</v>
      </c>
    </row>
    <row r="5" spans="1:33" x14ac:dyDescent="0.2">
      <c r="A5" s="1" cm="1">
        <f t="array" ref="A5">IF(I5="","",IF(P5&lt;&gt;"",SUMPRODUCT((P$3:P$90&lt;&gt;"")*(G$3:G$90=G5)*(J$3:J$90&gt;J5)*(I$3:I$90="P"))+1,IF(O5&lt;&gt;"",SUMPRODUCT((O$3:O$90&lt;&gt;"")*(P$3:P$90="")*(G$3:G$90=G5)*(J$3:J$90&gt;J5)*(I$3:I$90="P"))+SUMPRODUCT((P$3:P$90&lt;&gt;"")*(G$3:G$90=G5)*(I$3:I$90="P"))+1,IF(N5&lt;&gt;"",SUMPRODUCT((N$3:N$90&lt;&gt;"")*(G$3:G$90=G5)*(J$3:J$90&gt;J5)*(I$3:I$90="P"))+1,IF(M5="P",SUMPRODUCT((O$3:O$90&lt;&gt;"")*(P$3:P$90="")*(G$3:G$90=G5)*(I$3:I$90="P"))+SUMPRODUCT((P$3:P$90&lt;&gt;"")*(G$3:G$90=G5)*(I$3:I$90="P"))+SUMPRODUCT((N$3:N$90&lt;&gt;"")*(G$3:G$90=G5)*(I$3:I$90="P"))+SUMPRODUCT((P$3:P$90="")*(O$3:O$90="")*(N$3:N$90="")*(M$3:M$90="P")*(G$3:G$90=G5)*(J$3:J$90&gt;J5)*(I$3:I$90="P"))+IF(H5="L5",SUMPRODUCT((P$3:P$90="")*(O$3:O$90="")*(N$3:N$90="")*(M$3:M$90="P")*(G$3:G$90=G5)*(J$3:J$90&lt;J5)*(H$3:H$90&lt;&gt;H5)*(I$3:I$90="P")),-1*SUMPRODUCT((P$3:P$90="")*(O$3:O$90="")*(N$3:N$90="")*(M$3:M$90="P")*(G$3:G$90=G5)*(J$3:J$90&gt;J5)*(H$3:H$90="L5")*(I$3:I$90="P")))+1,"")))))</f>
        <v>3</v>
      </c>
      <c r="B5" s="1" cm="1">
        <f t="array" ref="B5">IF(P5&lt;&gt;"",SUMPRODUCT((P$3:P$90&lt;&gt;"")*(G$3:G$90=G5)*(J$3:J$90&gt;J5))+1,IF(O5&lt;&gt;"",SUMPRODUCT((O$3:O$90&lt;&gt;"")*(P$3:P$90="")*(G$3:G$90=G5)*(J$3:J$90&gt;J5))+SUMPRODUCT((P$3:P$90&lt;&gt;"")*(G$3:G$90=G5))+1,IF(N5&lt;&gt;"",SUMPRODUCT((N$3:N$90&lt;&gt;"")*(G$3:G$90=G5)*(J$3:J$90&gt;J5))+1,IF(M5="P",SUMPRODUCT((O$3:O$90&lt;&gt;"")*(P$3:P$90="")*(G$3:G$90=G5))+SUMPRODUCT((P$3:P$90&lt;&gt;"")*(G$3:G$90=G5))+SUMPRODUCT((N$3:N$90&lt;&gt;"")*(G$3:G$90=G5))+SUMPRODUCT((P$3:P$90="")*(O$3:O$90="")*(N$3:N$90="")*(M$3:M$90="P")*(G$3:G$90=G5)*(J$3:J$90&gt;J5))+IF(H5="L5",SUMPRODUCT((P$3:P$90="")*(O$3:O$90="")*(N$3:N$90="")*(M$3:M$90="P")*(G$3:G$90=G5)*(J$3:J$90&lt;J5)*(H$3:H$90&lt;&gt;H5)),-1*SUMPRODUCT((P$3:P$90="")*(O$3:O$90="")*(N$3:N$90="")*(M$3:M$90="P")*(G$3:G$90=G5)*(J$3:J$90&gt;J5)*(H$3:H$90="L5")))+1,""))))</f>
        <v>6</v>
      </c>
      <c r="C5" s="36" t="s">
        <v>225</v>
      </c>
      <c r="D5" s="36" t="str">
        <f>IF(E5="","",VLOOKUP(E5,'Coaching Points'!A:B,2,0))</f>
        <v>QC</v>
      </c>
      <c r="E5" s="36" t="s">
        <v>3</v>
      </c>
      <c r="F5" s="35">
        <v>2005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53.040205207000007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Q5" s="49">
        <f>IF(A5&lt;5,IF(_xlfn.MAXIFS(A:A,G:G,G5)&gt;3,5-A5,_xlfn.MAXIFS(A:A,G:G,G5)+1-A5),"")</f>
        <v>2</v>
      </c>
      <c r="R5" s="4">
        <f>IF(G5="Not Age Eligible",0,IF(G5="17-21",MAX(IF(U5&gt;='Qualifying Scores'!B$13,T5,0),IF(W5&gt;='Qualifying Scores'!B$13,V5,0),IF(Z5&gt;='Qualifying Scores'!B$13,Y5,0),IF(AB5&gt;='Qualifying Scores'!B$13,AA5,0),IF(AD5&gt;'Qualifying Scores'!B$13,AC5,0),IF(AG5&gt;'Qualifying Scores'!B$13,AF5,0)),MAX(IF(OR(AND(G5="15-16",W5&gt;='Qualifying Scores'!B$12),AND(G5="13-14",W5&gt;='Qualifying Scores'!B$11),AND(G5="11-12",W5&gt;='Qualifying Scores'!B$10)),X5,0),IF(OR(AND(G5="15-16",AD5&gt;='Qualifying Scores'!B$12),AND(G5="13-14",AD5&gt;='Qualifying Scores'!B$11),AND(G5="11-12",AD5&gt;='Qualifying Scores'!B$10)),AE5,0))))</f>
        <v>53.040000000000006</v>
      </c>
      <c r="S5" s="4">
        <f>IF(G5="17-21",MAX(T5,V5,Y5,AA5,AC5,AF5),MAX(X5,AE5))</f>
        <v>53.040000000000006</v>
      </c>
      <c r="T5" s="33">
        <v>53.040000000000006</v>
      </c>
      <c r="U5" s="40">
        <v>13.500000000000002</v>
      </c>
      <c r="V5" s="34">
        <v>49.41</v>
      </c>
      <c r="W5" s="40">
        <v>12.5</v>
      </c>
      <c r="X5" s="4">
        <f>IF(H5="Senior",MAX(T5,V5),T5+V5)</f>
        <v>53.040000000000006</v>
      </c>
      <c r="Y5" s="34">
        <v>21.39</v>
      </c>
      <c r="Z5" s="40">
        <v>5.6000000000000005</v>
      </c>
      <c r="AA5" s="33">
        <v>15.84</v>
      </c>
      <c r="AB5" s="40">
        <v>4.4000000000000004</v>
      </c>
      <c r="AC5" s="34">
        <v>51.86</v>
      </c>
      <c r="AD5" s="40">
        <v>13.5</v>
      </c>
      <c r="AE5" s="4">
        <f>IF(H5="Senior",MAX(AA5,AC5),AA5+AC5)</f>
        <v>51.86</v>
      </c>
      <c r="AF5" s="34">
        <v>52.069999999999993</v>
      </c>
      <c r="AG5" s="37">
        <v>13.5</v>
      </c>
    </row>
    <row r="6" spans="1:33" x14ac:dyDescent="0.2">
      <c r="A6" s="1" cm="1">
        <f t="array" ref="A6">IF(I6="","",IF(P6&lt;&gt;"",SUMPRODUCT((P$3:P$90&lt;&gt;"")*(G$3:G$90=G6)*(J$3:J$90&gt;J6)*(I$3:I$90="P"))+1,IF(O6&lt;&gt;"",SUMPRODUCT((O$3:O$90&lt;&gt;"")*(P$3:P$90="")*(G$3:G$90=G6)*(J$3:J$90&gt;J6)*(I$3:I$90="P"))+SUMPRODUCT((P$3:P$90&lt;&gt;"")*(G$3:G$90=G6)*(I$3:I$90="P"))+1,IF(N6&lt;&gt;"",SUMPRODUCT((N$3:N$90&lt;&gt;"")*(G$3:G$90=G6)*(J$3:J$90&gt;J6)*(I$3:I$90="P"))+1,IF(M6="P",SUMPRODUCT((O$3:O$90&lt;&gt;"")*(P$3:P$90="")*(G$3:G$90=G6)*(I$3:I$90="P"))+SUMPRODUCT((P$3:P$90&lt;&gt;"")*(G$3:G$90=G6)*(I$3:I$90="P"))+SUMPRODUCT((N$3:N$90&lt;&gt;"")*(G$3:G$90=G6)*(I$3:I$90="P"))+SUMPRODUCT((P$3:P$90="")*(O$3:O$90="")*(N$3:N$90="")*(M$3:M$90="P")*(G$3:G$90=G6)*(J$3:J$90&gt;J6)*(I$3:I$90="P"))+IF(H6="L5",SUMPRODUCT((P$3:P$90="")*(O$3:O$90="")*(N$3:N$90="")*(M$3:M$90="P")*(G$3:G$90=G6)*(J$3:J$90&lt;J6)*(H$3:H$90&lt;&gt;H6)*(I$3:I$90="P")),-1*SUMPRODUCT((P$3:P$90="")*(O$3:O$90="")*(N$3:N$90="")*(M$3:M$90="P")*(G$3:G$90=G6)*(J$3:J$90&gt;J6)*(H$3:H$90="L5")*(I$3:I$90="P")))+1,"")))))</f>
        <v>4</v>
      </c>
      <c r="B6" s="1" cm="1">
        <f t="array" ref="B6">IF(P6&lt;&gt;"",SUMPRODUCT((P$3:P$90&lt;&gt;"")*(G$3:G$90=G6)*(J$3:J$90&gt;J6))+1,IF(O6&lt;&gt;"",SUMPRODUCT((O$3:O$90&lt;&gt;"")*(P$3:P$90="")*(G$3:G$90=G6)*(J$3:J$90&gt;J6))+SUMPRODUCT((P$3:P$90&lt;&gt;"")*(G$3:G$90=G6))+1,IF(N6&lt;&gt;"",SUMPRODUCT((N$3:N$90&lt;&gt;"")*(G$3:G$90=G6)*(J$3:J$90&gt;J6))+1,IF(M6="P",SUMPRODUCT((O$3:O$90&lt;&gt;"")*(P$3:P$90="")*(G$3:G$90=G6))+SUMPRODUCT((P$3:P$90&lt;&gt;"")*(G$3:G$90=G6))+SUMPRODUCT((N$3:N$90&lt;&gt;"")*(G$3:G$90=G6))+SUMPRODUCT((P$3:P$90="")*(O$3:O$90="")*(N$3:N$90="")*(M$3:M$90="P")*(G$3:G$90=G6)*(J$3:J$90&gt;J6))+IF(H6="L5",SUMPRODUCT((P$3:P$90="")*(O$3:O$90="")*(N$3:N$90="")*(M$3:M$90="P")*(G$3:G$90=G6)*(J$3:J$90&lt;J6)*(H$3:H$90&lt;&gt;H6)),-1*SUMPRODUCT((P$3:P$90="")*(O$3:O$90="")*(N$3:N$90="")*(M$3:M$90="P")*(G$3:G$90=G6)*(J$3:J$90&gt;J6)*(H$3:H$90="L5")))+1,""))))</f>
        <v>7</v>
      </c>
      <c r="C6" s="36" t="s">
        <v>223</v>
      </c>
      <c r="D6" s="36" t="str">
        <f>IF(E6="","",VLOOKUP(E6,'Coaching Points'!A:B,2,0))</f>
        <v>QC</v>
      </c>
      <c r="E6" s="36" t="s">
        <v>3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52.790205178000008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49">
        <f>IF(A6&lt;5,IF(_xlfn.MAXIFS(A:A,G:G,G6)&gt;3,5-A6,_xlfn.MAXIFS(A:A,G:G,G6)+1-A6),"")</f>
        <v>1</v>
      </c>
      <c r="R6" s="4">
        <f>IF(G6="Not Age Eligible",0,IF(G6="17-21",MAX(IF(U6&gt;='Qualifying Scores'!B$13,T6,0),IF(W6&gt;='Qualifying Scores'!B$13,V6,0),IF(Z6&gt;='Qualifying Scores'!B$13,Y6,0),IF(AB6&gt;='Qualifying Scores'!B$13,AA6,0),IF(AD6&gt;'Qualifying Scores'!B$13,AC6,0),IF(AG6&gt;'Qualifying Scores'!B$13,AF6,0)),MAX(IF(OR(AND(G6="15-16",W6&gt;='Qualifying Scores'!B$12),AND(G6="13-14",W6&gt;='Qualifying Scores'!B$11),AND(G6="11-12",W6&gt;='Qualifying Scores'!B$10)),X6,0),IF(OR(AND(G6="15-16",AD6&gt;='Qualifying Scores'!B$12),AND(G6="13-14",AD6&gt;='Qualifying Scores'!B$11),AND(G6="11-12",AD6&gt;='Qualifying Scores'!B$10)),AE6,0))))</f>
        <v>52.790000000000006</v>
      </c>
      <c r="S6" s="4">
        <f>IF(G6="17-21",MAX(T6,V6,Y6,AA6,AC6,AF6),MAX(X6,AE6))</f>
        <v>52.790000000000006</v>
      </c>
      <c r="T6" s="33">
        <v>49.44</v>
      </c>
      <c r="U6" s="40">
        <v>12.6</v>
      </c>
      <c r="V6" s="34">
        <v>52.790000000000006</v>
      </c>
      <c r="W6" s="40">
        <v>13.5</v>
      </c>
      <c r="X6" s="4">
        <f>IF(H6="Senior",MAX(T6,V6),T6+V6)</f>
        <v>52.790000000000006</v>
      </c>
      <c r="Y6" s="34">
        <v>48.839999999999996</v>
      </c>
      <c r="Z6" s="40">
        <v>12.6</v>
      </c>
      <c r="AA6" s="33">
        <v>51.5</v>
      </c>
      <c r="AB6" s="40">
        <v>13.5</v>
      </c>
      <c r="AC6" s="34">
        <v>51.78</v>
      </c>
      <c r="AD6" s="40">
        <v>13.5</v>
      </c>
      <c r="AE6" s="4">
        <f>IF(H6="Senior",MAX(AA6,AC6),AA6+AC6)</f>
        <v>51.78</v>
      </c>
      <c r="AF6" s="34">
        <v>49.300000000000004</v>
      </c>
      <c r="AG6" s="37">
        <v>13.3</v>
      </c>
    </row>
    <row r="7" spans="1:33" x14ac:dyDescent="0.2">
      <c r="A7" s="1" t="str" cm="1">
        <f t="array" ref="A7">IF(I7="","",IF(P7&lt;&gt;"",SUMPRODUCT((P$3:P$90&lt;&gt;"")*(G$3:G$90=G7)*(J$3:J$90&gt;J7)*(I$3:I$90="P"))+1,IF(O7&lt;&gt;"",SUMPRODUCT((O$3:O$90&lt;&gt;"")*(P$3:P$90="")*(G$3:G$90=G7)*(J$3:J$90&gt;J7)*(I$3:I$90="P"))+SUMPRODUCT((P$3:P$90&lt;&gt;"")*(G$3:G$90=G7)*(I$3:I$90="P"))+1,IF(N7&lt;&gt;"",SUMPRODUCT((N$3:N$90&lt;&gt;"")*(G$3:G$90=G7)*(J$3:J$90&gt;J7)*(I$3:I$90="P"))+1,IF(M7="P",SUMPRODUCT((O$3:O$90&lt;&gt;"")*(P$3:P$90="")*(G$3:G$90=G7)*(I$3:I$90="P"))+SUMPRODUCT((P$3:P$90&lt;&gt;"")*(G$3:G$90=G7)*(I$3:I$90="P"))+SUMPRODUCT((N$3:N$90&lt;&gt;"")*(G$3:G$90=G7)*(I$3:I$90="P"))+SUMPRODUCT((P$3:P$90="")*(O$3:O$90="")*(N$3:N$90="")*(M$3:M$90="P")*(G$3:G$90=G7)*(J$3:J$90&gt;J7)*(I$3:I$90="P"))+IF(H7="L5",SUMPRODUCT((P$3:P$90="")*(O$3:O$90="")*(N$3:N$90="")*(M$3:M$90="P")*(G$3:G$90=G7)*(J$3:J$90&lt;J7)*(H$3:H$90&lt;&gt;H7)*(I$3:I$90="P")),-1*SUMPRODUCT((P$3:P$90="")*(O$3:O$90="")*(N$3:N$90="")*(M$3:M$90="P")*(G$3:G$90=G7)*(J$3:J$90&gt;J7)*(H$3:H$90="L5")*(I$3:I$90="P")))+1,"")))))</f>
        <v/>
      </c>
      <c r="B7" s="1" cm="1">
        <f t="array" ref="B7">IF(P7&lt;&gt;"",SUMPRODUCT((P$3:P$90&lt;&gt;"")*(G$3:G$90=G7)*(J$3:J$90&gt;J7))+1,IF(O7&lt;&gt;"",SUMPRODUCT((O$3:O$90&lt;&gt;"")*(P$3:P$90="")*(G$3:G$90=G7)*(J$3:J$90&gt;J7))+SUMPRODUCT((P$3:P$90&lt;&gt;"")*(G$3:G$90=G7))+1,IF(N7&lt;&gt;"",SUMPRODUCT((N$3:N$90&lt;&gt;"")*(G$3:G$90=G7)*(J$3:J$90&gt;J7))+1,IF(M7="P",SUMPRODUCT((O$3:O$90&lt;&gt;"")*(P$3:P$90="")*(G$3:G$90=G7))+SUMPRODUCT((P$3:P$90&lt;&gt;"")*(G$3:G$90=G7))+SUMPRODUCT((N$3:N$90&lt;&gt;"")*(G$3:G$90=G7))+SUMPRODUCT((P$3:P$90="")*(O$3:O$90="")*(N$3:N$90="")*(M$3:M$90="P")*(G$3:G$90=G7)*(J$3:J$90&gt;J7))+IF(H7="L5",SUMPRODUCT((P$3:P$90="")*(O$3:O$90="")*(N$3:N$90="")*(M$3:M$90="P")*(G$3:G$90=G7)*(J$3:J$90&lt;J7)*(H$3:H$90&lt;&gt;H7)),-1*SUMPRODUCT((P$3:P$90="")*(O$3:O$90="")*(N$3:N$90="")*(M$3:M$90="P")*(G$3:G$90=G7)*(J$3:J$90&gt;J7)*(H$3:H$90="L5")))+1,""))))</f>
        <v>1</v>
      </c>
      <c r="C7" s="36" t="s">
        <v>226</v>
      </c>
      <c r="D7" s="36" t="str">
        <f>IF(E7="","",VLOOKUP(E7,'Coaching Points'!A:B,2,0))</f>
        <v>QC</v>
      </c>
      <c r="E7" s="36" t="s">
        <v>179</v>
      </c>
      <c r="F7" s="35">
        <v>2001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R7+IF(OR(H7="Junior",H7="Senior"),0.0002,IF(OR(H7="L7",H7="L6"),0.0001,0))+IF(G7="17-21",MAX(AA7,AC7,AF7),AE7)*0.0000001</f>
        <v>59.880205988000007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9">
        <v>1</v>
      </c>
      <c r="P7" s="39">
        <v>1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Scores'!B$13,T7,0),IF(W7&gt;='Qualifying Scores'!B$13,V7,0),IF(Z7&gt;='Qualifying Scores'!B$13,Y7,0),IF(AB7&gt;='Qualifying Scores'!B$13,AA7,0),IF(AD7&gt;'Qualifying Scores'!B$13,AC7,0),IF(AG7&gt;'Qualifying Scores'!B$13,AF7,0)),MAX(IF(OR(AND(G7="15-16",W7&gt;='Qualifying Scores'!B$12),AND(G7="13-14",W7&gt;='Qualifying Scores'!B$11),AND(G7="11-12",W7&gt;='Qualifying Scores'!B$10)),X7,0),IF(OR(AND(G7="15-16",AD7&gt;='Qualifying Scores'!B$12),AND(G7="13-14",AD7&gt;='Qualifying Scores'!B$11),AND(G7="11-12",AD7&gt;='Qualifying Scores'!B$10)),AE7,0))))</f>
        <v>59.88000000000001</v>
      </c>
      <c r="S7" s="4">
        <f>IF(G7="17-21",MAX(T7,V7,Y7,AA7,AC7,AF7),MAX(X7,AE7))</f>
        <v>59.88000000000001</v>
      </c>
      <c r="T7" s="33">
        <v>46.429999999999993</v>
      </c>
      <c r="U7" s="40">
        <v>12.099999999999998</v>
      </c>
      <c r="V7" s="34">
        <v>58.050000000000004</v>
      </c>
      <c r="W7" s="40">
        <v>15.6</v>
      </c>
      <c r="X7" s="4">
        <f>IF(H7="Senior",MAX(T7,V7),T7+V7)</f>
        <v>58.050000000000004</v>
      </c>
      <c r="Y7" s="34">
        <v>12.149999999999999</v>
      </c>
      <c r="Z7" s="40">
        <v>3.8</v>
      </c>
      <c r="AA7" s="33">
        <v>59.88000000000001</v>
      </c>
      <c r="AB7" s="40">
        <v>16.2</v>
      </c>
      <c r="AC7" s="34">
        <v>18.989999999999998</v>
      </c>
      <c r="AD7" s="40">
        <v>5.6</v>
      </c>
      <c r="AE7" s="4">
        <f>IF(H7="Senior",MAX(AA7,AC7),AA7+AC7)</f>
        <v>59.88000000000001</v>
      </c>
      <c r="AF7" s="34">
        <v>58.53</v>
      </c>
      <c r="AG7" s="37">
        <v>16.2</v>
      </c>
    </row>
    <row r="8" spans="1:33" x14ac:dyDescent="0.2">
      <c r="A8" s="1" t="str" cm="1">
        <f t="array" ref="A8">IF(I8="","",IF(P8&lt;&gt;"",SUMPRODUCT((P$3:P$90&lt;&gt;"")*(G$3:G$90=G8)*(J$3:J$90&gt;J8)*(I$3:I$90="P"))+1,IF(O8&lt;&gt;"",SUMPRODUCT((O$3:O$90&lt;&gt;"")*(P$3:P$90="")*(G$3:G$90=G8)*(J$3:J$90&gt;J8)*(I$3:I$90="P"))+SUMPRODUCT((P$3:P$90&lt;&gt;"")*(G$3:G$90=G8)*(I$3:I$90="P"))+1,IF(N8&lt;&gt;"",SUMPRODUCT((N$3:N$90&lt;&gt;"")*(G$3:G$90=G8)*(J$3:J$90&gt;J8)*(I$3:I$90="P"))+1,IF(M8="P",SUMPRODUCT((O$3:O$90&lt;&gt;"")*(P$3:P$90="")*(G$3:G$90=G8)*(I$3:I$90="P"))+SUMPRODUCT((P$3:P$90&lt;&gt;"")*(G$3:G$90=G8)*(I$3:I$90="P"))+SUMPRODUCT((N$3:N$90&lt;&gt;"")*(G$3:G$90=G8)*(I$3:I$90="P"))+SUMPRODUCT((P$3:P$90="")*(O$3:O$90="")*(N$3:N$90="")*(M$3:M$90="P")*(G$3:G$90=G8)*(J$3:J$90&gt;J8)*(I$3:I$90="P"))+IF(H8="L5",SUMPRODUCT((P$3:P$90="")*(O$3:O$90="")*(N$3:N$90="")*(M$3:M$90="P")*(G$3:G$90=G8)*(J$3:J$90&lt;J8)*(H$3:H$90&lt;&gt;H8)*(I$3:I$90="P")),-1*SUMPRODUCT((P$3:P$90="")*(O$3:O$90="")*(N$3:N$90="")*(M$3:M$90="P")*(G$3:G$90=G8)*(J$3:J$90&gt;J8)*(H$3:H$90="L5")*(I$3:I$90="P")))+1,"")))))</f>
        <v/>
      </c>
      <c r="B8" s="1" cm="1">
        <f t="array" ref="B8">IF(P8&lt;&gt;"",SUMPRODUCT((P$3:P$90&lt;&gt;"")*(G$3:G$90=G8)*(J$3:J$90&gt;J8))+1,IF(O8&lt;&gt;"",SUMPRODUCT((O$3:O$90&lt;&gt;"")*(P$3:P$90="")*(G$3:G$90=G8)*(J$3:J$90&gt;J8))+SUMPRODUCT((P$3:P$90&lt;&gt;"")*(G$3:G$90=G8))+1,IF(N8&lt;&gt;"",SUMPRODUCT((N$3:N$90&lt;&gt;"")*(G$3:G$90=G8)*(J$3:J$90&gt;J8))+1,IF(M8="P",SUMPRODUCT((O$3:O$90&lt;&gt;"")*(P$3:P$90="")*(G$3:G$90=G8))+SUMPRODUCT((P$3:P$90&lt;&gt;"")*(G$3:G$90=G8))+SUMPRODUCT((N$3:N$90&lt;&gt;"")*(G$3:G$90=G8))+SUMPRODUCT((P$3:P$90="")*(O$3:O$90="")*(N$3:N$90="")*(M$3:M$90="P")*(G$3:G$90=G8)*(J$3:J$90&gt;J8))+IF(H8="L5",SUMPRODUCT((P$3:P$90="")*(O$3:O$90="")*(N$3:N$90="")*(M$3:M$90="P")*(G$3:G$90=G8)*(J$3:J$90&lt;J8)*(H$3:H$90&lt;&gt;H8)),-1*SUMPRODUCT((P$3:P$90="")*(O$3:O$90="")*(N$3:N$90="")*(M$3:M$90="P")*(G$3:G$90=G8)*(J$3:J$90&gt;J8)*(H$3:H$90="L5")))+1,""))))</f>
        <v>2</v>
      </c>
      <c r="C8" s="36" t="s">
        <v>221</v>
      </c>
      <c r="D8" s="36" t="str">
        <f>IF(E8="","",VLOOKUP(E8,'Coaching Points'!A:B,2,0))</f>
        <v>QC</v>
      </c>
      <c r="E8" s="36" t="s">
        <v>3</v>
      </c>
      <c r="F8" s="35">
        <v>2001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R8+IF(OR(H8="Junior",H8="Senior"),0.0002,IF(OR(H8="L7",H8="L6"),0.0001,0))+IF(G8="17-21",MAX(AA8,AC8,AF8),AE8)*0.0000001</f>
        <v>58.240205823999993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O8" s="39">
        <v>2</v>
      </c>
      <c r="P8" s="39">
        <v>2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Scores'!B$13,T8,0),IF(W8&gt;='Qualifying Scores'!B$13,V8,0),IF(Z8&gt;='Qualifying Scores'!B$13,Y8,0),IF(AB8&gt;='Qualifying Scores'!B$13,AA8,0),IF(AD8&gt;'Qualifying Scores'!B$13,AC8,0),IF(AG8&gt;'Qualifying Scores'!B$13,AF8,0)),MAX(IF(OR(AND(G8="15-16",W8&gt;='Qualifying Scores'!B$12),AND(G8="13-14",W8&gt;='Qualifying Scores'!B$11),AND(G8="11-12",W8&gt;='Qualifying Scores'!B$10)),X8,0),IF(OR(AND(G8="15-16",AD8&gt;='Qualifying Scores'!B$12),AND(G8="13-14",AD8&gt;='Qualifying Scores'!B$11),AND(G8="11-12",AD8&gt;='Qualifying Scores'!B$10)),AE8,0))))</f>
        <v>58.239999999999995</v>
      </c>
      <c r="S8" s="4">
        <f>IF(G8="17-21",MAX(T8,V8,Y8,AA8,AC8,AF8),MAX(X8,AE8))</f>
        <v>58.239999999999995</v>
      </c>
      <c r="T8" s="33">
        <v>57.41</v>
      </c>
      <c r="U8" s="40">
        <v>14.999999999999998</v>
      </c>
      <c r="V8" s="34">
        <v>53.089999999999996</v>
      </c>
      <c r="W8" s="40">
        <v>12.7</v>
      </c>
      <c r="X8" s="4">
        <f>IF(H8="Senior",MAX(T8,V8),T8+V8)</f>
        <v>57.41</v>
      </c>
      <c r="Y8" s="34">
        <v>58.05</v>
      </c>
      <c r="Z8" s="40">
        <v>15.6</v>
      </c>
      <c r="AA8" s="33">
        <v>58.13000000000001</v>
      </c>
      <c r="AB8" s="40">
        <v>16.2</v>
      </c>
      <c r="AC8" s="34">
        <v>58.14</v>
      </c>
      <c r="AD8" s="40">
        <v>16.2</v>
      </c>
      <c r="AE8" s="4">
        <f>IF(H8="Senior",MAX(AA8,AC8),AA8+AC8)</f>
        <v>58.14</v>
      </c>
      <c r="AF8" s="34">
        <v>58.239999999999995</v>
      </c>
      <c r="AG8" s="37">
        <v>16.2</v>
      </c>
    </row>
    <row r="9" spans="1:33" x14ac:dyDescent="0.2">
      <c r="A9" s="1" t="str" cm="1">
        <f t="array" ref="A9">IF(I9="","",IF(P9&lt;&gt;"",SUMPRODUCT((P$3:P$90&lt;&gt;"")*(G$3:G$90=G9)*(J$3:J$90&gt;J9)*(I$3:I$90="P"))+1,IF(O9&lt;&gt;"",SUMPRODUCT((O$3:O$90&lt;&gt;"")*(P$3:P$90="")*(G$3:G$90=G9)*(J$3:J$90&gt;J9)*(I$3:I$90="P"))+SUMPRODUCT((P$3:P$90&lt;&gt;"")*(G$3:G$90=G9)*(I$3:I$90="P"))+1,IF(N9&lt;&gt;"",SUMPRODUCT((N$3:N$90&lt;&gt;"")*(G$3:G$90=G9)*(J$3:J$90&gt;J9)*(I$3:I$90="P"))+1,IF(M9="P",SUMPRODUCT((O$3:O$90&lt;&gt;"")*(P$3:P$90="")*(G$3:G$90=G9)*(I$3:I$90="P"))+SUMPRODUCT((P$3:P$90&lt;&gt;"")*(G$3:G$90=G9)*(I$3:I$90="P"))+SUMPRODUCT((N$3:N$90&lt;&gt;"")*(G$3:G$90=G9)*(I$3:I$90="P"))+SUMPRODUCT((P$3:P$90="")*(O$3:O$90="")*(N$3:N$90="")*(M$3:M$90="P")*(G$3:G$90=G9)*(J$3:J$90&gt;J9)*(I$3:I$90="P"))+IF(H9="L5",SUMPRODUCT((P$3:P$90="")*(O$3:O$90="")*(N$3:N$90="")*(M$3:M$90="P")*(G$3:G$90=G9)*(J$3:J$90&lt;J9)*(H$3:H$90&lt;&gt;H9)*(I$3:I$90="P")),-1*SUMPRODUCT((P$3:P$90="")*(O$3:O$90="")*(N$3:N$90="")*(M$3:M$90="P")*(G$3:G$90=G9)*(J$3:J$90&gt;J9)*(H$3:H$90="L5")*(I$3:I$90="P")))+1,"")))))</f>
        <v/>
      </c>
      <c r="B9" s="1" cm="1">
        <f t="array" ref="B9">IF(P9&lt;&gt;"",SUMPRODUCT((P$3:P$90&lt;&gt;"")*(G$3:G$90=G9)*(J$3:J$90&gt;J9))+1,IF(O9&lt;&gt;"",SUMPRODUCT((O$3:O$90&lt;&gt;"")*(P$3:P$90="")*(G$3:G$90=G9)*(J$3:J$90&gt;J9))+SUMPRODUCT((P$3:P$90&lt;&gt;"")*(G$3:G$90=G9))+1,IF(N9&lt;&gt;"",SUMPRODUCT((N$3:N$90&lt;&gt;"")*(G$3:G$90=G9)*(J$3:J$90&gt;J9))+1,IF(M9="P",SUMPRODUCT((O$3:O$90&lt;&gt;"")*(P$3:P$90="")*(G$3:G$90=G9))+SUMPRODUCT((P$3:P$90&lt;&gt;"")*(G$3:G$90=G9))+SUMPRODUCT((N$3:N$90&lt;&gt;"")*(G$3:G$90=G9))+SUMPRODUCT((P$3:P$90="")*(O$3:O$90="")*(N$3:N$90="")*(M$3:M$90="P")*(G$3:G$90=G9)*(J$3:J$90&gt;J9))+IF(H9="L5",SUMPRODUCT((P$3:P$90="")*(O$3:O$90="")*(N$3:N$90="")*(M$3:M$90="P")*(G$3:G$90=G9)*(J$3:J$90&lt;J9)*(H$3:H$90&lt;&gt;H9)),-1*SUMPRODUCT((P$3:P$90="")*(O$3:O$90="")*(N$3:N$90="")*(M$3:M$90="P")*(G$3:G$90=G9)*(J$3:J$90&gt;J9)*(H$3:H$90="L5")))+1,""))))</f>
        <v>5</v>
      </c>
      <c r="C9" s="36" t="s">
        <v>39</v>
      </c>
      <c r="D9" s="36" t="str">
        <f>IF(E9="","",VLOOKUP(E9,'Coaching Points'!A:B,2,0))</f>
        <v>ON</v>
      </c>
      <c r="E9" s="36" t="s">
        <v>38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R9+IF(OR(H9="Junior",H9="Senior"),0.0002,IF(OR(H9="L7",H9="L6"),0.0001,0))+IF(G9="17-21",MAX(AA9,AC9,AF9),AE9)*0.0000001</f>
        <v>53.240205323999994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Scores'!B$13,T9,0),IF(W9&gt;='Qualifying Scores'!B$13,V9,0),IF(Z9&gt;='Qualifying Scores'!B$13,Y9,0),IF(AB9&gt;='Qualifying Scores'!B$13,AA9,0),IF(AD9&gt;'Qualifying Scores'!B$13,AC9,0),IF(AG9&gt;'Qualifying Scores'!B$13,AF9,0)),MAX(IF(OR(AND(G9="15-16",W9&gt;='Qualifying Scores'!B$12),AND(G9="13-14",W9&gt;='Qualifying Scores'!B$11),AND(G9="11-12",W9&gt;='Qualifying Scores'!B$10)),X9,0),IF(OR(AND(G9="15-16",AD9&gt;='Qualifying Scores'!B$12),AND(G9="13-14",AD9&gt;='Qualifying Scores'!B$11),AND(G9="11-12",AD9&gt;='Qualifying Scores'!B$10)),AE9,0))))</f>
        <v>53.239999999999995</v>
      </c>
      <c r="S9" s="4">
        <f>IF(G9="17-21",MAX(T9,V9,Y9,AA9,AC9,AF9),MAX(X9,AE9))</f>
        <v>53.239999999999995</v>
      </c>
      <c r="T9" s="33">
        <v>27.650000000000002</v>
      </c>
      <c r="U9" s="40">
        <v>8.1999999999999993</v>
      </c>
      <c r="V9" s="34">
        <v>48.8</v>
      </c>
      <c r="W9" s="40">
        <v>13.599999999999998</v>
      </c>
      <c r="X9" s="4">
        <f>IF(H9="Senior",MAX(T9,V9),T9+V9)</f>
        <v>48.8</v>
      </c>
      <c r="Y9" s="34">
        <v>0</v>
      </c>
      <c r="Z9" s="40">
        <v>0</v>
      </c>
      <c r="AA9" s="33">
        <v>53.239999999999995</v>
      </c>
      <c r="AB9" s="40">
        <v>14.4</v>
      </c>
      <c r="AC9" s="34">
        <v>11.42</v>
      </c>
      <c r="AD9" s="40">
        <v>3.4</v>
      </c>
      <c r="AE9" s="4">
        <f>IF(H9="Senior",MAX(AA9,AC9),AA9+AC9)</f>
        <v>53.239999999999995</v>
      </c>
      <c r="AF9" s="34">
        <v>11.19</v>
      </c>
      <c r="AG9" s="37">
        <v>3.4</v>
      </c>
    </row>
    <row r="10" spans="1:33" x14ac:dyDescent="0.2">
      <c r="A10" s="1" t="str" cm="1">
        <f t="array" ref="A10">IF(I10="","",IF(P10&lt;&gt;"",SUMPRODUCT((P$3:P$90&lt;&gt;"")*(G$3:G$90=G10)*(J$3:J$90&gt;J10)*(I$3:I$90="P"))+1,IF(O10&lt;&gt;"",SUMPRODUCT((O$3:O$90&lt;&gt;"")*(P$3:P$90="")*(G$3:G$90=G10)*(J$3:J$90&gt;J10)*(I$3:I$90="P"))+SUMPRODUCT((P$3:P$90&lt;&gt;"")*(G$3:G$90=G10)*(I$3:I$90="P"))+1,IF(N10&lt;&gt;"",SUMPRODUCT((N$3:N$90&lt;&gt;"")*(G$3:G$90=G10)*(J$3:J$90&gt;J10)*(I$3:I$90="P"))+1,IF(M10="P",SUMPRODUCT((O$3:O$90&lt;&gt;"")*(P$3:P$90="")*(G$3:G$90=G10)*(I$3:I$90="P"))+SUMPRODUCT((P$3:P$90&lt;&gt;"")*(G$3:G$90=G10)*(I$3:I$90="P"))+SUMPRODUCT((N$3:N$90&lt;&gt;"")*(G$3:G$90=G10)*(I$3:I$90="P"))+SUMPRODUCT((P$3:P$90="")*(O$3:O$90="")*(N$3:N$90="")*(M$3:M$90="P")*(G$3:G$90=G10)*(J$3:J$90&gt;J10)*(I$3:I$90="P"))+IF(H10="L5",SUMPRODUCT((P$3:P$90="")*(O$3:O$90="")*(N$3:N$90="")*(M$3:M$90="P")*(G$3:G$90=G10)*(J$3:J$90&lt;J10)*(H$3:H$90&lt;&gt;H10)*(I$3:I$90="P")),-1*SUMPRODUCT((P$3:P$90="")*(O$3:O$90="")*(N$3:N$90="")*(M$3:M$90="P")*(G$3:G$90=G10)*(J$3:J$90&gt;J10)*(H$3:H$90="L5")*(I$3:I$90="P")))+1,"")))))</f>
        <v/>
      </c>
      <c r="B10" s="1" t="str" cm="1">
        <f t="array" ref="B10">IF(P10&lt;&gt;"",SUMPRODUCT((P$3:P$90&lt;&gt;"")*(G$3:G$90=G10)*(J$3:J$90&gt;J10))+1,IF(O10&lt;&gt;"",SUMPRODUCT((O$3:O$90&lt;&gt;"")*(P$3:P$90="")*(G$3:G$90=G10)*(J$3:J$90&gt;J10))+SUMPRODUCT((P$3:P$90&lt;&gt;"")*(G$3:G$90=G10))+1,IF(N10&lt;&gt;"",SUMPRODUCT((N$3:N$90&lt;&gt;"")*(G$3:G$90=G10)*(J$3:J$90&gt;J10))+1,IF(M10="P",SUMPRODUCT((O$3:O$90&lt;&gt;"")*(P$3:P$90="")*(G$3:G$90=G10))+SUMPRODUCT((P$3:P$90&lt;&gt;"")*(G$3:G$90=G10))+SUMPRODUCT((N$3:N$90&lt;&gt;"")*(G$3:G$90=G10))+SUMPRODUCT((P$3:P$90="")*(O$3:O$90="")*(N$3:N$90="")*(M$3:M$90="P")*(G$3:G$90=G10)*(J$3:J$90&gt;J10))+IF(H10="L5",SUMPRODUCT((P$3:P$90="")*(O$3:O$90="")*(N$3:N$90="")*(M$3:M$90="P")*(G$3:G$90=G10)*(J$3:J$90&lt;J10)*(H$3:H$90&lt;&gt;H10)),-1*SUMPRODUCT((P$3:P$90="")*(O$3:O$90="")*(N$3:N$90="")*(M$3:M$90="P")*(G$3:G$90=G10)*(J$3:J$90&gt;J10)*(H$3:H$90="L5")))+1,""))))</f>
        <v/>
      </c>
      <c r="C10" s="36" t="s">
        <v>222</v>
      </c>
      <c r="D10" s="36" t="str">
        <f>IF(E10="","",VLOOKUP(E10,'Coaching Points'!A:B,2,0))</f>
        <v>ON</v>
      </c>
      <c r="E10" s="36" t="s">
        <v>48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>R10+IF(OR(H10="Junior",H10="Senior"),0.0002,IF(OR(H10="L7",H10="L6"),0.0001,0))+IF(G10="17-21",MAX(AA10,AC10,AF10),AE10)*0.0000001</f>
        <v>51.770199999999996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Scores'!B$13,T10,0),IF(W10&gt;='Qualifying Scores'!B$13,V10,0),IF(Z10&gt;='Qualifying Scores'!B$13,Y10,0),IF(AB10&gt;='Qualifying Scores'!B$13,AA10,0),IF(AD10&gt;'Qualifying Scores'!B$13,AC10,0),IF(AG10&gt;'Qualifying Scores'!B$13,AF10,0)),MAX(IF(OR(AND(G10="15-16",W10&gt;='Qualifying Scores'!B$12),AND(G10="13-14",W10&gt;='Qualifying Scores'!B$11),AND(G10="11-12",W10&gt;='Qualifying Scores'!B$10)),X10,0),IF(OR(AND(G10="15-16",AD10&gt;='Qualifying Scores'!B$12),AND(G10="13-14",AD10&gt;='Qualifying Scores'!B$11),AND(G10="11-12",AD10&gt;='Qualifying Scores'!B$10)),AE10,0))))</f>
        <v>51.769999999999996</v>
      </c>
      <c r="S10" s="4">
        <f>IF(G10="17-21",MAX(T10,V10,Y10,AA10,AC10,AF10),MAX(X10,AE10))</f>
        <v>51.769999999999996</v>
      </c>
      <c r="T10" s="33">
        <v>51.769999999999996</v>
      </c>
      <c r="U10" s="40">
        <v>14.599999999999998</v>
      </c>
      <c r="V10" s="34">
        <v>43.150000000000006</v>
      </c>
      <c r="W10" s="40">
        <v>11.9</v>
      </c>
      <c r="X10" s="4">
        <f>IF(H10="Senior",MAX(T10,V10),T10+V10)</f>
        <v>51.769999999999996</v>
      </c>
      <c r="Y10" s="34">
        <v>51.68</v>
      </c>
      <c r="Z10" s="40">
        <v>14.2</v>
      </c>
      <c r="AA10" s="33"/>
      <c r="AB10" s="40"/>
      <c r="AC10" s="34"/>
      <c r="AD10" s="40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$90&lt;&gt;"")*(G$3:G$90=G11)*(J$3:J$90&gt;J11)*(I$3:I$90="P"))+1,IF(O11&lt;&gt;"",SUMPRODUCT((O$3:O$90&lt;&gt;"")*(P$3:P$90="")*(G$3:G$90=G11)*(J$3:J$90&gt;J11)*(I$3:I$90="P"))+SUMPRODUCT((P$3:P$90&lt;&gt;"")*(G$3:G$90=G11)*(I$3:I$90="P"))+1,IF(N11&lt;&gt;"",SUMPRODUCT((N$3:N$90&lt;&gt;"")*(G$3:G$90=G11)*(J$3:J$90&gt;J11)*(I$3:I$90="P"))+1,IF(M11="P",SUMPRODUCT((O$3:O$90&lt;&gt;"")*(P$3:P$90="")*(G$3:G$90=G11)*(I$3:I$90="P"))+SUMPRODUCT((P$3:P$90&lt;&gt;"")*(G$3:G$90=G11)*(I$3:I$90="P"))+SUMPRODUCT((N$3:N$90&lt;&gt;"")*(G$3:G$90=G11)*(I$3:I$90="P"))+SUMPRODUCT((P$3:P$90="")*(O$3:O$90="")*(N$3:N$90="")*(M$3:M$90="P")*(G$3:G$90=G11)*(J$3:J$90&gt;J11)*(I$3:I$90="P"))+IF(H11="L5",SUMPRODUCT((P$3:P$90="")*(O$3:O$90="")*(N$3:N$90="")*(M$3:M$90="P")*(G$3:G$90=G11)*(J$3:J$90&lt;J11)*(H$3:H$90&lt;&gt;H11)*(I$3:I$90="P")),-1*SUMPRODUCT((P$3:P$90="")*(O$3:O$90="")*(N$3:N$90="")*(M$3:M$90="P")*(G$3:G$90=G11)*(J$3:J$90&gt;J11)*(H$3:H$90="L5")*(I$3:I$90="P")))+1,"")))))</f>
        <v/>
      </c>
      <c r="B11" s="1" t="str" cm="1">
        <f t="array" ref="B11">IF(P11&lt;&gt;"",SUMPRODUCT((P$3:P$90&lt;&gt;"")*(G$3:G$90=G11)*(J$3:J$90&gt;J11))+1,IF(O11&lt;&gt;"",SUMPRODUCT((O$3:O$90&lt;&gt;"")*(P$3:P$90="")*(G$3:G$90=G11)*(J$3:J$90&gt;J11))+SUMPRODUCT((P$3:P$90&lt;&gt;"")*(G$3:G$90=G11))+1,IF(N11&lt;&gt;"",SUMPRODUCT((N$3:N$90&lt;&gt;"")*(G$3:G$90=G11)*(J$3:J$90&gt;J11))+1,IF(M11="P",SUMPRODUCT((O$3:O$90&lt;&gt;"")*(P$3:P$90="")*(G$3:G$90=G11))+SUMPRODUCT((P$3:P$90&lt;&gt;"")*(G$3:G$90=G11))+SUMPRODUCT((N$3:N$90&lt;&gt;"")*(G$3:G$90=G11))+SUMPRODUCT((P$3:P$90="")*(O$3:O$90="")*(N$3:N$90="")*(M$3:M$90="P")*(G$3:G$90=G11)*(J$3:J$90&gt;J11))+IF(H11="L5",SUMPRODUCT((P$3:P$90="")*(O$3:O$90="")*(N$3:N$90="")*(M$3:M$90="P")*(G$3:G$90=G11)*(J$3:J$90&lt;J11)*(H$3:H$90&lt;&gt;H11)),-1*SUMPRODUCT((P$3:P$90="")*(O$3:O$90="")*(N$3:N$90="")*(M$3:M$90="P")*(G$3:G$90=G11)*(J$3:J$90&gt;J11)*(H$3:H$90="L5")))+1,""))))</f>
        <v/>
      </c>
      <c r="C11" s="36" t="s">
        <v>313</v>
      </c>
      <c r="D11" s="36" t="str">
        <f>IF(E11="","",VLOOKUP(E11,'Coaching Points'!A:B,2,0))</f>
        <v>AB</v>
      </c>
      <c r="E11" s="36" t="s">
        <v>91</v>
      </c>
      <c r="F11" s="35">
        <v>2003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 t="s">
        <v>604</v>
      </c>
      <c r="J11" s="4">
        <f>R11+IF(OR(H11="Junior",H11="Senior"),0.0002,IF(OR(H11="L7",H11="L6"),0.0001,0))+IF(G11="17-21",MAX(AA11,AC11,AF11),AE11)*0.0000001</f>
        <v>48.620204862000001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Scores'!B$13,T11,0),IF(W11&gt;='Qualifying Scores'!B$13,V11,0),IF(Z11&gt;='Qualifying Scores'!B$13,Y11,0),IF(AB11&gt;='Qualifying Scores'!B$13,AA11,0),IF(AD11&gt;'Qualifying Scores'!B$13,AC11,0),IF(AG11&gt;'Qualifying Scores'!B$13,AF11,0)),MAX(IF(OR(AND(G11="15-16",W11&gt;='Qualifying Scores'!B$12),AND(G11="13-14",W11&gt;='Qualifying Scores'!B$11),AND(G11="11-12",W11&gt;='Qualifying Scores'!B$10)),X11,0),IF(OR(AND(G11="15-16",AD11&gt;='Qualifying Scores'!B$12),AND(G11="13-14",AD11&gt;='Qualifying Scores'!B$11),AND(G11="11-12",AD11&gt;='Qualifying Scores'!B$10)),AE11,0))))</f>
        <v>48.620000000000005</v>
      </c>
      <c r="S11" s="4">
        <f>IF(G11="17-21",MAX(T11,V11,Y11,AA11,AC11,AF11),MAX(X11,AE11))</f>
        <v>48.620000000000005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10.85</v>
      </c>
      <c r="AB11" s="40">
        <v>2.9</v>
      </c>
      <c r="AC11" s="34">
        <v>48.620000000000005</v>
      </c>
      <c r="AD11" s="40">
        <v>13.7</v>
      </c>
      <c r="AE11" s="4">
        <f>IF(H11="Senior",MAX(AA11,AC11),AA11+AC11)</f>
        <v>48.620000000000005</v>
      </c>
      <c r="AF11" s="34"/>
      <c r="AG11" s="37"/>
    </row>
    <row r="12" spans="1:33" x14ac:dyDescent="0.2">
      <c r="A12" s="1" t="str" cm="1">
        <f t="array" ref="A12">IF(I12="","",IF(P12&lt;&gt;"",SUMPRODUCT((P$3:P$90&lt;&gt;"")*(G$3:G$90=G12)*(J$3:J$90&gt;J12)*(I$3:I$90="P"))+1,IF(O12&lt;&gt;"",SUMPRODUCT((O$3:O$90&lt;&gt;"")*(P$3:P$90="")*(G$3:G$90=G12)*(J$3:J$90&gt;J12)*(I$3:I$90="P"))+SUMPRODUCT((P$3:P$90&lt;&gt;"")*(G$3:G$90=G12)*(I$3:I$90="P"))+1,IF(N12&lt;&gt;"",SUMPRODUCT((N$3:N$90&lt;&gt;"")*(G$3:G$90=G12)*(J$3:J$90&gt;J12)*(I$3:I$90="P"))+1,IF(M12="P",SUMPRODUCT((O$3:O$90&lt;&gt;"")*(P$3:P$90="")*(G$3:G$90=G12)*(I$3:I$90="P"))+SUMPRODUCT((P$3:P$90&lt;&gt;"")*(G$3:G$90=G12)*(I$3:I$90="P"))+SUMPRODUCT((N$3:N$90&lt;&gt;"")*(G$3:G$90=G12)*(I$3:I$90="P"))+SUMPRODUCT((P$3:P$90="")*(O$3:O$90="")*(N$3:N$90="")*(M$3:M$90="P")*(G$3:G$90=G12)*(J$3:J$90&gt;J12)*(I$3:I$90="P"))+IF(H12="L5",SUMPRODUCT((P$3:P$90="")*(O$3:O$90="")*(N$3:N$90="")*(M$3:M$90="P")*(G$3:G$90=G12)*(J$3:J$90&lt;J12)*(H$3:H$90&lt;&gt;H12)*(I$3:I$90="P")),-1*SUMPRODUCT((P$3:P$90="")*(O$3:O$90="")*(N$3:N$90="")*(M$3:M$90="P")*(G$3:G$90=G12)*(J$3:J$90&gt;J12)*(H$3:H$90="L5")*(I$3:I$90="P")))+1,"")))))</f>
        <v/>
      </c>
      <c r="B12" s="1" t="str" cm="1">
        <f t="array" ref="B12">IF(P12&lt;&gt;"",SUMPRODUCT((P$3:P$90&lt;&gt;"")*(G$3:G$90=G12)*(J$3:J$90&gt;J12))+1,IF(O12&lt;&gt;"",SUMPRODUCT((O$3:O$90&lt;&gt;"")*(P$3:P$90="")*(G$3:G$90=G12)*(J$3:J$90&gt;J12))+SUMPRODUCT((P$3:P$90&lt;&gt;"")*(G$3:G$90=G12))+1,IF(N12&lt;&gt;"",SUMPRODUCT((N$3:N$90&lt;&gt;"")*(G$3:G$90=G12)*(J$3:J$90&gt;J12))+1,IF(M12="P",SUMPRODUCT((O$3:O$90&lt;&gt;"")*(P$3:P$90="")*(G$3:G$90=G12))+SUMPRODUCT((P$3:P$90&lt;&gt;"")*(G$3:G$90=G12))+SUMPRODUCT((N$3:N$90&lt;&gt;"")*(G$3:G$90=G12))+SUMPRODUCT((P$3:P$90="")*(O$3:O$90="")*(N$3:N$90="")*(M$3:M$90="P")*(G$3:G$90=G12)*(J$3:J$90&gt;J12))+IF(H12="L5",SUMPRODUCT((P$3:P$90="")*(O$3:O$90="")*(N$3:N$90="")*(M$3:M$90="P")*(G$3:G$90=G12)*(J$3:J$90&lt;J12)*(H$3:H$90&lt;&gt;H12)),-1*SUMPRODUCT((P$3:P$90="")*(O$3:O$90="")*(N$3:N$90="")*(M$3:M$90="P")*(G$3:G$90=G12)*(J$3:J$90&gt;J12)*(H$3:H$90="L5")))+1,""))))</f>
        <v/>
      </c>
      <c r="C12" s="36" t="s">
        <v>227</v>
      </c>
      <c r="D12" s="36" t="str">
        <f>IF(E12="","",VLOOKUP(E12,'Coaching Points'!A:B,2,0))</f>
        <v>NB</v>
      </c>
      <c r="E12" s="36" t="s">
        <v>49</v>
      </c>
      <c r="F12" s="35">
        <v>2001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 t="s">
        <v>604</v>
      </c>
      <c r="J12" s="4">
        <f>R12+IF(OR(H12="Junior",H12="Senior"),0.0002,IF(OR(H12="L7",H12="L6"),0.0001,0))+IF(G12="17-21",MAX(AA12,AC12,AF12),AE12)*0.0000001</f>
        <v>2.0114700000000002E-4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Scores'!B$13,T12,0),IF(W12&gt;='Qualifying Scores'!B$13,V12,0),IF(Z12&gt;='Qualifying Scores'!B$13,Y12,0),IF(AB12&gt;='Qualifying Scores'!B$13,AA12,0),IF(AD12&gt;'Qualifying Scores'!B$13,AC12,0),IF(AG12&gt;'Qualifying Scores'!B$13,AF12,0)),MAX(IF(OR(AND(G12="15-16",W12&gt;='Qualifying Scores'!B$12),AND(G12="13-14",W12&gt;='Qualifying Scores'!B$11),AND(G12="11-12",W12&gt;='Qualifying Scores'!B$10)),X12,0),IF(OR(AND(G12="15-16",AD12&gt;='Qualifying Scores'!B$12),AND(G12="13-14",AD12&gt;='Qualifying Scores'!B$11),AND(G12="11-12",AD12&gt;='Qualifying Scores'!B$10)),AE12,0))))</f>
        <v>0</v>
      </c>
      <c r="S12" s="4">
        <f>IF(G12="17-21",MAX(T12,V12,Y12,AA12,AC12,AF12),MAX(X12,AE12))</f>
        <v>49.16</v>
      </c>
      <c r="T12" s="33">
        <v>49.16</v>
      </c>
      <c r="U12" s="40">
        <v>12.299999999999997</v>
      </c>
      <c r="V12" s="34">
        <v>46.47</v>
      </c>
      <c r="W12" s="40">
        <v>12.999999999999998</v>
      </c>
      <c r="X12" s="4">
        <f>IF(H12="Senior",MAX(T12,V12),T12+V12)</f>
        <v>49.16</v>
      </c>
      <c r="Y12" s="34">
        <v>0</v>
      </c>
      <c r="Z12" s="40">
        <v>0</v>
      </c>
      <c r="AA12" s="33">
        <v>11.47</v>
      </c>
      <c r="AB12" s="40">
        <v>3.2</v>
      </c>
      <c r="AC12" s="34">
        <v>5.82</v>
      </c>
      <c r="AD12" s="40">
        <v>2</v>
      </c>
      <c r="AE12" s="4">
        <f>IF(H12="Senior",MAX(AA12,AC12),AA12+AC12)</f>
        <v>11.47</v>
      </c>
      <c r="AF12" s="34"/>
      <c r="AG12" s="37"/>
    </row>
    <row r="13" spans="1:33" x14ac:dyDescent="0.2">
      <c r="A13" s="1" t="str" cm="1">
        <f t="array" ref="A13">IF(I13="","",IF(P13&lt;&gt;"",SUMPRODUCT((P$3:P$90&lt;&gt;"")*(G$3:G$90=G13)*(J$3:J$90&gt;J13)*(I$3:I$90="P"))+1,IF(O13&lt;&gt;"",SUMPRODUCT((O$3:O$90&lt;&gt;"")*(P$3:P$90="")*(G$3:G$90=G13)*(J$3:J$90&gt;J13)*(I$3:I$90="P"))+SUMPRODUCT((P$3:P$90&lt;&gt;"")*(G$3:G$90=G13)*(I$3:I$90="P"))+1,IF(N13&lt;&gt;"",SUMPRODUCT((N$3:N$90&lt;&gt;"")*(G$3:G$90=G13)*(J$3:J$90&gt;J13)*(I$3:I$90="P"))+1,IF(M13="P",SUMPRODUCT((O$3:O$90&lt;&gt;"")*(P$3:P$90="")*(G$3:G$90=G13)*(I$3:I$90="P"))+SUMPRODUCT((P$3:P$90&lt;&gt;"")*(G$3:G$90=G13)*(I$3:I$90="P"))+SUMPRODUCT((N$3:N$90&lt;&gt;"")*(G$3:G$90=G13)*(I$3:I$90="P"))+SUMPRODUCT((P$3:P$90="")*(O$3:O$90="")*(N$3:N$90="")*(M$3:M$90="P")*(G$3:G$90=G13)*(J$3:J$90&gt;J13)*(I$3:I$90="P"))+IF(H13="L5",SUMPRODUCT((P$3:P$90="")*(O$3:O$90="")*(N$3:N$90="")*(M$3:M$90="P")*(G$3:G$90=G13)*(J$3:J$90&lt;J13)*(H$3:H$90&lt;&gt;H13)*(I$3:I$90="P")),-1*SUMPRODUCT((P$3:P$90="")*(O$3:O$90="")*(N$3:N$90="")*(M$3:M$90="P")*(G$3:G$90=G13)*(J$3:J$90&gt;J13)*(H$3:H$90="L5")*(I$3:I$90="P")))+1,"")))))</f>
        <v/>
      </c>
      <c r="B13" s="1" t="str" cm="1">
        <f t="array" ref="B13">IF(P13&lt;&gt;"",SUMPRODUCT((P$3:P$90&lt;&gt;"")*(G$3:G$90=G13)*(J$3:J$90&gt;J13))+1,IF(O13&lt;&gt;"",SUMPRODUCT((O$3:O$90&lt;&gt;"")*(P$3:P$90="")*(G$3:G$90=G13)*(J$3:J$90&gt;J13))+SUMPRODUCT((P$3:P$90&lt;&gt;"")*(G$3:G$90=G13))+1,IF(N13&lt;&gt;"",SUMPRODUCT((N$3:N$90&lt;&gt;"")*(G$3:G$90=G13)*(J$3:J$90&gt;J13))+1,IF(M13="P",SUMPRODUCT((O$3:O$90&lt;&gt;"")*(P$3:P$90="")*(G$3:G$90=G13))+SUMPRODUCT((P$3:P$90&lt;&gt;"")*(G$3:G$90=G13))+SUMPRODUCT((N$3:N$90&lt;&gt;"")*(G$3:G$90=G13))+SUMPRODUCT((P$3:P$90="")*(O$3:O$90="")*(N$3:N$90="")*(M$3:M$90="P")*(G$3:G$90=G13)*(J$3:J$90&gt;J13))+IF(H13="L5",SUMPRODUCT((P$3:P$90="")*(O$3:O$90="")*(N$3:N$90="")*(M$3:M$90="P")*(G$3:G$90=G13)*(J$3:J$90&lt;J13)*(H$3:H$90&lt;&gt;H13)),-1*SUMPRODUCT((P$3:P$90="")*(O$3:O$90="")*(N$3:N$90="")*(M$3:M$90="P")*(G$3:G$90=G13)*(J$3:J$90&gt;J13)*(H$3:H$90="L5")))+1,""))))</f>
        <v/>
      </c>
      <c r="C13" s="36" t="s">
        <v>217</v>
      </c>
      <c r="D13" s="36" t="str">
        <f>IF(E13="","",VLOOKUP(E13,'Coaching Points'!A:B,2,0))</f>
        <v>ON</v>
      </c>
      <c r="E13" s="36" t="s">
        <v>218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R13+IF(OR(H13="Junior",H13="Senior"),0.0002,IF(OR(H13="L7",H13="L6"),0.0001,0))+IF(G13="17-21",MAX(AA13,AC13,AF13),AE13)*0.0000001</f>
        <v>1.0529E-4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>P</v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Scores'!B$13,T13,0),IF(W13&gt;='Qualifying Scores'!B$13,V13,0),IF(Z13&gt;='Qualifying Scores'!B$13,Y13,0),IF(AB13&gt;='Qualifying Scores'!B$13,AA13,0),IF(AD13&gt;'Qualifying Scores'!B$13,AC13,0),IF(AG13&gt;'Qualifying Scores'!B$13,AF13,0)),MAX(IF(OR(AND(G13="15-16",W13&gt;='Qualifying Scores'!B$12),AND(G13="13-14",W13&gt;='Qualifying Scores'!B$11),AND(G13="11-12",W13&gt;='Qualifying Scores'!B$10)),X13,0),IF(OR(AND(G13="15-16",AD13&gt;='Qualifying Scores'!B$12),AND(G13="13-14",AD13&gt;='Qualifying Scores'!B$11),AND(G13="11-12",AD13&gt;='Qualifying Scores'!B$10)),AE13,0))))</f>
        <v>0</v>
      </c>
      <c r="S13" s="4">
        <f>IF(G13="17-21",MAX(T13,V13,Y13,AA13,AC13,AF13),MAX(X13,AE13))</f>
        <v>52.9</v>
      </c>
      <c r="T13" s="33">
        <v>44.19</v>
      </c>
      <c r="U13" s="40">
        <v>2.4</v>
      </c>
      <c r="V13" s="34">
        <v>10.53</v>
      </c>
      <c r="W13" s="40">
        <v>2.7</v>
      </c>
      <c r="X13" s="4">
        <f>IF(H13="Senior",MAX(T13,V13),T13+V13)</f>
        <v>54.72</v>
      </c>
      <c r="Y13" s="34">
        <v>0</v>
      </c>
      <c r="Z13" s="40">
        <v>0</v>
      </c>
      <c r="AA13" s="33">
        <v>44.8</v>
      </c>
      <c r="AB13" s="40">
        <v>2.2000000000000002</v>
      </c>
      <c r="AC13" s="34">
        <v>52.9</v>
      </c>
      <c r="AD13" s="40">
        <v>11.8</v>
      </c>
      <c r="AE13" s="4">
        <f>IF(H13="Senior",MAX(AA13,AC13),AA13+AC13)</f>
        <v>97.699999999999989</v>
      </c>
      <c r="AF13" s="34">
        <v>50.849999999999994</v>
      </c>
      <c r="AG13" s="37">
        <v>11.8</v>
      </c>
    </row>
    <row r="14" spans="1:33" x14ac:dyDescent="0.2">
      <c r="A14" s="1" t="str" cm="1">
        <f t="array" ref="A14">IF(I14="","",IF(P14&lt;&gt;"",SUMPRODUCT((P$3:P$90&lt;&gt;"")*(G$3:G$90=G14)*(J$3:J$90&gt;J14)*(I$3:I$90="P"))+1,IF(O14&lt;&gt;"",SUMPRODUCT((O$3:O$90&lt;&gt;"")*(P$3:P$90="")*(G$3:G$90=G14)*(J$3:J$90&gt;J14)*(I$3:I$90="P"))+SUMPRODUCT((P$3:P$90&lt;&gt;"")*(G$3:G$90=G14)*(I$3:I$90="P"))+1,IF(N14&lt;&gt;"",SUMPRODUCT((N$3:N$90&lt;&gt;"")*(G$3:G$90=G14)*(J$3:J$90&gt;J14)*(I$3:I$90="P"))+1,IF(M14="P",SUMPRODUCT((O$3:O$90&lt;&gt;"")*(P$3:P$90="")*(G$3:G$90=G14)*(I$3:I$90="P"))+SUMPRODUCT((P$3:P$90&lt;&gt;"")*(G$3:G$90=G14)*(I$3:I$90="P"))+SUMPRODUCT((N$3:N$90&lt;&gt;"")*(G$3:G$90=G14)*(I$3:I$90="P"))+SUMPRODUCT((P$3:P$90="")*(O$3:O$90="")*(N$3:N$90="")*(M$3:M$90="P")*(G$3:G$90=G14)*(J$3:J$90&gt;J14)*(I$3:I$90="P"))+IF(H14="L5",SUMPRODUCT((P$3:P$90="")*(O$3:O$90="")*(N$3:N$90="")*(M$3:M$90="P")*(G$3:G$90=G14)*(J$3:J$90&lt;J14)*(H$3:H$90&lt;&gt;H14)*(I$3:I$90="P")),-1*SUMPRODUCT((P$3:P$90="")*(O$3:O$90="")*(N$3:N$90="")*(M$3:M$90="P")*(G$3:G$90=G14)*(J$3:J$90&gt;J14)*(H$3:H$90="L5")*(I$3:I$90="P")))+1,"")))))</f>
        <v/>
      </c>
      <c r="B14" s="1" t="str" cm="1">
        <f t="array" ref="B14">IF(P14&lt;&gt;"",SUMPRODUCT((P$3:P$90&lt;&gt;"")*(G$3:G$90=G14)*(J$3:J$90&gt;J14))+1,IF(O14&lt;&gt;"",SUMPRODUCT((O$3:O$90&lt;&gt;"")*(P$3:P$90="")*(G$3:G$90=G14)*(J$3:J$90&gt;J14))+SUMPRODUCT((P$3:P$90&lt;&gt;"")*(G$3:G$90=G14))+1,IF(N14&lt;&gt;"",SUMPRODUCT((N$3:N$90&lt;&gt;"")*(G$3:G$90=G14)*(J$3:J$90&gt;J14))+1,IF(M14="P",SUMPRODUCT((O$3:O$90&lt;&gt;"")*(P$3:P$90="")*(G$3:G$90=G14))+SUMPRODUCT((P$3:P$90&lt;&gt;"")*(G$3:G$90=G14))+SUMPRODUCT((N$3:N$90&lt;&gt;"")*(G$3:G$90=G14))+SUMPRODUCT((P$3:P$90="")*(O$3:O$90="")*(N$3:N$90="")*(M$3:M$90="P")*(G$3:G$90=G14)*(J$3:J$90&gt;J14))+IF(H14="L5",SUMPRODUCT((P$3:P$90="")*(O$3:O$90="")*(N$3:N$90="")*(M$3:M$90="P")*(G$3:G$90=G14)*(J$3:J$90&lt;J14)*(H$3:H$90&lt;&gt;H14)),-1*SUMPRODUCT((P$3:P$90="")*(O$3:O$90="")*(N$3:N$90="")*(M$3:M$90="P")*(G$3:G$90=G14)*(J$3:J$90&gt;J14)*(H$3:H$90="L5")))+1,""))))</f>
        <v/>
      </c>
      <c r="C14" s="36" t="s">
        <v>408</v>
      </c>
      <c r="D14" s="36" t="str">
        <f>IF(E14="","",VLOOKUP(E14,'Coaching Points'!A:B,2,0))</f>
        <v>ON</v>
      </c>
      <c r="E14" s="36" t="s">
        <v>199</v>
      </c>
      <c r="F14" s="35">
        <v>2002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1.05154E-4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Scores'!B$13,T14,0),IF(W14&gt;='Qualifying Scores'!B$13,V14,0),IF(Z14&gt;='Qualifying Scores'!B$13,Y14,0),IF(AB14&gt;='Qualifying Scores'!B$13,AA14,0),IF(AD14&gt;'Qualifying Scores'!B$13,AC14,0),IF(AG14&gt;'Qualifying Scores'!B$13,AF14,0)),MAX(IF(OR(AND(G14="15-16",W14&gt;='Qualifying Scores'!B$12),AND(G14="13-14",W14&gt;='Qualifying Scores'!B$11),AND(G14="11-12",W14&gt;='Qualifying Scores'!B$10)),X14,0),IF(OR(AND(G14="15-16",AD14&gt;='Qualifying Scores'!B$12),AND(G14="13-14",AD14&gt;='Qualifying Scores'!B$11),AND(G14="11-12",AD14&gt;='Qualifying Scores'!B$10)),AE14,0))))</f>
        <v>0</v>
      </c>
      <c r="S14" s="4">
        <f>IF(G14="17-21",MAX(T14,V14,Y14,AA14,AC14,AF14),MAX(X14,AE14))</f>
        <v>51.54</v>
      </c>
      <c r="T14" s="33"/>
      <c r="U14" s="40"/>
      <c r="V14" s="34"/>
      <c r="W14" s="40"/>
      <c r="X14" s="4">
        <f>IF(H14="Senior",MAX(T14,V14),T14+V14)</f>
        <v>0</v>
      </c>
      <c r="Y14" s="34"/>
      <c r="Z14" s="40"/>
      <c r="AA14" s="33">
        <v>45.339999999999996</v>
      </c>
      <c r="AB14" s="40">
        <v>2.9</v>
      </c>
      <c r="AC14" s="34">
        <v>51.54</v>
      </c>
      <c r="AD14" s="40">
        <v>11.6</v>
      </c>
      <c r="AE14" s="4">
        <f>IF(H14="Senior",MAX(AA14,AC14),AA14+AC14)</f>
        <v>96.88</v>
      </c>
      <c r="AF14" s="34">
        <v>49.21</v>
      </c>
      <c r="AG14" s="37">
        <v>11.4</v>
      </c>
    </row>
    <row r="15" spans="1:33" x14ac:dyDescent="0.2">
      <c r="A15" s="1" t="str" cm="1">
        <f t="array" ref="A15">IF(I15="","",IF(P15&lt;&gt;"",SUMPRODUCT((P$3:P$90&lt;&gt;"")*(G$3:G$90=G15)*(J$3:J$90&gt;J15)*(I$3:I$90="P"))+1,IF(O15&lt;&gt;"",SUMPRODUCT((O$3:O$90&lt;&gt;"")*(P$3:P$90="")*(G$3:G$90=G15)*(J$3:J$90&gt;J15)*(I$3:I$90="P"))+SUMPRODUCT((P$3:P$90&lt;&gt;"")*(G$3:G$90=G15)*(I$3:I$90="P"))+1,IF(N15&lt;&gt;"",SUMPRODUCT((N$3:N$90&lt;&gt;"")*(G$3:G$90=G15)*(J$3:J$90&gt;J15)*(I$3:I$90="P"))+1,IF(M15="P",SUMPRODUCT((O$3:O$90&lt;&gt;"")*(P$3:P$90="")*(G$3:G$90=G15)*(I$3:I$90="P"))+SUMPRODUCT((P$3:P$90&lt;&gt;"")*(G$3:G$90=G15)*(I$3:I$90="P"))+SUMPRODUCT((N$3:N$90&lt;&gt;"")*(G$3:G$90=G15)*(I$3:I$90="P"))+SUMPRODUCT((P$3:P$90="")*(O$3:O$90="")*(N$3:N$90="")*(M$3:M$90="P")*(G$3:G$90=G15)*(J$3:J$90&gt;J15)*(I$3:I$90="P"))+IF(H15="L5",SUMPRODUCT((P$3:P$90="")*(O$3:O$90="")*(N$3:N$90="")*(M$3:M$90="P")*(G$3:G$90=G15)*(J$3:J$90&lt;J15)*(H$3:H$90&lt;&gt;H15)*(I$3:I$90="P")),-1*SUMPRODUCT((P$3:P$90="")*(O$3:O$90="")*(N$3:N$90="")*(M$3:M$90="P")*(G$3:G$90=G15)*(J$3:J$90&gt;J15)*(H$3:H$90="L5")*(I$3:I$90="P")))+1,"")))))</f>
        <v/>
      </c>
      <c r="B15" s="1" t="str" cm="1">
        <f t="array" ref="B15">IF(P15&lt;&gt;"",SUMPRODUCT((P$3:P$90&lt;&gt;"")*(G$3:G$90=G15)*(J$3:J$90&gt;J15))+1,IF(O15&lt;&gt;"",SUMPRODUCT((O$3:O$90&lt;&gt;"")*(P$3:P$90="")*(G$3:G$90=G15)*(J$3:J$90&gt;J15))+SUMPRODUCT((P$3:P$90&lt;&gt;"")*(G$3:G$90=G15))+1,IF(N15&lt;&gt;"",SUMPRODUCT((N$3:N$90&lt;&gt;"")*(G$3:G$90=G15)*(J$3:J$90&gt;J15))+1,IF(M15="P",SUMPRODUCT((O$3:O$90&lt;&gt;"")*(P$3:P$90="")*(G$3:G$90=G15))+SUMPRODUCT((P$3:P$90&lt;&gt;"")*(G$3:G$90=G15))+SUMPRODUCT((N$3:N$90&lt;&gt;"")*(G$3:G$90=G15))+SUMPRODUCT((P$3:P$90="")*(O$3:O$90="")*(N$3:N$90="")*(M$3:M$90="P")*(G$3:G$90=G15)*(J$3:J$90&gt;J15))+IF(H15="L5",SUMPRODUCT((P$3:P$90="")*(O$3:O$90="")*(N$3:N$90="")*(M$3:M$90="P")*(G$3:G$90=G15)*(J$3:J$90&lt;J15)*(H$3:H$90&lt;&gt;H15)),-1*SUMPRODUCT((P$3:P$90="")*(O$3:O$90="")*(N$3:N$90="")*(M$3:M$90="P")*(G$3:G$90=G15)*(J$3:J$90&gt;J15)*(H$3:H$90="L5")))+1,""))))</f>
        <v/>
      </c>
      <c r="C15" s="36" t="s">
        <v>189</v>
      </c>
      <c r="D15" s="36" t="str">
        <f>IF(E15="","",VLOOKUP(E15,'Coaching Points'!A:B,2,0))</f>
        <v>BC</v>
      </c>
      <c r="E15" s="36" t="s">
        <v>37</v>
      </c>
      <c r="F15" s="35">
        <v>2005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1.05085E-4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Scores'!B$13,T15,0),IF(W15&gt;='Qualifying Scores'!B$13,V15,0),IF(Z15&gt;='Qualifying Scores'!B$13,Y15,0),IF(AB15&gt;='Qualifying Scores'!B$13,AA15,0),IF(AD15&gt;'Qualifying Scores'!B$13,AC15,0),IF(AG15&gt;'Qualifying Scores'!B$13,AF15,0)),MAX(IF(OR(AND(G15="15-16",W15&gt;='Qualifying Scores'!B$12),AND(G15="13-14",W15&gt;='Qualifying Scores'!B$11),AND(G15="11-12",W15&gt;='Qualifying Scores'!B$10)),X15,0),IF(OR(AND(G15="15-16",AD15&gt;='Qualifying Scores'!B$12),AND(G15="13-14",AD15&gt;='Qualifying Scores'!B$11),AND(G15="11-12",AD15&gt;='Qualifying Scores'!B$10)),AE15,0))))</f>
        <v>0</v>
      </c>
      <c r="S15" s="4">
        <f>IF(G15="17-21",MAX(T15,V15,Y15,AA15,AC15,AF15),MAX(X15,AE15))</f>
        <v>50.849999999999994</v>
      </c>
      <c r="T15" s="33">
        <v>41.46</v>
      </c>
      <c r="U15" s="40">
        <v>0</v>
      </c>
      <c r="V15" s="34">
        <v>49.400000000000006</v>
      </c>
      <c r="W15" s="40">
        <v>9.8999999999999986</v>
      </c>
      <c r="X15" s="4">
        <f>IF(H15="Senior",MAX(T15,V15),T15+V15)</f>
        <v>90.860000000000014</v>
      </c>
      <c r="Y15" s="34">
        <v>48.540000000000006</v>
      </c>
      <c r="Z15" s="40">
        <v>10.199999999999999</v>
      </c>
      <c r="AA15" s="33">
        <v>44.599999999999994</v>
      </c>
      <c r="AB15" s="40">
        <v>2</v>
      </c>
      <c r="AC15" s="34">
        <v>50.2</v>
      </c>
      <c r="AD15" s="40">
        <v>12.2</v>
      </c>
      <c r="AE15" s="4">
        <f>IF(H15="Senior",MAX(AA15,AC15),AA15+AC15)</f>
        <v>94.8</v>
      </c>
      <c r="AF15" s="34">
        <v>50.849999999999994</v>
      </c>
      <c r="AG15" s="37">
        <v>12.2</v>
      </c>
    </row>
    <row r="16" spans="1:33" x14ac:dyDescent="0.2">
      <c r="A16" s="1" t="str" cm="1">
        <f t="array" ref="A16">IF(I16="","",IF(P16&lt;&gt;"",SUMPRODUCT((P$3:P$90&lt;&gt;"")*(G$3:G$90=G16)*(J$3:J$90&gt;J16)*(I$3:I$90="P"))+1,IF(O16&lt;&gt;"",SUMPRODUCT((O$3:O$90&lt;&gt;"")*(P$3:P$90="")*(G$3:G$90=G16)*(J$3:J$90&gt;J16)*(I$3:I$90="P"))+SUMPRODUCT((P$3:P$90&lt;&gt;"")*(G$3:G$90=G16)*(I$3:I$90="P"))+1,IF(N16&lt;&gt;"",SUMPRODUCT((N$3:N$90&lt;&gt;"")*(G$3:G$90=G16)*(J$3:J$90&gt;J16)*(I$3:I$90="P"))+1,IF(M16="P",SUMPRODUCT((O$3:O$90&lt;&gt;"")*(P$3:P$90="")*(G$3:G$90=G16)*(I$3:I$90="P"))+SUMPRODUCT((P$3:P$90&lt;&gt;"")*(G$3:G$90=G16)*(I$3:I$90="P"))+SUMPRODUCT((N$3:N$90&lt;&gt;"")*(G$3:G$90=G16)*(I$3:I$90="P"))+SUMPRODUCT((P$3:P$90="")*(O$3:O$90="")*(N$3:N$90="")*(M$3:M$90="P")*(G$3:G$90=G16)*(J$3:J$90&gt;J16)*(I$3:I$90="P"))+IF(H16="L5",SUMPRODUCT((P$3:P$90="")*(O$3:O$90="")*(N$3:N$90="")*(M$3:M$90="P")*(G$3:G$90=G16)*(J$3:J$90&lt;J16)*(H$3:H$90&lt;&gt;H16)*(I$3:I$90="P")),-1*SUMPRODUCT((P$3:P$90="")*(O$3:O$90="")*(N$3:N$90="")*(M$3:M$90="P")*(G$3:G$90=G16)*(J$3:J$90&gt;J16)*(H$3:H$90="L5")*(I$3:I$90="P")))+1,"")))))</f>
        <v/>
      </c>
      <c r="B16" s="1" t="str" cm="1">
        <f t="array" ref="B16">IF(P16&lt;&gt;"",SUMPRODUCT((P$3:P$90&lt;&gt;"")*(G$3:G$90=G16)*(J$3:J$90&gt;J16))+1,IF(O16&lt;&gt;"",SUMPRODUCT((O$3:O$90&lt;&gt;"")*(P$3:P$90="")*(G$3:G$90=G16)*(J$3:J$90&gt;J16))+SUMPRODUCT((P$3:P$90&lt;&gt;"")*(G$3:G$90=G16))+1,IF(N16&lt;&gt;"",SUMPRODUCT((N$3:N$90&lt;&gt;"")*(G$3:G$90=G16)*(J$3:J$90&gt;J16))+1,IF(M16="P",SUMPRODUCT((O$3:O$90&lt;&gt;"")*(P$3:P$90="")*(G$3:G$90=G16))+SUMPRODUCT((P$3:P$90&lt;&gt;"")*(G$3:G$90=G16))+SUMPRODUCT((N$3:N$90&lt;&gt;"")*(G$3:G$90=G16))+SUMPRODUCT((P$3:P$90="")*(O$3:O$90="")*(N$3:N$90="")*(M$3:M$90="P")*(G$3:G$90=G16)*(J$3:J$90&gt;J16))+IF(H16="L5",SUMPRODUCT((P$3:P$90="")*(O$3:O$90="")*(N$3:N$90="")*(M$3:M$90="P")*(G$3:G$90=G16)*(J$3:J$90&lt;J16)*(H$3:H$90&lt;&gt;H16)),-1*SUMPRODUCT((P$3:P$90="")*(O$3:O$90="")*(N$3:N$90="")*(M$3:M$90="P")*(G$3:G$90=G16)*(J$3:J$90&gt;J16)*(H$3:H$90="L5")))+1,""))))</f>
        <v/>
      </c>
      <c r="C16" s="36" t="s">
        <v>206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R16+IF(OR(H16="Junior",H16="Senior"),0.0002,IF(OR(H16="L7",H16="L6"),0.0001,0))+IF(G16="17-21",MAX(AA16,AC16,AF16),AE16)*0.0000001</f>
        <v>1.0507000000000001E-4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Scores'!B$13,T16,0),IF(W16&gt;='Qualifying Scores'!B$13,V16,0),IF(Z16&gt;='Qualifying Scores'!B$13,Y16,0),IF(AB16&gt;='Qualifying Scores'!B$13,AA16,0),IF(AD16&gt;'Qualifying Scores'!B$13,AC16,0),IF(AG16&gt;'Qualifying Scores'!B$13,AF16,0)),MAX(IF(OR(AND(G16="15-16",W16&gt;='Qualifying Scores'!B$12),AND(G16="13-14",W16&gt;='Qualifying Scores'!B$11),AND(G16="11-12",W16&gt;='Qualifying Scores'!B$10)),X16,0),IF(OR(AND(G16="15-16",AD16&gt;='Qualifying Scores'!B$12),AND(G16="13-14",AD16&gt;='Qualifying Scores'!B$11),AND(G16="11-12",AD16&gt;='Qualifying Scores'!B$10)),AE16,0))))</f>
        <v>0</v>
      </c>
      <c r="S16" s="4">
        <f>IF(G16="17-21",MAX(T16,V16,Y16,AA16,AC16,AF16),MAX(X16,AE16))</f>
        <v>51.239999999999995</v>
      </c>
      <c r="T16" s="33">
        <v>42.91</v>
      </c>
      <c r="U16" s="40">
        <v>1.2999999999999998</v>
      </c>
      <c r="V16" s="34">
        <v>51.239999999999995</v>
      </c>
      <c r="W16" s="40">
        <v>12.299999999999999</v>
      </c>
      <c r="X16" s="4">
        <f>IF(H16="Senior",MAX(T16,V16),T16+V16)</f>
        <v>94.149999999999991</v>
      </c>
      <c r="Y16" s="34">
        <v>50.569999999999993</v>
      </c>
      <c r="Z16" s="40">
        <v>12.299999999999999</v>
      </c>
      <c r="AA16" s="33">
        <v>41.42</v>
      </c>
      <c r="AB16" s="40">
        <v>2.2000000000000002</v>
      </c>
      <c r="AC16" s="34">
        <v>50.699999999999996</v>
      </c>
      <c r="AD16" s="40">
        <v>12.3</v>
      </c>
      <c r="AE16" s="4">
        <f>IF(H16="Senior",MAX(AA16,AC16),AA16+AC16)</f>
        <v>92.12</v>
      </c>
      <c r="AF16" s="34">
        <v>50.11</v>
      </c>
      <c r="AG16" s="37">
        <v>12.3</v>
      </c>
    </row>
    <row r="17" spans="1:33" x14ac:dyDescent="0.2">
      <c r="A17" s="1" t="str" cm="1">
        <f t="array" ref="A17">IF(I17="","",IF(P17&lt;&gt;"",SUMPRODUCT((P$3:P$90&lt;&gt;"")*(G$3:G$90=G17)*(J$3:J$90&gt;J17)*(I$3:I$90="P"))+1,IF(O17&lt;&gt;"",SUMPRODUCT((O$3:O$90&lt;&gt;"")*(P$3:P$90="")*(G$3:G$90=G17)*(J$3:J$90&gt;J17)*(I$3:I$90="P"))+SUMPRODUCT((P$3:P$90&lt;&gt;"")*(G$3:G$90=G17)*(I$3:I$90="P"))+1,IF(N17&lt;&gt;"",SUMPRODUCT((N$3:N$90&lt;&gt;"")*(G$3:G$90=G17)*(J$3:J$90&gt;J17)*(I$3:I$90="P"))+1,IF(M17="P",SUMPRODUCT((O$3:O$90&lt;&gt;"")*(P$3:P$90="")*(G$3:G$90=G17)*(I$3:I$90="P"))+SUMPRODUCT((P$3:P$90&lt;&gt;"")*(G$3:G$90=G17)*(I$3:I$90="P"))+SUMPRODUCT((N$3:N$90&lt;&gt;"")*(G$3:G$90=G17)*(I$3:I$90="P"))+SUMPRODUCT((P$3:P$90="")*(O$3:O$90="")*(N$3:N$90="")*(M$3:M$90="P")*(G$3:G$90=G17)*(J$3:J$90&gt;J17)*(I$3:I$90="P"))+IF(H17="L5",SUMPRODUCT((P$3:P$90="")*(O$3:O$90="")*(N$3:N$90="")*(M$3:M$90="P")*(G$3:G$90=G17)*(J$3:J$90&lt;J17)*(H$3:H$90&lt;&gt;H17)*(I$3:I$90="P")),-1*SUMPRODUCT((P$3:P$90="")*(O$3:O$90="")*(N$3:N$90="")*(M$3:M$90="P")*(G$3:G$90=G17)*(J$3:J$90&gt;J17)*(H$3:H$90="L5")*(I$3:I$90="P")))+1,"")))))</f>
        <v/>
      </c>
      <c r="B17" s="1" t="str" cm="1">
        <f t="array" ref="B17">IF(P17&lt;&gt;"",SUMPRODUCT((P$3:P$90&lt;&gt;"")*(G$3:G$90=G17)*(J$3:J$90&gt;J17))+1,IF(O17&lt;&gt;"",SUMPRODUCT((O$3:O$90&lt;&gt;"")*(P$3:P$90="")*(G$3:G$90=G17)*(J$3:J$90&gt;J17))+SUMPRODUCT((P$3:P$90&lt;&gt;"")*(G$3:G$90=G17))+1,IF(N17&lt;&gt;"",SUMPRODUCT((N$3:N$90&lt;&gt;"")*(G$3:G$90=G17)*(J$3:J$90&gt;J17))+1,IF(M17="P",SUMPRODUCT((O$3:O$90&lt;&gt;"")*(P$3:P$90="")*(G$3:G$90=G17))+SUMPRODUCT((P$3:P$90&lt;&gt;"")*(G$3:G$90=G17))+SUMPRODUCT((N$3:N$90&lt;&gt;"")*(G$3:G$90=G17))+SUMPRODUCT((P$3:P$90="")*(O$3:O$90="")*(N$3:N$90="")*(M$3:M$90="P")*(G$3:G$90=G17)*(J$3:J$90&gt;J17))+IF(H17="L5",SUMPRODUCT((P$3:P$90="")*(O$3:O$90="")*(N$3:N$90="")*(M$3:M$90="P")*(G$3:G$90=G17)*(J$3:J$90&lt;J17)*(H$3:H$90&lt;&gt;H17)),-1*SUMPRODUCT((P$3:P$90="")*(O$3:O$90="")*(N$3:N$90="")*(M$3:M$90="P")*(G$3:G$90=G17)*(J$3:J$90&gt;J17)*(H$3:H$90="L5")))+1,""))))</f>
        <v/>
      </c>
      <c r="C17" s="36" t="s">
        <v>406</v>
      </c>
      <c r="D17" s="36" t="str">
        <f>IF(E17="","",VLOOKUP(E17,'Coaching Points'!A:B,2,0))</f>
        <v>ON</v>
      </c>
      <c r="E17" s="36" t="s">
        <v>580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1.0502800000000001E-4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Scores'!B$13,T17,0),IF(W17&gt;='Qualifying Scores'!B$13,V17,0),IF(Z17&gt;='Qualifying Scores'!B$13,Y17,0),IF(AB17&gt;='Qualifying Scores'!B$13,AA17,0),IF(AD17&gt;'Qualifying Scores'!B$13,AC17,0),IF(AG17&gt;'Qualifying Scores'!B$13,AF17,0)),MAX(IF(OR(AND(G17="15-16",W17&gt;='Qualifying Scores'!B$12),AND(G17="13-14",W17&gt;='Qualifying Scores'!B$11),AND(G17="11-12",W17&gt;='Qualifying Scores'!B$10)),X17,0),IF(OR(AND(G17="15-16",AD17&gt;='Qualifying Scores'!B$12),AND(G17="13-14",AD17&gt;='Qualifying Scores'!B$11),AND(G17="11-12",AD17&gt;='Qualifying Scores'!B$10)),AE17,0))))</f>
        <v>0</v>
      </c>
      <c r="S17" s="4">
        <f>IF(G17="17-21",MAX(T17,V17,Y17,AA17,AC17,AF17),MAX(X17,AE17))</f>
        <v>50.28</v>
      </c>
      <c r="T17" s="33"/>
      <c r="U17" s="40"/>
      <c r="V17" s="34"/>
      <c r="W17" s="40"/>
      <c r="X17" s="4">
        <f>IF(H17="Senior",MAX(T17,V17),T17+V17)</f>
        <v>0</v>
      </c>
      <c r="Y17" s="34"/>
      <c r="Z17" s="40"/>
      <c r="AA17" s="33">
        <v>42.290000000000006</v>
      </c>
      <c r="AB17" s="40">
        <v>2.6</v>
      </c>
      <c r="AC17" s="34">
        <v>49.500000000000007</v>
      </c>
      <c r="AD17" s="40">
        <v>11.2</v>
      </c>
      <c r="AE17" s="4">
        <f>IF(H17="Senior",MAX(AA17,AC17),AA17+AC17)</f>
        <v>91.79000000000002</v>
      </c>
      <c r="AF17" s="34">
        <v>50.28</v>
      </c>
      <c r="AG17" s="37">
        <v>11.2</v>
      </c>
    </row>
    <row r="18" spans="1:33" x14ac:dyDescent="0.2">
      <c r="A18" s="1" t="str" cm="1">
        <f t="array" ref="A18">IF(I18="","",IF(P18&lt;&gt;"",SUMPRODUCT((P$3:P$90&lt;&gt;"")*(G$3:G$90=G18)*(J$3:J$90&gt;J18)*(I$3:I$90="P"))+1,IF(O18&lt;&gt;"",SUMPRODUCT((O$3:O$90&lt;&gt;"")*(P$3:P$90="")*(G$3:G$90=G18)*(J$3:J$90&gt;J18)*(I$3:I$90="P"))+SUMPRODUCT((P$3:P$90&lt;&gt;"")*(G$3:G$90=G18)*(I$3:I$90="P"))+1,IF(N18&lt;&gt;"",SUMPRODUCT((N$3:N$90&lt;&gt;"")*(G$3:G$90=G18)*(J$3:J$90&gt;J18)*(I$3:I$90="P"))+1,IF(M18="P",SUMPRODUCT((O$3:O$90&lt;&gt;"")*(P$3:P$90="")*(G$3:G$90=G18)*(I$3:I$90="P"))+SUMPRODUCT((P$3:P$90&lt;&gt;"")*(G$3:G$90=G18)*(I$3:I$90="P"))+SUMPRODUCT((N$3:N$90&lt;&gt;"")*(G$3:G$90=G18)*(I$3:I$90="P"))+SUMPRODUCT((P$3:P$90="")*(O$3:O$90="")*(N$3:N$90="")*(M$3:M$90="P")*(G$3:G$90=G18)*(J$3:J$90&gt;J18)*(I$3:I$90="P"))+IF(H18="L5",SUMPRODUCT((P$3:P$90="")*(O$3:O$90="")*(N$3:N$90="")*(M$3:M$90="P")*(G$3:G$90=G18)*(J$3:J$90&lt;J18)*(H$3:H$90&lt;&gt;H18)*(I$3:I$90="P")),-1*SUMPRODUCT((P$3:P$90="")*(O$3:O$90="")*(N$3:N$90="")*(M$3:M$90="P")*(G$3:G$90=G18)*(J$3:J$90&gt;J18)*(H$3:H$90="L5")*(I$3:I$90="P")))+1,"")))))</f>
        <v/>
      </c>
      <c r="B18" s="1" t="str" cm="1">
        <f t="array" ref="B18">IF(P18&lt;&gt;"",SUMPRODUCT((P$3:P$90&lt;&gt;"")*(G$3:G$90=G18)*(J$3:J$90&gt;J18))+1,IF(O18&lt;&gt;"",SUMPRODUCT((O$3:O$90&lt;&gt;"")*(P$3:P$90="")*(G$3:G$90=G18)*(J$3:J$90&gt;J18))+SUMPRODUCT((P$3:P$90&lt;&gt;"")*(G$3:G$90=G18))+1,IF(N18&lt;&gt;"",SUMPRODUCT((N$3:N$90&lt;&gt;"")*(G$3:G$90=G18)*(J$3:J$90&gt;J18))+1,IF(M18="P",SUMPRODUCT((O$3:O$90&lt;&gt;"")*(P$3:P$90="")*(G$3:G$90=G18))+SUMPRODUCT((P$3:P$90&lt;&gt;"")*(G$3:G$90=G18))+SUMPRODUCT((N$3:N$90&lt;&gt;"")*(G$3:G$90=G18))+SUMPRODUCT((P$3:P$90="")*(O$3:O$90="")*(N$3:N$90="")*(M$3:M$90="P")*(G$3:G$90=G18)*(J$3:J$90&gt;J18))+IF(H18="L5",SUMPRODUCT((P$3:P$90="")*(O$3:O$90="")*(N$3:N$90="")*(M$3:M$90="P")*(G$3:G$90=G18)*(J$3:J$90&lt;J18)*(H$3:H$90&lt;&gt;H18)),-1*SUMPRODUCT((P$3:P$90="")*(O$3:O$90="")*(N$3:N$90="")*(M$3:M$90="P")*(G$3:G$90=G18)*(J$3:J$90&gt;J18)*(H$3:H$90="L5")))+1,""))))</f>
        <v/>
      </c>
      <c r="C18" s="36" t="s">
        <v>214</v>
      </c>
      <c r="D18" s="36" t="str">
        <f>IF(E18="","",VLOOKUP(E18,'Coaching Points'!A:B,2,0))</f>
        <v>ON</v>
      </c>
      <c r="E18" s="36" t="s">
        <v>199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 t="s">
        <v>604</v>
      </c>
      <c r="J18" s="4">
        <f>R18+IF(OR(H18="Junior",H18="Senior"),0.0002,IF(OR(H18="L7",H18="L6"),0.0001,0))+IF(G18="17-21",MAX(AA18,AC18,AF18),AE18)*0.0000001</f>
        <v>1.0496500000000001E-4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Scores'!B$13,T18,0),IF(W18&gt;='Qualifying Scores'!B$13,V18,0),IF(Z18&gt;='Qualifying Scores'!B$13,Y18,0),IF(AB18&gt;='Qualifying Scores'!B$13,AA18,0),IF(AD18&gt;'Qualifying Scores'!B$13,AC18,0),IF(AG18&gt;'Qualifying Scores'!B$13,AF18,0)),MAX(IF(OR(AND(G18="15-16",W18&gt;='Qualifying Scores'!B$12),AND(G18="13-14",W18&gt;='Qualifying Scores'!B$11),AND(G18="11-12",W18&gt;='Qualifying Scores'!B$10)),X18,0),IF(OR(AND(G18="15-16",AD18&gt;='Qualifying Scores'!B$12),AND(G18="13-14",AD18&gt;='Qualifying Scores'!B$11),AND(G18="11-12",AD18&gt;='Qualifying Scores'!B$10)),AE18,0))))</f>
        <v>0</v>
      </c>
      <c r="S18" s="4">
        <f>IF(G18="17-21",MAX(T18,V18,Y18,AA18,AC18,AF18),MAX(X18,AE18))</f>
        <v>49.65</v>
      </c>
      <c r="T18" s="33">
        <v>42.32</v>
      </c>
      <c r="U18" s="40">
        <v>2.7</v>
      </c>
      <c r="V18" s="34">
        <v>43.11</v>
      </c>
      <c r="W18" s="40">
        <v>8</v>
      </c>
      <c r="X18" s="4">
        <f>IF(H18="Senior",MAX(T18,V18),T18+V18)</f>
        <v>85.43</v>
      </c>
      <c r="Y18" s="34">
        <v>0</v>
      </c>
      <c r="Z18" s="40">
        <v>0</v>
      </c>
      <c r="AA18" s="33">
        <v>41.92</v>
      </c>
      <c r="AB18" s="40">
        <v>2.9</v>
      </c>
      <c r="AC18" s="34">
        <v>49.65</v>
      </c>
      <c r="AD18" s="40">
        <v>11.8</v>
      </c>
      <c r="AE18" s="4">
        <f>IF(H18="Senior",MAX(AA18,AC18),AA18+AC18)</f>
        <v>91.57</v>
      </c>
      <c r="AF18" s="34">
        <v>47.870000000000005</v>
      </c>
      <c r="AG18" s="37">
        <v>11.6</v>
      </c>
    </row>
    <row r="19" spans="1:33" x14ac:dyDescent="0.2">
      <c r="A19" s="1" t="str" cm="1">
        <f t="array" ref="A19">IF(I19="","",IF(P19&lt;&gt;"",SUMPRODUCT((P$3:P$90&lt;&gt;"")*(G$3:G$90=G19)*(J$3:J$90&gt;J19)*(I$3:I$90="P"))+1,IF(O19&lt;&gt;"",SUMPRODUCT((O$3:O$90&lt;&gt;"")*(P$3:P$90="")*(G$3:G$90=G19)*(J$3:J$90&gt;J19)*(I$3:I$90="P"))+SUMPRODUCT((P$3:P$90&lt;&gt;"")*(G$3:G$90=G19)*(I$3:I$90="P"))+1,IF(N19&lt;&gt;"",SUMPRODUCT((N$3:N$90&lt;&gt;"")*(G$3:G$90=G19)*(J$3:J$90&gt;J19)*(I$3:I$90="P"))+1,IF(M19="P",SUMPRODUCT((O$3:O$90&lt;&gt;"")*(P$3:P$90="")*(G$3:G$90=G19)*(I$3:I$90="P"))+SUMPRODUCT((P$3:P$90&lt;&gt;"")*(G$3:G$90=G19)*(I$3:I$90="P"))+SUMPRODUCT((N$3:N$90&lt;&gt;"")*(G$3:G$90=G19)*(I$3:I$90="P"))+SUMPRODUCT((P$3:P$90="")*(O$3:O$90="")*(N$3:N$90="")*(M$3:M$90="P")*(G$3:G$90=G19)*(J$3:J$90&gt;J19)*(I$3:I$90="P"))+IF(H19="L5",SUMPRODUCT((P$3:P$90="")*(O$3:O$90="")*(N$3:N$90="")*(M$3:M$90="P")*(G$3:G$90=G19)*(J$3:J$90&lt;J19)*(H$3:H$90&lt;&gt;H19)*(I$3:I$90="P")),-1*SUMPRODUCT((P$3:P$90="")*(O$3:O$90="")*(N$3:N$90="")*(M$3:M$90="P")*(G$3:G$90=G19)*(J$3:J$90&gt;J19)*(H$3:H$90="L5")*(I$3:I$90="P")))+1,"")))))</f>
        <v/>
      </c>
      <c r="B19" s="1" t="str" cm="1">
        <f t="array" ref="B19">IF(P19&lt;&gt;"",SUMPRODUCT((P$3:P$90&lt;&gt;"")*(G$3:G$90=G19)*(J$3:J$90&gt;J19))+1,IF(O19&lt;&gt;"",SUMPRODUCT((O$3:O$90&lt;&gt;"")*(P$3:P$90="")*(G$3:G$90=G19)*(J$3:J$90&gt;J19))+SUMPRODUCT((P$3:P$90&lt;&gt;"")*(G$3:G$90=G19))+1,IF(N19&lt;&gt;"",SUMPRODUCT((N$3:N$90&lt;&gt;"")*(G$3:G$90=G19)*(J$3:J$90&gt;J19))+1,IF(M19="P",SUMPRODUCT((O$3:O$90&lt;&gt;"")*(P$3:P$90="")*(G$3:G$90=G19))+SUMPRODUCT((P$3:P$90&lt;&gt;"")*(G$3:G$90=G19))+SUMPRODUCT((N$3:N$90&lt;&gt;"")*(G$3:G$90=G19))+SUMPRODUCT((P$3:P$90="")*(O$3:O$90="")*(N$3:N$90="")*(M$3:M$90="P")*(G$3:G$90=G19)*(J$3:J$90&gt;J19))+IF(H19="L5",SUMPRODUCT((P$3:P$90="")*(O$3:O$90="")*(N$3:N$90="")*(M$3:M$90="P")*(G$3:G$90=G19)*(J$3:J$90&lt;J19)*(H$3:H$90&lt;&gt;H19)),-1*SUMPRODUCT((P$3:P$90="")*(O$3:O$90="")*(N$3:N$90="")*(M$3:M$90="P")*(G$3:G$90=G19)*(J$3:J$90&gt;J19)*(H$3:H$90="L5")))+1,""))))</f>
        <v/>
      </c>
      <c r="C19" s="36" t="s">
        <v>213</v>
      </c>
      <c r="D19" s="36" t="str">
        <f>IF(E19="","",VLOOKUP(E19,'Coaching Points'!A:B,2,0))</f>
        <v>QC</v>
      </c>
      <c r="E19" s="36" t="s">
        <v>581</v>
      </c>
      <c r="F19" s="35">
        <v>2001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R19+IF(OR(H19="Junior",H19="Senior"),0.0002,IF(OR(H19="L7",H19="L6"),0.0001,0))+IF(G19="17-21",MAX(AA19,AC19,AF19),AE19)*0.0000001</f>
        <v>1.04855E-4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Scores'!B$13,T19,0),IF(W19&gt;='Qualifying Scores'!B$13,V19,0),IF(Z19&gt;='Qualifying Scores'!B$13,Y19,0),IF(AB19&gt;='Qualifying Scores'!B$13,AA19,0),IF(AD19&gt;'Qualifying Scores'!B$13,AC19,0),IF(AG19&gt;'Qualifying Scores'!B$13,AF19,0)),MAX(IF(OR(AND(G19="15-16",W19&gt;='Qualifying Scores'!B$12),AND(G19="13-14",W19&gt;='Qualifying Scores'!B$11),AND(G19="11-12",W19&gt;='Qualifying Scores'!B$10)),X19,0),IF(OR(AND(G19="15-16",AD19&gt;='Qualifying Scores'!B$12),AND(G19="13-14",AD19&gt;='Qualifying Scores'!B$11),AND(G19="11-12",AD19&gt;='Qualifying Scores'!B$10)),AE19,0))))</f>
        <v>0</v>
      </c>
      <c r="S19" s="4">
        <f>IF(G19="17-21",MAX(T19,V19,Y19,AA19,AC19,AF19),MAX(X19,AE19))</f>
        <v>48.550000000000004</v>
      </c>
      <c r="T19" s="33">
        <v>37.58</v>
      </c>
      <c r="U19" s="40">
        <v>1</v>
      </c>
      <c r="V19" s="34">
        <v>47.93</v>
      </c>
      <c r="W19" s="40">
        <v>9.1</v>
      </c>
      <c r="X19" s="4">
        <f>IF(H19="Senior",MAX(T19,V19),T19+V19)</f>
        <v>85.509999999999991</v>
      </c>
      <c r="Y19" s="34">
        <v>5.5500000000000007</v>
      </c>
      <c r="Z19" s="40">
        <v>1.3</v>
      </c>
      <c r="AA19" s="33">
        <v>43.83</v>
      </c>
      <c r="AB19" s="40">
        <v>1.8</v>
      </c>
      <c r="AC19" s="34">
        <v>48.550000000000004</v>
      </c>
      <c r="AD19" s="40">
        <v>10</v>
      </c>
      <c r="AE19" s="4">
        <f>IF(H19="Senior",MAX(AA19,AC19),AA19+AC19)</f>
        <v>92.38</v>
      </c>
      <c r="AF19" s="34">
        <v>48.16</v>
      </c>
      <c r="AG19" s="37">
        <v>10</v>
      </c>
    </row>
    <row r="20" spans="1:33" x14ac:dyDescent="0.2">
      <c r="A20" s="1" t="str" cm="1">
        <f t="array" ref="A20">IF(I20="","",IF(P20&lt;&gt;"",SUMPRODUCT((P$3:P$90&lt;&gt;"")*(G$3:G$90=G20)*(J$3:J$90&gt;J20)*(I$3:I$90="P"))+1,IF(O20&lt;&gt;"",SUMPRODUCT((O$3:O$90&lt;&gt;"")*(P$3:P$90="")*(G$3:G$90=G20)*(J$3:J$90&gt;J20)*(I$3:I$90="P"))+SUMPRODUCT((P$3:P$90&lt;&gt;"")*(G$3:G$90=G20)*(I$3:I$90="P"))+1,IF(N20&lt;&gt;"",SUMPRODUCT((N$3:N$90&lt;&gt;"")*(G$3:G$90=G20)*(J$3:J$90&gt;J20)*(I$3:I$90="P"))+1,IF(M20="P",SUMPRODUCT((O$3:O$90&lt;&gt;"")*(P$3:P$90="")*(G$3:G$90=G20)*(I$3:I$90="P"))+SUMPRODUCT((P$3:P$90&lt;&gt;"")*(G$3:G$90=G20)*(I$3:I$90="P"))+SUMPRODUCT((N$3:N$90&lt;&gt;"")*(G$3:G$90=G20)*(I$3:I$90="P"))+SUMPRODUCT((P$3:P$90="")*(O$3:O$90="")*(N$3:N$90="")*(M$3:M$90="P")*(G$3:G$90=G20)*(J$3:J$90&gt;J20)*(I$3:I$90="P"))+IF(H20="L5",SUMPRODUCT((P$3:P$90="")*(O$3:O$90="")*(N$3:N$90="")*(M$3:M$90="P")*(G$3:G$90=G20)*(J$3:J$90&lt;J20)*(H$3:H$90&lt;&gt;H20)*(I$3:I$90="P")),-1*SUMPRODUCT((P$3:P$90="")*(O$3:O$90="")*(N$3:N$90="")*(M$3:M$90="P")*(G$3:G$90=G20)*(J$3:J$90&gt;J20)*(H$3:H$90="L5")*(I$3:I$90="P")))+1,"")))))</f>
        <v/>
      </c>
      <c r="B20" s="1" t="str" cm="1">
        <f t="array" ref="B20">IF(P20&lt;&gt;"",SUMPRODUCT((P$3:P$90&lt;&gt;"")*(G$3:G$90=G20)*(J$3:J$90&gt;J20))+1,IF(O20&lt;&gt;"",SUMPRODUCT((O$3:O$90&lt;&gt;"")*(P$3:P$90="")*(G$3:G$90=G20)*(J$3:J$90&gt;J20))+SUMPRODUCT((P$3:P$90&lt;&gt;"")*(G$3:G$90=G20))+1,IF(N20&lt;&gt;"",SUMPRODUCT((N$3:N$90&lt;&gt;"")*(G$3:G$90=G20)*(J$3:J$90&gt;J20))+1,IF(M20="P",SUMPRODUCT((O$3:O$90&lt;&gt;"")*(P$3:P$90="")*(G$3:G$90=G20))+SUMPRODUCT((P$3:P$90&lt;&gt;"")*(G$3:G$90=G20))+SUMPRODUCT((N$3:N$90&lt;&gt;"")*(G$3:G$90=G20))+SUMPRODUCT((P$3:P$90="")*(O$3:O$90="")*(N$3:N$90="")*(M$3:M$90="P")*(G$3:G$90=G20)*(J$3:J$90&gt;J20))+IF(H20="L5",SUMPRODUCT((P$3:P$90="")*(O$3:O$90="")*(N$3:N$90="")*(M$3:M$90="P")*(G$3:G$90=G20)*(J$3:J$90&lt;J20)*(H$3:H$90&lt;&gt;H20)),-1*SUMPRODUCT((P$3:P$90="")*(O$3:O$90="")*(N$3:N$90="")*(M$3:M$90="P")*(G$3:G$90=G20)*(J$3:J$90&gt;J20)*(H$3:H$90="L5")))+1,""))))</f>
        <v/>
      </c>
      <c r="C20" s="36" t="s">
        <v>207</v>
      </c>
      <c r="D20" s="36" t="str">
        <f>IF(E20="","",VLOOKUP(E20,'Coaching Points'!A:B,2,0))</f>
        <v>QC</v>
      </c>
      <c r="E20" s="36" t="s">
        <v>581</v>
      </c>
      <c r="F20" s="35">
        <v>2003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R20+IF(OR(H20="Junior",H20="Senior"),0.0002,IF(OR(H20="L7",H20="L6"),0.0001,0))+IF(G20="17-21",MAX(AA20,AC20,AF20),AE20)*0.0000001</f>
        <v>1.0484700000000001E-4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Scores'!B$13,T20,0),IF(W20&gt;='Qualifying Scores'!B$13,V20,0),IF(Z20&gt;='Qualifying Scores'!B$13,Y20,0),IF(AB20&gt;='Qualifying Scores'!B$13,AA20,0),IF(AD20&gt;'Qualifying Scores'!B$13,AC20,0),IF(AG20&gt;'Qualifying Scores'!B$13,AF20,0)),MAX(IF(OR(AND(G20="15-16",W20&gt;='Qualifying Scores'!B$12),AND(G20="13-14",W20&gt;='Qualifying Scores'!B$11),AND(G20="11-12",W20&gt;='Qualifying Scores'!B$10)),X20,0),IF(OR(AND(G20="15-16",AD20&gt;='Qualifying Scores'!B$12),AND(G20="13-14",AD20&gt;='Qualifying Scores'!B$11),AND(G20="11-12",AD20&gt;='Qualifying Scores'!B$10)),AE20,0))))</f>
        <v>0</v>
      </c>
      <c r="S20" s="4">
        <f>IF(G20="17-21",MAX(T20,V20,Y20,AA20,AC20,AF20),MAX(X20,AE20))</f>
        <v>48.86</v>
      </c>
      <c r="T20" s="33">
        <v>41.83</v>
      </c>
      <c r="U20" s="40">
        <v>1.8</v>
      </c>
      <c r="V20" s="34">
        <v>48.86</v>
      </c>
      <c r="W20" s="40">
        <v>9.6</v>
      </c>
      <c r="X20" s="4">
        <f>IF(H20="Senior",MAX(T20,V20),T20+V20)</f>
        <v>90.69</v>
      </c>
      <c r="Y20" s="34">
        <v>47.82</v>
      </c>
      <c r="Z20" s="40">
        <v>9.6</v>
      </c>
      <c r="AA20" s="33">
        <v>42.39</v>
      </c>
      <c r="AB20" s="40">
        <v>1.8</v>
      </c>
      <c r="AC20" s="34">
        <v>48.47</v>
      </c>
      <c r="AD20" s="40">
        <v>10.1</v>
      </c>
      <c r="AE20" s="4">
        <f>IF(H20="Senior",MAX(AA20,AC20),AA20+AC20)</f>
        <v>90.86</v>
      </c>
      <c r="AF20" s="34">
        <v>47.790000000000006</v>
      </c>
      <c r="AG20" s="37">
        <v>10.1</v>
      </c>
    </row>
    <row r="21" spans="1:33" x14ac:dyDescent="0.2">
      <c r="A21" s="1" t="str" cm="1">
        <f t="array" ref="A21">IF(I21="","",IF(P21&lt;&gt;"",SUMPRODUCT((P$3:P$90&lt;&gt;"")*(G$3:G$90=G21)*(J$3:J$90&gt;J21)*(I$3:I$90="P"))+1,IF(O21&lt;&gt;"",SUMPRODUCT((O$3:O$90&lt;&gt;"")*(P$3:P$90="")*(G$3:G$90=G21)*(J$3:J$90&gt;J21)*(I$3:I$90="P"))+SUMPRODUCT((P$3:P$90&lt;&gt;"")*(G$3:G$90=G21)*(I$3:I$90="P"))+1,IF(N21&lt;&gt;"",SUMPRODUCT((N$3:N$90&lt;&gt;"")*(G$3:G$90=G21)*(J$3:J$90&gt;J21)*(I$3:I$90="P"))+1,IF(M21="P",SUMPRODUCT((O$3:O$90&lt;&gt;"")*(P$3:P$90="")*(G$3:G$90=G21)*(I$3:I$90="P"))+SUMPRODUCT((P$3:P$90&lt;&gt;"")*(G$3:G$90=G21)*(I$3:I$90="P"))+SUMPRODUCT((N$3:N$90&lt;&gt;"")*(G$3:G$90=G21)*(I$3:I$90="P"))+SUMPRODUCT((P$3:P$90="")*(O$3:O$90="")*(N$3:N$90="")*(M$3:M$90="P")*(G$3:G$90=G21)*(J$3:J$90&gt;J21)*(I$3:I$90="P"))+IF(H21="L5",SUMPRODUCT((P$3:P$90="")*(O$3:O$90="")*(N$3:N$90="")*(M$3:M$90="P")*(G$3:G$90=G21)*(J$3:J$90&lt;J21)*(H$3:H$90&lt;&gt;H21)*(I$3:I$90="P")),-1*SUMPRODUCT((P$3:P$90="")*(O$3:O$90="")*(N$3:N$90="")*(M$3:M$90="P")*(G$3:G$90=G21)*(J$3:J$90&gt;J21)*(H$3:H$90="L5")*(I$3:I$90="P")))+1,"")))))</f>
        <v/>
      </c>
      <c r="B21" s="1" t="str" cm="1">
        <f t="array" ref="B21">IF(P21&lt;&gt;"",SUMPRODUCT((P$3:P$90&lt;&gt;"")*(G$3:G$90=G21)*(J$3:J$90&gt;J21))+1,IF(O21&lt;&gt;"",SUMPRODUCT((O$3:O$90&lt;&gt;"")*(P$3:P$90="")*(G$3:G$90=G21)*(J$3:J$90&gt;J21))+SUMPRODUCT((P$3:P$90&lt;&gt;"")*(G$3:G$90=G21))+1,IF(N21&lt;&gt;"",SUMPRODUCT((N$3:N$90&lt;&gt;"")*(G$3:G$90=G21)*(J$3:J$90&gt;J21))+1,IF(M21="P",SUMPRODUCT((O$3:O$90&lt;&gt;"")*(P$3:P$90="")*(G$3:G$90=G21))+SUMPRODUCT((P$3:P$90&lt;&gt;"")*(G$3:G$90=G21))+SUMPRODUCT((N$3:N$90&lt;&gt;"")*(G$3:G$90=G21))+SUMPRODUCT((P$3:P$90="")*(O$3:O$90="")*(N$3:N$90="")*(M$3:M$90="P")*(G$3:G$90=G21)*(J$3:J$90&gt;J21))+IF(H21="L5",SUMPRODUCT((P$3:P$90="")*(O$3:O$90="")*(N$3:N$90="")*(M$3:M$90="P")*(G$3:G$90=G21)*(J$3:J$90&lt;J21)*(H$3:H$90&lt;&gt;H21)),-1*SUMPRODUCT((P$3:P$90="")*(O$3:O$90="")*(N$3:N$90="")*(M$3:M$90="P")*(G$3:G$90=G21)*(J$3:J$90&gt;J21)*(H$3:H$90="L5")))+1,""))))</f>
        <v/>
      </c>
      <c r="C21" s="36" t="s">
        <v>211</v>
      </c>
      <c r="D21" s="36" t="str">
        <f>IF(E21="","",VLOOKUP(E21,'Coaching Points'!A:B,2,0))</f>
        <v>QC</v>
      </c>
      <c r="E21" s="36" t="s">
        <v>171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1.0476100000000001E-4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Scores'!B$13,T21,0),IF(W21&gt;='Qualifying Scores'!B$13,V21,0),IF(Z21&gt;='Qualifying Scores'!B$13,Y21,0),IF(AB21&gt;='Qualifying Scores'!B$13,AA21,0),IF(AD21&gt;'Qualifying Scores'!B$13,AC21,0),IF(AG21&gt;'Qualifying Scores'!B$13,AF21,0)),MAX(IF(OR(AND(G21="15-16",W21&gt;='Qualifying Scores'!B$12),AND(G21="13-14",W21&gt;='Qualifying Scores'!B$11),AND(G21="11-12",W21&gt;='Qualifying Scores'!B$10)),X21,0),IF(OR(AND(G21="15-16",AD21&gt;='Qualifying Scores'!B$12),AND(G21="13-14",AD21&gt;='Qualifying Scores'!B$11),AND(G21="11-12",AD21&gt;='Qualifying Scores'!B$10)),AE21,0))))</f>
        <v>0</v>
      </c>
      <c r="S21" s="4">
        <f>IF(G21="17-21",MAX(T21,V21,Y21,AA21,AC21,AF21),MAX(X21,AE21))</f>
        <v>49.039999999999992</v>
      </c>
      <c r="T21" s="33">
        <v>42.32</v>
      </c>
      <c r="U21" s="40">
        <v>1.7000000000000002</v>
      </c>
      <c r="V21" s="34">
        <v>49.039999999999992</v>
      </c>
      <c r="W21" s="40">
        <v>9.1999999999999993</v>
      </c>
      <c r="X21" s="4">
        <f>IF(H21="Senior",MAX(T21,V21),T21+V21)</f>
        <v>91.359999999999985</v>
      </c>
      <c r="Y21" s="34">
        <v>29.509999999999998</v>
      </c>
      <c r="Z21" s="40">
        <v>5.8999999999999995</v>
      </c>
      <c r="AA21" s="33">
        <v>40.89</v>
      </c>
      <c r="AB21" s="40">
        <v>1.7</v>
      </c>
      <c r="AC21" s="34">
        <v>47.61</v>
      </c>
      <c r="AD21" s="40">
        <v>9.8000000000000007</v>
      </c>
      <c r="AE21" s="4">
        <f>IF(H21="Senior",MAX(AA21,AC21),AA21+AC21)</f>
        <v>88.5</v>
      </c>
      <c r="AF21" s="34"/>
      <c r="AG21" s="37"/>
    </row>
    <row r="22" spans="1:33" x14ac:dyDescent="0.2">
      <c r="A22" s="1" t="str" cm="1">
        <f t="array" ref="A22">IF(I22="","",IF(P22&lt;&gt;"",SUMPRODUCT((P$3:P$90&lt;&gt;"")*(G$3:G$90=G22)*(J$3:J$90&gt;J22)*(I$3:I$90="P"))+1,IF(O22&lt;&gt;"",SUMPRODUCT((O$3:O$90&lt;&gt;"")*(P$3:P$90="")*(G$3:G$90=G22)*(J$3:J$90&gt;J22)*(I$3:I$90="P"))+SUMPRODUCT((P$3:P$90&lt;&gt;"")*(G$3:G$90=G22)*(I$3:I$90="P"))+1,IF(N22&lt;&gt;"",SUMPRODUCT((N$3:N$90&lt;&gt;"")*(G$3:G$90=G22)*(J$3:J$90&gt;J22)*(I$3:I$90="P"))+1,IF(M22="P",SUMPRODUCT((O$3:O$90&lt;&gt;"")*(P$3:P$90="")*(G$3:G$90=G22)*(I$3:I$90="P"))+SUMPRODUCT((P$3:P$90&lt;&gt;"")*(G$3:G$90=G22)*(I$3:I$90="P"))+SUMPRODUCT((N$3:N$90&lt;&gt;"")*(G$3:G$90=G22)*(I$3:I$90="P"))+SUMPRODUCT((P$3:P$90="")*(O$3:O$90="")*(N$3:N$90="")*(M$3:M$90="P")*(G$3:G$90=G22)*(J$3:J$90&gt;J22)*(I$3:I$90="P"))+IF(H22="L5",SUMPRODUCT((P$3:P$90="")*(O$3:O$90="")*(N$3:N$90="")*(M$3:M$90="P")*(G$3:G$90=G22)*(J$3:J$90&lt;J22)*(H$3:H$90&lt;&gt;H22)*(I$3:I$90="P")),-1*SUMPRODUCT((P$3:P$90="")*(O$3:O$90="")*(N$3:N$90="")*(M$3:M$90="P")*(G$3:G$90=G22)*(J$3:J$90&gt;J22)*(H$3:H$90="L5")*(I$3:I$90="P")))+1,"")))))</f>
        <v/>
      </c>
      <c r="B22" s="1" t="str" cm="1">
        <f t="array" ref="B22">IF(P22&lt;&gt;"",SUMPRODUCT((P$3:P$90&lt;&gt;"")*(G$3:G$90=G22)*(J$3:J$90&gt;J22))+1,IF(O22&lt;&gt;"",SUMPRODUCT((O$3:O$90&lt;&gt;"")*(P$3:P$90="")*(G$3:G$90=G22)*(J$3:J$90&gt;J22))+SUMPRODUCT((P$3:P$90&lt;&gt;"")*(G$3:G$90=G22))+1,IF(N22&lt;&gt;"",SUMPRODUCT((N$3:N$90&lt;&gt;"")*(G$3:G$90=G22)*(J$3:J$90&gt;J22))+1,IF(M22="P",SUMPRODUCT((O$3:O$90&lt;&gt;"")*(P$3:P$90="")*(G$3:G$90=G22))+SUMPRODUCT((P$3:P$90&lt;&gt;"")*(G$3:G$90=G22))+SUMPRODUCT((N$3:N$90&lt;&gt;"")*(G$3:G$90=G22))+SUMPRODUCT((P$3:P$90="")*(O$3:O$90="")*(N$3:N$90="")*(M$3:M$90="P")*(G$3:G$90=G22)*(J$3:J$90&gt;J22))+IF(H22="L5",SUMPRODUCT((P$3:P$90="")*(O$3:O$90="")*(N$3:N$90="")*(M$3:M$90="P")*(G$3:G$90=G22)*(J$3:J$90&lt;J22)*(H$3:H$90&lt;&gt;H22)),-1*SUMPRODUCT((P$3:P$90="")*(O$3:O$90="")*(N$3:N$90="")*(M$3:M$90="P")*(G$3:G$90=G22)*(J$3:J$90&gt;J22)*(H$3:H$90="L5")))+1,""))))</f>
        <v/>
      </c>
      <c r="C22" s="36" t="s">
        <v>404</v>
      </c>
      <c r="D22" s="36" t="str">
        <f>IF(E22="","",VLOOKUP(E22,'Coaching Points'!A:B,2,0))</f>
        <v>ON</v>
      </c>
      <c r="E22" s="36" t="s">
        <v>158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1.0466100000000001E-4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Scores'!B$13,T22,0),IF(W22&gt;='Qualifying Scores'!B$13,V22,0),IF(Z22&gt;='Qualifying Scores'!B$13,Y22,0),IF(AB22&gt;='Qualifying Scores'!B$13,AA22,0),IF(AD22&gt;'Qualifying Scores'!B$13,AC22,0),IF(AG22&gt;'Qualifying Scores'!B$13,AF22,0)),MAX(IF(OR(AND(G22="15-16",W22&gt;='Qualifying Scores'!B$12),AND(G22="13-14",W22&gt;='Qualifying Scores'!B$11),AND(G22="11-12",W22&gt;='Qualifying Scores'!B$10)),X22,0),IF(OR(AND(G22="15-16",AD22&gt;='Qualifying Scores'!B$12),AND(G22="13-14",AD22&gt;='Qualifying Scores'!B$11),AND(G22="11-12",AD22&gt;='Qualifying Scores'!B$10)),AE22,0))))</f>
        <v>0</v>
      </c>
      <c r="S22" s="4">
        <f>IF(G22="17-21",MAX(T22,V22,Y22,AA22,AC22,AF22),MAX(X22,AE22))</f>
        <v>46.61</v>
      </c>
      <c r="T22" s="33"/>
      <c r="U22" s="40"/>
      <c r="V22" s="34"/>
      <c r="W22" s="40"/>
      <c r="X22" s="4">
        <f>IF(H22="Senior",MAX(T22,V22),T22+V22)</f>
        <v>0</v>
      </c>
      <c r="Y22" s="34"/>
      <c r="Z22" s="40"/>
      <c r="AA22" s="33">
        <v>42.05</v>
      </c>
      <c r="AB22" s="40">
        <v>2.9</v>
      </c>
      <c r="AC22" s="34">
        <v>46.61</v>
      </c>
      <c r="AD22" s="40">
        <v>11.2</v>
      </c>
      <c r="AE22" s="4">
        <f>IF(H22="Senior",MAX(AA22,AC22),AA22+AC22)</f>
        <v>88.66</v>
      </c>
      <c r="AF22" s="34">
        <v>45.37</v>
      </c>
      <c r="AG22" s="37">
        <v>9.9</v>
      </c>
    </row>
    <row r="23" spans="1:33" x14ac:dyDescent="0.2">
      <c r="A23" s="1" t="str" cm="1">
        <f t="array" ref="A23">IF(I23="","",IF(P23&lt;&gt;"",SUMPRODUCT((P$3:P$90&lt;&gt;"")*(G$3:G$90=G23)*(J$3:J$90&gt;J23)*(I$3:I$90="P"))+1,IF(O23&lt;&gt;"",SUMPRODUCT((O$3:O$90&lt;&gt;"")*(P$3:P$90="")*(G$3:G$90=G23)*(J$3:J$90&gt;J23)*(I$3:I$90="P"))+SUMPRODUCT((P$3:P$90&lt;&gt;"")*(G$3:G$90=G23)*(I$3:I$90="P"))+1,IF(N23&lt;&gt;"",SUMPRODUCT((N$3:N$90&lt;&gt;"")*(G$3:G$90=G23)*(J$3:J$90&gt;J23)*(I$3:I$90="P"))+1,IF(M23="P",SUMPRODUCT((O$3:O$90&lt;&gt;"")*(P$3:P$90="")*(G$3:G$90=G23)*(I$3:I$90="P"))+SUMPRODUCT((P$3:P$90&lt;&gt;"")*(G$3:G$90=G23)*(I$3:I$90="P"))+SUMPRODUCT((N$3:N$90&lt;&gt;"")*(G$3:G$90=G23)*(I$3:I$90="P"))+SUMPRODUCT((P$3:P$90="")*(O$3:O$90="")*(N$3:N$90="")*(M$3:M$90="P")*(G$3:G$90=G23)*(J$3:J$90&gt;J23)*(I$3:I$90="P"))+IF(H23="L5",SUMPRODUCT((P$3:P$90="")*(O$3:O$90="")*(N$3:N$90="")*(M$3:M$90="P")*(G$3:G$90=G23)*(J$3:J$90&lt;J23)*(H$3:H$90&lt;&gt;H23)*(I$3:I$90="P")),-1*SUMPRODUCT((P$3:P$90="")*(O$3:O$90="")*(N$3:N$90="")*(M$3:M$90="P")*(G$3:G$90=G23)*(J$3:J$90&gt;J23)*(H$3:H$90="L5")*(I$3:I$90="P")))+1,"")))))</f>
        <v/>
      </c>
      <c r="B23" s="1" t="str" cm="1">
        <f t="array" ref="B23">IF(P23&lt;&gt;"",SUMPRODUCT((P$3:P$90&lt;&gt;"")*(G$3:G$90=G23)*(J$3:J$90&gt;J23))+1,IF(O23&lt;&gt;"",SUMPRODUCT((O$3:O$90&lt;&gt;"")*(P$3:P$90="")*(G$3:G$90=G23)*(J$3:J$90&gt;J23))+SUMPRODUCT((P$3:P$90&lt;&gt;"")*(G$3:G$90=G23))+1,IF(N23&lt;&gt;"",SUMPRODUCT((N$3:N$90&lt;&gt;"")*(G$3:G$90=G23)*(J$3:J$90&gt;J23))+1,IF(M23="P",SUMPRODUCT((O$3:O$90&lt;&gt;"")*(P$3:P$90="")*(G$3:G$90=G23))+SUMPRODUCT((P$3:P$90&lt;&gt;"")*(G$3:G$90=G23))+SUMPRODUCT((N$3:N$90&lt;&gt;"")*(G$3:G$90=G23))+SUMPRODUCT((P$3:P$90="")*(O$3:O$90="")*(N$3:N$90="")*(M$3:M$90="P")*(G$3:G$90=G23)*(J$3:J$90&gt;J23))+IF(H23="L5",SUMPRODUCT((P$3:P$90="")*(O$3:O$90="")*(N$3:N$90="")*(M$3:M$90="P")*(G$3:G$90=G23)*(J$3:J$90&lt;J23)*(H$3:H$90&lt;&gt;H23)),-1*SUMPRODUCT((P$3:P$90="")*(O$3:O$90="")*(N$3:N$90="")*(M$3:M$90="P")*(G$3:G$90=G23)*(J$3:J$90&gt;J23)*(H$3:H$90="L5")))+1,""))))</f>
        <v/>
      </c>
      <c r="C23" s="36" t="s">
        <v>409</v>
      </c>
      <c r="D23" s="36" t="str">
        <f>IF(E23="","",VLOOKUP(E23,'Coaching Points'!A:B,2,0))</f>
        <v>ON</v>
      </c>
      <c r="E23" s="36" t="s">
        <v>580</v>
      </c>
      <c r="F23" s="35">
        <v>2001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1.0454500000000001E-4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Scores'!B$13,T23,0),IF(W23&gt;='Qualifying Scores'!B$13,V23,0),IF(Z23&gt;='Qualifying Scores'!B$13,Y23,0),IF(AB23&gt;='Qualifying Scores'!B$13,AA23,0),IF(AD23&gt;'Qualifying Scores'!B$13,AC23,0),IF(AG23&gt;'Qualifying Scores'!B$13,AF23,0)),MAX(IF(OR(AND(G23="15-16",W23&gt;='Qualifying Scores'!B$12),AND(G23="13-14",W23&gt;='Qualifying Scores'!B$11),AND(G23="11-12",W23&gt;='Qualifying Scores'!B$10)),X23,0),IF(OR(AND(G23="15-16",AD23&gt;='Qualifying Scores'!B$12),AND(G23="13-14",AD23&gt;='Qualifying Scores'!B$11),AND(G23="11-12",AD23&gt;='Qualifying Scores'!B$10)),AE23,0))))</f>
        <v>0</v>
      </c>
      <c r="S23" s="4">
        <f>IF(G23="17-21",MAX(T23,V23,Y23,AA23,AC23,AF23),MAX(X23,AE23))</f>
        <v>45.45</v>
      </c>
      <c r="T23" s="33"/>
      <c r="U23" s="40"/>
      <c r="V23" s="34"/>
      <c r="W23" s="40"/>
      <c r="X23" s="4">
        <f>IF(H23="Senior",MAX(T23,V23),T23+V23)</f>
        <v>0</v>
      </c>
      <c r="Y23" s="34"/>
      <c r="Z23" s="40"/>
      <c r="AA23" s="33">
        <v>45.45</v>
      </c>
      <c r="AB23" s="40">
        <v>1.9</v>
      </c>
      <c r="AC23" s="34">
        <v>20.61</v>
      </c>
      <c r="AD23" s="40">
        <v>5.4</v>
      </c>
      <c r="AE23" s="4">
        <f>IF(H23="Senior",MAX(AA23,AC23),AA23+AC23)</f>
        <v>66.06</v>
      </c>
      <c r="AF23" s="34">
        <v>0</v>
      </c>
      <c r="AG23" s="37">
        <v>0</v>
      </c>
    </row>
    <row r="24" spans="1:33" x14ac:dyDescent="0.2">
      <c r="A24" s="1" t="str" cm="1">
        <f t="array" ref="A24">IF(I24="","",IF(P24&lt;&gt;"",SUMPRODUCT((P$3:P$90&lt;&gt;"")*(G$3:G$90=G24)*(J$3:J$90&gt;J24)*(I$3:I$90="P"))+1,IF(O24&lt;&gt;"",SUMPRODUCT((O$3:O$90&lt;&gt;"")*(P$3:P$90="")*(G$3:G$90=G24)*(J$3:J$90&gt;J24)*(I$3:I$90="P"))+SUMPRODUCT((P$3:P$90&lt;&gt;"")*(G$3:G$90=G24)*(I$3:I$90="P"))+1,IF(N24&lt;&gt;"",SUMPRODUCT((N$3:N$90&lt;&gt;"")*(G$3:G$90=G24)*(J$3:J$90&gt;J24)*(I$3:I$90="P"))+1,IF(M24="P",SUMPRODUCT((O$3:O$90&lt;&gt;"")*(P$3:P$90="")*(G$3:G$90=G24)*(I$3:I$90="P"))+SUMPRODUCT((P$3:P$90&lt;&gt;"")*(G$3:G$90=G24)*(I$3:I$90="P"))+SUMPRODUCT((N$3:N$90&lt;&gt;"")*(G$3:G$90=G24)*(I$3:I$90="P"))+SUMPRODUCT((P$3:P$90="")*(O$3:O$90="")*(N$3:N$90="")*(M$3:M$90="P")*(G$3:G$90=G24)*(J$3:J$90&gt;J24)*(I$3:I$90="P"))+IF(H24="L5",SUMPRODUCT((P$3:P$90="")*(O$3:O$90="")*(N$3:N$90="")*(M$3:M$90="P")*(G$3:G$90=G24)*(J$3:J$90&lt;J24)*(H$3:H$90&lt;&gt;H24)*(I$3:I$90="P")),-1*SUMPRODUCT((P$3:P$90="")*(O$3:O$90="")*(N$3:N$90="")*(M$3:M$90="P")*(G$3:G$90=G24)*(J$3:J$90&gt;J24)*(H$3:H$90="L5")*(I$3:I$90="P")))+1,"")))))</f>
        <v/>
      </c>
      <c r="B24" s="1" t="str" cm="1">
        <f t="array" ref="B24">IF(P24&lt;&gt;"",SUMPRODUCT((P$3:P$90&lt;&gt;"")*(G$3:G$90=G24)*(J$3:J$90&gt;J24))+1,IF(O24&lt;&gt;"",SUMPRODUCT((O$3:O$90&lt;&gt;"")*(P$3:P$90="")*(G$3:G$90=G24)*(J$3:J$90&gt;J24))+SUMPRODUCT((P$3:P$90&lt;&gt;"")*(G$3:G$90=G24))+1,IF(N24&lt;&gt;"",SUMPRODUCT((N$3:N$90&lt;&gt;"")*(G$3:G$90=G24)*(J$3:J$90&gt;J24))+1,IF(M24="P",SUMPRODUCT((O$3:O$90&lt;&gt;"")*(P$3:P$90="")*(G$3:G$90=G24))+SUMPRODUCT((P$3:P$90&lt;&gt;"")*(G$3:G$90=G24))+SUMPRODUCT((N$3:N$90&lt;&gt;"")*(G$3:G$90=G24))+SUMPRODUCT((P$3:P$90="")*(O$3:O$90="")*(N$3:N$90="")*(M$3:M$90="P")*(G$3:G$90=G24)*(J$3:J$90&gt;J24))+IF(H24="L5",SUMPRODUCT((P$3:P$90="")*(O$3:O$90="")*(N$3:N$90="")*(M$3:M$90="P")*(G$3:G$90=G24)*(J$3:J$90&lt;J24)*(H$3:H$90&lt;&gt;H24)),-1*SUMPRODUCT((P$3:P$90="")*(O$3:O$90="")*(N$3:N$90="")*(M$3:M$90="P")*(G$3:G$90=G24)*(J$3:J$90&gt;J24)*(H$3:H$90="L5")))+1,""))))</f>
        <v/>
      </c>
      <c r="C24" s="36" t="s">
        <v>215</v>
      </c>
      <c r="D24" s="36" t="str">
        <f>IF(E24="","",VLOOKUP(E24,'Coaching Points'!A:B,2,0))</f>
        <v>BC</v>
      </c>
      <c r="E24" s="36" t="s">
        <v>42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1.0422900000000001E-4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Scores'!B$13,T24,0),IF(W24&gt;='Qualifying Scores'!B$13,V24,0),IF(Z24&gt;='Qualifying Scores'!B$13,Y24,0),IF(AB24&gt;='Qualifying Scores'!B$13,AA24,0),IF(AD24&gt;'Qualifying Scores'!B$13,AC24,0),IF(AG24&gt;'Qualifying Scores'!B$13,AF24,0)),MAX(IF(OR(AND(G24="15-16",W24&gt;='Qualifying Scores'!B$12),AND(G24="13-14",W24&gt;='Qualifying Scores'!B$11),AND(G24="11-12",W24&gt;='Qualifying Scores'!B$10)),X24,0),IF(OR(AND(G24="15-16",AD24&gt;='Qualifying Scores'!B$12),AND(G24="13-14",AD24&gt;='Qualifying Scores'!B$11),AND(G24="11-12",AD24&gt;='Qualifying Scores'!B$10)),AE24,0))))</f>
        <v>0</v>
      </c>
      <c r="S24" s="4">
        <f>IF(G24="17-21",MAX(T24,V24,Y24,AA24,AC24,AF24),MAX(X24,AE24))</f>
        <v>42.29</v>
      </c>
      <c r="T24" s="33">
        <v>40.33</v>
      </c>
      <c r="U24" s="40">
        <v>1.8</v>
      </c>
      <c r="V24" s="34">
        <v>41.1</v>
      </c>
      <c r="W24" s="40">
        <v>8.2999999999999989</v>
      </c>
      <c r="X24" s="4">
        <f>IF(H24="Senior",MAX(T24,V24),T24+V24)</f>
        <v>81.430000000000007</v>
      </c>
      <c r="Y24" s="34">
        <v>0</v>
      </c>
      <c r="Z24" s="40">
        <v>0</v>
      </c>
      <c r="AA24" s="33">
        <v>42.29</v>
      </c>
      <c r="AB24" s="40">
        <v>2</v>
      </c>
      <c r="AC24" s="34">
        <v>28.8</v>
      </c>
      <c r="AD24" s="40">
        <v>6.8</v>
      </c>
      <c r="AE24" s="4">
        <f>IF(H24="Senior",MAX(AA24,AC24),AA24+AC24)</f>
        <v>71.09</v>
      </c>
      <c r="AF24" s="34"/>
      <c r="AG24" s="37"/>
    </row>
    <row r="25" spans="1:33" x14ac:dyDescent="0.2">
      <c r="A25" s="1" t="str" cm="1">
        <f t="array" ref="A25">IF(I25="","",IF(P25&lt;&gt;"",SUMPRODUCT((P$3:P$90&lt;&gt;"")*(G$3:G$90=G25)*(J$3:J$90&gt;J25)*(I$3:I$90="P"))+1,IF(O25&lt;&gt;"",SUMPRODUCT((O$3:O$90&lt;&gt;"")*(P$3:P$90="")*(G$3:G$90=G25)*(J$3:J$90&gt;J25)*(I$3:I$90="P"))+SUMPRODUCT((P$3:P$90&lt;&gt;"")*(G$3:G$90=G25)*(I$3:I$90="P"))+1,IF(N25&lt;&gt;"",SUMPRODUCT((N$3:N$90&lt;&gt;"")*(G$3:G$90=G25)*(J$3:J$90&gt;J25)*(I$3:I$90="P"))+1,IF(M25="P",SUMPRODUCT((O$3:O$90&lt;&gt;"")*(P$3:P$90="")*(G$3:G$90=G25)*(I$3:I$90="P"))+SUMPRODUCT((P$3:P$90&lt;&gt;"")*(G$3:G$90=G25)*(I$3:I$90="P"))+SUMPRODUCT((N$3:N$90&lt;&gt;"")*(G$3:G$90=G25)*(I$3:I$90="P"))+SUMPRODUCT((P$3:P$90="")*(O$3:O$90="")*(N$3:N$90="")*(M$3:M$90="P")*(G$3:G$90=G25)*(J$3:J$90&gt;J25)*(I$3:I$90="P"))+IF(H25="L5",SUMPRODUCT((P$3:P$90="")*(O$3:O$90="")*(N$3:N$90="")*(M$3:M$90="P")*(G$3:G$90=G25)*(J$3:J$90&lt;J25)*(H$3:H$90&lt;&gt;H25)*(I$3:I$90="P")),-1*SUMPRODUCT((P$3:P$90="")*(O$3:O$90="")*(N$3:N$90="")*(M$3:M$90="P")*(G$3:G$90=G25)*(J$3:J$90&gt;J25)*(H$3:H$90="L5")*(I$3:I$90="P")))+1,"")))))</f>
        <v/>
      </c>
      <c r="B25" s="1" t="str" cm="1">
        <f t="array" ref="B25">IF(P25&lt;&gt;"",SUMPRODUCT((P$3:P$90&lt;&gt;"")*(G$3:G$90=G25)*(J$3:J$90&gt;J25))+1,IF(O25&lt;&gt;"",SUMPRODUCT((O$3:O$90&lt;&gt;"")*(P$3:P$90="")*(G$3:G$90=G25)*(J$3:J$90&gt;J25))+SUMPRODUCT((P$3:P$90&lt;&gt;"")*(G$3:G$90=G25))+1,IF(N25&lt;&gt;"",SUMPRODUCT((N$3:N$90&lt;&gt;"")*(G$3:G$90=G25)*(J$3:J$90&gt;J25))+1,IF(M25="P",SUMPRODUCT((O$3:O$90&lt;&gt;"")*(P$3:P$90="")*(G$3:G$90=G25))+SUMPRODUCT((P$3:P$90&lt;&gt;"")*(G$3:G$90=G25))+SUMPRODUCT((N$3:N$90&lt;&gt;"")*(G$3:G$90=G25))+SUMPRODUCT((P$3:P$90="")*(O$3:O$90="")*(N$3:N$90="")*(M$3:M$90="P")*(G$3:G$90=G25)*(J$3:J$90&gt;J25))+IF(H25="L5",SUMPRODUCT((P$3:P$90="")*(O$3:O$90="")*(N$3:N$90="")*(M$3:M$90="P")*(G$3:G$90=G25)*(J$3:J$90&lt;J25)*(H$3:H$90&lt;&gt;H25)),-1*SUMPRODUCT((P$3:P$90="")*(O$3:O$90="")*(N$3:N$90="")*(M$3:M$90="P")*(G$3:G$90=G25)*(J$3:J$90&gt;J25)*(H$3:H$90="L5")))+1,""))))</f>
        <v/>
      </c>
      <c r="C25" s="36" t="s">
        <v>220</v>
      </c>
      <c r="D25" s="36" t="str">
        <f>IF(E25="","",VLOOKUP(E25,'Coaching Points'!A:B,2,0))</f>
        <v>BC</v>
      </c>
      <c r="E25" s="36" t="s">
        <v>47</v>
      </c>
      <c r="F25" s="35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1.0421800000000001E-4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Scores'!B$13,T25,0),IF(W25&gt;='Qualifying Scores'!B$13,V25,0),IF(Z25&gt;='Qualifying Scores'!B$13,Y25,0),IF(AB25&gt;='Qualifying Scores'!B$13,AA25,0),IF(AD25&gt;'Qualifying Scores'!B$13,AC25,0),IF(AG25&gt;'Qualifying Scores'!B$13,AF25,0)),MAX(IF(OR(AND(G25="15-16",W25&gt;='Qualifying Scores'!B$12),AND(G25="13-14",W25&gt;='Qualifying Scores'!B$11),AND(G25="11-12",W25&gt;='Qualifying Scores'!B$10)),X25,0),IF(OR(AND(G25="15-16",AD25&gt;='Qualifying Scores'!B$12),AND(G25="13-14",AD25&gt;='Qualifying Scores'!B$11),AND(G25="11-12",AD25&gt;='Qualifying Scores'!B$10)),AE25,0))))</f>
        <v>0</v>
      </c>
      <c r="S25" s="4">
        <f>IF(G25="17-21",MAX(T25,V25,Y25,AA25,AC25,AF25),MAX(X25,AE25))</f>
        <v>42.18</v>
      </c>
      <c r="T25" s="33">
        <v>41.870000000000005</v>
      </c>
      <c r="U25" s="40">
        <v>2.2999999999999998</v>
      </c>
      <c r="V25" s="34">
        <v>5.18</v>
      </c>
      <c r="W25" s="40">
        <v>1.5</v>
      </c>
      <c r="X25" s="4">
        <f>IF(H25="Senior",MAX(T25,V25),T25+V25)</f>
        <v>47.050000000000004</v>
      </c>
      <c r="Y25" s="34">
        <v>0</v>
      </c>
      <c r="Z25" s="40">
        <v>0</v>
      </c>
      <c r="AA25" s="33">
        <v>42.18</v>
      </c>
      <c r="AB25" s="40">
        <v>2.2999999999999998</v>
      </c>
      <c r="AC25" s="34">
        <v>18.91</v>
      </c>
      <c r="AD25" s="40">
        <v>4.4000000000000004</v>
      </c>
      <c r="AE25" s="4">
        <f>IF(H25="Senior",MAX(AA25,AC25),AA25+AC25)</f>
        <v>61.09</v>
      </c>
      <c r="AF25" s="34"/>
      <c r="AG25" s="37"/>
    </row>
    <row r="26" spans="1:33" x14ac:dyDescent="0.2">
      <c r="A26" s="1" t="str" cm="1">
        <f t="array" ref="A26">IF(I26="","",IF(P26&lt;&gt;"",SUMPRODUCT((P$3:P$90&lt;&gt;"")*(G$3:G$90=G26)*(J$3:J$90&gt;J26)*(I$3:I$90="P"))+1,IF(O26&lt;&gt;"",SUMPRODUCT((O$3:O$90&lt;&gt;"")*(P$3:P$90="")*(G$3:G$90=G26)*(J$3:J$90&gt;J26)*(I$3:I$90="P"))+SUMPRODUCT((P$3:P$90&lt;&gt;"")*(G$3:G$90=G26)*(I$3:I$90="P"))+1,IF(N26&lt;&gt;"",SUMPRODUCT((N$3:N$90&lt;&gt;"")*(G$3:G$90=G26)*(J$3:J$90&gt;J26)*(I$3:I$90="P"))+1,IF(M26="P",SUMPRODUCT((O$3:O$90&lt;&gt;"")*(P$3:P$90="")*(G$3:G$90=G26)*(I$3:I$90="P"))+SUMPRODUCT((P$3:P$90&lt;&gt;"")*(G$3:G$90=G26)*(I$3:I$90="P"))+SUMPRODUCT((N$3:N$90&lt;&gt;"")*(G$3:G$90=G26)*(I$3:I$90="P"))+SUMPRODUCT((P$3:P$90="")*(O$3:O$90="")*(N$3:N$90="")*(M$3:M$90="P")*(G$3:G$90=G26)*(J$3:J$90&gt;J26)*(I$3:I$90="P"))+IF(H26="L5",SUMPRODUCT((P$3:P$90="")*(O$3:O$90="")*(N$3:N$90="")*(M$3:M$90="P")*(G$3:G$90=G26)*(J$3:J$90&lt;J26)*(H$3:H$90&lt;&gt;H26)*(I$3:I$90="P")),-1*SUMPRODUCT((P$3:P$90="")*(O$3:O$90="")*(N$3:N$90="")*(M$3:M$90="P")*(G$3:G$90=G26)*(J$3:J$90&gt;J26)*(H$3:H$90="L5")*(I$3:I$90="P")))+1,"")))))</f>
        <v/>
      </c>
      <c r="B26" s="1" t="str" cm="1">
        <f t="array" ref="B26">IF(P26&lt;&gt;"",SUMPRODUCT((P$3:P$90&lt;&gt;"")*(G$3:G$90=G26)*(J$3:J$90&gt;J26))+1,IF(O26&lt;&gt;"",SUMPRODUCT((O$3:O$90&lt;&gt;"")*(P$3:P$90="")*(G$3:G$90=G26)*(J$3:J$90&gt;J26))+SUMPRODUCT((P$3:P$90&lt;&gt;"")*(G$3:G$90=G26))+1,IF(N26&lt;&gt;"",SUMPRODUCT((N$3:N$90&lt;&gt;"")*(G$3:G$90=G26)*(J$3:J$90&gt;J26))+1,IF(M26="P",SUMPRODUCT((O$3:O$90&lt;&gt;"")*(P$3:P$90="")*(G$3:G$90=G26))+SUMPRODUCT((P$3:P$90&lt;&gt;"")*(G$3:G$90=G26))+SUMPRODUCT((N$3:N$90&lt;&gt;"")*(G$3:G$90=G26))+SUMPRODUCT((P$3:P$90="")*(O$3:O$90="")*(N$3:N$90="")*(M$3:M$90="P")*(G$3:G$90=G26)*(J$3:J$90&gt;J26))+IF(H26="L5",SUMPRODUCT((P$3:P$90="")*(O$3:O$90="")*(N$3:N$90="")*(M$3:M$90="P")*(G$3:G$90=G26)*(J$3:J$90&lt;J26)*(H$3:H$90&lt;&gt;H26)),-1*SUMPRODUCT((P$3:P$90="")*(O$3:O$90="")*(N$3:N$90="")*(M$3:M$90="P")*(G$3:G$90=G26)*(J$3:J$90&gt;J26)*(H$3:H$90="L5")))+1,""))))</f>
        <v/>
      </c>
      <c r="C26" s="36" t="s">
        <v>216</v>
      </c>
      <c r="D26" s="36" t="str">
        <f>IF(E26="","",VLOOKUP(E26,'Coaching Points'!A:B,2,0))</f>
        <v>BC</v>
      </c>
      <c r="E26" s="36" t="s">
        <v>47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1.0404300000000001E-4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Scores'!B$13,T26,0),IF(W26&gt;='Qualifying Scores'!B$13,V26,0),IF(Z26&gt;='Qualifying Scores'!B$13,Y26,0),IF(AB26&gt;='Qualifying Scores'!B$13,AA26,0),IF(AD26&gt;'Qualifying Scores'!B$13,AC26,0),IF(AG26&gt;'Qualifying Scores'!B$13,AF26,0)),MAX(IF(OR(AND(G26="15-16",W26&gt;='Qualifying Scores'!B$12),AND(G26="13-14",W26&gt;='Qualifying Scores'!B$11),AND(G26="11-12",W26&gt;='Qualifying Scores'!B$10)),X26,0),IF(OR(AND(G26="15-16",AD26&gt;='Qualifying Scores'!B$12),AND(G26="13-14",AD26&gt;='Qualifying Scores'!B$11),AND(G26="11-12",AD26&gt;='Qualifying Scores'!B$10)),AE26,0))))</f>
        <v>0</v>
      </c>
      <c r="S26" s="4">
        <f>IF(G26="17-21",MAX(T26,V26,Y26,AA26,AC26,AF26),MAX(X26,AE26))</f>
        <v>40.43</v>
      </c>
      <c r="T26" s="33">
        <v>31.71</v>
      </c>
      <c r="U26" s="40">
        <v>0</v>
      </c>
      <c r="V26" s="34">
        <v>24.43</v>
      </c>
      <c r="W26" s="40">
        <v>6.7</v>
      </c>
      <c r="X26" s="4">
        <f>IF(H26="Senior",MAX(T26,V26),T26+V26)</f>
        <v>56.14</v>
      </c>
      <c r="Y26" s="34">
        <v>0</v>
      </c>
      <c r="Z26" s="40">
        <v>0</v>
      </c>
      <c r="AA26" s="33">
        <v>40.43</v>
      </c>
      <c r="AB26" s="40">
        <v>2.5</v>
      </c>
      <c r="AC26" s="34">
        <v>24.08</v>
      </c>
      <c r="AD26" s="40">
        <v>6</v>
      </c>
      <c r="AE26" s="4">
        <f>IF(H26="Senior",MAX(AA26,AC26),AA26+AC26)</f>
        <v>64.509999999999991</v>
      </c>
      <c r="AF26" s="34"/>
      <c r="AG26" s="37"/>
    </row>
    <row r="27" spans="1:33" x14ac:dyDescent="0.2">
      <c r="A27" s="1" t="str" cm="1">
        <f t="array" ref="A27">IF(I27="","",IF(P27&lt;&gt;"",SUMPRODUCT((P$3:P$90&lt;&gt;"")*(G$3:G$90=G27)*(J$3:J$90&gt;J27)*(I$3:I$90="P"))+1,IF(O27&lt;&gt;"",SUMPRODUCT((O$3:O$90&lt;&gt;"")*(P$3:P$90="")*(G$3:G$90=G27)*(J$3:J$90&gt;J27)*(I$3:I$90="P"))+SUMPRODUCT((P$3:P$90&lt;&gt;"")*(G$3:G$90=G27)*(I$3:I$90="P"))+1,IF(N27&lt;&gt;"",SUMPRODUCT((N$3:N$90&lt;&gt;"")*(G$3:G$90=G27)*(J$3:J$90&gt;J27)*(I$3:I$90="P"))+1,IF(M27="P",SUMPRODUCT((O$3:O$90&lt;&gt;"")*(P$3:P$90="")*(G$3:G$90=G27)*(I$3:I$90="P"))+SUMPRODUCT((P$3:P$90&lt;&gt;"")*(G$3:G$90=G27)*(I$3:I$90="P"))+SUMPRODUCT((N$3:N$90&lt;&gt;"")*(G$3:G$90=G27)*(I$3:I$90="P"))+SUMPRODUCT((P$3:P$90="")*(O$3:O$90="")*(N$3:N$90="")*(M$3:M$90="P")*(G$3:G$90=G27)*(J$3:J$90&gt;J27)*(I$3:I$90="P"))+IF(H27="L5",SUMPRODUCT((P$3:P$90="")*(O$3:O$90="")*(N$3:N$90="")*(M$3:M$90="P")*(G$3:G$90=G27)*(J$3:J$90&lt;J27)*(H$3:H$90&lt;&gt;H27)*(I$3:I$90="P")),-1*SUMPRODUCT((P$3:P$90="")*(O$3:O$90="")*(N$3:N$90="")*(M$3:M$90="P")*(G$3:G$90=G27)*(J$3:J$90&gt;J27)*(H$3:H$90="L5")*(I$3:I$90="P")))+1,"")))))</f>
        <v/>
      </c>
      <c r="B27" s="1" t="str" cm="1">
        <f t="array" ref="B27">IF(P27&lt;&gt;"",SUMPRODUCT((P$3:P$90&lt;&gt;"")*(G$3:G$90=G27)*(J$3:J$90&gt;J27))+1,IF(O27&lt;&gt;"",SUMPRODUCT((O$3:O$90&lt;&gt;"")*(P$3:P$90="")*(G$3:G$90=G27)*(J$3:J$90&gt;J27))+SUMPRODUCT((P$3:P$90&lt;&gt;"")*(G$3:G$90=G27))+1,IF(N27&lt;&gt;"",SUMPRODUCT((N$3:N$90&lt;&gt;"")*(G$3:G$90=G27)*(J$3:J$90&gt;J27))+1,IF(M27="P",SUMPRODUCT((O$3:O$90&lt;&gt;"")*(P$3:P$90="")*(G$3:G$90=G27))+SUMPRODUCT((P$3:P$90&lt;&gt;"")*(G$3:G$90=G27))+SUMPRODUCT((N$3:N$90&lt;&gt;"")*(G$3:G$90=G27))+SUMPRODUCT((P$3:P$90="")*(O$3:O$90="")*(N$3:N$90="")*(M$3:M$90="P")*(G$3:G$90=G27)*(J$3:J$90&gt;J27))+IF(H27="L5",SUMPRODUCT((P$3:P$90="")*(O$3:O$90="")*(N$3:N$90="")*(M$3:M$90="P")*(G$3:G$90=G27)*(J$3:J$90&lt;J27)*(H$3:H$90&lt;&gt;H27)),-1*SUMPRODUCT((P$3:P$90="")*(O$3:O$90="")*(N$3:N$90="")*(M$3:M$90="P")*(G$3:G$90=G27)*(J$3:J$90&gt;J27)*(H$3:H$90="L5")))+1,""))))</f>
        <v/>
      </c>
      <c r="C27" s="36" t="s">
        <v>209</v>
      </c>
      <c r="D27" s="36" t="str">
        <f>IF(E27="","",VLOOKUP(E27,'Coaching Points'!A:B,2,0))</f>
        <v>BC</v>
      </c>
      <c r="E27" s="36" t="s">
        <v>37</v>
      </c>
      <c r="F27" s="35">
        <v>2002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1.0398900000000001E-4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Scores'!B$13,T27,0),IF(W27&gt;='Qualifying Scores'!B$13,V27,0),IF(Z27&gt;='Qualifying Scores'!B$13,Y27,0),IF(AB27&gt;='Qualifying Scores'!B$13,AA27,0),IF(AD27&gt;'Qualifying Scores'!B$13,AC27,0),IF(AG27&gt;'Qualifying Scores'!B$13,AF27,0)),MAX(IF(OR(AND(G27="15-16",W27&gt;='Qualifying Scores'!B$12),AND(G27="13-14",W27&gt;='Qualifying Scores'!B$11),AND(G27="11-12",W27&gt;='Qualifying Scores'!B$10)),X27,0),IF(OR(AND(G27="15-16",AD27&gt;='Qualifying Scores'!B$12),AND(G27="13-14",AD27&gt;='Qualifying Scores'!B$11),AND(G27="11-12",AD27&gt;='Qualifying Scores'!B$10)),AE27,0))))</f>
        <v>0</v>
      </c>
      <c r="S27" s="4">
        <f>IF(G27="17-21",MAX(T27,V27,Y27,AA27,AC27,AF27),MAX(X27,AE27))</f>
        <v>49.39</v>
      </c>
      <c r="T27" s="33">
        <v>41.66</v>
      </c>
      <c r="U27" s="40">
        <v>2</v>
      </c>
      <c r="V27" s="34">
        <v>49.39</v>
      </c>
      <c r="W27" s="40">
        <v>11.299999999999999</v>
      </c>
      <c r="X27" s="4">
        <f>IF(H27="Senior",MAX(T27,V27),T27+V27)</f>
        <v>91.05</v>
      </c>
      <c r="Y27" s="34">
        <v>45.71</v>
      </c>
      <c r="Z27" s="40">
        <v>10.6</v>
      </c>
      <c r="AA27" s="33">
        <v>39.889999999999993</v>
      </c>
      <c r="AB27" s="40">
        <v>1.4</v>
      </c>
      <c r="AC27" s="34">
        <v>9.7899999999999991</v>
      </c>
      <c r="AD27" s="40">
        <v>2</v>
      </c>
      <c r="AE27" s="4">
        <f>IF(H27="Senior",MAX(AA27,AC27),AA27+AC27)</f>
        <v>49.679999999999993</v>
      </c>
      <c r="AF27" s="34"/>
      <c r="AG27" s="37"/>
    </row>
    <row r="28" spans="1:33" x14ac:dyDescent="0.2">
      <c r="A28" s="1" t="str" cm="1">
        <f t="array" ref="A28">IF(I28="","",IF(P28&lt;&gt;"",SUMPRODUCT((P$3:P$90&lt;&gt;"")*(G$3:G$90=G28)*(J$3:J$90&gt;J28)*(I$3:I$90="P"))+1,IF(O28&lt;&gt;"",SUMPRODUCT((O$3:O$90&lt;&gt;"")*(P$3:P$90="")*(G$3:G$90=G28)*(J$3:J$90&gt;J28)*(I$3:I$90="P"))+SUMPRODUCT((P$3:P$90&lt;&gt;"")*(G$3:G$90=G28)*(I$3:I$90="P"))+1,IF(N28&lt;&gt;"",SUMPRODUCT((N$3:N$90&lt;&gt;"")*(G$3:G$90=G28)*(J$3:J$90&gt;J28)*(I$3:I$90="P"))+1,IF(M28="P",SUMPRODUCT((O$3:O$90&lt;&gt;"")*(P$3:P$90="")*(G$3:G$90=G28)*(I$3:I$90="P"))+SUMPRODUCT((P$3:P$90&lt;&gt;"")*(G$3:G$90=G28)*(I$3:I$90="P"))+SUMPRODUCT((N$3:N$90&lt;&gt;"")*(G$3:G$90=G28)*(I$3:I$90="P"))+SUMPRODUCT((P$3:P$90="")*(O$3:O$90="")*(N$3:N$90="")*(M$3:M$90="P")*(G$3:G$90=G28)*(J$3:J$90&gt;J28)*(I$3:I$90="P"))+IF(H28="L5",SUMPRODUCT((P$3:P$90="")*(O$3:O$90="")*(N$3:N$90="")*(M$3:M$90="P")*(G$3:G$90=G28)*(J$3:J$90&lt;J28)*(H$3:H$90&lt;&gt;H28)*(I$3:I$90="P")),-1*SUMPRODUCT((P$3:P$90="")*(O$3:O$90="")*(N$3:N$90="")*(M$3:M$90="P")*(G$3:G$90=G28)*(J$3:J$90&gt;J28)*(H$3:H$90="L5")*(I$3:I$90="P")))+1,"")))))</f>
        <v/>
      </c>
      <c r="B28" s="1" t="str" cm="1">
        <f t="array" ref="B28">IF(P28&lt;&gt;"",SUMPRODUCT((P$3:P$90&lt;&gt;"")*(G$3:G$90=G28)*(J$3:J$90&gt;J28))+1,IF(O28&lt;&gt;"",SUMPRODUCT((O$3:O$90&lt;&gt;"")*(P$3:P$90="")*(G$3:G$90=G28)*(J$3:J$90&gt;J28))+SUMPRODUCT((P$3:P$90&lt;&gt;"")*(G$3:G$90=G28))+1,IF(N28&lt;&gt;"",SUMPRODUCT((N$3:N$90&lt;&gt;"")*(G$3:G$90=G28)*(J$3:J$90&gt;J28))+1,IF(M28="P",SUMPRODUCT((O$3:O$90&lt;&gt;"")*(P$3:P$90="")*(G$3:G$90=G28))+SUMPRODUCT((P$3:P$90&lt;&gt;"")*(G$3:G$90=G28))+SUMPRODUCT((N$3:N$90&lt;&gt;"")*(G$3:G$90=G28))+SUMPRODUCT((P$3:P$90="")*(O$3:O$90="")*(N$3:N$90="")*(M$3:M$90="P")*(G$3:G$90=G28)*(J$3:J$90&gt;J28))+IF(H28="L5",SUMPRODUCT((P$3:P$90="")*(O$3:O$90="")*(N$3:N$90="")*(M$3:M$90="P")*(G$3:G$90=G28)*(J$3:J$90&lt;J28)*(H$3:H$90&lt;&gt;H28)),-1*SUMPRODUCT((P$3:P$90="")*(O$3:O$90="")*(N$3:N$90="")*(M$3:M$90="P")*(G$3:G$90=G28)*(J$3:J$90&gt;J28)*(H$3:H$90="L5")))+1,""))))</f>
        <v/>
      </c>
      <c r="C28" s="36" t="s">
        <v>405</v>
      </c>
      <c r="D28" s="36" t="str">
        <f>IF(E28="","",VLOOKUP(E28,'Coaching Points'!A:B,2,0))</f>
        <v>AB</v>
      </c>
      <c r="E28" s="36" t="s">
        <v>41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1.03718E-4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Scores'!B$13,T28,0),IF(W28&gt;='Qualifying Scores'!B$13,V28,0),IF(Z28&gt;='Qualifying Scores'!B$13,Y28,0),IF(AB28&gt;='Qualifying Scores'!B$13,AA28,0),IF(AD28&gt;'Qualifying Scores'!B$13,AC28,0),IF(AG28&gt;'Qualifying Scores'!B$13,AF28,0)),MAX(IF(OR(AND(G28="15-16",W28&gt;='Qualifying Scores'!B$12),AND(G28="13-14",W28&gt;='Qualifying Scores'!B$11),AND(G28="11-12",W28&gt;='Qualifying Scores'!B$10)),X28,0),IF(OR(AND(G28="15-16",AD28&gt;='Qualifying Scores'!B$12),AND(G28="13-14",AD28&gt;='Qualifying Scores'!B$11),AND(G28="11-12",AD28&gt;='Qualifying Scores'!B$10)),AE28,0))))</f>
        <v>0</v>
      </c>
      <c r="S28" s="4">
        <f>IF(G28="17-21",MAX(T28,V28,Y28,AA28,AC28,AF28),MAX(X28,AE28))</f>
        <v>37.179999999999993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37.179999999999993</v>
      </c>
      <c r="AB28" s="40">
        <v>1.7</v>
      </c>
      <c r="AC28" s="34">
        <v>5.6899999999999995</v>
      </c>
      <c r="AD28" s="40">
        <v>1.5</v>
      </c>
      <c r="AE28" s="4">
        <f>IF(H28="Senior",MAX(AA28,AC28),AA28+AC28)</f>
        <v>42.86999999999999</v>
      </c>
      <c r="AF28" s="34"/>
      <c r="AG28" s="37"/>
    </row>
    <row r="29" spans="1:33" x14ac:dyDescent="0.2">
      <c r="A29" s="1" t="str" cm="1">
        <f t="array" ref="A29">IF(I29="","",IF(P29&lt;&gt;"",SUMPRODUCT((P$3:P$90&lt;&gt;"")*(G$3:G$90=G29)*(J$3:J$90&gt;J29)*(I$3:I$90="P"))+1,IF(O29&lt;&gt;"",SUMPRODUCT((O$3:O$90&lt;&gt;"")*(P$3:P$90="")*(G$3:G$90=G29)*(J$3:J$90&gt;J29)*(I$3:I$90="P"))+SUMPRODUCT((P$3:P$90&lt;&gt;"")*(G$3:G$90=G29)*(I$3:I$90="P"))+1,IF(N29&lt;&gt;"",SUMPRODUCT((N$3:N$90&lt;&gt;"")*(G$3:G$90=G29)*(J$3:J$90&gt;J29)*(I$3:I$90="P"))+1,IF(M29="P",SUMPRODUCT((O$3:O$90&lt;&gt;"")*(P$3:P$90="")*(G$3:G$90=G29)*(I$3:I$90="P"))+SUMPRODUCT((P$3:P$90&lt;&gt;"")*(G$3:G$90=G29)*(I$3:I$90="P"))+SUMPRODUCT((N$3:N$90&lt;&gt;"")*(G$3:G$90=G29)*(I$3:I$90="P"))+SUMPRODUCT((P$3:P$90="")*(O$3:O$90="")*(N$3:N$90="")*(M$3:M$90="P")*(G$3:G$90=G29)*(J$3:J$90&gt;J29)*(I$3:I$90="P"))+IF(H29="L5",SUMPRODUCT((P$3:P$90="")*(O$3:O$90="")*(N$3:N$90="")*(M$3:M$90="P")*(G$3:G$90=G29)*(J$3:J$90&lt;J29)*(H$3:H$90&lt;&gt;H29)*(I$3:I$90="P")),-1*SUMPRODUCT((P$3:P$90="")*(O$3:O$90="")*(N$3:N$90="")*(M$3:M$90="P")*(G$3:G$90=G29)*(J$3:J$90&gt;J29)*(H$3:H$90="L5")*(I$3:I$90="P")))+1,"")))))</f>
        <v/>
      </c>
      <c r="B29" s="1" t="str" cm="1">
        <f t="array" ref="B29">IF(P29&lt;&gt;"",SUMPRODUCT((P$3:P$90&lt;&gt;"")*(G$3:G$90=G29)*(J$3:J$90&gt;J29))+1,IF(O29&lt;&gt;"",SUMPRODUCT((O$3:O$90&lt;&gt;"")*(P$3:P$90="")*(G$3:G$90=G29)*(J$3:J$90&gt;J29))+SUMPRODUCT((P$3:P$90&lt;&gt;"")*(G$3:G$90=G29))+1,IF(N29&lt;&gt;"",SUMPRODUCT((N$3:N$90&lt;&gt;"")*(G$3:G$90=G29)*(J$3:J$90&gt;J29))+1,IF(M29="P",SUMPRODUCT((O$3:O$90&lt;&gt;"")*(P$3:P$90="")*(G$3:G$90=G29))+SUMPRODUCT((P$3:P$90&lt;&gt;"")*(G$3:G$90=G29))+SUMPRODUCT((N$3:N$90&lt;&gt;"")*(G$3:G$90=G29))+SUMPRODUCT((P$3:P$90="")*(O$3:O$90="")*(N$3:N$90="")*(M$3:M$90="P")*(G$3:G$90=G29)*(J$3:J$90&gt;J29))+IF(H29="L5",SUMPRODUCT((P$3:P$90="")*(O$3:O$90="")*(N$3:N$90="")*(M$3:M$90="P")*(G$3:G$90=G29)*(J$3:J$90&lt;J29)*(H$3:H$90&lt;&gt;H29)),-1*SUMPRODUCT((P$3:P$90="")*(O$3:O$90="")*(N$3:N$90="")*(M$3:M$90="P")*(G$3:G$90=G29)*(J$3:J$90&gt;J29)*(H$3:H$90="L5")))+1,""))))</f>
        <v/>
      </c>
      <c r="C29" s="36" t="s">
        <v>212</v>
      </c>
      <c r="D29" s="36" t="str">
        <f>IF(E29="","",VLOOKUP(E29,'Coaching Points'!A:B,2,0))</f>
        <v>ON</v>
      </c>
      <c r="E29" s="36" t="s">
        <v>141</v>
      </c>
      <c r="F29" s="35">
        <v>2005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1E-4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Scores'!B$13,T29,0),IF(W29&gt;='Qualifying Scores'!B$13,V29,0),IF(Z29&gt;='Qualifying Scores'!B$13,Y29,0),IF(AB29&gt;='Qualifying Scores'!B$13,AA29,0),IF(AD29&gt;'Qualifying Scores'!B$13,AC29,0),IF(AG29&gt;'Qualifying Scores'!B$13,AF29,0)),MAX(IF(OR(AND(G29="15-16",W29&gt;='Qualifying Scores'!B$12),AND(G29="13-14",W29&gt;='Qualifying Scores'!B$11),AND(G29="11-12",W29&gt;='Qualifying Scores'!B$10)),X29,0),IF(OR(AND(G29="15-16",AD29&gt;='Qualifying Scores'!B$12),AND(G29="13-14",AD29&gt;='Qualifying Scores'!B$11),AND(G29="11-12",AD29&gt;='Qualifying Scores'!B$10)),AE29,0))))</f>
        <v>0</v>
      </c>
      <c r="S29" s="4">
        <f>IF(G29="17-21",MAX(T29,V29,Y29,AA29,AC29,AF29),MAX(X29,AE29))</f>
        <v>50.98</v>
      </c>
      <c r="T29" s="33">
        <v>43.03</v>
      </c>
      <c r="U29" s="40">
        <v>2.7</v>
      </c>
      <c r="V29" s="34">
        <v>50.98</v>
      </c>
      <c r="W29" s="40">
        <v>11.2</v>
      </c>
      <c r="X29" s="4">
        <f>IF(H29="Senior",MAX(T29,V29),T29+V29)</f>
        <v>94.009999999999991</v>
      </c>
      <c r="Y29" s="34">
        <v>15.780000000000001</v>
      </c>
      <c r="Z29" s="40">
        <v>3.8</v>
      </c>
      <c r="AA29" s="33"/>
      <c r="AB29" s="40"/>
      <c r="AC29" s="34"/>
      <c r="AD29" s="40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$90&lt;&gt;"")*(G$3:G$90=G30)*(J$3:J$90&gt;J30)*(I$3:I$90="P"))+1,IF(O30&lt;&gt;"",SUMPRODUCT((O$3:O$90&lt;&gt;"")*(P$3:P$90="")*(G$3:G$90=G30)*(J$3:J$90&gt;J30)*(I$3:I$90="P"))+SUMPRODUCT((P$3:P$90&lt;&gt;"")*(G$3:G$90=G30)*(I$3:I$90="P"))+1,IF(N30&lt;&gt;"",SUMPRODUCT((N$3:N$90&lt;&gt;"")*(G$3:G$90=G30)*(J$3:J$90&gt;J30)*(I$3:I$90="P"))+1,IF(M30="P",SUMPRODUCT((O$3:O$90&lt;&gt;"")*(P$3:P$90="")*(G$3:G$90=G30)*(I$3:I$90="P"))+SUMPRODUCT((P$3:P$90&lt;&gt;"")*(G$3:G$90=G30)*(I$3:I$90="P"))+SUMPRODUCT((N$3:N$90&lt;&gt;"")*(G$3:G$90=G30)*(I$3:I$90="P"))+SUMPRODUCT((P$3:P$90="")*(O$3:O$90="")*(N$3:N$90="")*(M$3:M$90="P")*(G$3:G$90=G30)*(J$3:J$90&gt;J30)*(I$3:I$90="P"))+IF(H30="L5",SUMPRODUCT((P$3:P$90="")*(O$3:O$90="")*(N$3:N$90="")*(M$3:M$90="P")*(G$3:G$90=G30)*(J$3:J$90&lt;J30)*(H$3:H$90&lt;&gt;H30)*(I$3:I$90="P")),-1*SUMPRODUCT((P$3:P$90="")*(O$3:O$90="")*(N$3:N$90="")*(M$3:M$90="P")*(G$3:G$90=G30)*(J$3:J$90&gt;J30)*(H$3:H$90="L5")*(I$3:I$90="P")))+1,"")))))</f>
        <v/>
      </c>
      <c r="B30" s="1" t="str" cm="1">
        <f t="array" ref="B30">IF(P30&lt;&gt;"",SUMPRODUCT((P$3:P$90&lt;&gt;"")*(G$3:G$90=G30)*(J$3:J$90&gt;J30))+1,IF(O30&lt;&gt;"",SUMPRODUCT((O$3:O$90&lt;&gt;"")*(P$3:P$90="")*(G$3:G$90=G30)*(J$3:J$90&gt;J30))+SUMPRODUCT((P$3:P$90&lt;&gt;"")*(G$3:G$90=G30))+1,IF(N30&lt;&gt;"",SUMPRODUCT((N$3:N$90&lt;&gt;"")*(G$3:G$90=G30)*(J$3:J$90&gt;J30))+1,IF(M30="P",SUMPRODUCT((O$3:O$90&lt;&gt;"")*(P$3:P$90="")*(G$3:G$90=G30))+SUMPRODUCT((P$3:P$90&lt;&gt;"")*(G$3:G$90=G30))+SUMPRODUCT((N$3:N$90&lt;&gt;"")*(G$3:G$90=G30))+SUMPRODUCT((P$3:P$90="")*(O$3:O$90="")*(N$3:N$90="")*(M$3:M$90="P")*(G$3:G$90=G30)*(J$3:J$90&gt;J30))+IF(H30="L5",SUMPRODUCT((P$3:P$90="")*(O$3:O$90="")*(N$3:N$90="")*(M$3:M$90="P")*(G$3:G$90=G30)*(J$3:J$90&lt;J30)*(H$3:H$90&lt;&gt;H30)),-1*SUMPRODUCT((P$3:P$90="")*(O$3:O$90="")*(N$3:N$90="")*(M$3:M$90="P")*(G$3:G$90=G30)*(J$3:J$90&gt;J30)*(H$3:H$90="L5")))+1,""))))</f>
        <v/>
      </c>
      <c r="C30" s="36" t="s">
        <v>198</v>
      </c>
      <c r="D30" s="36" t="str">
        <f>IF(E30="","",VLOOKUP(E30,'Coaching Points'!A:B,2,0))</f>
        <v>ON</v>
      </c>
      <c r="E30" s="36" t="s">
        <v>199</v>
      </c>
      <c r="F30" s="35">
        <v>2003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 t="s">
        <v>604</v>
      </c>
      <c r="J30" s="4">
        <f>R30+IF(OR(H30="Junior",H30="Senior"),0.0002,IF(OR(H30="L7",H30="L6"),0.0001,0))+IF(G30="17-21",MAX(AA30,AC30,AF30),AE30)*0.0000001</f>
        <v>1E-4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Scores'!B$13,T30,0),IF(W30&gt;='Qualifying Scores'!B$13,V30,0),IF(Z30&gt;='Qualifying Scores'!B$13,Y30,0),IF(AB30&gt;='Qualifying Scores'!B$13,AA30,0),IF(AD30&gt;'Qualifying Scores'!B$13,AC30,0),IF(AG30&gt;'Qualifying Scores'!B$13,AF30,0)),MAX(IF(OR(AND(G30="15-16",W30&gt;='Qualifying Scores'!B$12),AND(G30="13-14",W30&gt;='Qualifying Scores'!B$11),AND(G30="11-12",W30&gt;='Qualifying Scores'!B$10)),X30,0),IF(OR(AND(G30="15-16",AD30&gt;='Qualifying Scores'!B$12),AND(G30="13-14",AD30&gt;='Qualifying Scores'!B$11),AND(G30="11-12",AD30&gt;='Qualifying Scores'!B$10)),AE30,0))))</f>
        <v>0</v>
      </c>
      <c r="S30" s="4">
        <f>IF(G30="17-21",MAX(T30,V30,Y30,AA30,AC30,AF30),MAX(X30,AE30))</f>
        <v>48.17</v>
      </c>
      <c r="T30" s="33">
        <v>41.49</v>
      </c>
      <c r="U30" s="40">
        <v>0</v>
      </c>
      <c r="V30" s="34">
        <v>48.17</v>
      </c>
      <c r="W30" s="40">
        <v>9.5</v>
      </c>
      <c r="X30" s="4">
        <f>IF(H30="Senior",MAX(T30,V30),T30+V30)</f>
        <v>89.66</v>
      </c>
      <c r="Y30" s="34">
        <v>9.68</v>
      </c>
      <c r="Z30" s="40">
        <v>1.9</v>
      </c>
      <c r="AA30" s="33"/>
      <c r="AB30" s="40"/>
      <c r="AC30" s="34"/>
      <c r="AD30" s="40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$90&lt;&gt;"")*(G$3:G$90=G31)*(J$3:J$90&gt;J31)*(I$3:I$90="P"))+1,IF(O31&lt;&gt;"",SUMPRODUCT((O$3:O$90&lt;&gt;"")*(P$3:P$90="")*(G$3:G$90=G31)*(J$3:J$90&gt;J31)*(I$3:I$90="P"))+SUMPRODUCT((P$3:P$90&lt;&gt;"")*(G$3:G$90=G31)*(I$3:I$90="P"))+1,IF(N31&lt;&gt;"",SUMPRODUCT((N$3:N$90&lt;&gt;"")*(G$3:G$90=G31)*(J$3:J$90&gt;J31)*(I$3:I$90="P"))+1,IF(M31="P",SUMPRODUCT((O$3:O$90&lt;&gt;"")*(P$3:P$90="")*(G$3:G$90=G31)*(I$3:I$90="P"))+SUMPRODUCT((P$3:P$90&lt;&gt;"")*(G$3:G$90=G31)*(I$3:I$90="P"))+SUMPRODUCT((N$3:N$90&lt;&gt;"")*(G$3:G$90=G31)*(I$3:I$90="P"))+SUMPRODUCT((P$3:P$90="")*(O$3:O$90="")*(N$3:N$90="")*(M$3:M$90="P")*(G$3:G$90=G31)*(J$3:J$90&gt;J31)*(I$3:I$90="P"))+IF(H31="L5",SUMPRODUCT((P$3:P$90="")*(O$3:O$90="")*(N$3:N$90="")*(M$3:M$90="P")*(G$3:G$90=G31)*(J$3:J$90&lt;J31)*(H$3:H$90&lt;&gt;H31)*(I$3:I$90="P")),-1*SUMPRODUCT((P$3:P$90="")*(O$3:O$90="")*(N$3:N$90="")*(M$3:M$90="P")*(G$3:G$90=G31)*(J$3:J$90&gt;J31)*(H$3:H$90="L5")*(I$3:I$90="P")))+1,"")))))</f>
        <v/>
      </c>
      <c r="B31" s="1" t="str" cm="1">
        <f t="array" ref="B31">IF(P31&lt;&gt;"",SUMPRODUCT((P$3:P$90&lt;&gt;"")*(G$3:G$90=G31)*(J$3:J$90&gt;J31))+1,IF(O31&lt;&gt;"",SUMPRODUCT((O$3:O$90&lt;&gt;"")*(P$3:P$90="")*(G$3:G$90=G31)*(J$3:J$90&gt;J31))+SUMPRODUCT((P$3:P$90&lt;&gt;"")*(G$3:G$90=G31))+1,IF(N31&lt;&gt;"",SUMPRODUCT((N$3:N$90&lt;&gt;"")*(G$3:G$90=G31)*(J$3:J$90&gt;J31))+1,IF(M31="P",SUMPRODUCT((O$3:O$90&lt;&gt;"")*(P$3:P$90="")*(G$3:G$90=G31))+SUMPRODUCT((P$3:P$90&lt;&gt;"")*(G$3:G$90=G31))+SUMPRODUCT((N$3:N$90&lt;&gt;"")*(G$3:G$90=G31))+SUMPRODUCT((P$3:P$90="")*(O$3:O$90="")*(N$3:N$90="")*(M$3:M$90="P")*(G$3:G$90=G31)*(J$3:J$90&gt;J31))+IF(H31="L5",SUMPRODUCT((P$3:P$90="")*(O$3:O$90="")*(N$3:N$90="")*(M$3:M$90="P")*(G$3:G$90=G31)*(J$3:J$90&lt;J31)*(H$3:H$90&lt;&gt;H31)),-1*SUMPRODUCT((P$3:P$90="")*(O$3:O$90="")*(N$3:N$90="")*(M$3:M$90="P")*(G$3:G$90=G31)*(J$3:J$90&gt;J31)*(H$3:H$90="L5")))+1,""))))</f>
        <v/>
      </c>
      <c r="C31" s="36" t="s">
        <v>208</v>
      </c>
      <c r="D31" s="36" t="str">
        <f>IF(E31="","",VLOOKUP(E31,'Coaching Points'!A:B,2,0))</f>
        <v>ON</v>
      </c>
      <c r="E31" s="36" t="s">
        <v>158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/>
      <c r="J31" s="4">
        <f>R31+IF(OR(H31="Junior",H31="Senior"),0.0002,IF(OR(H31="L7",H31="L6"),0.0001,0))+IF(G31="17-21",MAX(AA31,AC31,AF31),AE31)*0.0000001</f>
        <v>1E-4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Scores'!B$13,T31,0),IF(W31&gt;='Qualifying Scores'!B$13,V31,0),IF(Z31&gt;='Qualifying Scores'!B$13,Y31,0),IF(AB31&gt;='Qualifying Scores'!B$13,AA31,0),IF(AD31&gt;'Qualifying Scores'!B$13,AC31,0),IF(AG31&gt;'Qualifying Scores'!B$13,AF31,0)),MAX(IF(OR(AND(G31="15-16",W31&gt;='Qualifying Scores'!B$12),AND(G31="13-14",W31&gt;='Qualifying Scores'!B$11),AND(G31="11-12",W31&gt;='Qualifying Scores'!B$10)),X31,0),IF(OR(AND(G31="15-16",AD31&gt;='Qualifying Scores'!B$12),AND(G31="13-14",AD31&gt;='Qualifying Scores'!B$11),AND(G31="11-12",AD31&gt;='Qualifying Scores'!B$10)),AE31,0))))</f>
        <v>0</v>
      </c>
      <c r="S31" s="4">
        <f>IF(G31="17-21",MAX(T31,V31,Y31,AA31,AC31,AF31),MAX(X31,AE31))</f>
        <v>47.56</v>
      </c>
      <c r="T31" s="33">
        <v>41.6</v>
      </c>
      <c r="U31" s="40">
        <v>2.7</v>
      </c>
      <c r="V31" s="34">
        <v>47.529999999999994</v>
      </c>
      <c r="W31" s="40">
        <v>9.9999999999999982</v>
      </c>
      <c r="X31" s="4">
        <f>IF(H31="Senior",MAX(T31,V31),T31+V31)</f>
        <v>89.13</v>
      </c>
      <c r="Y31" s="34">
        <v>47.56</v>
      </c>
      <c r="Z31" s="40">
        <v>9.9999999999999982</v>
      </c>
      <c r="AA31" s="33"/>
      <c r="AB31" s="40"/>
      <c r="AC31" s="34"/>
      <c r="AD31" s="40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$90&lt;&gt;"")*(G$3:G$90=G32)*(J$3:J$90&gt;J32)*(I$3:I$90="P"))+1,IF(O32&lt;&gt;"",SUMPRODUCT((O$3:O$90&lt;&gt;"")*(P$3:P$90="")*(G$3:G$90=G32)*(J$3:J$90&gt;J32)*(I$3:I$90="P"))+SUMPRODUCT((P$3:P$90&lt;&gt;"")*(G$3:G$90=G32)*(I$3:I$90="P"))+1,IF(N32&lt;&gt;"",SUMPRODUCT((N$3:N$90&lt;&gt;"")*(G$3:G$90=G32)*(J$3:J$90&gt;J32)*(I$3:I$90="P"))+1,IF(M32="P",SUMPRODUCT((O$3:O$90&lt;&gt;"")*(P$3:P$90="")*(G$3:G$90=G32)*(I$3:I$90="P"))+SUMPRODUCT((P$3:P$90&lt;&gt;"")*(G$3:G$90=G32)*(I$3:I$90="P"))+SUMPRODUCT((N$3:N$90&lt;&gt;"")*(G$3:G$90=G32)*(I$3:I$90="P"))+SUMPRODUCT((P$3:P$90="")*(O$3:O$90="")*(N$3:N$90="")*(M$3:M$90="P")*(G$3:G$90=G32)*(J$3:J$90&gt;J32)*(I$3:I$90="P"))+IF(H32="L5",SUMPRODUCT((P$3:P$90="")*(O$3:O$90="")*(N$3:N$90="")*(M$3:M$90="P")*(G$3:G$90=G32)*(J$3:J$90&lt;J32)*(H$3:H$90&lt;&gt;H32)*(I$3:I$90="P")),-1*SUMPRODUCT((P$3:P$90="")*(O$3:O$90="")*(N$3:N$90="")*(M$3:M$90="P")*(G$3:G$90=G32)*(J$3:J$90&gt;J32)*(H$3:H$90="L5")*(I$3:I$90="P")))+1,"")))))</f>
        <v/>
      </c>
      <c r="B32" s="1" t="str" cm="1">
        <f t="array" ref="B32">IF(P32&lt;&gt;"",SUMPRODUCT((P$3:P$90&lt;&gt;"")*(G$3:G$90=G32)*(J$3:J$90&gt;J32))+1,IF(O32&lt;&gt;"",SUMPRODUCT((O$3:O$90&lt;&gt;"")*(P$3:P$90="")*(G$3:G$90=G32)*(J$3:J$90&gt;J32))+SUMPRODUCT((P$3:P$90&lt;&gt;"")*(G$3:G$90=G32))+1,IF(N32&lt;&gt;"",SUMPRODUCT((N$3:N$90&lt;&gt;"")*(G$3:G$90=G32)*(J$3:J$90&gt;J32))+1,IF(M32="P",SUMPRODUCT((O$3:O$90&lt;&gt;"")*(P$3:P$90="")*(G$3:G$90=G32))+SUMPRODUCT((P$3:P$90&lt;&gt;"")*(G$3:G$90=G32))+SUMPRODUCT((N$3:N$90&lt;&gt;"")*(G$3:G$90=G32))+SUMPRODUCT((P$3:P$90="")*(O$3:O$90="")*(N$3:N$90="")*(M$3:M$90="P")*(G$3:G$90=G32)*(J$3:J$90&gt;J32))+IF(H32="L5",SUMPRODUCT((P$3:P$90="")*(O$3:O$90="")*(N$3:N$90="")*(M$3:M$90="P")*(G$3:G$90=G32)*(J$3:J$90&lt;J32)*(H$3:H$90&lt;&gt;H32)),-1*SUMPRODUCT((P$3:P$90="")*(O$3:O$90="")*(N$3:N$90="")*(M$3:M$90="P")*(G$3:G$90=G32)*(J$3:J$90&gt;J32)*(H$3:H$90="L5")))+1,""))))</f>
        <v/>
      </c>
      <c r="C32" s="36" t="s">
        <v>210</v>
      </c>
      <c r="D32" s="36" t="str">
        <f>IF(E32="","",VLOOKUP(E32,'Coaching Points'!A:B,2,0))</f>
        <v>BC</v>
      </c>
      <c r="E32" s="36" t="s">
        <v>42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117</v>
      </c>
      <c r="I32" s="45"/>
      <c r="J32" s="4">
        <f>R32+IF(OR(H32="Junior",H32="Senior"),0.0002,IF(OR(H32="L7",H32="L6"),0.0001,0))+IF(G32="17-21",MAX(AA32,AC32,AF32),AE32)*0.0000001</f>
        <v>1E-4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Scores'!B$13,T32,0),IF(W32&gt;='Qualifying Scores'!B$13,V32,0),IF(Z32&gt;='Qualifying Scores'!B$13,Y32,0),IF(AB32&gt;='Qualifying Scores'!B$13,AA32,0),IF(AD32&gt;'Qualifying Scores'!B$13,AC32,0),IF(AG32&gt;'Qualifying Scores'!B$13,AF32,0)),MAX(IF(OR(AND(G32="15-16",W32&gt;='Qualifying Scores'!B$12),AND(G32="13-14",W32&gt;='Qualifying Scores'!B$11),AND(G32="11-12",W32&gt;='Qualifying Scores'!B$10)),X32,0),IF(OR(AND(G32="15-16",AD32&gt;='Qualifying Scores'!B$12),AND(G32="13-14",AD32&gt;='Qualifying Scores'!B$11),AND(G32="11-12",AD32&gt;='Qualifying Scores'!B$10)),AE32,0))))</f>
        <v>0</v>
      </c>
      <c r="S32" s="4">
        <f>IF(G32="17-21",MAX(T32,V32,Y32,AA32,AC32,AF32),MAX(X32,AE32))</f>
        <v>46.8</v>
      </c>
      <c r="T32" s="33">
        <v>42.730000000000004</v>
      </c>
      <c r="U32" s="40">
        <v>2.9000000000000004</v>
      </c>
      <c r="V32" s="34">
        <v>46.8</v>
      </c>
      <c r="W32" s="40">
        <v>10</v>
      </c>
      <c r="X32" s="4">
        <f>IF(H32="Senior",MAX(T32,V32),T32+V32)</f>
        <v>89.53</v>
      </c>
      <c r="Y32" s="34">
        <v>33.6</v>
      </c>
      <c r="Z32" s="40">
        <v>7.8999999999999995</v>
      </c>
      <c r="AA32" s="33"/>
      <c r="AB32" s="40"/>
      <c r="AC32" s="34"/>
      <c r="AD32" s="40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$90&lt;&gt;"")*(G$3:G$90=G33)*(J$3:J$90&gt;J33)*(I$3:I$90="P"))+1,IF(O33&lt;&gt;"",SUMPRODUCT((O$3:O$90&lt;&gt;"")*(P$3:P$90="")*(G$3:G$90=G33)*(J$3:J$90&gt;J33)*(I$3:I$90="P"))+SUMPRODUCT((P$3:P$90&lt;&gt;"")*(G$3:G$90=G33)*(I$3:I$90="P"))+1,IF(N33&lt;&gt;"",SUMPRODUCT((N$3:N$90&lt;&gt;"")*(G$3:G$90=G33)*(J$3:J$90&gt;J33)*(I$3:I$90="P"))+1,IF(M33="P",SUMPRODUCT((O$3:O$90&lt;&gt;"")*(P$3:P$90="")*(G$3:G$90=G33)*(I$3:I$90="P"))+SUMPRODUCT((P$3:P$90&lt;&gt;"")*(G$3:G$90=G33)*(I$3:I$90="P"))+SUMPRODUCT((N$3:N$90&lt;&gt;"")*(G$3:G$90=G33)*(I$3:I$90="P"))+SUMPRODUCT((P$3:P$90="")*(O$3:O$90="")*(N$3:N$90="")*(M$3:M$90="P")*(G$3:G$90=G33)*(J$3:J$90&gt;J33)*(I$3:I$90="P"))+IF(H33="L5",SUMPRODUCT((P$3:P$90="")*(O$3:O$90="")*(N$3:N$90="")*(M$3:M$90="P")*(G$3:G$90=G33)*(J$3:J$90&lt;J33)*(H$3:H$90&lt;&gt;H33)*(I$3:I$90="P")),-1*SUMPRODUCT((P$3:P$90="")*(O$3:O$90="")*(N$3:N$90="")*(M$3:M$90="P")*(G$3:G$90=G33)*(J$3:J$90&gt;J33)*(H$3:H$90="L5")*(I$3:I$90="P")))+1,"")))))</f>
        <v/>
      </c>
      <c r="B33" s="1" t="str" cm="1">
        <f t="array" ref="B33">IF(P33&lt;&gt;"",SUMPRODUCT((P$3:P$90&lt;&gt;"")*(G$3:G$90=G33)*(J$3:J$90&gt;J33))+1,IF(O33&lt;&gt;"",SUMPRODUCT((O$3:O$90&lt;&gt;"")*(P$3:P$90="")*(G$3:G$90=G33)*(J$3:J$90&gt;J33))+SUMPRODUCT((P$3:P$90&lt;&gt;"")*(G$3:G$90=G33))+1,IF(N33&lt;&gt;"",SUMPRODUCT((N$3:N$90&lt;&gt;"")*(G$3:G$90=G33)*(J$3:J$90&gt;J33))+1,IF(M33="P",SUMPRODUCT((O$3:O$90&lt;&gt;"")*(P$3:P$90="")*(G$3:G$90=G33))+SUMPRODUCT((P$3:P$90&lt;&gt;"")*(G$3:G$90=G33))+SUMPRODUCT((N$3:N$90&lt;&gt;"")*(G$3:G$90=G33))+SUMPRODUCT((P$3:P$90="")*(O$3:O$90="")*(N$3:N$90="")*(M$3:M$90="P")*(G$3:G$90=G33)*(J$3:J$90&gt;J33))+IF(H33="L5",SUMPRODUCT((P$3:P$90="")*(O$3:O$90="")*(N$3:N$90="")*(M$3:M$90="P")*(G$3:G$90=G33)*(J$3:J$90&lt;J33)*(H$3:H$90&lt;&gt;H33)),-1*SUMPRODUCT((P$3:P$90="")*(O$3:O$90="")*(N$3:N$90="")*(M$3:M$90="P")*(G$3:G$90=G33)*(J$3:J$90&gt;J33)*(H$3:H$90="L5")))+1,""))))</f>
        <v/>
      </c>
      <c r="C33" s="36" t="s">
        <v>219</v>
      </c>
      <c r="D33" s="36" t="str">
        <f>IF(E33="","",VLOOKUP(E33,'Coaching Points'!A:B,2,0))</f>
        <v>QC</v>
      </c>
      <c r="E33" s="36" t="s">
        <v>179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117</v>
      </c>
      <c r="I33" s="45"/>
      <c r="J33" s="4">
        <f>R33+IF(OR(H33="Junior",H33="Senior"),0.0002,IF(OR(H33="L7",H33="L6"),0.0001,0))+IF(G33="17-21",MAX(AA33,AC33,AF33),AE33)*0.0000001</f>
        <v>1E-4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Scores'!B$13,T33,0),IF(W33&gt;='Qualifying Scores'!B$13,V33,0),IF(Z33&gt;='Qualifying Scores'!B$13,Y33,0),IF(AB33&gt;='Qualifying Scores'!B$13,AA33,0),IF(AD33&gt;'Qualifying Scores'!B$13,AC33,0),IF(AG33&gt;'Qualifying Scores'!B$13,AF33,0)),MAX(IF(OR(AND(G33="15-16",W33&gt;='Qualifying Scores'!B$12),AND(G33="13-14",W33&gt;='Qualifying Scores'!B$11),AND(G33="11-12",W33&gt;='Qualifying Scores'!B$10)),X33,0),IF(OR(AND(G33="15-16",AD33&gt;='Qualifying Scores'!B$12),AND(G33="13-14",AD33&gt;='Qualifying Scores'!B$11),AND(G33="11-12",AD33&gt;='Qualifying Scores'!B$10)),AE33,0))))</f>
        <v>0</v>
      </c>
      <c r="S33" s="4">
        <f>IF(G33="17-21",MAX(T33,V33,Y33,AA33,AC33,AF33),MAX(X33,AE33))</f>
        <v>43.89</v>
      </c>
      <c r="T33" s="33">
        <v>43.89</v>
      </c>
      <c r="U33" s="40">
        <v>2</v>
      </c>
      <c r="V33" s="34">
        <v>10.65</v>
      </c>
      <c r="W33" s="40">
        <v>2.5</v>
      </c>
      <c r="X33" s="4">
        <f>IF(H33="Senior",MAX(T33,V33),T33+V33)</f>
        <v>54.54</v>
      </c>
      <c r="Y33" s="34">
        <v>0</v>
      </c>
      <c r="Z33" s="40">
        <v>0</v>
      </c>
      <c r="AA33" s="33"/>
      <c r="AB33" s="40"/>
      <c r="AC33" s="34"/>
      <c r="AD33" s="40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$90&lt;&gt;"")*(G$3:G$90=G34)*(J$3:J$90&gt;J34)*(I$3:I$90="P"))+1,IF(O34&lt;&gt;"",SUMPRODUCT((O$3:O$90&lt;&gt;"")*(P$3:P$90="")*(G$3:G$90=G34)*(J$3:J$90&gt;J34)*(I$3:I$90="P"))+SUMPRODUCT((P$3:P$90&lt;&gt;"")*(G$3:G$90=G34)*(I$3:I$90="P"))+1,IF(N34&lt;&gt;"",SUMPRODUCT((N$3:N$90&lt;&gt;"")*(G$3:G$90=G34)*(J$3:J$90&gt;J34)*(I$3:I$90="P"))+1,IF(M34="P",SUMPRODUCT((O$3:O$90&lt;&gt;"")*(P$3:P$90="")*(G$3:G$90=G34)*(I$3:I$90="P"))+SUMPRODUCT((P$3:P$90&lt;&gt;"")*(G$3:G$90=G34)*(I$3:I$90="P"))+SUMPRODUCT((N$3:N$90&lt;&gt;"")*(G$3:G$90=G34)*(I$3:I$90="P"))+SUMPRODUCT((P$3:P$90="")*(O$3:O$90="")*(N$3:N$90="")*(M$3:M$90="P")*(G$3:G$90=G34)*(J$3:J$90&gt;J34)*(I$3:I$90="P"))+IF(H34="L5",SUMPRODUCT((P$3:P$90="")*(O$3:O$90="")*(N$3:N$90="")*(M$3:M$90="P")*(G$3:G$90=G34)*(J$3:J$90&lt;J34)*(H$3:H$90&lt;&gt;H34)*(I$3:I$90="P")),-1*SUMPRODUCT((P$3:P$90="")*(O$3:O$90="")*(N$3:N$90="")*(M$3:M$90="P")*(G$3:G$90=G34)*(J$3:J$90&gt;J34)*(H$3:H$90="L5")*(I$3:I$90="P")))+1,"")))))</f>
        <v/>
      </c>
      <c r="B34" s="1" t="str" cm="1">
        <f t="array" ref="B34">IF(P34&lt;&gt;"",SUMPRODUCT((P$3:P$90&lt;&gt;"")*(G$3:G$90=G34)*(J$3:J$90&gt;J34))+1,IF(O34&lt;&gt;"",SUMPRODUCT((O$3:O$90&lt;&gt;"")*(P$3:P$90="")*(G$3:G$90=G34)*(J$3:J$90&gt;J34))+SUMPRODUCT((P$3:P$90&lt;&gt;"")*(G$3:G$90=G34))+1,IF(N34&lt;&gt;"",SUMPRODUCT((N$3:N$90&lt;&gt;"")*(G$3:G$90=G34)*(J$3:J$90&gt;J34))+1,IF(M34="P",SUMPRODUCT((O$3:O$90&lt;&gt;"")*(P$3:P$90="")*(G$3:G$90=G34))+SUMPRODUCT((P$3:P$90&lt;&gt;"")*(G$3:G$90=G34))+SUMPRODUCT((N$3:N$90&lt;&gt;"")*(G$3:G$90=G34))+SUMPRODUCT((P$3:P$90="")*(O$3:O$90="")*(N$3:N$90="")*(M$3:M$90="P")*(G$3:G$90=G34)*(J$3:J$90&gt;J34))+IF(H34="L5",SUMPRODUCT((P$3:P$90="")*(O$3:O$90="")*(N$3:N$90="")*(M$3:M$90="P")*(G$3:G$90=G34)*(J$3:J$90&lt;J34)*(H$3:H$90&lt;&gt;H34)),-1*SUMPRODUCT((P$3:P$90="")*(O$3:O$90="")*(N$3:N$90="")*(M$3:M$90="P")*(G$3:G$90=G34)*(J$3:J$90&gt;J34)*(H$3:H$90="L5")))+1,""))))</f>
        <v/>
      </c>
      <c r="C34" s="36" t="s">
        <v>191</v>
      </c>
      <c r="D34" s="36" t="str">
        <f>IF(E34="","",VLOOKUP(E34,'Coaching Points'!A:B,2,0))</f>
        <v>ON</v>
      </c>
      <c r="E34" s="36" t="s">
        <v>38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4.8939999999999992E-6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Scores'!B$13,T34,0),IF(W34&gt;='Qualifying Scores'!B$13,V34,0),IF(Z34&gt;='Qualifying Scores'!B$13,Y34,0),IF(AB34&gt;='Qualifying Scores'!B$13,AA34,0),IF(AD34&gt;'Qualifying Scores'!B$13,AC34,0),IF(AG34&gt;'Qualifying Scores'!B$13,AF34,0)),MAX(IF(OR(AND(G34="15-16",W34&gt;='Qualifying Scores'!B$12),AND(G34="13-14",W34&gt;='Qualifying Scores'!B$11),AND(G34="11-12",W34&gt;='Qualifying Scores'!B$10)),X34,0),IF(OR(AND(G34="15-16",AD34&gt;='Qualifying Scores'!B$12),AND(G34="13-14",AD34&gt;='Qualifying Scores'!B$11),AND(G34="11-12",AD34&gt;='Qualifying Scores'!B$10)),AE34,0))))</f>
        <v>0</v>
      </c>
      <c r="S34" s="4">
        <f>IF(G34="17-21",MAX(T34,V34,Y34,AA34,AC34,AF34),MAX(X34,AE34))</f>
        <v>48.94</v>
      </c>
      <c r="T34" s="33">
        <v>38.67</v>
      </c>
      <c r="U34" s="40">
        <v>0</v>
      </c>
      <c r="V34" s="34">
        <v>46.86</v>
      </c>
      <c r="W34" s="40">
        <v>8.8999999999999986</v>
      </c>
      <c r="X34" s="4">
        <f>IF(H34="Senior",MAX(T34,V34),T34+V34)</f>
        <v>85.53</v>
      </c>
      <c r="Y34" s="34">
        <v>46.75</v>
      </c>
      <c r="Z34" s="40">
        <v>8.2999999999999989</v>
      </c>
      <c r="AA34" s="33">
        <v>38.9</v>
      </c>
      <c r="AB34" s="40">
        <v>0</v>
      </c>
      <c r="AC34" s="34">
        <v>48.94</v>
      </c>
      <c r="AD34" s="40">
        <v>9.6</v>
      </c>
      <c r="AE34" s="4">
        <f>IF(H34="Senior",MAX(AA34,AC34),AA34+AC34)</f>
        <v>87.84</v>
      </c>
      <c r="AF34" s="34">
        <v>46.53</v>
      </c>
      <c r="AG34" s="37">
        <v>9.1</v>
      </c>
    </row>
    <row r="35" spans="1:33" x14ac:dyDescent="0.2">
      <c r="A35" s="1" t="str" cm="1">
        <f t="array" ref="A35">IF(I35="","",IF(P35&lt;&gt;"",SUMPRODUCT((P$3:P$90&lt;&gt;"")*(G$3:G$90=G35)*(J$3:J$90&gt;J35)*(I$3:I$90="P"))+1,IF(O35&lt;&gt;"",SUMPRODUCT((O$3:O$90&lt;&gt;"")*(P$3:P$90="")*(G$3:G$90=G35)*(J$3:J$90&gt;J35)*(I$3:I$90="P"))+SUMPRODUCT((P$3:P$90&lt;&gt;"")*(G$3:G$90=G35)*(I$3:I$90="P"))+1,IF(N35&lt;&gt;"",SUMPRODUCT((N$3:N$90&lt;&gt;"")*(G$3:G$90=G35)*(J$3:J$90&gt;J35)*(I$3:I$90="P"))+1,IF(M35="P",SUMPRODUCT((O$3:O$90&lt;&gt;"")*(P$3:P$90="")*(G$3:G$90=G35)*(I$3:I$90="P"))+SUMPRODUCT((P$3:P$90&lt;&gt;"")*(G$3:G$90=G35)*(I$3:I$90="P"))+SUMPRODUCT((N$3:N$90&lt;&gt;"")*(G$3:G$90=G35)*(I$3:I$90="P"))+SUMPRODUCT((P$3:P$90="")*(O$3:O$90="")*(N$3:N$90="")*(M$3:M$90="P")*(G$3:G$90=G35)*(J$3:J$90&gt;J35)*(I$3:I$90="P"))+IF(H35="L5",SUMPRODUCT((P$3:P$90="")*(O$3:O$90="")*(N$3:N$90="")*(M$3:M$90="P")*(G$3:G$90=G35)*(J$3:J$90&lt;J35)*(H$3:H$90&lt;&gt;H35)*(I$3:I$90="P")),-1*SUMPRODUCT((P$3:P$90="")*(O$3:O$90="")*(N$3:N$90="")*(M$3:M$90="P")*(G$3:G$90=G35)*(J$3:J$90&gt;J35)*(H$3:H$90="L5")*(I$3:I$90="P")))+1,"")))))</f>
        <v/>
      </c>
      <c r="B35" s="1" t="str" cm="1">
        <f t="array" ref="B35">IF(P35&lt;&gt;"",SUMPRODUCT((P$3:P$90&lt;&gt;"")*(G$3:G$90=G35)*(J$3:J$90&gt;J35))+1,IF(O35&lt;&gt;"",SUMPRODUCT((O$3:O$90&lt;&gt;"")*(P$3:P$90="")*(G$3:G$90=G35)*(J$3:J$90&gt;J35))+SUMPRODUCT((P$3:P$90&lt;&gt;"")*(G$3:G$90=G35))+1,IF(N35&lt;&gt;"",SUMPRODUCT((N$3:N$90&lt;&gt;"")*(G$3:G$90=G35)*(J$3:J$90&gt;J35))+1,IF(M35="P",SUMPRODUCT((O$3:O$90&lt;&gt;"")*(P$3:P$90="")*(G$3:G$90=G35))+SUMPRODUCT((P$3:P$90&lt;&gt;"")*(G$3:G$90=G35))+SUMPRODUCT((N$3:N$90&lt;&gt;"")*(G$3:G$90=G35))+SUMPRODUCT((P$3:P$90="")*(O$3:O$90="")*(N$3:N$90="")*(M$3:M$90="P")*(G$3:G$90=G35)*(J$3:J$90&gt;J35))+IF(H35="L5",SUMPRODUCT((P$3:P$90="")*(O$3:O$90="")*(N$3:N$90="")*(M$3:M$90="P")*(G$3:G$90=G35)*(J$3:J$90&lt;J35)*(H$3:H$90&lt;&gt;H35)),-1*SUMPRODUCT((P$3:P$90="")*(O$3:O$90="")*(N$3:N$90="")*(M$3:M$90="P")*(G$3:G$90=G35)*(J$3:J$90&gt;J35)*(H$3:H$90="L5")))+1,""))))</f>
        <v/>
      </c>
      <c r="C35" s="36" t="s">
        <v>393</v>
      </c>
      <c r="D35" s="36" t="str">
        <f>IF(E35="","",VLOOKUP(E35,'Coaching Points'!A:B,2,0))</f>
        <v>QC</v>
      </c>
      <c r="E35" s="36" t="s">
        <v>577</v>
      </c>
      <c r="F35" s="35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4.8219999999999997E-6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Scores'!B$13,T35,0),IF(W35&gt;='Qualifying Scores'!B$13,V35,0),IF(Z35&gt;='Qualifying Scores'!B$13,Y35,0),IF(AB35&gt;='Qualifying Scores'!B$13,AA35,0),IF(AD35&gt;'Qualifying Scores'!B$13,AC35,0),IF(AG35&gt;'Qualifying Scores'!B$13,AF35,0)),MAX(IF(OR(AND(G35="15-16",W35&gt;='Qualifying Scores'!B$12),AND(G35="13-14",W35&gt;='Qualifying Scores'!B$11),AND(G35="11-12",W35&gt;='Qualifying Scores'!B$10)),X35,0),IF(OR(AND(G35="15-16",AD35&gt;='Qualifying Scores'!B$12),AND(G35="13-14",AD35&gt;='Qualifying Scores'!B$11),AND(G35="11-12",AD35&gt;='Qualifying Scores'!B$10)),AE35,0))))</f>
        <v>0</v>
      </c>
      <c r="S35" s="4">
        <f>IF(G35="17-21",MAX(T35,V35,Y35,AA35,AC35,AF35),MAX(X35,AE35))</f>
        <v>48.22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38.42</v>
      </c>
      <c r="AB35" s="40">
        <v>0</v>
      </c>
      <c r="AC35" s="34">
        <v>48.22</v>
      </c>
      <c r="AD35" s="40">
        <v>10.3</v>
      </c>
      <c r="AE35" s="4">
        <f>IF(H35="Senior",MAX(AA35,AC35),AA35+AC35)</f>
        <v>86.64</v>
      </c>
      <c r="AF35" s="34">
        <v>19.47</v>
      </c>
      <c r="AG35" s="37">
        <v>4.3</v>
      </c>
    </row>
    <row r="36" spans="1:33" x14ac:dyDescent="0.2">
      <c r="A36" s="1" t="str" cm="1">
        <f t="array" ref="A36">IF(I36="","",IF(P36&lt;&gt;"",SUMPRODUCT((P$3:P$90&lt;&gt;"")*(G$3:G$90=G36)*(J$3:J$90&gt;J36)*(I$3:I$90="P"))+1,IF(O36&lt;&gt;"",SUMPRODUCT((O$3:O$90&lt;&gt;"")*(P$3:P$90="")*(G$3:G$90=G36)*(J$3:J$90&gt;J36)*(I$3:I$90="P"))+SUMPRODUCT((P$3:P$90&lt;&gt;"")*(G$3:G$90=G36)*(I$3:I$90="P"))+1,IF(N36&lt;&gt;"",SUMPRODUCT((N$3:N$90&lt;&gt;"")*(G$3:G$90=G36)*(J$3:J$90&gt;J36)*(I$3:I$90="P"))+1,IF(M36="P",SUMPRODUCT((O$3:O$90&lt;&gt;"")*(P$3:P$90="")*(G$3:G$90=G36)*(I$3:I$90="P"))+SUMPRODUCT((P$3:P$90&lt;&gt;"")*(G$3:G$90=G36)*(I$3:I$90="P"))+SUMPRODUCT((N$3:N$90&lt;&gt;"")*(G$3:G$90=G36)*(I$3:I$90="P"))+SUMPRODUCT((P$3:P$90="")*(O$3:O$90="")*(N$3:N$90="")*(M$3:M$90="P")*(G$3:G$90=G36)*(J$3:J$90&gt;J36)*(I$3:I$90="P"))+IF(H36="L5",SUMPRODUCT((P$3:P$90="")*(O$3:O$90="")*(N$3:N$90="")*(M$3:M$90="P")*(G$3:G$90=G36)*(J$3:J$90&lt;J36)*(H$3:H$90&lt;&gt;H36)*(I$3:I$90="P")),-1*SUMPRODUCT((P$3:P$90="")*(O$3:O$90="")*(N$3:N$90="")*(M$3:M$90="P")*(G$3:G$90=G36)*(J$3:J$90&gt;J36)*(H$3:H$90="L5")*(I$3:I$90="P")))+1,"")))))</f>
        <v/>
      </c>
      <c r="B36" s="1" t="str" cm="1">
        <f t="array" ref="B36">IF(P36&lt;&gt;"",SUMPRODUCT((P$3:P$90&lt;&gt;"")*(G$3:G$90=G36)*(J$3:J$90&gt;J36))+1,IF(O36&lt;&gt;"",SUMPRODUCT((O$3:O$90&lt;&gt;"")*(P$3:P$90="")*(G$3:G$90=G36)*(J$3:J$90&gt;J36))+SUMPRODUCT((P$3:P$90&lt;&gt;"")*(G$3:G$90=G36))+1,IF(N36&lt;&gt;"",SUMPRODUCT((N$3:N$90&lt;&gt;"")*(G$3:G$90=G36)*(J$3:J$90&gt;J36))+1,IF(M36="P",SUMPRODUCT((O$3:O$90&lt;&gt;"")*(P$3:P$90="")*(G$3:G$90=G36))+SUMPRODUCT((P$3:P$90&lt;&gt;"")*(G$3:G$90=G36))+SUMPRODUCT((N$3:N$90&lt;&gt;"")*(G$3:G$90=G36))+SUMPRODUCT((P$3:P$90="")*(O$3:O$90="")*(N$3:N$90="")*(M$3:M$90="P")*(G$3:G$90=G36)*(J$3:J$90&gt;J36))+IF(H36="L5",SUMPRODUCT((P$3:P$90="")*(O$3:O$90="")*(N$3:N$90="")*(M$3:M$90="P")*(G$3:G$90=G36)*(J$3:J$90&lt;J36)*(H$3:H$90&lt;&gt;H36)),-1*SUMPRODUCT((P$3:P$90="")*(O$3:O$90="")*(N$3:N$90="")*(M$3:M$90="P")*(G$3:G$90=G36)*(J$3:J$90&gt;J36)*(H$3:H$90="L5")))+1,""))))</f>
        <v/>
      </c>
      <c r="C36" s="36" t="s">
        <v>398</v>
      </c>
      <c r="D36" s="36" t="str">
        <f>IF(E36="","",VLOOKUP(E36,'Coaching Points'!A:B,2,0))</f>
        <v>ON</v>
      </c>
      <c r="E36" s="36" t="s">
        <v>574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4.8079999999999995E-6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Scores'!B$13,T36,0),IF(W36&gt;='Qualifying Scores'!B$13,V36,0),IF(Z36&gt;='Qualifying Scores'!B$13,Y36,0),IF(AB36&gt;='Qualifying Scores'!B$13,AA36,0),IF(AD36&gt;'Qualifying Scores'!B$13,AC36,0),IF(AG36&gt;'Qualifying Scores'!B$13,AF36,0)),MAX(IF(OR(AND(G36="15-16",W36&gt;='Qualifying Scores'!B$12),AND(G36="13-14",W36&gt;='Qualifying Scores'!B$11),AND(G36="11-12",W36&gt;='Qualifying Scores'!B$10)),X36,0),IF(OR(AND(G36="15-16",AD36&gt;='Qualifying Scores'!B$12),AND(G36="13-14",AD36&gt;='Qualifying Scores'!B$11),AND(G36="11-12",AD36&gt;='Qualifying Scores'!B$10)),AE36,0))))</f>
        <v>0</v>
      </c>
      <c r="S36" s="4">
        <f>IF(G36="17-21",MAX(T36,V36,Y36,AA36,AC36,AF36),MAX(X36,AE36))</f>
        <v>48.08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39.47</v>
      </c>
      <c r="AB36" s="40">
        <v>0</v>
      </c>
      <c r="AC36" s="34">
        <v>48.08</v>
      </c>
      <c r="AD36" s="40">
        <v>8.4</v>
      </c>
      <c r="AE36" s="4">
        <f>IF(H36="Senior",MAX(AA36,AC36),AA36+AC36)</f>
        <v>87.55</v>
      </c>
      <c r="AF36" s="34">
        <v>46.61</v>
      </c>
      <c r="AG36" s="37">
        <v>8.4</v>
      </c>
    </row>
    <row r="37" spans="1:33" x14ac:dyDescent="0.2">
      <c r="A37" s="1" t="str" cm="1">
        <f t="array" ref="A37">IF(I37="","",IF(P37&lt;&gt;"",SUMPRODUCT((P$3:P$90&lt;&gt;"")*(G$3:G$90=G37)*(J$3:J$90&gt;J37)*(I$3:I$90="P"))+1,IF(O37&lt;&gt;"",SUMPRODUCT((O$3:O$90&lt;&gt;"")*(P$3:P$90="")*(G$3:G$90=G37)*(J$3:J$90&gt;J37)*(I$3:I$90="P"))+SUMPRODUCT((P$3:P$90&lt;&gt;"")*(G$3:G$90=G37)*(I$3:I$90="P"))+1,IF(N37&lt;&gt;"",SUMPRODUCT((N$3:N$90&lt;&gt;"")*(G$3:G$90=G37)*(J$3:J$90&gt;J37)*(I$3:I$90="P"))+1,IF(M37="P",SUMPRODUCT((O$3:O$90&lt;&gt;"")*(P$3:P$90="")*(G$3:G$90=G37)*(I$3:I$90="P"))+SUMPRODUCT((P$3:P$90&lt;&gt;"")*(G$3:G$90=G37)*(I$3:I$90="P"))+SUMPRODUCT((N$3:N$90&lt;&gt;"")*(G$3:G$90=G37)*(I$3:I$90="P"))+SUMPRODUCT((P$3:P$90="")*(O$3:O$90="")*(N$3:N$90="")*(M$3:M$90="P")*(G$3:G$90=G37)*(J$3:J$90&gt;J37)*(I$3:I$90="P"))+IF(H37="L5",SUMPRODUCT((P$3:P$90="")*(O$3:O$90="")*(N$3:N$90="")*(M$3:M$90="P")*(G$3:G$90=G37)*(J$3:J$90&lt;J37)*(H$3:H$90&lt;&gt;H37)*(I$3:I$90="P")),-1*SUMPRODUCT((P$3:P$90="")*(O$3:O$90="")*(N$3:N$90="")*(M$3:M$90="P")*(G$3:G$90=G37)*(J$3:J$90&gt;J37)*(H$3:H$90="L5")*(I$3:I$90="P")))+1,"")))))</f>
        <v/>
      </c>
      <c r="B37" s="1" t="str" cm="1">
        <f t="array" ref="B37">IF(P37&lt;&gt;"",SUMPRODUCT((P$3:P$90&lt;&gt;"")*(G$3:G$90=G37)*(J$3:J$90&gt;J37))+1,IF(O37&lt;&gt;"",SUMPRODUCT((O$3:O$90&lt;&gt;"")*(P$3:P$90="")*(G$3:G$90=G37)*(J$3:J$90&gt;J37))+SUMPRODUCT((P$3:P$90&lt;&gt;"")*(G$3:G$90=G37))+1,IF(N37&lt;&gt;"",SUMPRODUCT((N$3:N$90&lt;&gt;"")*(G$3:G$90=G37)*(J$3:J$90&gt;J37))+1,IF(M37="P",SUMPRODUCT((O$3:O$90&lt;&gt;"")*(P$3:P$90="")*(G$3:G$90=G37))+SUMPRODUCT((P$3:P$90&lt;&gt;"")*(G$3:G$90=G37))+SUMPRODUCT((N$3:N$90&lt;&gt;"")*(G$3:G$90=G37))+SUMPRODUCT((P$3:P$90="")*(O$3:O$90="")*(N$3:N$90="")*(M$3:M$90="P")*(G$3:G$90=G37)*(J$3:J$90&gt;J37))+IF(H37="L5",SUMPRODUCT((P$3:P$90="")*(O$3:O$90="")*(N$3:N$90="")*(M$3:M$90="P")*(G$3:G$90=G37)*(J$3:J$90&lt;J37)*(H$3:H$90&lt;&gt;H37)),-1*SUMPRODUCT((P$3:P$90="")*(O$3:O$90="")*(N$3:N$90="")*(M$3:M$90="P")*(G$3:G$90=G37)*(J$3:J$90&gt;J37)*(H$3:H$90="L5")))+1,""))))</f>
        <v/>
      </c>
      <c r="C37" s="36" t="s">
        <v>192</v>
      </c>
      <c r="D37" s="36" t="str">
        <f>IF(E37="","",VLOOKUP(E37,'Coaching Points'!A:B,2,0))</f>
        <v>AB</v>
      </c>
      <c r="E37" s="36" t="s">
        <v>91</v>
      </c>
      <c r="F37" s="35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4.7409999999999992E-6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Scores'!B$13,T37,0),IF(W37&gt;='Qualifying Scores'!B$13,V37,0),IF(Z37&gt;='Qualifying Scores'!B$13,Y37,0),IF(AB37&gt;='Qualifying Scores'!B$13,AA37,0),IF(AD37&gt;'Qualifying Scores'!B$13,AC37,0),IF(AG37&gt;'Qualifying Scores'!B$13,AF37,0)),MAX(IF(OR(AND(G37="15-16",W37&gt;='Qualifying Scores'!B$12),AND(G37="13-14",W37&gt;='Qualifying Scores'!B$11),AND(G37="11-12",W37&gt;='Qualifying Scores'!B$10)),X37,0),IF(OR(AND(G37="15-16",AD37&gt;='Qualifying Scores'!B$12),AND(G37="13-14",AD37&gt;='Qualifying Scores'!B$11),AND(G37="11-12",AD37&gt;='Qualifying Scores'!B$10)),AE37,0))))</f>
        <v>0</v>
      </c>
      <c r="S37" s="4">
        <f>IF(G37="17-21",MAX(T37,V37,Y37,AA37,AC37,AF37),MAX(X37,AE37))</f>
        <v>47.41</v>
      </c>
      <c r="T37" s="33">
        <v>41.519999999999996</v>
      </c>
      <c r="U37" s="40">
        <v>0</v>
      </c>
      <c r="V37" s="34">
        <v>46.68</v>
      </c>
      <c r="W37" s="40">
        <v>8.9999999999999982</v>
      </c>
      <c r="X37" s="4">
        <f>IF(H37="Senior",MAX(T37,V37),T37+V37)</f>
        <v>88.199999999999989</v>
      </c>
      <c r="Y37" s="34">
        <v>46.349999999999994</v>
      </c>
      <c r="Z37" s="40">
        <v>8.9999999999999982</v>
      </c>
      <c r="AA37" s="33">
        <v>38.299999999999997</v>
      </c>
      <c r="AB37" s="40">
        <v>0</v>
      </c>
      <c r="AC37" s="34">
        <v>47.1</v>
      </c>
      <c r="AD37" s="40">
        <v>9.6</v>
      </c>
      <c r="AE37" s="4">
        <f>IF(H37="Senior",MAX(AA37,AC37),AA37+AC37)</f>
        <v>85.4</v>
      </c>
      <c r="AF37" s="34">
        <v>47.41</v>
      </c>
      <c r="AG37" s="37">
        <v>9.8000000000000007</v>
      </c>
    </row>
    <row r="38" spans="1:33" x14ac:dyDescent="0.2">
      <c r="A38" s="1" t="str" cm="1">
        <f t="array" ref="A38">IF(I38="","",IF(P38&lt;&gt;"",SUMPRODUCT((P$3:P$90&lt;&gt;"")*(G$3:G$90=G38)*(J$3:J$90&gt;J38)*(I$3:I$90="P"))+1,IF(O38&lt;&gt;"",SUMPRODUCT((O$3:O$90&lt;&gt;"")*(P$3:P$90="")*(G$3:G$90=G38)*(J$3:J$90&gt;J38)*(I$3:I$90="P"))+SUMPRODUCT((P$3:P$90&lt;&gt;"")*(G$3:G$90=G38)*(I$3:I$90="P"))+1,IF(N38&lt;&gt;"",SUMPRODUCT((N$3:N$90&lt;&gt;"")*(G$3:G$90=G38)*(J$3:J$90&gt;J38)*(I$3:I$90="P"))+1,IF(M38="P",SUMPRODUCT((O$3:O$90&lt;&gt;"")*(P$3:P$90="")*(G$3:G$90=G38)*(I$3:I$90="P"))+SUMPRODUCT((P$3:P$90&lt;&gt;"")*(G$3:G$90=G38)*(I$3:I$90="P"))+SUMPRODUCT((N$3:N$90&lt;&gt;"")*(G$3:G$90=G38)*(I$3:I$90="P"))+SUMPRODUCT((P$3:P$90="")*(O$3:O$90="")*(N$3:N$90="")*(M$3:M$90="P")*(G$3:G$90=G38)*(J$3:J$90&gt;J38)*(I$3:I$90="P"))+IF(H38="L5",SUMPRODUCT((P$3:P$90="")*(O$3:O$90="")*(N$3:N$90="")*(M$3:M$90="P")*(G$3:G$90=G38)*(J$3:J$90&lt;J38)*(H$3:H$90&lt;&gt;H38)*(I$3:I$90="P")),-1*SUMPRODUCT((P$3:P$90="")*(O$3:O$90="")*(N$3:N$90="")*(M$3:M$90="P")*(G$3:G$90=G38)*(J$3:J$90&gt;J38)*(H$3:H$90="L5")*(I$3:I$90="P")))+1,"")))))</f>
        <v/>
      </c>
      <c r="B38" s="1" t="str" cm="1">
        <f t="array" ref="B38">IF(P38&lt;&gt;"",SUMPRODUCT((P$3:P$90&lt;&gt;"")*(G$3:G$90=G38)*(J$3:J$90&gt;J38))+1,IF(O38&lt;&gt;"",SUMPRODUCT((O$3:O$90&lt;&gt;"")*(P$3:P$90="")*(G$3:G$90=G38)*(J$3:J$90&gt;J38))+SUMPRODUCT((P$3:P$90&lt;&gt;"")*(G$3:G$90=G38))+1,IF(N38&lt;&gt;"",SUMPRODUCT((N$3:N$90&lt;&gt;"")*(G$3:G$90=G38)*(J$3:J$90&gt;J38))+1,IF(M38="P",SUMPRODUCT((O$3:O$90&lt;&gt;"")*(P$3:P$90="")*(G$3:G$90=G38))+SUMPRODUCT((P$3:P$90&lt;&gt;"")*(G$3:G$90=G38))+SUMPRODUCT((N$3:N$90&lt;&gt;"")*(G$3:G$90=G38))+SUMPRODUCT((P$3:P$90="")*(O$3:O$90="")*(N$3:N$90="")*(M$3:M$90="P")*(G$3:G$90=G38)*(J$3:J$90&gt;J38))+IF(H38="L5",SUMPRODUCT((P$3:P$90="")*(O$3:O$90="")*(N$3:N$90="")*(M$3:M$90="P")*(G$3:G$90=G38)*(J$3:J$90&lt;J38)*(H$3:H$90&lt;&gt;H38)),-1*SUMPRODUCT((P$3:P$90="")*(O$3:O$90="")*(N$3:N$90="")*(M$3:M$90="P")*(G$3:G$90=G38)*(J$3:J$90&gt;J38)*(H$3:H$90="L5")))+1,""))))</f>
        <v/>
      </c>
      <c r="C38" s="36" t="s">
        <v>397</v>
      </c>
      <c r="D38" s="36" t="str">
        <f>IF(E38="","",VLOOKUP(E38,'Coaching Points'!A:B,2,0))</f>
        <v>ON</v>
      </c>
      <c r="E38" s="36" t="s">
        <v>575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4.6589999999999998E-6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Scores'!B$13,T38,0),IF(W38&gt;='Qualifying Scores'!B$13,V38,0),IF(Z38&gt;='Qualifying Scores'!B$13,Y38,0),IF(AB38&gt;='Qualifying Scores'!B$13,AA38,0),IF(AD38&gt;'Qualifying Scores'!B$13,AC38,0),IF(AG38&gt;'Qualifying Scores'!B$13,AF38,0)),MAX(IF(OR(AND(G38="15-16",W38&gt;='Qualifying Scores'!B$12),AND(G38="13-14",W38&gt;='Qualifying Scores'!B$11),AND(G38="11-12",W38&gt;='Qualifying Scores'!B$10)),X38,0),IF(OR(AND(G38="15-16",AD38&gt;='Qualifying Scores'!B$12),AND(G38="13-14",AD38&gt;='Qualifying Scores'!B$11),AND(G38="11-12",AD38&gt;='Qualifying Scores'!B$10)),AE38,0))))</f>
        <v>0</v>
      </c>
      <c r="S38" s="4">
        <f>IF(G38="17-21",MAX(T38,V38,Y38,AA38,AC38,AF38),MAX(X38,AE38))</f>
        <v>46.59</v>
      </c>
      <c r="T38" s="33"/>
      <c r="U38" s="40"/>
      <c r="V38" s="34"/>
      <c r="W38" s="40"/>
      <c r="X38" s="4">
        <f>IF(H38="Senior",MAX(T38,V38),T38+V38)</f>
        <v>0</v>
      </c>
      <c r="Y38" s="34"/>
      <c r="Z38" s="40"/>
      <c r="AA38" s="33">
        <v>38.49</v>
      </c>
      <c r="AB38" s="40">
        <v>0</v>
      </c>
      <c r="AC38" s="34">
        <v>46.04</v>
      </c>
      <c r="AD38" s="40">
        <v>8.1999999999999993</v>
      </c>
      <c r="AE38" s="4">
        <f>IF(H38="Senior",MAX(AA38,AC38),AA38+AC38)</f>
        <v>84.53</v>
      </c>
      <c r="AF38" s="34">
        <v>46.59</v>
      </c>
      <c r="AG38" s="37">
        <v>8.1999999999999993</v>
      </c>
    </row>
    <row r="39" spans="1:33" x14ac:dyDescent="0.2">
      <c r="A39" s="1" t="str" cm="1">
        <f t="array" ref="A39">IF(I39="","",IF(P39&lt;&gt;"",SUMPRODUCT((P$3:P$90&lt;&gt;"")*(G$3:G$90=G39)*(J$3:J$90&gt;J39)*(I$3:I$90="P"))+1,IF(O39&lt;&gt;"",SUMPRODUCT((O$3:O$90&lt;&gt;"")*(P$3:P$90="")*(G$3:G$90=G39)*(J$3:J$90&gt;J39)*(I$3:I$90="P"))+SUMPRODUCT((P$3:P$90&lt;&gt;"")*(G$3:G$90=G39)*(I$3:I$90="P"))+1,IF(N39&lt;&gt;"",SUMPRODUCT((N$3:N$90&lt;&gt;"")*(G$3:G$90=G39)*(J$3:J$90&gt;J39)*(I$3:I$90="P"))+1,IF(M39="P",SUMPRODUCT((O$3:O$90&lt;&gt;"")*(P$3:P$90="")*(G$3:G$90=G39)*(I$3:I$90="P"))+SUMPRODUCT((P$3:P$90&lt;&gt;"")*(G$3:G$90=G39)*(I$3:I$90="P"))+SUMPRODUCT((N$3:N$90&lt;&gt;"")*(G$3:G$90=G39)*(I$3:I$90="P"))+SUMPRODUCT((P$3:P$90="")*(O$3:O$90="")*(N$3:N$90="")*(M$3:M$90="P")*(G$3:G$90=G39)*(J$3:J$90&gt;J39)*(I$3:I$90="P"))+IF(H39="L5",SUMPRODUCT((P$3:P$90="")*(O$3:O$90="")*(N$3:N$90="")*(M$3:M$90="P")*(G$3:G$90=G39)*(J$3:J$90&lt;J39)*(H$3:H$90&lt;&gt;H39)*(I$3:I$90="P")),-1*SUMPRODUCT((P$3:P$90="")*(O$3:O$90="")*(N$3:N$90="")*(M$3:M$90="P")*(G$3:G$90=G39)*(J$3:J$90&gt;J39)*(H$3:H$90="L5")*(I$3:I$90="P")))+1,"")))))</f>
        <v/>
      </c>
      <c r="B39" s="1" t="str" cm="1">
        <f t="array" ref="B39">IF(P39&lt;&gt;"",SUMPRODUCT((P$3:P$90&lt;&gt;"")*(G$3:G$90=G39)*(J$3:J$90&gt;J39))+1,IF(O39&lt;&gt;"",SUMPRODUCT((O$3:O$90&lt;&gt;"")*(P$3:P$90="")*(G$3:G$90=G39)*(J$3:J$90&gt;J39))+SUMPRODUCT((P$3:P$90&lt;&gt;"")*(G$3:G$90=G39))+1,IF(N39&lt;&gt;"",SUMPRODUCT((N$3:N$90&lt;&gt;"")*(G$3:G$90=G39)*(J$3:J$90&gt;J39))+1,IF(M39="P",SUMPRODUCT((O$3:O$90&lt;&gt;"")*(P$3:P$90="")*(G$3:G$90=G39))+SUMPRODUCT((P$3:P$90&lt;&gt;"")*(G$3:G$90=G39))+SUMPRODUCT((N$3:N$90&lt;&gt;"")*(G$3:G$90=G39))+SUMPRODUCT((P$3:P$90="")*(O$3:O$90="")*(N$3:N$90="")*(M$3:M$90="P")*(G$3:G$90=G39)*(J$3:J$90&gt;J39))+IF(H39="L5",SUMPRODUCT((P$3:P$90="")*(O$3:O$90="")*(N$3:N$90="")*(M$3:M$90="P")*(G$3:G$90=G39)*(J$3:J$90&lt;J39)*(H$3:H$90&lt;&gt;H39)),-1*SUMPRODUCT((P$3:P$90="")*(O$3:O$90="")*(N$3:N$90="")*(M$3:M$90="P")*(G$3:G$90=G39)*(J$3:J$90&gt;J39)*(H$3:H$90="L5")))+1,""))))</f>
        <v/>
      </c>
      <c r="C39" s="36" t="s">
        <v>395</v>
      </c>
      <c r="D39" s="36" t="str">
        <f>IF(E39="","",VLOOKUP(E39,'Coaching Points'!A:B,2,0))</f>
        <v>ON</v>
      </c>
      <c r="E39" s="36" t="s">
        <v>576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4.6460000000000001E-6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Scores'!B$13,T39,0),IF(W39&gt;='Qualifying Scores'!B$13,V39,0),IF(Z39&gt;='Qualifying Scores'!B$13,Y39,0),IF(AB39&gt;='Qualifying Scores'!B$13,AA39,0),IF(AD39&gt;'Qualifying Scores'!B$13,AC39,0),IF(AG39&gt;'Qualifying Scores'!B$13,AF39,0)),MAX(IF(OR(AND(G39="15-16",W39&gt;='Qualifying Scores'!B$12),AND(G39="13-14",W39&gt;='Qualifying Scores'!B$11),AND(G39="11-12",W39&gt;='Qualifying Scores'!B$10)),X39,0),IF(OR(AND(G39="15-16",AD39&gt;='Qualifying Scores'!B$12),AND(G39="13-14",AD39&gt;='Qualifying Scores'!B$11),AND(G39="11-12",AD39&gt;='Qualifying Scores'!B$10)),AE39,0))))</f>
        <v>0</v>
      </c>
      <c r="S39" s="4">
        <f>IF(G39="17-21",MAX(T39,V39,Y39,AA39,AC39,AF39),MAX(X39,AE39))</f>
        <v>46.46</v>
      </c>
      <c r="T39" s="33"/>
      <c r="U39" s="40"/>
      <c r="V39" s="34"/>
      <c r="W39" s="40"/>
      <c r="X39" s="4">
        <f>IF(H39="Senior",MAX(T39,V39),T39+V39)</f>
        <v>0</v>
      </c>
      <c r="Y39" s="34"/>
      <c r="Z39" s="40"/>
      <c r="AA39" s="33">
        <v>39.630000000000003</v>
      </c>
      <c r="AB39" s="40">
        <v>0</v>
      </c>
      <c r="AC39" s="34">
        <v>43.62</v>
      </c>
      <c r="AD39" s="40">
        <v>8.4</v>
      </c>
      <c r="AE39" s="4">
        <f>IF(H39="Senior",MAX(AA39,AC39),AA39+AC39)</f>
        <v>83.25</v>
      </c>
      <c r="AF39" s="34">
        <v>46.46</v>
      </c>
      <c r="AG39" s="37">
        <v>8.4</v>
      </c>
    </row>
    <row r="40" spans="1:33" x14ac:dyDescent="0.2">
      <c r="A40" s="1" t="str" cm="1">
        <f t="array" ref="A40">IF(I40="","",IF(P40&lt;&gt;"",SUMPRODUCT((P$3:P$90&lt;&gt;"")*(G$3:G$90=G40)*(J$3:J$90&gt;J40)*(I$3:I$90="P"))+1,IF(O40&lt;&gt;"",SUMPRODUCT((O$3:O$90&lt;&gt;"")*(P$3:P$90="")*(G$3:G$90=G40)*(J$3:J$90&gt;J40)*(I$3:I$90="P"))+SUMPRODUCT((P$3:P$90&lt;&gt;"")*(G$3:G$90=G40)*(I$3:I$90="P"))+1,IF(N40&lt;&gt;"",SUMPRODUCT((N$3:N$90&lt;&gt;"")*(G$3:G$90=G40)*(J$3:J$90&gt;J40)*(I$3:I$90="P"))+1,IF(M40="P",SUMPRODUCT((O$3:O$90&lt;&gt;"")*(P$3:P$90="")*(G$3:G$90=G40)*(I$3:I$90="P"))+SUMPRODUCT((P$3:P$90&lt;&gt;"")*(G$3:G$90=G40)*(I$3:I$90="P"))+SUMPRODUCT((N$3:N$90&lt;&gt;"")*(G$3:G$90=G40)*(I$3:I$90="P"))+SUMPRODUCT((P$3:P$90="")*(O$3:O$90="")*(N$3:N$90="")*(M$3:M$90="P")*(G$3:G$90=G40)*(J$3:J$90&gt;J40)*(I$3:I$90="P"))+IF(H40="L5",SUMPRODUCT((P$3:P$90="")*(O$3:O$90="")*(N$3:N$90="")*(M$3:M$90="P")*(G$3:G$90=G40)*(J$3:J$90&lt;J40)*(H$3:H$90&lt;&gt;H40)*(I$3:I$90="P")),-1*SUMPRODUCT((P$3:P$90="")*(O$3:O$90="")*(N$3:N$90="")*(M$3:M$90="P")*(G$3:G$90=G40)*(J$3:J$90&gt;J40)*(H$3:H$90="L5")*(I$3:I$90="P")))+1,"")))))</f>
        <v/>
      </c>
      <c r="B40" s="1" t="str" cm="1">
        <f t="array" ref="B40">IF(P40&lt;&gt;"",SUMPRODUCT((P$3:P$90&lt;&gt;"")*(G$3:G$90=G40)*(J$3:J$90&gt;J40))+1,IF(O40&lt;&gt;"",SUMPRODUCT((O$3:O$90&lt;&gt;"")*(P$3:P$90="")*(G$3:G$90=G40)*(J$3:J$90&gt;J40))+SUMPRODUCT((P$3:P$90&lt;&gt;"")*(G$3:G$90=G40))+1,IF(N40&lt;&gt;"",SUMPRODUCT((N$3:N$90&lt;&gt;"")*(G$3:G$90=G40)*(J$3:J$90&gt;J40))+1,IF(M40="P",SUMPRODUCT((O$3:O$90&lt;&gt;"")*(P$3:P$90="")*(G$3:G$90=G40))+SUMPRODUCT((P$3:P$90&lt;&gt;"")*(G$3:G$90=G40))+SUMPRODUCT((N$3:N$90&lt;&gt;"")*(G$3:G$90=G40))+SUMPRODUCT((P$3:P$90="")*(O$3:O$90="")*(N$3:N$90="")*(M$3:M$90="P")*(G$3:G$90=G40)*(J$3:J$90&gt;J40))+IF(H40="L5",SUMPRODUCT((P$3:P$90="")*(O$3:O$90="")*(N$3:N$90="")*(M$3:M$90="P")*(G$3:G$90=G40)*(J$3:J$90&lt;J40)*(H$3:H$90&lt;&gt;H40)),-1*SUMPRODUCT((P$3:P$90="")*(O$3:O$90="")*(N$3:N$90="")*(M$3:M$90="P")*(G$3:G$90=G40)*(J$3:J$90&gt;J40)*(H$3:H$90="L5")))+1,""))))</f>
        <v/>
      </c>
      <c r="C40" s="36" t="s">
        <v>394</v>
      </c>
      <c r="D40" s="36" t="str">
        <f>IF(E40="","",VLOOKUP(E40,'Coaching Points'!A:B,2,0))</f>
        <v>QC</v>
      </c>
      <c r="E40" s="36" t="s">
        <v>361</v>
      </c>
      <c r="F40" s="35">
        <v>2002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4.6209999999999995E-6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Scores'!B$13,T40,0),IF(W40&gt;='Qualifying Scores'!B$13,V40,0),IF(Z40&gt;='Qualifying Scores'!B$13,Y40,0),IF(AB40&gt;='Qualifying Scores'!B$13,AA40,0),IF(AD40&gt;'Qualifying Scores'!B$13,AC40,0),IF(AG40&gt;'Qualifying Scores'!B$13,AF40,0)),MAX(IF(OR(AND(G40="15-16",W40&gt;='Qualifying Scores'!B$12),AND(G40="13-14",W40&gt;='Qualifying Scores'!B$11),AND(G40="11-12",W40&gt;='Qualifying Scores'!B$10)),X40,0),IF(OR(AND(G40="15-16",AD40&gt;='Qualifying Scores'!B$12),AND(G40="13-14",AD40&gt;='Qualifying Scores'!B$11),AND(G40="11-12",AD40&gt;='Qualifying Scores'!B$10)),AE40,0))))</f>
        <v>0</v>
      </c>
      <c r="S40" s="4">
        <f>IF(G40="17-21",MAX(T40,V40,Y40,AA40,AC40,AF40),MAX(X40,AE40))</f>
        <v>46.21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40.32</v>
      </c>
      <c r="AB40" s="40">
        <v>0</v>
      </c>
      <c r="AC40" s="34">
        <v>46.21</v>
      </c>
      <c r="AD40" s="40">
        <v>8.6</v>
      </c>
      <c r="AE40" s="4">
        <f>IF(H40="Senior",MAX(AA40,AC40),AA40+AC40)</f>
        <v>86.53</v>
      </c>
      <c r="AF40" s="34">
        <v>5.1100000000000003</v>
      </c>
      <c r="AG40" s="37">
        <v>1.1000000000000001</v>
      </c>
    </row>
    <row r="41" spans="1:33" x14ac:dyDescent="0.2">
      <c r="A41" s="1" t="str" cm="1">
        <f t="array" ref="A41">IF(I41="","",IF(P41&lt;&gt;"",SUMPRODUCT((P$3:P$90&lt;&gt;"")*(G$3:G$90=G41)*(J$3:J$90&gt;J41)*(I$3:I$90="P"))+1,IF(O41&lt;&gt;"",SUMPRODUCT((O$3:O$90&lt;&gt;"")*(P$3:P$90="")*(G$3:G$90=G41)*(J$3:J$90&gt;J41)*(I$3:I$90="P"))+SUMPRODUCT((P$3:P$90&lt;&gt;"")*(G$3:G$90=G41)*(I$3:I$90="P"))+1,IF(N41&lt;&gt;"",SUMPRODUCT((N$3:N$90&lt;&gt;"")*(G$3:G$90=G41)*(J$3:J$90&gt;J41)*(I$3:I$90="P"))+1,IF(M41="P",SUMPRODUCT((O$3:O$90&lt;&gt;"")*(P$3:P$90="")*(G$3:G$90=G41)*(I$3:I$90="P"))+SUMPRODUCT((P$3:P$90&lt;&gt;"")*(G$3:G$90=G41)*(I$3:I$90="P"))+SUMPRODUCT((N$3:N$90&lt;&gt;"")*(G$3:G$90=G41)*(I$3:I$90="P"))+SUMPRODUCT((P$3:P$90="")*(O$3:O$90="")*(N$3:N$90="")*(M$3:M$90="P")*(G$3:G$90=G41)*(J$3:J$90&gt;J41)*(I$3:I$90="P"))+IF(H41="L5",SUMPRODUCT((P$3:P$90="")*(O$3:O$90="")*(N$3:N$90="")*(M$3:M$90="P")*(G$3:G$90=G41)*(J$3:J$90&lt;J41)*(H$3:H$90&lt;&gt;H41)*(I$3:I$90="P")),-1*SUMPRODUCT((P$3:P$90="")*(O$3:O$90="")*(N$3:N$90="")*(M$3:M$90="P")*(G$3:G$90=G41)*(J$3:J$90&gt;J41)*(H$3:H$90="L5")*(I$3:I$90="P")))+1,"")))))</f>
        <v/>
      </c>
      <c r="B41" s="1" t="str" cm="1">
        <f t="array" ref="B41">IF(P41&lt;&gt;"",SUMPRODUCT((P$3:P$90&lt;&gt;"")*(G$3:G$90=G41)*(J$3:J$90&gt;J41))+1,IF(O41&lt;&gt;"",SUMPRODUCT((O$3:O$90&lt;&gt;"")*(P$3:P$90="")*(G$3:G$90=G41)*(J$3:J$90&gt;J41))+SUMPRODUCT((P$3:P$90&lt;&gt;"")*(G$3:G$90=G41))+1,IF(N41&lt;&gt;"",SUMPRODUCT((N$3:N$90&lt;&gt;"")*(G$3:G$90=G41)*(J$3:J$90&gt;J41))+1,IF(M41="P",SUMPRODUCT((O$3:O$90&lt;&gt;"")*(P$3:P$90="")*(G$3:G$90=G41))+SUMPRODUCT((P$3:P$90&lt;&gt;"")*(G$3:G$90=G41))+SUMPRODUCT((N$3:N$90&lt;&gt;"")*(G$3:G$90=G41))+SUMPRODUCT((P$3:P$90="")*(O$3:O$90="")*(N$3:N$90="")*(M$3:M$90="P")*(G$3:G$90=G41)*(J$3:J$90&gt;J41))+IF(H41="L5",SUMPRODUCT((P$3:P$90="")*(O$3:O$90="")*(N$3:N$90="")*(M$3:M$90="P")*(G$3:G$90=G41)*(J$3:J$90&lt;J41)*(H$3:H$90&lt;&gt;H41)),-1*SUMPRODUCT((P$3:P$90="")*(O$3:O$90="")*(N$3:N$90="")*(M$3:M$90="P")*(G$3:G$90=G41)*(J$3:J$90&gt;J41)*(H$3:H$90="L5")))+1,""))))</f>
        <v/>
      </c>
      <c r="C41" s="36" t="s">
        <v>193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4.6039999999999995E-6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Scores'!B$13,T41,0),IF(W41&gt;='Qualifying Scores'!B$13,V41,0),IF(Z41&gt;='Qualifying Scores'!B$13,Y41,0),IF(AB41&gt;='Qualifying Scores'!B$13,AA41,0),IF(AD41&gt;'Qualifying Scores'!B$13,AC41,0),IF(AG41&gt;'Qualifying Scores'!B$13,AF41,0)),MAX(IF(OR(AND(G41="15-16",W41&gt;='Qualifying Scores'!B$12),AND(G41="13-14",W41&gt;='Qualifying Scores'!B$11),AND(G41="11-12",W41&gt;='Qualifying Scores'!B$10)),X41,0),IF(OR(AND(G41="15-16",AD41&gt;='Qualifying Scores'!B$12),AND(G41="13-14",AD41&gt;='Qualifying Scores'!B$11),AND(G41="11-12",AD41&gt;='Qualifying Scores'!B$10)),AE41,0))))</f>
        <v>0</v>
      </c>
      <c r="S41" s="4">
        <f>IF(G41="17-21",MAX(T41,V41,Y41,AA41,AC41,AF41),MAX(X41,AE41))</f>
        <v>46.04</v>
      </c>
      <c r="T41" s="33">
        <v>38.97</v>
      </c>
      <c r="U41" s="40">
        <v>0</v>
      </c>
      <c r="V41" s="34">
        <v>44.94</v>
      </c>
      <c r="W41" s="40">
        <v>7</v>
      </c>
      <c r="X41" s="4">
        <f>IF(H41="Senior",MAX(T41,V41),T41+V41)</f>
        <v>83.91</v>
      </c>
      <c r="Y41" s="34">
        <v>46.01</v>
      </c>
      <c r="Z41" s="40">
        <v>7</v>
      </c>
      <c r="AA41" s="33">
        <v>39.4</v>
      </c>
      <c r="AB41" s="40">
        <v>0</v>
      </c>
      <c r="AC41" s="34">
        <v>46.04</v>
      </c>
      <c r="AD41" s="40">
        <v>0</v>
      </c>
      <c r="AE41" s="4">
        <f>IF(H41="Senior",MAX(AA41,AC41),AA41+AC41)</f>
        <v>85.44</v>
      </c>
      <c r="AF41" s="34">
        <v>45.47</v>
      </c>
      <c r="AG41" s="37">
        <v>7.7</v>
      </c>
    </row>
    <row r="42" spans="1:33" x14ac:dyDescent="0.2">
      <c r="A42" s="1" t="str" cm="1">
        <f t="array" ref="A42">IF(I42="","",IF(P42&lt;&gt;"",SUMPRODUCT((P$3:P$90&lt;&gt;"")*(G$3:G$90=G42)*(J$3:J$90&gt;J42)*(I$3:I$90="P"))+1,IF(O42&lt;&gt;"",SUMPRODUCT((O$3:O$90&lt;&gt;"")*(P$3:P$90="")*(G$3:G$90=G42)*(J$3:J$90&gt;J42)*(I$3:I$90="P"))+SUMPRODUCT((P$3:P$90&lt;&gt;"")*(G$3:G$90=G42)*(I$3:I$90="P"))+1,IF(N42&lt;&gt;"",SUMPRODUCT((N$3:N$90&lt;&gt;"")*(G$3:G$90=G42)*(J$3:J$90&gt;J42)*(I$3:I$90="P"))+1,IF(M42="P",SUMPRODUCT((O$3:O$90&lt;&gt;"")*(P$3:P$90="")*(G$3:G$90=G42)*(I$3:I$90="P"))+SUMPRODUCT((P$3:P$90&lt;&gt;"")*(G$3:G$90=G42)*(I$3:I$90="P"))+SUMPRODUCT((N$3:N$90&lt;&gt;"")*(G$3:G$90=G42)*(I$3:I$90="P"))+SUMPRODUCT((P$3:P$90="")*(O$3:O$90="")*(N$3:N$90="")*(M$3:M$90="P")*(G$3:G$90=G42)*(J$3:J$90&gt;J42)*(I$3:I$90="P"))+IF(H42="L5",SUMPRODUCT((P$3:P$90="")*(O$3:O$90="")*(N$3:N$90="")*(M$3:M$90="P")*(G$3:G$90=G42)*(J$3:J$90&lt;J42)*(H$3:H$90&lt;&gt;H42)*(I$3:I$90="P")),-1*SUMPRODUCT((P$3:P$90="")*(O$3:O$90="")*(N$3:N$90="")*(M$3:M$90="P")*(G$3:G$90=G42)*(J$3:J$90&gt;J42)*(H$3:H$90="L5")*(I$3:I$90="P")))+1,"")))))</f>
        <v/>
      </c>
      <c r="B42" s="1" t="str" cm="1">
        <f t="array" ref="B42">IF(P42&lt;&gt;"",SUMPRODUCT((P$3:P$90&lt;&gt;"")*(G$3:G$90=G42)*(J$3:J$90&gt;J42))+1,IF(O42&lt;&gt;"",SUMPRODUCT((O$3:O$90&lt;&gt;"")*(P$3:P$90="")*(G$3:G$90=G42)*(J$3:J$90&gt;J42))+SUMPRODUCT((P$3:P$90&lt;&gt;"")*(G$3:G$90=G42))+1,IF(N42&lt;&gt;"",SUMPRODUCT((N$3:N$90&lt;&gt;"")*(G$3:G$90=G42)*(J$3:J$90&gt;J42))+1,IF(M42="P",SUMPRODUCT((O$3:O$90&lt;&gt;"")*(P$3:P$90="")*(G$3:G$90=G42))+SUMPRODUCT((P$3:P$90&lt;&gt;"")*(G$3:G$90=G42))+SUMPRODUCT((N$3:N$90&lt;&gt;"")*(G$3:G$90=G42))+SUMPRODUCT((P$3:P$90="")*(O$3:O$90="")*(N$3:N$90="")*(M$3:M$90="P")*(G$3:G$90=G42)*(J$3:J$90&gt;J42))+IF(H42="L5",SUMPRODUCT((P$3:P$90="")*(O$3:O$90="")*(N$3:N$90="")*(M$3:M$90="P")*(G$3:G$90=G42)*(J$3:J$90&lt;J42)*(H$3:H$90&lt;&gt;H42)),-1*SUMPRODUCT((P$3:P$90="")*(O$3:O$90="")*(N$3:N$90="")*(M$3:M$90="P")*(G$3:G$90=G42)*(J$3:J$90&gt;J42)*(H$3:H$90="L5")))+1,""))))</f>
        <v/>
      </c>
      <c r="C42" s="36" t="s">
        <v>400</v>
      </c>
      <c r="D42" s="36" t="str">
        <f>IF(E42="","",VLOOKUP(E42,'Coaching Points'!A:B,2,0))</f>
        <v>ON</v>
      </c>
      <c r="E42" s="36" t="s">
        <v>224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4.4729999999999994E-6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Scores'!B$13,T42,0),IF(W42&gt;='Qualifying Scores'!B$13,V42,0),IF(Z42&gt;='Qualifying Scores'!B$13,Y42,0),IF(AB42&gt;='Qualifying Scores'!B$13,AA42,0),IF(AD42&gt;'Qualifying Scores'!B$13,AC42,0),IF(AG42&gt;'Qualifying Scores'!B$13,AF42,0)),MAX(IF(OR(AND(G42="15-16",W42&gt;='Qualifying Scores'!B$12),AND(G42="13-14",W42&gt;='Qualifying Scores'!B$11),AND(G42="11-12",W42&gt;='Qualifying Scores'!B$10)),X42,0),IF(OR(AND(G42="15-16",AD42&gt;='Qualifying Scores'!B$12),AND(G42="13-14",AD42&gt;='Qualifying Scores'!B$11),AND(G42="11-12",AD42&gt;='Qualifying Scores'!B$10)),AE42,0))))</f>
        <v>0</v>
      </c>
      <c r="S42" s="4">
        <f>IF(G42="17-21",MAX(T42,V42,Y42,AA42,AC42,AF42),MAX(X42,AE42))</f>
        <v>44.73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11.59</v>
      </c>
      <c r="AB42" s="40">
        <v>0</v>
      </c>
      <c r="AC42" s="34">
        <v>44.73</v>
      </c>
      <c r="AD42" s="40">
        <v>8.5</v>
      </c>
      <c r="AE42" s="4">
        <f>IF(H42="Senior",MAX(AA42,AC42),AA42+AC42)</f>
        <v>56.319999999999993</v>
      </c>
      <c r="AF42" s="34"/>
      <c r="AG42" s="37"/>
    </row>
    <row r="43" spans="1:33" x14ac:dyDescent="0.2">
      <c r="A43" s="1" t="str" cm="1">
        <f t="array" ref="A43">IF(I43="","",IF(P43&lt;&gt;"",SUMPRODUCT((P$3:P$90&lt;&gt;"")*(G$3:G$90=G43)*(J$3:J$90&gt;J43)*(I$3:I$90="P"))+1,IF(O43&lt;&gt;"",SUMPRODUCT((O$3:O$90&lt;&gt;"")*(P$3:P$90="")*(G$3:G$90=G43)*(J$3:J$90&gt;J43)*(I$3:I$90="P"))+SUMPRODUCT((P$3:P$90&lt;&gt;"")*(G$3:G$90=G43)*(I$3:I$90="P"))+1,IF(N43&lt;&gt;"",SUMPRODUCT((N$3:N$90&lt;&gt;"")*(G$3:G$90=G43)*(J$3:J$90&gt;J43)*(I$3:I$90="P"))+1,IF(M43="P",SUMPRODUCT((O$3:O$90&lt;&gt;"")*(P$3:P$90="")*(G$3:G$90=G43)*(I$3:I$90="P"))+SUMPRODUCT((P$3:P$90&lt;&gt;"")*(G$3:G$90=G43)*(I$3:I$90="P"))+SUMPRODUCT((N$3:N$90&lt;&gt;"")*(G$3:G$90=G43)*(I$3:I$90="P"))+SUMPRODUCT((P$3:P$90="")*(O$3:O$90="")*(N$3:N$90="")*(M$3:M$90="P")*(G$3:G$90=G43)*(J$3:J$90&gt;J43)*(I$3:I$90="P"))+IF(H43="L5",SUMPRODUCT((P$3:P$90="")*(O$3:O$90="")*(N$3:N$90="")*(M$3:M$90="P")*(G$3:G$90=G43)*(J$3:J$90&lt;J43)*(H$3:H$90&lt;&gt;H43)*(I$3:I$90="P")),-1*SUMPRODUCT((P$3:P$90="")*(O$3:O$90="")*(N$3:N$90="")*(M$3:M$90="P")*(G$3:G$90=G43)*(J$3:J$90&gt;J43)*(H$3:H$90="L5")*(I$3:I$90="P")))+1,"")))))</f>
        <v/>
      </c>
      <c r="B43" s="1" t="str" cm="1">
        <f t="array" ref="B43">IF(P43&lt;&gt;"",SUMPRODUCT((P$3:P$90&lt;&gt;"")*(G$3:G$90=G43)*(J$3:J$90&gt;J43))+1,IF(O43&lt;&gt;"",SUMPRODUCT((O$3:O$90&lt;&gt;"")*(P$3:P$90="")*(G$3:G$90=G43)*(J$3:J$90&gt;J43))+SUMPRODUCT((P$3:P$90&lt;&gt;"")*(G$3:G$90=G43))+1,IF(N43&lt;&gt;"",SUMPRODUCT((N$3:N$90&lt;&gt;"")*(G$3:G$90=G43)*(J$3:J$90&gt;J43))+1,IF(M43="P",SUMPRODUCT((O$3:O$90&lt;&gt;"")*(P$3:P$90="")*(G$3:G$90=G43))+SUMPRODUCT((P$3:P$90&lt;&gt;"")*(G$3:G$90=G43))+SUMPRODUCT((N$3:N$90&lt;&gt;"")*(G$3:G$90=G43))+SUMPRODUCT((P$3:P$90="")*(O$3:O$90="")*(N$3:N$90="")*(M$3:M$90="P")*(G$3:G$90=G43)*(J$3:J$90&gt;J43))+IF(H43="L5",SUMPRODUCT((P$3:P$90="")*(O$3:O$90="")*(N$3:N$90="")*(M$3:M$90="P")*(G$3:G$90=G43)*(J$3:J$90&lt;J43)*(H$3:H$90&lt;&gt;H43)),-1*SUMPRODUCT((P$3:P$90="")*(O$3:O$90="")*(N$3:N$90="")*(M$3:M$90="P")*(G$3:G$90=G43)*(J$3:J$90&gt;J43)*(H$3:H$90="L5")))+1,""))))</f>
        <v/>
      </c>
      <c r="C43" s="36" t="s">
        <v>196</v>
      </c>
      <c r="D43" s="36" t="str">
        <f>IF(E43="","",VLOOKUP(E43,'Coaching Points'!A:B,2,0))</f>
        <v>MB</v>
      </c>
      <c r="E43" s="36" t="s">
        <v>129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4.4340000000000002E-6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Scores'!B$13,T43,0),IF(W43&gt;='Qualifying Scores'!B$13,V43,0),IF(Z43&gt;='Qualifying Scores'!B$13,Y43,0),IF(AB43&gt;='Qualifying Scores'!B$13,AA43,0),IF(AD43&gt;'Qualifying Scores'!B$13,AC43,0),IF(AG43&gt;'Qualifying Scores'!B$13,AF43,0)),MAX(IF(OR(AND(G43="15-16",W43&gt;='Qualifying Scores'!B$12),AND(G43="13-14",W43&gt;='Qualifying Scores'!B$11),AND(G43="11-12",W43&gt;='Qualifying Scores'!B$10)),X43,0),IF(OR(AND(G43="15-16",AD43&gt;='Qualifying Scores'!B$12),AND(G43="13-14",AD43&gt;='Qualifying Scores'!B$11),AND(G43="11-12",AD43&gt;='Qualifying Scores'!B$10)),AE43,0))))</f>
        <v>0</v>
      </c>
      <c r="S43" s="4">
        <f>IF(G43="17-21",MAX(T43,V43,Y43,AA43,AC43,AF43),MAX(X43,AE43))</f>
        <v>46.45</v>
      </c>
      <c r="T43" s="33">
        <v>39.07</v>
      </c>
      <c r="U43" s="40">
        <v>0</v>
      </c>
      <c r="V43" s="34">
        <v>46.45</v>
      </c>
      <c r="W43" s="40">
        <v>8.6999999999999993</v>
      </c>
      <c r="X43" s="4">
        <f>IF(H43="Senior",MAX(T43,V43),T43+V43)</f>
        <v>85.52000000000001</v>
      </c>
      <c r="Y43" s="34">
        <v>19.11</v>
      </c>
      <c r="Z43" s="40">
        <v>4</v>
      </c>
      <c r="AA43" s="33">
        <v>35.619999999999997</v>
      </c>
      <c r="AB43" s="40">
        <v>0</v>
      </c>
      <c r="AC43" s="34">
        <v>44.34</v>
      </c>
      <c r="AD43" s="40">
        <v>8.1</v>
      </c>
      <c r="AE43" s="4">
        <f>IF(H43="Senior",MAX(AA43,AC43),AA43+AC43)</f>
        <v>79.960000000000008</v>
      </c>
      <c r="AF43" s="34"/>
      <c r="AG43" s="37"/>
    </row>
    <row r="44" spans="1:33" x14ac:dyDescent="0.2">
      <c r="A44" s="1" t="str" cm="1">
        <f t="array" ref="A44">IF(I44="","",IF(P44&lt;&gt;"",SUMPRODUCT((P$3:P$90&lt;&gt;"")*(G$3:G$90=G44)*(J$3:J$90&gt;J44)*(I$3:I$90="P"))+1,IF(O44&lt;&gt;"",SUMPRODUCT((O$3:O$90&lt;&gt;"")*(P$3:P$90="")*(G$3:G$90=G44)*(J$3:J$90&gt;J44)*(I$3:I$90="P"))+SUMPRODUCT((P$3:P$90&lt;&gt;"")*(G$3:G$90=G44)*(I$3:I$90="P"))+1,IF(N44&lt;&gt;"",SUMPRODUCT((N$3:N$90&lt;&gt;"")*(G$3:G$90=G44)*(J$3:J$90&gt;J44)*(I$3:I$90="P"))+1,IF(M44="P",SUMPRODUCT((O$3:O$90&lt;&gt;"")*(P$3:P$90="")*(G$3:G$90=G44)*(I$3:I$90="P"))+SUMPRODUCT((P$3:P$90&lt;&gt;"")*(G$3:G$90=G44)*(I$3:I$90="P"))+SUMPRODUCT((N$3:N$90&lt;&gt;"")*(G$3:G$90=G44)*(I$3:I$90="P"))+SUMPRODUCT((P$3:P$90="")*(O$3:O$90="")*(N$3:N$90="")*(M$3:M$90="P")*(G$3:G$90=G44)*(J$3:J$90&gt;J44)*(I$3:I$90="P"))+IF(H44="L5",SUMPRODUCT((P$3:P$90="")*(O$3:O$90="")*(N$3:N$90="")*(M$3:M$90="P")*(G$3:G$90=G44)*(J$3:J$90&lt;J44)*(H$3:H$90&lt;&gt;H44)*(I$3:I$90="P")),-1*SUMPRODUCT((P$3:P$90="")*(O$3:O$90="")*(N$3:N$90="")*(M$3:M$90="P")*(G$3:G$90=G44)*(J$3:J$90&gt;J44)*(H$3:H$90="L5")*(I$3:I$90="P")))+1,"")))))</f>
        <v/>
      </c>
      <c r="B44" s="1" t="str" cm="1">
        <f t="array" ref="B44">IF(P44&lt;&gt;"",SUMPRODUCT((P$3:P$90&lt;&gt;"")*(G$3:G$90=G44)*(J$3:J$90&gt;J44))+1,IF(O44&lt;&gt;"",SUMPRODUCT((O$3:O$90&lt;&gt;"")*(P$3:P$90="")*(G$3:G$90=G44)*(J$3:J$90&gt;J44))+SUMPRODUCT((P$3:P$90&lt;&gt;"")*(G$3:G$90=G44))+1,IF(N44&lt;&gt;"",SUMPRODUCT((N$3:N$90&lt;&gt;"")*(G$3:G$90=G44)*(J$3:J$90&gt;J44))+1,IF(M44="P",SUMPRODUCT((O$3:O$90&lt;&gt;"")*(P$3:P$90="")*(G$3:G$90=G44))+SUMPRODUCT((P$3:P$90&lt;&gt;"")*(G$3:G$90=G44))+SUMPRODUCT((N$3:N$90&lt;&gt;"")*(G$3:G$90=G44))+SUMPRODUCT((P$3:P$90="")*(O$3:O$90="")*(N$3:N$90="")*(M$3:M$90="P")*(G$3:G$90=G44)*(J$3:J$90&gt;J44))+IF(H44="L5",SUMPRODUCT((P$3:P$90="")*(O$3:O$90="")*(N$3:N$90="")*(M$3:M$90="P")*(G$3:G$90=G44)*(J$3:J$90&lt;J44)*(H$3:H$90&lt;&gt;H44)),-1*SUMPRODUCT((P$3:P$90="")*(O$3:O$90="")*(N$3:N$90="")*(M$3:M$90="P")*(G$3:G$90=G44)*(J$3:J$90&gt;J44)*(H$3:H$90="L5")))+1,""))))</f>
        <v/>
      </c>
      <c r="C44" s="36" t="s">
        <v>194</v>
      </c>
      <c r="D44" s="36" t="str">
        <f>IF(E44="","",VLOOKUP(E44,'Coaching Points'!A:B,2,0))</f>
        <v>QC</v>
      </c>
      <c r="E44" s="36" t="s">
        <v>195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4.4159999999999997E-6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Scores'!B$13,T44,0),IF(W44&gt;='Qualifying Scores'!B$13,V44,0),IF(Z44&gt;='Qualifying Scores'!B$13,Y44,0),IF(AB44&gt;='Qualifying Scores'!B$13,AA44,0),IF(AD44&gt;'Qualifying Scores'!B$13,AC44,0),IF(AG44&gt;'Qualifying Scores'!B$13,AF44,0)),MAX(IF(OR(AND(G44="15-16",W44&gt;='Qualifying Scores'!B$12),AND(G44="13-14",W44&gt;='Qualifying Scores'!B$11),AND(G44="11-12",W44&gt;='Qualifying Scores'!B$10)),X44,0),IF(OR(AND(G44="15-16",AD44&gt;='Qualifying Scores'!B$12),AND(G44="13-14",AD44&gt;='Qualifying Scores'!B$11),AND(G44="11-12",AD44&gt;='Qualifying Scores'!B$10)),AE44,0))))</f>
        <v>0</v>
      </c>
      <c r="S44" s="4">
        <f>IF(G44="17-21",MAX(T44,V44,Y44,AA44,AC44,AF44),MAX(X44,AE44))</f>
        <v>45.48</v>
      </c>
      <c r="T44" s="33">
        <v>39.25</v>
      </c>
      <c r="U44" s="40">
        <v>0</v>
      </c>
      <c r="V44" s="34">
        <v>45.37</v>
      </c>
      <c r="W44" s="40">
        <v>8.2999999999999989</v>
      </c>
      <c r="X44" s="4">
        <f>IF(H44="Senior",MAX(T44,V44),T44+V44)</f>
        <v>84.62</v>
      </c>
      <c r="Y44" s="34">
        <v>45.48</v>
      </c>
      <c r="Z44" s="40">
        <v>8.2999999999999989</v>
      </c>
      <c r="AA44" s="33">
        <v>39.22</v>
      </c>
      <c r="AB44" s="40">
        <v>0</v>
      </c>
      <c r="AC44" s="34">
        <v>44.16</v>
      </c>
      <c r="AD44" s="40">
        <v>7.9</v>
      </c>
      <c r="AE44" s="4">
        <f>IF(H44="Senior",MAX(AA44,AC44),AA44+AC44)</f>
        <v>83.38</v>
      </c>
      <c r="AF44" s="34">
        <v>10.050000000000001</v>
      </c>
      <c r="AG44" s="37">
        <v>2.2999999999999998</v>
      </c>
    </row>
    <row r="45" spans="1:33" x14ac:dyDescent="0.2">
      <c r="A45" s="1" t="str" cm="1">
        <f t="array" ref="A45">IF(I45="","",IF(P45&lt;&gt;"",SUMPRODUCT((P$3:P$90&lt;&gt;"")*(G$3:G$90=G45)*(J$3:J$90&gt;J45)*(I$3:I$90="P"))+1,IF(O45&lt;&gt;"",SUMPRODUCT((O$3:O$90&lt;&gt;"")*(P$3:P$90="")*(G$3:G$90=G45)*(J$3:J$90&gt;J45)*(I$3:I$90="P"))+SUMPRODUCT((P$3:P$90&lt;&gt;"")*(G$3:G$90=G45)*(I$3:I$90="P"))+1,IF(N45&lt;&gt;"",SUMPRODUCT((N$3:N$90&lt;&gt;"")*(G$3:G$90=G45)*(J$3:J$90&gt;J45)*(I$3:I$90="P"))+1,IF(M45="P",SUMPRODUCT((O$3:O$90&lt;&gt;"")*(P$3:P$90="")*(G$3:G$90=G45)*(I$3:I$90="P"))+SUMPRODUCT((P$3:P$90&lt;&gt;"")*(G$3:G$90=G45)*(I$3:I$90="P"))+SUMPRODUCT((N$3:N$90&lt;&gt;"")*(G$3:G$90=G45)*(I$3:I$90="P"))+SUMPRODUCT((P$3:P$90="")*(O$3:O$90="")*(N$3:N$90="")*(M$3:M$90="P")*(G$3:G$90=G45)*(J$3:J$90&gt;J45)*(I$3:I$90="P"))+IF(H45="L5",SUMPRODUCT((P$3:P$90="")*(O$3:O$90="")*(N$3:N$90="")*(M$3:M$90="P")*(G$3:G$90=G45)*(J$3:J$90&lt;J45)*(H$3:H$90&lt;&gt;H45)*(I$3:I$90="P")),-1*SUMPRODUCT((P$3:P$90="")*(O$3:O$90="")*(N$3:N$90="")*(M$3:M$90="P")*(G$3:G$90=G45)*(J$3:J$90&gt;J45)*(H$3:H$90="L5")*(I$3:I$90="P")))+1,"")))))</f>
        <v/>
      </c>
      <c r="B45" s="1" t="str" cm="1">
        <f t="array" ref="B45">IF(P45&lt;&gt;"",SUMPRODUCT((P$3:P$90&lt;&gt;"")*(G$3:G$90=G45)*(J$3:J$90&gt;J45))+1,IF(O45&lt;&gt;"",SUMPRODUCT((O$3:O$90&lt;&gt;"")*(P$3:P$90="")*(G$3:G$90=G45)*(J$3:J$90&gt;J45))+SUMPRODUCT((P$3:P$90&lt;&gt;"")*(G$3:G$90=G45))+1,IF(N45&lt;&gt;"",SUMPRODUCT((N$3:N$90&lt;&gt;"")*(G$3:G$90=G45)*(J$3:J$90&gt;J45))+1,IF(M45="P",SUMPRODUCT((O$3:O$90&lt;&gt;"")*(P$3:P$90="")*(G$3:G$90=G45))+SUMPRODUCT((P$3:P$90&lt;&gt;"")*(G$3:G$90=G45))+SUMPRODUCT((N$3:N$90&lt;&gt;"")*(G$3:G$90=G45))+SUMPRODUCT((P$3:P$90="")*(O$3:O$90="")*(N$3:N$90="")*(M$3:M$90="P")*(G$3:G$90=G45)*(J$3:J$90&gt;J45))+IF(H45="L5",SUMPRODUCT((P$3:P$90="")*(O$3:O$90="")*(N$3:N$90="")*(M$3:M$90="P")*(G$3:G$90=G45)*(J$3:J$90&lt;J45)*(H$3:H$90&lt;&gt;H45)),-1*SUMPRODUCT((P$3:P$90="")*(O$3:O$90="")*(N$3:N$90="")*(M$3:M$90="P")*(G$3:G$90=G45)*(J$3:J$90&gt;J45)*(H$3:H$90="L5")))+1,""))))</f>
        <v/>
      </c>
      <c r="C45" s="36" t="s">
        <v>399</v>
      </c>
      <c r="D45" s="36" t="str">
        <f>IF(E45="","",VLOOKUP(E45,'Coaching Points'!A:B,2,0))</f>
        <v>ON</v>
      </c>
      <c r="E45" s="36" t="s">
        <v>575</v>
      </c>
      <c r="F45" s="35">
        <v>2004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4.2999999999999995E-6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Scores'!B$13,T45,0),IF(W45&gt;='Qualifying Scores'!B$13,V45,0),IF(Z45&gt;='Qualifying Scores'!B$13,Y45,0),IF(AB45&gt;='Qualifying Scores'!B$13,AA45,0),IF(AD45&gt;'Qualifying Scores'!B$13,AC45,0),IF(AG45&gt;'Qualifying Scores'!B$13,AF45,0)),MAX(IF(OR(AND(G45="15-16",W45&gt;='Qualifying Scores'!B$12),AND(G45="13-14",W45&gt;='Qualifying Scores'!B$11),AND(G45="11-12",W45&gt;='Qualifying Scores'!B$10)),X45,0),IF(OR(AND(G45="15-16",AD45&gt;='Qualifying Scores'!B$12),AND(G45="13-14",AD45&gt;='Qualifying Scores'!B$11),AND(G45="11-12",AD45&gt;='Qualifying Scores'!B$10)),AE45,0))))</f>
        <v>0</v>
      </c>
      <c r="S45" s="4">
        <f>IF(G45="17-21",MAX(T45,V45,Y45,AA45,AC45,AF45),MAX(X45,AE45))</f>
        <v>43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36.4</v>
      </c>
      <c r="AB45" s="40">
        <v>0</v>
      </c>
      <c r="AC45" s="34">
        <v>43</v>
      </c>
      <c r="AD45" s="40">
        <v>8.8000000000000007</v>
      </c>
      <c r="AE45" s="4">
        <f>IF(H45="Senior",MAX(AA45,AC45),AA45+AC45)</f>
        <v>79.400000000000006</v>
      </c>
      <c r="AF45" s="34"/>
      <c r="AG45" s="37"/>
    </row>
    <row r="46" spans="1:33" x14ac:dyDescent="0.2">
      <c r="A46" s="1" t="str" cm="1">
        <f t="array" ref="A46">IF(I46="","",IF(P46&lt;&gt;"",SUMPRODUCT((P$3:P$90&lt;&gt;"")*(G$3:G$90=G46)*(J$3:J$90&gt;J46)*(I$3:I$90="P"))+1,IF(O46&lt;&gt;"",SUMPRODUCT((O$3:O$90&lt;&gt;"")*(P$3:P$90="")*(G$3:G$90=G46)*(J$3:J$90&gt;J46)*(I$3:I$90="P"))+SUMPRODUCT((P$3:P$90&lt;&gt;"")*(G$3:G$90=G46)*(I$3:I$90="P"))+1,IF(N46&lt;&gt;"",SUMPRODUCT((N$3:N$90&lt;&gt;"")*(G$3:G$90=G46)*(J$3:J$90&gt;J46)*(I$3:I$90="P"))+1,IF(M46="P",SUMPRODUCT((O$3:O$90&lt;&gt;"")*(P$3:P$90="")*(G$3:G$90=G46)*(I$3:I$90="P"))+SUMPRODUCT((P$3:P$90&lt;&gt;"")*(G$3:G$90=G46)*(I$3:I$90="P"))+SUMPRODUCT((N$3:N$90&lt;&gt;"")*(G$3:G$90=G46)*(I$3:I$90="P"))+SUMPRODUCT((P$3:P$90="")*(O$3:O$90="")*(N$3:N$90="")*(M$3:M$90="P")*(G$3:G$90=G46)*(J$3:J$90&gt;J46)*(I$3:I$90="P"))+IF(H46="L5",SUMPRODUCT((P$3:P$90="")*(O$3:O$90="")*(N$3:N$90="")*(M$3:M$90="P")*(G$3:G$90=G46)*(J$3:J$90&lt;J46)*(H$3:H$90&lt;&gt;H46)*(I$3:I$90="P")),-1*SUMPRODUCT((P$3:P$90="")*(O$3:O$90="")*(N$3:N$90="")*(M$3:M$90="P")*(G$3:G$90=G46)*(J$3:J$90&gt;J46)*(H$3:H$90="L5")*(I$3:I$90="P")))+1,"")))))</f>
        <v/>
      </c>
      <c r="B46" s="1" t="str" cm="1">
        <f t="array" ref="B46">IF(P46&lt;&gt;"",SUMPRODUCT((P$3:P$90&lt;&gt;"")*(G$3:G$90=G46)*(J$3:J$90&gt;J46))+1,IF(O46&lt;&gt;"",SUMPRODUCT((O$3:O$90&lt;&gt;"")*(P$3:P$90="")*(G$3:G$90=G46)*(J$3:J$90&gt;J46))+SUMPRODUCT((P$3:P$90&lt;&gt;"")*(G$3:G$90=G46))+1,IF(N46&lt;&gt;"",SUMPRODUCT((N$3:N$90&lt;&gt;"")*(G$3:G$90=G46)*(J$3:J$90&gt;J46))+1,IF(M46="P",SUMPRODUCT((O$3:O$90&lt;&gt;"")*(P$3:P$90="")*(G$3:G$90=G46))+SUMPRODUCT((P$3:P$90&lt;&gt;"")*(G$3:G$90=G46))+SUMPRODUCT((N$3:N$90&lt;&gt;"")*(G$3:G$90=G46))+SUMPRODUCT((P$3:P$90="")*(O$3:O$90="")*(N$3:N$90="")*(M$3:M$90="P")*(G$3:G$90=G46)*(J$3:J$90&gt;J46))+IF(H46="L5",SUMPRODUCT((P$3:P$90="")*(O$3:O$90="")*(N$3:N$90="")*(M$3:M$90="P")*(G$3:G$90=G46)*(J$3:J$90&lt;J46)*(H$3:H$90&lt;&gt;H46)),-1*SUMPRODUCT((P$3:P$90="")*(O$3:O$90="")*(N$3:N$90="")*(M$3:M$90="P")*(G$3:G$90=G46)*(J$3:J$90&gt;J46)*(H$3:H$90="L5")))+1,""))))</f>
        <v/>
      </c>
      <c r="C46" s="36" t="s">
        <v>396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4.1919999999999998E-6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Scores'!B$13,T46,0),IF(W46&gt;='Qualifying Scores'!B$13,V46,0),IF(Z46&gt;='Qualifying Scores'!B$13,Y46,0),IF(AB46&gt;='Qualifying Scores'!B$13,AA46,0),IF(AD46&gt;'Qualifying Scores'!B$13,AC46,0),IF(AG46&gt;'Qualifying Scores'!B$13,AF46,0)),MAX(IF(OR(AND(G46="15-16",W46&gt;='Qualifying Scores'!B$12),AND(G46="13-14",W46&gt;='Qualifying Scores'!B$11),AND(G46="11-12",W46&gt;='Qualifying Scores'!B$10)),X46,0),IF(OR(AND(G46="15-16",AD46&gt;='Qualifying Scores'!B$12),AND(G46="13-14",AD46&gt;='Qualifying Scores'!B$11),AND(G46="11-12",AD46&gt;='Qualifying Scores'!B$10)),AE46,0))))</f>
        <v>0</v>
      </c>
      <c r="S46" s="4">
        <f>IF(G46="17-21",MAX(T46,V46,Y46,AA46,AC46,AF46),MAX(X46,AE46))</f>
        <v>41.92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38.25</v>
      </c>
      <c r="AB46" s="40">
        <v>0</v>
      </c>
      <c r="AC46" s="34">
        <v>41.92</v>
      </c>
      <c r="AD46" s="40">
        <v>7.8</v>
      </c>
      <c r="AE46" s="4">
        <f>IF(H46="Senior",MAX(AA46,AC46),AA46+AC46)</f>
        <v>80.17</v>
      </c>
      <c r="AF46" s="34"/>
      <c r="AG46" s="37"/>
    </row>
    <row r="47" spans="1:33" x14ac:dyDescent="0.2">
      <c r="A47" s="1" t="str" cm="1">
        <f t="array" ref="A47">IF(I47="","",IF(P47&lt;&gt;"",SUMPRODUCT((P$3:P$90&lt;&gt;"")*(G$3:G$90=G47)*(J$3:J$90&gt;J47)*(I$3:I$90="P"))+1,IF(O47&lt;&gt;"",SUMPRODUCT((O$3:O$90&lt;&gt;"")*(P$3:P$90="")*(G$3:G$90=G47)*(J$3:J$90&gt;J47)*(I$3:I$90="P"))+SUMPRODUCT((P$3:P$90&lt;&gt;"")*(G$3:G$90=G47)*(I$3:I$90="P"))+1,IF(N47&lt;&gt;"",SUMPRODUCT((N$3:N$90&lt;&gt;"")*(G$3:G$90=G47)*(J$3:J$90&gt;J47)*(I$3:I$90="P"))+1,IF(M47="P",SUMPRODUCT((O$3:O$90&lt;&gt;"")*(P$3:P$90="")*(G$3:G$90=G47)*(I$3:I$90="P"))+SUMPRODUCT((P$3:P$90&lt;&gt;"")*(G$3:G$90=G47)*(I$3:I$90="P"))+SUMPRODUCT((N$3:N$90&lt;&gt;"")*(G$3:G$90=G47)*(I$3:I$90="P"))+SUMPRODUCT((P$3:P$90="")*(O$3:O$90="")*(N$3:N$90="")*(M$3:M$90="P")*(G$3:G$90=G47)*(J$3:J$90&gt;J47)*(I$3:I$90="P"))+IF(H47="L5",SUMPRODUCT((P$3:P$90="")*(O$3:O$90="")*(N$3:N$90="")*(M$3:M$90="P")*(G$3:G$90=G47)*(J$3:J$90&lt;J47)*(H$3:H$90&lt;&gt;H47)*(I$3:I$90="P")),-1*SUMPRODUCT((P$3:P$90="")*(O$3:O$90="")*(N$3:N$90="")*(M$3:M$90="P")*(G$3:G$90=G47)*(J$3:J$90&gt;J47)*(H$3:H$90="L5")*(I$3:I$90="P")))+1,"")))))</f>
        <v/>
      </c>
      <c r="B47" s="1" t="str" cm="1">
        <f t="array" ref="B47">IF(P47&lt;&gt;"",SUMPRODUCT((P$3:P$90&lt;&gt;"")*(G$3:G$90=G47)*(J$3:J$90&gt;J47))+1,IF(O47&lt;&gt;"",SUMPRODUCT((O$3:O$90&lt;&gt;"")*(P$3:P$90="")*(G$3:G$90=G47)*(J$3:J$90&gt;J47))+SUMPRODUCT((P$3:P$90&lt;&gt;"")*(G$3:G$90=G47))+1,IF(N47&lt;&gt;"",SUMPRODUCT((N$3:N$90&lt;&gt;"")*(G$3:G$90=G47)*(J$3:J$90&gt;J47))+1,IF(M47="P",SUMPRODUCT((O$3:O$90&lt;&gt;"")*(P$3:P$90="")*(G$3:G$90=G47))+SUMPRODUCT((P$3:P$90&lt;&gt;"")*(G$3:G$90=G47))+SUMPRODUCT((N$3:N$90&lt;&gt;"")*(G$3:G$90=G47))+SUMPRODUCT((P$3:P$90="")*(O$3:O$90="")*(N$3:N$90="")*(M$3:M$90="P")*(G$3:G$90=G47)*(J$3:J$90&gt;J47))+IF(H47="L5",SUMPRODUCT((P$3:P$90="")*(O$3:O$90="")*(N$3:N$90="")*(M$3:M$90="P")*(G$3:G$90=G47)*(J$3:J$90&lt;J47)*(H$3:H$90&lt;&gt;H47)),-1*SUMPRODUCT((P$3:P$90="")*(O$3:O$90="")*(N$3:N$90="")*(M$3:M$90="P")*(G$3:G$90=G47)*(J$3:J$90&gt;J47)*(H$3:H$90="L5")))+1,""))))</f>
        <v/>
      </c>
      <c r="C47" s="36" t="s">
        <v>190</v>
      </c>
      <c r="D47" s="36" t="str">
        <f>IF(E47="","",VLOOKUP(E47,'Coaching Points'!A:B,2,0))</f>
        <v>AB</v>
      </c>
      <c r="E47" s="36" t="s">
        <v>137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4.1549999999999992E-6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Scores'!B$13,T47,0),IF(W47&gt;='Qualifying Scores'!B$13,V47,0),IF(Z47&gt;='Qualifying Scores'!B$13,Y47,0),IF(AB47&gt;='Qualifying Scores'!B$13,AA47,0),IF(AD47&gt;'Qualifying Scores'!B$13,AC47,0),IF(AG47&gt;'Qualifying Scores'!B$13,AF47,0)),MAX(IF(OR(AND(G47="15-16",W47&gt;='Qualifying Scores'!B$12),AND(G47="13-14",W47&gt;='Qualifying Scores'!B$11),AND(G47="11-12",W47&gt;='Qualifying Scores'!B$10)),X47,0),IF(OR(AND(G47="15-16",AD47&gt;='Qualifying Scores'!B$12),AND(G47="13-14",AD47&gt;='Qualifying Scores'!B$11),AND(G47="11-12",AD47&gt;='Qualifying Scores'!B$10)),AE47,0))))</f>
        <v>0</v>
      </c>
      <c r="S47" s="4">
        <f>IF(G47="17-21",MAX(T47,V47,Y47,AA47,AC47,AF47),MAX(X47,AE47))</f>
        <v>48.4</v>
      </c>
      <c r="T47" s="33">
        <v>40.370000000000005</v>
      </c>
      <c r="U47" s="40">
        <v>0</v>
      </c>
      <c r="V47" s="34">
        <v>48.4</v>
      </c>
      <c r="W47" s="40">
        <v>8.2999999999999989</v>
      </c>
      <c r="X47" s="4">
        <f>IF(H47="Senior",MAX(T47,V47),T47+V47)</f>
        <v>88.77000000000001</v>
      </c>
      <c r="Y47" s="34">
        <v>47.93</v>
      </c>
      <c r="Z47" s="40">
        <v>8.2999999999999989</v>
      </c>
      <c r="AA47" s="33">
        <v>39.25</v>
      </c>
      <c r="AB47" s="40">
        <v>0</v>
      </c>
      <c r="AC47" s="34">
        <v>41.55</v>
      </c>
      <c r="AD47" s="40">
        <v>7.4</v>
      </c>
      <c r="AE47" s="4">
        <f>IF(H47="Senior",MAX(AA47,AC47),AA47+AC47)</f>
        <v>80.8</v>
      </c>
      <c r="AF47" s="34"/>
      <c r="AG47" s="37"/>
    </row>
    <row r="48" spans="1:33" x14ac:dyDescent="0.2">
      <c r="A48" s="1" t="str" cm="1">
        <f t="array" ref="A48">IF(I48="","",IF(P48&lt;&gt;"",SUMPRODUCT((P$3:P$90&lt;&gt;"")*(G$3:G$90=G48)*(J$3:J$90&gt;J48)*(I$3:I$90="P"))+1,IF(O48&lt;&gt;"",SUMPRODUCT((O$3:O$90&lt;&gt;"")*(P$3:P$90="")*(G$3:G$90=G48)*(J$3:J$90&gt;J48)*(I$3:I$90="P"))+SUMPRODUCT((P$3:P$90&lt;&gt;"")*(G$3:G$90=G48)*(I$3:I$90="P"))+1,IF(N48&lt;&gt;"",SUMPRODUCT((N$3:N$90&lt;&gt;"")*(G$3:G$90=G48)*(J$3:J$90&gt;J48)*(I$3:I$90="P"))+1,IF(M48="P",SUMPRODUCT((O$3:O$90&lt;&gt;"")*(P$3:P$90="")*(G$3:G$90=G48)*(I$3:I$90="P"))+SUMPRODUCT((P$3:P$90&lt;&gt;"")*(G$3:G$90=G48)*(I$3:I$90="P"))+SUMPRODUCT((N$3:N$90&lt;&gt;"")*(G$3:G$90=G48)*(I$3:I$90="P"))+SUMPRODUCT((P$3:P$90="")*(O$3:O$90="")*(N$3:N$90="")*(M$3:M$90="P")*(G$3:G$90=G48)*(J$3:J$90&gt;J48)*(I$3:I$90="P"))+IF(H48="L5",SUMPRODUCT((P$3:P$90="")*(O$3:O$90="")*(N$3:N$90="")*(M$3:M$90="P")*(G$3:G$90=G48)*(J$3:J$90&lt;J48)*(H$3:H$90&lt;&gt;H48)*(I$3:I$90="P")),-1*SUMPRODUCT((P$3:P$90="")*(O$3:O$90="")*(N$3:N$90="")*(M$3:M$90="P")*(G$3:G$90=G48)*(J$3:J$90&gt;J48)*(H$3:H$90="L5")*(I$3:I$90="P")))+1,"")))))</f>
        <v/>
      </c>
      <c r="B48" s="1" t="str" cm="1">
        <f t="array" ref="B48">IF(P48&lt;&gt;"",SUMPRODUCT((P$3:P$90&lt;&gt;"")*(G$3:G$90=G48)*(J$3:J$90&gt;J48))+1,IF(O48&lt;&gt;"",SUMPRODUCT((O$3:O$90&lt;&gt;"")*(P$3:P$90="")*(G$3:G$90=G48)*(J$3:J$90&gt;J48))+SUMPRODUCT((P$3:P$90&lt;&gt;"")*(G$3:G$90=G48))+1,IF(N48&lt;&gt;"",SUMPRODUCT((N$3:N$90&lt;&gt;"")*(G$3:G$90=G48)*(J$3:J$90&gt;J48))+1,IF(M48="P",SUMPRODUCT((O$3:O$90&lt;&gt;"")*(P$3:P$90="")*(G$3:G$90=G48))+SUMPRODUCT((P$3:P$90&lt;&gt;"")*(G$3:G$90=G48))+SUMPRODUCT((N$3:N$90&lt;&gt;"")*(G$3:G$90=G48))+SUMPRODUCT((P$3:P$90="")*(O$3:O$90="")*(N$3:N$90="")*(M$3:M$90="P")*(G$3:G$90=G48)*(J$3:J$90&gt;J48))+IF(H48="L5",SUMPRODUCT((P$3:P$90="")*(O$3:O$90="")*(N$3:N$90="")*(M$3:M$90="P")*(G$3:G$90=G48)*(J$3:J$90&lt;J48)*(H$3:H$90&lt;&gt;H48)),-1*SUMPRODUCT((P$3:P$90="")*(O$3:O$90="")*(N$3:N$90="")*(M$3:M$90="P")*(G$3:G$90=G48)*(J$3:J$90&gt;J48)*(H$3:H$90="L5")))+1,""))))</f>
        <v/>
      </c>
      <c r="C48" s="36" t="s">
        <v>403</v>
      </c>
      <c r="D48" s="36" t="str">
        <f>IF(E48="","",VLOOKUP(E48,'Coaching Points'!A:B,2,0))</f>
        <v>BC</v>
      </c>
      <c r="E48" s="36" t="s">
        <v>572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3.8299999999999998E-6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Scores'!B$13,T48,0),IF(W48&gt;='Qualifying Scores'!B$13,V48,0),IF(Z48&gt;='Qualifying Scores'!B$13,Y48,0),IF(AB48&gt;='Qualifying Scores'!B$13,AA48,0),IF(AD48&gt;'Qualifying Scores'!B$13,AC48,0),IF(AG48&gt;'Qualifying Scores'!B$13,AF48,0)),MAX(IF(OR(AND(G48="15-16",W48&gt;='Qualifying Scores'!B$12),AND(G48="13-14",W48&gt;='Qualifying Scores'!B$11),AND(G48="11-12",W48&gt;='Qualifying Scores'!B$10)),X48,0),IF(OR(AND(G48="15-16",AD48&gt;='Qualifying Scores'!B$12),AND(G48="13-14",AD48&gt;='Qualifying Scores'!B$11),AND(G48="11-12",AD48&gt;='Qualifying Scores'!B$10)),AE48,0))))</f>
        <v>0</v>
      </c>
      <c r="S48" s="4">
        <f>IF(G48="17-21",MAX(T48,V48,Y48,AA48,AC48,AF48),MAX(X48,AE48))</f>
        <v>38.299999999999997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37.15</v>
      </c>
      <c r="AB48" s="40">
        <v>0</v>
      </c>
      <c r="AC48" s="34">
        <v>38.299999999999997</v>
      </c>
      <c r="AD48" s="40">
        <v>7</v>
      </c>
      <c r="AE48" s="4">
        <f>IF(H48="Senior",MAX(AA48,AC48),AA48+AC48)</f>
        <v>75.449999999999989</v>
      </c>
      <c r="AF48" s="34"/>
      <c r="AG48" s="37"/>
    </row>
    <row r="49" spans="1:33" x14ac:dyDescent="0.2">
      <c r="A49" s="1" t="str" cm="1">
        <f t="array" ref="A49">IF(I49="","",IF(P49&lt;&gt;"",SUMPRODUCT((P$3:P$90&lt;&gt;"")*(G$3:G$90=G49)*(J$3:J$90&gt;J49)*(I$3:I$90="P"))+1,IF(O49&lt;&gt;"",SUMPRODUCT((O$3:O$90&lt;&gt;"")*(P$3:P$90="")*(G$3:G$90=G49)*(J$3:J$90&gt;J49)*(I$3:I$90="P"))+SUMPRODUCT((P$3:P$90&lt;&gt;"")*(G$3:G$90=G49)*(I$3:I$90="P"))+1,IF(N49&lt;&gt;"",SUMPRODUCT((N$3:N$90&lt;&gt;"")*(G$3:G$90=G49)*(J$3:J$90&gt;J49)*(I$3:I$90="P"))+1,IF(M49="P",SUMPRODUCT((O$3:O$90&lt;&gt;"")*(P$3:P$90="")*(G$3:G$90=G49)*(I$3:I$90="P"))+SUMPRODUCT((P$3:P$90&lt;&gt;"")*(G$3:G$90=G49)*(I$3:I$90="P"))+SUMPRODUCT((N$3:N$90&lt;&gt;"")*(G$3:G$90=G49)*(I$3:I$90="P"))+SUMPRODUCT((P$3:P$90="")*(O$3:O$90="")*(N$3:N$90="")*(M$3:M$90="P")*(G$3:G$90=G49)*(J$3:J$90&gt;J49)*(I$3:I$90="P"))+IF(H49="L5",SUMPRODUCT((P$3:P$90="")*(O$3:O$90="")*(N$3:N$90="")*(M$3:M$90="P")*(G$3:G$90=G49)*(J$3:J$90&lt;J49)*(H$3:H$90&lt;&gt;H49)*(I$3:I$90="P")),-1*SUMPRODUCT((P$3:P$90="")*(O$3:O$90="")*(N$3:N$90="")*(M$3:M$90="P")*(G$3:G$90=G49)*(J$3:J$90&gt;J49)*(H$3:H$90="L5")*(I$3:I$90="P")))+1,"")))))</f>
        <v/>
      </c>
      <c r="B49" s="1" t="str" cm="1">
        <f t="array" ref="B49">IF(P49&lt;&gt;"",SUMPRODUCT((P$3:P$90&lt;&gt;"")*(G$3:G$90=G49)*(J$3:J$90&gt;J49))+1,IF(O49&lt;&gt;"",SUMPRODUCT((O$3:O$90&lt;&gt;"")*(P$3:P$90="")*(G$3:G$90=G49)*(J$3:J$90&gt;J49))+SUMPRODUCT((P$3:P$90&lt;&gt;"")*(G$3:G$90=G49))+1,IF(N49&lt;&gt;"",SUMPRODUCT((N$3:N$90&lt;&gt;"")*(G$3:G$90=G49)*(J$3:J$90&gt;J49))+1,IF(M49="P",SUMPRODUCT((O$3:O$90&lt;&gt;"")*(P$3:P$90="")*(G$3:G$90=G49))+SUMPRODUCT((P$3:P$90&lt;&gt;"")*(G$3:G$90=G49))+SUMPRODUCT((N$3:N$90&lt;&gt;"")*(G$3:G$90=G49))+SUMPRODUCT((P$3:P$90="")*(O$3:O$90="")*(N$3:N$90="")*(M$3:M$90="P")*(G$3:G$90=G49)*(J$3:J$90&gt;J49))+IF(H49="L5",SUMPRODUCT((P$3:P$90="")*(O$3:O$90="")*(N$3:N$90="")*(M$3:M$90="P")*(G$3:G$90=G49)*(J$3:J$90&lt;J49)*(H$3:H$90&lt;&gt;H49)),-1*SUMPRODUCT((P$3:P$90="")*(O$3:O$90="")*(N$3:N$90="")*(M$3:M$90="P")*(G$3:G$90=G49)*(J$3:J$90&gt;J49)*(H$3:H$90="L5")))+1,""))))</f>
        <v/>
      </c>
      <c r="C49" s="36" t="s">
        <v>401</v>
      </c>
      <c r="D49" s="36" t="str">
        <f>IF(E49="","",VLOOKUP(E49,'Coaching Points'!A:B,2,0))</f>
        <v>QC</v>
      </c>
      <c r="E49" s="36" t="s">
        <v>195</v>
      </c>
      <c r="F49" s="35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3.7469999999999999E-6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Scores'!B$13,T49,0),IF(W49&gt;='Qualifying Scores'!B$13,V49,0),IF(Z49&gt;='Qualifying Scores'!B$13,Y49,0),IF(AB49&gt;='Qualifying Scores'!B$13,AA49,0),IF(AD49&gt;'Qualifying Scores'!B$13,AC49,0),IF(AG49&gt;'Qualifying Scores'!B$13,AF49,0)),MAX(IF(OR(AND(G49="15-16",W49&gt;='Qualifying Scores'!B$12),AND(G49="13-14",W49&gt;='Qualifying Scores'!B$11),AND(G49="11-12",W49&gt;='Qualifying Scores'!B$10)),X49,0),IF(OR(AND(G49="15-16",AD49&gt;='Qualifying Scores'!B$12),AND(G49="13-14",AD49&gt;='Qualifying Scores'!B$11),AND(G49="11-12",AD49&gt;='Qualifying Scores'!B$10)),AE49,0))))</f>
        <v>0</v>
      </c>
      <c r="S49" s="4">
        <f>IF(G49="17-21",MAX(T49,V49,Y49,AA49,AC49,AF49),MAX(X49,AE49))</f>
        <v>37.47</v>
      </c>
      <c r="T49" s="33"/>
      <c r="U49" s="40"/>
      <c r="V49" s="34"/>
      <c r="W49" s="40"/>
      <c r="X49" s="4">
        <f>IF(H49="Senior",MAX(T49,V49),T49+V49)</f>
        <v>0</v>
      </c>
      <c r="Y49" s="34"/>
      <c r="Z49" s="40"/>
      <c r="AA49" s="33">
        <v>37.47</v>
      </c>
      <c r="AB49" s="40">
        <v>0</v>
      </c>
      <c r="AC49" s="34">
        <v>23.3</v>
      </c>
      <c r="AD49" s="40">
        <v>4.0999999999999996</v>
      </c>
      <c r="AE49" s="4">
        <f>IF(H49="Senior",MAX(AA49,AC49),AA49+AC49)</f>
        <v>60.769999999999996</v>
      </c>
      <c r="AF49" s="34"/>
      <c r="AG49" s="37"/>
    </row>
    <row r="50" spans="1:33" x14ac:dyDescent="0.2">
      <c r="A50" s="1" t="str" cm="1">
        <f t="array" ref="A50">IF(I50="","",IF(P50&lt;&gt;"",SUMPRODUCT((P$3:P$90&lt;&gt;"")*(G$3:G$90=G50)*(J$3:J$90&gt;J50)*(I$3:I$90="P"))+1,IF(O50&lt;&gt;"",SUMPRODUCT((O$3:O$90&lt;&gt;"")*(P$3:P$90="")*(G$3:G$90=G50)*(J$3:J$90&gt;J50)*(I$3:I$90="P"))+SUMPRODUCT((P$3:P$90&lt;&gt;"")*(G$3:G$90=G50)*(I$3:I$90="P"))+1,IF(N50&lt;&gt;"",SUMPRODUCT((N$3:N$90&lt;&gt;"")*(G$3:G$90=G50)*(J$3:J$90&gt;J50)*(I$3:I$90="P"))+1,IF(M50="P",SUMPRODUCT((O$3:O$90&lt;&gt;"")*(P$3:P$90="")*(G$3:G$90=G50)*(I$3:I$90="P"))+SUMPRODUCT((P$3:P$90&lt;&gt;"")*(G$3:G$90=G50)*(I$3:I$90="P"))+SUMPRODUCT((N$3:N$90&lt;&gt;"")*(G$3:G$90=G50)*(I$3:I$90="P"))+SUMPRODUCT((P$3:P$90="")*(O$3:O$90="")*(N$3:N$90="")*(M$3:M$90="P")*(G$3:G$90=G50)*(J$3:J$90&gt;J50)*(I$3:I$90="P"))+IF(H50="L5",SUMPRODUCT((P$3:P$90="")*(O$3:O$90="")*(N$3:N$90="")*(M$3:M$90="P")*(G$3:G$90=G50)*(J$3:J$90&lt;J50)*(H$3:H$90&lt;&gt;H50)*(I$3:I$90="P")),-1*SUMPRODUCT((P$3:P$90="")*(O$3:O$90="")*(N$3:N$90="")*(M$3:M$90="P")*(G$3:G$90=G50)*(J$3:J$90&gt;J50)*(H$3:H$90="L5")*(I$3:I$90="P")))+1,"")))))</f>
        <v/>
      </c>
      <c r="B50" s="1" t="str" cm="1">
        <f t="array" ref="B50">IF(P50&lt;&gt;"",SUMPRODUCT((P$3:P$90&lt;&gt;"")*(G$3:G$90=G50)*(J$3:J$90&gt;J50))+1,IF(O50&lt;&gt;"",SUMPRODUCT((O$3:O$90&lt;&gt;"")*(P$3:P$90="")*(G$3:G$90=G50)*(J$3:J$90&gt;J50))+SUMPRODUCT((P$3:P$90&lt;&gt;"")*(G$3:G$90=G50))+1,IF(N50&lt;&gt;"",SUMPRODUCT((N$3:N$90&lt;&gt;"")*(G$3:G$90=G50)*(J$3:J$90&gt;J50))+1,IF(M50="P",SUMPRODUCT((O$3:O$90&lt;&gt;"")*(P$3:P$90="")*(G$3:G$90=G50))+SUMPRODUCT((P$3:P$90&lt;&gt;"")*(G$3:G$90=G50))+SUMPRODUCT((N$3:N$90&lt;&gt;"")*(G$3:G$90=G50))+SUMPRODUCT((P$3:P$90="")*(O$3:O$90="")*(N$3:N$90="")*(M$3:M$90="P")*(G$3:G$90=G50)*(J$3:J$90&gt;J50))+IF(H50="L5",SUMPRODUCT((P$3:P$90="")*(O$3:O$90="")*(N$3:N$90="")*(M$3:M$90="P")*(G$3:G$90=G50)*(J$3:J$90&lt;J50)*(H$3:H$90&lt;&gt;H50)),-1*SUMPRODUCT((P$3:P$90="")*(O$3:O$90="")*(N$3:N$90="")*(M$3:M$90="P")*(G$3:G$90=G50)*(J$3:J$90&gt;J50)*(H$3:H$90="L5")))+1,""))))</f>
        <v/>
      </c>
      <c r="C50" s="36" t="s">
        <v>402</v>
      </c>
      <c r="D50" s="36" t="str">
        <f>IF(E50="","",VLOOKUP(E50,'Coaching Points'!A:B,2,0))</f>
        <v>NS</v>
      </c>
      <c r="E50" s="36" t="s">
        <v>257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3.6759999999999996E-6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Scores'!B$13,T50,0),IF(W50&gt;='Qualifying Scores'!B$13,V50,0),IF(Z50&gt;='Qualifying Scores'!B$13,Y50,0),IF(AB50&gt;='Qualifying Scores'!B$13,AA50,0),IF(AD50&gt;'Qualifying Scores'!B$13,AC50,0),IF(AG50&gt;'Qualifying Scores'!B$13,AF50,0)),MAX(IF(OR(AND(G50="15-16",W50&gt;='Qualifying Scores'!B$12),AND(G50="13-14",W50&gt;='Qualifying Scores'!B$11),AND(G50="11-12",W50&gt;='Qualifying Scores'!B$10)),X50,0),IF(OR(AND(G50="15-16",AD50&gt;='Qualifying Scores'!B$12),AND(G50="13-14",AD50&gt;='Qualifying Scores'!B$11),AND(G50="11-12",AD50&gt;='Qualifying Scores'!B$10)),AE50,0))))</f>
        <v>0</v>
      </c>
      <c r="S50" s="4">
        <f>IF(G50="17-21",MAX(T50,V50,Y50,AA50,AC50,AF50),MAX(X50,AE50))</f>
        <v>36.76</v>
      </c>
      <c r="T50" s="33"/>
      <c r="U50" s="40"/>
      <c r="V50" s="34"/>
      <c r="W50" s="40"/>
      <c r="X50" s="4">
        <f>IF(H50="Senior",MAX(T50,V50),T50+V50)</f>
        <v>0</v>
      </c>
      <c r="Y50" s="34"/>
      <c r="Z50" s="40"/>
      <c r="AA50" s="33">
        <v>36.76</v>
      </c>
      <c r="AB50" s="40">
        <v>0</v>
      </c>
      <c r="AC50" s="34">
        <v>5.09</v>
      </c>
      <c r="AD50" s="40">
        <v>1.3</v>
      </c>
      <c r="AE50" s="4">
        <f>IF(H50="Senior",MAX(AA50,AC50),AA50+AC50)</f>
        <v>41.849999999999994</v>
      </c>
      <c r="AF50" s="34"/>
      <c r="AG50" s="37"/>
    </row>
    <row r="51" spans="1:33" x14ac:dyDescent="0.2">
      <c r="A51" s="1" t="str" cm="1">
        <f t="array" ref="A51">IF(I51="","",IF(P51&lt;&gt;"",SUMPRODUCT((P$3:P$90&lt;&gt;"")*(G$3:G$90=G51)*(J$3:J$90&gt;J51)*(I$3:I$90="P"))+1,IF(O51&lt;&gt;"",SUMPRODUCT((O$3:O$90&lt;&gt;"")*(P$3:P$90="")*(G$3:G$90=G51)*(J$3:J$90&gt;J51)*(I$3:I$90="P"))+SUMPRODUCT((P$3:P$90&lt;&gt;"")*(G$3:G$90=G51)*(I$3:I$90="P"))+1,IF(N51&lt;&gt;"",SUMPRODUCT((N$3:N$90&lt;&gt;"")*(G$3:G$90=G51)*(J$3:J$90&gt;J51)*(I$3:I$90="P"))+1,IF(M51="P",SUMPRODUCT((O$3:O$90&lt;&gt;"")*(P$3:P$90="")*(G$3:G$90=G51)*(I$3:I$90="P"))+SUMPRODUCT((P$3:P$90&lt;&gt;"")*(G$3:G$90=G51)*(I$3:I$90="P"))+SUMPRODUCT((N$3:N$90&lt;&gt;"")*(G$3:G$90=G51)*(I$3:I$90="P"))+SUMPRODUCT((P$3:P$90="")*(O$3:O$90="")*(N$3:N$90="")*(M$3:M$90="P")*(G$3:G$90=G51)*(J$3:J$90&gt;J51)*(I$3:I$90="P"))+IF(H51="L5",SUMPRODUCT((P$3:P$90="")*(O$3:O$90="")*(N$3:N$90="")*(M$3:M$90="P")*(G$3:G$90=G51)*(J$3:J$90&lt;J51)*(H$3:H$90&lt;&gt;H51)*(I$3:I$90="P")),-1*SUMPRODUCT((P$3:P$90="")*(O$3:O$90="")*(N$3:N$90="")*(M$3:M$90="P")*(G$3:G$90=G51)*(J$3:J$90&gt;J51)*(H$3:H$90="L5")*(I$3:I$90="P")))+1,"")))))</f>
        <v/>
      </c>
      <c r="B51" s="1" t="str" cm="1">
        <f t="array" ref="B51">IF(P51&lt;&gt;"",SUMPRODUCT((P$3:P$90&lt;&gt;"")*(G$3:G$90=G51)*(J$3:J$90&gt;J51))+1,IF(O51&lt;&gt;"",SUMPRODUCT((O$3:O$90&lt;&gt;"")*(P$3:P$90="")*(G$3:G$90=G51)*(J$3:J$90&gt;J51))+SUMPRODUCT((P$3:P$90&lt;&gt;"")*(G$3:G$90=G51))+1,IF(N51&lt;&gt;"",SUMPRODUCT((N$3:N$90&lt;&gt;"")*(G$3:G$90=G51)*(J$3:J$90&gt;J51))+1,IF(M51="P",SUMPRODUCT((O$3:O$90&lt;&gt;"")*(P$3:P$90="")*(G$3:G$90=G51))+SUMPRODUCT((P$3:P$90&lt;&gt;"")*(G$3:G$90=G51))+SUMPRODUCT((N$3:N$90&lt;&gt;"")*(G$3:G$90=G51))+SUMPRODUCT((P$3:P$90="")*(O$3:O$90="")*(N$3:N$90="")*(M$3:M$90="P")*(G$3:G$90=G51)*(J$3:J$90&gt;J51))+IF(H51="L5",SUMPRODUCT((P$3:P$90="")*(O$3:O$90="")*(N$3:N$90="")*(M$3:M$90="P")*(G$3:G$90=G51)*(J$3:J$90&lt;J51)*(H$3:H$90&lt;&gt;H51)),-1*SUMPRODUCT((P$3:P$90="")*(O$3:O$90="")*(N$3:N$90="")*(M$3:M$90="P")*(G$3:G$90=G51)*(J$3:J$90&gt;J51)*(H$3:H$90="L5")))+1,""))))</f>
        <v/>
      </c>
      <c r="C51" s="36" t="s">
        <v>197</v>
      </c>
      <c r="D51" s="36" t="str">
        <f>IF(E51="","",VLOOKUP(E51,'Coaching Points'!A:B,2,0))</f>
        <v>BC</v>
      </c>
      <c r="E51" s="36" t="s">
        <v>84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3.5990000000000002E-6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Scores'!B$13,T51,0),IF(W51&gt;='Qualifying Scores'!B$13,V51,0),IF(Z51&gt;='Qualifying Scores'!B$13,Y51,0),IF(AB51&gt;='Qualifying Scores'!B$13,AA51,0),IF(AD51&gt;'Qualifying Scores'!B$13,AC51,0),IF(AG51&gt;'Qualifying Scores'!B$13,AF51,0)),MAX(IF(OR(AND(G51="15-16",W51&gt;='Qualifying Scores'!B$12),AND(G51="13-14",W51&gt;='Qualifying Scores'!B$11),AND(G51="11-12",W51&gt;='Qualifying Scores'!B$10)),X51,0),IF(OR(AND(G51="15-16",AD51&gt;='Qualifying Scores'!B$12),AND(G51="13-14",AD51&gt;='Qualifying Scores'!B$11),AND(G51="11-12",AD51&gt;='Qualifying Scores'!B$10)),AE51,0))))</f>
        <v>0</v>
      </c>
      <c r="S51" s="4">
        <f>IF(G51="17-21",MAX(T51,V51,Y51,AA51,AC51,AF51),MAX(X51,AE51))</f>
        <v>45.14</v>
      </c>
      <c r="T51" s="33">
        <v>39.660000000000004</v>
      </c>
      <c r="U51" s="40">
        <v>0</v>
      </c>
      <c r="V51" s="34">
        <v>45.14</v>
      </c>
      <c r="W51" s="40">
        <v>8.8999999999999986</v>
      </c>
      <c r="X51" s="4">
        <f>IF(H51="Senior",MAX(T51,V51),T51+V51)</f>
        <v>84.800000000000011</v>
      </c>
      <c r="Y51" s="34">
        <v>13.84</v>
      </c>
      <c r="Z51" s="40">
        <v>3.4</v>
      </c>
      <c r="AA51" s="33">
        <v>35.99</v>
      </c>
      <c r="AB51" s="40">
        <v>0</v>
      </c>
      <c r="AC51" s="34">
        <v>13.86</v>
      </c>
      <c r="AD51" s="40">
        <v>3.4</v>
      </c>
      <c r="AE51" s="4">
        <f>IF(H51="Senior",MAX(AA51,AC51),AA51+AC51)</f>
        <v>49.85</v>
      </c>
      <c r="AF51" s="34"/>
      <c r="AG51" s="37"/>
    </row>
    <row r="52" spans="1:33" x14ac:dyDescent="0.2">
      <c r="A52" s="1" t="str" cm="1">
        <f t="array" ref="A52">IF(I52="","",IF(P52&lt;&gt;"",SUMPRODUCT((P$3:P$90&lt;&gt;"")*(G$3:G$90=G52)*(J$3:J$90&gt;J52)*(I$3:I$90="P"))+1,IF(O52&lt;&gt;"",SUMPRODUCT((O$3:O$90&lt;&gt;"")*(P$3:P$90="")*(G$3:G$90=G52)*(J$3:J$90&gt;J52)*(I$3:I$90="P"))+SUMPRODUCT((P$3:P$90&lt;&gt;"")*(G$3:G$90=G52)*(I$3:I$90="P"))+1,IF(N52&lt;&gt;"",SUMPRODUCT((N$3:N$90&lt;&gt;"")*(G$3:G$90=G52)*(J$3:J$90&gt;J52)*(I$3:I$90="P"))+1,IF(M52="P",SUMPRODUCT((O$3:O$90&lt;&gt;"")*(P$3:P$90="")*(G$3:G$90=G52)*(I$3:I$90="P"))+SUMPRODUCT((P$3:P$90&lt;&gt;"")*(G$3:G$90=G52)*(I$3:I$90="P"))+SUMPRODUCT((N$3:N$90&lt;&gt;"")*(G$3:G$90=G52)*(I$3:I$90="P"))+SUMPRODUCT((P$3:P$90="")*(O$3:O$90="")*(N$3:N$90="")*(M$3:M$90="P")*(G$3:G$90=G52)*(J$3:J$90&gt;J52)*(I$3:I$90="P"))+IF(H52="L5",SUMPRODUCT((P$3:P$90="")*(O$3:O$90="")*(N$3:N$90="")*(M$3:M$90="P")*(G$3:G$90=G52)*(J$3:J$90&lt;J52)*(H$3:H$90&lt;&gt;H52)*(I$3:I$90="P")),-1*SUMPRODUCT((P$3:P$90="")*(O$3:O$90="")*(N$3:N$90="")*(M$3:M$90="P")*(G$3:G$90=G52)*(J$3:J$90&gt;J52)*(H$3:H$90="L5")*(I$3:I$90="P")))+1,"")))))</f>
        <v/>
      </c>
      <c r="B52" s="1" t="str" cm="1">
        <f t="array" ref="B52">IF(P52&lt;&gt;"",SUMPRODUCT((P$3:P$90&lt;&gt;"")*(G$3:G$90=G52)*(J$3:J$90&gt;J52))+1,IF(O52&lt;&gt;"",SUMPRODUCT((O$3:O$90&lt;&gt;"")*(P$3:P$90="")*(G$3:G$90=G52)*(J$3:J$90&gt;J52))+SUMPRODUCT((P$3:P$90&lt;&gt;"")*(G$3:G$90=G52))+1,IF(N52&lt;&gt;"",SUMPRODUCT((N$3:N$90&lt;&gt;"")*(G$3:G$90=G52)*(J$3:J$90&gt;J52))+1,IF(M52="P",SUMPRODUCT((O$3:O$90&lt;&gt;"")*(P$3:P$90="")*(G$3:G$90=G52))+SUMPRODUCT((P$3:P$90&lt;&gt;"")*(G$3:G$90=G52))+SUMPRODUCT((N$3:N$90&lt;&gt;"")*(G$3:G$90=G52))+SUMPRODUCT((P$3:P$90="")*(O$3:O$90="")*(N$3:N$90="")*(M$3:M$90="P")*(G$3:G$90=G52)*(J$3:J$90&gt;J52))+IF(H52="L5",SUMPRODUCT((P$3:P$90="")*(O$3:O$90="")*(N$3:N$90="")*(M$3:M$90="P")*(G$3:G$90=G52)*(J$3:J$90&lt;J52)*(H$3:H$90&lt;&gt;H52)),-1*SUMPRODUCT((P$3:P$90="")*(O$3:O$90="")*(N$3:N$90="")*(M$3:M$90="P")*(G$3:G$90=G52)*(J$3:J$90&gt;J52)*(H$3:H$90="L5")))+1,""))))</f>
        <v/>
      </c>
      <c r="C52" s="36" t="s">
        <v>201</v>
      </c>
      <c r="D52" s="36" t="str">
        <f>IF(E52="","",VLOOKUP(E52,'Coaching Points'!A:B,2,0))</f>
        <v>AB</v>
      </c>
      <c r="E52" s="36" t="s">
        <v>29</v>
      </c>
      <c r="F52" s="35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 t="s">
        <v>604</v>
      </c>
      <c r="J52" s="4">
        <f>R52+IF(OR(H52="Junior",H52="Senior"),0.0002,IF(OR(H52="L7",H52="L6"),0.0001,0))+IF(G52="17-21",MAX(AA52,AC52,AF52),AE52)*0.0000001</f>
        <v>87.460108746000017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>P</v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Scores'!B$13,T52,0),IF(W52&gt;='Qualifying Scores'!B$13,V52,0),IF(Z52&gt;='Qualifying Scores'!B$13,Y52,0),IF(AB52&gt;='Qualifying Scores'!B$13,AA52,0),IF(AD52&gt;'Qualifying Scores'!B$13,AC52,0),IF(AG52&gt;'Qualifying Scores'!B$13,AF52,0)),MAX(IF(OR(AND(G52="15-16",W52&gt;='Qualifying Scores'!B$12),AND(G52="13-14",W52&gt;='Qualifying Scores'!B$11),AND(G52="11-12",W52&gt;='Qualifying Scores'!B$10)),X52,0),IF(OR(AND(G52="15-16",AD52&gt;='Qualifying Scores'!B$12),AND(G52="13-14",AD52&gt;='Qualifying Scores'!B$11),AND(G52="11-12",AD52&gt;='Qualifying Scores'!B$10)),AE52,0))))</f>
        <v>87.460000000000008</v>
      </c>
      <c r="S52" s="4">
        <f>IF(G52="17-21",MAX(T52,V52,Y52,AA52,AC52,AF52),MAX(X52,AE52))</f>
        <v>87.460000000000008</v>
      </c>
      <c r="T52" s="33">
        <v>39.54</v>
      </c>
      <c r="U52" s="40">
        <v>0</v>
      </c>
      <c r="V52" s="34">
        <v>19.23</v>
      </c>
      <c r="W52" s="40">
        <v>5</v>
      </c>
      <c r="X52" s="4">
        <f>IF(H52="Senior",MAX(T52,V52),T52+V52)</f>
        <v>58.769999999999996</v>
      </c>
      <c r="Y52" s="34">
        <v>46.8</v>
      </c>
      <c r="Z52" s="40">
        <v>10.6</v>
      </c>
      <c r="AA52" s="33">
        <v>40.06</v>
      </c>
      <c r="AB52" s="40">
        <v>0</v>
      </c>
      <c r="AC52" s="34">
        <v>47.4</v>
      </c>
      <c r="AD52" s="40">
        <v>12.3</v>
      </c>
      <c r="AE52" s="4">
        <f>IF(H52="Senior",MAX(AA52,AC52),AA52+AC52)</f>
        <v>87.460000000000008</v>
      </c>
      <c r="AF52" s="34">
        <v>38.93</v>
      </c>
      <c r="AG52" s="37">
        <v>9.6</v>
      </c>
    </row>
    <row r="53" spans="1:33" x14ac:dyDescent="0.2">
      <c r="A53" s="1" t="str" cm="1">
        <f t="array" ref="A53">IF(I53="","",IF(P53&lt;&gt;"",SUMPRODUCT((P$3:P$90&lt;&gt;"")*(G$3:G$90=G53)*(J$3:J$90&gt;J53)*(I$3:I$90="P"))+1,IF(O53&lt;&gt;"",SUMPRODUCT((O$3:O$90&lt;&gt;"")*(P$3:P$90="")*(G$3:G$90=G53)*(J$3:J$90&gt;J53)*(I$3:I$90="P"))+SUMPRODUCT((P$3:P$90&lt;&gt;"")*(G$3:G$90=G53)*(I$3:I$90="P"))+1,IF(N53&lt;&gt;"",SUMPRODUCT((N$3:N$90&lt;&gt;"")*(G$3:G$90=G53)*(J$3:J$90&gt;J53)*(I$3:I$90="P"))+1,IF(M53="P",SUMPRODUCT((O$3:O$90&lt;&gt;"")*(P$3:P$90="")*(G$3:G$90=G53)*(I$3:I$90="P"))+SUMPRODUCT((P$3:P$90&lt;&gt;"")*(G$3:G$90=G53)*(I$3:I$90="P"))+SUMPRODUCT((N$3:N$90&lt;&gt;"")*(G$3:G$90=G53)*(I$3:I$90="P"))+SUMPRODUCT((P$3:P$90="")*(O$3:O$90="")*(N$3:N$90="")*(M$3:M$90="P")*(G$3:G$90=G53)*(J$3:J$90&gt;J53)*(I$3:I$90="P"))+IF(H53="L5",SUMPRODUCT((P$3:P$90="")*(O$3:O$90="")*(N$3:N$90="")*(M$3:M$90="P")*(G$3:G$90=G53)*(J$3:J$90&lt;J53)*(H$3:H$90&lt;&gt;H53)*(I$3:I$90="P")),-1*SUMPRODUCT((P$3:P$90="")*(O$3:O$90="")*(N$3:N$90="")*(M$3:M$90="P")*(G$3:G$90=G53)*(J$3:J$90&gt;J53)*(H$3:H$90="L5")*(I$3:I$90="P")))+1,"")))))</f>
        <v/>
      </c>
      <c r="B53" s="1" t="str" cm="1">
        <f t="array" ref="B53">IF(P53&lt;&gt;"",SUMPRODUCT((P$3:P$90&lt;&gt;"")*(G$3:G$90=G53)*(J$3:J$90&gt;J53))+1,IF(O53&lt;&gt;"",SUMPRODUCT((O$3:O$90&lt;&gt;"")*(P$3:P$90="")*(G$3:G$90=G53)*(J$3:J$90&gt;J53))+SUMPRODUCT((P$3:P$90&lt;&gt;"")*(G$3:G$90=G53))+1,IF(N53&lt;&gt;"",SUMPRODUCT((N$3:N$90&lt;&gt;"")*(G$3:G$90=G53)*(J$3:J$90&gt;J53))+1,IF(M53="P",SUMPRODUCT((O$3:O$90&lt;&gt;"")*(P$3:P$90="")*(G$3:G$90=G53))+SUMPRODUCT((P$3:P$90&lt;&gt;"")*(G$3:G$90=G53))+SUMPRODUCT((N$3:N$90&lt;&gt;"")*(G$3:G$90=G53))+SUMPRODUCT((P$3:P$90="")*(O$3:O$90="")*(N$3:N$90="")*(M$3:M$90="P")*(G$3:G$90=G53)*(J$3:J$90&gt;J53))+IF(H53="L5",SUMPRODUCT((P$3:P$90="")*(O$3:O$90="")*(N$3:N$90="")*(M$3:M$90="P")*(G$3:G$90=G53)*(J$3:J$90&lt;J53)*(H$3:H$90&lt;&gt;H53)),-1*SUMPRODUCT((P$3:P$90="")*(O$3:O$90="")*(N$3:N$90="")*(M$3:M$90="P")*(G$3:G$90=G53)*(J$3:J$90&gt;J53)*(H$3:H$90="L5")))+1,""))))</f>
        <v/>
      </c>
      <c r="C53" s="36" t="s">
        <v>200</v>
      </c>
      <c r="D53" s="36" t="str">
        <f>IF(E53="","",VLOOKUP(E53,'Coaching Points'!A:B,2,0))</f>
        <v>QC</v>
      </c>
      <c r="E53" s="36" t="s">
        <v>179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114</v>
      </c>
      <c r="I53" s="45" t="s">
        <v>604</v>
      </c>
      <c r="J53" s="4">
        <f>R53+IF(OR(H53="Junior",H53="Senior"),0.0002,IF(OR(H53="L7",H53="L6"),0.0001,0))+IF(G53="17-21",MAX(AA53,AC53,AF53),AE53)*0.0000001</f>
        <v>76.950207694999989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>P</v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Scores'!B$13,T53,0),IF(W53&gt;='Qualifying Scores'!B$13,V53,0),IF(Z53&gt;='Qualifying Scores'!B$13,Y53,0),IF(AB53&gt;='Qualifying Scores'!B$13,AA53,0),IF(AD53&gt;'Qualifying Scores'!B$13,AC53,0),IF(AG53&gt;'Qualifying Scores'!B$13,AF53,0)),MAX(IF(OR(AND(G53="15-16",W53&gt;='Qualifying Scores'!B$12),AND(G53="13-14",W53&gt;='Qualifying Scores'!B$11),AND(G53="11-12",W53&gt;='Qualifying Scores'!B$10)),X53,0),IF(OR(AND(G53="15-16",AD53&gt;='Qualifying Scores'!B$12),AND(G53="13-14",AD53&gt;='Qualifying Scores'!B$11),AND(G53="11-12",AD53&gt;='Qualifying Scores'!B$10)),AE53,0))))</f>
        <v>76.949999999999989</v>
      </c>
      <c r="S53" s="4">
        <f>IF(G53="17-21",MAX(T53,V53,Y53,AA53,AC53,AF53),MAX(X53,AE53))</f>
        <v>92.57</v>
      </c>
      <c r="T53" s="33">
        <v>42.25</v>
      </c>
      <c r="U53" s="40">
        <v>0</v>
      </c>
      <c r="V53" s="34">
        <v>50.319999999999993</v>
      </c>
      <c r="W53" s="40">
        <v>10.5</v>
      </c>
      <c r="X53" s="4">
        <f>IF(H53="Senior",MAX(T53,V53),T53+V53)</f>
        <v>92.57</v>
      </c>
      <c r="Y53" s="34">
        <v>50.65</v>
      </c>
      <c r="Z53" s="40">
        <v>10.5</v>
      </c>
      <c r="AA53" s="33">
        <v>26.18</v>
      </c>
      <c r="AB53" s="40">
        <v>0</v>
      </c>
      <c r="AC53" s="34">
        <v>50.769999999999996</v>
      </c>
      <c r="AD53" s="40">
        <v>12.4</v>
      </c>
      <c r="AE53" s="4">
        <f>IF(H53="Senior",MAX(AA53,AC53),AA53+AC53)</f>
        <v>76.949999999999989</v>
      </c>
      <c r="AF53" s="34">
        <v>15.07</v>
      </c>
      <c r="AG53" s="37">
        <v>3.2</v>
      </c>
    </row>
    <row r="54" spans="1:33" x14ac:dyDescent="0.2">
      <c r="A54" s="1" t="str" cm="1">
        <f t="array" ref="A54">IF(I54="","",IF(P54&lt;&gt;"",SUMPRODUCT((P$3:P$90&lt;&gt;"")*(G$3:G$90=G54)*(J$3:J$90&gt;J54)*(I$3:I$90="P"))+1,IF(O54&lt;&gt;"",SUMPRODUCT((O$3:O$90&lt;&gt;"")*(P$3:P$90="")*(G$3:G$90=G54)*(J$3:J$90&gt;J54)*(I$3:I$90="P"))+SUMPRODUCT((P$3:P$90&lt;&gt;"")*(G$3:G$90=G54)*(I$3:I$90="P"))+1,IF(N54&lt;&gt;"",SUMPRODUCT((N$3:N$90&lt;&gt;"")*(G$3:G$90=G54)*(J$3:J$90&gt;J54)*(I$3:I$90="P"))+1,IF(M54="P",SUMPRODUCT((O$3:O$90&lt;&gt;"")*(P$3:P$90="")*(G$3:G$90=G54)*(I$3:I$90="P"))+SUMPRODUCT((P$3:P$90&lt;&gt;"")*(G$3:G$90=G54)*(I$3:I$90="P"))+SUMPRODUCT((N$3:N$90&lt;&gt;"")*(G$3:G$90=G54)*(I$3:I$90="P"))+SUMPRODUCT((P$3:P$90="")*(O$3:O$90="")*(N$3:N$90="")*(M$3:M$90="P")*(G$3:G$90=G54)*(J$3:J$90&gt;J54)*(I$3:I$90="P"))+IF(H54="L5",SUMPRODUCT((P$3:P$90="")*(O$3:O$90="")*(N$3:N$90="")*(M$3:M$90="P")*(G$3:G$90=G54)*(J$3:J$90&lt;J54)*(H$3:H$90&lt;&gt;H54)*(I$3:I$90="P")),-1*SUMPRODUCT((P$3:P$90="")*(O$3:O$90="")*(N$3:N$90="")*(M$3:M$90="P")*(G$3:G$90=G54)*(J$3:J$90&gt;J54)*(H$3:H$90="L5")*(I$3:I$90="P")))+1,"")))))</f>
        <v/>
      </c>
      <c r="B54" s="1" t="str" cm="1">
        <f t="array" ref="B54">IF(P54&lt;&gt;"",SUMPRODUCT((P$3:P$90&lt;&gt;"")*(G$3:G$90=G54)*(J$3:J$90&gt;J54))+1,IF(O54&lt;&gt;"",SUMPRODUCT((O$3:O$90&lt;&gt;"")*(P$3:P$90="")*(G$3:G$90=G54)*(J$3:J$90&gt;J54))+SUMPRODUCT((P$3:P$90&lt;&gt;"")*(G$3:G$90=G54))+1,IF(N54&lt;&gt;"",SUMPRODUCT((N$3:N$90&lt;&gt;"")*(G$3:G$90=G54)*(J$3:J$90&gt;J54))+1,IF(M54="P",SUMPRODUCT((O$3:O$90&lt;&gt;"")*(P$3:P$90="")*(G$3:G$90=G54))+SUMPRODUCT((P$3:P$90&lt;&gt;"")*(G$3:G$90=G54))+SUMPRODUCT((N$3:N$90&lt;&gt;"")*(G$3:G$90=G54))+SUMPRODUCT((P$3:P$90="")*(O$3:O$90="")*(N$3:N$90="")*(M$3:M$90="P")*(G$3:G$90=G54)*(J$3:J$90&gt;J54))+IF(H54="L5",SUMPRODUCT((P$3:P$90="")*(O$3:O$90="")*(N$3:N$90="")*(M$3:M$90="P")*(G$3:G$90=G54)*(J$3:J$90&lt;J54)*(H$3:H$90&lt;&gt;H54)),-1*SUMPRODUCT((P$3:P$90="")*(O$3:O$90="")*(N$3:N$90="")*(M$3:M$90="P")*(G$3:G$90=G54)*(J$3:J$90&gt;J54)*(H$3:H$90="L5")))+1,""))))</f>
        <v/>
      </c>
      <c r="C54" s="48" t="s">
        <v>169</v>
      </c>
      <c r="D54" s="36" t="str">
        <f>IF(E54="","",VLOOKUP(E54,'Coaching Points'!A:B,2,0))</f>
        <v>ON</v>
      </c>
      <c r="E54" s="36" t="s">
        <v>141</v>
      </c>
      <c r="F54" s="35">
        <v>2006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114</v>
      </c>
      <c r="I54" s="45" t="s">
        <v>604</v>
      </c>
      <c r="J54" s="4">
        <f>R54+IF(OR(H54="Junior",H54="Senior"),0.0002,IF(OR(H54="L7",H54="L6"),0.0001,0))+IF(G54="17-21",MAX(AA54,AC54,AF54),AE54)*0.0000001</f>
        <v>2.08521E-4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Scores'!B$13,T54,0),IF(W54&gt;='Qualifying Scores'!B$13,V54,0),IF(Z54&gt;='Qualifying Scores'!B$13,Y54,0),IF(AB54&gt;='Qualifying Scores'!B$13,AA54,0),IF(AD54&gt;'Qualifying Scores'!B$13,AC54,0),IF(AG54&gt;'Qualifying Scores'!B$13,AF54,0)),MAX(IF(OR(AND(G54="15-16",W54&gt;='Qualifying Scores'!B$12),AND(G54="13-14",W54&gt;='Qualifying Scores'!B$11),AND(G54="11-12",W54&gt;='Qualifying Scores'!B$10)),X54,0),IF(OR(AND(G54="15-16",AD54&gt;='Qualifying Scores'!B$12),AND(G54="13-14",AD54&gt;='Qualifying Scores'!B$11),AND(G54="11-12",AD54&gt;='Qualifying Scores'!B$10)),AE54,0))))</f>
        <v>0</v>
      </c>
      <c r="S54" s="4">
        <f>IF(G54="17-21",MAX(T54,V54,Y54,AA54,AC54,AF54),MAX(X54,AE54))</f>
        <v>91.65</v>
      </c>
      <c r="T54" s="33">
        <v>41.37</v>
      </c>
      <c r="U54" s="41">
        <v>0</v>
      </c>
      <c r="V54" s="42">
        <v>50.28</v>
      </c>
      <c r="W54" s="41">
        <v>11.2</v>
      </c>
      <c r="X54" s="4">
        <f>IF(H54="Senior",MAX(T54,V54),T54+V54)</f>
        <v>91.65</v>
      </c>
      <c r="Y54" s="42">
        <v>49.8</v>
      </c>
      <c r="Z54" s="41">
        <v>11.2</v>
      </c>
      <c r="AA54" s="33">
        <v>41.790000000000006</v>
      </c>
      <c r="AB54" s="40">
        <v>0</v>
      </c>
      <c r="AC54" s="34">
        <v>43.419999999999995</v>
      </c>
      <c r="AD54" s="40">
        <v>8.9</v>
      </c>
      <c r="AE54" s="4">
        <f>IF(H54="Senior",MAX(AA54,AC54),AA54+AC54)</f>
        <v>85.210000000000008</v>
      </c>
      <c r="AF54" s="34">
        <v>51.08</v>
      </c>
      <c r="AG54" s="37">
        <v>12.2</v>
      </c>
    </row>
    <row r="55" spans="1:33" x14ac:dyDescent="0.2">
      <c r="A55" s="1" t="str" cm="1">
        <f t="array" ref="A55">IF(I55="","",IF(P55&lt;&gt;"",SUMPRODUCT((P$3:P$90&lt;&gt;"")*(G$3:G$90=G55)*(J$3:J$90&gt;J55)*(I$3:I$90="P"))+1,IF(O55&lt;&gt;"",SUMPRODUCT((O$3:O$90&lt;&gt;"")*(P$3:P$90="")*(G$3:G$90=G55)*(J$3:J$90&gt;J55)*(I$3:I$90="P"))+SUMPRODUCT((P$3:P$90&lt;&gt;"")*(G$3:G$90=G55)*(I$3:I$90="P"))+1,IF(N55&lt;&gt;"",SUMPRODUCT((N$3:N$90&lt;&gt;"")*(G$3:G$90=G55)*(J$3:J$90&gt;J55)*(I$3:I$90="P"))+1,IF(M55="P",SUMPRODUCT((O$3:O$90&lt;&gt;"")*(P$3:P$90="")*(G$3:G$90=G55)*(I$3:I$90="P"))+SUMPRODUCT((P$3:P$90&lt;&gt;"")*(G$3:G$90=G55)*(I$3:I$90="P"))+SUMPRODUCT((N$3:N$90&lt;&gt;"")*(G$3:G$90=G55)*(I$3:I$90="P"))+SUMPRODUCT((P$3:P$90="")*(O$3:O$90="")*(N$3:N$90="")*(M$3:M$90="P")*(G$3:G$90=G55)*(J$3:J$90&gt;J55)*(I$3:I$90="P"))+IF(H55="L5",SUMPRODUCT((P$3:P$90="")*(O$3:O$90="")*(N$3:N$90="")*(M$3:M$90="P")*(G$3:G$90=G55)*(J$3:J$90&lt;J55)*(H$3:H$90&lt;&gt;H55)*(I$3:I$90="P")),-1*SUMPRODUCT((P$3:P$90="")*(O$3:O$90="")*(N$3:N$90="")*(M$3:M$90="P")*(G$3:G$90=G55)*(J$3:J$90&gt;J55)*(H$3:H$90="L5")*(I$3:I$90="P")))+1,"")))))</f>
        <v/>
      </c>
      <c r="B55" s="1" t="str" cm="1">
        <f t="array" ref="B55">IF(P55&lt;&gt;"",SUMPRODUCT((P$3:P$90&lt;&gt;"")*(G$3:G$90=G55)*(J$3:J$90&gt;J55))+1,IF(O55&lt;&gt;"",SUMPRODUCT((O$3:O$90&lt;&gt;"")*(P$3:P$90="")*(G$3:G$90=G55)*(J$3:J$90&gt;J55))+SUMPRODUCT((P$3:P$90&lt;&gt;"")*(G$3:G$90=G55))+1,IF(N55&lt;&gt;"",SUMPRODUCT((N$3:N$90&lt;&gt;"")*(G$3:G$90=G55)*(J$3:J$90&gt;J55))+1,IF(M55="P",SUMPRODUCT((O$3:O$90&lt;&gt;"")*(P$3:P$90="")*(G$3:G$90=G55))+SUMPRODUCT((P$3:P$90&lt;&gt;"")*(G$3:G$90=G55))+SUMPRODUCT((N$3:N$90&lt;&gt;"")*(G$3:G$90=G55))+SUMPRODUCT((P$3:P$90="")*(O$3:O$90="")*(N$3:N$90="")*(M$3:M$90="P")*(G$3:G$90=G55)*(J$3:J$90&gt;J55))+IF(H55="L5",SUMPRODUCT((P$3:P$90="")*(O$3:O$90="")*(N$3:N$90="")*(M$3:M$90="P")*(G$3:G$90=G55)*(J$3:J$90&lt;J55)*(H$3:H$90&lt;&gt;H55)),-1*SUMPRODUCT((P$3:P$90="")*(O$3:O$90="")*(N$3:N$90="")*(M$3:M$90="P")*(G$3:G$90=G55)*(J$3:J$90&gt;J55)*(H$3:H$90="L5")))+1,""))))</f>
        <v/>
      </c>
      <c r="C55" s="36" t="s">
        <v>374</v>
      </c>
      <c r="D55" s="36" t="str">
        <f>IF(E55="","",VLOOKUP(E55,'Coaching Points'!A:B,2,0))</f>
        <v>AB</v>
      </c>
      <c r="E55" s="36" t="s">
        <v>41</v>
      </c>
      <c r="F55" s="35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R55+IF(OR(H55="Junior",H55="Senior"),0.0002,IF(OR(H55="L7",H55="L6"),0.0001,0))+IF(G55="17-21",MAX(AA55,AC55,AF55),AE55)*0.0000001</f>
        <v>2.0420900000000001E-4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Scores'!B$13,T55,0),IF(W55&gt;='Qualifying Scores'!B$13,V55,0),IF(Z55&gt;='Qualifying Scores'!B$13,Y55,0),IF(AB55&gt;='Qualifying Scores'!B$13,AA55,0),IF(AD55&gt;'Qualifying Scores'!B$13,AC55,0),IF(AG55&gt;'Qualifying Scores'!B$13,AF55,0)),MAX(IF(OR(AND(G55="15-16",W55&gt;='Qualifying Scores'!B$12),AND(G55="13-14",W55&gt;='Qualifying Scores'!B$11),AND(G55="11-12",W55&gt;='Qualifying Scores'!B$10)),X55,0),IF(OR(AND(G55="15-16",AD55&gt;='Qualifying Scores'!B$12),AND(G55="13-14",AD55&gt;='Qualifying Scores'!B$11),AND(G55="11-12",AD55&gt;='Qualifying Scores'!B$10)),AE55,0))))</f>
        <v>0</v>
      </c>
      <c r="S55" s="4">
        <f>IF(G55="17-21",MAX(T55,V55,Y55,AA55,AC55,AF55),MAX(X55,AE55))</f>
        <v>42.09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26.3</v>
      </c>
      <c r="AB55" s="40">
        <v>0</v>
      </c>
      <c r="AC55" s="34">
        <v>15.79</v>
      </c>
      <c r="AD55" s="40">
        <v>4.2</v>
      </c>
      <c r="AE55" s="4">
        <f>IF(H55="Senior",MAX(AA55,AC55),AA55+AC55)</f>
        <v>42.09</v>
      </c>
      <c r="AF55" s="34"/>
      <c r="AG55" s="37"/>
    </row>
    <row r="56" spans="1:33" x14ac:dyDescent="0.2">
      <c r="A56" s="1" t="str" cm="1">
        <f t="array" ref="A56">IF(I56="","",IF(P56&lt;&gt;"",SUMPRODUCT((P$3:P$90&lt;&gt;"")*(G$3:G$90=G56)*(J$3:J$90&gt;J56)*(I$3:I$90="P"))+1,IF(O56&lt;&gt;"",SUMPRODUCT((O$3:O$90&lt;&gt;"")*(P$3:P$90="")*(G$3:G$90=G56)*(J$3:J$90&gt;J56)*(I$3:I$90="P"))+SUMPRODUCT((P$3:P$90&lt;&gt;"")*(G$3:G$90=G56)*(I$3:I$90="P"))+1,IF(N56&lt;&gt;"",SUMPRODUCT((N$3:N$90&lt;&gt;"")*(G$3:G$90=G56)*(J$3:J$90&gt;J56)*(I$3:I$90="P"))+1,IF(M56="P",SUMPRODUCT((O$3:O$90&lt;&gt;"")*(P$3:P$90="")*(G$3:G$90=G56)*(I$3:I$90="P"))+SUMPRODUCT((P$3:P$90&lt;&gt;"")*(G$3:G$90=G56)*(I$3:I$90="P"))+SUMPRODUCT((N$3:N$90&lt;&gt;"")*(G$3:G$90=G56)*(I$3:I$90="P"))+SUMPRODUCT((P$3:P$90="")*(O$3:O$90="")*(N$3:N$90="")*(M$3:M$90="P")*(G$3:G$90=G56)*(J$3:J$90&gt;J56)*(I$3:I$90="P"))+IF(H56="L5",SUMPRODUCT((P$3:P$90="")*(O$3:O$90="")*(N$3:N$90="")*(M$3:M$90="P")*(G$3:G$90=G56)*(J$3:J$90&lt;J56)*(H$3:H$90&lt;&gt;H56)*(I$3:I$90="P")),-1*SUMPRODUCT((P$3:P$90="")*(O$3:O$90="")*(N$3:N$90="")*(M$3:M$90="P")*(G$3:G$90=G56)*(J$3:J$90&gt;J56)*(H$3:H$90="L5")*(I$3:I$90="P")))+1,"")))))</f>
        <v/>
      </c>
      <c r="B56" s="1" t="str" cm="1">
        <f t="array" ref="B56">IF(P56&lt;&gt;"",SUMPRODUCT((P$3:P$90&lt;&gt;"")*(G$3:G$90=G56)*(J$3:J$90&gt;J56))+1,IF(O56&lt;&gt;"",SUMPRODUCT((O$3:O$90&lt;&gt;"")*(P$3:P$90="")*(G$3:G$90=G56)*(J$3:J$90&gt;J56))+SUMPRODUCT((P$3:P$90&lt;&gt;"")*(G$3:G$90=G56))+1,IF(N56&lt;&gt;"",SUMPRODUCT((N$3:N$90&lt;&gt;"")*(G$3:G$90=G56)*(J$3:J$90&gt;J56))+1,IF(M56="P",SUMPRODUCT((O$3:O$90&lt;&gt;"")*(P$3:P$90="")*(G$3:G$90=G56))+SUMPRODUCT((P$3:P$90&lt;&gt;"")*(G$3:G$90=G56))+SUMPRODUCT((N$3:N$90&lt;&gt;"")*(G$3:G$90=G56))+SUMPRODUCT((P$3:P$90="")*(O$3:O$90="")*(N$3:N$90="")*(M$3:M$90="P")*(G$3:G$90=G56)*(J$3:J$90&gt;J56))+IF(H56="L5",SUMPRODUCT((P$3:P$90="")*(O$3:O$90="")*(N$3:N$90="")*(M$3:M$90="P")*(G$3:G$90=G56)*(J$3:J$90&lt;J56)*(H$3:H$90&lt;&gt;H56)),-1*SUMPRODUCT((P$3:P$90="")*(O$3:O$90="")*(N$3:N$90="")*(M$3:M$90="P")*(G$3:G$90=G56)*(J$3:J$90&gt;J56)*(H$3:H$90="L5")))+1,""))))</f>
        <v/>
      </c>
      <c r="C56" s="36" t="s">
        <v>178</v>
      </c>
      <c r="D56" s="36" t="str">
        <f>IF(E56="","",VLOOKUP(E56,'Coaching Points'!A:B,2,0))</f>
        <v>QC</v>
      </c>
      <c r="E56" s="36" t="s">
        <v>179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R56+IF(OR(H56="Junior",H56="Senior"),0.0002,IF(OR(H56="L7",H56="L6"),0.0001,0))+IF(G56="17-21",MAX(AA56,AC56,AF56),AE56)*0.0000001</f>
        <v>1.0922400000000001E-4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Scores'!B$13,T56,0),IF(W56&gt;='Qualifying Scores'!B$13,V56,0),IF(Z56&gt;='Qualifying Scores'!B$13,Y56,0),IF(AB56&gt;='Qualifying Scores'!B$13,AA56,0),IF(AD56&gt;'Qualifying Scores'!B$13,AC56,0),IF(AG56&gt;'Qualifying Scores'!B$13,AF56,0)),MAX(IF(OR(AND(G56="15-16",W56&gt;='Qualifying Scores'!B$12),AND(G56="13-14",W56&gt;='Qualifying Scores'!B$11),AND(G56="11-12",W56&gt;='Qualifying Scores'!B$10)),X56,0),IF(OR(AND(G56="15-16",AD56&gt;='Qualifying Scores'!B$12),AND(G56="13-14",AD56&gt;='Qualifying Scores'!B$11),AND(G56="11-12",AD56&gt;='Qualifying Scores'!B$10)),AE56,0))))</f>
        <v>0</v>
      </c>
      <c r="S56" s="4">
        <f>IF(G56="17-21",MAX(T56,V56,Y56,AA56,AC56,AF56),MAX(X56,AE56))</f>
        <v>92.240000000000009</v>
      </c>
      <c r="T56" s="33">
        <v>41.019999999999996</v>
      </c>
      <c r="U56" s="40">
        <v>0</v>
      </c>
      <c r="V56" s="34">
        <v>47.3</v>
      </c>
      <c r="W56" s="40">
        <v>9.9999999999999964</v>
      </c>
      <c r="X56" s="4">
        <f>IF(H56="Senior",MAX(T56,V56),T56+V56)</f>
        <v>88.32</v>
      </c>
      <c r="Y56" s="34">
        <v>48.969999999999992</v>
      </c>
      <c r="Z56" s="40">
        <v>9.9999999999999964</v>
      </c>
      <c r="AA56" s="33">
        <v>42.38</v>
      </c>
      <c r="AB56" s="40">
        <v>0</v>
      </c>
      <c r="AC56" s="34">
        <v>49.86</v>
      </c>
      <c r="AD56" s="40">
        <v>10.5</v>
      </c>
      <c r="AE56" s="4">
        <f>IF(H56="Senior",MAX(AA56,AC56),AA56+AC56)</f>
        <v>92.240000000000009</v>
      </c>
      <c r="AF56" s="34">
        <v>50.8</v>
      </c>
      <c r="AG56" s="37">
        <v>10.5</v>
      </c>
    </row>
    <row r="57" spans="1:33" x14ac:dyDescent="0.2">
      <c r="A57" s="1" t="str" cm="1">
        <f t="array" ref="A57">IF(I57="","",IF(P57&lt;&gt;"",SUMPRODUCT((P$3:P$90&lt;&gt;"")*(G$3:G$90=G57)*(J$3:J$90&gt;J57)*(I$3:I$90="P"))+1,IF(O57&lt;&gt;"",SUMPRODUCT((O$3:O$90&lt;&gt;"")*(P$3:P$90="")*(G$3:G$90=G57)*(J$3:J$90&gt;J57)*(I$3:I$90="P"))+SUMPRODUCT((P$3:P$90&lt;&gt;"")*(G$3:G$90=G57)*(I$3:I$90="P"))+1,IF(N57&lt;&gt;"",SUMPRODUCT((N$3:N$90&lt;&gt;"")*(G$3:G$90=G57)*(J$3:J$90&gt;J57)*(I$3:I$90="P"))+1,IF(M57="P",SUMPRODUCT((O$3:O$90&lt;&gt;"")*(P$3:P$90="")*(G$3:G$90=G57)*(I$3:I$90="P"))+SUMPRODUCT((P$3:P$90&lt;&gt;"")*(G$3:G$90=G57)*(I$3:I$90="P"))+SUMPRODUCT((N$3:N$90&lt;&gt;"")*(G$3:G$90=G57)*(I$3:I$90="P"))+SUMPRODUCT((P$3:P$90="")*(O$3:O$90="")*(N$3:N$90="")*(M$3:M$90="P")*(G$3:G$90=G57)*(J$3:J$90&gt;J57)*(I$3:I$90="P"))+IF(H57="L5",SUMPRODUCT((P$3:P$90="")*(O$3:O$90="")*(N$3:N$90="")*(M$3:M$90="P")*(G$3:G$90=G57)*(J$3:J$90&lt;J57)*(H$3:H$90&lt;&gt;H57)*(I$3:I$90="P")),-1*SUMPRODUCT((P$3:P$90="")*(O$3:O$90="")*(N$3:N$90="")*(M$3:M$90="P")*(G$3:G$90=G57)*(J$3:J$90&gt;J57)*(H$3:H$90="L5")*(I$3:I$90="P")))+1,"")))))</f>
        <v/>
      </c>
      <c r="B57" s="1" t="str" cm="1">
        <f t="array" ref="B57">IF(P57&lt;&gt;"",SUMPRODUCT((P$3:P$90&lt;&gt;"")*(G$3:G$90=G57)*(J$3:J$90&gt;J57))+1,IF(O57&lt;&gt;"",SUMPRODUCT((O$3:O$90&lt;&gt;"")*(P$3:P$90="")*(G$3:G$90=G57)*(J$3:J$90&gt;J57))+SUMPRODUCT((P$3:P$90&lt;&gt;"")*(G$3:G$90=G57))+1,IF(N57&lt;&gt;"",SUMPRODUCT((N$3:N$90&lt;&gt;"")*(G$3:G$90=G57)*(J$3:J$90&gt;J57))+1,IF(M57="P",SUMPRODUCT((O$3:O$90&lt;&gt;"")*(P$3:P$90="")*(G$3:G$90=G57))+SUMPRODUCT((P$3:P$90&lt;&gt;"")*(G$3:G$90=G57))+SUMPRODUCT((N$3:N$90&lt;&gt;"")*(G$3:G$90=G57))+SUMPRODUCT((P$3:P$90="")*(O$3:O$90="")*(N$3:N$90="")*(M$3:M$90="P")*(G$3:G$90=G57)*(J$3:J$90&gt;J57))+IF(H57="L5",SUMPRODUCT((P$3:P$90="")*(O$3:O$90="")*(N$3:N$90="")*(M$3:M$90="P")*(G$3:G$90=G57)*(J$3:J$90&lt;J57)*(H$3:H$90&lt;&gt;H57)),-1*SUMPRODUCT((P$3:P$90="")*(O$3:O$90="")*(N$3:N$90="")*(M$3:M$90="P")*(G$3:G$90=G57)*(J$3:J$90&gt;J57)*(H$3:H$90="L5")))+1,""))))</f>
        <v/>
      </c>
      <c r="C57" s="36" t="s">
        <v>203</v>
      </c>
      <c r="D57" s="36" t="str">
        <f>IF(E57="","",VLOOKUP(E57,'Coaching Points'!A:B,2,0))</f>
        <v>ON</v>
      </c>
      <c r="E57" s="36" t="s">
        <v>38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116</v>
      </c>
      <c r="I57" s="45"/>
      <c r="J57" s="4">
        <f>R57+IF(OR(H57="Junior",H57="Senior"),0.0002,IF(OR(H57="L7",H57="L6"),0.0001,0))+IF(G57="17-21",MAX(AA57,AC57,AF57),AE57)*0.0000001</f>
        <v>1.0847100000000001E-4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Scores'!B$13,T57,0),IF(W57&gt;='Qualifying Scores'!B$13,V57,0),IF(Z57&gt;='Qualifying Scores'!B$13,Y57,0),IF(AB57&gt;='Qualifying Scores'!B$13,AA57,0),IF(AD57&gt;'Qualifying Scores'!B$13,AC57,0),IF(AG57&gt;'Qualifying Scores'!B$13,AF57,0)),MAX(IF(OR(AND(G57="15-16",W57&gt;='Qualifying Scores'!B$12),AND(G57="13-14",W57&gt;='Qualifying Scores'!B$11),AND(G57="11-12",W57&gt;='Qualifying Scores'!B$10)),X57,0),IF(OR(AND(G57="15-16",AD57&gt;='Qualifying Scores'!B$12),AND(G57="13-14",AD57&gt;='Qualifying Scores'!B$11),AND(G57="11-12",AD57&gt;='Qualifying Scores'!B$10)),AE57,0))))</f>
        <v>0</v>
      </c>
      <c r="S57" s="4">
        <f>IF(G57="17-21",MAX(T57,V57,Y57,AA57,AC57,AF57),MAX(X57,AE57))</f>
        <v>84.710000000000008</v>
      </c>
      <c r="T57" s="33">
        <v>37.69</v>
      </c>
      <c r="U57" s="40">
        <v>0</v>
      </c>
      <c r="V57" s="34">
        <v>5.0299999999999994</v>
      </c>
      <c r="W57" s="40">
        <v>1.5</v>
      </c>
      <c r="X57" s="4">
        <f>IF(H57="Senior",MAX(T57,V57),T57+V57)</f>
        <v>42.72</v>
      </c>
      <c r="Y57" s="34">
        <v>0</v>
      </c>
      <c r="Z57" s="40">
        <v>0</v>
      </c>
      <c r="AA57" s="33">
        <v>39.020000000000003</v>
      </c>
      <c r="AB57" s="40">
        <v>0</v>
      </c>
      <c r="AC57" s="34">
        <v>45.69</v>
      </c>
      <c r="AD57" s="40">
        <v>9.8000000000000007</v>
      </c>
      <c r="AE57" s="4">
        <f>IF(H57="Senior",MAX(AA57,AC57),AA57+AC57)</f>
        <v>84.710000000000008</v>
      </c>
      <c r="AF57" s="34">
        <v>8.59</v>
      </c>
      <c r="AG57" s="37">
        <v>2</v>
      </c>
    </row>
    <row r="58" spans="1:33" x14ac:dyDescent="0.2">
      <c r="A58" s="1" t="str" cm="1">
        <f t="array" ref="A58">IF(I58="","",IF(P58&lt;&gt;"",SUMPRODUCT((P$3:P$90&lt;&gt;"")*(G$3:G$90=G58)*(J$3:J$90&gt;J58)*(I$3:I$90="P"))+1,IF(O58&lt;&gt;"",SUMPRODUCT((O$3:O$90&lt;&gt;"")*(P$3:P$90="")*(G$3:G$90=G58)*(J$3:J$90&gt;J58)*(I$3:I$90="P"))+SUMPRODUCT((P$3:P$90&lt;&gt;"")*(G$3:G$90=G58)*(I$3:I$90="P"))+1,IF(N58&lt;&gt;"",SUMPRODUCT((N$3:N$90&lt;&gt;"")*(G$3:G$90=G58)*(J$3:J$90&gt;J58)*(I$3:I$90="P"))+1,IF(M58="P",SUMPRODUCT((O$3:O$90&lt;&gt;"")*(P$3:P$90="")*(G$3:G$90=G58)*(I$3:I$90="P"))+SUMPRODUCT((P$3:P$90&lt;&gt;"")*(G$3:G$90=G58)*(I$3:I$90="P"))+SUMPRODUCT((N$3:N$90&lt;&gt;"")*(G$3:G$90=G58)*(I$3:I$90="P"))+SUMPRODUCT((P$3:P$90="")*(O$3:O$90="")*(N$3:N$90="")*(M$3:M$90="P")*(G$3:G$90=G58)*(J$3:J$90&gt;J58)*(I$3:I$90="P"))+IF(H58="L5",SUMPRODUCT((P$3:P$90="")*(O$3:O$90="")*(N$3:N$90="")*(M$3:M$90="P")*(G$3:G$90=G58)*(J$3:J$90&lt;J58)*(H$3:H$90&lt;&gt;H58)*(I$3:I$90="P")),-1*SUMPRODUCT((P$3:P$90="")*(O$3:O$90="")*(N$3:N$90="")*(M$3:M$90="P")*(G$3:G$90=G58)*(J$3:J$90&gt;J58)*(H$3:H$90="L5")*(I$3:I$90="P")))+1,"")))))</f>
        <v/>
      </c>
      <c r="B58" s="1" t="str" cm="1">
        <f t="array" ref="B58">IF(P58&lt;&gt;"",SUMPRODUCT((P$3:P$90&lt;&gt;"")*(G$3:G$90=G58)*(J$3:J$90&gt;J58))+1,IF(O58&lt;&gt;"",SUMPRODUCT((O$3:O$90&lt;&gt;"")*(P$3:P$90="")*(G$3:G$90=G58)*(J$3:J$90&gt;J58))+SUMPRODUCT((P$3:P$90&lt;&gt;"")*(G$3:G$90=G58))+1,IF(N58&lt;&gt;"",SUMPRODUCT((N$3:N$90&lt;&gt;"")*(G$3:G$90=G58)*(J$3:J$90&gt;J58))+1,IF(M58="P",SUMPRODUCT((O$3:O$90&lt;&gt;"")*(P$3:P$90="")*(G$3:G$90=G58))+SUMPRODUCT((P$3:P$90&lt;&gt;"")*(G$3:G$90=G58))+SUMPRODUCT((N$3:N$90&lt;&gt;"")*(G$3:G$90=G58))+SUMPRODUCT((P$3:P$90="")*(O$3:O$90="")*(N$3:N$90="")*(M$3:M$90="P")*(G$3:G$90=G58)*(J$3:J$90&gt;J58))+IF(H58="L5",SUMPRODUCT((P$3:P$90="")*(O$3:O$90="")*(N$3:N$90="")*(M$3:M$90="P")*(G$3:G$90=G58)*(J$3:J$90&lt;J58)*(H$3:H$90&lt;&gt;H58)),-1*SUMPRODUCT((P$3:P$90="")*(O$3:O$90="")*(N$3:N$90="")*(M$3:M$90="P")*(G$3:G$90=G58)*(J$3:J$90&gt;J58)*(H$3:H$90="L5")))+1,""))))</f>
        <v/>
      </c>
      <c r="C58" s="36" t="s">
        <v>202</v>
      </c>
      <c r="D58" s="36" t="str">
        <f>IF(E58="","",VLOOKUP(E58,'Coaching Points'!A:B,2,0))</f>
        <v>BC</v>
      </c>
      <c r="E58" s="36" t="s">
        <v>84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116</v>
      </c>
      <c r="I58" s="45"/>
      <c r="J58" s="4">
        <f>R58+IF(OR(H58="Junior",H58="Senior"),0.0002,IF(OR(H58="L7",H58="L6"),0.0001,0))+IF(G58="17-21",MAX(AA58,AC58,AF58),AE58)*0.0000001</f>
        <v>1.0449400000000001E-4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Scores'!B$13,T58,0),IF(W58&gt;='Qualifying Scores'!B$13,V58,0),IF(Z58&gt;='Qualifying Scores'!B$13,Y58,0),IF(AB58&gt;='Qualifying Scores'!B$13,AA58,0),IF(AD58&gt;'Qualifying Scores'!B$13,AC58,0),IF(AG58&gt;'Qualifying Scores'!B$13,AF58,0)),MAX(IF(OR(AND(G58="15-16",W58&gt;='Qualifying Scores'!B$12),AND(G58="13-14",W58&gt;='Qualifying Scores'!B$11),AND(G58="11-12",W58&gt;='Qualifying Scores'!B$10)),X58,0),IF(OR(AND(G58="15-16",AD58&gt;='Qualifying Scores'!B$12),AND(G58="13-14",AD58&gt;='Qualifying Scores'!B$11),AND(G58="11-12",AD58&gt;='Qualifying Scores'!B$10)),AE58,0))))</f>
        <v>0</v>
      </c>
      <c r="S58" s="4">
        <f>IF(G58="17-21",MAX(T58,V58,Y58,AA58,AC58,AF58),MAX(X58,AE58))</f>
        <v>59.620000000000005</v>
      </c>
      <c r="T58" s="33">
        <v>40.39</v>
      </c>
      <c r="U58" s="40">
        <v>0</v>
      </c>
      <c r="V58" s="34">
        <v>19.23</v>
      </c>
      <c r="W58" s="40">
        <v>5.2</v>
      </c>
      <c r="X58" s="4">
        <f>IF(H58="Senior",MAX(T58,V58),T58+V58)</f>
        <v>59.620000000000005</v>
      </c>
      <c r="Y58" s="34">
        <v>19.03</v>
      </c>
      <c r="Z58" s="40">
        <v>5.2</v>
      </c>
      <c r="AA58" s="33">
        <v>39.619999999999997</v>
      </c>
      <c r="AB58" s="40">
        <v>0</v>
      </c>
      <c r="AC58" s="34">
        <v>5.32</v>
      </c>
      <c r="AD58" s="40">
        <v>1.5</v>
      </c>
      <c r="AE58" s="4">
        <f>IF(H58="Senior",MAX(AA58,AC58),AA58+AC58)</f>
        <v>44.94</v>
      </c>
      <c r="AF58" s="34"/>
      <c r="AG58" s="37"/>
    </row>
    <row r="59" spans="1:33" x14ac:dyDescent="0.2">
      <c r="A59" s="1" t="str" cm="1">
        <f t="array" ref="A59">IF(I59="","",IF(P59&lt;&gt;"",SUMPRODUCT((P$3:P$90&lt;&gt;"")*(G$3:G$90=G59)*(J$3:J$90&gt;J59)*(I$3:I$90="P"))+1,IF(O59&lt;&gt;"",SUMPRODUCT((O$3:O$90&lt;&gt;"")*(P$3:P$90="")*(G$3:G$90=G59)*(J$3:J$90&gt;J59)*(I$3:I$90="P"))+SUMPRODUCT((P$3:P$90&lt;&gt;"")*(G$3:G$90=G59)*(I$3:I$90="P"))+1,IF(N59&lt;&gt;"",SUMPRODUCT((N$3:N$90&lt;&gt;"")*(G$3:G$90=G59)*(J$3:J$90&gt;J59)*(I$3:I$90="P"))+1,IF(M59="P",SUMPRODUCT((O$3:O$90&lt;&gt;"")*(P$3:P$90="")*(G$3:G$90=G59)*(I$3:I$90="P"))+SUMPRODUCT((P$3:P$90&lt;&gt;"")*(G$3:G$90=G59)*(I$3:I$90="P"))+SUMPRODUCT((N$3:N$90&lt;&gt;"")*(G$3:G$90=G59)*(I$3:I$90="P"))+SUMPRODUCT((P$3:P$90="")*(O$3:O$90="")*(N$3:N$90="")*(M$3:M$90="P")*(G$3:G$90=G59)*(J$3:J$90&gt;J59)*(I$3:I$90="P"))+IF(H59="L5",SUMPRODUCT((P$3:P$90="")*(O$3:O$90="")*(N$3:N$90="")*(M$3:M$90="P")*(G$3:G$90=G59)*(J$3:J$90&lt;J59)*(H$3:H$90&lt;&gt;H59)*(I$3:I$90="P")),-1*SUMPRODUCT((P$3:P$90="")*(O$3:O$90="")*(N$3:N$90="")*(M$3:M$90="P")*(G$3:G$90=G59)*(J$3:J$90&gt;J59)*(H$3:H$90="L5")*(I$3:I$90="P")))+1,"")))))</f>
        <v/>
      </c>
      <c r="B59" s="1" t="str" cm="1">
        <f t="array" ref="B59">IF(P59&lt;&gt;"",SUMPRODUCT((P$3:P$90&lt;&gt;"")*(G$3:G$90=G59)*(J$3:J$90&gt;J59))+1,IF(O59&lt;&gt;"",SUMPRODUCT((O$3:O$90&lt;&gt;"")*(P$3:P$90="")*(G$3:G$90=G59)*(J$3:J$90&gt;J59))+SUMPRODUCT((P$3:P$90&lt;&gt;"")*(G$3:G$90=G59))+1,IF(N59&lt;&gt;"",SUMPRODUCT((N$3:N$90&lt;&gt;"")*(G$3:G$90=G59)*(J$3:J$90&gt;J59))+1,IF(M59="P",SUMPRODUCT((O$3:O$90&lt;&gt;"")*(P$3:P$90="")*(G$3:G$90=G59))+SUMPRODUCT((P$3:P$90&lt;&gt;"")*(G$3:G$90=G59))+SUMPRODUCT((N$3:N$90&lt;&gt;"")*(G$3:G$90=G59))+SUMPRODUCT((P$3:P$90="")*(O$3:O$90="")*(N$3:N$90="")*(M$3:M$90="P")*(G$3:G$90=G59)*(J$3:J$90&gt;J59))+IF(H59="L5",SUMPRODUCT((P$3:P$90="")*(O$3:O$90="")*(N$3:N$90="")*(M$3:M$90="P")*(G$3:G$90=G59)*(J$3:J$90&lt;J59)*(H$3:H$90&lt;&gt;H59)),-1*SUMPRODUCT((P$3:P$90="")*(O$3:O$90="")*(N$3:N$90="")*(M$3:M$90="P")*(G$3:G$90=G59)*(J$3:J$90&gt;J59)*(H$3:H$90="L5")))+1,""))))</f>
        <v/>
      </c>
      <c r="C59" s="36" t="s">
        <v>180</v>
      </c>
      <c r="D59" s="36" t="str">
        <f>IF(E59="","",VLOOKUP(E59,'Coaching Points'!A:B,2,0))</f>
        <v>QC</v>
      </c>
      <c r="E59" s="36" t="s">
        <v>179</v>
      </c>
      <c r="F59" s="35">
        <v>2007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9.4050000000000006E-6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>P</v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Scores'!B$13,T59,0),IF(W59&gt;='Qualifying Scores'!B$13,V59,0),IF(Z59&gt;='Qualifying Scores'!B$13,Y59,0),IF(AB59&gt;='Qualifying Scores'!B$13,AA59,0),IF(AD59&gt;'Qualifying Scores'!B$13,AC59,0),IF(AG59&gt;'Qualifying Scores'!B$13,AF59,0)),MAX(IF(OR(AND(G59="15-16",W59&gt;='Qualifying Scores'!B$12),AND(G59="13-14",W59&gt;='Qualifying Scores'!B$11),AND(G59="11-12",W59&gt;='Qualifying Scores'!B$10)),X59,0),IF(OR(AND(G59="15-16",AD59&gt;='Qualifying Scores'!B$12),AND(G59="13-14",AD59&gt;='Qualifying Scores'!B$11),AND(G59="11-12",AD59&gt;='Qualifying Scores'!B$10)),AE59,0))))</f>
        <v>0</v>
      </c>
      <c r="S59" s="4">
        <f>IF(G59="17-21",MAX(T59,V59,Y59,AA59,AC59,AF59),MAX(X59,AE59))</f>
        <v>94.050000000000011</v>
      </c>
      <c r="T59" s="33">
        <v>40.049999999999997</v>
      </c>
      <c r="U59" s="40">
        <v>0</v>
      </c>
      <c r="V59" s="34">
        <v>46.739999999999995</v>
      </c>
      <c r="W59" s="40">
        <v>8.1999999999999993</v>
      </c>
      <c r="X59" s="4">
        <f>IF(H59="Senior",MAX(T59,V59),T59+V59)</f>
        <v>86.789999999999992</v>
      </c>
      <c r="Y59" s="34">
        <v>47.019999999999996</v>
      </c>
      <c r="Z59" s="40">
        <v>7.6</v>
      </c>
      <c r="AA59" s="33">
        <v>43.2</v>
      </c>
      <c r="AB59" s="40">
        <v>0</v>
      </c>
      <c r="AC59" s="34">
        <v>50.85</v>
      </c>
      <c r="AD59" s="40">
        <v>8.5</v>
      </c>
      <c r="AE59" s="4">
        <f>IF(H59="Senior",MAX(AA59,AC59),AA59+AC59)</f>
        <v>94.050000000000011</v>
      </c>
      <c r="AF59" s="34">
        <v>51.14</v>
      </c>
      <c r="AG59" s="37">
        <v>8.5</v>
      </c>
    </row>
    <row r="60" spans="1:33" x14ac:dyDescent="0.2">
      <c r="A60" s="1" t="str" cm="1">
        <f t="array" ref="A60">IF(I60="","",IF(P60&lt;&gt;"",SUMPRODUCT((P$3:P$90&lt;&gt;"")*(G$3:G$90=G60)*(J$3:J$90&gt;J60)*(I$3:I$90="P"))+1,IF(O60&lt;&gt;"",SUMPRODUCT((O$3:O$90&lt;&gt;"")*(P$3:P$90="")*(G$3:G$90=G60)*(J$3:J$90&gt;J60)*(I$3:I$90="P"))+SUMPRODUCT((P$3:P$90&lt;&gt;"")*(G$3:G$90=G60)*(I$3:I$90="P"))+1,IF(N60&lt;&gt;"",SUMPRODUCT((N$3:N$90&lt;&gt;"")*(G$3:G$90=G60)*(J$3:J$90&gt;J60)*(I$3:I$90="P"))+1,IF(M60="P",SUMPRODUCT((O$3:O$90&lt;&gt;"")*(P$3:P$90="")*(G$3:G$90=G60)*(I$3:I$90="P"))+SUMPRODUCT((P$3:P$90&lt;&gt;"")*(G$3:G$90=G60)*(I$3:I$90="P"))+SUMPRODUCT((N$3:N$90&lt;&gt;"")*(G$3:G$90=G60)*(I$3:I$90="P"))+SUMPRODUCT((P$3:P$90="")*(O$3:O$90="")*(N$3:N$90="")*(M$3:M$90="P")*(G$3:G$90=G60)*(J$3:J$90&gt;J60)*(I$3:I$90="P"))+IF(H60="L5",SUMPRODUCT((P$3:P$90="")*(O$3:O$90="")*(N$3:N$90="")*(M$3:M$90="P")*(G$3:G$90=G60)*(J$3:J$90&lt;J60)*(H$3:H$90&lt;&gt;H60)*(I$3:I$90="P")),-1*SUMPRODUCT((P$3:P$90="")*(O$3:O$90="")*(N$3:N$90="")*(M$3:M$90="P")*(G$3:G$90=G60)*(J$3:J$90&gt;J60)*(H$3:H$90="L5")*(I$3:I$90="P")))+1,"")))))</f>
        <v/>
      </c>
      <c r="B60" s="1" t="str" cm="1">
        <f t="array" ref="B60">IF(P60&lt;&gt;"",SUMPRODUCT((P$3:P$90&lt;&gt;"")*(G$3:G$90=G60)*(J$3:J$90&gt;J60))+1,IF(O60&lt;&gt;"",SUMPRODUCT((O$3:O$90&lt;&gt;"")*(P$3:P$90="")*(G$3:G$90=G60)*(J$3:J$90&gt;J60))+SUMPRODUCT((P$3:P$90&lt;&gt;"")*(G$3:G$90=G60))+1,IF(N60&lt;&gt;"",SUMPRODUCT((N$3:N$90&lt;&gt;"")*(G$3:G$90=G60)*(J$3:J$90&gt;J60))+1,IF(M60="P",SUMPRODUCT((O$3:O$90&lt;&gt;"")*(P$3:P$90="")*(G$3:G$90=G60))+SUMPRODUCT((P$3:P$90&lt;&gt;"")*(G$3:G$90=G60))+SUMPRODUCT((N$3:N$90&lt;&gt;"")*(G$3:G$90=G60))+SUMPRODUCT((P$3:P$90="")*(O$3:O$90="")*(N$3:N$90="")*(M$3:M$90="P")*(G$3:G$90=G60)*(J$3:J$90&gt;J60))+IF(H60="L5",SUMPRODUCT((P$3:P$90="")*(O$3:O$90="")*(N$3:N$90="")*(M$3:M$90="P")*(G$3:G$90=G60)*(J$3:J$90&lt;J60)*(H$3:H$90&lt;&gt;H60)),-1*SUMPRODUCT((P$3:P$90="")*(O$3:O$90="")*(N$3:N$90="")*(M$3:M$90="P")*(G$3:G$90=G60)*(J$3:J$90&gt;J60)*(H$3:H$90="L5")))+1,""))))</f>
        <v/>
      </c>
      <c r="C60" s="36" t="s">
        <v>184</v>
      </c>
      <c r="D60" s="36" t="str">
        <f>IF(E60="","",VLOOKUP(E60,'Coaching Points'!A:B,2,0))</f>
        <v>ON</v>
      </c>
      <c r="E60" s="36" t="s">
        <v>38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9.098E-6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Scores'!B$13,T60,0),IF(W60&gt;='Qualifying Scores'!B$13,V60,0),IF(Z60&gt;='Qualifying Scores'!B$13,Y60,0),IF(AB60&gt;='Qualifying Scores'!B$13,AA60,0),IF(AD60&gt;'Qualifying Scores'!B$13,AC60,0),IF(AG60&gt;'Qualifying Scores'!B$13,AF60,0)),MAX(IF(OR(AND(G60="15-16",W60&gt;='Qualifying Scores'!B$12),AND(G60="13-14",W60&gt;='Qualifying Scores'!B$11),AND(G60="11-12",W60&gt;='Qualifying Scores'!B$10)),X60,0),IF(OR(AND(G60="15-16",AD60&gt;='Qualifying Scores'!B$12),AND(G60="13-14",AD60&gt;='Qualifying Scores'!B$11),AND(G60="11-12",AD60&gt;='Qualifying Scores'!B$10)),AE60,0))))</f>
        <v>0</v>
      </c>
      <c r="S60" s="4">
        <f>IF(G60="17-21",MAX(T60,V60,Y60,AA60,AC60,AF60),MAX(X60,AE60))</f>
        <v>90.98</v>
      </c>
      <c r="T60" s="33">
        <v>39.93</v>
      </c>
      <c r="U60" s="40">
        <v>0</v>
      </c>
      <c r="V60" s="34">
        <v>19.48</v>
      </c>
      <c r="W60" s="40">
        <v>4.5</v>
      </c>
      <c r="X60" s="4">
        <f>IF(H60="Senior",MAX(T60,V60),T60+V60)</f>
        <v>59.41</v>
      </c>
      <c r="Y60" s="34">
        <v>44.91</v>
      </c>
      <c r="Z60" s="40">
        <v>9.5999999999999979</v>
      </c>
      <c r="AA60" s="33">
        <v>41.38</v>
      </c>
      <c r="AB60" s="40">
        <v>0</v>
      </c>
      <c r="AC60" s="34">
        <v>49.6</v>
      </c>
      <c r="AD60" s="40">
        <v>9.6</v>
      </c>
      <c r="AE60" s="4">
        <f>IF(H60="Senior",MAX(AA60,AC60),AA60+AC60)</f>
        <v>90.98</v>
      </c>
      <c r="AF60" s="34">
        <v>49.17</v>
      </c>
      <c r="AG60" s="37">
        <v>9.6</v>
      </c>
    </row>
    <row r="61" spans="1:33" x14ac:dyDescent="0.2">
      <c r="A61" s="1" t="str" cm="1">
        <f t="array" ref="A61">IF(I61="","",IF(P61&lt;&gt;"",SUMPRODUCT((P$3:P$90&lt;&gt;"")*(G$3:G$90=G61)*(J$3:J$90&gt;J61)*(I$3:I$90="P"))+1,IF(O61&lt;&gt;"",SUMPRODUCT((O$3:O$90&lt;&gt;"")*(P$3:P$90="")*(G$3:G$90=G61)*(J$3:J$90&gt;J61)*(I$3:I$90="P"))+SUMPRODUCT((P$3:P$90&lt;&gt;"")*(G$3:G$90=G61)*(I$3:I$90="P"))+1,IF(N61&lt;&gt;"",SUMPRODUCT((N$3:N$90&lt;&gt;"")*(G$3:G$90=G61)*(J$3:J$90&gt;J61)*(I$3:I$90="P"))+1,IF(M61="P",SUMPRODUCT((O$3:O$90&lt;&gt;"")*(P$3:P$90="")*(G$3:G$90=G61)*(I$3:I$90="P"))+SUMPRODUCT((P$3:P$90&lt;&gt;"")*(G$3:G$90=G61)*(I$3:I$90="P"))+SUMPRODUCT((N$3:N$90&lt;&gt;"")*(G$3:G$90=G61)*(I$3:I$90="P"))+SUMPRODUCT((P$3:P$90="")*(O$3:O$90="")*(N$3:N$90="")*(M$3:M$90="P")*(G$3:G$90=G61)*(J$3:J$90&gt;J61)*(I$3:I$90="P"))+IF(H61="L5",SUMPRODUCT((P$3:P$90="")*(O$3:O$90="")*(N$3:N$90="")*(M$3:M$90="P")*(G$3:G$90=G61)*(J$3:J$90&lt;J61)*(H$3:H$90&lt;&gt;H61)*(I$3:I$90="P")),-1*SUMPRODUCT((P$3:P$90="")*(O$3:O$90="")*(N$3:N$90="")*(M$3:M$90="P")*(G$3:G$90=G61)*(J$3:J$90&gt;J61)*(H$3:H$90="L5")*(I$3:I$90="P")))+1,"")))))</f>
        <v/>
      </c>
      <c r="B61" s="1" t="str" cm="1">
        <f t="array" ref="B61">IF(P61&lt;&gt;"",SUMPRODUCT((P$3:P$90&lt;&gt;"")*(G$3:G$90=G61)*(J$3:J$90&gt;J61))+1,IF(O61&lt;&gt;"",SUMPRODUCT((O$3:O$90&lt;&gt;"")*(P$3:P$90="")*(G$3:G$90=G61)*(J$3:J$90&gt;J61))+SUMPRODUCT((P$3:P$90&lt;&gt;"")*(G$3:G$90=G61))+1,IF(N61&lt;&gt;"",SUMPRODUCT((N$3:N$90&lt;&gt;"")*(G$3:G$90=G61)*(J$3:J$90&gt;J61))+1,IF(M61="P",SUMPRODUCT((O$3:O$90&lt;&gt;"")*(P$3:P$90="")*(G$3:G$90=G61))+SUMPRODUCT((P$3:P$90&lt;&gt;"")*(G$3:G$90=G61))+SUMPRODUCT((N$3:N$90&lt;&gt;"")*(G$3:G$90=G61))+SUMPRODUCT((P$3:P$90="")*(O$3:O$90="")*(N$3:N$90="")*(M$3:M$90="P")*(G$3:G$90=G61)*(J$3:J$90&gt;J61))+IF(H61="L5",SUMPRODUCT((P$3:P$90="")*(O$3:O$90="")*(N$3:N$90="")*(M$3:M$90="P")*(G$3:G$90=G61)*(J$3:J$90&lt;J61)*(H$3:H$90&lt;&gt;H61)),-1*SUMPRODUCT((P$3:P$90="")*(O$3:O$90="")*(N$3:N$90="")*(M$3:M$90="P")*(G$3:G$90=G61)*(J$3:J$90&gt;J61)*(H$3:H$90="L5")))+1,""))))</f>
        <v/>
      </c>
      <c r="C61" s="36" t="s">
        <v>181</v>
      </c>
      <c r="D61" s="36" t="str">
        <f>IF(E61="","",VLOOKUP(E61,'Coaching Points'!A:B,2,0))</f>
        <v>BC</v>
      </c>
      <c r="E61" s="36" t="s">
        <v>143</v>
      </c>
      <c r="F61" s="35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8.7129999999999994E-6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Scores'!B$13,T61,0),IF(W61&gt;='Qualifying Scores'!B$13,V61,0),IF(Z61&gt;='Qualifying Scores'!B$13,Y61,0),IF(AB61&gt;='Qualifying Scores'!B$13,AA61,0),IF(AD61&gt;'Qualifying Scores'!B$13,AC61,0),IF(AG61&gt;'Qualifying Scores'!B$13,AF61,0)),MAX(IF(OR(AND(G61="15-16",W61&gt;='Qualifying Scores'!B$12),AND(G61="13-14",W61&gt;='Qualifying Scores'!B$11),AND(G61="11-12",W61&gt;='Qualifying Scores'!B$10)),X61,0),IF(OR(AND(G61="15-16",AD61&gt;='Qualifying Scores'!B$12),AND(G61="13-14",AD61&gt;='Qualifying Scores'!B$11),AND(G61="11-12",AD61&gt;='Qualifying Scores'!B$10)),AE61,0))))</f>
        <v>0</v>
      </c>
      <c r="S61" s="4">
        <f>IF(G61="17-21",MAX(T61,V61,Y61,AA61,AC61,AF61),MAX(X61,AE61))</f>
        <v>87.13</v>
      </c>
      <c r="T61" s="33">
        <v>38.85</v>
      </c>
      <c r="U61" s="40">
        <v>0</v>
      </c>
      <c r="V61" s="34">
        <v>43.71</v>
      </c>
      <c r="W61" s="40">
        <v>8.4999999999999982</v>
      </c>
      <c r="X61" s="4">
        <f>IF(H61="Senior",MAX(T61,V61),T61+V61)</f>
        <v>82.56</v>
      </c>
      <c r="Y61" s="34">
        <v>46.599999999999994</v>
      </c>
      <c r="Z61" s="40">
        <v>8.4999999999999982</v>
      </c>
      <c r="AA61" s="33">
        <v>38.880000000000003</v>
      </c>
      <c r="AB61" s="40">
        <v>0</v>
      </c>
      <c r="AC61" s="34">
        <v>48.25</v>
      </c>
      <c r="AD61" s="40">
        <v>9.6</v>
      </c>
      <c r="AE61" s="4">
        <f>IF(H61="Senior",MAX(AA61,AC61),AA61+AC61)</f>
        <v>87.13</v>
      </c>
      <c r="AF61" s="34">
        <v>47.73</v>
      </c>
      <c r="AG61" s="37">
        <v>9.6</v>
      </c>
    </row>
    <row r="62" spans="1:33" x14ac:dyDescent="0.2">
      <c r="A62" s="1" t="str" cm="1">
        <f t="array" ref="A62">IF(I62="","",IF(P62&lt;&gt;"",SUMPRODUCT((P$3:P$90&lt;&gt;"")*(G$3:G$90=G62)*(J$3:J$90&gt;J62)*(I$3:I$90="P"))+1,IF(O62&lt;&gt;"",SUMPRODUCT((O$3:O$90&lt;&gt;"")*(P$3:P$90="")*(G$3:G$90=G62)*(J$3:J$90&gt;J62)*(I$3:I$90="P"))+SUMPRODUCT((P$3:P$90&lt;&gt;"")*(G$3:G$90=G62)*(I$3:I$90="P"))+1,IF(N62&lt;&gt;"",SUMPRODUCT((N$3:N$90&lt;&gt;"")*(G$3:G$90=G62)*(J$3:J$90&gt;J62)*(I$3:I$90="P"))+1,IF(M62="P",SUMPRODUCT((O$3:O$90&lt;&gt;"")*(P$3:P$90="")*(G$3:G$90=G62)*(I$3:I$90="P"))+SUMPRODUCT((P$3:P$90&lt;&gt;"")*(G$3:G$90=G62)*(I$3:I$90="P"))+SUMPRODUCT((N$3:N$90&lt;&gt;"")*(G$3:G$90=G62)*(I$3:I$90="P"))+SUMPRODUCT((P$3:P$90="")*(O$3:O$90="")*(N$3:N$90="")*(M$3:M$90="P")*(G$3:G$90=G62)*(J$3:J$90&gt;J62)*(I$3:I$90="P"))+IF(H62="L5",SUMPRODUCT((P$3:P$90="")*(O$3:O$90="")*(N$3:N$90="")*(M$3:M$90="P")*(G$3:G$90=G62)*(J$3:J$90&lt;J62)*(H$3:H$90&lt;&gt;H62)*(I$3:I$90="P")),-1*SUMPRODUCT((P$3:P$90="")*(O$3:O$90="")*(N$3:N$90="")*(M$3:M$90="P")*(G$3:G$90=G62)*(J$3:J$90&gt;J62)*(H$3:H$90="L5")*(I$3:I$90="P")))+1,"")))))</f>
        <v/>
      </c>
      <c r="B62" s="1" t="str" cm="1">
        <f t="array" ref="B62">IF(P62&lt;&gt;"",SUMPRODUCT((P$3:P$90&lt;&gt;"")*(G$3:G$90=G62)*(J$3:J$90&gt;J62))+1,IF(O62&lt;&gt;"",SUMPRODUCT((O$3:O$90&lt;&gt;"")*(P$3:P$90="")*(G$3:G$90=G62)*(J$3:J$90&gt;J62))+SUMPRODUCT((P$3:P$90&lt;&gt;"")*(G$3:G$90=G62))+1,IF(N62&lt;&gt;"",SUMPRODUCT((N$3:N$90&lt;&gt;"")*(G$3:G$90=G62)*(J$3:J$90&gt;J62))+1,IF(M62="P",SUMPRODUCT((O$3:O$90&lt;&gt;"")*(P$3:P$90="")*(G$3:G$90=G62))+SUMPRODUCT((P$3:P$90&lt;&gt;"")*(G$3:G$90=G62))+SUMPRODUCT((N$3:N$90&lt;&gt;"")*(G$3:G$90=G62))+SUMPRODUCT((P$3:P$90="")*(O$3:O$90="")*(N$3:N$90="")*(M$3:M$90="P")*(G$3:G$90=G62)*(J$3:J$90&gt;J62))+IF(H62="L5",SUMPRODUCT((P$3:P$90="")*(O$3:O$90="")*(N$3:N$90="")*(M$3:M$90="P")*(G$3:G$90=G62)*(J$3:J$90&lt;J62)*(H$3:H$90&lt;&gt;H62)),-1*SUMPRODUCT((P$3:P$90="")*(O$3:O$90="")*(N$3:N$90="")*(M$3:M$90="P")*(G$3:G$90=G62)*(J$3:J$90&gt;J62)*(H$3:H$90="L5")))+1,""))))</f>
        <v/>
      </c>
      <c r="C62" s="36" t="s">
        <v>381</v>
      </c>
      <c r="D62" s="36" t="str">
        <f>IF(E62="","",VLOOKUP(E62,'Coaching Points'!A:B,2,0))</f>
        <v>BC</v>
      </c>
      <c r="E62" s="36" t="s">
        <v>571</v>
      </c>
      <c r="F62" s="35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8.653E-6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Scores'!B$13,T62,0),IF(W62&gt;='Qualifying Scores'!B$13,V62,0),IF(Z62&gt;='Qualifying Scores'!B$13,Y62,0),IF(AB62&gt;='Qualifying Scores'!B$13,AA62,0),IF(AD62&gt;'Qualifying Scores'!B$13,AC62,0),IF(AG62&gt;'Qualifying Scores'!B$13,AF62,0)),MAX(IF(OR(AND(G62="15-16",W62&gt;='Qualifying Scores'!B$12),AND(G62="13-14",W62&gt;='Qualifying Scores'!B$11),AND(G62="11-12",W62&gt;='Qualifying Scores'!B$10)),X62,0),IF(OR(AND(G62="15-16",AD62&gt;='Qualifying Scores'!B$12),AND(G62="13-14",AD62&gt;='Qualifying Scores'!B$11),AND(G62="11-12",AD62&gt;='Qualifying Scores'!B$10)),AE62,0))))</f>
        <v>0</v>
      </c>
      <c r="S62" s="4">
        <f>IF(G62="17-21",MAX(T62,V62,Y62,AA62,AC62,AF62),MAX(X62,AE62))</f>
        <v>86.53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39.630000000000003</v>
      </c>
      <c r="AB62" s="40">
        <v>0</v>
      </c>
      <c r="AC62" s="34">
        <v>46.9</v>
      </c>
      <c r="AD62" s="40">
        <v>9.1</v>
      </c>
      <c r="AE62" s="4">
        <f>IF(H62="Senior",MAX(AA62,AC62),AA62+AC62)</f>
        <v>86.53</v>
      </c>
      <c r="AF62" s="34">
        <v>46.64</v>
      </c>
      <c r="AG62" s="37">
        <v>8.9</v>
      </c>
    </row>
    <row r="63" spans="1:33" x14ac:dyDescent="0.2">
      <c r="A63" s="1" t="str" cm="1">
        <f t="array" ref="A63">IF(I63="","",IF(P63&lt;&gt;"",SUMPRODUCT((P$3:P$90&lt;&gt;"")*(G$3:G$90=G63)*(J$3:J$90&gt;J63)*(I$3:I$90="P"))+1,IF(O63&lt;&gt;"",SUMPRODUCT((O$3:O$90&lt;&gt;"")*(P$3:P$90="")*(G$3:G$90=G63)*(J$3:J$90&gt;J63)*(I$3:I$90="P"))+SUMPRODUCT((P$3:P$90&lt;&gt;"")*(G$3:G$90=G63)*(I$3:I$90="P"))+1,IF(N63&lt;&gt;"",SUMPRODUCT((N$3:N$90&lt;&gt;"")*(G$3:G$90=G63)*(J$3:J$90&gt;J63)*(I$3:I$90="P"))+1,IF(M63="P",SUMPRODUCT((O$3:O$90&lt;&gt;"")*(P$3:P$90="")*(G$3:G$90=G63)*(I$3:I$90="P"))+SUMPRODUCT((P$3:P$90&lt;&gt;"")*(G$3:G$90=G63)*(I$3:I$90="P"))+SUMPRODUCT((N$3:N$90&lt;&gt;"")*(G$3:G$90=G63)*(I$3:I$90="P"))+SUMPRODUCT((P$3:P$90="")*(O$3:O$90="")*(N$3:N$90="")*(M$3:M$90="P")*(G$3:G$90=G63)*(J$3:J$90&gt;J63)*(I$3:I$90="P"))+IF(H63="L5",SUMPRODUCT((P$3:P$90="")*(O$3:O$90="")*(N$3:N$90="")*(M$3:M$90="P")*(G$3:G$90=G63)*(J$3:J$90&lt;J63)*(H$3:H$90&lt;&gt;H63)*(I$3:I$90="P")),-1*SUMPRODUCT((P$3:P$90="")*(O$3:O$90="")*(N$3:N$90="")*(M$3:M$90="P")*(G$3:G$90=G63)*(J$3:J$90&gt;J63)*(H$3:H$90="L5")*(I$3:I$90="P")))+1,"")))))</f>
        <v/>
      </c>
      <c r="B63" s="1" t="str" cm="1">
        <f t="array" ref="B63">IF(P63&lt;&gt;"",SUMPRODUCT((P$3:P$90&lt;&gt;"")*(G$3:G$90=G63)*(J$3:J$90&gt;J63))+1,IF(O63&lt;&gt;"",SUMPRODUCT((O$3:O$90&lt;&gt;"")*(P$3:P$90="")*(G$3:G$90=G63)*(J$3:J$90&gt;J63))+SUMPRODUCT((P$3:P$90&lt;&gt;"")*(G$3:G$90=G63))+1,IF(N63&lt;&gt;"",SUMPRODUCT((N$3:N$90&lt;&gt;"")*(G$3:G$90=G63)*(J$3:J$90&gt;J63))+1,IF(M63="P",SUMPRODUCT((O$3:O$90&lt;&gt;"")*(P$3:P$90="")*(G$3:G$90=G63))+SUMPRODUCT((P$3:P$90&lt;&gt;"")*(G$3:G$90=G63))+SUMPRODUCT((N$3:N$90&lt;&gt;"")*(G$3:G$90=G63))+SUMPRODUCT((P$3:P$90="")*(O$3:O$90="")*(N$3:N$90="")*(M$3:M$90="P")*(G$3:G$90=G63)*(J$3:J$90&gt;J63))+IF(H63="L5",SUMPRODUCT((P$3:P$90="")*(O$3:O$90="")*(N$3:N$90="")*(M$3:M$90="P")*(G$3:G$90=G63)*(J$3:J$90&lt;J63)*(H$3:H$90&lt;&gt;H63)),-1*SUMPRODUCT((P$3:P$90="")*(O$3:O$90="")*(N$3:N$90="")*(M$3:M$90="P")*(G$3:G$90=G63)*(J$3:J$90&gt;J63)*(H$3:H$90="L5")))+1,""))))</f>
        <v/>
      </c>
      <c r="C63" s="36" t="s">
        <v>392</v>
      </c>
      <c r="D63" s="36" t="str">
        <f>IF(E63="","",VLOOKUP(E63,'Coaching Points'!A:B,2,0))</f>
        <v>QC</v>
      </c>
      <c r="E63" s="36" t="s">
        <v>579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8.6459999999999999E-6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Scores'!B$13,T63,0),IF(W63&gt;='Qualifying Scores'!B$13,V63,0),IF(Z63&gt;='Qualifying Scores'!B$13,Y63,0),IF(AB63&gt;='Qualifying Scores'!B$13,AA63,0),IF(AD63&gt;'Qualifying Scores'!B$13,AC63,0),IF(AG63&gt;'Qualifying Scores'!B$13,AF63,0)),MAX(IF(OR(AND(G63="15-16",W63&gt;='Qualifying Scores'!B$12),AND(G63="13-14",W63&gt;='Qualifying Scores'!B$11),AND(G63="11-12",W63&gt;='Qualifying Scores'!B$10)),X63,0),IF(OR(AND(G63="15-16",AD63&gt;='Qualifying Scores'!B$12),AND(G63="13-14",AD63&gt;='Qualifying Scores'!B$11),AND(G63="11-12",AD63&gt;='Qualifying Scores'!B$10)),AE63,0))))</f>
        <v>0</v>
      </c>
      <c r="S63" s="4">
        <f>IF(G63="17-21",MAX(T63,V63,Y63,AA63,AC63,AF63),MAX(X63,AE63))</f>
        <v>86.460000000000008</v>
      </c>
      <c r="T63" s="33"/>
      <c r="U63" s="40"/>
      <c r="V63" s="34"/>
      <c r="W63" s="40"/>
      <c r="X63" s="4">
        <f>IF(H63="Senior",MAX(T63,V63),T63+V63)</f>
        <v>0</v>
      </c>
      <c r="Y63" s="34"/>
      <c r="Z63" s="40"/>
      <c r="AA63" s="33">
        <v>41.29</v>
      </c>
      <c r="AB63" s="40">
        <v>0</v>
      </c>
      <c r="AC63" s="34">
        <v>45.17</v>
      </c>
      <c r="AD63" s="40">
        <v>9.1999999999999993</v>
      </c>
      <c r="AE63" s="4">
        <f>IF(H63="Senior",MAX(AA63,AC63),AA63+AC63)</f>
        <v>86.460000000000008</v>
      </c>
      <c r="AF63" s="34">
        <v>47.6</v>
      </c>
      <c r="AG63" s="37">
        <v>9.1999999999999993</v>
      </c>
    </row>
    <row r="64" spans="1:33" x14ac:dyDescent="0.2">
      <c r="A64" s="1" t="str" cm="1">
        <f t="array" ref="A64">IF(I64="","",IF(P64&lt;&gt;"",SUMPRODUCT((P$3:P$90&lt;&gt;"")*(G$3:G$90=G64)*(J$3:J$90&gt;J64)*(I$3:I$90="P"))+1,IF(O64&lt;&gt;"",SUMPRODUCT((O$3:O$90&lt;&gt;"")*(P$3:P$90="")*(G$3:G$90=G64)*(J$3:J$90&gt;J64)*(I$3:I$90="P"))+SUMPRODUCT((P$3:P$90&lt;&gt;"")*(G$3:G$90=G64)*(I$3:I$90="P"))+1,IF(N64&lt;&gt;"",SUMPRODUCT((N$3:N$90&lt;&gt;"")*(G$3:G$90=G64)*(J$3:J$90&gt;J64)*(I$3:I$90="P"))+1,IF(M64="P",SUMPRODUCT((O$3:O$90&lt;&gt;"")*(P$3:P$90="")*(G$3:G$90=G64)*(I$3:I$90="P"))+SUMPRODUCT((P$3:P$90&lt;&gt;"")*(G$3:G$90=G64)*(I$3:I$90="P"))+SUMPRODUCT((N$3:N$90&lt;&gt;"")*(G$3:G$90=G64)*(I$3:I$90="P"))+SUMPRODUCT((P$3:P$90="")*(O$3:O$90="")*(N$3:N$90="")*(M$3:M$90="P")*(G$3:G$90=G64)*(J$3:J$90&gt;J64)*(I$3:I$90="P"))+IF(H64="L5",SUMPRODUCT((P$3:P$90="")*(O$3:O$90="")*(N$3:N$90="")*(M$3:M$90="P")*(G$3:G$90=G64)*(J$3:J$90&lt;J64)*(H$3:H$90&lt;&gt;H64)*(I$3:I$90="P")),-1*SUMPRODUCT((P$3:P$90="")*(O$3:O$90="")*(N$3:N$90="")*(M$3:M$90="P")*(G$3:G$90=G64)*(J$3:J$90&gt;J64)*(H$3:H$90="L5")*(I$3:I$90="P")))+1,"")))))</f>
        <v/>
      </c>
      <c r="B64" s="1" t="str" cm="1">
        <f t="array" ref="B64">IF(P64&lt;&gt;"",SUMPRODUCT((P$3:P$90&lt;&gt;"")*(G$3:G$90=G64)*(J$3:J$90&gt;J64))+1,IF(O64&lt;&gt;"",SUMPRODUCT((O$3:O$90&lt;&gt;"")*(P$3:P$90="")*(G$3:G$90=G64)*(J$3:J$90&gt;J64))+SUMPRODUCT((P$3:P$90&lt;&gt;"")*(G$3:G$90=G64))+1,IF(N64&lt;&gt;"",SUMPRODUCT((N$3:N$90&lt;&gt;"")*(G$3:G$90=G64)*(J$3:J$90&gt;J64))+1,IF(M64="P",SUMPRODUCT((O$3:O$90&lt;&gt;"")*(P$3:P$90="")*(G$3:G$90=G64))+SUMPRODUCT((P$3:P$90&lt;&gt;"")*(G$3:G$90=G64))+SUMPRODUCT((N$3:N$90&lt;&gt;"")*(G$3:G$90=G64))+SUMPRODUCT((P$3:P$90="")*(O$3:O$90="")*(N$3:N$90="")*(M$3:M$90="P")*(G$3:G$90=G64)*(J$3:J$90&gt;J64))+IF(H64="L5",SUMPRODUCT((P$3:P$90="")*(O$3:O$90="")*(N$3:N$90="")*(M$3:M$90="P")*(G$3:G$90=G64)*(J$3:J$90&lt;J64)*(H$3:H$90&lt;&gt;H64)),-1*SUMPRODUCT((P$3:P$90="")*(O$3:O$90="")*(N$3:N$90="")*(M$3:M$90="P")*(G$3:G$90=G64)*(J$3:J$90&gt;J64)*(H$3:H$90="L5")))+1,""))))</f>
        <v/>
      </c>
      <c r="C64" s="36" t="s">
        <v>185</v>
      </c>
      <c r="D64" s="36" t="str">
        <f>IF(E64="","",VLOOKUP(E64,'Coaching Points'!A:B,2,0))</f>
        <v>BC</v>
      </c>
      <c r="E64" s="36" t="s">
        <v>84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8.5720000000000003E-6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Scores'!B$13,T64,0),IF(W64&gt;='Qualifying Scores'!B$13,V64,0),IF(Z64&gt;='Qualifying Scores'!B$13,Y64,0),IF(AB64&gt;='Qualifying Scores'!B$13,AA64,0),IF(AD64&gt;'Qualifying Scores'!B$13,AC64,0),IF(AG64&gt;'Qualifying Scores'!B$13,AF64,0)),MAX(IF(OR(AND(G64="15-16",W64&gt;='Qualifying Scores'!B$12),AND(G64="13-14",W64&gt;='Qualifying Scores'!B$11),AND(G64="11-12",W64&gt;='Qualifying Scores'!B$10)),X64,0),IF(OR(AND(G64="15-16",AD64&gt;='Qualifying Scores'!B$12),AND(G64="13-14",AD64&gt;='Qualifying Scores'!B$11),AND(G64="11-12",AD64&gt;='Qualifying Scores'!B$10)),AE64,0))))</f>
        <v>0</v>
      </c>
      <c r="S64" s="4">
        <f>IF(G64="17-21",MAX(T64,V64,Y64,AA64,AC64,AF64),MAX(X64,AE64))</f>
        <v>85.72</v>
      </c>
      <c r="T64" s="33">
        <v>37.67</v>
      </c>
      <c r="U64" s="40">
        <v>0</v>
      </c>
      <c r="V64" s="34">
        <v>45.81</v>
      </c>
      <c r="W64" s="40">
        <v>9.7999999999999989</v>
      </c>
      <c r="X64" s="4">
        <f>IF(H64="Senior",MAX(T64,V64),T64+V64)</f>
        <v>83.48</v>
      </c>
      <c r="Y64" s="34">
        <v>42.47</v>
      </c>
      <c r="Z64" s="40">
        <v>7.9</v>
      </c>
      <c r="AA64" s="33">
        <v>38.22</v>
      </c>
      <c r="AB64" s="40">
        <v>0</v>
      </c>
      <c r="AC64" s="34">
        <v>47.5</v>
      </c>
      <c r="AD64" s="40">
        <v>10</v>
      </c>
      <c r="AE64" s="4">
        <f>IF(H64="Senior",MAX(AA64,AC64),AA64+AC64)</f>
        <v>85.72</v>
      </c>
      <c r="AF64" s="34">
        <v>47.05</v>
      </c>
      <c r="AG64" s="37">
        <v>10</v>
      </c>
    </row>
    <row r="65" spans="1:33" x14ac:dyDescent="0.2">
      <c r="A65" s="1" t="str" cm="1">
        <f t="array" ref="A65">IF(I65="","",IF(P65&lt;&gt;"",SUMPRODUCT((P$3:P$90&lt;&gt;"")*(G$3:G$90=G65)*(J$3:J$90&gt;J65)*(I$3:I$90="P"))+1,IF(O65&lt;&gt;"",SUMPRODUCT((O$3:O$90&lt;&gt;"")*(P$3:P$90="")*(G$3:G$90=G65)*(J$3:J$90&gt;J65)*(I$3:I$90="P"))+SUMPRODUCT((P$3:P$90&lt;&gt;"")*(G$3:G$90=G65)*(I$3:I$90="P"))+1,IF(N65&lt;&gt;"",SUMPRODUCT((N$3:N$90&lt;&gt;"")*(G$3:G$90=G65)*(J$3:J$90&gt;J65)*(I$3:I$90="P"))+1,IF(M65="P",SUMPRODUCT((O$3:O$90&lt;&gt;"")*(P$3:P$90="")*(G$3:G$90=G65)*(I$3:I$90="P"))+SUMPRODUCT((P$3:P$90&lt;&gt;"")*(G$3:G$90=G65)*(I$3:I$90="P"))+SUMPRODUCT((N$3:N$90&lt;&gt;"")*(G$3:G$90=G65)*(I$3:I$90="P"))+SUMPRODUCT((P$3:P$90="")*(O$3:O$90="")*(N$3:N$90="")*(M$3:M$90="P")*(G$3:G$90=G65)*(J$3:J$90&gt;J65)*(I$3:I$90="P"))+IF(H65="L5",SUMPRODUCT((P$3:P$90="")*(O$3:O$90="")*(N$3:N$90="")*(M$3:M$90="P")*(G$3:G$90=G65)*(J$3:J$90&lt;J65)*(H$3:H$90&lt;&gt;H65)*(I$3:I$90="P")),-1*SUMPRODUCT((P$3:P$90="")*(O$3:O$90="")*(N$3:N$90="")*(M$3:M$90="P")*(G$3:G$90=G65)*(J$3:J$90&gt;J65)*(H$3:H$90="L5")*(I$3:I$90="P")))+1,"")))))</f>
        <v/>
      </c>
      <c r="B65" s="1" t="str" cm="1">
        <f t="array" ref="B65">IF(P65&lt;&gt;"",SUMPRODUCT((P$3:P$90&lt;&gt;"")*(G$3:G$90=G65)*(J$3:J$90&gt;J65))+1,IF(O65&lt;&gt;"",SUMPRODUCT((O$3:O$90&lt;&gt;"")*(P$3:P$90="")*(G$3:G$90=G65)*(J$3:J$90&gt;J65))+SUMPRODUCT((P$3:P$90&lt;&gt;"")*(G$3:G$90=G65))+1,IF(N65&lt;&gt;"",SUMPRODUCT((N$3:N$90&lt;&gt;"")*(G$3:G$90=G65)*(J$3:J$90&gt;J65))+1,IF(M65="P",SUMPRODUCT((O$3:O$90&lt;&gt;"")*(P$3:P$90="")*(G$3:G$90=G65))+SUMPRODUCT((P$3:P$90&lt;&gt;"")*(G$3:G$90=G65))+SUMPRODUCT((N$3:N$90&lt;&gt;"")*(G$3:G$90=G65))+SUMPRODUCT((P$3:P$90="")*(O$3:O$90="")*(N$3:N$90="")*(M$3:M$90="P")*(G$3:G$90=G65)*(J$3:J$90&gt;J65))+IF(H65="L5",SUMPRODUCT((P$3:P$90="")*(O$3:O$90="")*(N$3:N$90="")*(M$3:M$90="P")*(G$3:G$90=G65)*(J$3:J$90&lt;J65)*(H$3:H$90&lt;&gt;H65)),-1*SUMPRODUCT((P$3:P$90="")*(O$3:O$90="")*(N$3:N$90="")*(M$3:M$90="P")*(G$3:G$90=G65)*(J$3:J$90&gt;J65)*(H$3:H$90="L5")))+1,""))))</f>
        <v/>
      </c>
      <c r="C65" s="36" t="s">
        <v>382</v>
      </c>
      <c r="D65" s="36" t="str">
        <f>IF(E65="","",VLOOKUP(E65,'Coaching Points'!A:B,2,0))</f>
        <v>ON</v>
      </c>
      <c r="E65" s="36" t="s">
        <v>573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8.5310000000000001E-6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Scores'!B$13,T65,0),IF(W65&gt;='Qualifying Scores'!B$13,V65,0),IF(Z65&gt;='Qualifying Scores'!B$13,Y65,0),IF(AB65&gt;='Qualifying Scores'!B$13,AA65,0),IF(AD65&gt;'Qualifying Scores'!B$13,AC65,0),IF(AG65&gt;'Qualifying Scores'!B$13,AF65,0)),MAX(IF(OR(AND(G65="15-16",W65&gt;='Qualifying Scores'!B$12),AND(G65="13-14",W65&gt;='Qualifying Scores'!B$11),AND(G65="11-12",W65&gt;='Qualifying Scores'!B$10)),X65,0),IF(OR(AND(G65="15-16",AD65&gt;='Qualifying Scores'!B$12),AND(G65="13-14",AD65&gt;='Qualifying Scores'!B$11),AND(G65="11-12",AD65&gt;='Qualifying Scores'!B$10)),AE65,0))))</f>
        <v>0</v>
      </c>
      <c r="S65" s="4">
        <f>IF(G65="17-21",MAX(T65,V65,Y65,AA65,AC65,AF65),MAX(X65,AE65))</f>
        <v>85.31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41.22</v>
      </c>
      <c r="AB65" s="40">
        <v>0</v>
      </c>
      <c r="AC65" s="34">
        <v>44.09</v>
      </c>
      <c r="AD65" s="40">
        <v>7.9</v>
      </c>
      <c r="AE65" s="4">
        <f>IF(H65="Senior",MAX(AA65,AC65),AA65+AC65)</f>
        <v>85.31</v>
      </c>
      <c r="AF65" s="34">
        <v>46.83</v>
      </c>
      <c r="AG65" s="37">
        <v>9.1</v>
      </c>
    </row>
    <row r="66" spans="1:33" x14ac:dyDescent="0.2">
      <c r="A66" s="1" t="str" cm="1">
        <f t="array" ref="A66">IF(I66="","",IF(P66&lt;&gt;"",SUMPRODUCT((P$3:P$90&lt;&gt;"")*(G$3:G$90=G66)*(J$3:J$90&gt;J66)*(I$3:I$90="P"))+1,IF(O66&lt;&gt;"",SUMPRODUCT((O$3:O$90&lt;&gt;"")*(P$3:P$90="")*(G$3:G$90=G66)*(J$3:J$90&gt;J66)*(I$3:I$90="P"))+SUMPRODUCT((P$3:P$90&lt;&gt;"")*(G$3:G$90=G66)*(I$3:I$90="P"))+1,IF(N66&lt;&gt;"",SUMPRODUCT((N$3:N$90&lt;&gt;"")*(G$3:G$90=G66)*(J$3:J$90&gt;J66)*(I$3:I$90="P"))+1,IF(M66="P",SUMPRODUCT((O$3:O$90&lt;&gt;"")*(P$3:P$90="")*(G$3:G$90=G66)*(I$3:I$90="P"))+SUMPRODUCT((P$3:P$90&lt;&gt;"")*(G$3:G$90=G66)*(I$3:I$90="P"))+SUMPRODUCT((N$3:N$90&lt;&gt;"")*(G$3:G$90=G66)*(I$3:I$90="P"))+SUMPRODUCT((P$3:P$90="")*(O$3:O$90="")*(N$3:N$90="")*(M$3:M$90="P")*(G$3:G$90=G66)*(J$3:J$90&gt;J66)*(I$3:I$90="P"))+IF(H66="L5",SUMPRODUCT((P$3:P$90="")*(O$3:O$90="")*(N$3:N$90="")*(M$3:M$90="P")*(G$3:G$90=G66)*(J$3:J$90&lt;J66)*(H$3:H$90&lt;&gt;H66)*(I$3:I$90="P")),-1*SUMPRODUCT((P$3:P$90="")*(O$3:O$90="")*(N$3:N$90="")*(M$3:M$90="P")*(G$3:G$90=G66)*(J$3:J$90&gt;J66)*(H$3:H$90="L5")*(I$3:I$90="P")))+1,"")))))</f>
        <v/>
      </c>
      <c r="B66" s="1" t="str" cm="1">
        <f t="array" ref="B66">IF(P66&lt;&gt;"",SUMPRODUCT((P$3:P$90&lt;&gt;"")*(G$3:G$90=G66)*(J$3:J$90&gt;J66))+1,IF(O66&lt;&gt;"",SUMPRODUCT((O$3:O$90&lt;&gt;"")*(P$3:P$90="")*(G$3:G$90=G66)*(J$3:J$90&gt;J66))+SUMPRODUCT((P$3:P$90&lt;&gt;"")*(G$3:G$90=G66))+1,IF(N66&lt;&gt;"",SUMPRODUCT((N$3:N$90&lt;&gt;"")*(G$3:G$90=G66)*(J$3:J$90&gt;J66))+1,IF(M66="P",SUMPRODUCT((O$3:O$90&lt;&gt;"")*(P$3:P$90="")*(G$3:G$90=G66))+SUMPRODUCT((P$3:P$90&lt;&gt;"")*(G$3:G$90=G66))+SUMPRODUCT((N$3:N$90&lt;&gt;"")*(G$3:G$90=G66))+SUMPRODUCT((P$3:P$90="")*(O$3:O$90="")*(N$3:N$90="")*(M$3:M$90="P")*(G$3:G$90=G66)*(J$3:J$90&gt;J66))+IF(H66="L5",SUMPRODUCT((P$3:P$90="")*(O$3:O$90="")*(N$3:N$90="")*(M$3:M$90="P")*(G$3:G$90=G66)*(J$3:J$90&lt;J66)*(H$3:H$90&lt;&gt;H66)),-1*SUMPRODUCT((P$3:P$90="")*(O$3:O$90="")*(N$3:N$90="")*(M$3:M$90="P")*(G$3:G$90=G66)*(J$3:J$90&gt;J66)*(H$3:H$90="L5")))+1,""))))</f>
        <v/>
      </c>
      <c r="C66" s="36" t="s">
        <v>386</v>
      </c>
      <c r="D66" s="36" t="str">
        <f>IF(E66="","",VLOOKUP(E66,'Coaching Points'!A:B,2,0))</f>
        <v>NB</v>
      </c>
      <c r="E66" s="36" t="s">
        <v>49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8.4979999999999989E-6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Scores'!B$13,T66,0),IF(W66&gt;='Qualifying Scores'!B$13,V66,0),IF(Z66&gt;='Qualifying Scores'!B$13,Y66,0),IF(AB66&gt;='Qualifying Scores'!B$13,AA66,0),IF(AD66&gt;'Qualifying Scores'!B$13,AC66,0),IF(AG66&gt;'Qualifying Scores'!B$13,AF66,0)),MAX(IF(OR(AND(G66="15-16",W66&gt;='Qualifying Scores'!B$12),AND(G66="13-14",W66&gt;='Qualifying Scores'!B$11),AND(G66="11-12",W66&gt;='Qualifying Scores'!B$10)),X66,0),IF(OR(AND(G66="15-16",AD66&gt;='Qualifying Scores'!B$12),AND(G66="13-14",AD66&gt;='Qualifying Scores'!B$11),AND(G66="11-12",AD66&gt;='Qualifying Scores'!B$10)),AE66,0))))</f>
        <v>0</v>
      </c>
      <c r="S66" s="4">
        <f>IF(G66="17-21",MAX(T66,V66,Y66,AA66,AC66,AF66),MAX(X66,AE66))</f>
        <v>84.97999999999999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38.44</v>
      </c>
      <c r="AB66" s="40">
        <v>0</v>
      </c>
      <c r="AC66" s="34">
        <v>46.54</v>
      </c>
      <c r="AD66" s="40">
        <v>10.199999999999999</v>
      </c>
      <c r="AE66" s="4">
        <f>IF(H66="Senior",MAX(AA66,AC66),AA66+AC66)</f>
        <v>84.97999999999999</v>
      </c>
      <c r="AF66" s="34">
        <v>32.47</v>
      </c>
      <c r="AG66" s="37">
        <v>6.2</v>
      </c>
    </row>
    <row r="67" spans="1:33" x14ac:dyDescent="0.2">
      <c r="A67" s="1" t="str" cm="1">
        <f t="array" ref="A67">IF(I67="","",IF(P67&lt;&gt;"",SUMPRODUCT((P$3:P$90&lt;&gt;"")*(G$3:G$90=G67)*(J$3:J$90&gt;J67)*(I$3:I$90="P"))+1,IF(O67&lt;&gt;"",SUMPRODUCT((O$3:O$90&lt;&gt;"")*(P$3:P$90="")*(G$3:G$90=G67)*(J$3:J$90&gt;J67)*(I$3:I$90="P"))+SUMPRODUCT((P$3:P$90&lt;&gt;"")*(G$3:G$90=G67)*(I$3:I$90="P"))+1,IF(N67&lt;&gt;"",SUMPRODUCT((N$3:N$90&lt;&gt;"")*(G$3:G$90=G67)*(J$3:J$90&gt;J67)*(I$3:I$90="P"))+1,IF(M67="P",SUMPRODUCT((O$3:O$90&lt;&gt;"")*(P$3:P$90="")*(G$3:G$90=G67)*(I$3:I$90="P"))+SUMPRODUCT((P$3:P$90&lt;&gt;"")*(G$3:G$90=G67)*(I$3:I$90="P"))+SUMPRODUCT((N$3:N$90&lt;&gt;"")*(G$3:G$90=G67)*(I$3:I$90="P"))+SUMPRODUCT((P$3:P$90="")*(O$3:O$90="")*(N$3:N$90="")*(M$3:M$90="P")*(G$3:G$90=G67)*(J$3:J$90&gt;J67)*(I$3:I$90="P"))+IF(H67="L5",SUMPRODUCT((P$3:P$90="")*(O$3:O$90="")*(N$3:N$90="")*(M$3:M$90="P")*(G$3:G$90=G67)*(J$3:J$90&lt;J67)*(H$3:H$90&lt;&gt;H67)*(I$3:I$90="P")),-1*SUMPRODUCT((P$3:P$90="")*(O$3:O$90="")*(N$3:N$90="")*(M$3:M$90="P")*(G$3:G$90=G67)*(J$3:J$90&gt;J67)*(H$3:H$90="L5")*(I$3:I$90="P")))+1,"")))))</f>
        <v/>
      </c>
      <c r="B67" s="1" t="str" cm="1">
        <f t="array" ref="B67">IF(P67&lt;&gt;"",SUMPRODUCT((P$3:P$90&lt;&gt;"")*(G$3:G$90=G67)*(J$3:J$90&gt;J67))+1,IF(O67&lt;&gt;"",SUMPRODUCT((O$3:O$90&lt;&gt;"")*(P$3:P$90="")*(G$3:G$90=G67)*(J$3:J$90&gt;J67))+SUMPRODUCT((P$3:P$90&lt;&gt;"")*(G$3:G$90=G67))+1,IF(N67&lt;&gt;"",SUMPRODUCT((N$3:N$90&lt;&gt;"")*(G$3:G$90=G67)*(J$3:J$90&gt;J67))+1,IF(M67="P",SUMPRODUCT((O$3:O$90&lt;&gt;"")*(P$3:P$90="")*(G$3:G$90=G67))+SUMPRODUCT((P$3:P$90&lt;&gt;"")*(G$3:G$90=G67))+SUMPRODUCT((N$3:N$90&lt;&gt;"")*(G$3:G$90=G67))+SUMPRODUCT((P$3:P$90="")*(O$3:O$90="")*(N$3:N$90="")*(M$3:M$90="P")*(G$3:G$90=G67)*(J$3:J$90&gt;J67))+IF(H67="L5",SUMPRODUCT((P$3:P$90="")*(O$3:O$90="")*(N$3:N$90="")*(M$3:M$90="P")*(G$3:G$90=G67)*(J$3:J$90&lt;J67)*(H$3:H$90&lt;&gt;H67)),-1*SUMPRODUCT((P$3:P$90="")*(O$3:O$90="")*(N$3:N$90="")*(M$3:M$90="P")*(G$3:G$90=G67)*(J$3:J$90&gt;J67)*(H$3:H$90="L5")))+1,""))))</f>
        <v/>
      </c>
      <c r="C67" s="36" t="s">
        <v>182</v>
      </c>
      <c r="D67" s="36" t="str">
        <f>IF(E67="","",VLOOKUP(E67,'Coaching Points'!A:B,2,0))</f>
        <v>QC</v>
      </c>
      <c r="E67" s="36" t="s">
        <v>581</v>
      </c>
      <c r="F67" s="35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8.3460000000000011E-6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Scores'!B$13,T67,0),IF(W67&gt;='Qualifying Scores'!B$13,V67,0),IF(Z67&gt;='Qualifying Scores'!B$13,Y67,0),IF(AB67&gt;='Qualifying Scores'!B$13,AA67,0),IF(AD67&gt;'Qualifying Scores'!B$13,AC67,0),IF(AG67&gt;'Qualifying Scores'!B$13,AF67,0)),MAX(IF(OR(AND(G67="15-16",W67&gt;='Qualifying Scores'!B$12),AND(G67="13-14",W67&gt;='Qualifying Scores'!B$11),AND(G67="11-12",W67&gt;='Qualifying Scores'!B$10)),X67,0),IF(OR(AND(G67="15-16",AD67&gt;='Qualifying Scores'!B$12),AND(G67="13-14",AD67&gt;='Qualifying Scores'!B$11),AND(G67="11-12",AD67&gt;='Qualifying Scores'!B$10)),AE67,0))))</f>
        <v>0</v>
      </c>
      <c r="S67" s="4">
        <f>IF(G67="17-21",MAX(T67,V67,Y67,AA67,AC67,AF67),MAX(X67,AE67))</f>
        <v>83.87</v>
      </c>
      <c r="T67" s="33">
        <v>37.660000000000004</v>
      </c>
      <c r="U67" s="40">
        <v>0</v>
      </c>
      <c r="V67" s="34">
        <v>46.21</v>
      </c>
      <c r="W67" s="40">
        <v>7.6</v>
      </c>
      <c r="X67" s="4">
        <f>IF(H67="Senior",MAX(T67,V67),T67+V67)</f>
        <v>83.87</v>
      </c>
      <c r="Y67" s="34">
        <v>46.12</v>
      </c>
      <c r="Z67" s="40">
        <v>7.6</v>
      </c>
      <c r="AA67" s="33">
        <v>37.880000000000003</v>
      </c>
      <c r="AB67" s="40">
        <v>0</v>
      </c>
      <c r="AC67" s="34">
        <v>45.58</v>
      </c>
      <c r="AD67" s="40">
        <v>9.1999999999999993</v>
      </c>
      <c r="AE67" s="4">
        <f>IF(H67="Senior",MAX(AA67,AC67),AA67+AC67)</f>
        <v>83.460000000000008</v>
      </c>
      <c r="AF67" s="34">
        <v>47.39</v>
      </c>
      <c r="AG67" s="37">
        <v>9.1999999999999993</v>
      </c>
    </row>
    <row r="68" spans="1:33" x14ac:dyDescent="0.2">
      <c r="A68" s="1" t="str" cm="1">
        <f t="array" ref="A68">IF(I68="","",IF(P68&lt;&gt;"",SUMPRODUCT((P$3:P$90&lt;&gt;"")*(G$3:G$90=G68)*(J$3:J$90&gt;J68)*(I$3:I$90="P"))+1,IF(O68&lt;&gt;"",SUMPRODUCT((O$3:O$90&lt;&gt;"")*(P$3:P$90="")*(G$3:G$90=G68)*(J$3:J$90&gt;J68)*(I$3:I$90="P"))+SUMPRODUCT((P$3:P$90&lt;&gt;"")*(G$3:G$90=G68)*(I$3:I$90="P"))+1,IF(N68&lt;&gt;"",SUMPRODUCT((N$3:N$90&lt;&gt;"")*(G$3:G$90=G68)*(J$3:J$90&gt;J68)*(I$3:I$90="P"))+1,IF(M68="P",SUMPRODUCT((O$3:O$90&lt;&gt;"")*(P$3:P$90="")*(G$3:G$90=G68)*(I$3:I$90="P"))+SUMPRODUCT((P$3:P$90&lt;&gt;"")*(G$3:G$90=G68)*(I$3:I$90="P"))+SUMPRODUCT((N$3:N$90&lt;&gt;"")*(G$3:G$90=G68)*(I$3:I$90="P"))+SUMPRODUCT((P$3:P$90="")*(O$3:O$90="")*(N$3:N$90="")*(M$3:M$90="P")*(G$3:G$90=G68)*(J$3:J$90&gt;J68)*(I$3:I$90="P"))+IF(H68="L5",SUMPRODUCT((P$3:P$90="")*(O$3:O$90="")*(N$3:N$90="")*(M$3:M$90="P")*(G$3:G$90=G68)*(J$3:J$90&lt;J68)*(H$3:H$90&lt;&gt;H68)*(I$3:I$90="P")),-1*SUMPRODUCT((P$3:P$90="")*(O$3:O$90="")*(N$3:N$90="")*(M$3:M$90="P")*(G$3:G$90=G68)*(J$3:J$90&gt;J68)*(H$3:H$90="L5")*(I$3:I$90="P")))+1,"")))))</f>
        <v/>
      </c>
      <c r="B68" s="1" t="str" cm="1">
        <f t="array" ref="B68">IF(P68&lt;&gt;"",SUMPRODUCT((P$3:P$90&lt;&gt;"")*(G$3:G$90=G68)*(J$3:J$90&gt;J68))+1,IF(O68&lt;&gt;"",SUMPRODUCT((O$3:O$90&lt;&gt;"")*(P$3:P$90="")*(G$3:G$90=G68)*(J$3:J$90&gt;J68))+SUMPRODUCT((P$3:P$90&lt;&gt;"")*(G$3:G$90=G68))+1,IF(N68&lt;&gt;"",SUMPRODUCT((N$3:N$90&lt;&gt;"")*(G$3:G$90=G68)*(J$3:J$90&gt;J68))+1,IF(M68="P",SUMPRODUCT((O$3:O$90&lt;&gt;"")*(P$3:P$90="")*(G$3:G$90=G68))+SUMPRODUCT((P$3:P$90&lt;&gt;"")*(G$3:G$90=G68))+SUMPRODUCT((N$3:N$90&lt;&gt;"")*(G$3:G$90=G68))+SUMPRODUCT((P$3:P$90="")*(O$3:O$90="")*(N$3:N$90="")*(M$3:M$90="P")*(G$3:G$90=G68)*(J$3:J$90&gt;J68))+IF(H68="L5",SUMPRODUCT((P$3:P$90="")*(O$3:O$90="")*(N$3:N$90="")*(M$3:M$90="P")*(G$3:G$90=G68)*(J$3:J$90&lt;J68)*(H$3:H$90&lt;&gt;H68)),-1*SUMPRODUCT((P$3:P$90="")*(O$3:O$90="")*(N$3:N$90="")*(M$3:M$90="P")*(G$3:G$90=G68)*(J$3:J$90&gt;J68)*(H$3:H$90="L5")))+1,""))))</f>
        <v/>
      </c>
      <c r="C68" s="36" t="s">
        <v>186</v>
      </c>
      <c r="D68" s="36" t="str">
        <f>IF(E68="","",VLOOKUP(E68,'Coaching Points'!A:B,2,0))</f>
        <v>ON</v>
      </c>
      <c r="E68" s="36" t="s">
        <v>48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R68+IF(OR(H68="Junior",H68="Senior"),0.0002,IF(OR(H68="L7",H68="L6"),0.0001,0))+IF(G68="17-21",MAX(AA68,AC68,AF68),AE68)*0.0000001</f>
        <v>8.3229999999999981E-6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Scores'!B$13,T68,0),IF(W68&gt;='Qualifying Scores'!B$13,V68,0),IF(Z68&gt;='Qualifying Scores'!B$13,Y68,0),IF(AB68&gt;='Qualifying Scores'!B$13,AA68,0),IF(AD68&gt;'Qualifying Scores'!B$13,AC68,0),IF(AG68&gt;'Qualifying Scores'!B$13,AF68,0)),MAX(IF(OR(AND(G68="15-16",W68&gt;='Qualifying Scores'!B$12),AND(G68="13-14",W68&gt;='Qualifying Scores'!B$11),AND(G68="11-12",W68&gt;='Qualifying Scores'!B$10)),X68,0),IF(OR(AND(G68="15-16",AD68&gt;='Qualifying Scores'!B$12),AND(G68="13-14",AD68&gt;='Qualifying Scores'!B$11),AND(G68="11-12",AD68&gt;='Qualifying Scores'!B$10)),AE68,0))))</f>
        <v>0</v>
      </c>
      <c r="S68" s="4">
        <f>IF(G68="17-21",MAX(T68,V68,Y68,AA68,AC68,AF68),MAX(X68,AE68))</f>
        <v>83.22999999999999</v>
      </c>
      <c r="T68" s="33">
        <v>35.54</v>
      </c>
      <c r="U68" s="40">
        <v>0</v>
      </c>
      <c r="V68" s="34">
        <v>37.72</v>
      </c>
      <c r="W68" s="40">
        <v>1.5</v>
      </c>
      <c r="X68" s="4">
        <f>IF(H68="Senior",MAX(T68,V68),T68+V68)</f>
        <v>73.259999999999991</v>
      </c>
      <c r="Y68" s="34">
        <v>31.029999999999998</v>
      </c>
      <c r="Z68" s="40">
        <v>6.1</v>
      </c>
      <c r="AA68" s="33">
        <v>37.549999999999997</v>
      </c>
      <c r="AB68" s="40">
        <v>0</v>
      </c>
      <c r="AC68" s="34">
        <v>45.68</v>
      </c>
      <c r="AD68" s="40">
        <v>8.5</v>
      </c>
      <c r="AE68" s="4">
        <f>IF(H68="Senior",MAX(AA68,AC68),AA68+AC68)</f>
        <v>83.22999999999999</v>
      </c>
      <c r="AF68" s="34">
        <v>47.02</v>
      </c>
      <c r="AG68" s="37">
        <v>8.5</v>
      </c>
    </row>
    <row r="69" spans="1:33" x14ac:dyDescent="0.2">
      <c r="A69" s="1" t="str" cm="1">
        <f t="array" ref="A69">IF(I69="","",IF(P69&lt;&gt;"",SUMPRODUCT((P$3:P$90&lt;&gt;"")*(G$3:G$90=G69)*(J$3:J$90&gt;J69)*(I$3:I$90="P"))+1,IF(O69&lt;&gt;"",SUMPRODUCT((O$3:O$90&lt;&gt;"")*(P$3:P$90="")*(G$3:G$90=G69)*(J$3:J$90&gt;J69)*(I$3:I$90="P"))+SUMPRODUCT((P$3:P$90&lt;&gt;"")*(G$3:G$90=G69)*(I$3:I$90="P"))+1,IF(N69&lt;&gt;"",SUMPRODUCT((N$3:N$90&lt;&gt;"")*(G$3:G$90=G69)*(J$3:J$90&gt;J69)*(I$3:I$90="P"))+1,IF(M69="P",SUMPRODUCT((O$3:O$90&lt;&gt;"")*(P$3:P$90="")*(G$3:G$90=G69)*(I$3:I$90="P"))+SUMPRODUCT((P$3:P$90&lt;&gt;"")*(G$3:G$90=G69)*(I$3:I$90="P"))+SUMPRODUCT((N$3:N$90&lt;&gt;"")*(G$3:G$90=G69)*(I$3:I$90="P"))+SUMPRODUCT((P$3:P$90="")*(O$3:O$90="")*(N$3:N$90="")*(M$3:M$90="P")*(G$3:G$90=G69)*(J$3:J$90&gt;J69)*(I$3:I$90="P"))+IF(H69="L5",SUMPRODUCT((P$3:P$90="")*(O$3:O$90="")*(N$3:N$90="")*(M$3:M$90="P")*(G$3:G$90=G69)*(J$3:J$90&lt;J69)*(H$3:H$90&lt;&gt;H69)*(I$3:I$90="P")),-1*SUMPRODUCT((P$3:P$90="")*(O$3:O$90="")*(N$3:N$90="")*(M$3:M$90="P")*(G$3:G$90=G69)*(J$3:J$90&gt;J69)*(H$3:H$90="L5")*(I$3:I$90="P")))+1,"")))))</f>
        <v/>
      </c>
      <c r="B69" s="1" t="str" cm="1">
        <f t="array" ref="B69">IF(P69&lt;&gt;"",SUMPRODUCT((P$3:P$90&lt;&gt;"")*(G$3:G$90=G69)*(J$3:J$90&gt;J69))+1,IF(O69&lt;&gt;"",SUMPRODUCT((O$3:O$90&lt;&gt;"")*(P$3:P$90="")*(G$3:G$90=G69)*(J$3:J$90&gt;J69))+SUMPRODUCT((P$3:P$90&lt;&gt;"")*(G$3:G$90=G69))+1,IF(N69&lt;&gt;"",SUMPRODUCT((N$3:N$90&lt;&gt;"")*(G$3:G$90=G69)*(J$3:J$90&gt;J69))+1,IF(M69="P",SUMPRODUCT((O$3:O$90&lt;&gt;"")*(P$3:P$90="")*(G$3:G$90=G69))+SUMPRODUCT((P$3:P$90&lt;&gt;"")*(G$3:G$90=G69))+SUMPRODUCT((N$3:N$90&lt;&gt;"")*(G$3:G$90=G69))+SUMPRODUCT((P$3:P$90="")*(O$3:O$90="")*(N$3:N$90="")*(M$3:M$90="P")*(G$3:G$90=G69)*(J$3:J$90&gt;J69))+IF(H69="L5",SUMPRODUCT((P$3:P$90="")*(O$3:O$90="")*(N$3:N$90="")*(M$3:M$90="P")*(G$3:G$90=G69)*(J$3:J$90&lt;J69)*(H$3:H$90&lt;&gt;H69)),-1*SUMPRODUCT((P$3:P$90="")*(O$3:O$90="")*(N$3:N$90="")*(M$3:M$90="P")*(G$3:G$90=G69)*(J$3:J$90&gt;J69)*(H$3:H$90="L5")))+1,""))))</f>
        <v/>
      </c>
      <c r="C69" s="36" t="s">
        <v>385</v>
      </c>
      <c r="D69" s="36" t="str">
        <f>IF(E69="","",VLOOKUP(E69,'Coaching Points'!A:B,2,0))</f>
        <v>ON</v>
      </c>
      <c r="E69" s="36" t="s">
        <v>48</v>
      </c>
      <c r="F69" s="35">
        <v>2006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8.1409999999999988E-6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Scores'!B$13,T69,0),IF(W69&gt;='Qualifying Scores'!B$13,V69,0),IF(Z69&gt;='Qualifying Scores'!B$13,Y69,0),IF(AB69&gt;='Qualifying Scores'!B$13,AA69,0),IF(AD69&gt;'Qualifying Scores'!B$13,AC69,0),IF(AG69&gt;'Qualifying Scores'!B$13,AF69,0)),MAX(IF(OR(AND(G69="15-16",W69&gt;='Qualifying Scores'!B$12),AND(G69="13-14",W69&gt;='Qualifying Scores'!B$11),AND(G69="11-12",W69&gt;='Qualifying Scores'!B$10)),X69,0),IF(OR(AND(G69="15-16",AD69&gt;='Qualifying Scores'!B$12),AND(G69="13-14",AD69&gt;='Qualifying Scores'!B$11),AND(G69="11-12",AD69&gt;='Qualifying Scores'!B$10)),AE69,0))))</f>
        <v>0</v>
      </c>
      <c r="S69" s="4">
        <f>IF(G69="17-21",MAX(T69,V69,Y69,AA69,AC69,AF69),MAX(X69,AE69))</f>
        <v>81.41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36.06</v>
      </c>
      <c r="AB69" s="40">
        <v>0</v>
      </c>
      <c r="AC69" s="34">
        <v>45.35</v>
      </c>
      <c r="AD69" s="40">
        <v>8.5</v>
      </c>
      <c r="AE69" s="4">
        <f>IF(H69="Senior",MAX(AA69,AC69),AA69+AC69)</f>
        <v>81.41</v>
      </c>
      <c r="AF69" s="34"/>
      <c r="AG69" s="37"/>
    </row>
    <row r="70" spans="1:33" x14ac:dyDescent="0.2">
      <c r="A70" s="1" t="str" cm="1">
        <f t="array" ref="A70">IF(I70="","",IF(P70&lt;&gt;"",SUMPRODUCT((P$3:P$90&lt;&gt;"")*(G$3:G$90=G70)*(J$3:J$90&gt;J70)*(I$3:I$90="P"))+1,IF(O70&lt;&gt;"",SUMPRODUCT((O$3:O$90&lt;&gt;"")*(P$3:P$90="")*(G$3:G$90=G70)*(J$3:J$90&gt;J70)*(I$3:I$90="P"))+SUMPRODUCT((P$3:P$90&lt;&gt;"")*(G$3:G$90=G70)*(I$3:I$90="P"))+1,IF(N70&lt;&gt;"",SUMPRODUCT((N$3:N$90&lt;&gt;"")*(G$3:G$90=G70)*(J$3:J$90&gt;J70)*(I$3:I$90="P"))+1,IF(M70="P",SUMPRODUCT((O$3:O$90&lt;&gt;"")*(P$3:P$90="")*(G$3:G$90=G70)*(I$3:I$90="P"))+SUMPRODUCT((P$3:P$90&lt;&gt;"")*(G$3:G$90=G70)*(I$3:I$90="P"))+SUMPRODUCT((N$3:N$90&lt;&gt;"")*(G$3:G$90=G70)*(I$3:I$90="P"))+SUMPRODUCT((P$3:P$90="")*(O$3:O$90="")*(N$3:N$90="")*(M$3:M$90="P")*(G$3:G$90=G70)*(J$3:J$90&gt;J70)*(I$3:I$90="P"))+IF(H70="L5",SUMPRODUCT((P$3:P$90="")*(O$3:O$90="")*(N$3:N$90="")*(M$3:M$90="P")*(G$3:G$90=G70)*(J$3:J$90&lt;J70)*(H$3:H$90&lt;&gt;H70)*(I$3:I$90="P")),-1*SUMPRODUCT((P$3:P$90="")*(O$3:O$90="")*(N$3:N$90="")*(M$3:M$90="P")*(G$3:G$90=G70)*(J$3:J$90&gt;J70)*(H$3:H$90="L5")*(I$3:I$90="P")))+1,"")))))</f>
        <v/>
      </c>
      <c r="B70" s="1" t="str" cm="1">
        <f t="array" ref="B70">IF(P70&lt;&gt;"",SUMPRODUCT((P$3:P$90&lt;&gt;"")*(G$3:G$90=G70)*(J$3:J$90&gt;J70))+1,IF(O70&lt;&gt;"",SUMPRODUCT((O$3:O$90&lt;&gt;"")*(P$3:P$90="")*(G$3:G$90=G70)*(J$3:J$90&gt;J70))+SUMPRODUCT((P$3:P$90&lt;&gt;"")*(G$3:G$90=G70))+1,IF(N70&lt;&gt;"",SUMPRODUCT((N$3:N$90&lt;&gt;"")*(G$3:G$90=G70)*(J$3:J$90&gt;J70))+1,IF(M70="P",SUMPRODUCT((O$3:O$90&lt;&gt;"")*(P$3:P$90="")*(G$3:G$90=G70))+SUMPRODUCT((P$3:P$90&lt;&gt;"")*(G$3:G$90=G70))+SUMPRODUCT((N$3:N$90&lt;&gt;"")*(G$3:G$90=G70))+SUMPRODUCT((P$3:P$90="")*(O$3:O$90="")*(N$3:N$90="")*(M$3:M$90="P")*(G$3:G$90=G70)*(J$3:J$90&gt;J70))+IF(H70="L5",SUMPRODUCT((P$3:P$90="")*(O$3:O$90="")*(N$3:N$90="")*(M$3:M$90="P")*(G$3:G$90=G70)*(J$3:J$90&lt;J70)*(H$3:H$90&lt;&gt;H70)),-1*SUMPRODUCT((P$3:P$90="")*(O$3:O$90="")*(N$3:N$90="")*(M$3:M$90="P")*(G$3:G$90=G70)*(J$3:J$90&gt;J70)*(H$3:H$90="L5")))+1,""))))</f>
        <v/>
      </c>
      <c r="C70" s="36" t="s">
        <v>388</v>
      </c>
      <c r="D70" s="36" t="str">
        <f>IF(E70="","",VLOOKUP(E70,'Coaching Points'!A:B,2,0))</f>
        <v>SK</v>
      </c>
      <c r="E70" s="36" t="s">
        <v>70</v>
      </c>
      <c r="F70" s="35">
        <v>2007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8.0839999999999992E-6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Scores'!B$13,T70,0),IF(W70&gt;='Qualifying Scores'!B$13,V70,0),IF(Z70&gt;='Qualifying Scores'!B$13,Y70,0),IF(AB70&gt;='Qualifying Scores'!B$13,AA70,0),IF(AD70&gt;'Qualifying Scores'!B$13,AC70,0),IF(AG70&gt;'Qualifying Scores'!B$13,AF70,0)),MAX(IF(OR(AND(G70="15-16",W70&gt;='Qualifying Scores'!B$12),AND(G70="13-14",W70&gt;='Qualifying Scores'!B$11),AND(G70="11-12",W70&gt;='Qualifying Scores'!B$10)),X70,0),IF(OR(AND(G70="15-16",AD70&gt;='Qualifying Scores'!B$12),AND(G70="13-14",AD70&gt;='Qualifying Scores'!B$11),AND(G70="11-12",AD70&gt;='Qualifying Scores'!B$10)),AE70,0))))</f>
        <v>0</v>
      </c>
      <c r="S70" s="4">
        <f>IF(G70="17-21",MAX(T70,V70,Y70,AA70,AC70,AF70),MAX(X70,AE70))</f>
        <v>80.84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36.71</v>
      </c>
      <c r="AB70" s="40">
        <v>0</v>
      </c>
      <c r="AC70" s="34">
        <v>44.13</v>
      </c>
      <c r="AD70" s="40">
        <v>9.1</v>
      </c>
      <c r="AE70" s="4">
        <f>IF(H70="Senior",MAX(AA70,AC70),AA70+AC70)</f>
        <v>80.84</v>
      </c>
      <c r="AF70" s="34"/>
      <c r="AG70" s="37"/>
    </row>
    <row r="71" spans="1:33" x14ac:dyDescent="0.2">
      <c r="A71" s="1" t="str" cm="1">
        <f t="array" ref="A71">IF(I71="","",IF(P71&lt;&gt;"",SUMPRODUCT((P$3:P$90&lt;&gt;"")*(G$3:G$90=G71)*(J$3:J$90&gt;J71)*(I$3:I$90="P"))+1,IF(O71&lt;&gt;"",SUMPRODUCT((O$3:O$90&lt;&gt;"")*(P$3:P$90="")*(G$3:G$90=G71)*(J$3:J$90&gt;J71)*(I$3:I$90="P"))+SUMPRODUCT((P$3:P$90&lt;&gt;"")*(G$3:G$90=G71)*(I$3:I$90="P"))+1,IF(N71&lt;&gt;"",SUMPRODUCT((N$3:N$90&lt;&gt;"")*(G$3:G$90=G71)*(J$3:J$90&gt;J71)*(I$3:I$90="P"))+1,IF(M71="P",SUMPRODUCT((O$3:O$90&lt;&gt;"")*(P$3:P$90="")*(G$3:G$90=G71)*(I$3:I$90="P"))+SUMPRODUCT((P$3:P$90&lt;&gt;"")*(G$3:G$90=G71)*(I$3:I$90="P"))+SUMPRODUCT((N$3:N$90&lt;&gt;"")*(G$3:G$90=G71)*(I$3:I$90="P"))+SUMPRODUCT((P$3:P$90="")*(O$3:O$90="")*(N$3:N$90="")*(M$3:M$90="P")*(G$3:G$90=G71)*(J$3:J$90&gt;J71)*(I$3:I$90="P"))+IF(H71="L5",SUMPRODUCT((P$3:P$90="")*(O$3:O$90="")*(N$3:N$90="")*(M$3:M$90="P")*(G$3:G$90=G71)*(J$3:J$90&lt;J71)*(H$3:H$90&lt;&gt;H71)*(I$3:I$90="P")),-1*SUMPRODUCT((P$3:P$90="")*(O$3:O$90="")*(N$3:N$90="")*(M$3:M$90="P")*(G$3:G$90=G71)*(J$3:J$90&gt;J71)*(H$3:H$90="L5")*(I$3:I$90="P")))+1,"")))))</f>
        <v/>
      </c>
      <c r="B71" s="1" t="str" cm="1">
        <f t="array" ref="B71">IF(P71&lt;&gt;"",SUMPRODUCT((P$3:P$90&lt;&gt;"")*(G$3:G$90=G71)*(J$3:J$90&gt;J71))+1,IF(O71&lt;&gt;"",SUMPRODUCT((O$3:O$90&lt;&gt;"")*(P$3:P$90="")*(G$3:G$90=G71)*(J$3:J$90&gt;J71))+SUMPRODUCT((P$3:P$90&lt;&gt;"")*(G$3:G$90=G71))+1,IF(N71&lt;&gt;"",SUMPRODUCT((N$3:N$90&lt;&gt;"")*(G$3:G$90=G71)*(J$3:J$90&gt;J71))+1,IF(M71="P",SUMPRODUCT((O$3:O$90&lt;&gt;"")*(P$3:P$90="")*(G$3:G$90=G71))+SUMPRODUCT((P$3:P$90&lt;&gt;"")*(G$3:G$90=G71))+SUMPRODUCT((N$3:N$90&lt;&gt;"")*(G$3:G$90=G71))+SUMPRODUCT((P$3:P$90="")*(O$3:O$90="")*(N$3:N$90="")*(M$3:M$90="P")*(G$3:G$90=G71)*(J$3:J$90&gt;J71))+IF(H71="L5",SUMPRODUCT((P$3:P$90="")*(O$3:O$90="")*(N$3:N$90="")*(M$3:M$90="P")*(G$3:G$90=G71)*(J$3:J$90&lt;J71)*(H$3:H$90&lt;&gt;H71)),-1*SUMPRODUCT((P$3:P$90="")*(O$3:O$90="")*(N$3:N$90="")*(M$3:M$90="P")*(G$3:G$90=G71)*(J$3:J$90&gt;J71)*(H$3:H$90="L5")))+1,""))))</f>
        <v/>
      </c>
      <c r="C71" s="36" t="s">
        <v>390</v>
      </c>
      <c r="D71" s="36" t="str">
        <f>IF(E71="","",VLOOKUP(E71,'Coaching Points'!A:B,2,0))</f>
        <v>ON</v>
      </c>
      <c r="E71" s="36" t="s">
        <v>573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5.8909999999999992E-6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Scores'!B$13,T71,0),IF(W71&gt;='Qualifying Scores'!B$13,V71,0),IF(Z71&gt;='Qualifying Scores'!B$13,Y71,0),IF(AB71&gt;='Qualifying Scores'!B$13,AA71,0),IF(AD71&gt;'Qualifying Scores'!B$13,AC71,0),IF(AG71&gt;'Qualifying Scores'!B$13,AF71,0)),MAX(IF(OR(AND(G71="15-16",W71&gt;='Qualifying Scores'!B$12),AND(G71="13-14",W71&gt;='Qualifying Scores'!B$11),AND(G71="11-12",W71&gt;='Qualifying Scores'!B$10)),X71,0),IF(OR(AND(G71="15-16",AD71&gt;='Qualifying Scores'!B$12),AND(G71="13-14",AD71&gt;='Qualifying Scores'!B$11),AND(G71="11-12",AD71&gt;='Qualifying Scores'!B$10)),AE71,0))))</f>
        <v>0</v>
      </c>
      <c r="S71" s="4">
        <f>IF(G71="17-21",MAX(T71,V71,Y71,AA71,AC71,AF71),MAX(X71,AE71))</f>
        <v>58.91</v>
      </c>
      <c r="T71" s="33"/>
      <c r="U71" s="40"/>
      <c r="V71" s="34"/>
      <c r="W71" s="40"/>
      <c r="X71" s="4">
        <f>IF(H71="Senior",MAX(T71,V71),T71+V71)</f>
        <v>0</v>
      </c>
      <c r="Y71" s="34"/>
      <c r="Z71" s="40"/>
      <c r="AA71" s="33">
        <v>39.03</v>
      </c>
      <c r="AB71" s="40">
        <v>0</v>
      </c>
      <c r="AC71" s="34">
        <v>19.88</v>
      </c>
      <c r="AD71" s="40">
        <v>4.5999999999999996</v>
      </c>
      <c r="AE71" s="4">
        <f>IF(H71="Senior",MAX(AA71,AC71),AA71+AC71)</f>
        <v>58.91</v>
      </c>
      <c r="AF71" s="34"/>
      <c r="AG71" s="37"/>
    </row>
    <row r="72" spans="1:33" x14ac:dyDescent="0.2">
      <c r="A72" s="1" t="str" cm="1">
        <f t="array" ref="A72">IF(I72="","",IF(P72&lt;&gt;"",SUMPRODUCT((P$3:P$90&lt;&gt;"")*(G$3:G$90=G72)*(J$3:J$90&gt;J72)*(I$3:I$90="P"))+1,IF(O72&lt;&gt;"",SUMPRODUCT((O$3:O$90&lt;&gt;"")*(P$3:P$90="")*(G$3:G$90=G72)*(J$3:J$90&gt;J72)*(I$3:I$90="P"))+SUMPRODUCT((P$3:P$90&lt;&gt;"")*(G$3:G$90=G72)*(I$3:I$90="P"))+1,IF(N72&lt;&gt;"",SUMPRODUCT((N$3:N$90&lt;&gt;"")*(G$3:G$90=G72)*(J$3:J$90&gt;J72)*(I$3:I$90="P"))+1,IF(M72="P",SUMPRODUCT((O$3:O$90&lt;&gt;"")*(P$3:P$90="")*(G$3:G$90=G72)*(I$3:I$90="P"))+SUMPRODUCT((P$3:P$90&lt;&gt;"")*(G$3:G$90=G72)*(I$3:I$90="P"))+SUMPRODUCT((N$3:N$90&lt;&gt;"")*(G$3:G$90=G72)*(I$3:I$90="P"))+SUMPRODUCT((P$3:P$90="")*(O$3:O$90="")*(N$3:N$90="")*(M$3:M$90="P")*(G$3:G$90=G72)*(J$3:J$90&gt;J72)*(I$3:I$90="P"))+IF(H72="L5",SUMPRODUCT((P$3:P$90="")*(O$3:O$90="")*(N$3:N$90="")*(M$3:M$90="P")*(G$3:G$90=G72)*(J$3:J$90&lt;J72)*(H$3:H$90&lt;&gt;H72)*(I$3:I$90="P")),-1*SUMPRODUCT((P$3:P$90="")*(O$3:O$90="")*(N$3:N$90="")*(M$3:M$90="P")*(G$3:G$90=G72)*(J$3:J$90&gt;J72)*(H$3:H$90="L5")*(I$3:I$90="P")))+1,"")))))</f>
        <v/>
      </c>
      <c r="B72" s="1" t="str" cm="1">
        <f t="array" ref="B72">IF(P72&lt;&gt;"",SUMPRODUCT((P$3:P$90&lt;&gt;"")*(G$3:G$90=G72)*(J$3:J$90&gt;J72))+1,IF(O72&lt;&gt;"",SUMPRODUCT((O$3:O$90&lt;&gt;"")*(P$3:P$90="")*(G$3:G$90=G72)*(J$3:J$90&gt;J72))+SUMPRODUCT((P$3:P$90&lt;&gt;"")*(G$3:G$90=G72))+1,IF(N72&lt;&gt;"",SUMPRODUCT((N$3:N$90&lt;&gt;"")*(G$3:G$90=G72)*(J$3:J$90&gt;J72))+1,IF(M72="P",SUMPRODUCT((O$3:O$90&lt;&gt;"")*(P$3:P$90="")*(G$3:G$90=G72))+SUMPRODUCT((P$3:P$90&lt;&gt;"")*(G$3:G$90=G72))+SUMPRODUCT((N$3:N$90&lt;&gt;"")*(G$3:G$90=G72))+SUMPRODUCT((P$3:P$90="")*(O$3:O$90="")*(N$3:N$90="")*(M$3:M$90="P")*(G$3:G$90=G72)*(J$3:J$90&gt;J72))+IF(H72="L5",SUMPRODUCT((P$3:P$90="")*(O$3:O$90="")*(N$3:N$90="")*(M$3:M$90="P")*(G$3:G$90=G72)*(J$3:J$90&lt;J72)*(H$3:H$90&lt;&gt;H72)),-1*SUMPRODUCT((P$3:P$90="")*(O$3:O$90="")*(N$3:N$90="")*(M$3:M$90="P")*(G$3:G$90=G72)*(J$3:J$90&gt;J72)*(H$3:H$90="L5")))+1,""))))</f>
        <v/>
      </c>
      <c r="C72" s="36" t="s">
        <v>188</v>
      </c>
      <c r="D72" s="36" t="str">
        <f>IF(E72="","",VLOOKUP(E72,'Coaching Points'!A:B,2,0))</f>
        <v>NB</v>
      </c>
      <c r="E72" s="36" t="s">
        <v>49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5.6329999999999993E-6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Scores'!B$13,T72,0),IF(W72&gt;='Qualifying Scores'!B$13,V72,0),IF(Z72&gt;='Qualifying Scores'!B$13,Y72,0),IF(AB72&gt;='Qualifying Scores'!B$13,AA72,0),IF(AD72&gt;'Qualifying Scores'!B$13,AC72,0),IF(AG72&gt;'Qualifying Scores'!B$13,AF72,0)),MAX(IF(OR(AND(G72="15-16",W72&gt;='Qualifying Scores'!B$12),AND(G72="13-14",W72&gt;='Qualifying Scores'!B$11),AND(G72="11-12",W72&gt;='Qualifying Scores'!B$10)),X72,0),IF(OR(AND(G72="15-16",AD72&gt;='Qualifying Scores'!B$12),AND(G72="13-14",AD72&gt;='Qualifying Scores'!B$11),AND(G72="11-12",AD72&gt;='Qualifying Scores'!B$10)),AE72,0))))</f>
        <v>0</v>
      </c>
      <c r="S72" s="4">
        <f>IF(G72="17-21",MAX(T72,V72,Y72,AA72,AC72,AF72),MAX(X72,AE72))</f>
        <v>56.33</v>
      </c>
      <c r="T72" s="33">
        <v>11.760000000000002</v>
      </c>
      <c r="U72" s="40">
        <v>0</v>
      </c>
      <c r="V72" s="34">
        <v>18.37</v>
      </c>
      <c r="W72" s="40">
        <v>4</v>
      </c>
      <c r="X72" s="4">
        <f>IF(H72="Senior",MAX(T72,V72),T72+V72)</f>
        <v>30.130000000000003</v>
      </c>
      <c r="Y72" s="34">
        <v>9.86</v>
      </c>
      <c r="Z72" s="40">
        <v>0</v>
      </c>
      <c r="AA72" s="33">
        <v>39.14</v>
      </c>
      <c r="AB72" s="40">
        <v>0</v>
      </c>
      <c r="AC72" s="34">
        <v>17.190000000000001</v>
      </c>
      <c r="AD72" s="40">
        <v>3.5</v>
      </c>
      <c r="AE72" s="4">
        <f>IF(H72="Senior",MAX(AA72,AC72),AA72+AC72)</f>
        <v>56.33</v>
      </c>
      <c r="AF72" s="34"/>
      <c r="AG72" s="37"/>
    </row>
    <row r="73" spans="1:33" x14ac:dyDescent="0.2">
      <c r="A73" s="1" t="str" cm="1">
        <f t="array" ref="A73">IF(I73="","",IF(P73&lt;&gt;"",SUMPRODUCT((P$3:P$90&lt;&gt;"")*(G$3:G$90=G73)*(J$3:J$90&gt;J73)*(I$3:I$90="P"))+1,IF(O73&lt;&gt;"",SUMPRODUCT((O$3:O$90&lt;&gt;"")*(P$3:P$90="")*(G$3:G$90=G73)*(J$3:J$90&gt;J73)*(I$3:I$90="P"))+SUMPRODUCT((P$3:P$90&lt;&gt;"")*(G$3:G$90=G73)*(I$3:I$90="P"))+1,IF(N73&lt;&gt;"",SUMPRODUCT((N$3:N$90&lt;&gt;"")*(G$3:G$90=G73)*(J$3:J$90&gt;J73)*(I$3:I$90="P"))+1,IF(M73="P",SUMPRODUCT((O$3:O$90&lt;&gt;"")*(P$3:P$90="")*(G$3:G$90=G73)*(I$3:I$90="P"))+SUMPRODUCT((P$3:P$90&lt;&gt;"")*(G$3:G$90=G73)*(I$3:I$90="P"))+SUMPRODUCT((N$3:N$90&lt;&gt;"")*(G$3:G$90=G73)*(I$3:I$90="P"))+SUMPRODUCT((P$3:P$90="")*(O$3:O$90="")*(N$3:N$90="")*(M$3:M$90="P")*(G$3:G$90=G73)*(J$3:J$90&gt;J73)*(I$3:I$90="P"))+IF(H73="L5",SUMPRODUCT((P$3:P$90="")*(O$3:O$90="")*(N$3:N$90="")*(M$3:M$90="P")*(G$3:G$90=G73)*(J$3:J$90&lt;J73)*(H$3:H$90&lt;&gt;H73)*(I$3:I$90="P")),-1*SUMPRODUCT((P$3:P$90="")*(O$3:O$90="")*(N$3:N$90="")*(M$3:M$90="P")*(G$3:G$90=G73)*(J$3:J$90&gt;J73)*(H$3:H$90="L5")*(I$3:I$90="P")))+1,"")))))</f>
        <v/>
      </c>
      <c r="B73" s="1" t="str" cm="1">
        <f t="array" ref="B73">IF(P73&lt;&gt;"",SUMPRODUCT((P$3:P$90&lt;&gt;"")*(G$3:G$90=G73)*(J$3:J$90&gt;J73))+1,IF(O73&lt;&gt;"",SUMPRODUCT((O$3:O$90&lt;&gt;"")*(P$3:P$90="")*(G$3:G$90=G73)*(J$3:J$90&gt;J73))+SUMPRODUCT((P$3:P$90&lt;&gt;"")*(G$3:G$90=G73))+1,IF(N73&lt;&gt;"",SUMPRODUCT((N$3:N$90&lt;&gt;"")*(G$3:G$90=G73)*(J$3:J$90&gt;J73))+1,IF(M73="P",SUMPRODUCT((O$3:O$90&lt;&gt;"")*(P$3:P$90="")*(G$3:G$90=G73))+SUMPRODUCT((P$3:P$90&lt;&gt;"")*(G$3:G$90=G73))+SUMPRODUCT((N$3:N$90&lt;&gt;"")*(G$3:G$90=G73))+SUMPRODUCT((P$3:P$90="")*(O$3:O$90="")*(N$3:N$90="")*(M$3:M$90="P")*(G$3:G$90=G73)*(J$3:J$90&gt;J73))+IF(H73="L5",SUMPRODUCT((P$3:P$90="")*(O$3:O$90="")*(N$3:N$90="")*(M$3:M$90="P")*(G$3:G$90=G73)*(J$3:J$90&lt;J73)*(H$3:H$90&lt;&gt;H73)),-1*SUMPRODUCT((P$3:P$90="")*(O$3:O$90="")*(N$3:N$90="")*(M$3:M$90="P")*(G$3:G$90=G73)*(J$3:J$90&gt;J73)*(H$3:H$90="L5")))+1,""))))</f>
        <v/>
      </c>
      <c r="C73" s="36" t="s">
        <v>183</v>
      </c>
      <c r="D73" s="36" t="str">
        <f>IF(E73="","",VLOOKUP(E73,'Coaching Points'!A:B,2,0))</f>
        <v>BC</v>
      </c>
      <c r="E73" s="36" t="s">
        <v>80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5.4530000000000001E-6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Scores'!B$13,T73,0),IF(W73&gt;='Qualifying Scores'!B$13,V73,0),IF(Z73&gt;='Qualifying Scores'!B$13,Y73,0),IF(AB73&gt;='Qualifying Scores'!B$13,AA73,0),IF(AD73&gt;'Qualifying Scores'!B$13,AC73,0),IF(AG73&gt;'Qualifying Scores'!B$13,AF73,0)),MAX(IF(OR(AND(G73="15-16",W73&gt;='Qualifying Scores'!B$12),AND(G73="13-14",W73&gt;='Qualifying Scores'!B$11),AND(G73="11-12",W73&gt;='Qualifying Scores'!B$10)),X73,0),IF(OR(AND(G73="15-16",AD73&gt;='Qualifying Scores'!B$12),AND(G73="13-14",AD73&gt;='Qualifying Scores'!B$11),AND(G73="11-12",AD73&gt;='Qualifying Scores'!B$10)),AE73,0))))</f>
        <v>0</v>
      </c>
      <c r="S73" s="4">
        <f>IF(G73="17-21",MAX(T73,V73,Y73,AA73,AC73,AF73),MAX(X73,AE73))</f>
        <v>81.69</v>
      </c>
      <c r="T73" s="33">
        <v>36.19</v>
      </c>
      <c r="U73" s="40">
        <v>0</v>
      </c>
      <c r="V73" s="34">
        <v>45.5</v>
      </c>
      <c r="W73" s="40">
        <v>9.1</v>
      </c>
      <c r="X73" s="4">
        <f>IF(H73="Senior",MAX(T73,V73),T73+V73)</f>
        <v>81.69</v>
      </c>
      <c r="Y73" s="34">
        <v>46.04</v>
      </c>
      <c r="Z73" s="40">
        <v>9.1</v>
      </c>
      <c r="AA73" s="33">
        <v>39.69</v>
      </c>
      <c r="AB73" s="40">
        <v>0</v>
      </c>
      <c r="AC73" s="34">
        <v>14.84</v>
      </c>
      <c r="AD73" s="40">
        <v>3.4</v>
      </c>
      <c r="AE73" s="4">
        <f>IF(H73="Senior",MAX(AA73,AC73),AA73+AC73)</f>
        <v>54.53</v>
      </c>
      <c r="AF73" s="34"/>
      <c r="AG73" s="37"/>
    </row>
    <row r="74" spans="1:33" x14ac:dyDescent="0.2">
      <c r="A74" s="1" t="str" cm="1">
        <f t="array" ref="A74">IF(I74="","",IF(P74&lt;&gt;"",SUMPRODUCT((P$3:P$90&lt;&gt;"")*(G$3:G$90=G74)*(J$3:J$90&gt;J74)*(I$3:I$90="P"))+1,IF(O74&lt;&gt;"",SUMPRODUCT((O$3:O$90&lt;&gt;"")*(P$3:P$90="")*(G$3:G$90=G74)*(J$3:J$90&gt;J74)*(I$3:I$90="P"))+SUMPRODUCT((P$3:P$90&lt;&gt;"")*(G$3:G$90=G74)*(I$3:I$90="P"))+1,IF(N74&lt;&gt;"",SUMPRODUCT((N$3:N$90&lt;&gt;"")*(G$3:G$90=G74)*(J$3:J$90&gt;J74)*(I$3:I$90="P"))+1,IF(M74="P",SUMPRODUCT((O$3:O$90&lt;&gt;"")*(P$3:P$90="")*(G$3:G$90=G74)*(I$3:I$90="P"))+SUMPRODUCT((P$3:P$90&lt;&gt;"")*(G$3:G$90=G74)*(I$3:I$90="P"))+SUMPRODUCT((N$3:N$90&lt;&gt;"")*(G$3:G$90=G74)*(I$3:I$90="P"))+SUMPRODUCT((P$3:P$90="")*(O$3:O$90="")*(N$3:N$90="")*(M$3:M$90="P")*(G$3:G$90=G74)*(J$3:J$90&gt;J74)*(I$3:I$90="P"))+IF(H74="L5",SUMPRODUCT((P$3:P$90="")*(O$3:O$90="")*(N$3:N$90="")*(M$3:M$90="P")*(G$3:G$90=G74)*(J$3:J$90&lt;J74)*(H$3:H$90&lt;&gt;H74)*(I$3:I$90="P")),-1*SUMPRODUCT((P$3:P$90="")*(O$3:O$90="")*(N$3:N$90="")*(M$3:M$90="P")*(G$3:G$90=G74)*(J$3:J$90&gt;J74)*(H$3:H$90="L5")*(I$3:I$90="P")))+1,"")))))</f>
        <v/>
      </c>
      <c r="B74" s="1" t="str" cm="1">
        <f t="array" ref="B74">IF(P74&lt;&gt;"",SUMPRODUCT((P$3:P$90&lt;&gt;"")*(G$3:G$90=G74)*(J$3:J$90&gt;J74))+1,IF(O74&lt;&gt;"",SUMPRODUCT((O$3:O$90&lt;&gt;"")*(P$3:P$90="")*(G$3:G$90=G74)*(J$3:J$90&gt;J74))+SUMPRODUCT((P$3:P$90&lt;&gt;"")*(G$3:G$90=G74))+1,IF(N74&lt;&gt;"",SUMPRODUCT((N$3:N$90&lt;&gt;"")*(G$3:G$90=G74)*(J$3:J$90&gt;J74))+1,IF(M74="P",SUMPRODUCT((O$3:O$90&lt;&gt;"")*(P$3:P$90="")*(G$3:G$90=G74))+SUMPRODUCT((P$3:P$90&lt;&gt;"")*(G$3:G$90=G74))+SUMPRODUCT((N$3:N$90&lt;&gt;"")*(G$3:G$90=G74))+SUMPRODUCT((P$3:P$90="")*(O$3:O$90="")*(N$3:N$90="")*(M$3:M$90="P")*(G$3:G$90=G74)*(J$3:J$90&gt;J74))+IF(H74="L5",SUMPRODUCT((P$3:P$90="")*(O$3:O$90="")*(N$3:N$90="")*(M$3:M$90="P")*(G$3:G$90=G74)*(J$3:J$90&lt;J74)*(H$3:H$90&lt;&gt;H74)),-1*SUMPRODUCT((P$3:P$90="")*(O$3:O$90="")*(N$3:N$90="")*(M$3:M$90="P")*(G$3:G$90=G74)*(J$3:J$90&gt;J74)*(H$3:H$90="L5")))+1,""))))</f>
        <v/>
      </c>
      <c r="C74" s="36" t="s">
        <v>383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5.2400000000000007E-6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Scores'!B$13,T74,0),IF(W74&gt;='Qualifying Scores'!B$13,V74,0),IF(Z74&gt;='Qualifying Scores'!B$13,Y74,0),IF(AB74&gt;='Qualifying Scores'!B$13,AA74,0),IF(AD74&gt;'Qualifying Scores'!B$13,AC74,0),IF(AG74&gt;'Qualifying Scores'!B$13,AF74,0)),MAX(IF(OR(AND(G74="15-16",W74&gt;='Qualifying Scores'!B$12),AND(G74="13-14",W74&gt;='Qualifying Scores'!B$11),AND(G74="11-12",W74&gt;='Qualifying Scores'!B$10)),X74,0),IF(OR(AND(G74="15-16",AD74&gt;='Qualifying Scores'!B$12),AND(G74="13-14",AD74&gt;='Qualifying Scores'!B$11),AND(G74="11-12",AD74&gt;='Qualifying Scores'!B$10)),AE74,0))))</f>
        <v>0</v>
      </c>
      <c r="S74" s="4">
        <f>IF(G74="17-21",MAX(T74,V74,Y74,AA74,AC74,AF74),MAX(X74,AE74))</f>
        <v>52.400000000000006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>
        <v>37.6</v>
      </c>
      <c r="AB74" s="40">
        <v>0</v>
      </c>
      <c r="AC74" s="34">
        <v>14.8</v>
      </c>
      <c r="AD74" s="40">
        <v>2.9</v>
      </c>
      <c r="AE74" s="4">
        <f>IF(H74="Senior",MAX(AA74,AC74),AA74+AC74)</f>
        <v>52.400000000000006</v>
      </c>
      <c r="AF74" s="34"/>
      <c r="AG74" s="37"/>
    </row>
    <row r="75" spans="1:33" x14ac:dyDescent="0.2">
      <c r="A75" s="1" t="str" cm="1">
        <f t="array" ref="A75">IF(I75="","",IF(P75&lt;&gt;"",SUMPRODUCT((P$3:P$90&lt;&gt;"")*(G$3:G$90=G75)*(J$3:J$90&gt;J75)*(I$3:I$90="P"))+1,IF(O75&lt;&gt;"",SUMPRODUCT((O$3:O$90&lt;&gt;"")*(P$3:P$90="")*(G$3:G$90=G75)*(J$3:J$90&gt;J75)*(I$3:I$90="P"))+SUMPRODUCT((P$3:P$90&lt;&gt;"")*(G$3:G$90=G75)*(I$3:I$90="P"))+1,IF(N75&lt;&gt;"",SUMPRODUCT((N$3:N$90&lt;&gt;"")*(G$3:G$90=G75)*(J$3:J$90&gt;J75)*(I$3:I$90="P"))+1,IF(M75="P",SUMPRODUCT((O$3:O$90&lt;&gt;"")*(P$3:P$90="")*(G$3:G$90=G75)*(I$3:I$90="P"))+SUMPRODUCT((P$3:P$90&lt;&gt;"")*(G$3:G$90=G75)*(I$3:I$90="P"))+SUMPRODUCT((N$3:N$90&lt;&gt;"")*(G$3:G$90=G75)*(I$3:I$90="P"))+SUMPRODUCT((P$3:P$90="")*(O$3:O$90="")*(N$3:N$90="")*(M$3:M$90="P")*(G$3:G$90=G75)*(J$3:J$90&gt;J75)*(I$3:I$90="P"))+IF(H75="L5",SUMPRODUCT((P$3:P$90="")*(O$3:O$90="")*(N$3:N$90="")*(M$3:M$90="P")*(G$3:G$90=G75)*(J$3:J$90&lt;J75)*(H$3:H$90&lt;&gt;H75)*(I$3:I$90="P")),-1*SUMPRODUCT((P$3:P$90="")*(O$3:O$90="")*(N$3:N$90="")*(M$3:M$90="P")*(G$3:G$90=G75)*(J$3:J$90&gt;J75)*(H$3:H$90="L5")*(I$3:I$90="P")))+1,"")))))</f>
        <v/>
      </c>
      <c r="B75" s="1" t="str" cm="1">
        <f t="array" ref="B75">IF(P75&lt;&gt;"",SUMPRODUCT((P$3:P$90&lt;&gt;"")*(G$3:G$90=G75)*(J$3:J$90&gt;J75))+1,IF(O75&lt;&gt;"",SUMPRODUCT((O$3:O$90&lt;&gt;"")*(P$3:P$90="")*(G$3:G$90=G75)*(J$3:J$90&gt;J75))+SUMPRODUCT((P$3:P$90&lt;&gt;"")*(G$3:G$90=G75))+1,IF(N75&lt;&gt;"",SUMPRODUCT((N$3:N$90&lt;&gt;"")*(G$3:G$90=G75)*(J$3:J$90&gt;J75))+1,IF(M75="P",SUMPRODUCT((O$3:O$90&lt;&gt;"")*(P$3:P$90="")*(G$3:G$90=G75))+SUMPRODUCT((P$3:P$90&lt;&gt;"")*(G$3:G$90=G75))+SUMPRODUCT((N$3:N$90&lt;&gt;"")*(G$3:G$90=G75))+SUMPRODUCT((P$3:P$90="")*(O$3:O$90="")*(N$3:N$90="")*(M$3:M$90="P")*(G$3:G$90=G75)*(J$3:J$90&gt;J75))+IF(H75="L5",SUMPRODUCT((P$3:P$90="")*(O$3:O$90="")*(N$3:N$90="")*(M$3:M$90="P")*(G$3:G$90=G75)*(J$3:J$90&lt;J75)*(H$3:H$90&lt;&gt;H75)),-1*SUMPRODUCT((P$3:P$90="")*(O$3:O$90="")*(N$3:N$90="")*(M$3:M$90="P")*(G$3:G$90=G75)*(J$3:J$90&gt;J75)*(H$3:H$90="L5")))+1,""))))</f>
        <v/>
      </c>
      <c r="C75" s="36" t="s">
        <v>384</v>
      </c>
      <c r="D75" s="36" t="str">
        <f>IF(E75="","",VLOOKUP(E75,'Coaching Points'!A:B,2,0))</f>
        <v>QC</v>
      </c>
      <c r="E75" s="36" t="s">
        <v>3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115</v>
      </c>
      <c r="I75" s="45"/>
      <c r="J75" s="4">
        <f>R75+IF(OR(H75="Junior",H75="Senior"),0.0002,IF(OR(H75="L7",H75="L6"),0.0001,0))+IF(G75="17-21",MAX(AA75,AC75,AF75),AE75)*0.0000001</f>
        <v>5.0039999999999999E-6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49" t="str">
        <f>IF(A75&lt;5,IF(_xlfn.MAXIFS(A:A,G:G,G75)&gt;3,5-A75,_xlfn.MAXIFS(A:A,G:G,G75)+1-A75),"")</f>
        <v/>
      </c>
      <c r="R75" s="4">
        <f>IF(G75="Not Age Eligible",0,IF(G75="17-21",MAX(IF(U75&gt;='Qualifying Scores'!B$13,T75,0),IF(W75&gt;='Qualifying Scores'!B$13,V75,0),IF(Z75&gt;='Qualifying Scores'!B$13,Y75,0),IF(AB75&gt;='Qualifying Scores'!B$13,AA75,0),IF(AD75&gt;'Qualifying Scores'!B$13,AC75,0),IF(AG75&gt;'Qualifying Scores'!B$13,AF75,0)),MAX(IF(OR(AND(G75="15-16",W75&gt;='Qualifying Scores'!B$12),AND(G75="13-14",W75&gt;='Qualifying Scores'!B$11),AND(G75="11-12",W75&gt;='Qualifying Scores'!B$10)),X75,0),IF(OR(AND(G75="15-16",AD75&gt;='Qualifying Scores'!B$12),AND(G75="13-14",AD75&gt;='Qualifying Scores'!B$11),AND(G75="11-12",AD75&gt;='Qualifying Scores'!B$10)),AE75,0))))</f>
        <v>0</v>
      </c>
      <c r="S75" s="4">
        <f>IF(G75="17-21",MAX(T75,V75,Y75,AA75,AC75,AF75),MAX(X75,AE75))</f>
        <v>50.04</v>
      </c>
      <c r="T75" s="33"/>
      <c r="U75" s="40"/>
      <c r="V75" s="34"/>
      <c r="W75" s="40"/>
      <c r="X75" s="4">
        <f>IF(H75="Senior",MAX(T75,V75),T75+V75)</f>
        <v>0</v>
      </c>
      <c r="Y75" s="34"/>
      <c r="Z75" s="40"/>
      <c r="AA75" s="33">
        <v>40.54</v>
      </c>
      <c r="AB75" s="40">
        <v>0</v>
      </c>
      <c r="AC75" s="34">
        <v>9.5</v>
      </c>
      <c r="AD75" s="40">
        <v>1.8</v>
      </c>
      <c r="AE75" s="4">
        <f>IF(H75="Senior",MAX(AA75,AC75),AA75+AC75)</f>
        <v>50.04</v>
      </c>
      <c r="AF75" s="34"/>
      <c r="AG75" s="37"/>
    </row>
    <row r="76" spans="1:33" x14ac:dyDescent="0.2">
      <c r="A76" s="1" t="str" cm="1">
        <f t="array" ref="A76">IF(I76="","",IF(P76&lt;&gt;"",SUMPRODUCT((P$3:P$90&lt;&gt;"")*(G$3:G$90=G76)*(J$3:J$90&gt;J76)*(I$3:I$90="P"))+1,IF(O76&lt;&gt;"",SUMPRODUCT((O$3:O$90&lt;&gt;"")*(P$3:P$90="")*(G$3:G$90=G76)*(J$3:J$90&gt;J76)*(I$3:I$90="P"))+SUMPRODUCT((P$3:P$90&lt;&gt;"")*(G$3:G$90=G76)*(I$3:I$90="P"))+1,IF(N76&lt;&gt;"",SUMPRODUCT((N$3:N$90&lt;&gt;"")*(G$3:G$90=G76)*(J$3:J$90&gt;J76)*(I$3:I$90="P"))+1,IF(M76="P",SUMPRODUCT((O$3:O$90&lt;&gt;"")*(P$3:P$90="")*(G$3:G$90=G76)*(I$3:I$90="P"))+SUMPRODUCT((P$3:P$90&lt;&gt;"")*(G$3:G$90=G76)*(I$3:I$90="P"))+SUMPRODUCT((N$3:N$90&lt;&gt;"")*(G$3:G$90=G76)*(I$3:I$90="P"))+SUMPRODUCT((P$3:P$90="")*(O$3:O$90="")*(N$3:N$90="")*(M$3:M$90="P")*(G$3:G$90=G76)*(J$3:J$90&gt;J76)*(I$3:I$90="P"))+IF(H76="L5",SUMPRODUCT((P$3:P$90="")*(O$3:O$90="")*(N$3:N$90="")*(M$3:M$90="P")*(G$3:G$90=G76)*(J$3:J$90&lt;J76)*(H$3:H$90&lt;&gt;H76)*(I$3:I$90="P")),-1*SUMPRODUCT((P$3:P$90="")*(O$3:O$90="")*(N$3:N$90="")*(M$3:M$90="P")*(G$3:G$90=G76)*(J$3:J$90&gt;J76)*(H$3:H$90="L5")*(I$3:I$90="P")))+1,"")))))</f>
        <v/>
      </c>
      <c r="B76" s="1" t="str" cm="1">
        <f t="array" ref="B76">IF(P76&lt;&gt;"",SUMPRODUCT((P$3:P$90&lt;&gt;"")*(G$3:G$90=G76)*(J$3:J$90&gt;J76))+1,IF(O76&lt;&gt;"",SUMPRODUCT((O$3:O$90&lt;&gt;"")*(P$3:P$90="")*(G$3:G$90=G76)*(J$3:J$90&gt;J76))+SUMPRODUCT((P$3:P$90&lt;&gt;"")*(G$3:G$90=G76))+1,IF(N76&lt;&gt;"",SUMPRODUCT((N$3:N$90&lt;&gt;"")*(G$3:G$90=G76)*(J$3:J$90&gt;J76))+1,IF(M76="P",SUMPRODUCT((O$3:O$90&lt;&gt;"")*(P$3:P$90="")*(G$3:G$90=G76))+SUMPRODUCT((P$3:P$90&lt;&gt;"")*(G$3:G$90=G76))+SUMPRODUCT((N$3:N$90&lt;&gt;"")*(G$3:G$90=G76))+SUMPRODUCT((P$3:P$90="")*(O$3:O$90="")*(N$3:N$90="")*(M$3:M$90="P")*(G$3:G$90=G76)*(J$3:J$90&gt;J76))+IF(H76="L5",SUMPRODUCT((P$3:P$90="")*(O$3:O$90="")*(N$3:N$90="")*(M$3:M$90="P")*(G$3:G$90=G76)*(J$3:J$90&lt;J76)*(H$3:H$90&lt;&gt;H76)),-1*SUMPRODUCT((P$3:P$90="")*(O$3:O$90="")*(N$3:N$90="")*(M$3:M$90="P")*(G$3:G$90=G76)*(J$3:J$90&gt;J76)*(H$3:H$90="L5")))+1,""))))</f>
        <v/>
      </c>
      <c r="C76" s="36" t="s">
        <v>391</v>
      </c>
      <c r="D76" s="36" t="str">
        <f>IF(E76="","",VLOOKUP(E76,'Coaching Points'!A:B,2,0))</f>
        <v>ON</v>
      </c>
      <c r="E76" s="36" t="s">
        <v>578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115</v>
      </c>
      <c r="I76" s="45"/>
      <c r="J76" s="4">
        <f>R76+IF(OR(H76="Junior",H76="Senior"),0.0002,IF(OR(H76="L7",H76="L6"),0.0001,0))+IF(G76="17-21",MAX(AA76,AC76,AF76),AE76)*0.0000001</f>
        <v>4.8289999999999998E-6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49" t="str">
        <f>IF(A76&lt;5,IF(_xlfn.MAXIFS(A:A,G:G,G76)&gt;3,5-A76,_xlfn.MAXIFS(A:A,G:G,G76)+1-A76),"")</f>
        <v/>
      </c>
      <c r="R76" s="4">
        <f>IF(G76="Not Age Eligible",0,IF(G76="17-21",MAX(IF(U76&gt;='Qualifying Scores'!B$13,T76,0),IF(W76&gt;='Qualifying Scores'!B$13,V76,0),IF(Z76&gt;='Qualifying Scores'!B$13,Y76,0),IF(AB76&gt;='Qualifying Scores'!B$13,AA76,0),IF(AD76&gt;'Qualifying Scores'!B$13,AC76,0),IF(AG76&gt;'Qualifying Scores'!B$13,AF76,0)),MAX(IF(OR(AND(G76="15-16",W76&gt;='Qualifying Scores'!B$12),AND(G76="13-14",W76&gt;='Qualifying Scores'!B$11),AND(G76="11-12",W76&gt;='Qualifying Scores'!B$10)),X76,0),IF(OR(AND(G76="15-16",AD76&gt;='Qualifying Scores'!B$12),AND(G76="13-14",AD76&gt;='Qualifying Scores'!B$11),AND(G76="11-12",AD76&gt;='Qualifying Scores'!B$10)),AE76,0))))</f>
        <v>0</v>
      </c>
      <c r="S76" s="4">
        <f>IF(G76="17-21",MAX(T76,V76,Y76,AA76,AC76,AF76),MAX(X76,AE76))</f>
        <v>48.29</v>
      </c>
      <c r="T76" s="33"/>
      <c r="U76" s="40"/>
      <c r="V76" s="34"/>
      <c r="W76" s="40"/>
      <c r="X76" s="4">
        <f>IF(H76="Senior",MAX(T76,V76),T76+V76)</f>
        <v>0</v>
      </c>
      <c r="Y76" s="34"/>
      <c r="Z76" s="40"/>
      <c r="AA76" s="33">
        <v>39.42</v>
      </c>
      <c r="AB76" s="40">
        <v>0</v>
      </c>
      <c r="AC76" s="34">
        <v>8.8699999999999992</v>
      </c>
      <c r="AD76" s="40">
        <v>1.9</v>
      </c>
      <c r="AE76" s="4">
        <f>IF(H76="Senior",MAX(AA76,AC76),AA76+AC76)</f>
        <v>48.29</v>
      </c>
      <c r="AF76" s="34"/>
      <c r="AG76" s="37"/>
    </row>
    <row r="77" spans="1:33" x14ac:dyDescent="0.2">
      <c r="A77" s="1" t="str" cm="1">
        <f t="array" ref="A77">IF(I77="","",IF(P77&lt;&gt;"",SUMPRODUCT((P$3:P$90&lt;&gt;"")*(G$3:G$90=G77)*(J$3:J$90&gt;J77)*(I$3:I$90="P"))+1,IF(O77&lt;&gt;"",SUMPRODUCT((O$3:O$90&lt;&gt;"")*(P$3:P$90="")*(G$3:G$90=G77)*(J$3:J$90&gt;J77)*(I$3:I$90="P"))+SUMPRODUCT((P$3:P$90&lt;&gt;"")*(G$3:G$90=G77)*(I$3:I$90="P"))+1,IF(N77&lt;&gt;"",SUMPRODUCT((N$3:N$90&lt;&gt;"")*(G$3:G$90=G77)*(J$3:J$90&gt;J77)*(I$3:I$90="P"))+1,IF(M77="P",SUMPRODUCT((O$3:O$90&lt;&gt;"")*(P$3:P$90="")*(G$3:G$90=G77)*(I$3:I$90="P"))+SUMPRODUCT((P$3:P$90&lt;&gt;"")*(G$3:G$90=G77)*(I$3:I$90="P"))+SUMPRODUCT((N$3:N$90&lt;&gt;"")*(G$3:G$90=G77)*(I$3:I$90="P"))+SUMPRODUCT((P$3:P$90="")*(O$3:O$90="")*(N$3:N$90="")*(M$3:M$90="P")*(G$3:G$90=G77)*(J$3:J$90&gt;J77)*(I$3:I$90="P"))+IF(H77="L5",SUMPRODUCT((P$3:P$90="")*(O$3:O$90="")*(N$3:N$90="")*(M$3:M$90="P")*(G$3:G$90=G77)*(J$3:J$90&lt;J77)*(H$3:H$90&lt;&gt;H77)*(I$3:I$90="P")),-1*SUMPRODUCT((P$3:P$90="")*(O$3:O$90="")*(N$3:N$90="")*(M$3:M$90="P")*(G$3:G$90=G77)*(J$3:J$90&gt;J77)*(H$3:H$90="L5")*(I$3:I$90="P")))+1,"")))))</f>
        <v/>
      </c>
      <c r="B77" s="1" t="str" cm="1">
        <f t="array" ref="B77">IF(P77&lt;&gt;"",SUMPRODUCT((P$3:P$90&lt;&gt;"")*(G$3:G$90=G77)*(J$3:J$90&gt;J77))+1,IF(O77&lt;&gt;"",SUMPRODUCT((O$3:O$90&lt;&gt;"")*(P$3:P$90="")*(G$3:G$90=G77)*(J$3:J$90&gt;J77))+SUMPRODUCT((P$3:P$90&lt;&gt;"")*(G$3:G$90=G77))+1,IF(N77&lt;&gt;"",SUMPRODUCT((N$3:N$90&lt;&gt;"")*(G$3:G$90=G77)*(J$3:J$90&gt;J77))+1,IF(M77="P",SUMPRODUCT((O$3:O$90&lt;&gt;"")*(P$3:P$90="")*(G$3:G$90=G77))+SUMPRODUCT((P$3:P$90&lt;&gt;"")*(G$3:G$90=G77))+SUMPRODUCT((N$3:N$90&lt;&gt;"")*(G$3:G$90=G77))+SUMPRODUCT((P$3:P$90="")*(O$3:O$90="")*(N$3:N$90="")*(M$3:M$90="P")*(G$3:G$90=G77)*(J$3:J$90&gt;J77))+IF(H77="L5",SUMPRODUCT((P$3:P$90="")*(O$3:O$90="")*(N$3:N$90="")*(M$3:M$90="P")*(G$3:G$90=G77)*(J$3:J$90&lt;J77)*(H$3:H$90&lt;&gt;H77)),-1*SUMPRODUCT((P$3:P$90="")*(O$3:O$90="")*(N$3:N$90="")*(M$3:M$90="P")*(G$3:G$90=G77)*(J$3:J$90&gt;J77)*(H$3:H$90="L5")))+1,""))))</f>
        <v/>
      </c>
      <c r="C77" s="36" t="s">
        <v>380</v>
      </c>
      <c r="D77" s="36" t="str">
        <f>IF(E77="","",VLOOKUP(E77,'Coaching Points'!A:B,2,0))</f>
        <v>ON</v>
      </c>
      <c r="E77" s="36" t="s">
        <v>224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115</v>
      </c>
      <c r="I77" s="45"/>
      <c r="J77" s="4">
        <f>R77+IF(OR(H77="Junior",H77="Senior"),0.0002,IF(OR(H77="L7",H77="L6"),0.0001,0))+IF(G77="17-21",MAX(AA77,AC77,AF77),AE77)*0.0000001</f>
        <v>4.7219999999999999E-6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49" t="str">
        <f>IF(A77&lt;5,IF(_xlfn.MAXIFS(A:A,G:G,G77)&gt;3,5-A77,_xlfn.MAXIFS(A:A,G:G,G77)+1-A77),"")</f>
        <v/>
      </c>
      <c r="R77" s="4">
        <f>IF(G77="Not Age Eligible",0,IF(G77="17-21",MAX(IF(U77&gt;='Qualifying Scores'!B$13,T77,0),IF(W77&gt;='Qualifying Scores'!B$13,V77,0),IF(Z77&gt;='Qualifying Scores'!B$13,Y77,0),IF(AB77&gt;='Qualifying Scores'!B$13,AA77,0),IF(AD77&gt;'Qualifying Scores'!B$13,AC77,0),IF(AG77&gt;'Qualifying Scores'!B$13,AF77,0)),MAX(IF(OR(AND(G77="15-16",W77&gt;='Qualifying Scores'!B$12),AND(G77="13-14",W77&gt;='Qualifying Scores'!B$11),AND(G77="11-12",W77&gt;='Qualifying Scores'!B$10)),X77,0),IF(OR(AND(G77="15-16",AD77&gt;='Qualifying Scores'!B$12),AND(G77="13-14",AD77&gt;='Qualifying Scores'!B$11),AND(G77="11-12",AD77&gt;='Qualifying Scores'!B$10)),AE77,0))))</f>
        <v>0</v>
      </c>
      <c r="S77" s="4">
        <f>IF(G77="17-21",MAX(T77,V77,Y77,AA77,AC77,AF77),MAX(X77,AE77))</f>
        <v>47.22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3.5</v>
      </c>
      <c r="AB77" s="40">
        <v>0</v>
      </c>
      <c r="AC77" s="34">
        <v>43.72</v>
      </c>
      <c r="AD77" s="40">
        <v>8.4</v>
      </c>
      <c r="AE77" s="4">
        <f>IF(H77="Senior",MAX(AA77,AC77),AA77+AC77)</f>
        <v>47.22</v>
      </c>
      <c r="AF77" s="34"/>
      <c r="AG77" s="37"/>
    </row>
    <row r="78" spans="1:33" x14ac:dyDescent="0.2">
      <c r="A78" s="1" t="str" cm="1">
        <f t="array" ref="A78">IF(I78="","",IF(P78&lt;&gt;"",SUMPRODUCT((P$3:P$90&lt;&gt;"")*(G$3:G$90=G78)*(J$3:J$90&gt;J78)*(I$3:I$90="P"))+1,IF(O78&lt;&gt;"",SUMPRODUCT((O$3:O$90&lt;&gt;"")*(P$3:P$90="")*(G$3:G$90=G78)*(J$3:J$90&gt;J78)*(I$3:I$90="P"))+SUMPRODUCT((P$3:P$90&lt;&gt;"")*(G$3:G$90=G78)*(I$3:I$90="P"))+1,IF(N78&lt;&gt;"",SUMPRODUCT((N$3:N$90&lt;&gt;"")*(G$3:G$90=G78)*(J$3:J$90&gt;J78)*(I$3:I$90="P"))+1,IF(M78="P",SUMPRODUCT((O$3:O$90&lt;&gt;"")*(P$3:P$90="")*(G$3:G$90=G78)*(I$3:I$90="P"))+SUMPRODUCT((P$3:P$90&lt;&gt;"")*(G$3:G$90=G78)*(I$3:I$90="P"))+SUMPRODUCT((N$3:N$90&lt;&gt;"")*(G$3:G$90=G78)*(I$3:I$90="P"))+SUMPRODUCT((P$3:P$90="")*(O$3:O$90="")*(N$3:N$90="")*(M$3:M$90="P")*(G$3:G$90=G78)*(J$3:J$90&gt;J78)*(I$3:I$90="P"))+IF(H78="L5",SUMPRODUCT((P$3:P$90="")*(O$3:O$90="")*(N$3:N$90="")*(M$3:M$90="P")*(G$3:G$90=G78)*(J$3:J$90&lt;J78)*(H$3:H$90&lt;&gt;H78)*(I$3:I$90="P")),-1*SUMPRODUCT((P$3:P$90="")*(O$3:O$90="")*(N$3:N$90="")*(M$3:M$90="P")*(G$3:G$90=G78)*(J$3:J$90&gt;J78)*(H$3:H$90="L5")*(I$3:I$90="P")))+1,"")))))</f>
        <v/>
      </c>
      <c r="B78" s="1" t="str" cm="1">
        <f t="array" ref="B78">IF(P78&lt;&gt;"",SUMPRODUCT((P$3:P$90&lt;&gt;"")*(G$3:G$90=G78)*(J$3:J$90&gt;J78))+1,IF(O78&lt;&gt;"",SUMPRODUCT((O$3:O$90&lt;&gt;"")*(P$3:P$90="")*(G$3:G$90=G78)*(J$3:J$90&gt;J78))+SUMPRODUCT((P$3:P$90&lt;&gt;"")*(G$3:G$90=G78))+1,IF(N78&lt;&gt;"",SUMPRODUCT((N$3:N$90&lt;&gt;"")*(G$3:G$90=G78)*(J$3:J$90&gt;J78))+1,IF(M78="P",SUMPRODUCT((O$3:O$90&lt;&gt;"")*(P$3:P$90="")*(G$3:G$90=G78))+SUMPRODUCT((P$3:P$90&lt;&gt;"")*(G$3:G$90=G78))+SUMPRODUCT((N$3:N$90&lt;&gt;"")*(G$3:G$90=G78))+SUMPRODUCT((P$3:P$90="")*(O$3:O$90="")*(N$3:N$90="")*(M$3:M$90="P")*(G$3:G$90=G78)*(J$3:J$90&gt;J78))+IF(H78="L5",SUMPRODUCT((P$3:P$90="")*(O$3:O$90="")*(N$3:N$90="")*(M$3:M$90="P")*(G$3:G$90=G78)*(J$3:J$90&lt;J78)*(H$3:H$90&lt;&gt;H78)),-1*SUMPRODUCT((P$3:P$90="")*(O$3:O$90="")*(N$3:N$90="")*(M$3:M$90="P")*(G$3:G$90=G78)*(J$3:J$90&gt;J78)*(H$3:H$90="L5")))+1,""))))</f>
        <v/>
      </c>
      <c r="C78" s="36" t="s">
        <v>379</v>
      </c>
      <c r="D78" s="36" t="str">
        <f>IF(E78="","",VLOOKUP(E78,'Coaching Points'!A:B,2,0))</f>
        <v>BC</v>
      </c>
      <c r="E78" s="36" t="s">
        <v>571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115</v>
      </c>
      <c r="I78" s="45"/>
      <c r="J78" s="4">
        <f>R78+IF(OR(H78="Junior",H78="Senior"),0.0002,IF(OR(H78="L7",H78="L6"),0.0001,0))+IF(G78="17-21",MAX(AA78,AC78,AF78),AE78)*0.0000001</f>
        <v>4.5299999999999998E-6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49" t="str">
        <f>IF(A78&lt;5,IF(_xlfn.MAXIFS(A:A,G:G,G78)&gt;3,5-A78,_xlfn.MAXIFS(A:A,G:G,G78)+1-A78),"")</f>
        <v/>
      </c>
      <c r="R78" s="4">
        <f>IF(G78="Not Age Eligible",0,IF(G78="17-21",MAX(IF(U78&gt;='Qualifying Scores'!B$13,T78,0),IF(W78&gt;='Qualifying Scores'!B$13,V78,0),IF(Z78&gt;='Qualifying Scores'!B$13,Y78,0),IF(AB78&gt;='Qualifying Scores'!B$13,AA78,0),IF(AD78&gt;'Qualifying Scores'!B$13,AC78,0),IF(AG78&gt;'Qualifying Scores'!B$13,AF78,0)),MAX(IF(OR(AND(G78="15-16",W78&gt;='Qualifying Scores'!B$12),AND(G78="13-14",W78&gt;='Qualifying Scores'!B$11),AND(G78="11-12",W78&gt;='Qualifying Scores'!B$10)),X78,0),IF(OR(AND(G78="15-16",AD78&gt;='Qualifying Scores'!B$12),AND(G78="13-14",AD78&gt;='Qualifying Scores'!B$11),AND(G78="11-12",AD78&gt;='Qualifying Scores'!B$10)),AE78,0))))</f>
        <v>0</v>
      </c>
      <c r="S78" s="4">
        <f>IF(G78="17-21",MAX(T78,V78,Y78,AA78,AC78,AF78),MAX(X78,AE78))</f>
        <v>45.3</v>
      </c>
      <c r="T78" s="33"/>
      <c r="U78" s="40"/>
      <c r="V78" s="34"/>
      <c r="W78" s="40"/>
      <c r="X78" s="4">
        <f>IF(H78="Senior",MAX(T78,V78),T78+V78)</f>
        <v>0</v>
      </c>
      <c r="Y78" s="34"/>
      <c r="Z78" s="40"/>
      <c r="AA78" s="33">
        <v>0</v>
      </c>
      <c r="AB78" s="40">
        <v>0</v>
      </c>
      <c r="AC78" s="34">
        <v>45.3</v>
      </c>
      <c r="AD78" s="40">
        <v>8.1999999999999993</v>
      </c>
      <c r="AE78" s="4">
        <f>IF(H78="Senior",MAX(AA78,AC78),AA78+AC78)</f>
        <v>45.3</v>
      </c>
      <c r="AF78" s="34"/>
      <c r="AG78" s="37"/>
    </row>
    <row r="79" spans="1:33" x14ac:dyDescent="0.2">
      <c r="A79" s="1" t="str" cm="1">
        <f t="array" ref="A79">IF(I79="","",IF(P79&lt;&gt;"",SUMPRODUCT((P$3:P$90&lt;&gt;"")*(G$3:G$90=G79)*(J$3:J$90&gt;J79)*(I$3:I$90="P"))+1,IF(O79&lt;&gt;"",SUMPRODUCT((O$3:O$90&lt;&gt;"")*(P$3:P$90="")*(G$3:G$90=G79)*(J$3:J$90&gt;J79)*(I$3:I$90="P"))+SUMPRODUCT((P$3:P$90&lt;&gt;"")*(G$3:G$90=G79)*(I$3:I$90="P"))+1,IF(N79&lt;&gt;"",SUMPRODUCT((N$3:N$90&lt;&gt;"")*(G$3:G$90=G79)*(J$3:J$90&gt;J79)*(I$3:I$90="P"))+1,IF(M79="P",SUMPRODUCT((O$3:O$90&lt;&gt;"")*(P$3:P$90="")*(G$3:G$90=G79)*(I$3:I$90="P"))+SUMPRODUCT((P$3:P$90&lt;&gt;"")*(G$3:G$90=G79)*(I$3:I$90="P"))+SUMPRODUCT((N$3:N$90&lt;&gt;"")*(G$3:G$90=G79)*(I$3:I$90="P"))+SUMPRODUCT((P$3:P$90="")*(O$3:O$90="")*(N$3:N$90="")*(M$3:M$90="P")*(G$3:G$90=G79)*(J$3:J$90&gt;J79)*(I$3:I$90="P"))+IF(H79="L5",SUMPRODUCT((P$3:P$90="")*(O$3:O$90="")*(N$3:N$90="")*(M$3:M$90="P")*(G$3:G$90=G79)*(J$3:J$90&lt;J79)*(H$3:H$90&lt;&gt;H79)*(I$3:I$90="P")),-1*SUMPRODUCT((P$3:P$90="")*(O$3:O$90="")*(N$3:N$90="")*(M$3:M$90="P")*(G$3:G$90=G79)*(J$3:J$90&gt;J79)*(H$3:H$90="L5")*(I$3:I$90="P")))+1,"")))))</f>
        <v/>
      </c>
      <c r="B79" s="1" t="str" cm="1">
        <f t="array" ref="B79">IF(P79&lt;&gt;"",SUMPRODUCT((P$3:P$90&lt;&gt;"")*(G$3:G$90=G79)*(J$3:J$90&gt;J79))+1,IF(O79&lt;&gt;"",SUMPRODUCT((O$3:O$90&lt;&gt;"")*(P$3:P$90="")*(G$3:G$90=G79)*(J$3:J$90&gt;J79))+SUMPRODUCT((P$3:P$90&lt;&gt;"")*(G$3:G$90=G79))+1,IF(N79&lt;&gt;"",SUMPRODUCT((N$3:N$90&lt;&gt;"")*(G$3:G$90=G79)*(J$3:J$90&gt;J79))+1,IF(M79="P",SUMPRODUCT((O$3:O$90&lt;&gt;"")*(P$3:P$90="")*(G$3:G$90=G79))+SUMPRODUCT((P$3:P$90&lt;&gt;"")*(G$3:G$90=G79))+SUMPRODUCT((N$3:N$90&lt;&gt;"")*(G$3:G$90=G79))+SUMPRODUCT((P$3:P$90="")*(O$3:O$90="")*(N$3:N$90="")*(M$3:M$90="P")*(G$3:G$90=G79)*(J$3:J$90&gt;J79))+IF(H79="L5",SUMPRODUCT((P$3:P$90="")*(O$3:O$90="")*(N$3:N$90="")*(M$3:M$90="P")*(G$3:G$90=G79)*(J$3:J$90&lt;J79)*(H$3:H$90&lt;&gt;H79)),-1*SUMPRODUCT((P$3:P$90="")*(O$3:O$90="")*(N$3:N$90="")*(M$3:M$90="P")*(G$3:G$90=G79)*(J$3:J$90&gt;J79)*(H$3:H$90="L5")))+1,""))))</f>
        <v/>
      </c>
      <c r="C79" s="36" t="s">
        <v>389</v>
      </c>
      <c r="D79" s="36" t="str">
        <f>IF(E79="","",VLOOKUP(E79,'Coaching Points'!A:B,2,0))</f>
        <v>ON</v>
      </c>
      <c r="E79" s="36" t="s">
        <v>158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115</v>
      </c>
      <c r="I79" s="45"/>
      <c r="J79" s="4">
        <f>R79+IF(OR(H79="Junior",H79="Senior"),0.0002,IF(OR(H79="L7",H79="L6"),0.0001,0))+IF(G79="17-21",MAX(AA79,AC79,AF79),AE79)*0.0000001</f>
        <v>4.4429999999999996E-6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Scores'!B$13,T79,0),IF(W79&gt;='Qualifying Scores'!B$13,V79,0),IF(Z79&gt;='Qualifying Scores'!B$13,Y79,0),IF(AB79&gt;='Qualifying Scores'!B$13,AA79,0),IF(AD79&gt;'Qualifying Scores'!B$13,AC79,0),IF(AG79&gt;'Qualifying Scores'!B$13,AF79,0)),MAX(IF(OR(AND(G79="15-16",W79&gt;='Qualifying Scores'!B$12),AND(G79="13-14",W79&gt;='Qualifying Scores'!B$11),AND(G79="11-12",W79&gt;='Qualifying Scores'!B$10)),X79,0),IF(OR(AND(G79="15-16",AD79&gt;='Qualifying Scores'!B$12),AND(G79="13-14",AD79&gt;='Qualifying Scores'!B$11),AND(G79="11-12",AD79&gt;='Qualifying Scores'!B$10)),AE79,0))))</f>
        <v>0</v>
      </c>
      <c r="S79" s="4">
        <f>IF(G79="17-21",MAX(T79,V79,Y79,AA79,AC79,AF79),MAX(X79,AE79))</f>
        <v>44.43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35.79</v>
      </c>
      <c r="AB79" s="40">
        <v>0</v>
      </c>
      <c r="AC79" s="34">
        <v>8.64</v>
      </c>
      <c r="AD79" s="40">
        <v>1.8</v>
      </c>
      <c r="AE79" s="4">
        <f>IF(H79="Senior",MAX(AA79,AC79),AA79+AC79)</f>
        <v>44.43</v>
      </c>
      <c r="AF79" s="34"/>
      <c r="AG79" s="37"/>
    </row>
    <row r="80" spans="1:33" x14ac:dyDescent="0.2">
      <c r="A80" s="1" t="str" cm="1">
        <f t="array" ref="A80">IF(I80="","",IF(P80&lt;&gt;"",SUMPRODUCT((P$3:P$90&lt;&gt;"")*(G$3:G$90=G80)*(J$3:J$90&gt;J80)*(I$3:I$90="P"))+1,IF(O80&lt;&gt;"",SUMPRODUCT((O$3:O$90&lt;&gt;"")*(P$3:P$90="")*(G$3:G$90=G80)*(J$3:J$90&gt;J80)*(I$3:I$90="P"))+SUMPRODUCT((P$3:P$90&lt;&gt;"")*(G$3:G$90=G80)*(I$3:I$90="P"))+1,IF(N80&lt;&gt;"",SUMPRODUCT((N$3:N$90&lt;&gt;"")*(G$3:G$90=G80)*(J$3:J$90&gt;J80)*(I$3:I$90="P"))+1,IF(M80="P",SUMPRODUCT((O$3:O$90&lt;&gt;"")*(P$3:P$90="")*(G$3:G$90=G80)*(I$3:I$90="P"))+SUMPRODUCT((P$3:P$90&lt;&gt;"")*(G$3:G$90=G80)*(I$3:I$90="P"))+SUMPRODUCT((N$3:N$90&lt;&gt;"")*(G$3:G$90=G80)*(I$3:I$90="P"))+SUMPRODUCT((P$3:P$90="")*(O$3:O$90="")*(N$3:N$90="")*(M$3:M$90="P")*(G$3:G$90=G80)*(J$3:J$90&gt;J80)*(I$3:I$90="P"))+IF(H80="L5",SUMPRODUCT((P$3:P$90="")*(O$3:O$90="")*(N$3:N$90="")*(M$3:M$90="P")*(G$3:G$90=G80)*(J$3:J$90&lt;J80)*(H$3:H$90&lt;&gt;H80)*(I$3:I$90="P")),-1*SUMPRODUCT((P$3:P$90="")*(O$3:O$90="")*(N$3:N$90="")*(M$3:M$90="P")*(G$3:G$90=G80)*(J$3:J$90&gt;J80)*(H$3:H$90="L5")*(I$3:I$90="P")))+1,"")))))</f>
        <v/>
      </c>
      <c r="B80" s="1" t="str" cm="1">
        <f t="array" ref="B80">IF(P80&lt;&gt;"",SUMPRODUCT((P$3:P$90&lt;&gt;"")*(G$3:G$90=G80)*(J$3:J$90&gt;J80))+1,IF(O80&lt;&gt;"",SUMPRODUCT((O$3:O$90&lt;&gt;"")*(P$3:P$90="")*(G$3:G$90=G80)*(J$3:J$90&gt;J80))+SUMPRODUCT((P$3:P$90&lt;&gt;"")*(G$3:G$90=G80))+1,IF(N80&lt;&gt;"",SUMPRODUCT((N$3:N$90&lt;&gt;"")*(G$3:G$90=G80)*(J$3:J$90&gt;J80))+1,IF(M80="P",SUMPRODUCT((O$3:O$90&lt;&gt;"")*(P$3:P$90="")*(G$3:G$90=G80))+SUMPRODUCT((P$3:P$90&lt;&gt;"")*(G$3:G$90=G80))+SUMPRODUCT((N$3:N$90&lt;&gt;"")*(G$3:G$90=G80))+SUMPRODUCT((P$3:P$90="")*(O$3:O$90="")*(N$3:N$90="")*(M$3:M$90="P")*(G$3:G$90=G80)*(J$3:J$90&gt;J80))+IF(H80="L5",SUMPRODUCT((P$3:P$90="")*(O$3:O$90="")*(N$3:N$90="")*(M$3:M$90="P")*(G$3:G$90=G80)*(J$3:J$90&lt;J80)*(H$3:H$90&lt;&gt;H80)),-1*SUMPRODUCT((P$3:P$90="")*(O$3:O$90="")*(N$3:N$90="")*(M$3:M$90="P")*(G$3:G$90=G80)*(J$3:J$90&gt;J80)*(H$3:H$90="L5")))+1,""))))</f>
        <v/>
      </c>
      <c r="C80" s="36" t="s">
        <v>387</v>
      </c>
      <c r="D80" s="36" t="str">
        <f>IF(E80="","",VLOOKUP(E80,'Coaching Points'!A:B,2,0))</f>
        <v>AB</v>
      </c>
      <c r="E80" s="36" t="s">
        <v>29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115</v>
      </c>
      <c r="I80" s="45"/>
      <c r="J80" s="4">
        <f>R80+IF(OR(H80="Junior",H80="Senior"),0.0002,IF(OR(H80="L7",H80="L6"),0.0001,0))+IF(G80="17-21",MAX(AA80,AC80,AF80),AE80)*0.0000001</f>
        <v>3.6870000000000004E-6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Scores'!B$13,T80,0),IF(W80&gt;='Qualifying Scores'!B$13,V80,0),IF(Z80&gt;='Qualifying Scores'!B$13,Y80,0),IF(AB80&gt;='Qualifying Scores'!B$13,AA80,0),IF(AD80&gt;'Qualifying Scores'!B$13,AC80,0),IF(AG80&gt;'Qualifying Scores'!B$13,AF80,0)),MAX(IF(OR(AND(G80="15-16",W80&gt;='Qualifying Scores'!B$12),AND(G80="13-14",W80&gt;='Qualifying Scores'!B$11),AND(G80="11-12",W80&gt;='Qualifying Scores'!B$10)),X80,0),IF(OR(AND(G80="15-16",AD80&gt;='Qualifying Scores'!B$12),AND(G80="13-14",AD80&gt;='Qualifying Scores'!B$11),AND(G80="11-12",AD80&gt;='Qualifying Scores'!B$10)),AE80,0))))</f>
        <v>0</v>
      </c>
      <c r="S80" s="4">
        <f>IF(G80="17-21",MAX(T80,V80,Y80,AA80,AC80,AF80),MAX(X80,AE80))</f>
        <v>36.870000000000005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18.920000000000002</v>
      </c>
      <c r="AB80" s="40">
        <v>0</v>
      </c>
      <c r="AC80" s="34">
        <v>17.95</v>
      </c>
      <c r="AD80" s="40">
        <v>3.9</v>
      </c>
      <c r="AE80" s="4">
        <f>IF(H80="Senior",MAX(AA80,AC80),AA80+AC80)</f>
        <v>36.870000000000005</v>
      </c>
      <c r="AF80" s="34"/>
      <c r="AG80" s="37"/>
    </row>
    <row r="81" spans="1:33" x14ac:dyDescent="0.2">
      <c r="A81" s="1" t="str" cm="1">
        <f t="array" ref="A81">IF(I81="","",IF(P81&lt;&gt;"",SUMPRODUCT((P$3:P$90&lt;&gt;"")*(G$3:G$90=G81)*(J$3:J$90&gt;J81)*(I$3:I$90="P"))+1,IF(O81&lt;&gt;"",SUMPRODUCT((O$3:O$90&lt;&gt;"")*(P$3:P$90="")*(G$3:G$90=G81)*(J$3:J$90&gt;J81)*(I$3:I$90="P"))+SUMPRODUCT((P$3:P$90&lt;&gt;"")*(G$3:G$90=G81)*(I$3:I$90="P"))+1,IF(N81&lt;&gt;"",SUMPRODUCT((N$3:N$90&lt;&gt;"")*(G$3:G$90=G81)*(J$3:J$90&gt;J81)*(I$3:I$90="P"))+1,IF(M81="P",SUMPRODUCT((O$3:O$90&lt;&gt;"")*(P$3:P$90="")*(G$3:G$90=G81)*(I$3:I$90="P"))+SUMPRODUCT((P$3:P$90&lt;&gt;"")*(G$3:G$90=G81)*(I$3:I$90="P"))+SUMPRODUCT((N$3:N$90&lt;&gt;"")*(G$3:G$90=G81)*(I$3:I$90="P"))+SUMPRODUCT((P$3:P$90="")*(O$3:O$90="")*(N$3:N$90="")*(M$3:M$90="P")*(G$3:G$90=G81)*(J$3:J$90&gt;J81)*(I$3:I$90="P"))+IF(H81="L5",SUMPRODUCT((P$3:P$90="")*(O$3:O$90="")*(N$3:N$90="")*(M$3:M$90="P")*(G$3:G$90=G81)*(J$3:J$90&lt;J81)*(H$3:H$90&lt;&gt;H81)*(I$3:I$90="P")),-1*SUMPRODUCT((P$3:P$90="")*(O$3:O$90="")*(N$3:N$90="")*(M$3:M$90="P")*(G$3:G$90=G81)*(J$3:J$90&gt;J81)*(H$3:H$90="L5")*(I$3:I$90="P")))+1,"")))))</f>
        <v/>
      </c>
      <c r="B81" s="1" t="str" cm="1">
        <f t="array" ref="B81">IF(P81&lt;&gt;"",SUMPRODUCT((P$3:P$90&lt;&gt;"")*(G$3:G$90=G81)*(J$3:J$90&gt;J81))+1,IF(O81&lt;&gt;"",SUMPRODUCT((O$3:O$90&lt;&gt;"")*(P$3:P$90="")*(G$3:G$90=G81)*(J$3:J$90&gt;J81))+SUMPRODUCT((P$3:P$90&lt;&gt;"")*(G$3:G$90=G81))+1,IF(N81&lt;&gt;"",SUMPRODUCT((N$3:N$90&lt;&gt;"")*(G$3:G$90=G81)*(J$3:J$90&gt;J81))+1,IF(M81="P",SUMPRODUCT((O$3:O$90&lt;&gt;"")*(P$3:P$90="")*(G$3:G$90=G81))+SUMPRODUCT((P$3:P$90&lt;&gt;"")*(G$3:G$90=G81))+SUMPRODUCT((N$3:N$90&lt;&gt;"")*(G$3:G$90=G81))+SUMPRODUCT((P$3:P$90="")*(O$3:O$90="")*(N$3:N$90="")*(M$3:M$90="P")*(G$3:G$90=G81)*(J$3:J$90&gt;J81))+IF(H81="L5",SUMPRODUCT((P$3:P$90="")*(O$3:O$90="")*(N$3:N$90="")*(M$3:M$90="P")*(G$3:G$90=G81)*(J$3:J$90&lt;J81)*(H$3:H$90&lt;&gt;H81)),-1*SUMPRODUCT((P$3:P$90="")*(O$3:O$90="")*(N$3:N$90="")*(M$3:M$90="P")*(G$3:G$90=G81)*(J$3:J$90&gt;J81)*(H$3:H$90="L5")))+1,""))))</f>
        <v/>
      </c>
      <c r="C81" s="36" t="s">
        <v>187</v>
      </c>
      <c r="D81" s="36" t="str">
        <f>IF(E81="","",VLOOKUP(E81,'Coaching Points'!A:B,2,0))</f>
        <v>ON</v>
      </c>
      <c r="E81" s="36" t="s">
        <v>48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115</v>
      </c>
      <c r="I81" s="45"/>
      <c r="J81" s="4">
        <f>R81+IF(OR(H81="Junior",H81="Senior"),0.0002,IF(OR(H81="L7",H81="L6"),0.0001,0))+IF(G81="17-21",MAX(AA81,AC81,AF81),AE81)*0.0000001</f>
        <v>0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Scores'!B$13,T81,0),IF(W81&gt;='Qualifying Scores'!B$13,V81,0),IF(Z81&gt;='Qualifying Scores'!B$13,Y81,0),IF(AB81&gt;='Qualifying Scores'!B$13,AA81,0),IF(AD81&gt;'Qualifying Scores'!B$13,AC81,0),IF(AG81&gt;'Qualifying Scores'!B$13,AF81,0)),MAX(IF(OR(AND(G81="15-16",W81&gt;='Qualifying Scores'!B$12),AND(G81="13-14",W81&gt;='Qualifying Scores'!B$11),AND(G81="11-12",W81&gt;='Qualifying Scores'!B$10)),X81,0),IF(OR(AND(G81="15-16",AD81&gt;='Qualifying Scores'!B$12),AND(G81="13-14",AD81&gt;='Qualifying Scores'!B$11),AND(G81="11-12",AD81&gt;='Qualifying Scores'!B$10)),AE81,0))))</f>
        <v>0</v>
      </c>
      <c r="S81" s="4">
        <f>IF(G81="17-21",MAX(T81,V81,Y81,AA81,AC81,AF81),MAX(X81,AE81))</f>
        <v>70.56</v>
      </c>
      <c r="T81" s="33">
        <v>37.94</v>
      </c>
      <c r="U81" s="40">
        <v>0</v>
      </c>
      <c r="V81" s="34">
        <v>32.620000000000005</v>
      </c>
      <c r="W81" s="40">
        <v>5.9</v>
      </c>
      <c r="X81" s="4">
        <f>IF(H81="Senior",MAX(T81,V81),T81+V81)</f>
        <v>70.56</v>
      </c>
      <c r="Y81" s="34">
        <v>23.88</v>
      </c>
      <c r="Z81" s="40">
        <v>4.5999999999999996</v>
      </c>
      <c r="AA81" s="33"/>
      <c r="AB81" s="40"/>
      <c r="AC81" s="34"/>
      <c r="AD81" s="40"/>
      <c r="AE81" s="4">
        <f>IF(H81="Senior",MAX(AA81,AC81),AA81+AC81)</f>
        <v>0</v>
      </c>
      <c r="AF81" s="34"/>
      <c r="AG81" s="37"/>
    </row>
    <row r="82" spans="1:33" x14ac:dyDescent="0.2">
      <c r="A82" s="1" t="str" cm="1">
        <f t="array" ref="A82">IF(I82="","",IF(P82&lt;&gt;"",SUMPRODUCT((P$3:P$90&lt;&gt;"")*(G$3:G$90=G82)*(J$3:J$90&gt;J82)*(I$3:I$90="P"))+1,IF(O82&lt;&gt;"",SUMPRODUCT((O$3:O$90&lt;&gt;"")*(P$3:P$90="")*(G$3:G$90=G82)*(J$3:J$90&gt;J82)*(I$3:I$90="P"))+SUMPRODUCT((P$3:P$90&lt;&gt;"")*(G$3:G$90=G82)*(I$3:I$90="P"))+1,IF(N82&lt;&gt;"",SUMPRODUCT((N$3:N$90&lt;&gt;"")*(G$3:G$90=G82)*(J$3:J$90&gt;J82)*(I$3:I$90="P"))+1,IF(M82="P",SUMPRODUCT((O$3:O$90&lt;&gt;"")*(P$3:P$90="")*(G$3:G$90=G82)*(I$3:I$90="P"))+SUMPRODUCT((P$3:P$90&lt;&gt;"")*(G$3:G$90=G82)*(I$3:I$90="P"))+SUMPRODUCT((N$3:N$90&lt;&gt;"")*(G$3:G$90=G82)*(I$3:I$90="P"))+SUMPRODUCT((P$3:P$90="")*(O$3:O$90="")*(N$3:N$90="")*(M$3:M$90="P")*(G$3:G$90=G82)*(J$3:J$90&gt;J82)*(I$3:I$90="P"))+IF(H82="L5",SUMPRODUCT((P$3:P$90="")*(O$3:O$90="")*(N$3:N$90="")*(M$3:M$90="P")*(G$3:G$90=G82)*(J$3:J$90&lt;J82)*(H$3:H$90&lt;&gt;H82)*(I$3:I$90="P")),-1*SUMPRODUCT((P$3:P$90="")*(O$3:O$90="")*(N$3:N$90="")*(M$3:M$90="P")*(G$3:G$90=G82)*(J$3:J$90&gt;J82)*(H$3:H$90="L5")*(I$3:I$90="P")))+1,"")))))</f>
        <v/>
      </c>
      <c r="B82" s="1" t="str" cm="1">
        <f t="array" ref="B82">IF(P82&lt;&gt;"",SUMPRODUCT((P$3:P$90&lt;&gt;"")*(G$3:G$90=G82)*(J$3:J$90&gt;J82))+1,IF(O82&lt;&gt;"",SUMPRODUCT((O$3:O$90&lt;&gt;"")*(P$3:P$90="")*(G$3:G$90=G82)*(J$3:J$90&gt;J82))+SUMPRODUCT((P$3:P$90&lt;&gt;"")*(G$3:G$90=G82))+1,IF(N82&lt;&gt;"",SUMPRODUCT((N$3:N$90&lt;&gt;"")*(G$3:G$90=G82)*(J$3:J$90&gt;J82))+1,IF(M82="P",SUMPRODUCT((O$3:O$90&lt;&gt;"")*(P$3:P$90="")*(G$3:G$90=G82))+SUMPRODUCT((P$3:P$90&lt;&gt;"")*(G$3:G$90=G82))+SUMPRODUCT((N$3:N$90&lt;&gt;"")*(G$3:G$90=G82))+SUMPRODUCT((P$3:P$90="")*(O$3:O$90="")*(N$3:N$90="")*(M$3:M$90="P")*(G$3:G$90=G82)*(J$3:J$90&gt;J82))+IF(H82="L5",SUMPRODUCT((P$3:P$90="")*(O$3:O$90="")*(N$3:N$90="")*(M$3:M$90="P")*(G$3:G$90=G82)*(J$3:J$90&lt;J82)*(H$3:H$90&lt;&gt;H82)),-1*SUMPRODUCT((P$3:P$90="")*(O$3:O$90="")*(N$3:N$90="")*(M$3:M$90="P")*(G$3:G$90=G82)*(J$3:J$90&gt;J82)*(H$3:H$90="L5")))+1,""))))</f>
        <v/>
      </c>
      <c r="C82" s="36" t="s">
        <v>176</v>
      </c>
      <c r="D82" s="36" t="str">
        <f>IF(E82="","",VLOOKUP(E82,'Coaching Points'!A:B,2,0))</f>
        <v>ON</v>
      </c>
      <c r="E82" s="36" t="s">
        <v>48</v>
      </c>
      <c r="F82" s="35">
        <v>2008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115</v>
      </c>
      <c r="I82" s="45" t="s">
        <v>604</v>
      </c>
      <c r="J82" s="4">
        <f>R82+IF(OR(H82="Junior",H82="Senior"),0.0002,IF(OR(H82="L7",H82="L6"),0.0001,0))+IF(G82="17-21",MAX(AA82,AC82,AF82),AE82)*0.0000001</f>
        <v>8.701999999999999E-6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Scores'!B$13,T82,0),IF(W82&gt;='Qualifying Scores'!B$13,V82,0),IF(Z82&gt;='Qualifying Scores'!B$13,Y82,0),IF(AB82&gt;='Qualifying Scores'!B$13,AA82,0),IF(AD82&gt;'Qualifying Scores'!B$13,AC82,0),IF(AG82&gt;'Qualifying Scores'!B$13,AF82,0)),MAX(IF(OR(AND(G82="15-16",W82&gt;='Qualifying Scores'!B$12),AND(G82="13-14",W82&gt;='Qualifying Scores'!B$11),AND(G82="11-12",W82&gt;='Qualifying Scores'!B$10)),X82,0),IF(OR(AND(G82="15-16",AD82&gt;='Qualifying Scores'!B$12),AND(G82="13-14",AD82&gt;='Qualifying Scores'!B$11),AND(G82="11-12",AD82&gt;='Qualifying Scores'!B$10)),AE82,0))))</f>
        <v>0</v>
      </c>
      <c r="S82" s="4">
        <f>IF(G82="17-21",MAX(T82,V82,Y82,AA82,AC82,AF82),MAX(X82,AE82))</f>
        <v>87.02</v>
      </c>
      <c r="T82" s="33">
        <v>38.69</v>
      </c>
      <c r="U82" s="40">
        <v>0</v>
      </c>
      <c r="V82" s="34">
        <v>44.980000000000004</v>
      </c>
      <c r="W82" s="40">
        <v>8.1999999999999993</v>
      </c>
      <c r="X82" s="4">
        <f>IF(H82="Senior",MAX(T82,V82),T82+V82)</f>
        <v>83.67</v>
      </c>
      <c r="Y82" s="34">
        <v>0</v>
      </c>
      <c r="Z82" s="40">
        <v>0</v>
      </c>
      <c r="AA82" s="33">
        <v>39.72</v>
      </c>
      <c r="AB82" s="40">
        <v>0</v>
      </c>
      <c r="AC82" s="34">
        <v>47.3</v>
      </c>
      <c r="AD82" s="40">
        <v>8.5</v>
      </c>
      <c r="AE82" s="4">
        <f>IF(H82="Senior",MAX(AA82,AC82),AA82+AC82)</f>
        <v>87.02</v>
      </c>
      <c r="AF82" s="34">
        <v>45.86</v>
      </c>
      <c r="AG82" s="37">
        <v>8.5</v>
      </c>
    </row>
    <row r="83" spans="1:33" x14ac:dyDescent="0.2">
      <c r="A83" s="1" t="str" cm="1">
        <f t="array" ref="A83">IF(I83="","",IF(P83&lt;&gt;"",SUMPRODUCT((P$3:P$90&lt;&gt;"")*(G$3:G$90=G83)*(J$3:J$90&gt;J83)*(I$3:I$90="P"))+1,IF(O83&lt;&gt;"",SUMPRODUCT((O$3:O$90&lt;&gt;"")*(P$3:P$90="")*(G$3:G$90=G83)*(J$3:J$90&gt;J83)*(I$3:I$90="P"))+SUMPRODUCT((P$3:P$90&lt;&gt;"")*(G$3:G$90=G83)*(I$3:I$90="P"))+1,IF(N83&lt;&gt;"",SUMPRODUCT((N$3:N$90&lt;&gt;"")*(G$3:G$90=G83)*(J$3:J$90&gt;J83)*(I$3:I$90="P"))+1,IF(M83="P",SUMPRODUCT((O$3:O$90&lt;&gt;"")*(P$3:P$90="")*(G$3:G$90=G83)*(I$3:I$90="P"))+SUMPRODUCT((P$3:P$90&lt;&gt;"")*(G$3:G$90=G83)*(I$3:I$90="P"))+SUMPRODUCT((N$3:N$90&lt;&gt;"")*(G$3:G$90=G83)*(I$3:I$90="P"))+SUMPRODUCT((P$3:P$90="")*(O$3:O$90="")*(N$3:N$90="")*(M$3:M$90="P")*(G$3:G$90=G83)*(J$3:J$90&gt;J83)*(I$3:I$90="P"))+IF(H83="L5",SUMPRODUCT((P$3:P$90="")*(O$3:O$90="")*(N$3:N$90="")*(M$3:M$90="P")*(G$3:G$90=G83)*(J$3:J$90&lt;J83)*(H$3:H$90&lt;&gt;H83)*(I$3:I$90="P")),-1*SUMPRODUCT((P$3:P$90="")*(O$3:O$90="")*(N$3:N$90="")*(M$3:M$90="P")*(G$3:G$90=G83)*(J$3:J$90&gt;J83)*(H$3:H$90="L5")*(I$3:I$90="P")))+1,"")))))</f>
        <v/>
      </c>
      <c r="B83" s="1" t="str" cm="1">
        <f t="array" ref="B83">IF(P83&lt;&gt;"",SUMPRODUCT((P$3:P$90&lt;&gt;"")*(G$3:G$90=G83)*(J$3:J$90&gt;J83))+1,IF(O83&lt;&gt;"",SUMPRODUCT((O$3:O$90&lt;&gt;"")*(P$3:P$90="")*(G$3:G$90=G83)*(J$3:J$90&gt;J83))+SUMPRODUCT((P$3:P$90&lt;&gt;"")*(G$3:G$90=G83))+1,IF(N83&lt;&gt;"",SUMPRODUCT((N$3:N$90&lt;&gt;"")*(G$3:G$90=G83)*(J$3:J$90&gt;J83))+1,IF(M83="P",SUMPRODUCT((O$3:O$90&lt;&gt;"")*(P$3:P$90="")*(G$3:G$90=G83))+SUMPRODUCT((P$3:P$90&lt;&gt;"")*(G$3:G$90=G83))+SUMPRODUCT((N$3:N$90&lt;&gt;"")*(G$3:G$90=G83))+SUMPRODUCT((P$3:P$90="")*(O$3:O$90="")*(N$3:N$90="")*(M$3:M$90="P")*(G$3:G$90=G83)*(J$3:J$90&gt;J83))+IF(H83="L5",SUMPRODUCT((P$3:P$90="")*(O$3:O$90="")*(N$3:N$90="")*(M$3:M$90="P")*(G$3:G$90=G83)*(J$3:J$90&lt;J83)*(H$3:H$90&lt;&gt;H83)),-1*SUMPRODUCT((P$3:P$90="")*(O$3:O$90="")*(N$3:N$90="")*(M$3:M$90="P")*(G$3:G$90=G83)*(J$3:J$90&gt;J83)*(H$3:H$90="L5")))+1,""))))</f>
        <v/>
      </c>
      <c r="C83" s="36" t="s">
        <v>172</v>
      </c>
      <c r="D83" s="36" t="str">
        <f>IF(E83="","",VLOOKUP(E83,'Coaching Points'!A:B,2,0))</f>
        <v>SK</v>
      </c>
      <c r="E83" s="36" t="s">
        <v>70</v>
      </c>
      <c r="F83" s="35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8.5450000000000003E-6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Scores'!B$13,T83,0),IF(W83&gt;='Qualifying Scores'!B$13,V83,0),IF(Z83&gt;='Qualifying Scores'!B$13,Y83,0),IF(AB83&gt;='Qualifying Scores'!B$13,AA83,0),IF(AD83&gt;'Qualifying Scores'!B$13,AC83,0),IF(AG83&gt;'Qualifying Scores'!B$13,AF83,0)),MAX(IF(OR(AND(G83="15-16",W83&gt;='Qualifying Scores'!B$12),AND(G83="13-14",W83&gt;='Qualifying Scores'!B$11),AND(G83="11-12",W83&gt;='Qualifying Scores'!B$10)),X83,0),IF(OR(AND(G83="15-16",AD83&gt;='Qualifying Scores'!B$12),AND(G83="13-14",AD83&gt;='Qualifying Scores'!B$11),AND(G83="11-12",AD83&gt;='Qualifying Scores'!B$10)),AE83,0))))</f>
        <v>0</v>
      </c>
      <c r="S83" s="4">
        <f>IF(G83="17-21",MAX(T83,V83,Y83,AA83,AC83,AF83),MAX(X83,AE83))</f>
        <v>85.45</v>
      </c>
      <c r="T83" s="33">
        <v>37.21</v>
      </c>
      <c r="U83" s="40">
        <v>0</v>
      </c>
      <c r="V83" s="34">
        <v>45.069999999999993</v>
      </c>
      <c r="W83" s="40">
        <v>8.3999999999999986</v>
      </c>
      <c r="X83" s="4">
        <f>IF(H83="Senior",MAX(T83,V83),T83+V83)</f>
        <v>82.28</v>
      </c>
      <c r="Y83" s="34">
        <v>44.91</v>
      </c>
      <c r="Z83" s="40">
        <v>8.3999999999999986</v>
      </c>
      <c r="AA83" s="33">
        <v>38.56</v>
      </c>
      <c r="AB83" s="40">
        <v>0</v>
      </c>
      <c r="AC83" s="34">
        <v>46.89</v>
      </c>
      <c r="AD83" s="40">
        <v>9.1</v>
      </c>
      <c r="AE83" s="4">
        <f>IF(H83="Senior",MAX(AA83,AC83),AA83+AC83)</f>
        <v>85.45</v>
      </c>
      <c r="AF83" s="34">
        <v>14.08</v>
      </c>
      <c r="AG83" s="37">
        <v>3.4</v>
      </c>
    </row>
    <row r="84" spans="1:33" x14ac:dyDescent="0.2">
      <c r="A84" s="1" t="str" cm="1">
        <f t="array" ref="A84">IF(I84="","",IF(P84&lt;&gt;"",SUMPRODUCT((P$3:P$90&lt;&gt;"")*(G$3:G$90=G84)*(J$3:J$90&gt;J84)*(I$3:I$90="P"))+1,IF(O84&lt;&gt;"",SUMPRODUCT((O$3:O$90&lt;&gt;"")*(P$3:P$90="")*(G$3:G$90=G84)*(J$3:J$90&gt;J84)*(I$3:I$90="P"))+SUMPRODUCT((P$3:P$90&lt;&gt;"")*(G$3:G$90=G84)*(I$3:I$90="P"))+1,IF(N84&lt;&gt;"",SUMPRODUCT((N$3:N$90&lt;&gt;"")*(G$3:G$90=G84)*(J$3:J$90&gt;J84)*(I$3:I$90="P"))+1,IF(M84="P",SUMPRODUCT((O$3:O$90&lt;&gt;"")*(P$3:P$90="")*(G$3:G$90=G84)*(I$3:I$90="P"))+SUMPRODUCT((P$3:P$90&lt;&gt;"")*(G$3:G$90=G84)*(I$3:I$90="P"))+SUMPRODUCT((N$3:N$90&lt;&gt;"")*(G$3:G$90=G84)*(I$3:I$90="P"))+SUMPRODUCT((P$3:P$90="")*(O$3:O$90="")*(N$3:N$90="")*(M$3:M$90="P")*(G$3:G$90=G84)*(J$3:J$90&gt;J84)*(I$3:I$90="P"))+IF(H84="L5",SUMPRODUCT((P$3:P$90="")*(O$3:O$90="")*(N$3:N$90="")*(M$3:M$90="P")*(G$3:G$90=G84)*(J$3:J$90&lt;J84)*(H$3:H$90&lt;&gt;H84)*(I$3:I$90="P")),-1*SUMPRODUCT((P$3:P$90="")*(O$3:O$90="")*(N$3:N$90="")*(M$3:M$90="P")*(G$3:G$90=G84)*(J$3:J$90&gt;J84)*(H$3:H$90="L5")*(I$3:I$90="P")))+1,"")))))</f>
        <v/>
      </c>
      <c r="B84" s="1" t="str" cm="1">
        <f t="array" ref="B84">IF(P84&lt;&gt;"",SUMPRODUCT((P$3:P$90&lt;&gt;"")*(G$3:G$90=G84)*(J$3:J$90&gt;J84))+1,IF(O84&lt;&gt;"",SUMPRODUCT((O$3:O$90&lt;&gt;"")*(P$3:P$90="")*(G$3:G$90=G84)*(J$3:J$90&gt;J84))+SUMPRODUCT((P$3:P$90&lt;&gt;"")*(G$3:G$90=G84))+1,IF(N84&lt;&gt;"",SUMPRODUCT((N$3:N$90&lt;&gt;"")*(G$3:G$90=G84)*(J$3:J$90&gt;J84))+1,IF(M84="P",SUMPRODUCT((O$3:O$90&lt;&gt;"")*(P$3:P$90="")*(G$3:G$90=G84))+SUMPRODUCT((P$3:P$90&lt;&gt;"")*(G$3:G$90=G84))+SUMPRODUCT((N$3:N$90&lt;&gt;"")*(G$3:G$90=G84))+SUMPRODUCT((P$3:P$90="")*(O$3:O$90="")*(N$3:N$90="")*(M$3:M$90="P")*(G$3:G$90=G84)*(J$3:J$90&gt;J84))+IF(H84="L5",SUMPRODUCT((P$3:P$90="")*(O$3:O$90="")*(N$3:N$90="")*(M$3:M$90="P")*(G$3:G$90=G84)*(J$3:J$90&lt;J84)*(H$3:H$90&lt;&gt;H84)),-1*SUMPRODUCT((P$3:P$90="")*(O$3:O$90="")*(N$3:N$90="")*(M$3:M$90="P")*(G$3:G$90=G84)*(J$3:J$90&gt;J84)*(H$3:H$90="L5")))+1,""))))</f>
        <v/>
      </c>
      <c r="C84" s="36" t="s">
        <v>175</v>
      </c>
      <c r="D84" s="36" t="str">
        <f>IF(E84="","",VLOOKUP(E84,'Coaching Points'!A:B,2,0))</f>
        <v>AB</v>
      </c>
      <c r="E84" s="36" t="s">
        <v>137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8.2789999999999982E-6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Scores'!B$13,T84,0),IF(W84&gt;='Qualifying Scores'!B$13,V84,0),IF(Z84&gt;='Qualifying Scores'!B$13,Y84,0),IF(AB84&gt;='Qualifying Scores'!B$13,AA84,0),IF(AD84&gt;'Qualifying Scores'!B$13,AC84,0),IF(AG84&gt;'Qualifying Scores'!B$13,AF84,0)),MAX(IF(OR(AND(G84="15-16",W84&gt;='Qualifying Scores'!B$12),AND(G84="13-14",W84&gt;='Qualifying Scores'!B$11),AND(G84="11-12",W84&gt;='Qualifying Scores'!B$10)),X84,0),IF(OR(AND(G84="15-16",AD84&gt;='Qualifying Scores'!B$12),AND(G84="13-14",AD84&gt;='Qualifying Scores'!B$11),AND(G84="11-12",AD84&gt;='Qualifying Scores'!B$10)),AE84,0))))</f>
        <v>0</v>
      </c>
      <c r="S84" s="4">
        <f>IF(G84="17-21",MAX(T84,V84,Y84,AA84,AC84,AF84),MAX(X84,AE84))</f>
        <v>82.789999999999992</v>
      </c>
      <c r="T84" s="33">
        <v>37.299999999999997</v>
      </c>
      <c r="U84" s="40">
        <v>0</v>
      </c>
      <c r="V84" s="34">
        <v>43.29</v>
      </c>
      <c r="W84" s="40">
        <v>8.2999999999999989</v>
      </c>
      <c r="X84" s="4">
        <f>IF(H84="Senior",MAX(T84,V84),T84+V84)</f>
        <v>80.59</v>
      </c>
      <c r="Y84" s="34">
        <v>19.88</v>
      </c>
      <c r="Z84" s="40">
        <v>3.9000000000000004</v>
      </c>
      <c r="AA84" s="33">
        <v>37.58</v>
      </c>
      <c r="AB84" s="40">
        <v>0</v>
      </c>
      <c r="AC84" s="34">
        <v>45.21</v>
      </c>
      <c r="AD84" s="40">
        <v>9</v>
      </c>
      <c r="AE84" s="4">
        <f>IF(H84="Senior",MAX(AA84,AC84),AA84+AC84)</f>
        <v>82.789999999999992</v>
      </c>
      <c r="AF84" s="34">
        <v>43.94</v>
      </c>
      <c r="AG84" s="37">
        <v>9</v>
      </c>
    </row>
    <row r="85" spans="1:33" x14ac:dyDescent="0.2">
      <c r="A85" s="1" t="str" cm="1">
        <f t="array" ref="A85">IF(I85="","",IF(P85&lt;&gt;"",SUMPRODUCT((P$3:P$90&lt;&gt;"")*(G$3:G$90=G85)*(J$3:J$90&gt;J85)*(I$3:I$90="P"))+1,IF(O85&lt;&gt;"",SUMPRODUCT((O$3:O$90&lt;&gt;"")*(P$3:P$90="")*(G$3:G$90=G85)*(J$3:J$90&gt;J85)*(I$3:I$90="P"))+SUMPRODUCT((P$3:P$90&lt;&gt;"")*(G$3:G$90=G85)*(I$3:I$90="P"))+1,IF(N85&lt;&gt;"",SUMPRODUCT((N$3:N$90&lt;&gt;"")*(G$3:G$90=G85)*(J$3:J$90&gt;J85)*(I$3:I$90="P"))+1,IF(M85="P",SUMPRODUCT((O$3:O$90&lt;&gt;"")*(P$3:P$90="")*(G$3:G$90=G85)*(I$3:I$90="P"))+SUMPRODUCT((P$3:P$90&lt;&gt;"")*(G$3:G$90=G85)*(I$3:I$90="P"))+SUMPRODUCT((N$3:N$90&lt;&gt;"")*(G$3:G$90=G85)*(I$3:I$90="P"))+SUMPRODUCT((P$3:P$90="")*(O$3:O$90="")*(N$3:N$90="")*(M$3:M$90="P")*(G$3:G$90=G85)*(J$3:J$90&gt;J85)*(I$3:I$90="P"))+IF(H85="L5",SUMPRODUCT((P$3:P$90="")*(O$3:O$90="")*(N$3:N$90="")*(M$3:M$90="P")*(G$3:G$90=G85)*(J$3:J$90&lt;J85)*(H$3:H$90&lt;&gt;H85)*(I$3:I$90="P")),-1*SUMPRODUCT((P$3:P$90="")*(O$3:O$90="")*(N$3:N$90="")*(M$3:M$90="P")*(G$3:G$90=G85)*(J$3:J$90&gt;J85)*(H$3:H$90="L5")*(I$3:I$90="P")))+1,"")))))</f>
        <v/>
      </c>
      <c r="B85" s="1" t="str" cm="1">
        <f t="array" ref="B85">IF(P85&lt;&gt;"",SUMPRODUCT((P$3:P$90&lt;&gt;"")*(G$3:G$90=G85)*(J$3:J$90&gt;J85))+1,IF(O85&lt;&gt;"",SUMPRODUCT((O$3:O$90&lt;&gt;"")*(P$3:P$90="")*(G$3:G$90=G85)*(J$3:J$90&gt;J85))+SUMPRODUCT((P$3:P$90&lt;&gt;"")*(G$3:G$90=G85))+1,IF(N85&lt;&gt;"",SUMPRODUCT((N$3:N$90&lt;&gt;"")*(G$3:G$90=G85)*(J$3:J$90&gt;J85))+1,IF(M85="P",SUMPRODUCT((O$3:O$90&lt;&gt;"")*(P$3:P$90="")*(G$3:G$90=G85))+SUMPRODUCT((P$3:P$90&lt;&gt;"")*(G$3:G$90=G85))+SUMPRODUCT((N$3:N$90&lt;&gt;"")*(G$3:G$90=G85))+SUMPRODUCT((P$3:P$90="")*(O$3:O$90="")*(N$3:N$90="")*(M$3:M$90="P")*(G$3:G$90=G85)*(J$3:J$90&gt;J85))+IF(H85="L5",SUMPRODUCT((P$3:P$90="")*(O$3:O$90="")*(N$3:N$90="")*(M$3:M$90="P")*(G$3:G$90=G85)*(J$3:J$90&lt;J85)*(H$3:H$90&lt;&gt;H85)),-1*SUMPRODUCT((P$3:P$90="")*(O$3:O$90="")*(N$3:N$90="")*(M$3:M$90="P")*(G$3:G$90=G85)*(J$3:J$90&gt;J85)*(H$3:H$90="L5")))+1,""))))</f>
        <v/>
      </c>
      <c r="C85" s="36" t="s">
        <v>378</v>
      </c>
      <c r="D85" s="36" t="str">
        <f>IF(E85="","",VLOOKUP(E85,'Coaching Points'!A:B,2,0))</f>
        <v>ON</v>
      </c>
      <c r="E85" s="36" t="s">
        <v>48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9" t="s">
        <v>115</v>
      </c>
      <c r="I85" s="45" t="s">
        <v>604</v>
      </c>
      <c r="J85" s="4">
        <f>R85+IF(OR(H85="Junior",H85="Senior"),0.0002,IF(OR(H85="L7",H85="L6"),0.0001,0))+IF(G85="17-21",MAX(AA85,AC85,AF85),AE85)*0.0000001</f>
        <v>8.205999999999999E-6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Scores'!B$13,T85,0),IF(W85&gt;='Qualifying Scores'!B$13,V85,0),IF(Z85&gt;='Qualifying Scores'!B$13,Y85,0),IF(AB85&gt;='Qualifying Scores'!B$13,AA85,0),IF(AD85&gt;'Qualifying Scores'!B$13,AC85,0),IF(AG85&gt;'Qualifying Scores'!B$13,AF85,0)),MAX(IF(OR(AND(G85="15-16",W85&gt;='Qualifying Scores'!B$12),AND(G85="13-14",W85&gt;='Qualifying Scores'!B$11),AND(G85="11-12",W85&gt;='Qualifying Scores'!B$10)),X85,0),IF(OR(AND(G85="15-16",AD85&gt;='Qualifying Scores'!B$12),AND(G85="13-14",AD85&gt;='Qualifying Scores'!B$11),AND(G85="11-12",AD85&gt;='Qualifying Scores'!B$10)),AE85,0))))</f>
        <v>0</v>
      </c>
      <c r="S85" s="4">
        <f>IF(G85="17-21",MAX(T85,V85,Y85,AA85,AC85,AF85),MAX(X85,AE85))</f>
        <v>82.06</v>
      </c>
      <c r="T85" s="33"/>
      <c r="U85" s="40"/>
      <c r="V85" s="34"/>
      <c r="W85" s="40"/>
      <c r="X85" s="4">
        <f>IF(H85="Senior",MAX(T85,V85),T85+V85)</f>
        <v>0</v>
      </c>
      <c r="Y85" s="34"/>
      <c r="Z85" s="40"/>
      <c r="AA85" s="33">
        <v>37.71</v>
      </c>
      <c r="AB85" s="40">
        <v>0</v>
      </c>
      <c r="AC85" s="34">
        <v>44.35</v>
      </c>
      <c r="AD85" s="40">
        <v>8.5</v>
      </c>
      <c r="AE85" s="4">
        <f>IF(H85="Senior",MAX(AA85,AC85),AA85+AC85)</f>
        <v>82.06</v>
      </c>
      <c r="AF85" s="34">
        <v>40.29</v>
      </c>
      <c r="AG85" s="37">
        <v>7.9</v>
      </c>
    </row>
    <row r="86" spans="1:33" x14ac:dyDescent="0.2">
      <c r="A86" s="1" t="str" cm="1">
        <f t="array" ref="A86">IF(I86="","",IF(P86&lt;&gt;"",SUMPRODUCT((P$3:P$90&lt;&gt;"")*(G$3:G$90=G86)*(J$3:J$90&gt;J86)*(I$3:I$90="P"))+1,IF(O86&lt;&gt;"",SUMPRODUCT((O$3:O$90&lt;&gt;"")*(P$3:P$90="")*(G$3:G$90=G86)*(J$3:J$90&gt;J86)*(I$3:I$90="P"))+SUMPRODUCT((P$3:P$90&lt;&gt;"")*(G$3:G$90=G86)*(I$3:I$90="P"))+1,IF(N86&lt;&gt;"",SUMPRODUCT((N$3:N$90&lt;&gt;"")*(G$3:G$90=G86)*(J$3:J$90&gt;J86)*(I$3:I$90="P"))+1,IF(M86="P",SUMPRODUCT((O$3:O$90&lt;&gt;"")*(P$3:P$90="")*(G$3:G$90=G86)*(I$3:I$90="P"))+SUMPRODUCT((P$3:P$90&lt;&gt;"")*(G$3:G$90=G86)*(I$3:I$90="P"))+SUMPRODUCT((N$3:N$90&lt;&gt;"")*(G$3:G$90=G86)*(I$3:I$90="P"))+SUMPRODUCT((P$3:P$90="")*(O$3:O$90="")*(N$3:N$90="")*(M$3:M$90="P")*(G$3:G$90=G86)*(J$3:J$90&gt;J86)*(I$3:I$90="P"))+IF(H86="L5",SUMPRODUCT((P$3:P$90="")*(O$3:O$90="")*(N$3:N$90="")*(M$3:M$90="P")*(G$3:G$90=G86)*(J$3:J$90&lt;J86)*(H$3:H$90&lt;&gt;H86)*(I$3:I$90="P")),-1*SUMPRODUCT((P$3:P$90="")*(O$3:O$90="")*(N$3:N$90="")*(M$3:M$90="P")*(G$3:G$90=G86)*(J$3:J$90&gt;J86)*(H$3:H$90="L5")*(I$3:I$90="P")))+1,"")))))</f>
        <v/>
      </c>
      <c r="B86" s="1" t="str" cm="1">
        <f t="array" ref="B86">IF(P86&lt;&gt;"",SUMPRODUCT((P$3:P$90&lt;&gt;"")*(G$3:G$90=G86)*(J$3:J$90&gt;J86))+1,IF(O86&lt;&gt;"",SUMPRODUCT((O$3:O$90&lt;&gt;"")*(P$3:P$90="")*(G$3:G$90=G86)*(J$3:J$90&gt;J86))+SUMPRODUCT((P$3:P$90&lt;&gt;"")*(G$3:G$90=G86))+1,IF(N86&lt;&gt;"",SUMPRODUCT((N$3:N$90&lt;&gt;"")*(G$3:G$90=G86)*(J$3:J$90&gt;J86))+1,IF(M86="P",SUMPRODUCT((O$3:O$90&lt;&gt;"")*(P$3:P$90="")*(G$3:G$90=G86))+SUMPRODUCT((P$3:P$90&lt;&gt;"")*(G$3:G$90=G86))+SUMPRODUCT((N$3:N$90&lt;&gt;"")*(G$3:G$90=G86))+SUMPRODUCT((P$3:P$90="")*(O$3:O$90="")*(N$3:N$90="")*(M$3:M$90="P")*(G$3:G$90=G86)*(J$3:J$90&gt;J86))+IF(H86="L5",SUMPRODUCT((P$3:P$90="")*(O$3:O$90="")*(N$3:N$90="")*(M$3:M$90="P")*(G$3:G$90=G86)*(J$3:J$90&lt;J86)*(H$3:H$90&lt;&gt;H86)),-1*SUMPRODUCT((P$3:P$90="")*(O$3:O$90="")*(N$3:N$90="")*(M$3:M$90="P")*(G$3:G$90=G86)*(J$3:J$90&gt;J86)*(H$3:H$90="L5")))+1,""))))</f>
        <v/>
      </c>
      <c r="C86" s="36" t="s">
        <v>173</v>
      </c>
      <c r="D86" s="36" t="str">
        <f>IF(E86="","",VLOOKUP(E86,'Coaching Points'!A:B,2,0))</f>
        <v>AB</v>
      </c>
      <c r="E86" s="36" t="s">
        <v>29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9" t="s">
        <v>115</v>
      </c>
      <c r="I86" s="45"/>
      <c r="J86" s="4">
        <f>R86+IF(OR(H86="Junior",H86="Senior"),0.0002,IF(OR(H86="L7",H86="L6"),0.0001,0))+IF(G86="17-21",MAX(AA86,AC86,AF86),AE86)*0.0000001</f>
        <v>8.0129999999999993E-6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Scores'!B$13,T86,0),IF(W86&gt;='Qualifying Scores'!B$13,V86,0),IF(Z86&gt;='Qualifying Scores'!B$13,Y86,0),IF(AB86&gt;='Qualifying Scores'!B$13,AA86,0),IF(AD86&gt;'Qualifying Scores'!B$13,AC86,0),IF(AG86&gt;'Qualifying Scores'!B$13,AF86,0)),MAX(IF(OR(AND(G86="15-16",W86&gt;='Qualifying Scores'!B$12),AND(G86="13-14",W86&gt;='Qualifying Scores'!B$11),AND(G86="11-12",W86&gt;='Qualifying Scores'!B$10)),X86,0),IF(OR(AND(G86="15-16",AD86&gt;='Qualifying Scores'!B$12),AND(G86="13-14",AD86&gt;='Qualifying Scores'!B$11),AND(G86="11-12",AD86&gt;='Qualifying Scores'!B$10)),AE86,0))))</f>
        <v>0</v>
      </c>
      <c r="S86" s="4">
        <f>IF(G86="17-21",MAX(T86,V86,Y86,AA86,AC86,AF86),MAX(X86,AE86))</f>
        <v>81.75</v>
      </c>
      <c r="T86" s="33">
        <v>38.1</v>
      </c>
      <c r="U86" s="40">
        <v>0</v>
      </c>
      <c r="V86" s="34">
        <v>43.65</v>
      </c>
      <c r="W86" s="40">
        <v>8.1</v>
      </c>
      <c r="X86" s="4">
        <f>IF(H86="Senior",MAX(T86,V86),T86+V86)</f>
        <v>81.75</v>
      </c>
      <c r="Y86" s="34">
        <v>44.57</v>
      </c>
      <c r="Z86" s="40">
        <v>8.1</v>
      </c>
      <c r="AA86" s="33">
        <v>37.15</v>
      </c>
      <c r="AB86" s="40">
        <v>0</v>
      </c>
      <c r="AC86" s="34">
        <v>42.98</v>
      </c>
      <c r="AD86" s="40">
        <v>8.6999999999999993</v>
      </c>
      <c r="AE86" s="4">
        <f>IF(H86="Senior",MAX(AA86,AC86),AA86+AC86)</f>
        <v>80.13</v>
      </c>
      <c r="AF86" s="34">
        <v>42.66</v>
      </c>
      <c r="AG86" s="37">
        <v>9.4</v>
      </c>
    </row>
    <row r="87" spans="1:33" x14ac:dyDescent="0.2">
      <c r="A87" s="1" t="str" cm="1">
        <f t="array" ref="A87">IF(I87="","",IF(P87&lt;&gt;"",SUMPRODUCT((P$3:P$90&lt;&gt;"")*(G$3:G$90=G87)*(J$3:J$90&gt;J87)*(I$3:I$90="P"))+1,IF(O87&lt;&gt;"",SUMPRODUCT((O$3:O$90&lt;&gt;"")*(P$3:P$90="")*(G$3:G$90=G87)*(J$3:J$90&gt;J87)*(I$3:I$90="P"))+SUMPRODUCT((P$3:P$90&lt;&gt;"")*(G$3:G$90=G87)*(I$3:I$90="P"))+1,IF(N87&lt;&gt;"",SUMPRODUCT((N$3:N$90&lt;&gt;"")*(G$3:G$90=G87)*(J$3:J$90&gt;J87)*(I$3:I$90="P"))+1,IF(M87="P",SUMPRODUCT((O$3:O$90&lt;&gt;"")*(P$3:P$90="")*(G$3:G$90=G87)*(I$3:I$90="P"))+SUMPRODUCT((P$3:P$90&lt;&gt;"")*(G$3:G$90=G87)*(I$3:I$90="P"))+SUMPRODUCT((N$3:N$90&lt;&gt;"")*(G$3:G$90=G87)*(I$3:I$90="P"))+SUMPRODUCT((P$3:P$90="")*(O$3:O$90="")*(N$3:N$90="")*(M$3:M$90="P")*(G$3:G$90=G87)*(J$3:J$90&gt;J87)*(I$3:I$90="P"))+IF(H87="L5",SUMPRODUCT((P$3:P$90="")*(O$3:O$90="")*(N$3:N$90="")*(M$3:M$90="P")*(G$3:G$90=G87)*(J$3:J$90&lt;J87)*(H$3:H$90&lt;&gt;H87)*(I$3:I$90="P")),-1*SUMPRODUCT((P$3:P$90="")*(O$3:O$90="")*(N$3:N$90="")*(M$3:M$90="P")*(G$3:G$90=G87)*(J$3:J$90&gt;J87)*(H$3:H$90="L5")*(I$3:I$90="P")))+1,"")))))</f>
        <v/>
      </c>
      <c r="B87" s="1" t="str" cm="1">
        <f t="array" ref="B87">IF(P87&lt;&gt;"",SUMPRODUCT((P$3:P$90&lt;&gt;"")*(G$3:G$90=G87)*(J$3:J$90&gt;J87))+1,IF(O87&lt;&gt;"",SUMPRODUCT((O$3:O$90&lt;&gt;"")*(P$3:P$90="")*(G$3:G$90=G87)*(J$3:J$90&gt;J87))+SUMPRODUCT((P$3:P$90&lt;&gt;"")*(G$3:G$90=G87))+1,IF(N87&lt;&gt;"",SUMPRODUCT((N$3:N$90&lt;&gt;"")*(G$3:G$90=G87)*(J$3:J$90&gt;J87))+1,IF(M87="P",SUMPRODUCT((O$3:O$90&lt;&gt;"")*(P$3:P$90="")*(G$3:G$90=G87))+SUMPRODUCT((P$3:P$90&lt;&gt;"")*(G$3:G$90=G87))+SUMPRODUCT((N$3:N$90&lt;&gt;"")*(G$3:G$90=G87))+SUMPRODUCT((P$3:P$90="")*(O$3:O$90="")*(N$3:N$90="")*(M$3:M$90="P")*(G$3:G$90=G87)*(J$3:J$90&gt;J87))+IF(H87="L5",SUMPRODUCT((P$3:P$90="")*(O$3:O$90="")*(N$3:N$90="")*(M$3:M$90="P")*(G$3:G$90=G87)*(J$3:J$90&lt;J87)*(H$3:H$90&lt;&gt;H87)),-1*SUMPRODUCT((P$3:P$90="")*(O$3:O$90="")*(N$3:N$90="")*(M$3:M$90="P")*(G$3:G$90=G87)*(J$3:J$90&gt;J87)*(H$3:H$90="L5")))+1,""))))</f>
        <v/>
      </c>
      <c r="C87" s="36" t="s">
        <v>170</v>
      </c>
      <c r="D87" s="36" t="str">
        <f>IF(E87="","",VLOOKUP(E87,'Coaching Points'!A:B,2,0))</f>
        <v>QC</v>
      </c>
      <c r="E87" s="36" t="s">
        <v>171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7.2109999999999992E-6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>P</v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Scores'!B$13,T87,0),IF(W87&gt;='Qualifying Scores'!B$13,V87,0),IF(Z87&gt;='Qualifying Scores'!B$13,Y87,0),IF(AB87&gt;='Qualifying Scores'!B$13,AA87,0),IF(AD87&gt;'Qualifying Scores'!B$13,AC87,0),IF(AG87&gt;'Qualifying Scores'!B$13,AF87,0)),MAX(IF(OR(AND(G87="15-16",W87&gt;='Qualifying Scores'!B$12),AND(G87="13-14",W87&gt;='Qualifying Scores'!B$11),AND(G87="11-12",W87&gt;='Qualifying Scores'!B$10)),X87,0),IF(OR(AND(G87="15-16",AD87&gt;='Qualifying Scores'!B$12),AND(G87="13-14",AD87&gt;='Qualifying Scores'!B$11),AND(G87="11-12",AD87&gt;='Qualifying Scores'!B$10)),AE87,0))))</f>
        <v>0</v>
      </c>
      <c r="S87" s="4">
        <f>IF(G87="17-21",MAX(T87,V87,Y87,AA87,AC87,AF87),MAX(X87,AE87))</f>
        <v>89.4</v>
      </c>
      <c r="T87" s="33">
        <v>41.66</v>
      </c>
      <c r="U87" s="40">
        <v>0</v>
      </c>
      <c r="V87" s="34">
        <v>47.74</v>
      </c>
      <c r="W87" s="40">
        <v>7.8</v>
      </c>
      <c r="X87" s="4">
        <f>IF(H87="Senior",MAX(T87,V87),T87+V87)</f>
        <v>89.4</v>
      </c>
      <c r="Y87" s="34">
        <v>47.91</v>
      </c>
      <c r="Z87" s="40">
        <v>7.8</v>
      </c>
      <c r="AA87" s="33">
        <v>41.54</v>
      </c>
      <c r="AB87" s="40">
        <v>0</v>
      </c>
      <c r="AC87" s="34">
        <v>30.57</v>
      </c>
      <c r="AD87" s="40">
        <v>5.9</v>
      </c>
      <c r="AE87" s="4">
        <f>IF(H87="Senior",MAX(AA87,AC87),AA87+AC87)</f>
        <v>72.11</v>
      </c>
      <c r="AF87" s="34">
        <v>20.09</v>
      </c>
      <c r="AG87" s="37">
        <v>4.5999999999999996</v>
      </c>
    </row>
    <row r="88" spans="1:33" x14ac:dyDescent="0.2">
      <c r="A88" s="1" t="str" cm="1">
        <f t="array" ref="A88">IF(I88="","",IF(P88&lt;&gt;"",SUMPRODUCT((P$3:P$90&lt;&gt;"")*(G$3:G$90=G88)*(J$3:J$90&gt;J88)*(I$3:I$90="P"))+1,IF(O88&lt;&gt;"",SUMPRODUCT((O$3:O$90&lt;&gt;"")*(P$3:P$90="")*(G$3:G$90=G88)*(J$3:J$90&gt;J88)*(I$3:I$90="P"))+SUMPRODUCT((P$3:P$90&lt;&gt;"")*(G$3:G$90=G88)*(I$3:I$90="P"))+1,IF(N88&lt;&gt;"",SUMPRODUCT((N$3:N$90&lt;&gt;"")*(G$3:G$90=G88)*(J$3:J$90&gt;J88)*(I$3:I$90="P"))+1,IF(M88="P",SUMPRODUCT((O$3:O$90&lt;&gt;"")*(P$3:P$90="")*(G$3:G$90=G88)*(I$3:I$90="P"))+SUMPRODUCT((P$3:P$90&lt;&gt;"")*(G$3:G$90=G88)*(I$3:I$90="P"))+SUMPRODUCT((N$3:N$90&lt;&gt;"")*(G$3:G$90=G88)*(I$3:I$90="P"))+SUMPRODUCT((P$3:P$90="")*(O$3:O$90="")*(N$3:N$90="")*(M$3:M$90="P")*(G$3:G$90=G88)*(J$3:J$90&gt;J88)*(I$3:I$90="P"))+IF(H88="L5",SUMPRODUCT((P$3:P$90="")*(O$3:O$90="")*(N$3:N$90="")*(M$3:M$90="P")*(G$3:G$90=G88)*(J$3:J$90&lt;J88)*(H$3:H$90&lt;&gt;H88)*(I$3:I$90="P")),-1*SUMPRODUCT((P$3:P$90="")*(O$3:O$90="")*(N$3:N$90="")*(M$3:M$90="P")*(G$3:G$90=G88)*(J$3:J$90&gt;J88)*(H$3:H$90="L5")*(I$3:I$90="P")))+1,"")))))</f>
        <v/>
      </c>
      <c r="B88" s="1" t="str" cm="1">
        <f t="array" ref="B88">IF(P88&lt;&gt;"",SUMPRODUCT((P$3:P$90&lt;&gt;"")*(G$3:G$90=G88)*(J$3:J$90&gt;J88))+1,IF(O88&lt;&gt;"",SUMPRODUCT((O$3:O$90&lt;&gt;"")*(P$3:P$90="")*(G$3:G$90=G88)*(J$3:J$90&gt;J88))+SUMPRODUCT((P$3:P$90&lt;&gt;"")*(G$3:G$90=G88))+1,IF(N88&lt;&gt;"",SUMPRODUCT((N$3:N$90&lt;&gt;"")*(G$3:G$90=G88)*(J$3:J$90&gt;J88))+1,IF(M88="P",SUMPRODUCT((O$3:O$90&lt;&gt;"")*(P$3:P$90="")*(G$3:G$90=G88))+SUMPRODUCT((P$3:P$90&lt;&gt;"")*(G$3:G$90=G88))+SUMPRODUCT((N$3:N$90&lt;&gt;"")*(G$3:G$90=G88))+SUMPRODUCT((P$3:P$90="")*(O$3:O$90="")*(N$3:N$90="")*(M$3:M$90="P")*(G$3:G$90=G88)*(J$3:J$90&gt;J88))+IF(H88="L5",SUMPRODUCT((P$3:P$90="")*(O$3:O$90="")*(N$3:N$90="")*(M$3:M$90="P")*(G$3:G$90=G88)*(J$3:J$90&lt;J88)*(H$3:H$90&lt;&gt;H88)),-1*SUMPRODUCT((P$3:P$90="")*(O$3:O$90="")*(N$3:N$90="")*(M$3:M$90="P")*(G$3:G$90=G88)*(J$3:J$90&gt;J88)*(H$3:H$90="L5")))+1,""))))</f>
        <v/>
      </c>
      <c r="C88" s="36" t="s">
        <v>376</v>
      </c>
      <c r="D88" s="36" t="str">
        <f>IF(E88="","",VLOOKUP(E88,'Coaching Points'!A:B,2,0))</f>
        <v>NS</v>
      </c>
      <c r="E88" s="36" t="s">
        <v>257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6.3839999999999994E-6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Scores'!B$13,T88,0),IF(W88&gt;='Qualifying Scores'!B$13,V88,0),IF(Z88&gt;='Qualifying Scores'!B$13,Y88,0),IF(AB88&gt;='Qualifying Scores'!B$13,AA88,0),IF(AD88&gt;'Qualifying Scores'!B$13,AC88,0),IF(AG88&gt;'Qualifying Scores'!B$13,AF88,0)),MAX(IF(OR(AND(G88="15-16",W88&gt;='Qualifying Scores'!B$12),AND(G88="13-14",W88&gt;='Qualifying Scores'!B$11),AND(G88="11-12",W88&gt;='Qualifying Scores'!B$10)),X88,0),IF(OR(AND(G88="15-16",AD88&gt;='Qualifying Scores'!B$12),AND(G88="13-14",AD88&gt;='Qualifying Scores'!B$11),AND(G88="11-12",AD88&gt;='Qualifying Scores'!B$10)),AE88,0))))</f>
        <v>0</v>
      </c>
      <c r="S88" s="4">
        <f>IF(G88="17-21",MAX(T88,V88,Y88,AA88,AC88,AF88),MAX(X88,AE88))</f>
        <v>63.839999999999996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39.76</v>
      </c>
      <c r="AB88" s="40">
        <v>0</v>
      </c>
      <c r="AC88" s="34">
        <v>24.08</v>
      </c>
      <c r="AD88" s="40">
        <v>5.4</v>
      </c>
      <c r="AE88" s="4">
        <f>IF(H88="Senior",MAX(AA88,AC88),AA88+AC88)</f>
        <v>63.839999999999996</v>
      </c>
      <c r="AF88" s="34">
        <v>14.81</v>
      </c>
      <c r="AG88" s="37">
        <v>3.6</v>
      </c>
    </row>
    <row r="89" spans="1:33" x14ac:dyDescent="0.2">
      <c r="A89" s="1" t="str" cm="1">
        <f t="array" ref="A89">IF(I89="","",IF(P89&lt;&gt;"",SUMPRODUCT((P$3:P$90&lt;&gt;"")*(G$3:G$90=G89)*(J$3:J$90&gt;J89)*(I$3:I$90="P"))+1,IF(O89&lt;&gt;"",SUMPRODUCT((O$3:O$90&lt;&gt;"")*(P$3:P$90="")*(G$3:G$90=G89)*(J$3:J$90&gt;J89)*(I$3:I$90="P"))+SUMPRODUCT((P$3:P$90&lt;&gt;"")*(G$3:G$90=G89)*(I$3:I$90="P"))+1,IF(N89&lt;&gt;"",SUMPRODUCT((N$3:N$90&lt;&gt;"")*(G$3:G$90=G89)*(J$3:J$90&gt;J89)*(I$3:I$90="P"))+1,IF(M89="P",SUMPRODUCT((O$3:O$90&lt;&gt;"")*(P$3:P$90="")*(G$3:G$90=G89)*(I$3:I$90="P"))+SUMPRODUCT((P$3:P$90&lt;&gt;"")*(G$3:G$90=G89)*(I$3:I$90="P"))+SUMPRODUCT((N$3:N$90&lt;&gt;"")*(G$3:G$90=G89)*(I$3:I$90="P"))+SUMPRODUCT((P$3:P$90="")*(O$3:O$90="")*(N$3:N$90="")*(M$3:M$90="P")*(G$3:G$90=G89)*(J$3:J$90&gt;J89)*(I$3:I$90="P"))+IF(H89="L5",SUMPRODUCT((P$3:P$90="")*(O$3:O$90="")*(N$3:N$90="")*(M$3:M$90="P")*(G$3:G$90=G89)*(J$3:J$90&lt;J89)*(H$3:H$90&lt;&gt;H89)*(I$3:I$90="P")),-1*SUMPRODUCT((P$3:P$90="")*(O$3:O$90="")*(N$3:N$90="")*(M$3:M$90="P")*(G$3:G$90=G89)*(J$3:J$90&gt;J89)*(H$3:H$90="L5")*(I$3:I$90="P")))+1,"")))))</f>
        <v/>
      </c>
      <c r="B89" s="1" t="str" cm="1">
        <f t="array" ref="B89">IF(P89&lt;&gt;"",SUMPRODUCT((P$3:P$90&lt;&gt;"")*(G$3:G$90=G89)*(J$3:J$90&gt;J89))+1,IF(O89&lt;&gt;"",SUMPRODUCT((O$3:O$90&lt;&gt;"")*(P$3:P$90="")*(G$3:G$90=G89)*(J$3:J$90&gt;J89))+SUMPRODUCT((P$3:P$90&lt;&gt;"")*(G$3:G$90=G89))+1,IF(N89&lt;&gt;"",SUMPRODUCT((N$3:N$90&lt;&gt;"")*(G$3:G$90=G89)*(J$3:J$90&gt;J89))+1,IF(M89="P",SUMPRODUCT((O$3:O$90&lt;&gt;"")*(P$3:P$90="")*(G$3:G$90=G89))+SUMPRODUCT((P$3:P$90&lt;&gt;"")*(G$3:G$90=G89))+SUMPRODUCT((N$3:N$90&lt;&gt;"")*(G$3:G$90=G89))+SUMPRODUCT((P$3:P$90="")*(O$3:O$90="")*(N$3:N$90="")*(M$3:M$90="P")*(G$3:G$90=G89)*(J$3:J$90&gt;J89))+IF(H89="L5",SUMPRODUCT((P$3:P$90="")*(O$3:O$90="")*(N$3:N$90="")*(M$3:M$90="P")*(G$3:G$90=G89)*(J$3:J$90&lt;J89)*(H$3:H$90&lt;&gt;H89)),-1*SUMPRODUCT((P$3:P$90="")*(O$3:O$90="")*(N$3:N$90="")*(M$3:M$90="P")*(G$3:G$90=G89)*(J$3:J$90&gt;J89)*(H$3:H$90="L5")))+1,""))))</f>
        <v/>
      </c>
      <c r="C89" s="36" t="s">
        <v>177</v>
      </c>
      <c r="D89" s="36" t="str">
        <f>IF(E89="","",VLOOKUP(E89,'Coaching Points'!A:B,2,0))</f>
        <v>AB</v>
      </c>
      <c r="E89" s="36" t="s">
        <v>91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115</v>
      </c>
      <c r="I89" s="45" t="s">
        <v>604</v>
      </c>
      <c r="J89" s="4">
        <f>R89+IF(OR(H89="Junior",H89="Senior"),0.0002,IF(OR(H89="L7",H89="L6"),0.0001,0))+IF(G89="17-21",MAX(AA89,AC89,AF89),AE89)*0.0000001</f>
        <v>4.5629999999999993E-6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Scores'!B$13,T89,0),IF(W89&gt;='Qualifying Scores'!B$13,V89,0),IF(Z89&gt;='Qualifying Scores'!B$13,Y89,0),IF(AB89&gt;='Qualifying Scores'!B$13,AA89,0),IF(AD89&gt;'Qualifying Scores'!B$13,AC89,0),IF(AG89&gt;'Qualifying Scores'!B$13,AF89,0)),MAX(IF(OR(AND(G89="15-16",W89&gt;='Qualifying Scores'!B$12),AND(G89="13-14",W89&gt;='Qualifying Scores'!B$11),AND(G89="11-12",W89&gt;='Qualifying Scores'!B$10)),X89,0),IF(OR(AND(G89="15-16",AD89&gt;='Qualifying Scores'!B$12),AND(G89="13-14",AD89&gt;='Qualifying Scores'!B$11),AND(G89="11-12",AD89&gt;='Qualifying Scores'!B$10)),AE89,0))))</f>
        <v>0</v>
      </c>
      <c r="S89" s="4">
        <f>IF(G89="17-21",MAX(T89,V89,Y89,AA89,AC89,AF89),MAX(X89,AE89))</f>
        <v>45.629999999999995</v>
      </c>
      <c r="T89" s="33">
        <v>4.2300000000000004</v>
      </c>
      <c r="U89" s="40">
        <v>0</v>
      </c>
      <c r="V89" s="34">
        <v>26.85</v>
      </c>
      <c r="W89" s="40">
        <v>5.3000000000000007</v>
      </c>
      <c r="X89" s="4">
        <f>IF(H89="Senior",MAX(T89,V89),T89+V89)</f>
        <v>31.080000000000002</v>
      </c>
      <c r="Y89" s="34">
        <v>0</v>
      </c>
      <c r="Z89" s="40">
        <v>0</v>
      </c>
      <c r="AA89" s="33">
        <v>40.29</v>
      </c>
      <c r="AB89" s="40">
        <v>0</v>
      </c>
      <c r="AC89" s="34">
        <v>5.34</v>
      </c>
      <c r="AD89" s="40">
        <v>1.5</v>
      </c>
      <c r="AE89" s="4">
        <f>IF(H89="Senior",MAX(AA89,AC89),AA89+AC89)</f>
        <v>45.629999999999995</v>
      </c>
      <c r="AF89" s="34"/>
      <c r="AG89" s="37"/>
    </row>
    <row r="90" spans="1:33" x14ac:dyDescent="0.2">
      <c r="A90" s="1" t="str" cm="1">
        <f t="array" ref="A90">IF(I90="","",IF(P90&lt;&gt;"",SUMPRODUCT((P$3:P$90&lt;&gt;"")*(G$3:G$90=G90)*(J$3:J$90&gt;J90)*(I$3:I$90="P"))+1,IF(O90&lt;&gt;"",SUMPRODUCT((O$3:O$90&lt;&gt;"")*(P$3:P$90="")*(G$3:G$90=G90)*(J$3:J$90&gt;J90)*(I$3:I$90="P"))+SUMPRODUCT((P$3:P$90&lt;&gt;"")*(G$3:G$90=G90)*(I$3:I$90="P"))+1,IF(N90&lt;&gt;"",SUMPRODUCT((N$3:N$90&lt;&gt;"")*(G$3:G$90=G90)*(J$3:J$90&gt;J90)*(I$3:I$90="P"))+1,IF(M90="P",SUMPRODUCT((O$3:O$90&lt;&gt;"")*(P$3:P$90="")*(G$3:G$90=G90)*(I$3:I$90="P"))+SUMPRODUCT((P$3:P$90&lt;&gt;"")*(G$3:G$90=G90)*(I$3:I$90="P"))+SUMPRODUCT((N$3:N$90&lt;&gt;"")*(G$3:G$90=G90)*(I$3:I$90="P"))+SUMPRODUCT((P$3:P$90="")*(O$3:O$90="")*(N$3:N$90="")*(M$3:M$90="P")*(G$3:G$90=G90)*(J$3:J$90&gt;J90)*(I$3:I$90="P"))+IF(H90="L5",SUMPRODUCT((P$3:P$90="")*(O$3:O$90="")*(N$3:N$90="")*(M$3:M$90="P")*(G$3:G$90=G90)*(J$3:J$90&lt;J90)*(H$3:H$90&lt;&gt;H90)*(I$3:I$90="P")),-1*SUMPRODUCT((P$3:P$90="")*(O$3:O$90="")*(N$3:N$90="")*(M$3:M$90="P")*(G$3:G$90=G90)*(J$3:J$90&gt;J90)*(H$3:H$90="L5")*(I$3:I$90="P")))+1,"")))))</f>
        <v/>
      </c>
      <c r="B90" s="1" t="str" cm="1">
        <f t="array" ref="B90">IF(P90&lt;&gt;"",SUMPRODUCT((P$3:P$90&lt;&gt;"")*(G$3:G$90=G90)*(J$3:J$90&gt;J90))+1,IF(O90&lt;&gt;"",SUMPRODUCT((O$3:O$90&lt;&gt;"")*(P$3:P$90="")*(G$3:G$90=G90)*(J$3:J$90&gt;J90))+SUMPRODUCT((P$3:P$90&lt;&gt;"")*(G$3:G$90=G90))+1,IF(N90&lt;&gt;"",SUMPRODUCT((N$3:N$90&lt;&gt;"")*(G$3:G$90=G90)*(J$3:J$90&gt;J90))+1,IF(M90="P",SUMPRODUCT((O$3:O$90&lt;&gt;"")*(P$3:P$90="")*(G$3:G$90=G90))+SUMPRODUCT((P$3:P$90&lt;&gt;"")*(G$3:G$90=G90))+SUMPRODUCT((N$3:N$90&lt;&gt;"")*(G$3:G$90=G90))+SUMPRODUCT((P$3:P$90="")*(O$3:O$90="")*(N$3:N$90="")*(M$3:M$90="P")*(G$3:G$90=G90)*(J$3:J$90&gt;J90))+IF(H90="L5",SUMPRODUCT((P$3:P$90="")*(O$3:O$90="")*(N$3:N$90="")*(M$3:M$90="P")*(G$3:G$90=G90)*(J$3:J$90&lt;J90)*(H$3:H$90&lt;&gt;H90)),-1*SUMPRODUCT((P$3:P$90="")*(O$3:O$90="")*(N$3:N$90="")*(M$3:M$90="P")*(G$3:G$90=G90)*(J$3:J$90&gt;J90)*(H$3:H$90="L5")))+1,""))))</f>
        <v/>
      </c>
      <c r="C90" s="36" t="s">
        <v>174</v>
      </c>
      <c r="D90" s="36" t="str">
        <f>IF(E90="","",VLOOKUP(E90,'Coaching Points'!A:B,2,0))</f>
        <v>ON</v>
      </c>
      <c r="E90" s="36" t="s">
        <v>48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115</v>
      </c>
      <c r="I90" s="45" t="s">
        <v>604</v>
      </c>
      <c r="J90" s="4">
        <f>R90+IF(OR(H90="Junior",H90="Senior"),0.0002,IF(OR(H90="L7",H90="L6"),0.0001,0))+IF(G90="17-21",MAX(AA90,AC90,AF90),AE90)*0.0000001</f>
        <v>4.4000000000000002E-6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Scores'!B$13,T90,0),IF(W90&gt;='Qualifying Scores'!B$13,V90,0),IF(Z90&gt;='Qualifying Scores'!B$13,Y90,0),IF(AB90&gt;='Qualifying Scores'!B$13,AA90,0),IF(AD90&gt;'Qualifying Scores'!B$13,AC90,0),IF(AG90&gt;'Qualifying Scores'!B$13,AF90,0)),MAX(IF(OR(AND(G90="15-16",W90&gt;='Qualifying Scores'!B$12),AND(G90="13-14",W90&gt;='Qualifying Scores'!B$11),AND(G90="11-12",W90&gt;='Qualifying Scores'!B$10)),X90,0),IF(OR(AND(G90="15-16",AD90&gt;='Qualifying Scores'!B$12),AND(G90="13-14",AD90&gt;='Qualifying Scores'!B$11),AND(G90="11-12",AD90&gt;='Qualifying Scores'!B$10)),AE90,0))))</f>
        <v>0</v>
      </c>
      <c r="S90" s="4">
        <f>IF(G90="17-21",MAX(T90,V90,Y90,AA90,AC90,AF90),MAX(X90,AE90))</f>
        <v>78.099999999999994</v>
      </c>
      <c r="T90" s="33">
        <v>36.97</v>
      </c>
      <c r="U90" s="40">
        <v>0</v>
      </c>
      <c r="V90" s="34">
        <v>41.129999999999995</v>
      </c>
      <c r="W90" s="40">
        <v>8.4999999999999982</v>
      </c>
      <c r="X90" s="4">
        <f>IF(H90="Senior",MAX(T90,V90),T90+V90)</f>
        <v>78.099999999999994</v>
      </c>
      <c r="Y90" s="34">
        <v>43.98</v>
      </c>
      <c r="Z90" s="40">
        <v>8.7999999999999989</v>
      </c>
      <c r="AA90" s="33">
        <v>39.03</v>
      </c>
      <c r="AB90" s="40">
        <v>0</v>
      </c>
      <c r="AC90" s="34">
        <v>4.97</v>
      </c>
      <c r="AD90" s="40">
        <v>1.3</v>
      </c>
      <c r="AE90" s="4">
        <f>IF(H90="Senior",MAX(AA90,AC90),AA90+AC90)</f>
        <v>44</v>
      </c>
      <c r="AF90" s="34"/>
      <c r="AG9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0">
      <sortCondition descending="1" ref="G1:G91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31" priority="5">
      <formula>IF($G1="17-21",1,0)</formula>
    </cfRule>
    <cfRule type="expression" dxfId="30" priority="6">
      <formula>IF($G1="15-16",1,0)</formula>
    </cfRule>
    <cfRule type="expression" dxfId="29" priority="7">
      <formula>IF($G1="13-14",1,0)</formula>
    </cfRule>
    <cfRule type="expression" dxfId="2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2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/>
      <c r="Y1" s="83"/>
      <c r="Z1" s="83"/>
      <c r="AA1" s="83" t="s">
        <v>44</v>
      </c>
      <c r="AB1" s="83"/>
      <c r="AC1" s="83"/>
      <c r="AD1" s="83"/>
      <c r="AE1" s="83"/>
      <c r="AF1" s="83"/>
      <c r="AG1" s="83"/>
    </row>
    <row r="2" spans="1:33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$128&lt;&gt;"")*(G$3:G$128=G3)*(J$3:J$128&gt;J3)*(I$3:I$128="P"))+1,IF(O3&lt;&gt;"",SUMPRODUCT((O$3:O$128&lt;&gt;"")*(P$3:P$128="")*(G$3:G$128=G3)*(J$3:J$128&gt;J3)*(I$3:I$128="P"))+SUMPRODUCT((P$3:P$128&lt;&gt;"")*(G$3:G$128=G3)*(I$3:I$128="P"))+1,IF(N3&lt;&gt;"",SUMPRODUCT((N$3:N$128&lt;&gt;"")*(G$3:G$128=G3)*(J$3:J$128&gt;J3)*(I$3:I$128="P"))+1,IF(M3="P",SUMPRODUCT((O$3:O$128&lt;&gt;"")*(P$3:P$128="")*(G$3:G$128=G3)*(I$3:I$128="P"))+SUMPRODUCT((P$3:P$128&lt;&gt;"")*(G$3:G$128=G3)*(I$3:I$128="P"))+SUMPRODUCT((N$3:N$128&lt;&gt;"")*(G$3:G$128=G3)*(I$3:I$128="P"))+SUMPRODUCT((P$3:P$128="")*(O$3:O$128="")*(N$3:N$128="")*(M$3:M$128="P")*(G$3:G$128=G3)*(J$3:J$128&gt;J3)*(I$3:I$128="P"))+IF(H3="L5",SUMPRODUCT((P$3:P$128="")*(O$3:O$128="")*(N$3:N$128="")*(M$3:M$128="P")*(G$3:G$128=G3)*(J$3:J$128&lt;J3)*(H$3:H$128&lt;&gt;H3)*(I$3:I$128="P")),-1*SUMPRODUCT((P$3:P$128="")*(O$3:O$128="")*(N$3:N$128="")*(M$3:M$128="P")*(G$3:G$128=G3)*(J$3:J$128&gt;J3)*(H$3:H$128="L5")*(I$3:I$128="P")))+1,"")))))</f>
        <v>1</v>
      </c>
      <c r="B3" s="1" cm="1">
        <f t="array" ref="B3">IF(P3&lt;&gt;"",SUMPRODUCT((P$3:P$128&lt;&gt;"")*(G$3:G$128=G3)*(J$3:J$128&gt;J3))+1,IF(O3&lt;&gt;"",SUMPRODUCT((O$3:O$128&lt;&gt;"")*(P$3:P$128="")*(G$3:G$128=G3)*(J$3:J$128&gt;J3))+SUMPRODUCT((P$3:P$128&lt;&gt;"")*(G$3:G$128=G3))+1,IF(N3&lt;&gt;"",SUMPRODUCT((N$3:N$128&lt;&gt;"")*(G$3:G$128=G3)*(J$3:J$128&gt;J3))+1,IF(M3="P",SUMPRODUCT((O$3:O$128&lt;&gt;"")*(P$3:P$128="")*(G$3:G$128=G3))+SUMPRODUCT((P$3:P$128&lt;&gt;"")*(G$3:G$128=G3))+SUMPRODUCT((N$3:N$128&lt;&gt;"")*(G$3:G$128=G3))+SUMPRODUCT((P$3:P$128="")*(O$3:O$128="")*(N$3:N$128="")*(M$3:M$128="P")*(G$3:G$128=G3)*(J$3:J$128&gt;J3))+IF(H3="L5",SUMPRODUCT((P$3:P$128="")*(O$3:O$128="")*(N$3:N$128="")*(M$3:M$128="P")*(G$3:G$128=G3)*(J$3:J$128&lt;J3)*(H$3:H$128&lt;&gt;H3)),-1*SUMPRODUCT((P$3:P$128="")*(O$3:O$128="")*(N$3:N$128="")*(M$3:M$128="P")*(G$3:G$128=G3)*(J$3:J$128&gt;J3)*(H$3:H$128="L5")))+1,""))))</f>
        <v>1</v>
      </c>
      <c r="C3" s="36" t="s">
        <v>14</v>
      </c>
      <c r="D3" s="36" t="str">
        <f>IF(E3="","",VLOOKUP(E3,'Coaching Points'!A:B,2,0))</f>
        <v>BC</v>
      </c>
      <c r="E3" s="36" t="s">
        <v>37</v>
      </c>
      <c r="F3" s="35">
        <v>2002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51.750205174999998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5</v>
      </c>
      <c r="Q3" s="49">
        <f>IF(A3&lt;5,IF(_xlfn.MAXIFS(A:A,G:G,G3)&gt;3,5-A3,_xlfn.MAXIFS(A:A,G:G,G3)+1-A3),"")</f>
        <v>4</v>
      </c>
      <c r="R3" s="4">
        <f>IF(G3="Not Age Eligible",0,IF(G3="17-21",MAX(IF(U3&gt;='Qualifying Scores'!C$13,T3,0),IF(W3&gt;='Qualifying Scores'!C$13,V3,0),IF(Z3&gt;='Qualifying Scores'!C$13,Y3,0),IF(AB3&gt;='Qualifying Scores'!C$13,AA3,0),IF(AD3&gt;'Qualifying Scores'!C$13,AC3,0),IF(AG3&gt;'Qualifying Scores'!C$13,AF3,0)),MAX(IF(OR(AND(G3="15-16",W3&gt;='Qualifying Scores'!C$12),AND(G3="13-14",W3&gt;='Qualifying Scores'!C$11),AND(G3="11-12",W3&gt;='Qualifying Scores'!C$10)),X3,0),IF(OR(AND(G3="15-16",AD3&gt;='Qualifying Scores'!C$12),AND(G3="13-14",AD3&gt;='Qualifying Scores'!C$11),AND(G3="11-12",AD3&gt;='Qualifying Scores'!C$10)),AE3,0))))</f>
        <v>51.75</v>
      </c>
      <c r="S3" s="4">
        <f>IF(G3="17-21",MAX(T3,V3,Y3,AA3,AC3,AF3),MAX(X3,AE3))</f>
        <v>51.75</v>
      </c>
      <c r="T3" s="33">
        <v>49.77</v>
      </c>
      <c r="U3" s="40">
        <v>12.9</v>
      </c>
      <c r="V3" s="34">
        <v>15.94</v>
      </c>
      <c r="W3" s="40">
        <v>4.4000000000000004</v>
      </c>
      <c r="X3" s="4">
        <f>IF(H3="Senior",MAX(T3,V3),T3+V3)</f>
        <v>49.77</v>
      </c>
      <c r="Y3" s="34">
        <v>51.07</v>
      </c>
      <c r="Z3" s="40">
        <v>12.9</v>
      </c>
      <c r="AA3" s="33">
        <v>50.309999999999995</v>
      </c>
      <c r="AB3" s="40">
        <v>12</v>
      </c>
      <c r="AC3" s="34">
        <v>51.75</v>
      </c>
      <c r="AD3" s="40">
        <v>12</v>
      </c>
      <c r="AE3" s="4">
        <f>IF(H3="Senior",MAX(AA3,AC3),AA3+AC3)</f>
        <v>51.75</v>
      </c>
      <c r="AF3" s="34">
        <v>50.16</v>
      </c>
      <c r="AG3" s="37">
        <v>11.3</v>
      </c>
    </row>
    <row r="4" spans="1:33" x14ac:dyDescent="0.2">
      <c r="A4" s="1" cm="1">
        <f t="array" ref="A4">IF(I4="","",IF(P4&lt;&gt;"",SUMPRODUCT((P$3:P$128&lt;&gt;"")*(G$3:G$128=G4)*(J$3:J$128&gt;J4)*(I$3:I$128="P"))+1,IF(O4&lt;&gt;"",SUMPRODUCT((O$3:O$128&lt;&gt;"")*(P$3:P$128="")*(G$3:G$128=G4)*(J$3:J$128&gt;J4)*(I$3:I$128="P"))+SUMPRODUCT((P$3:P$128&lt;&gt;"")*(G$3:G$128=G4)*(I$3:I$128="P"))+1,IF(N4&lt;&gt;"",SUMPRODUCT((N$3:N$128&lt;&gt;"")*(G$3:G$128=G4)*(J$3:J$128&gt;J4)*(I$3:I$128="P"))+1,IF(M4="P",SUMPRODUCT((O$3:O$128&lt;&gt;"")*(P$3:P$128="")*(G$3:G$128=G4)*(I$3:I$128="P"))+SUMPRODUCT((P$3:P$128&lt;&gt;"")*(G$3:G$128=G4)*(I$3:I$128="P"))+SUMPRODUCT((N$3:N$128&lt;&gt;"")*(G$3:G$128=G4)*(I$3:I$128="P"))+SUMPRODUCT((P$3:P$128="")*(O$3:O$128="")*(N$3:N$128="")*(M$3:M$128="P")*(G$3:G$128=G4)*(J$3:J$128&gt;J4)*(I$3:I$128="P"))+IF(H4="L5",SUMPRODUCT((P$3:P$128="")*(O$3:O$128="")*(N$3:N$128="")*(M$3:M$128="P")*(G$3:G$128=G4)*(J$3:J$128&lt;J4)*(H$3:H$128&lt;&gt;H4)*(I$3:I$128="P")),-1*SUMPRODUCT((P$3:P$128="")*(O$3:O$128="")*(N$3:N$128="")*(M$3:M$128="P")*(G$3:G$128=G4)*(J$3:J$128&gt;J4)*(H$3:H$128="L5")*(I$3:I$128="P")))+1,"")))))</f>
        <v>2</v>
      </c>
      <c r="B4" s="1" cm="1">
        <f t="array" ref="B4">IF(P4&lt;&gt;"",SUMPRODUCT((P$3:P$128&lt;&gt;"")*(G$3:G$128=G4)*(J$3:J$128&gt;J4))+1,IF(O4&lt;&gt;"",SUMPRODUCT((O$3:O$128&lt;&gt;"")*(P$3:P$128="")*(G$3:G$128=G4)*(J$3:J$128&gt;J4))+SUMPRODUCT((P$3:P$128&lt;&gt;"")*(G$3:G$128=G4))+1,IF(N4&lt;&gt;"",SUMPRODUCT((N$3:N$128&lt;&gt;"")*(G$3:G$128=G4)*(J$3:J$128&gt;J4))+1,IF(M4="P",SUMPRODUCT((O$3:O$128&lt;&gt;"")*(P$3:P$128="")*(G$3:G$128=G4))+SUMPRODUCT((P$3:P$128&lt;&gt;"")*(G$3:G$128=G4))+SUMPRODUCT((N$3:N$128&lt;&gt;"")*(G$3:G$128=G4))+SUMPRODUCT((P$3:P$128="")*(O$3:O$128="")*(N$3:N$128="")*(M$3:M$128="P")*(G$3:G$128=G4)*(J$3:J$128&gt;J4))+IF(H4="L5",SUMPRODUCT((P$3:P$128="")*(O$3:O$128="")*(N$3:N$128="")*(M$3:M$128="P")*(G$3:G$128=G4)*(J$3:J$128&lt;J4)*(H$3:H$128&lt;&gt;H4)),-1*SUMPRODUCT((P$3:P$128="")*(O$3:O$128="")*(N$3:N$128="")*(M$3:M$128="P")*(G$3:G$128=G4)*(J$3:J$128&gt;J4)*(H$3:H$128="L5")))+1,""))))</f>
        <v>2</v>
      </c>
      <c r="C4" s="36" t="s">
        <v>301</v>
      </c>
      <c r="D4" s="36" t="str">
        <f>IF(E4="","",VLOOKUP(E4,'Coaching Points'!A:B,2,0))</f>
        <v>BC</v>
      </c>
      <c r="E4" s="36" t="s">
        <v>37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51.010205046000003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P4" s="39">
        <v>6</v>
      </c>
      <c r="Q4" s="49">
        <f>IF(A4&lt;5,IF(_xlfn.MAXIFS(A:A,G:G,G4)&gt;3,5-A4,_xlfn.MAXIFS(A:A,G:G,G4)+1-A4),"")</f>
        <v>3</v>
      </c>
      <c r="R4" s="4">
        <f>IF(G4="Not Age Eligible",0,IF(G4="17-21",MAX(IF(U4&gt;='Qualifying Scores'!C$13,T4,0),IF(W4&gt;='Qualifying Scores'!C$13,V4,0),IF(Z4&gt;='Qualifying Scores'!C$13,Y4,0),IF(AB4&gt;='Qualifying Scores'!C$13,AA4,0),IF(AD4&gt;'Qualifying Scores'!C$13,AC4,0),IF(AG4&gt;'Qualifying Scores'!C$13,AF4,0)),MAX(IF(OR(AND(G4="15-16",W4&gt;='Qualifying Scores'!C$12),AND(G4="13-14",W4&gt;='Qualifying Scores'!C$11),AND(G4="11-12",W4&gt;='Qualifying Scores'!C$10)),X4,0),IF(OR(AND(G4="15-16",AD4&gt;='Qualifying Scores'!C$12),AND(G4="13-14",AD4&gt;='Qualifying Scores'!C$11),AND(G4="11-12",AD4&gt;='Qualifying Scores'!C$10)),AE4,0))))</f>
        <v>51.010000000000005</v>
      </c>
      <c r="S4" s="4">
        <f>IF(G4="17-21",MAX(T4,V4,Y4,AA4,AC4,AF4),MAX(X4,AE4))</f>
        <v>51.010000000000005</v>
      </c>
      <c r="T4" s="33">
        <v>51.010000000000005</v>
      </c>
      <c r="U4" s="40">
        <v>13.3</v>
      </c>
      <c r="V4" s="34">
        <v>49.04</v>
      </c>
      <c r="W4" s="40">
        <v>13.400000000000002</v>
      </c>
      <c r="X4" s="4">
        <f>IF(H4="Senior",MAX(T4,V4),T4+V4)</f>
        <v>51.010000000000005</v>
      </c>
      <c r="Y4" s="34">
        <v>30.49</v>
      </c>
      <c r="Z4" s="40">
        <v>8.1</v>
      </c>
      <c r="AA4" s="33">
        <v>49.419999999999995</v>
      </c>
      <c r="AB4" s="40">
        <v>13.3</v>
      </c>
      <c r="AC4" s="34">
        <v>50.460000000000008</v>
      </c>
      <c r="AD4" s="40">
        <v>13.3</v>
      </c>
      <c r="AE4" s="4">
        <f>IF(H4="Senior",MAX(AA4,AC4),AA4+AC4)</f>
        <v>50.460000000000008</v>
      </c>
      <c r="AF4" s="34">
        <v>5.57</v>
      </c>
      <c r="AG4" s="37">
        <v>1.7</v>
      </c>
    </row>
    <row r="5" spans="1:33" x14ac:dyDescent="0.2">
      <c r="A5" s="1" cm="1">
        <f t="array" ref="A5">IF(I5="","",IF(P5&lt;&gt;"",SUMPRODUCT((P$3:P$128&lt;&gt;"")*(G$3:G$128=G5)*(J$3:J$128&gt;J5)*(I$3:I$128="P"))+1,IF(O5&lt;&gt;"",SUMPRODUCT((O$3:O$128&lt;&gt;"")*(P$3:P$128="")*(G$3:G$128=G5)*(J$3:J$128&gt;J5)*(I$3:I$128="P"))+SUMPRODUCT((P$3:P$128&lt;&gt;"")*(G$3:G$128=G5)*(I$3:I$128="P"))+1,IF(N5&lt;&gt;"",SUMPRODUCT((N$3:N$128&lt;&gt;"")*(G$3:G$128=G5)*(J$3:J$128&gt;J5)*(I$3:I$128="P"))+1,IF(M5="P",SUMPRODUCT((O$3:O$128&lt;&gt;"")*(P$3:P$128="")*(G$3:G$128=G5)*(I$3:I$128="P"))+SUMPRODUCT((P$3:P$128&lt;&gt;"")*(G$3:G$128=G5)*(I$3:I$128="P"))+SUMPRODUCT((N$3:N$128&lt;&gt;"")*(G$3:G$128=G5)*(I$3:I$128="P"))+SUMPRODUCT((P$3:P$128="")*(O$3:O$128="")*(N$3:N$128="")*(M$3:M$128="P")*(G$3:G$128=G5)*(J$3:J$128&gt;J5)*(I$3:I$128="P"))+IF(H5="L5",SUMPRODUCT((P$3:P$128="")*(O$3:O$128="")*(N$3:N$128="")*(M$3:M$128="P")*(G$3:G$128=G5)*(J$3:J$128&lt;J5)*(H$3:H$128&lt;&gt;H5)*(I$3:I$128="P")),-1*SUMPRODUCT((P$3:P$128="")*(O$3:O$128="")*(N$3:N$128="")*(M$3:M$128="P")*(G$3:G$128=G5)*(J$3:J$128&gt;J5)*(H$3:H$128="L5")*(I$3:I$128="P")))+1,"")))))</f>
        <v>3</v>
      </c>
      <c r="B5" s="1" cm="1">
        <f t="array" ref="B5">IF(P5&lt;&gt;"",SUMPRODUCT((P$3:P$128&lt;&gt;"")*(G$3:G$128=G5)*(J$3:J$128&gt;J5))+1,IF(O5&lt;&gt;"",SUMPRODUCT((O$3:O$128&lt;&gt;"")*(P$3:P$128="")*(G$3:G$128=G5)*(J$3:J$128&gt;J5))+SUMPRODUCT((P$3:P$128&lt;&gt;"")*(G$3:G$128=G5))+1,IF(N5&lt;&gt;"",SUMPRODUCT((N$3:N$128&lt;&gt;"")*(G$3:G$128=G5)*(J$3:J$128&gt;J5))+1,IF(M5="P",SUMPRODUCT((O$3:O$128&lt;&gt;"")*(P$3:P$128="")*(G$3:G$128=G5))+SUMPRODUCT((P$3:P$128&lt;&gt;"")*(G$3:G$128=G5))+SUMPRODUCT((N$3:N$128&lt;&gt;"")*(G$3:G$128=G5))+SUMPRODUCT((P$3:P$128="")*(O$3:O$128="")*(N$3:N$128="")*(M$3:M$128="P")*(G$3:G$128=G5)*(J$3:J$128&gt;J5))+IF(H5="L5",SUMPRODUCT((P$3:P$128="")*(O$3:O$128="")*(N$3:N$128="")*(M$3:M$128="P")*(G$3:G$128=G5)*(J$3:J$128&lt;J5)*(H$3:H$128&lt;&gt;H5)),-1*SUMPRODUCT((P$3:P$128="")*(O$3:O$128="")*(N$3:N$128="")*(M$3:M$128="P")*(G$3:G$128=G5)*(J$3:J$128&gt;J5)*(H$3:H$128="L5")))+1,""))))</f>
        <v>3</v>
      </c>
      <c r="C5" s="36" t="s">
        <v>299</v>
      </c>
      <c r="D5" s="36" t="str">
        <f>IF(E5="","",VLOOKUP(E5,'Coaching Points'!A:B,2,0))</f>
        <v>ON</v>
      </c>
      <c r="E5" s="36" t="s">
        <v>38</v>
      </c>
      <c r="F5" s="35">
        <v>2001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51.120204876999999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49">
        <f>IF(A5&lt;5,IF(_xlfn.MAXIFS(A:A,G:G,G5)&gt;3,5-A5,_xlfn.MAXIFS(A:A,G:G,G5)+1-A5),"")</f>
        <v>2</v>
      </c>
      <c r="R5" s="4">
        <f>IF(G5="Not Age Eligible",0,IF(G5="17-21",MAX(IF(U5&gt;='Qualifying Scores'!C$13,T5,0),IF(W5&gt;='Qualifying Scores'!C$13,V5,0),IF(Z5&gt;='Qualifying Scores'!C$13,Y5,0),IF(AB5&gt;='Qualifying Scores'!C$13,AA5,0),IF(AD5&gt;'Qualifying Scores'!C$13,AC5,0),IF(AG5&gt;'Qualifying Scores'!C$13,AF5,0)),MAX(IF(OR(AND(G5="15-16",W5&gt;='Qualifying Scores'!C$12),AND(G5="13-14",W5&gt;='Qualifying Scores'!C$11),AND(G5="11-12",W5&gt;='Qualifying Scores'!C$10)),X5,0),IF(OR(AND(G5="15-16",AD5&gt;='Qualifying Scores'!C$12),AND(G5="13-14",AD5&gt;='Qualifying Scores'!C$11),AND(G5="11-12",AD5&gt;='Qualifying Scores'!C$10)),AE5,0))))</f>
        <v>51.12</v>
      </c>
      <c r="S5" s="4">
        <f>IF(G5="17-21",MAX(T5,V5,Y5,AA5,AC5,AF5),MAX(X5,AE5))</f>
        <v>51.12</v>
      </c>
      <c r="T5" s="33">
        <v>46.37</v>
      </c>
      <c r="U5" s="40">
        <v>10.799999999999999</v>
      </c>
      <c r="V5" s="34">
        <v>50.069999999999993</v>
      </c>
      <c r="W5" s="40">
        <v>12.2</v>
      </c>
      <c r="X5" s="4">
        <f>IF(H5="Senior",MAX(T5,V5),T5+V5)</f>
        <v>50.069999999999993</v>
      </c>
      <c r="Y5" s="34">
        <v>51.12</v>
      </c>
      <c r="Z5" s="40">
        <v>12.2</v>
      </c>
      <c r="AA5" s="33">
        <v>20.259999999999998</v>
      </c>
      <c r="AB5" s="40">
        <v>5</v>
      </c>
      <c r="AC5" s="34">
        <v>48.769999999999996</v>
      </c>
      <c r="AD5" s="40">
        <v>12.2</v>
      </c>
      <c r="AE5" s="4">
        <f>IF(H5="Senior",MAX(AA5,AC5),AA5+AC5)</f>
        <v>48.769999999999996</v>
      </c>
      <c r="AF5" s="34">
        <v>45</v>
      </c>
      <c r="AG5" s="37">
        <v>10.8</v>
      </c>
    </row>
    <row r="6" spans="1:33" x14ac:dyDescent="0.2">
      <c r="A6" s="1" cm="1">
        <f t="array" ref="A6">IF(I6="","",IF(P6&lt;&gt;"",SUMPRODUCT((P$3:P$128&lt;&gt;"")*(G$3:G$128=G6)*(J$3:J$128&gt;J6)*(I$3:I$128="P"))+1,IF(O6&lt;&gt;"",SUMPRODUCT((O$3:O$128&lt;&gt;"")*(P$3:P$128="")*(G$3:G$128=G6)*(J$3:J$128&gt;J6)*(I$3:I$128="P"))+SUMPRODUCT((P$3:P$128&lt;&gt;"")*(G$3:G$128=G6)*(I$3:I$128="P"))+1,IF(N6&lt;&gt;"",SUMPRODUCT((N$3:N$128&lt;&gt;"")*(G$3:G$128=G6)*(J$3:J$128&gt;J6)*(I$3:I$128="P"))+1,IF(M6="P",SUMPRODUCT((O$3:O$128&lt;&gt;"")*(P$3:P$128="")*(G$3:G$128=G6)*(I$3:I$128="P"))+SUMPRODUCT((P$3:P$128&lt;&gt;"")*(G$3:G$128=G6)*(I$3:I$128="P"))+SUMPRODUCT((N$3:N$128&lt;&gt;"")*(G$3:G$128=G6)*(I$3:I$128="P"))+SUMPRODUCT((P$3:P$128="")*(O$3:O$128="")*(N$3:N$128="")*(M$3:M$128="P")*(G$3:G$128=G6)*(J$3:J$128&gt;J6)*(I$3:I$128="P"))+IF(H6="L5",SUMPRODUCT((P$3:P$128="")*(O$3:O$128="")*(N$3:N$128="")*(M$3:M$128="P")*(G$3:G$128=G6)*(J$3:J$128&lt;J6)*(H$3:H$128&lt;&gt;H6)*(I$3:I$128="P")),-1*SUMPRODUCT((P$3:P$128="")*(O$3:O$128="")*(N$3:N$128="")*(M$3:M$128="P")*(G$3:G$128=G6)*(J$3:J$128&gt;J6)*(H$3:H$128="L5")*(I$3:I$128="P")))+1,"")))))</f>
        <v>4</v>
      </c>
      <c r="B6" s="1" cm="1">
        <f t="array" ref="B6">IF(P6&lt;&gt;"",SUMPRODUCT((P$3:P$128&lt;&gt;"")*(G$3:G$128=G6)*(J$3:J$128&gt;J6))+1,IF(O6&lt;&gt;"",SUMPRODUCT((O$3:O$128&lt;&gt;"")*(P$3:P$128="")*(G$3:G$128=G6)*(J$3:J$128&gt;J6))+SUMPRODUCT((P$3:P$128&lt;&gt;"")*(G$3:G$128=G6))+1,IF(N6&lt;&gt;"",SUMPRODUCT((N$3:N$128&lt;&gt;"")*(G$3:G$128=G6)*(J$3:J$128&gt;J6))+1,IF(M6="P",SUMPRODUCT((O$3:O$128&lt;&gt;"")*(P$3:P$128="")*(G$3:G$128=G6))+SUMPRODUCT((P$3:P$128&lt;&gt;"")*(G$3:G$128=G6))+SUMPRODUCT((N$3:N$128&lt;&gt;"")*(G$3:G$128=G6))+SUMPRODUCT((P$3:P$128="")*(O$3:O$128="")*(N$3:N$128="")*(M$3:M$128="P")*(G$3:G$128=G6)*(J$3:J$128&gt;J6))+IF(H6="L5",SUMPRODUCT((P$3:P$128="")*(O$3:O$128="")*(N$3:N$128="")*(M$3:M$128="P")*(G$3:G$128=G6)*(J$3:J$128&lt;J6)*(H$3:H$128&lt;&gt;H6)),-1*SUMPRODUCT((P$3:P$128="")*(O$3:O$128="")*(N$3:N$128="")*(M$3:M$128="P")*(G$3:G$128=G6)*(J$3:J$128&gt;J6)*(H$3:H$128="L5")))+1,""))))</f>
        <v>4</v>
      </c>
      <c r="C6" s="36" t="s">
        <v>283</v>
      </c>
      <c r="D6" s="36" t="str">
        <f>IF(E6="","",VLOOKUP(E6,'Coaching Points'!A:B,2,0))</f>
        <v>ON</v>
      </c>
      <c r="E6" s="36" t="s">
        <v>224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50.720205071999999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3</v>
      </c>
      <c r="Q6" s="49">
        <f>IF(A6&lt;5,IF(_xlfn.MAXIFS(A:A,G:G,G6)&gt;3,5-A6,_xlfn.MAXIFS(A:A,G:G,G6)+1-A6),"")</f>
        <v>1</v>
      </c>
      <c r="R6" s="4">
        <f>IF(G6="Not Age Eligible",0,IF(G6="17-21",MAX(IF(U6&gt;='Qualifying Scores'!C$13,T6,0),IF(W6&gt;='Qualifying Scores'!C$13,V6,0),IF(Z6&gt;='Qualifying Scores'!C$13,Y6,0),IF(AB6&gt;='Qualifying Scores'!C$13,AA6,0),IF(AD6&gt;'Qualifying Scores'!C$13,AC6,0),IF(AG6&gt;'Qualifying Scores'!C$13,AF6,0)),MAX(IF(OR(AND(G6="15-16",W6&gt;='Qualifying Scores'!C$12),AND(G6="13-14",W6&gt;='Qualifying Scores'!C$11),AND(G6="11-12",W6&gt;='Qualifying Scores'!C$10)),X6,0),IF(OR(AND(G6="15-16",AD6&gt;='Qualifying Scores'!C$12),AND(G6="13-14",AD6&gt;='Qualifying Scores'!C$11),AND(G6="11-12",AD6&gt;='Qualifying Scores'!C$10)),AE6,0))))</f>
        <v>50.72</v>
      </c>
      <c r="S6" s="4">
        <f>IF(G6="17-21",MAX(T6,V6,Y6,AA6,AC6,AF6),MAX(X6,AE6))</f>
        <v>50.72</v>
      </c>
      <c r="T6" s="33">
        <v>42.96</v>
      </c>
      <c r="U6" s="40">
        <v>2.2999999999999998</v>
      </c>
      <c r="V6" s="34">
        <v>49.42</v>
      </c>
      <c r="W6" s="40">
        <v>11.8</v>
      </c>
      <c r="X6" s="4">
        <f>IF(H6="Senior",MAX(T6,V6),T6+V6)</f>
        <v>49.42</v>
      </c>
      <c r="Y6" s="34">
        <v>49.56</v>
      </c>
      <c r="Z6" s="40">
        <v>11.8</v>
      </c>
      <c r="AA6" s="33">
        <v>50.410000000000004</v>
      </c>
      <c r="AB6" s="40">
        <v>11.8</v>
      </c>
      <c r="AC6" s="34">
        <v>50.72</v>
      </c>
      <c r="AD6" s="40">
        <v>11.8</v>
      </c>
      <c r="AE6" s="4">
        <f>IF(H6="Senior",MAX(AA6,AC6),AA6+AC6)</f>
        <v>50.72</v>
      </c>
      <c r="AF6" s="34">
        <v>50.019999999999996</v>
      </c>
      <c r="AG6" s="37">
        <v>11.8</v>
      </c>
    </row>
    <row r="7" spans="1:33" x14ac:dyDescent="0.2">
      <c r="A7" s="1" cm="1">
        <f t="array" ref="A7">IF(I7="","",IF(P7&lt;&gt;"",SUMPRODUCT((P$3:P$128&lt;&gt;"")*(G$3:G$128=G7)*(J$3:J$128&gt;J7)*(I$3:I$128="P"))+1,IF(O7&lt;&gt;"",SUMPRODUCT((O$3:O$128&lt;&gt;"")*(P$3:P$128="")*(G$3:G$128=G7)*(J$3:J$128&gt;J7)*(I$3:I$128="P"))+SUMPRODUCT((P$3:P$128&lt;&gt;"")*(G$3:G$128=G7)*(I$3:I$128="P"))+1,IF(N7&lt;&gt;"",SUMPRODUCT((N$3:N$128&lt;&gt;"")*(G$3:G$128=G7)*(J$3:J$128&gt;J7)*(I$3:I$128="P"))+1,IF(M7="P",SUMPRODUCT((O$3:O$128&lt;&gt;"")*(P$3:P$128="")*(G$3:G$128=G7)*(I$3:I$128="P"))+SUMPRODUCT((P$3:P$128&lt;&gt;"")*(G$3:G$128=G7)*(I$3:I$128="P"))+SUMPRODUCT((N$3:N$128&lt;&gt;"")*(G$3:G$128=G7)*(I$3:I$128="P"))+SUMPRODUCT((P$3:P$128="")*(O$3:O$128="")*(N$3:N$128="")*(M$3:M$128="P")*(G$3:G$128=G7)*(J$3:J$128&gt;J7)*(I$3:I$128="P"))+IF(H7="L5",SUMPRODUCT((P$3:P$128="")*(O$3:O$128="")*(N$3:N$128="")*(M$3:M$128="P")*(G$3:G$128=G7)*(J$3:J$128&lt;J7)*(H$3:H$128&lt;&gt;H7)*(I$3:I$128="P")),-1*SUMPRODUCT((P$3:P$128="")*(O$3:O$128="")*(N$3:N$128="")*(M$3:M$128="P")*(G$3:G$128=G7)*(J$3:J$128&gt;J7)*(H$3:H$128="L5")*(I$3:I$128="P")))+1,"")))))</f>
        <v>5</v>
      </c>
      <c r="B7" s="1" cm="1">
        <f t="array" ref="B7">IF(P7&lt;&gt;"",SUMPRODUCT((P$3:P$128&lt;&gt;"")*(G$3:G$128=G7)*(J$3:J$128&gt;J7))+1,IF(O7&lt;&gt;"",SUMPRODUCT((O$3:O$128&lt;&gt;"")*(P$3:P$128="")*(G$3:G$128=G7)*(J$3:J$128&gt;J7))+SUMPRODUCT((P$3:P$128&lt;&gt;"")*(G$3:G$128=G7))+1,IF(N7&lt;&gt;"",SUMPRODUCT((N$3:N$128&lt;&gt;"")*(G$3:G$128=G7)*(J$3:J$128&gt;J7))+1,IF(M7="P",SUMPRODUCT((O$3:O$128&lt;&gt;"")*(P$3:P$128="")*(G$3:G$128=G7))+SUMPRODUCT((P$3:P$128&lt;&gt;"")*(G$3:G$128=G7))+SUMPRODUCT((N$3:N$128&lt;&gt;"")*(G$3:G$128=G7))+SUMPRODUCT((P$3:P$128="")*(O$3:O$128="")*(N$3:N$128="")*(M$3:M$128="P")*(G$3:G$128=G7)*(J$3:J$128&gt;J7))+IF(H7="L5",SUMPRODUCT((P$3:P$128="")*(O$3:O$128="")*(N$3:N$128="")*(M$3:M$128="P")*(G$3:G$128=G7)*(J$3:J$128&lt;J7)*(H$3:H$128&lt;&gt;H7)),-1*SUMPRODUCT((P$3:P$128="")*(O$3:O$128="")*(N$3:N$128="")*(M$3:M$128="P")*(G$3:G$128=G7)*(J$3:J$128&gt;J7)*(H$3:H$128="L5")))+1,""))))</f>
        <v>5</v>
      </c>
      <c r="C7" s="36" t="s">
        <v>458</v>
      </c>
      <c r="D7" s="36" t="str">
        <f>IF(E7="","",VLOOKUP(E7,'Coaching Points'!A:B,2,0))</f>
        <v>AB</v>
      </c>
      <c r="E7" s="36" t="s">
        <v>41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R7+IF(OR(H7="Junior",H7="Senior"),0.0002,IF(OR(H7="L7",H7="L6"),0.0001,0))+IF(G7="17-21",MAX(AA7,AC7,AF7),AE7)*0.0000001</f>
        <v>48.730204873000005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Scores'!C$13,T7,0),IF(W7&gt;='Qualifying Scores'!C$13,V7,0),IF(Z7&gt;='Qualifying Scores'!C$13,Y7,0),IF(AB7&gt;='Qualifying Scores'!C$13,AA7,0),IF(AD7&gt;'Qualifying Scores'!C$13,AC7,0),IF(AG7&gt;'Qualifying Scores'!C$13,AF7,0)),MAX(IF(OR(AND(G7="15-16",W7&gt;='Qualifying Scores'!C$12),AND(G7="13-14",W7&gt;='Qualifying Scores'!C$11),AND(G7="11-12",W7&gt;='Qualifying Scores'!C$10)),X7,0),IF(OR(AND(G7="15-16",AD7&gt;='Qualifying Scores'!C$12),AND(G7="13-14",AD7&gt;='Qualifying Scores'!C$11),AND(G7="11-12",AD7&gt;='Qualifying Scores'!C$10)),AE7,0))))</f>
        <v>48.730000000000004</v>
      </c>
      <c r="S7" s="4">
        <f>IF(G7="17-21",MAX(T7,V7,Y7,AA7,AC7,AF7),MAX(X7,AE7))</f>
        <v>48.730000000000004</v>
      </c>
      <c r="T7" s="33"/>
      <c r="U7" s="40"/>
      <c r="V7" s="34"/>
      <c r="W7" s="40"/>
      <c r="X7" s="4">
        <f>IF(H7="Senior",MAX(T7,V7),T7+V7)</f>
        <v>0</v>
      </c>
      <c r="Y7" s="34"/>
      <c r="Z7" s="40"/>
      <c r="AA7" s="33">
        <v>5.48</v>
      </c>
      <c r="AB7" s="40">
        <v>1.5</v>
      </c>
      <c r="AC7" s="34">
        <v>48.730000000000004</v>
      </c>
      <c r="AD7" s="40">
        <v>12.7</v>
      </c>
      <c r="AE7" s="4">
        <f>IF(H7="Senior",MAX(AA7,AC7),AA7+AC7)</f>
        <v>48.730000000000004</v>
      </c>
      <c r="AF7" s="34">
        <v>43.849999999999994</v>
      </c>
      <c r="AG7" s="37">
        <v>11.3</v>
      </c>
    </row>
    <row r="8" spans="1:33" x14ac:dyDescent="0.2">
      <c r="A8" s="1" cm="1">
        <f t="array" ref="A8">IF(I8="","",IF(P8&lt;&gt;"",SUMPRODUCT((P$3:P$128&lt;&gt;"")*(G$3:G$128=G8)*(J$3:J$128&gt;J8)*(I$3:I$128="P"))+1,IF(O8&lt;&gt;"",SUMPRODUCT((O$3:O$128&lt;&gt;"")*(P$3:P$128="")*(G$3:G$128=G8)*(J$3:J$128&gt;J8)*(I$3:I$128="P"))+SUMPRODUCT((P$3:P$128&lt;&gt;"")*(G$3:G$128=G8)*(I$3:I$128="P"))+1,IF(N8&lt;&gt;"",SUMPRODUCT((N$3:N$128&lt;&gt;"")*(G$3:G$128=G8)*(J$3:J$128&gt;J8)*(I$3:I$128="P"))+1,IF(M8="P",SUMPRODUCT((O$3:O$128&lt;&gt;"")*(P$3:P$128="")*(G$3:G$128=G8)*(I$3:I$128="P"))+SUMPRODUCT((P$3:P$128&lt;&gt;"")*(G$3:G$128=G8)*(I$3:I$128="P"))+SUMPRODUCT((N$3:N$128&lt;&gt;"")*(G$3:G$128=G8)*(I$3:I$128="P"))+SUMPRODUCT((P$3:P$128="")*(O$3:O$128="")*(N$3:N$128="")*(M$3:M$128="P")*(G$3:G$128=G8)*(J$3:J$128&gt;J8)*(I$3:I$128="P"))+IF(H8="L5",SUMPRODUCT((P$3:P$128="")*(O$3:O$128="")*(N$3:N$128="")*(M$3:M$128="P")*(G$3:G$128=G8)*(J$3:J$128&lt;J8)*(H$3:H$128&lt;&gt;H8)*(I$3:I$128="P")),-1*SUMPRODUCT((P$3:P$128="")*(O$3:O$128="")*(N$3:N$128="")*(M$3:M$128="P")*(G$3:G$128=G8)*(J$3:J$128&gt;J8)*(H$3:H$128="L5")*(I$3:I$128="P")))+1,"")))))</f>
        <v>6</v>
      </c>
      <c r="B8" s="1" cm="1">
        <f t="array" ref="B8">IF(P8&lt;&gt;"",SUMPRODUCT((P$3:P$128&lt;&gt;"")*(G$3:G$128=G8)*(J$3:J$128&gt;J8))+1,IF(O8&lt;&gt;"",SUMPRODUCT((O$3:O$128&lt;&gt;"")*(P$3:P$128="")*(G$3:G$128=G8)*(J$3:J$128&gt;J8))+SUMPRODUCT((P$3:P$128&lt;&gt;"")*(G$3:G$128=G8))+1,IF(N8&lt;&gt;"",SUMPRODUCT((N$3:N$128&lt;&gt;"")*(G$3:G$128=G8)*(J$3:J$128&gt;J8))+1,IF(M8="P",SUMPRODUCT((O$3:O$128&lt;&gt;"")*(P$3:P$128="")*(G$3:G$128=G8))+SUMPRODUCT((P$3:P$128&lt;&gt;"")*(G$3:G$128=G8))+SUMPRODUCT((N$3:N$128&lt;&gt;"")*(G$3:G$128=G8))+SUMPRODUCT((P$3:P$128="")*(O$3:O$128="")*(N$3:N$128="")*(M$3:M$128="P")*(G$3:G$128=G8)*(J$3:J$128&gt;J8))+IF(H8="L5",SUMPRODUCT((P$3:P$128="")*(O$3:O$128="")*(N$3:N$128="")*(M$3:M$128="P")*(G$3:G$128=G8)*(J$3:J$128&lt;J8)*(H$3:H$128&lt;&gt;H8)),-1*SUMPRODUCT((P$3:P$128="")*(O$3:O$128="")*(N$3:N$128="")*(M$3:M$128="P")*(G$3:G$128=G8)*(J$3:J$128&gt;J8)*(H$3:H$128="L5")))+1,""))))</f>
        <v>6</v>
      </c>
      <c r="C8" s="36" t="s">
        <v>300</v>
      </c>
      <c r="D8" s="36" t="str">
        <f>IF(E8="","",VLOOKUP(E8,'Coaching Points'!A:B,2,0))</f>
        <v>ON</v>
      </c>
      <c r="E8" s="36" t="s">
        <v>38</v>
      </c>
      <c r="F8" s="35">
        <v>2002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 t="s">
        <v>604</v>
      </c>
      <c r="J8" s="4">
        <f>R8+IF(OR(H8="Junior",H8="Senior"),0.0002,IF(OR(H8="L7",H8="L6"),0.0001,0))+IF(G8="17-21",MAX(AA8,AC8,AF8),AE8)*0.0000001</f>
        <v>48.370204836999996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Scores'!C$13,T8,0),IF(W8&gt;='Qualifying Scores'!C$13,V8,0),IF(Z8&gt;='Qualifying Scores'!C$13,Y8,0),IF(AB8&gt;='Qualifying Scores'!C$13,AA8,0),IF(AD8&gt;'Qualifying Scores'!C$13,AC8,0),IF(AG8&gt;'Qualifying Scores'!C$13,AF8,0)),MAX(IF(OR(AND(G8="15-16",W8&gt;='Qualifying Scores'!C$12),AND(G8="13-14",W8&gt;='Qualifying Scores'!C$11),AND(G8="11-12",W8&gt;='Qualifying Scores'!C$10)),X8,0),IF(OR(AND(G8="15-16",AD8&gt;='Qualifying Scores'!C$12),AND(G8="13-14",AD8&gt;='Qualifying Scores'!C$11),AND(G8="11-12",AD8&gt;='Qualifying Scores'!C$10)),AE8,0))))</f>
        <v>48.37</v>
      </c>
      <c r="S8" s="4">
        <f>IF(G8="17-21",MAX(T8,V8,Y8,AA8,AC8,AF8),MAX(X8,AE8))</f>
        <v>48.37</v>
      </c>
      <c r="T8" s="33">
        <v>45.679999999999993</v>
      </c>
      <c r="U8" s="40">
        <v>10.599999999999998</v>
      </c>
      <c r="V8" s="34">
        <v>47.089999999999996</v>
      </c>
      <c r="W8" s="40">
        <v>10.6</v>
      </c>
      <c r="X8" s="4">
        <f>IF(H8="Senior",MAX(T8,V8),T8+V8)</f>
        <v>47.089999999999996</v>
      </c>
      <c r="Y8" s="34">
        <v>43.88</v>
      </c>
      <c r="Z8" s="40">
        <v>9.8999999999999986</v>
      </c>
      <c r="AA8" s="33">
        <v>48.37</v>
      </c>
      <c r="AB8" s="40">
        <v>11.3</v>
      </c>
      <c r="AC8" s="34">
        <v>46.029999999999994</v>
      </c>
      <c r="AD8" s="40">
        <v>10.6</v>
      </c>
      <c r="AE8" s="4">
        <f>IF(H8="Senior",MAX(AA8,AC8),AA8+AC8)</f>
        <v>48.37</v>
      </c>
      <c r="AF8" s="34"/>
      <c r="AG8" s="37"/>
    </row>
    <row r="9" spans="1:33" x14ac:dyDescent="0.2">
      <c r="A9" s="1" cm="1">
        <f t="array" ref="A9">IF(I9="","",IF(P9&lt;&gt;"",SUMPRODUCT((P$3:P$128&lt;&gt;"")*(G$3:G$128=G9)*(J$3:J$128&gt;J9)*(I$3:I$128="P"))+1,IF(O9&lt;&gt;"",SUMPRODUCT((O$3:O$128&lt;&gt;"")*(P$3:P$128="")*(G$3:G$128=G9)*(J$3:J$128&gt;J9)*(I$3:I$128="P"))+SUMPRODUCT((P$3:P$128&lt;&gt;"")*(G$3:G$128=G9)*(I$3:I$128="P"))+1,IF(N9&lt;&gt;"",SUMPRODUCT((N$3:N$128&lt;&gt;"")*(G$3:G$128=G9)*(J$3:J$128&gt;J9)*(I$3:I$128="P"))+1,IF(M9="P",SUMPRODUCT((O$3:O$128&lt;&gt;"")*(P$3:P$128="")*(G$3:G$128=G9)*(I$3:I$128="P"))+SUMPRODUCT((P$3:P$128&lt;&gt;"")*(G$3:G$128=G9)*(I$3:I$128="P"))+SUMPRODUCT((N$3:N$128&lt;&gt;"")*(G$3:G$128=G9)*(I$3:I$128="P"))+SUMPRODUCT((P$3:P$128="")*(O$3:O$128="")*(N$3:N$128="")*(M$3:M$128="P")*(G$3:G$128=G9)*(J$3:J$128&gt;J9)*(I$3:I$128="P"))+IF(H9="L5",SUMPRODUCT((P$3:P$128="")*(O$3:O$128="")*(N$3:N$128="")*(M$3:M$128="P")*(G$3:G$128=G9)*(J$3:J$128&lt;J9)*(H$3:H$128&lt;&gt;H9)*(I$3:I$128="P")),-1*SUMPRODUCT((P$3:P$128="")*(O$3:O$128="")*(N$3:N$128="")*(M$3:M$128="P")*(G$3:G$128=G9)*(J$3:J$128&gt;J9)*(H$3:H$128="L5")*(I$3:I$128="P")))+1,"")))))</f>
        <v>7</v>
      </c>
      <c r="B9" s="1" cm="1">
        <f t="array" ref="B9">IF(P9&lt;&gt;"",SUMPRODUCT((P$3:P$128&lt;&gt;"")*(G$3:G$128=G9)*(J$3:J$128&gt;J9))+1,IF(O9&lt;&gt;"",SUMPRODUCT((O$3:O$128&lt;&gt;"")*(P$3:P$128="")*(G$3:G$128=G9)*(J$3:J$128&gt;J9))+SUMPRODUCT((P$3:P$128&lt;&gt;"")*(G$3:G$128=G9))+1,IF(N9&lt;&gt;"",SUMPRODUCT((N$3:N$128&lt;&gt;"")*(G$3:G$128=G9)*(J$3:J$128&gt;J9))+1,IF(M9="P",SUMPRODUCT((O$3:O$128&lt;&gt;"")*(P$3:P$128="")*(G$3:G$128=G9))+SUMPRODUCT((P$3:P$128&lt;&gt;"")*(G$3:G$128=G9))+SUMPRODUCT((N$3:N$128&lt;&gt;"")*(G$3:G$128=G9))+SUMPRODUCT((P$3:P$128="")*(O$3:O$128="")*(N$3:N$128="")*(M$3:M$128="P")*(G$3:G$128=G9)*(J$3:J$128&gt;J9))+IF(H9="L5",SUMPRODUCT((P$3:P$128="")*(O$3:O$128="")*(N$3:N$128="")*(M$3:M$128="P")*(G$3:G$128=G9)*(J$3:J$128&lt;J9)*(H$3:H$128&lt;&gt;H9)),-1*SUMPRODUCT((P$3:P$128="")*(O$3:O$128="")*(N$3:N$128="")*(M$3:M$128="P")*(G$3:G$128=G9)*(J$3:J$128&gt;J9)*(H$3:H$128="L5")))+1,""))))</f>
        <v>7</v>
      </c>
      <c r="C9" s="36" t="s">
        <v>284</v>
      </c>
      <c r="D9" s="36" t="str">
        <f>IF(E9="","",VLOOKUP(E9,'Coaching Points'!A:B,2,0))</f>
        <v>BC</v>
      </c>
      <c r="E9" s="36" t="s">
        <v>37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R9+IF(OR(H9="Junior",H9="Senior"),0.0002,IF(OR(H9="L7",H9="L6"),0.0001,0))+IF(G9="17-21",MAX(AA9,AC9,AF9),AE9)*0.0000001</f>
        <v>48.290104109000012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Scores'!C$13,T9,0),IF(W9&gt;='Qualifying Scores'!C$13,V9,0),IF(Z9&gt;='Qualifying Scores'!C$13,Y9,0),IF(AB9&gt;='Qualifying Scores'!C$13,AA9,0),IF(AD9&gt;'Qualifying Scores'!C$13,AC9,0),IF(AG9&gt;'Qualifying Scores'!C$13,AF9,0)),MAX(IF(OR(AND(G9="15-16",W9&gt;='Qualifying Scores'!C$12),AND(G9="13-14",W9&gt;='Qualifying Scores'!C$11),AND(G9="11-12",W9&gt;='Qualifying Scores'!C$10)),X9,0),IF(OR(AND(G9="15-16",AD9&gt;='Qualifying Scores'!C$12),AND(G9="13-14",AD9&gt;='Qualifying Scores'!C$11),AND(G9="11-12",AD9&gt;='Qualifying Scores'!C$10)),AE9,0))))</f>
        <v>48.290000000000006</v>
      </c>
      <c r="S9" s="4">
        <f>IF(G9="17-21",MAX(T9,V9,Y9,AA9,AC9,AF9),MAX(X9,AE9))</f>
        <v>48.290000000000006</v>
      </c>
      <c r="T9" s="33">
        <v>42.58</v>
      </c>
      <c r="U9" s="40">
        <v>2.1</v>
      </c>
      <c r="V9" s="34">
        <v>47.480000000000004</v>
      </c>
      <c r="W9" s="40">
        <v>8.6</v>
      </c>
      <c r="X9" s="4">
        <f>IF(H9="Senior",MAX(T9,V9),T9+V9)</f>
        <v>90.06</v>
      </c>
      <c r="Y9" s="34">
        <v>48.290000000000006</v>
      </c>
      <c r="Z9" s="40">
        <v>10.499999999999998</v>
      </c>
      <c r="AA9" s="33">
        <v>41.09</v>
      </c>
      <c r="AB9" s="40">
        <v>2.1</v>
      </c>
      <c r="AC9" s="34">
        <v>24.529999999999998</v>
      </c>
      <c r="AD9" s="40">
        <v>5.2</v>
      </c>
      <c r="AE9" s="4">
        <f>IF(H9="Senior",MAX(AA9,AC9),AA9+AC9)</f>
        <v>65.62</v>
      </c>
      <c r="AF9" s="34"/>
      <c r="AG9" s="37"/>
    </row>
    <row r="10" spans="1:33" x14ac:dyDescent="0.2">
      <c r="A10" s="1" cm="1">
        <f t="array" ref="A10">IF(I10="","",IF(P10&lt;&gt;"",SUMPRODUCT((P$3:P$128&lt;&gt;"")*(G$3:G$128=G10)*(J$3:J$128&gt;J10)*(I$3:I$128="P"))+1,IF(O10&lt;&gt;"",SUMPRODUCT((O$3:O$128&lt;&gt;"")*(P$3:P$128="")*(G$3:G$128=G10)*(J$3:J$128&gt;J10)*(I$3:I$128="P"))+SUMPRODUCT((P$3:P$128&lt;&gt;"")*(G$3:G$128=G10)*(I$3:I$128="P"))+1,IF(N10&lt;&gt;"",SUMPRODUCT((N$3:N$128&lt;&gt;"")*(G$3:G$128=G10)*(J$3:J$128&gt;J10)*(I$3:I$128="P"))+1,IF(M10="P",SUMPRODUCT((O$3:O$128&lt;&gt;"")*(P$3:P$128="")*(G$3:G$128=G10)*(I$3:I$128="P"))+SUMPRODUCT((P$3:P$128&lt;&gt;"")*(G$3:G$128=G10)*(I$3:I$128="P"))+SUMPRODUCT((N$3:N$128&lt;&gt;"")*(G$3:G$128=G10)*(I$3:I$128="P"))+SUMPRODUCT((P$3:P$128="")*(O$3:O$128="")*(N$3:N$128="")*(M$3:M$128="P")*(G$3:G$128=G10)*(J$3:J$128&gt;J10)*(I$3:I$128="P"))+IF(H10="L5",SUMPRODUCT((P$3:P$128="")*(O$3:O$128="")*(N$3:N$128="")*(M$3:M$128="P")*(G$3:G$128=G10)*(J$3:J$128&lt;J10)*(H$3:H$128&lt;&gt;H10)*(I$3:I$128="P")),-1*SUMPRODUCT((P$3:P$128="")*(O$3:O$128="")*(N$3:N$128="")*(M$3:M$128="P")*(G$3:G$128=G10)*(J$3:J$128&gt;J10)*(H$3:H$128="L5")*(I$3:I$128="P")))+1,"")))))</f>
        <v>8</v>
      </c>
      <c r="B10" s="1" cm="1">
        <f t="array" ref="B10">IF(P10&lt;&gt;"",SUMPRODUCT((P$3:P$128&lt;&gt;"")*(G$3:G$128=G10)*(J$3:J$128&gt;J10))+1,IF(O10&lt;&gt;"",SUMPRODUCT((O$3:O$128&lt;&gt;"")*(P$3:P$128="")*(G$3:G$128=G10)*(J$3:J$128&gt;J10))+SUMPRODUCT((P$3:P$128&lt;&gt;"")*(G$3:G$128=G10))+1,IF(N10&lt;&gt;"",SUMPRODUCT((N$3:N$128&lt;&gt;"")*(G$3:G$128=G10)*(J$3:J$128&gt;J10))+1,IF(M10="P",SUMPRODUCT((O$3:O$128&lt;&gt;"")*(P$3:P$128="")*(G$3:G$128=G10))+SUMPRODUCT((P$3:P$128&lt;&gt;"")*(G$3:G$128=G10))+SUMPRODUCT((N$3:N$128&lt;&gt;"")*(G$3:G$128=G10))+SUMPRODUCT((P$3:P$128="")*(O$3:O$128="")*(N$3:N$128="")*(M$3:M$128="P")*(G$3:G$128=G10)*(J$3:J$128&gt;J10))+IF(H10="L5",SUMPRODUCT((P$3:P$128="")*(O$3:O$128="")*(N$3:N$128="")*(M$3:M$128="P")*(G$3:G$128=G10)*(J$3:J$128&lt;J10)*(H$3:H$128&lt;&gt;H10)),-1*SUMPRODUCT((P$3:P$128="")*(O$3:O$128="")*(N$3:N$128="")*(M$3:M$128="P")*(G$3:G$128=G10)*(J$3:J$128&gt;J10)*(H$3:H$128="L5")))+1,""))))</f>
        <v>8</v>
      </c>
      <c r="C10" s="36" t="s">
        <v>292</v>
      </c>
      <c r="D10" s="36" t="str">
        <f>IF(E10="","",VLOOKUP(E10,'Coaching Points'!A:B,2,0))</f>
        <v>QC</v>
      </c>
      <c r="E10" s="36" t="s">
        <v>62</v>
      </c>
      <c r="F10" s="35">
        <v>2004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 t="s">
        <v>604</v>
      </c>
      <c r="J10" s="4">
        <f>R10+IF(OR(H10="Junior",H10="Senior"),0.0002,IF(OR(H10="L7",H10="L6"),0.0001,0))+IF(G10="17-21",MAX(AA10,AC10,AF10),AE10)*0.0000001</f>
        <v>47.860104786000001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Scores'!C$13,T10,0),IF(W10&gt;='Qualifying Scores'!C$13,V10,0),IF(Z10&gt;='Qualifying Scores'!C$13,Y10,0),IF(AB10&gt;='Qualifying Scores'!C$13,AA10,0),IF(AD10&gt;'Qualifying Scores'!C$13,AC10,0),IF(AG10&gt;'Qualifying Scores'!C$13,AF10,0)),MAX(IF(OR(AND(G10="15-16",W10&gt;='Qualifying Scores'!C$12),AND(G10="13-14",W10&gt;='Qualifying Scores'!C$11),AND(G10="11-12",W10&gt;='Qualifying Scores'!C$10)),X10,0),IF(OR(AND(G10="15-16",AD10&gt;='Qualifying Scores'!C$12),AND(G10="13-14",AD10&gt;='Qualifying Scores'!C$11),AND(G10="11-12",AD10&gt;='Qualifying Scores'!C$10)),AE10,0))))</f>
        <v>47.86</v>
      </c>
      <c r="S10" s="4">
        <f>IF(G10="17-21",MAX(T10,V10,Y10,AA10,AC10,AF10),MAX(X10,AE10))</f>
        <v>47.86</v>
      </c>
      <c r="T10" s="33">
        <v>38.870000000000005</v>
      </c>
      <c r="U10" s="40">
        <v>2.9</v>
      </c>
      <c r="V10" s="34">
        <v>46.29</v>
      </c>
      <c r="W10" s="40">
        <v>9.7999999999999989</v>
      </c>
      <c r="X10" s="4">
        <f>IF(H10="Senior",MAX(T10,V10),T10+V10)</f>
        <v>85.16</v>
      </c>
      <c r="Y10" s="34">
        <v>0</v>
      </c>
      <c r="Z10" s="40">
        <v>0</v>
      </c>
      <c r="AA10" s="33">
        <v>42.19</v>
      </c>
      <c r="AB10" s="40">
        <v>2.2000000000000002</v>
      </c>
      <c r="AC10" s="34">
        <v>46.54</v>
      </c>
      <c r="AD10" s="40">
        <v>10</v>
      </c>
      <c r="AE10" s="4">
        <f>IF(H10="Senior",MAX(AA10,AC10),AA10+AC10)</f>
        <v>88.72999999999999</v>
      </c>
      <c r="AF10" s="34">
        <v>47.86</v>
      </c>
      <c r="AG10" s="37">
        <v>10</v>
      </c>
    </row>
    <row r="11" spans="1:33" x14ac:dyDescent="0.2">
      <c r="A11" s="1" t="str" cm="1">
        <f t="array" ref="A11">IF(I11="","",IF(P11&lt;&gt;"",SUMPRODUCT((P$3:P$128&lt;&gt;"")*(G$3:G$128=G11)*(J$3:J$128&gt;J11)*(I$3:I$128="P"))+1,IF(O11&lt;&gt;"",SUMPRODUCT((O$3:O$128&lt;&gt;"")*(P$3:P$128="")*(G$3:G$128=G11)*(J$3:J$128&gt;J11)*(I$3:I$128="P"))+SUMPRODUCT((P$3:P$128&lt;&gt;"")*(G$3:G$128=G11)*(I$3:I$128="P"))+1,IF(N11&lt;&gt;"",SUMPRODUCT((N$3:N$128&lt;&gt;"")*(G$3:G$128=G11)*(J$3:J$128&gt;J11)*(I$3:I$128="P"))+1,IF(M11="P",SUMPRODUCT((O$3:O$128&lt;&gt;"")*(P$3:P$128="")*(G$3:G$128=G11)*(I$3:I$128="P"))+SUMPRODUCT((P$3:P$128&lt;&gt;"")*(G$3:G$128=G11)*(I$3:I$128="P"))+SUMPRODUCT((N$3:N$128&lt;&gt;"")*(G$3:G$128=G11)*(I$3:I$128="P"))+SUMPRODUCT((P$3:P$128="")*(O$3:O$128="")*(N$3:N$128="")*(M$3:M$128="P")*(G$3:G$128=G11)*(J$3:J$128&gt;J11)*(I$3:I$128="P"))+IF(H11="L5",SUMPRODUCT((P$3:P$128="")*(O$3:O$128="")*(N$3:N$128="")*(M$3:M$128="P")*(G$3:G$128=G11)*(J$3:J$128&lt;J11)*(H$3:H$128&lt;&gt;H11)*(I$3:I$128="P")),-1*SUMPRODUCT((P$3:P$128="")*(O$3:O$128="")*(N$3:N$128="")*(M$3:M$128="P")*(G$3:G$128=G11)*(J$3:J$128&gt;J11)*(H$3:H$128="L5")*(I$3:I$128="P")))+1,"")))))</f>
        <v/>
      </c>
      <c r="B11" s="1" t="str" cm="1">
        <f t="array" ref="B11">IF(P11&lt;&gt;"",SUMPRODUCT((P$3:P$128&lt;&gt;"")*(G$3:G$128=G11)*(J$3:J$128&gt;J11))+1,IF(O11&lt;&gt;"",SUMPRODUCT((O$3:O$128&lt;&gt;"")*(P$3:P$128="")*(G$3:G$128=G11)*(J$3:J$128&gt;J11))+SUMPRODUCT((P$3:P$128&lt;&gt;"")*(G$3:G$128=G11))+1,IF(N11&lt;&gt;"",SUMPRODUCT((N$3:N$128&lt;&gt;"")*(G$3:G$128=G11)*(J$3:J$128&gt;J11))+1,IF(M11="P",SUMPRODUCT((O$3:O$128&lt;&gt;"")*(P$3:P$128="")*(G$3:G$128=G11))+SUMPRODUCT((P$3:P$128&lt;&gt;"")*(G$3:G$128=G11))+SUMPRODUCT((N$3:N$128&lt;&gt;"")*(G$3:G$128=G11))+SUMPRODUCT((P$3:P$128="")*(O$3:O$128="")*(N$3:N$128="")*(M$3:M$128="P")*(G$3:G$128=G11)*(J$3:J$128&gt;J11))+IF(H11="L5",SUMPRODUCT((P$3:P$128="")*(O$3:O$128="")*(N$3:N$128="")*(M$3:M$128="P")*(G$3:G$128=G11)*(J$3:J$128&lt;J11)*(H$3:H$128&lt;&gt;H11)),-1*SUMPRODUCT((P$3:P$128="")*(O$3:O$128="")*(N$3:N$128="")*(M$3:M$128="P")*(G$3:G$128=G11)*(J$3:J$128&gt;J11)*(H$3:H$128="L5")))+1,""))))</f>
        <v/>
      </c>
      <c r="C11" s="36" t="s">
        <v>285</v>
      </c>
      <c r="D11" s="36" t="str">
        <f>IF(E11="","",VLOOKUP(E11,'Coaching Points'!A:B,2,0))</f>
        <v>BC</v>
      </c>
      <c r="E11" s="36" t="s">
        <v>42</v>
      </c>
      <c r="F11" s="35">
        <v>2001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R11+IF(OR(H11="Junior",H11="Senior"),0.0002,IF(OR(H11="L7",H11="L6"),0.0001,0))+IF(G11="17-21",MAX(AA11,AC11,AF11),AE11)*0.0000001</f>
        <v>47.470104238000005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>P</v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Scores'!C$13,T11,0),IF(W11&gt;='Qualifying Scores'!C$13,V11,0),IF(Z11&gt;='Qualifying Scores'!C$13,Y11,0),IF(AB11&gt;='Qualifying Scores'!C$13,AA11,0),IF(AD11&gt;'Qualifying Scores'!C$13,AC11,0),IF(AG11&gt;'Qualifying Scores'!C$13,AF11,0)),MAX(IF(OR(AND(G11="15-16",W11&gt;='Qualifying Scores'!C$12),AND(G11="13-14",W11&gt;='Qualifying Scores'!C$11),AND(G11="11-12",W11&gt;='Qualifying Scores'!C$10)),X11,0),IF(OR(AND(G11="15-16",AD11&gt;='Qualifying Scores'!C$12),AND(G11="13-14",AD11&gt;='Qualifying Scores'!C$11),AND(G11="11-12",AD11&gt;='Qualifying Scores'!C$10)),AE11,0))))</f>
        <v>47.47</v>
      </c>
      <c r="S11" s="4">
        <f>IF(G11="17-21",MAX(T11,V11,Y11,AA11,AC11,AF11),MAX(X11,AE11))</f>
        <v>47.47</v>
      </c>
      <c r="T11" s="33">
        <v>40.17</v>
      </c>
      <c r="U11" s="40">
        <v>2</v>
      </c>
      <c r="V11" s="34">
        <v>45.970000000000006</v>
      </c>
      <c r="W11" s="40">
        <v>10.3</v>
      </c>
      <c r="X11" s="4">
        <f>IF(H11="Senior",MAX(T11,V11),T11+V11)</f>
        <v>86.140000000000015</v>
      </c>
      <c r="Y11" s="34">
        <v>47.47</v>
      </c>
      <c r="Z11" s="40">
        <v>10.3</v>
      </c>
      <c r="AA11" s="33">
        <v>42.38</v>
      </c>
      <c r="AB11" s="40">
        <v>2</v>
      </c>
      <c r="AC11" s="34">
        <v>10.07</v>
      </c>
      <c r="AD11" s="40">
        <v>2.5</v>
      </c>
      <c r="AE11" s="4">
        <f>IF(H11="Senior",MAX(AA11,AC11),AA11+AC11)</f>
        <v>52.45</v>
      </c>
      <c r="AF11" s="34"/>
      <c r="AG11" s="37"/>
    </row>
    <row r="12" spans="1:33" x14ac:dyDescent="0.2">
      <c r="A12" s="1" t="str" cm="1">
        <f t="array" ref="A12">IF(I12="","",IF(P12&lt;&gt;"",SUMPRODUCT((P$3:P$128&lt;&gt;"")*(G$3:G$128=G12)*(J$3:J$128&gt;J12)*(I$3:I$128="P"))+1,IF(O12&lt;&gt;"",SUMPRODUCT((O$3:O$128&lt;&gt;"")*(P$3:P$128="")*(G$3:G$128=G12)*(J$3:J$128&gt;J12)*(I$3:I$128="P"))+SUMPRODUCT((P$3:P$128&lt;&gt;"")*(G$3:G$128=G12)*(I$3:I$128="P"))+1,IF(N12&lt;&gt;"",SUMPRODUCT((N$3:N$128&lt;&gt;"")*(G$3:G$128=G12)*(J$3:J$128&gt;J12)*(I$3:I$128="P"))+1,IF(M12="P",SUMPRODUCT((O$3:O$128&lt;&gt;"")*(P$3:P$128="")*(G$3:G$128=G12)*(I$3:I$128="P"))+SUMPRODUCT((P$3:P$128&lt;&gt;"")*(G$3:G$128=G12)*(I$3:I$128="P"))+SUMPRODUCT((N$3:N$128&lt;&gt;"")*(G$3:G$128=G12)*(I$3:I$128="P"))+SUMPRODUCT((P$3:P$128="")*(O$3:O$128="")*(N$3:N$128="")*(M$3:M$128="P")*(G$3:G$128=G12)*(J$3:J$128&gt;J12)*(I$3:I$128="P"))+IF(H12="L5",SUMPRODUCT((P$3:P$128="")*(O$3:O$128="")*(N$3:N$128="")*(M$3:M$128="P")*(G$3:G$128=G12)*(J$3:J$128&lt;J12)*(H$3:H$128&lt;&gt;H12)*(I$3:I$128="P")),-1*SUMPRODUCT((P$3:P$128="")*(O$3:O$128="")*(N$3:N$128="")*(M$3:M$128="P")*(G$3:G$128=G12)*(J$3:J$128&gt;J12)*(H$3:H$128="L5")*(I$3:I$128="P")))+1,"")))))</f>
        <v/>
      </c>
      <c r="B12" s="1" t="str" cm="1">
        <f t="array" ref="B12">IF(P12&lt;&gt;"",SUMPRODUCT((P$3:P$128&lt;&gt;"")*(G$3:G$128=G12)*(J$3:J$128&gt;J12))+1,IF(O12&lt;&gt;"",SUMPRODUCT((O$3:O$128&lt;&gt;"")*(P$3:P$128="")*(G$3:G$128=G12)*(J$3:J$128&gt;J12))+SUMPRODUCT((P$3:P$128&lt;&gt;"")*(G$3:G$128=G12))+1,IF(N12&lt;&gt;"",SUMPRODUCT((N$3:N$128&lt;&gt;"")*(G$3:G$128=G12)*(J$3:J$128&gt;J12))+1,IF(M12="P",SUMPRODUCT((O$3:O$128&lt;&gt;"")*(P$3:P$128="")*(G$3:G$128=G12))+SUMPRODUCT((P$3:P$128&lt;&gt;"")*(G$3:G$128=G12))+SUMPRODUCT((N$3:N$128&lt;&gt;"")*(G$3:G$128=G12))+SUMPRODUCT((P$3:P$128="")*(O$3:O$128="")*(N$3:N$128="")*(M$3:M$128="P")*(G$3:G$128=G12)*(J$3:J$128&gt;J12))+IF(H12="L5",SUMPRODUCT((P$3:P$128="")*(O$3:O$128="")*(N$3:N$128="")*(M$3:M$128="P")*(G$3:G$128=G12)*(J$3:J$128&lt;J12)*(H$3:H$128&lt;&gt;H12)),-1*SUMPRODUCT((P$3:P$128="")*(O$3:O$128="")*(N$3:N$128="")*(M$3:M$128="P")*(G$3:G$128=G12)*(J$3:J$128&gt;J12)*(H$3:H$128="L5")))+1,""))))</f>
        <v/>
      </c>
      <c r="C12" s="36" t="s">
        <v>288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/>
      <c r="J12" s="4">
        <f>R12+IF(OR(H12="Junior",H12="Senior"),0.0002,IF(OR(H12="L7",H12="L6"),0.0001,0))+IF(G12="17-21",MAX(AA12,AC12,AF12),AE12)*0.0000001</f>
        <v>46.970104640999999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>P</v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Scores'!C$13,T12,0),IF(W12&gt;='Qualifying Scores'!C$13,V12,0),IF(Z12&gt;='Qualifying Scores'!C$13,Y12,0),IF(AB12&gt;='Qualifying Scores'!C$13,AA12,0),IF(AD12&gt;'Qualifying Scores'!C$13,AC12,0),IF(AG12&gt;'Qualifying Scores'!C$13,AF12,0)),MAX(IF(OR(AND(G12="15-16",W12&gt;='Qualifying Scores'!C$12),AND(G12="13-14",W12&gt;='Qualifying Scores'!C$11),AND(G12="11-12",W12&gt;='Qualifying Scores'!C$10)),X12,0),IF(OR(AND(G12="15-16",AD12&gt;='Qualifying Scores'!C$12),AND(G12="13-14",AD12&gt;='Qualifying Scores'!C$11),AND(G12="11-12",AD12&gt;='Qualifying Scores'!C$10)),AE12,0))))</f>
        <v>46.97</v>
      </c>
      <c r="S12" s="4">
        <f>IF(G12="17-21",MAX(T12,V12,Y12,AA12,AC12,AF12),MAX(X12,AE12))</f>
        <v>46.97</v>
      </c>
      <c r="T12" s="33">
        <v>41.22</v>
      </c>
      <c r="U12" s="40">
        <v>1.5</v>
      </c>
      <c r="V12" s="34">
        <v>46.97</v>
      </c>
      <c r="W12" s="40">
        <v>9.6999999999999993</v>
      </c>
      <c r="X12" s="4">
        <f>IF(H12="Senior",MAX(T12,V12),T12+V12)</f>
        <v>88.19</v>
      </c>
      <c r="Y12" s="34">
        <v>42.95</v>
      </c>
      <c r="Z12" s="40">
        <v>8.3999999999999986</v>
      </c>
      <c r="AA12" s="33">
        <v>35.17</v>
      </c>
      <c r="AB12" s="40">
        <v>0.8</v>
      </c>
      <c r="AC12" s="34">
        <v>46.410000000000004</v>
      </c>
      <c r="AD12" s="40">
        <v>9.6999999999999993</v>
      </c>
      <c r="AE12" s="4">
        <f>IF(H12="Senior",MAX(AA12,AC12),AA12+AC12)</f>
        <v>81.580000000000013</v>
      </c>
      <c r="AF12" s="34">
        <v>5.18</v>
      </c>
      <c r="AG12" s="37">
        <v>1.5</v>
      </c>
    </row>
    <row r="13" spans="1:33" x14ac:dyDescent="0.2">
      <c r="A13" s="1" t="str" cm="1">
        <f t="array" ref="A13">IF(I13="","",IF(P13&lt;&gt;"",SUMPRODUCT((P$3:P$128&lt;&gt;"")*(G$3:G$128=G13)*(J$3:J$128&gt;J13)*(I$3:I$128="P"))+1,IF(O13&lt;&gt;"",SUMPRODUCT((O$3:O$128&lt;&gt;"")*(P$3:P$128="")*(G$3:G$128=G13)*(J$3:J$128&gt;J13)*(I$3:I$128="P"))+SUMPRODUCT((P$3:P$128&lt;&gt;"")*(G$3:G$128=G13)*(I$3:I$128="P"))+1,IF(N13&lt;&gt;"",SUMPRODUCT((N$3:N$128&lt;&gt;"")*(G$3:G$128=G13)*(J$3:J$128&gt;J13)*(I$3:I$128="P"))+1,IF(M13="P",SUMPRODUCT((O$3:O$128&lt;&gt;"")*(P$3:P$128="")*(G$3:G$128=G13)*(I$3:I$128="P"))+SUMPRODUCT((P$3:P$128&lt;&gt;"")*(G$3:G$128=G13)*(I$3:I$128="P"))+SUMPRODUCT((N$3:N$128&lt;&gt;"")*(G$3:G$128=G13)*(I$3:I$128="P"))+SUMPRODUCT((P$3:P$128="")*(O$3:O$128="")*(N$3:N$128="")*(M$3:M$128="P")*(G$3:G$128=G13)*(J$3:J$128&gt;J13)*(I$3:I$128="P"))+IF(H13="L5",SUMPRODUCT((P$3:P$128="")*(O$3:O$128="")*(N$3:N$128="")*(M$3:M$128="P")*(G$3:G$128=G13)*(J$3:J$128&lt;J13)*(H$3:H$128&lt;&gt;H13)*(I$3:I$128="P")),-1*SUMPRODUCT((P$3:P$128="")*(O$3:O$128="")*(N$3:N$128="")*(M$3:M$128="P")*(G$3:G$128=G13)*(J$3:J$128&gt;J13)*(H$3:H$128="L5")*(I$3:I$128="P")))+1,"")))))</f>
        <v/>
      </c>
      <c r="B13" s="1" t="str" cm="1">
        <f t="array" ref="B13">IF(P13&lt;&gt;"",SUMPRODUCT((P$3:P$128&lt;&gt;"")*(G$3:G$128=G13)*(J$3:J$128&gt;J13))+1,IF(O13&lt;&gt;"",SUMPRODUCT((O$3:O$128&lt;&gt;"")*(P$3:P$128="")*(G$3:G$128=G13)*(J$3:J$128&gt;J13))+SUMPRODUCT((P$3:P$128&lt;&gt;"")*(G$3:G$128=G13))+1,IF(N13&lt;&gt;"",SUMPRODUCT((N$3:N$128&lt;&gt;"")*(G$3:G$128=G13)*(J$3:J$128&gt;J13))+1,IF(M13="P",SUMPRODUCT((O$3:O$128&lt;&gt;"")*(P$3:P$128="")*(G$3:G$128=G13))+SUMPRODUCT((P$3:P$128&lt;&gt;"")*(G$3:G$128=G13))+SUMPRODUCT((N$3:N$128&lt;&gt;"")*(G$3:G$128=G13))+SUMPRODUCT((P$3:P$128="")*(O$3:O$128="")*(N$3:N$128="")*(M$3:M$128="P")*(G$3:G$128=G13)*(J$3:J$128&gt;J13))+IF(H13="L5",SUMPRODUCT((P$3:P$128="")*(O$3:O$128="")*(N$3:N$128="")*(M$3:M$128="P")*(G$3:G$128=G13)*(J$3:J$128&lt;J13)*(H$3:H$128&lt;&gt;H13)),-1*SUMPRODUCT((P$3:P$128="")*(O$3:O$128="")*(N$3:N$128="")*(M$3:M$128="P")*(G$3:G$128=G13)*(J$3:J$128&gt;J13)*(H$3:H$128="L5")))+1,""))))</f>
        <v/>
      </c>
      <c r="C13" s="36" t="s">
        <v>286</v>
      </c>
      <c r="D13" s="36" t="str">
        <f>IF(E13="","",VLOOKUP(E13,'Coaching Points'!A:B,2,0))</f>
        <v>BC</v>
      </c>
      <c r="E13" s="36" t="s">
        <v>42</v>
      </c>
      <c r="F13" s="35">
        <v>2003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R13+IF(OR(H13="Junior",H13="Senior"),0.0002,IF(OR(H13="L7",H13="L6"),0.0001,0))+IF(G13="17-21",MAX(AA13,AC13,AF13),AE13)*0.0000001</f>
        <v>46.680104590000006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>P</v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Scores'!C$13,T13,0),IF(W13&gt;='Qualifying Scores'!C$13,V13,0),IF(Z13&gt;='Qualifying Scores'!C$13,Y13,0),IF(AB13&gt;='Qualifying Scores'!C$13,AA13,0),IF(AD13&gt;'Qualifying Scores'!C$13,AC13,0),IF(AG13&gt;'Qualifying Scores'!C$13,AF13,0)),MAX(IF(OR(AND(G13="15-16",W13&gt;='Qualifying Scores'!C$12),AND(G13="13-14",W13&gt;='Qualifying Scores'!C$11),AND(G13="11-12",W13&gt;='Qualifying Scores'!C$10)),X13,0),IF(OR(AND(G13="15-16",AD13&gt;='Qualifying Scores'!C$12),AND(G13="13-14",AD13&gt;='Qualifying Scores'!C$11),AND(G13="11-12",AD13&gt;='Qualifying Scores'!C$10)),AE13,0))))</f>
        <v>46.68</v>
      </c>
      <c r="S13" s="4">
        <f>IF(G13="17-21",MAX(T13,V13,Y13,AA13,AC13,AF13),MAX(X13,AE13))</f>
        <v>46.68</v>
      </c>
      <c r="T13" s="33">
        <v>41.25</v>
      </c>
      <c r="U13" s="40">
        <v>2.2000000000000002</v>
      </c>
      <c r="V13" s="34">
        <v>45.4</v>
      </c>
      <c r="W13" s="40">
        <v>9.8999999999999986</v>
      </c>
      <c r="X13" s="4">
        <f>IF(H13="Senior",MAX(T13,V13),T13+V13)</f>
        <v>86.65</v>
      </c>
      <c r="Y13" s="34">
        <v>46.68</v>
      </c>
      <c r="Z13" s="40">
        <v>10.1</v>
      </c>
      <c r="AA13" s="33">
        <v>40.260000000000005</v>
      </c>
      <c r="AB13" s="40">
        <v>2.2000000000000002</v>
      </c>
      <c r="AC13" s="34">
        <v>45.9</v>
      </c>
      <c r="AD13" s="40">
        <v>9.9</v>
      </c>
      <c r="AE13" s="4">
        <f>IF(H13="Senior",MAX(AA13,AC13),AA13+AC13)</f>
        <v>86.16</v>
      </c>
      <c r="AF13" s="34">
        <v>14.08</v>
      </c>
      <c r="AG13" s="37">
        <v>3.1</v>
      </c>
    </row>
    <row r="14" spans="1:33" x14ac:dyDescent="0.2">
      <c r="A14" s="1" t="str" cm="1">
        <f t="array" ref="A14">IF(I14="","",IF(P14&lt;&gt;"",SUMPRODUCT((P$3:P$128&lt;&gt;"")*(G$3:G$128=G14)*(J$3:J$128&gt;J14)*(I$3:I$128="P"))+1,IF(O14&lt;&gt;"",SUMPRODUCT((O$3:O$128&lt;&gt;"")*(P$3:P$128="")*(G$3:G$128=G14)*(J$3:J$128&gt;J14)*(I$3:I$128="P"))+SUMPRODUCT((P$3:P$128&lt;&gt;"")*(G$3:G$128=G14)*(I$3:I$128="P"))+1,IF(N14&lt;&gt;"",SUMPRODUCT((N$3:N$128&lt;&gt;"")*(G$3:G$128=G14)*(J$3:J$128&gt;J14)*(I$3:I$128="P"))+1,IF(M14="P",SUMPRODUCT((O$3:O$128&lt;&gt;"")*(P$3:P$128="")*(G$3:G$128=G14)*(I$3:I$128="P"))+SUMPRODUCT((P$3:P$128&lt;&gt;"")*(G$3:G$128=G14)*(I$3:I$128="P"))+SUMPRODUCT((N$3:N$128&lt;&gt;"")*(G$3:G$128=G14)*(I$3:I$128="P"))+SUMPRODUCT((P$3:P$128="")*(O$3:O$128="")*(N$3:N$128="")*(M$3:M$128="P")*(G$3:G$128=G14)*(J$3:J$128&gt;J14)*(I$3:I$128="P"))+IF(H14="L5",SUMPRODUCT((P$3:P$128="")*(O$3:O$128="")*(N$3:N$128="")*(M$3:M$128="P")*(G$3:G$128=G14)*(J$3:J$128&lt;J14)*(H$3:H$128&lt;&gt;H14)*(I$3:I$128="P")),-1*SUMPRODUCT((P$3:P$128="")*(O$3:O$128="")*(N$3:N$128="")*(M$3:M$128="P")*(G$3:G$128=G14)*(J$3:J$128&gt;J14)*(H$3:H$128="L5")*(I$3:I$128="P")))+1,"")))))</f>
        <v/>
      </c>
      <c r="B14" s="1" t="str" cm="1">
        <f t="array" ref="B14">IF(P14&lt;&gt;"",SUMPRODUCT((P$3:P$128&lt;&gt;"")*(G$3:G$128=G14)*(J$3:J$128&gt;J14))+1,IF(O14&lt;&gt;"",SUMPRODUCT((O$3:O$128&lt;&gt;"")*(P$3:P$128="")*(G$3:G$128=G14)*(J$3:J$128&gt;J14))+SUMPRODUCT((P$3:P$128&lt;&gt;"")*(G$3:G$128=G14))+1,IF(N14&lt;&gt;"",SUMPRODUCT((N$3:N$128&lt;&gt;"")*(G$3:G$128=G14)*(J$3:J$128&gt;J14))+1,IF(M14="P",SUMPRODUCT((O$3:O$128&lt;&gt;"")*(P$3:P$128="")*(G$3:G$128=G14))+SUMPRODUCT((P$3:P$128&lt;&gt;"")*(G$3:G$128=G14))+SUMPRODUCT((N$3:N$128&lt;&gt;"")*(G$3:G$128=G14))+SUMPRODUCT((P$3:P$128="")*(O$3:O$128="")*(N$3:N$128="")*(M$3:M$128="P")*(G$3:G$128=G14)*(J$3:J$128&gt;J14))+IF(H14="L5",SUMPRODUCT((P$3:P$128="")*(O$3:O$128="")*(N$3:N$128="")*(M$3:M$128="P")*(G$3:G$128=G14)*(J$3:J$128&lt;J14)*(H$3:H$128&lt;&gt;H14)),-1*SUMPRODUCT((P$3:P$128="")*(O$3:O$128="")*(N$3:N$128="")*(M$3:M$128="P")*(G$3:G$128=G14)*(J$3:J$128&gt;J14)*(H$3:H$128="L5")))+1,""))))</f>
        <v/>
      </c>
      <c r="C14" s="36" t="s">
        <v>296</v>
      </c>
      <c r="D14" s="36" t="str">
        <f>IF(E14="","",VLOOKUP(E14,'Coaching Points'!A:B,2,0))</f>
        <v>AB</v>
      </c>
      <c r="E14" s="36" t="s">
        <v>29</v>
      </c>
      <c r="F14" s="35">
        <v>2003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46.100100000000005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Scores'!C$13,T14,0),IF(W14&gt;='Qualifying Scores'!C$13,V14,0),IF(Z14&gt;='Qualifying Scores'!C$13,Y14,0),IF(AB14&gt;='Qualifying Scores'!C$13,AA14,0),IF(AD14&gt;'Qualifying Scores'!C$13,AC14,0),IF(AG14&gt;'Qualifying Scores'!C$13,AF14,0)),MAX(IF(OR(AND(G14="15-16",W14&gt;='Qualifying Scores'!C$12),AND(G14="13-14",W14&gt;='Qualifying Scores'!C$11),AND(G14="11-12",W14&gt;='Qualifying Scores'!C$10)),X14,0),IF(OR(AND(G14="15-16",AD14&gt;='Qualifying Scores'!C$12),AND(G14="13-14",AD14&gt;='Qualifying Scores'!C$11),AND(G14="11-12",AD14&gt;='Qualifying Scores'!C$10)),AE14,0))))</f>
        <v>46.1</v>
      </c>
      <c r="S14" s="4">
        <f>IF(G14="17-21",MAX(T14,V14,Y14,AA14,AC14,AF14),MAX(X14,AE14))</f>
        <v>46.1</v>
      </c>
      <c r="T14" s="33">
        <v>32.590000000000003</v>
      </c>
      <c r="U14" s="40">
        <v>0.8</v>
      </c>
      <c r="V14" s="34">
        <v>46.1</v>
      </c>
      <c r="W14" s="40">
        <v>9.6999999999999993</v>
      </c>
      <c r="X14" s="4">
        <f>IF(H14="Senior",MAX(T14,V14),T14+V14)</f>
        <v>78.69</v>
      </c>
      <c r="Y14" s="34">
        <v>0</v>
      </c>
      <c r="Z14" s="40">
        <v>0</v>
      </c>
      <c r="AA14" s="33"/>
      <c r="AB14" s="40"/>
      <c r="AC14" s="34"/>
      <c r="AD14" s="40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$128&lt;&gt;"")*(G$3:G$128=G15)*(J$3:J$128&gt;J15)*(I$3:I$128="P"))+1,IF(O15&lt;&gt;"",SUMPRODUCT((O$3:O$128&lt;&gt;"")*(P$3:P$128="")*(G$3:G$128=G15)*(J$3:J$128&gt;J15)*(I$3:I$128="P"))+SUMPRODUCT((P$3:P$128&lt;&gt;"")*(G$3:G$128=G15)*(I$3:I$128="P"))+1,IF(N15&lt;&gt;"",SUMPRODUCT((N$3:N$128&lt;&gt;"")*(G$3:G$128=G15)*(J$3:J$128&gt;J15)*(I$3:I$128="P"))+1,IF(M15="P",SUMPRODUCT((O$3:O$128&lt;&gt;"")*(P$3:P$128="")*(G$3:G$128=G15)*(I$3:I$128="P"))+SUMPRODUCT((P$3:P$128&lt;&gt;"")*(G$3:G$128=G15)*(I$3:I$128="P"))+SUMPRODUCT((N$3:N$128&lt;&gt;"")*(G$3:G$128=G15)*(I$3:I$128="P"))+SUMPRODUCT((P$3:P$128="")*(O$3:O$128="")*(N$3:N$128="")*(M$3:M$128="P")*(G$3:G$128=G15)*(J$3:J$128&gt;J15)*(I$3:I$128="P"))+IF(H15="L5",SUMPRODUCT((P$3:P$128="")*(O$3:O$128="")*(N$3:N$128="")*(M$3:M$128="P")*(G$3:G$128=G15)*(J$3:J$128&lt;J15)*(H$3:H$128&lt;&gt;H15)*(I$3:I$128="P")),-1*SUMPRODUCT((P$3:P$128="")*(O$3:O$128="")*(N$3:N$128="")*(M$3:M$128="P")*(G$3:G$128=G15)*(J$3:J$128&gt;J15)*(H$3:H$128="L5")*(I$3:I$128="P")))+1,"")))))</f>
        <v/>
      </c>
      <c r="B15" s="1" t="str" cm="1">
        <f t="array" ref="B15">IF(P15&lt;&gt;"",SUMPRODUCT((P$3:P$128&lt;&gt;"")*(G$3:G$128=G15)*(J$3:J$128&gt;J15))+1,IF(O15&lt;&gt;"",SUMPRODUCT((O$3:O$128&lt;&gt;"")*(P$3:P$128="")*(G$3:G$128=G15)*(J$3:J$128&gt;J15))+SUMPRODUCT((P$3:P$128&lt;&gt;"")*(G$3:G$128=G15))+1,IF(N15&lt;&gt;"",SUMPRODUCT((N$3:N$128&lt;&gt;"")*(G$3:G$128=G15)*(J$3:J$128&gt;J15))+1,IF(M15="P",SUMPRODUCT((O$3:O$128&lt;&gt;"")*(P$3:P$128="")*(G$3:G$128=G15))+SUMPRODUCT((P$3:P$128&lt;&gt;"")*(G$3:G$128=G15))+SUMPRODUCT((N$3:N$128&lt;&gt;"")*(G$3:G$128=G15))+SUMPRODUCT((P$3:P$128="")*(O$3:O$128="")*(N$3:N$128="")*(M$3:M$128="P")*(G$3:G$128=G15)*(J$3:J$128&gt;J15))+IF(H15="L5",SUMPRODUCT((P$3:P$128="")*(O$3:O$128="")*(N$3:N$128="")*(M$3:M$128="P")*(G$3:G$128=G15)*(J$3:J$128&lt;J15)*(H$3:H$128&lt;&gt;H15)),-1*SUMPRODUCT((P$3:P$128="")*(O$3:O$128="")*(N$3:N$128="")*(M$3:M$128="P")*(G$3:G$128=G15)*(J$3:J$128&gt;J15)*(H$3:H$128="L5")))+1,""))))</f>
        <v/>
      </c>
      <c r="C15" s="36" t="s">
        <v>293</v>
      </c>
      <c r="D15" s="36" t="str">
        <f>IF(E15="","",VLOOKUP(E15,'Coaching Points'!A:B,2,0))</f>
        <v>ON</v>
      </c>
      <c r="E15" s="36" t="s">
        <v>38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1.04739E-4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Scores'!C$13,T15,0),IF(W15&gt;='Qualifying Scores'!C$13,V15,0),IF(Z15&gt;='Qualifying Scores'!C$13,Y15,0),IF(AB15&gt;='Qualifying Scores'!C$13,AA15,0),IF(AD15&gt;'Qualifying Scores'!C$13,AC15,0),IF(AG15&gt;'Qualifying Scores'!C$13,AF15,0)),MAX(IF(OR(AND(G15="15-16",W15&gt;='Qualifying Scores'!C$12),AND(G15="13-14",W15&gt;='Qualifying Scores'!C$11),AND(G15="11-12",W15&gt;='Qualifying Scores'!C$10)),X15,0),IF(OR(AND(G15="15-16",AD15&gt;='Qualifying Scores'!C$12),AND(G15="13-14",AD15&gt;='Qualifying Scores'!C$11),AND(G15="11-12",AD15&gt;='Qualifying Scores'!C$10)),AE15,0))))</f>
        <v>0</v>
      </c>
      <c r="S15" s="4">
        <f>IF(G15="17-21",MAX(T15,V15,Y15,AA15,AC15,AF15),MAX(X15,AE15))</f>
        <v>47.39</v>
      </c>
      <c r="T15" s="33">
        <v>42</v>
      </c>
      <c r="U15" s="40">
        <v>1.5</v>
      </c>
      <c r="V15" s="34">
        <v>41.78</v>
      </c>
      <c r="W15" s="40">
        <v>8.3000000000000007</v>
      </c>
      <c r="X15" s="4">
        <f>IF(H15="Senior",MAX(T15,V15),T15+V15)</f>
        <v>83.78</v>
      </c>
      <c r="Y15" s="34">
        <v>0</v>
      </c>
      <c r="Z15" s="40">
        <v>0</v>
      </c>
      <c r="AA15" s="33">
        <v>40.85</v>
      </c>
      <c r="AB15" s="40">
        <v>1.5</v>
      </c>
      <c r="AC15" s="34">
        <v>46.67</v>
      </c>
      <c r="AD15" s="40">
        <v>9.4</v>
      </c>
      <c r="AE15" s="4">
        <f>IF(H15="Senior",MAX(AA15,AC15),AA15+AC15)</f>
        <v>87.52000000000001</v>
      </c>
      <c r="AF15" s="34">
        <v>47.39</v>
      </c>
      <c r="AG15" s="37">
        <v>9.4</v>
      </c>
    </row>
    <row r="16" spans="1:33" x14ac:dyDescent="0.2">
      <c r="A16" s="1" t="str" cm="1">
        <f t="array" ref="A16">IF(I16="","",IF(P16&lt;&gt;"",SUMPRODUCT((P$3:P$128&lt;&gt;"")*(G$3:G$128=G16)*(J$3:J$128&gt;J16)*(I$3:I$128="P"))+1,IF(O16&lt;&gt;"",SUMPRODUCT((O$3:O$128&lt;&gt;"")*(P$3:P$128="")*(G$3:G$128=G16)*(J$3:J$128&gt;J16)*(I$3:I$128="P"))+SUMPRODUCT((P$3:P$128&lt;&gt;"")*(G$3:G$128=G16)*(I$3:I$128="P"))+1,IF(N16&lt;&gt;"",SUMPRODUCT((N$3:N$128&lt;&gt;"")*(G$3:G$128=G16)*(J$3:J$128&gt;J16)*(I$3:I$128="P"))+1,IF(M16="P",SUMPRODUCT((O$3:O$128&lt;&gt;"")*(P$3:P$128="")*(G$3:G$128=G16)*(I$3:I$128="P"))+SUMPRODUCT((P$3:P$128&lt;&gt;"")*(G$3:G$128=G16)*(I$3:I$128="P"))+SUMPRODUCT((N$3:N$128&lt;&gt;"")*(G$3:G$128=G16)*(I$3:I$128="P"))+SUMPRODUCT((P$3:P$128="")*(O$3:O$128="")*(N$3:N$128="")*(M$3:M$128="P")*(G$3:G$128=G16)*(J$3:J$128&gt;J16)*(I$3:I$128="P"))+IF(H16="L5",SUMPRODUCT((P$3:P$128="")*(O$3:O$128="")*(N$3:N$128="")*(M$3:M$128="P")*(G$3:G$128=G16)*(J$3:J$128&lt;J16)*(H$3:H$128&lt;&gt;H16)*(I$3:I$128="P")),-1*SUMPRODUCT((P$3:P$128="")*(O$3:O$128="")*(N$3:N$128="")*(M$3:M$128="P")*(G$3:G$128=G16)*(J$3:J$128&gt;J16)*(H$3:H$128="L5")*(I$3:I$128="P")))+1,"")))))</f>
        <v/>
      </c>
      <c r="B16" s="1" t="str" cm="1">
        <f t="array" ref="B16">IF(P16&lt;&gt;"",SUMPRODUCT((P$3:P$128&lt;&gt;"")*(G$3:G$128=G16)*(J$3:J$128&gt;J16))+1,IF(O16&lt;&gt;"",SUMPRODUCT((O$3:O$128&lt;&gt;"")*(P$3:P$128="")*(G$3:G$128=G16)*(J$3:J$128&gt;J16))+SUMPRODUCT((P$3:P$128&lt;&gt;"")*(G$3:G$128=G16))+1,IF(N16&lt;&gt;"",SUMPRODUCT((N$3:N$128&lt;&gt;"")*(G$3:G$128=G16)*(J$3:J$128&gt;J16))+1,IF(M16="P",SUMPRODUCT((O$3:O$128&lt;&gt;"")*(P$3:P$128="")*(G$3:G$128=G16))+SUMPRODUCT((P$3:P$128&lt;&gt;"")*(G$3:G$128=G16))+SUMPRODUCT((N$3:N$128&lt;&gt;"")*(G$3:G$128=G16))+SUMPRODUCT((P$3:P$128="")*(O$3:O$128="")*(N$3:N$128="")*(M$3:M$128="P")*(G$3:G$128=G16)*(J$3:J$128&gt;J16))+IF(H16="L5",SUMPRODUCT((P$3:P$128="")*(O$3:O$128="")*(N$3:N$128="")*(M$3:M$128="P")*(G$3:G$128=G16)*(J$3:J$128&lt;J16)*(H$3:H$128&lt;&gt;H16)),-1*SUMPRODUCT((P$3:P$128="")*(O$3:O$128="")*(N$3:N$128="")*(M$3:M$128="P")*(G$3:G$128=G16)*(J$3:J$128&gt;J16)*(H$3:H$128="L5")))+1,""))))</f>
        <v/>
      </c>
      <c r="C16" s="36" t="s">
        <v>289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R16+IF(OR(H16="Junior",H16="Senior"),0.0002,IF(OR(H16="L7",H16="L6"),0.0001,0))+IF(G16="17-21",MAX(AA16,AC16,AF16),AE16)*0.0000001</f>
        <v>1.04691E-4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Scores'!C$13,T16,0),IF(W16&gt;='Qualifying Scores'!C$13,V16,0),IF(Z16&gt;='Qualifying Scores'!C$13,Y16,0),IF(AB16&gt;='Qualifying Scores'!C$13,AA16,0),IF(AD16&gt;'Qualifying Scores'!C$13,AC16,0),IF(AG16&gt;'Qualifying Scores'!C$13,AF16,0)),MAX(IF(OR(AND(G16="15-16",W16&gt;='Qualifying Scores'!C$12),AND(G16="13-14",W16&gt;='Qualifying Scores'!C$11),AND(G16="11-12",W16&gt;='Qualifying Scores'!C$10)),X16,0),IF(OR(AND(G16="15-16",AD16&gt;='Qualifying Scores'!C$12),AND(G16="13-14",AD16&gt;='Qualifying Scores'!C$11),AND(G16="11-12",AD16&gt;='Qualifying Scores'!C$10)),AE16,0))))</f>
        <v>0</v>
      </c>
      <c r="S16" s="4">
        <f>IF(G16="17-21",MAX(T16,V16,Y16,AA16,AC16,AF16),MAX(X16,AE16))</f>
        <v>46.910000000000004</v>
      </c>
      <c r="T16" s="33">
        <v>41.199999999999996</v>
      </c>
      <c r="U16" s="40">
        <v>1.5</v>
      </c>
      <c r="V16" s="34">
        <v>46.64</v>
      </c>
      <c r="W16" s="40">
        <v>8.4999999999999982</v>
      </c>
      <c r="X16" s="4">
        <f>IF(H16="Senior",MAX(T16,V16),T16+V16)</f>
        <v>87.84</v>
      </c>
      <c r="Y16" s="34">
        <v>42.08</v>
      </c>
      <c r="Z16" s="40">
        <v>7.8999999999999995</v>
      </c>
      <c r="AA16" s="33">
        <v>41.06</v>
      </c>
      <c r="AB16" s="40">
        <v>1.5</v>
      </c>
      <c r="AC16" s="34">
        <v>44.650000000000006</v>
      </c>
      <c r="AD16" s="40">
        <v>8.5</v>
      </c>
      <c r="AE16" s="4">
        <f>IF(H16="Senior",MAX(AA16,AC16),AA16+AC16)</f>
        <v>85.710000000000008</v>
      </c>
      <c r="AF16" s="34">
        <v>46.910000000000004</v>
      </c>
      <c r="AG16" s="37">
        <v>8.5</v>
      </c>
    </row>
    <row r="17" spans="1:33" x14ac:dyDescent="0.2">
      <c r="A17" s="1" t="str" cm="1">
        <f t="array" ref="A17">IF(I17="","",IF(P17&lt;&gt;"",SUMPRODUCT((P$3:P$128&lt;&gt;"")*(G$3:G$128=G17)*(J$3:J$128&gt;J17)*(I$3:I$128="P"))+1,IF(O17&lt;&gt;"",SUMPRODUCT((O$3:O$128&lt;&gt;"")*(P$3:P$128="")*(G$3:G$128=G17)*(J$3:J$128&gt;J17)*(I$3:I$128="P"))+SUMPRODUCT((P$3:P$128&lt;&gt;"")*(G$3:G$128=G17)*(I$3:I$128="P"))+1,IF(N17&lt;&gt;"",SUMPRODUCT((N$3:N$128&lt;&gt;"")*(G$3:G$128=G17)*(J$3:J$128&gt;J17)*(I$3:I$128="P"))+1,IF(M17="P",SUMPRODUCT((O$3:O$128&lt;&gt;"")*(P$3:P$128="")*(G$3:G$128=G17)*(I$3:I$128="P"))+SUMPRODUCT((P$3:P$128&lt;&gt;"")*(G$3:G$128=G17)*(I$3:I$128="P"))+SUMPRODUCT((N$3:N$128&lt;&gt;"")*(G$3:G$128=G17)*(I$3:I$128="P"))+SUMPRODUCT((P$3:P$128="")*(O$3:O$128="")*(N$3:N$128="")*(M$3:M$128="P")*(G$3:G$128=G17)*(J$3:J$128&gt;J17)*(I$3:I$128="P"))+IF(H17="L5",SUMPRODUCT((P$3:P$128="")*(O$3:O$128="")*(N$3:N$128="")*(M$3:M$128="P")*(G$3:G$128=G17)*(J$3:J$128&lt;J17)*(H$3:H$128&lt;&gt;H17)*(I$3:I$128="P")),-1*SUMPRODUCT((P$3:P$128="")*(O$3:O$128="")*(N$3:N$128="")*(M$3:M$128="P")*(G$3:G$128=G17)*(J$3:J$128&gt;J17)*(H$3:H$128="L5")*(I$3:I$128="P")))+1,"")))))</f>
        <v/>
      </c>
      <c r="B17" s="1" t="str" cm="1">
        <f t="array" ref="B17">IF(P17&lt;&gt;"",SUMPRODUCT((P$3:P$128&lt;&gt;"")*(G$3:G$128=G17)*(J$3:J$128&gt;J17))+1,IF(O17&lt;&gt;"",SUMPRODUCT((O$3:O$128&lt;&gt;"")*(P$3:P$128="")*(G$3:G$128=G17)*(J$3:J$128&gt;J17))+SUMPRODUCT((P$3:P$128&lt;&gt;"")*(G$3:G$128=G17))+1,IF(N17&lt;&gt;"",SUMPRODUCT((N$3:N$128&lt;&gt;"")*(G$3:G$128=G17)*(J$3:J$128&gt;J17))+1,IF(M17="P",SUMPRODUCT((O$3:O$128&lt;&gt;"")*(P$3:P$128="")*(G$3:G$128=G17))+SUMPRODUCT((P$3:P$128&lt;&gt;"")*(G$3:G$128=G17))+SUMPRODUCT((N$3:N$128&lt;&gt;"")*(G$3:G$128=G17))+SUMPRODUCT((P$3:P$128="")*(O$3:O$128="")*(N$3:N$128="")*(M$3:M$128="P")*(G$3:G$128=G17)*(J$3:J$128&gt;J17))+IF(H17="L5",SUMPRODUCT((P$3:P$128="")*(O$3:O$128="")*(N$3:N$128="")*(M$3:M$128="P")*(G$3:G$128=G17)*(J$3:J$128&lt;J17)*(H$3:H$128&lt;&gt;H17)),-1*SUMPRODUCT((P$3:P$128="")*(O$3:O$128="")*(N$3:N$128="")*(M$3:M$128="P")*(G$3:G$128=G17)*(J$3:J$128&gt;J17)*(H$3:H$128="L5")))+1,""))))</f>
        <v/>
      </c>
      <c r="C17" s="36" t="s">
        <v>297</v>
      </c>
      <c r="D17" s="36" t="str">
        <f>IF(E17="","",VLOOKUP(E17,'Coaching Points'!A:B,2,0))</f>
        <v>BC</v>
      </c>
      <c r="E17" s="36" t="s">
        <v>42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1.04685E-4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Scores'!C$13,T17,0),IF(W17&gt;='Qualifying Scores'!C$13,V17,0),IF(Z17&gt;='Qualifying Scores'!C$13,Y17,0),IF(AB17&gt;='Qualifying Scores'!C$13,AA17,0),IF(AD17&gt;'Qualifying Scores'!C$13,AC17,0),IF(AG17&gt;'Qualifying Scores'!C$13,AF17,0)),MAX(IF(OR(AND(G17="15-16",W17&gt;='Qualifying Scores'!C$12),AND(G17="13-14",W17&gt;='Qualifying Scores'!C$11),AND(G17="11-12",W17&gt;='Qualifying Scores'!C$10)),X17,0),IF(OR(AND(G17="15-16",AD17&gt;='Qualifying Scores'!C$12),AND(G17="13-14",AD17&gt;='Qualifying Scores'!C$11),AND(G17="11-12",AD17&gt;='Qualifying Scores'!C$10)),AE17,0))))</f>
        <v>0</v>
      </c>
      <c r="S17" s="4">
        <f>IF(G17="17-21",MAX(T17,V17,Y17,AA17,AC17,AF17),MAX(X17,AE17))</f>
        <v>46.85</v>
      </c>
      <c r="T17" s="33">
        <v>40.57</v>
      </c>
      <c r="U17" s="40">
        <v>2</v>
      </c>
      <c r="V17" s="34">
        <v>26.080000000000002</v>
      </c>
      <c r="W17" s="40">
        <v>4.5</v>
      </c>
      <c r="X17" s="4">
        <f>IF(H17="Senior",MAX(T17,V17),T17+V17)</f>
        <v>66.650000000000006</v>
      </c>
      <c r="Y17" s="34">
        <v>0</v>
      </c>
      <c r="Z17" s="40">
        <v>0</v>
      </c>
      <c r="AA17" s="33">
        <v>32.08</v>
      </c>
      <c r="AB17" s="40">
        <v>1.5</v>
      </c>
      <c r="AC17" s="34">
        <v>46.730000000000004</v>
      </c>
      <c r="AD17" s="40">
        <v>8.9</v>
      </c>
      <c r="AE17" s="4">
        <f>IF(H17="Senior",MAX(AA17,AC17),AA17+AC17)</f>
        <v>78.81</v>
      </c>
      <c r="AF17" s="34">
        <v>46.85</v>
      </c>
      <c r="AG17" s="37">
        <v>9.1</v>
      </c>
    </row>
    <row r="18" spans="1:33" x14ac:dyDescent="0.2">
      <c r="A18" s="1" t="str" cm="1">
        <f t="array" ref="A18">IF(I18="","",IF(P18&lt;&gt;"",SUMPRODUCT((P$3:P$128&lt;&gt;"")*(G$3:G$128=G18)*(J$3:J$128&gt;J18)*(I$3:I$128="P"))+1,IF(O18&lt;&gt;"",SUMPRODUCT((O$3:O$128&lt;&gt;"")*(P$3:P$128="")*(G$3:G$128=G18)*(J$3:J$128&gt;J18)*(I$3:I$128="P"))+SUMPRODUCT((P$3:P$128&lt;&gt;"")*(G$3:G$128=G18)*(I$3:I$128="P"))+1,IF(N18&lt;&gt;"",SUMPRODUCT((N$3:N$128&lt;&gt;"")*(G$3:G$128=G18)*(J$3:J$128&gt;J18)*(I$3:I$128="P"))+1,IF(M18="P",SUMPRODUCT((O$3:O$128&lt;&gt;"")*(P$3:P$128="")*(G$3:G$128=G18)*(I$3:I$128="P"))+SUMPRODUCT((P$3:P$128&lt;&gt;"")*(G$3:G$128=G18)*(I$3:I$128="P"))+SUMPRODUCT((N$3:N$128&lt;&gt;"")*(G$3:G$128=G18)*(I$3:I$128="P"))+SUMPRODUCT((P$3:P$128="")*(O$3:O$128="")*(N$3:N$128="")*(M$3:M$128="P")*(G$3:G$128=G18)*(J$3:J$128&gt;J18)*(I$3:I$128="P"))+IF(H18="L5",SUMPRODUCT((P$3:P$128="")*(O$3:O$128="")*(N$3:N$128="")*(M$3:M$128="P")*(G$3:G$128=G18)*(J$3:J$128&lt;J18)*(H$3:H$128&lt;&gt;H18)*(I$3:I$128="P")),-1*SUMPRODUCT((P$3:P$128="")*(O$3:O$128="")*(N$3:N$128="")*(M$3:M$128="P")*(G$3:G$128=G18)*(J$3:J$128&gt;J18)*(H$3:H$128="L5")*(I$3:I$128="P")))+1,"")))))</f>
        <v/>
      </c>
      <c r="B18" s="1" t="str" cm="1">
        <f t="array" ref="B18">IF(P18&lt;&gt;"",SUMPRODUCT((P$3:P$128&lt;&gt;"")*(G$3:G$128=G18)*(J$3:J$128&gt;J18))+1,IF(O18&lt;&gt;"",SUMPRODUCT((O$3:O$128&lt;&gt;"")*(P$3:P$128="")*(G$3:G$128=G18)*(J$3:J$128&gt;J18))+SUMPRODUCT((P$3:P$128&lt;&gt;"")*(G$3:G$128=G18))+1,IF(N18&lt;&gt;"",SUMPRODUCT((N$3:N$128&lt;&gt;"")*(G$3:G$128=G18)*(J$3:J$128&gt;J18))+1,IF(M18="P",SUMPRODUCT((O$3:O$128&lt;&gt;"")*(P$3:P$128="")*(G$3:G$128=G18))+SUMPRODUCT((P$3:P$128&lt;&gt;"")*(G$3:G$128=G18))+SUMPRODUCT((N$3:N$128&lt;&gt;"")*(G$3:G$128=G18))+SUMPRODUCT((P$3:P$128="")*(O$3:O$128="")*(N$3:N$128="")*(M$3:M$128="P")*(G$3:G$128=G18)*(J$3:J$128&gt;J18))+IF(H18="L5",SUMPRODUCT((P$3:P$128="")*(O$3:O$128="")*(N$3:N$128="")*(M$3:M$128="P")*(G$3:G$128=G18)*(J$3:J$128&lt;J18)*(H$3:H$128&lt;&gt;H18)),-1*SUMPRODUCT((P$3:P$128="")*(O$3:O$128="")*(N$3:N$128="")*(M$3:M$128="P")*(G$3:G$128=G18)*(J$3:J$128&gt;J18)*(H$3:H$128="L5")))+1,""))))</f>
        <v/>
      </c>
      <c r="C18" s="36" t="s">
        <v>287</v>
      </c>
      <c r="D18" s="36" t="str">
        <f>IF(E18="","",VLOOKUP(E18,'Coaching Points'!A:B,2,0))</f>
        <v>QC</v>
      </c>
      <c r="E18" s="36" t="s">
        <v>62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R18+IF(OR(H18="Junior",H18="Senior"),0.0002,IF(OR(H18="L7",H18="L6"),0.0001,0))+IF(G18="17-21",MAX(AA18,AC18,AF18),AE18)*0.0000001</f>
        <v>1.0446900000000001E-4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Scores'!C$13,T18,0),IF(W18&gt;='Qualifying Scores'!C$13,V18,0),IF(Z18&gt;='Qualifying Scores'!C$13,Y18,0),IF(AB18&gt;='Qualifying Scores'!C$13,AA18,0),IF(AD18&gt;'Qualifying Scores'!C$13,AC18,0),IF(AG18&gt;'Qualifying Scores'!C$13,AF18,0)),MAX(IF(OR(AND(G18="15-16",W18&gt;='Qualifying Scores'!C$12),AND(G18="13-14",W18&gt;='Qualifying Scores'!C$11),AND(G18="11-12",W18&gt;='Qualifying Scores'!C$10)),X18,0),IF(OR(AND(G18="15-16",AD18&gt;='Qualifying Scores'!C$12),AND(G18="13-14",AD18&gt;='Qualifying Scores'!C$11),AND(G18="11-12",AD18&gt;='Qualifying Scores'!C$10)),AE18,0))))</f>
        <v>0</v>
      </c>
      <c r="S18" s="4">
        <f>IF(G18="17-21",MAX(T18,V18,Y18,AA18,AC18,AF18),MAX(X18,AE18))</f>
        <v>46.17</v>
      </c>
      <c r="T18" s="33">
        <v>41.55</v>
      </c>
      <c r="U18" s="40">
        <v>2.2000000000000002</v>
      </c>
      <c r="V18" s="34">
        <v>45.51</v>
      </c>
      <c r="W18" s="40">
        <v>8.7999999999999989</v>
      </c>
      <c r="X18" s="4">
        <f>IF(H18="Senior",MAX(T18,V18),T18+V18)</f>
        <v>87.06</v>
      </c>
      <c r="Y18" s="34">
        <v>46.17</v>
      </c>
      <c r="Z18" s="40">
        <v>8.7999999999999989</v>
      </c>
      <c r="AA18" s="33">
        <v>23.990000000000002</v>
      </c>
      <c r="AB18" s="40">
        <v>0.8</v>
      </c>
      <c r="AC18" s="34">
        <v>44.69</v>
      </c>
      <c r="AD18" s="40">
        <v>9.3000000000000007</v>
      </c>
      <c r="AE18" s="4">
        <f>IF(H18="Senior",MAX(AA18,AC18),AA18+AC18)</f>
        <v>68.680000000000007</v>
      </c>
      <c r="AF18" s="34"/>
      <c r="AG18" s="37"/>
    </row>
    <row r="19" spans="1:33" x14ac:dyDescent="0.2">
      <c r="A19" s="1" t="str" cm="1">
        <f t="array" ref="A19">IF(I19="","",IF(P19&lt;&gt;"",SUMPRODUCT((P$3:P$128&lt;&gt;"")*(G$3:G$128=G19)*(J$3:J$128&gt;J19)*(I$3:I$128="P"))+1,IF(O19&lt;&gt;"",SUMPRODUCT((O$3:O$128&lt;&gt;"")*(P$3:P$128="")*(G$3:G$128=G19)*(J$3:J$128&gt;J19)*(I$3:I$128="P"))+SUMPRODUCT((P$3:P$128&lt;&gt;"")*(G$3:G$128=G19)*(I$3:I$128="P"))+1,IF(N19&lt;&gt;"",SUMPRODUCT((N$3:N$128&lt;&gt;"")*(G$3:G$128=G19)*(J$3:J$128&gt;J19)*(I$3:I$128="P"))+1,IF(M19="P",SUMPRODUCT((O$3:O$128&lt;&gt;"")*(P$3:P$128="")*(G$3:G$128=G19)*(I$3:I$128="P"))+SUMPRODUCT((P$3:P$128&lt;&gt;"")*(G$3:G$128=G19)*(I$3:I$128="P"))+SUMPRODUCT((N$3:N$128&lt;&gt;"")*(G$3:G$128=G19)*(I$3:I$128="P"))+SUMPRODUCT((P$3:P$128="")*(O$3:O$128="")*(N$3:N$128="")*(M$3:M$128="P")*(G$3:G$128=G19)*(J$3:J$128&gt;J19)*(I$3:I$128="P"))+IF(H19="L5",SUMPRODUCT((P$3:P$128="")*(O$3:O$128="")*(N$3:N$128="")*(M$3:M$128="P")*(G$3:G$128=G19)*(J$3:J$128&lt;J19)*(H$3:H$128&lt;&gt;H19)*(I$3:I$128="P")),-1*SUMPRODUCT((P$3:P$128="")*(O$3:O$128="")*(N$3:N$128="")*(M$3:M$128="P")*(G$3:G$128=G19)*(J$3:J$128&gt;J19)*(H$3:H$128="L5")*(I$3:I$128="P")))+1,"")))))</f>
        <v/>
      </c>
      <c r="B19" s="1" t="str" cm="1">
        <f t="array" ref="B19">IF(P19&lt;&gt;"",SUMPRODUCT((P$3:P$128&lt;&gt;"")*(G$3:G$128=G19)*(J$3:J$128&gt;J19))+1,IF(O19&lt;&gt;"",SUMPRODUCT((O$3:O$128&lt;&gt;"")*(P$3:P$128="")*(G$3:G$128=G19)*(J$3:J$128&gt;J19))+SUMPRODUCT((P$3:P$128&lt;&gt;"")*(G$3:G$128=G19))+1,IF(N19&lt;&gt;"",SUMPRODUCT((N$3:N$128&lt;&gt;"")*(G$3:G$128=G19)*(J$3:J$128&gt;J19))+1,IF(M19="P",SUMPRODUCT((O$3:O$128&lt;&gt;"")*(P$3:P$128="")*(G$3:G$128=G19))+SUMPRODUCT((P$3:P$128&lt;&gt;"")*(G$3:G$128=G19))+SUMPRODUCT((N$3:N$128&lt;&gt;"")*(G$3:G$128=G19))+SUMPRODUCT((P$3:P$128="")*(O$3:O$128="")*(N$3:N$128="")*(M$3:M$128="P")*(G$3:G$128=G19)*(J$3:J$128&gt;J19))+IF(H19="L5",SUMPRODUCT((P$3:P$128="")*(O$3:O$128="")*(N$3:N$128="")*(M$3:M$128="P")*(G$3:G$128=G19)*(J$3:J$128&lt;J19)*(H$3:H$128&lt;&gt;H19)),-1*SUMPRODUCT((P$3:P$128="")*(O$3:O$128="")*(N$3:N$128="")*(M$3:M$128="P")*(G$3:G$128=G19)*(J$3:J$128&gt;J19)*(H$3:H$128="L5")))+1,""))))</f>
        <v/>
      </c>
      <c r="C19" s="36" t="s">
        <v>294</v>
      </c>
      <c r="D19" s="36" t="str">
        <f>IF(E19="","",VLOOKUP(E19,'Coaching Points'!A:B,2,0))</f>
        <v>AB</v>
      </c>
      <c r="E19" s="36" t="s">
        <v>29</v>
      </c>
      <c r="F19" s="35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R19+IF(OR(H19="Junior",H19="Senior"),0.0002,IF(OR(H19="L7",H19="L6"),0.0001,0))+IF(G19="17-21",MAX(AA19,AC19,AF19),AE19)*0.0000001</f>
        <v>1.0444600000000001E-4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Scores'!C$13,T19,0),IF(W19&gt;='Qualifying Scores'!C$13,V19,0),IF(Z19&gt;='Qualifying Scores'!C$13,Y19,0),IF(AB19&gt;='Qualifying Scores'!C$13,AA19,0),IF(AD19&gt;'Qualifying Scores'!C$13,AC19,0),IF(AG19&gt;'Qualifying Scores'!C$13,AF19,0)),MAX(IF(OR(AND(G19="15-16",W19&gt;='Qualifying Scores'!C$12),AND(G19="13-14",W19&gt;='Qualifying Scores'!C$11),AND(G19="11-12",W19&gt;='Qualifying Scores'!C$10)),X19,0),IF(OR(AND(G19="15-16",AD19&gt;='Qualifying Scores'!C$12),AND(G19="13-14",AD19&gt;='Qualifying Scores'!C$11),AND(G19="11-12",AD19&gt;='Qualifying Scores'!C$10)),AE19,0))))</f>
        <v>0</v>
      </c>
      <c r="S19" s="4">
        <f>IF(G19="17-21",MAX(T19,V19,Y19,AA19,AC19,AF19),MAX(X19,AE19))</f>
        <v>45.13</v>
      </c>
      <c r="T19" s="33">
        <v>35.07</v>
      </c>
      <c r="U19" s="40">
        <v>1.4</v>
      </c>
      <c r="V19" s="34">
        <v>45.13</v>
      </c>
      <c r="W19" s="40">
        <v>9</v>
      </c>
      <c r="X19" s="4">
        <f>IF(H19="Senior",MAX(T19,V19),T19+V19)</f>
        <v>80.2</v>
      </c>
      <c r="Y19" s="34">
        <v>0</v>
      </c>
      <c r="Z19" s="40">
        <v>0</v>
      </c>
      <c r="AA19" s="33">
        <v>35.790000000000006</v>
      </c>
      <c r="AB19" s="40">
        <v>0.6</v>
      </c>
      <c r="AC19" s="34">
        <v>42.879999999999995</v>
      </c>
      <c r="AD19" s="40">
        <v>8.3000000000000007</v>
      </c>
      <c r="AE19" s="4">
        <f>IF(H19="Senior",MAX(AA19,AC19),AA19+AC19)</f>
        <v>78.67</v>
      </c>
      <c r="AF19" s="34">
        <v>44.46</v>
      </c>
      <c r="AG19" s="37">
        <v>8.3000000000000007</v>
      </c>
    </row>
    <row r="20" spans="1:33" x14ac:dyDescent="0.2">
      <c r="A20" s="1" t="str" cm="1">
        <f t="array" ref="A20">IF(I20="","",IF(P20&lt;&gt;"",SUMPRODUCT((P$3:P$128&lt;&gt;"")*(G$3:G$128=G20)*(J$3:J$128&gt;J20)*(I$3:I$128="P"))+1,IF(O20&lt;&gt;"",SUMPRODUCT((O$3:O$128&lt;&gt;"")*(P$3:P$128="")*(G$3:G$128=G20)*(J$3:J$128&gt;J20)*(I$3:I$128="P"))+SUMPRODUCT((P$3:P$128&lt;&gt;"")*(G$3:G$128=G20)*(I$3:I$128="P"))+1,IF(N20&lt;&gt;"",SUMPRODUCT((N$3:N$128&lt;&gt;"")*(G$3:G$128=G20)*(J$3:J$128&gt;J20)*(I$3:I$128="P"))+1,IF(M20="P",SUMPRODUCT((O$3:O$128&lt;&gt;"")*(P$3:P$128="")*(G$3:G$128=G20)*(I$3:I$128="P"))+SUMPRODUCT((P$3:P$128&lt;&gt;"")*(G$3:G$128=G20)*(I$3:I$128="P"))+SUMPRODUCT((N$3:N$128&lt;&gt;"")*(G$3:G$128=G20)*(I$3:I$128="P"))+SUMPRODUCT((P$3:P$128="")*(O$3:O$128="")*(N$3:N$128="")*(M$3:M$128="P")*(G$3:G$128=G20)*(J$3:J$128&gt;J20)*(I$3:I$128="P"))+IF(H20="L5",SUMPRODUCT((P$3:P$128="")*(O$3:O$128="")*(N$3:N$128="")*(M$3:M$128="P")*(G$3:G$128=G20)*(J$3:J$128&lt;J20)*(H$3:H$128&lt;&gt;H20)*(I$3:I$128="P")),-1*SUMPRODUCT((P$3:P$128="")*(O$3:O$128="")*(N$3:N$128="")*(M$3:M$128="P")*(G$3:G$128=G20)*(J$3:J$128&gt;J20)*(H$3:H$128="L5")*(I$3:I$128="P")))+1,"")))))</f>
        <v/>
      </c>
      <c r="B20" s="1" t="str" cm="1">
        <f t="array" ref="B20">IF(P20&lt;&gt;"",SUMPRODUCT((P$3:P$128&lt;&gt;"")*(G$3:G$128=G20)*(J$3:J$128&gt;J20))+1,IF(O20&lt;&gt;"",SUMPRODUCT((O$3:O$128&lt;&gt;"")*(P$3:P$128="")*(G$3:G$128=G20)*(J$3:J$128&gt;J20))+SUMPRODUCT((P$3:P$128&lt;&gt;"")*(G$3:G$128=G20))+1,IF(N20&lt;&gt;"",SUMPRODUCT((N$3:N$128&lt;&gt;"")*(G$3:G$128=G20)*(J$3:J$128&gt;J20))+1,IF(M20="P",SUMPRODUCT((O$3:O$128&lt;&gt;"")*(P$3:P$128="")*(G$3:G$128=G20))+SUMPRODUCT((P$3:P$128&lt;&gt;"")*(G$3:G$128=G20))+SUMPRODUCT((N$3:N$128&lt;&gt;"")*(G$3:G$128=G20))+SUMPRODUCT((P$3:P$128="")*(O$3:O$128="")*(N$3:N$128="")*(M$3:M$128="P")*(G$3:G$128=G20)*(J$3:J$128&gt;J20))+IF(H20="L5",SUMPRODUCT((P$3:P$128="")*(O$3:O$128="")*(N$3:N$128="")*(M$3:M$128="P")*(G$3:G$128=G20)*(J$3:J$128&lt;J20)*(H$3:H$128&lt;&gt;H20)),-1*SUMPRODUCT((P$3:P$128="")*(O$3:O$128="")*(N$3:N$128="")*(M$3:M$128="P")*(G$3:G$128=G20)*(J$3:J$128&gt;J20)*(H$3:H$128="L5")))+1,""))))</f>
        <v/>
      </c>
      <c r="C20" s="36" t="s">
        <v>456</v>
      </c>
      <c r="D20" s="36" t="str">
        <f>IF(E20="","",VLOOKUP(E20,'Coaching Points'!A:B,2,0))</f>
        <v>QC</v>
      </c>
      <c r="E20" s="36" t="s">
        <v>586</v>
      </c>
      <c r="F20" s="35">
        <v>2002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R20+IF(OR(H20="Junior",H20="Senior"),0.0002,IF(OR(H20="L7",H20="L6"),0.0001,0))+IF(G20="17-21",MAX(AA20,AC20,AF20),AE20)*0.0000001</f>
        <v>1.04356E-4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Scores'!C$13,T20,0),IF(W20&gt;='Qualifying Scores'!C$13,V20,0),IF(Z20&gt;='Qualifying Scores'!C$13,Y20,0),IF(AB20&gt;='Qualifying Scores'!C$13,AA20,0),IF(AD20&gt;'Qualifying Scores'!C$13,AC20,0),IF(AG20&gt;'Qualifying Scores'!C$13,AF20,0)),MAX(IF(OR(AND(G20="15-16",W20&gt;='Qualifying Scores'!C$12),AND(G20="13-14",W20&gt;='Qualifying Scores'!C$11),AND(G20="11-12",W20&gt;='Qualifying Scores'!C$10)),X20,0),IF(OR(AND(G20="15-16",AD20&gt;='Qualifying Scores'!C$12),AND(G20="13-14",AD20&gt;='Qualifying Scores'!C$11),AND(G20="11-12",AD20&gt;='Qualifying Scores'!C$10)),AE20,0))))</f>
        <v>0</v>
      </c>
      <c r="S20" s="4">
        <f>IF(G20="17-21",MAX(T20,V20,Y20,AA20,AC20,AF20),MAX(X20,AE20))</f>
        <v>43.56</v>
      </c>
      <c r="T20" s="33"/>
      <c r="U20" s="40"/>
      <c r="V20" s="34"/>
      <c r="W20" s="40"/>
      <c r="X20" s="4">
        <f>IF(H20="Senior",MAX(T20,V20),T20+V20)</f>
        <v>0</v>
      </c>
      <c r="Y20" s="34"/>
      <c r="Z20" s="40"/>
      <c r="AA20" s="33">
        <v>41.57</v>
      </c>
      <c r="AB20" s="40">
        <v>2.2000000000000002</v>
      </c>
      <c r="AC20" s="34">
        <v>43.56</v>
      </c>
      <c r="AD20" s="40">
        <v>8.3000000000000007</v>
      </c>
      <c r="AE20" s="4">
        <f>IF(H20="Senior",MAX(AA20,AC20),AA20+AC20)</f>
        <v>85.13</v>
      </c>
      <c r="AF20" s="34">
        <v>10.24</v>
      </c>
      <c r="AG20" s="37">
        <v>2.5</v>
      </c>
    </row>
    <row r="21" spans="1:33" x14ac:dyDescent="0.2">
      <c r="A21" s="1" t="str" cm="1">
        <f t="array" ref="A21">IF(I21="","",IF(P21&lt;&gt;"",SUMPRODUCT((P$3:P$128&lt;&gt;"")*(G$3:G$128=G21)*(J$3:J$128&gt;J21)*(I$3:I$128="P"))+1,IF(O21&lt;&gt;"",SUMPRODUCT((O$3:O$128&lt;&gt;"")*(P$3:P$128="")*(G$3:G$128=G21)*(J$3:J$128&gt;J21)*(I$3:I$128="P"))+SUMPRODUCT((P$3:P$128&lt;&gt;"")*(G$3:G$128=G21)*(I$3:I$128="P"))+1,IF(N21&lt;&gt;"",SUMPRODUCT((N$3:N$128&lt;&gt;"")*(G$3:G$128=G21)*(J$3:J$128&gt;J21)*(I$3:I$128="P"))+1,IF(M21="P",SUMPRODUCT((O$3:O$128&lt;&gt;"")*(P$3:P$128="")*(G$3:G$128=G21)*(I$3:I$128="P"))+SUMPRODUCT((P$3:P$128&lt;&gt;"")*(G$3:G$128=G21)*(I$3:I$128="P"))+SUMPRODUCT((N$3:N$128&lt;&gt;"")*(G$3:G$128=G21)*(I$3:I$128="P"))+SUMPRODUCT((P$3:P$128="")*(O$3:O$128="")*(N$3:N$128="")*(M$3:M$128="P")*(G$3:G$128=G21)*(J$3:J$128&gt;J21)*(I$3:I$128="P"))+IF(H21="L5",SUMPRODUCT((P$3:P$128="")*(O$3:O$128="")*(N$3:N$128="")*(M$3:M$128="P")*(G$3:G$128=G21)*(J$3:J$128&lt;J21)*(H$3:H$128&lt;&gt;H21)*(I$3:I$128="P")),-1*SUMPRODUCT((P$3:P$128="")*(O$3:O$128="")*(N$3:N$128="")*(M$3:M$128="P")*(G$3:G$128=G21)*(J$3:J$128&gt;J21)*(H$3:H$128="L5")*(I$3:I$128="P")))+1,"")))))</f>
        <v/>
      </c>
      <c r="B21" s="1" t="str" cm="1">
        <f t="array" ref="B21">IF(P21&lt;&gt;"",SUMPRODUCT((P$3:P$128&lt;&gt;"")*(G$3:G$128=G21)*(J$3:J$128&gt;J21))+1,IF(O21&lt;&gt;"",SUMPRODUCT((O$3:O$128&lt;&gt;"")*(P$3:P$128="")*(G$3:G$128=G21)*(J$3:J$128&gt;J21))+SUMPRODUCT((P$3:P$128&lt;&gt;"")*(G$3:G$128=G21))+1,IF(N21&lt;&gt;"",SUMPRODUCT((N$3:N$128&lt;&gt;"")*(G$3:G$128=G21)*(J$3:J$128&gt;J21))+1,IF(M21="P",SUMPRODUCT((O$3:O$128&lt;&gt;"")*(P$3:P$128="")*(G$3:G$128=G21))+SUMPRODUCT((P$3:P$128&lt;&gt;"")*(G$3:G$128=G21))+SUMPRODUCT((N$3:N$128&lt;&gt;"")*(G$3:G$128=G21))+SUMPRODUCT((P$3:P$128="")*(O$3:O$128="")*(N$3:N$128="")*(M$3:M$128="P")*(G$3:G$128=G21)*(J$3:J$128&gt;J21))+IF(H21="L5",SUMPRODUCT((P$3:P$128="")*(O$3:O$128="")*(N$3:N$128="")*(M$3:M$128="P")*(G$3:G$128=G21)*(J$3:J$128&lt;J21)*(H$3:H$128&lt;&gt;H21)),-1*SUMPRODUCT((P$3:P$128="")*(O$3:O$128="")*(N$3:N$128="")*(M$3:M$128="P")*(G$3:G$128=G21)*(J$3:J$128&gt;J21)*(H$3:H$128="L5")))+1,""))))</f>
        <v/>
      </c>
      <c r="C21" s="36" t="s">
        <v>298</v>
      </c>
      <c r="D21" s="36" t="str">
        <f>IF(E21="","",VLOOKUP(E21,'Coaching Points'!A:B,2,0))</f>
        <v>BC</v>
      </c>
      <c r="E21" s="36" t="s">
        <v>37</v>
      </c>
      <c r="F21" s="35">
        <v>2001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1.0431000000000001E-4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Scores'!C$13,T21,0),IF(W21&gt;='Qualifying Scores'!C$13,V21,0),IF(Z21&gt;='Qualifying Scores'!C$13,Y21,0),IF(AB21&gt;='Qualifying Scores'!C$13,AA21,0),IF(AD21&gt;'Qualifying Scores'!C$13,AC21,0),IF(AG21&gt;'Qualifying Scores'!C$13,AF21,0)),MAX(IF(OR(AND(G21="15-16",W21&gt;='Qualifying Scores'!C$12),AND(G21="13-14",W21&gt;='Qualifying Scores'!C$11),AND(G21="11-12",W21&gt;='Qualifying Scores'!C$10)),X21,0),IF(OR(AND(G21="15-16",AD21&gt;='Qualifying Scores'!C$12),AND(G21="13-14",AD21&gt;='Qualifying Scores'!C$11),AND(G21="11-12",AD21&gt;='Qualifying Scores'!C$10)),AE21,0))))</f>
        <v>0</v>
      </c>
      <c r="S21" s="4">
        <f>IF(G21="17-21",MAX(T21,V21,Y21,AA21,AC21,AF21),MAX(X21,AE21))</f>
        <v>43.1</v>
      </c>
      <c r="T21" s="33">
        <v>38.32</v>
      </c>
      <c r="U21" s="40">
        <v>1.4</v>
      </c>
      <c r="V21" s="34">
        <v>21.14</v>
      </c>
      <c r="W21" s="40">
        <v>3.4</v>
      </c>
      <c r="X21" s="4">
        <f>IF(H21="Senior",MAX(T21,V21),T21+V21)</f>
        <v>59.46</v>
      </c>
      <c r="Y21" s="34">
        <v>0</v>
      </c>
      <c r="Z21" s="40">
        <v>0</v>
      </c>
      <c r="AA21" s="33">
        <v>34.75</v>
      </c>
      <c r="AB21" s="40">
        <v>1.4</v>
      </c>
      <c r="AC21" s="34">
        <v>43.1</v>
      </c>
      <c r="AD21" s="40">
        <v>8.1999999999999993</v>
      </c>
      <c r="AE21" s="4">
        <f>IF(H21="Senior",MAX(AA21,AC21),AA21+AC21)</f>
        <v>77.849999999999994</v>
      </c>
      <c r="AF21" s="34"/>
      <c r="AG21" s="37"/>
    </row>
    <row r="22" spans="1:33" x14ac:dyDescent="0.2">
      <c r="A22" s="1" t="str" cm="1">
        <f t="array" ref="A22">IF(I22="","",IF(P22&lt;&gt;"",SUMPRODUCT((P$3:P$128&lt;&gt;"")*(G$3:G$128=G22)*(J$3:J$128&gt;J22)*(I$3:I$128="P"))+1,IF(O22&lt;&gt;"",SUMPRODUCT((O$3:O$128&lt;&gt;"")*(P$3:P$128="")*(G$3:G$128=G22)*(J$3:J$128&gt;J22)*(I$3:I$128="P"))+SUMPRODUCT((P$3:P$128&lt;&gt;"")*(G$3:G$128=G22)*(I$3:I$128="P"))+1,IF(N22&lt;&gt;"",SUMPRODUCT((N$3:N$128&lt;&gt;"")*(G$3:G$128=G22)*(J$3:J$128&gt;J22)*(I$3:I$128="P"))+1,IF(M22="P",SUMPRODUCT((O$3:O$128&lt;&gt;"")*(P$3:P$128="")*(G$3:G$128=G22)*(I$3:I$128="P"))+SUMPRODUCT((P$3:P$128&lt;&gt;"")*(G$3:G$128=G22)*(I$3:I$128="P"))+SUMPRODUCT((N$3:N$128&lt;&gt;"")*(G$3:G$128=G22)*(I$3:I$128="P"))+SUMPRODUCT((P$3:P$128="")*(O$3:O$128="")*(N$3:N$128="")*(M$3:M$128="P")*(G$3:G$128=G22)*(J$3:J$128&gt;J22)*(I$3:I$128="P"))+IF(H22="L5",SUMPRODUCT((P$3:P$128="")*(O$3:O$128="")*(N$3:N$128="")*(M$3:M$128="P")*(G$3:G$128=G22)*(J$3:J$128&lt;J22)*(H$3:H$128&lt;&gt;H22)*(I$3:I$128="P")),-1*SUMPRODUCT((P$3:P$128="")*(O$3:O$128="")*(N$3:N$128="")*(M$3:M$128="P")*(G$3:G$128=G22)*(J$3:J$128&gt;J22)*(H$3:H$128="L5")*(I$3:I$128="P")))+1,"")))))</f>
        <v/>
      </c>
      <c r="B22" s="1" t="str" cm="1">
        <f t="array" ref="B22">IF(P22&lt;&gt;"",SUMPRODUCT((P$3:P$128&lt;&gt;"")*(G$3:G$128=G22)*(J$3:J$128&gt;J22))+1,IF(O22&lt;&gt;"",SUMPRODUCT((O$3:O$128&lt;&gt;"")*(P$3:P$128="")*(G$3:G$128=G22)*(J$3:J$128&gt;J22))+SUMPRODUCT((P$3:P$128&lt;&gt;"")*(G$3:G$128=G22))+1,IF(N22&lt;&gt;"",SUMPRODUCT((N$3:N$128&lt;&gt;"")*(G$3:G$128=G22)*(J$3:J$128&gt;J22))+1,IF(M22="P",SUMPRODUCT((O$3:O$128&lt;&gt;"")*(P$3:P$128="")*(G$3:G$128=G22))+SUMPRODUCT((P$3:P$128&lt;&gt;"")*(G$3:G$128=G22))+SUMPRODUCT((N$3:N$128&lt;&gt;"")*(G$3:G$128=G22))+SUMPRODUCT((P$3:P$128="")*(O$3:O$128="")*(N$3:N$128="")*(M$3:M$128="P")*(G$3:G$128=G22)*(J$3:J$128&gt;J22))+IF(H22="L5",SUMPRODUCT((P$3:P$128="")*(O$3:O$128="")*(N$3:N$128="")*(M$3:M$128="P")*(G$3:G$128=G22)*(J$3:J$128&lt;J22)*(H$3:H$128&lt;&gt;H22)),-1*SUMPRODUCT((P$3:P$128="")*(O$3:O$128="")*(N$3:N$128="")*(M$3:M$128="P")*(G$3:G$128=G22)*(J$3:J$128&gt;J22)*(H$3:H$128="L5")))+1,""))))</f>
        <v/>
      </c>
      <c r="C22" s="36" t="s">
        <v>295</v>
      </c>
      <c r="D22" s="36" t="str">
        <f>IF(E22="","",VLOOKUP(E22,'Coaching Points'!A:B,2,0))</f>
        <v>ON</v>
      </c>
      <c r="E22" s="36" t="s">
        <v>158</v>
      </c>
      <c r="F22" s="35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1.0427200000000001E-4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Scores'!C$13,T22,0),IF(W22&gt;='Qualifying Scores'!C$13,V22,0),IF(Z22&gt;='Qualifying Scores'!C$13,Y22,0),IF(AB22&gt;='Qualifying Scores'!C$13,AA22,0),IF(AD22&gt;'Qualifying Scores'!C$13,AC22,0),IF(AG22&gt;'Qualifying Scores'!C$13,AF22,0)),MAX(IF(OR(AND(G22="15-16",W22&gt;='Qualifying Scores'!C$12),AND(G22="13-14",W22&gt;='Qualifying Scores'!C$11),AND(G22="11-12",W22&gt;='Qualifying Scores'!C$10)),X22,0),IF(OR(AND(G22="15-16",AD22&gt;='Qualifying Scores'!C$12),AND(G22="13-14",AD22&gt;='Qualifying Scores'!C$11),AND(G22="11-12",AD22&gt;='Qualifying Scores'!C$10)),AE22,0))))</f>
        <v>0</v>
      </c>
      <c r="S22" s="4">
        <f>IF(G22="17-21",MAX(T22,V22,Y22,AA22,AC22,AF22),MAX(X22,AE22))</f>
        <v>42.72</v>
      </c>
      <c r="T22" s="33">
        <v>38.659999999999997</v>
      </c>
      <c r="U22" s="40">
        <v>2.2999999999999998</v>
      </c>
      <c r="V22" s="34">
        <v>41.1</v>
      </c>
      <c r="W22" s="40">
        <v>7.9999999999999991</v>
      </c>
      <c r="X22" s="4">
        <f>IF(H22="Senior",MAX(T22,V22),T22+V22)</f>
        <v>79.759999999999991</v>
      </c>
      <c r="Y22" s="34">
        <v>0</v>
      </c>
      <c r="Z22" s="40">
        <v>0</v>
      </c>
      <c r="AA22" s="33">
        <v>34.86</v>
      </c>
      <c r="AB22" s="40">
        <v>2.5</v>
      </c>
      <c r="AC22" s="34">
        <v>42.72</v>
      </c>
      <c r="AD22" s="40">
        <v>8.3000000000000007</v>
      </c>
      <c r="AE22" s="4">
        <f>IF(H22="Senior",MAX(AA22,AC22),AA22+AC22)</f>
        <v>77.58</v>
      </c>
      <c r="AF22" s="34"/>
      <c r="AG22" s="37"/>
    </row>
    <row r="23" spans="1:33" x14ac:dyDescent="0.2">
      <c r="A23" s="1" t="str" cm="1">
        <f t="array" ref="A23">IF(I23="","",IF(P23&lt;&gt;"",SUMPRODUCT((P$3:P$128&lt;&gt;"")*(G$3:G$128=G23)*(J$3:J$128&gt;J23)*(I$3:I$128="P"))+1,IF(O23&lt;&gt;"",SUMPRODUCT((O$3:O$128&lt;&gt;"")*(P$3:P$128="")*(G$3:G$128=G23)*(J$3:J$128&gt;J23)*(I$3:I$128="P"))+SUMPRODUCT((P$3:P$128&lt;&gt;"")*(G$3:G$128=G23)*(I$3:I$128="P"))+1,IF(N23&lt;&gt;"",SUMPRODUCT((N$3:N$128&lt;&gt;"")*(G$3:G$128=G23)*(J$3:J$128&gt;J23)*(I$3:I$128="P"))+1,IF(M23="P",SUMPRODUCT((O$3:O$128&lt;&gt;"")*(P$3:P$128="")*(G$3:G$128=G23)*(I$3:I$128="P"))+SUMPRODUCT((P$3:P$128&lt;&gt;"")*(G$3:G$128=G23)*(I$3:I$128="P"))+SUMPRODUCT((N$3:N$128&lt;&gt;"")*(G$3:G$128=G23)*(I$3:I$128="P"))+SUMPRODUCT((P$3:P$128="")*(O$3:O$128="")*(N$3:N$128="")*(M$3:M$128="P")*(G$3:G$128=G23)*(J$3:J$128&gt;J23)*(I$3:I$128="P"))+IF(H23="L5",SUMPRODUCT((P$3:P$128="")*(O$3:O$128="")*(N$3:N$128="")*(M$3:M$128="P")*(G$3:G$128=G23)*(J$3:J$128&lt;J23)*(H$3:H$128&lt;&gt;H23)*(I$3:I$128="P")),-1*SUMPRODUCT((P$3:P$128="")*(O$3:O$128="")*(N$3:N$128="")*(M$3:M$128="P")*(G$3:G$128=G23)*(J$3:J$128&gt;J23)*(H$3:H$128="L5")*(I$3:I$128="P")))+1,"")))))</f>
        <v/>
      </c>
      <c r="B23" s="1" t="str" cm="1">
        <f t="array" ref="B23">IF(P23&lt;&gt;"",SUMPRODUCT((P$3:P$128&lt;&gt;"")*(G$3:G$128=G23)*(J$3:J$128&gt;J23))+1,IF(O23&lt;&gt;"",SUMPRODUCT((O$3:O$128&lt;&gt;"")*(P$3:P$128="")*(G$3:G$128=G23)*(J$3:J$128&gt;J23))+SUMPRODUCT((P$3:P$128&lt;&gt;"")*(G$3:G$128=G23))+1,IF(N23&lt;&gt;"",SUMPRODUCT((N$3:N$128&lt;&gt;"")*(G$3:G$128=G23)*(J$3:J$128&gt;J23))+1,IF(M23="P",SUMPRODUCT((O$3:O$128&lt;&gt;"")*(P$3:P$128="")*(G$3:G$128=G23))+SUMPRODUCT((P$3:P$128&lt;&gt;"")*(G$3:G$128=G23))+SUMPRODUCT((N$3:N$128&lt;&gt;"")*(G$3:G$128=G23))+SUMPRODUCT((P$3:P$128="")*(O$3:O$128="")*(N$3:N$128="")*(M$3:M$128="P")*(G$3:G$128=G23)*(J$3:J$128&gt;J23))+IF(H23="L5",SUMPRODUCT((P$3:P$128="")*(O$3:O$128="")*(N$3:N$128="")*(M$3:M$128="P")*(G$3:G$128=G23)*(J$3:J$128&lt;J23)*(H$3:H$128&lt;&gt;H23)),-1*SUMPRODUCT((P$3:P$128="")*(O$3:O$128="")*(N$3:N$128="")*(M$3:M$128="P")*(G$3:G$128=G23)*(J$3:J$128&gt;J23)*(H$3:H$128="L5")))+1,""))))</f>
        <v/>
      </c>
      <c r="C23" s="36" t="s">
        <v>274</v>
      </c>
      <c r="D23" s="36" t="str">
        <f>IF(E23="","",VLOOKUP(E23,'Coaching Points'!A:B,2,0))</f>
        <v>SK</v>
      </c>
      <c r="E23" s="36" t="s">
        <v>46</v>
      </c>
      <c r="F23" s="35">
        <v>2003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1.0412400000000001E-4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Scores'!C$13,T23,0),IF(W23&gt;='Qualifying Scores'!C$13,V23,0),IF(Z23&gt;='Qualifying Scores'!C$13,Y23,0),IF(AB23&gt;='Qualifying Scores'!C$13,AA23,0),IF(AD23&gt;'Qualifying Scores'!C$13,AC23,0),IF(AG23&gt;'Qualifying Scores'!C$13,AF23,0)),MAX(IF(OR(AND(G23="15-16",W23&gt;='Qualifying Scores'!C$12),AND(G23="13-14",W23&gt;='Qualifying Scores'!C$11),AND(G23="11-12",W23&gt;='Qualifying Scores'!C$10)),X23,0),IF(OR(AND(G23="15-16",AD23&gt;='Qualifying Scores'!C$12),AND(G23="13-14",AD23&gt;='Qualifying Scores'!C$11),AND(G23="11-12",AD23&gt;='Qualifying Scores'!C$10)),AE23,0))))</f>
        <v>0</v>
      </c>
      <c r="S23" s="4">
        <f>IF(G23="17-21",MAX(T23,V23,Y23,AA23,AC23,AF23),MAX(X23,AE23))</f>
        <v>41.24</v>
      </c>
      <c r="T23" s="33">
        <v>38.620000000000005</v>
      </c>
      <c r="U23" s="40">
        <v>0</v>
      </c>
      <c r="V23" s="34">
        <v>19.015000000000001</v>
      </c>
      <c r="W23" s="40">
        <v>4.2</v>
      </c>
      <c r="X23" s="4">
        <f>IF(H23="Senior",MAX(T23,V23),T23+V23)</f>
        <v>57.635000000000005</v>
      </c>
      <c r="Y23" s="34">
        <v>0</v>
      </c>
      <c r="Z23" s="40">
        <v>0</v>
      </c>
      <c r="AA23" s="33">
        <v>22.089999999999996</v>
      </c>
      <c r="AB23" s="40">
        <v>0.7</v>
      </c>
      <c r="AC23" s="34">
        <v>41.24</v>
      </c>
      <c r="AD23" s="40">
        <v>8.9</v>
      </c>
      <c r="AE23" s="4">
        <f>IF(H23="Senior",MAX(AA23,AC23),AA23+AC23)</f>
        <v>63.33</v>
      </c>
      <c r="AF23" s="34"/>
      <c r="AG23" s="37"/>
    </row>
    <row r="24" spans="1:33" x14ac:dyDescent="0.2">
      <c r="A24" s="1" t="str" cm="1">
        <f t="array" ref="A24">IF(I24="","",IF(P24&lt;&gt;"",SUMPRODUCT((P$3:P$128&lt;&gt;"")*(G$3:G$128=G24)*(J$3:J$128&gt;J24)*(I$3:I$128="P"))+1,IF(O24&lt;&gt;"",SUMPRODUCT((O$3:O$128&lt;&gt;"")*(P$3:P$128="")*(G$3:G$128=G24)*(J$3:J$128&gt;J24)*(I$3:I$128="P"))+SUMPRODUCT((P$3:P$128&lt;&gt;"")*(G$3:G$128=G24)*(I$3:I$128="P"))+1,IF(N24&lt;&gt;"",SUMPRODUCT((N$3:N$128&lt;&gt;"")*(G$3:G$128=G24)*(J$3:J$128&gt;J24)*(I$3:I$128="P"))+1,IF(M24="P",SUMPRODUCT((O$3:O$128&lt;&gt;"")*(P$3:P$128="")*(G$3:G$128=G24)*(I$3:I$128="P"))+SUMPRODUCT((P$3:P$128&lt;&gt;"")*(G$3:G$128=G24)*(I$3:I$128="P"))+SUMPRODUCT((N$3:N$128&lt;&gt;"")*(G$3:G$128=G24)*(I$3:I$128="P"))+SUMPRODUCT((P$3:P$128="")*(O$3:O$128="")*(N$3:N$128="")*(M$3:M$128="P")*(G$3:G$128=G24)*(J$3:J$128&gt;J24)*(I$3:I$128="P"))+IF(H24="L5",SUMPRODUCT((P$3:P$128="")*(O$3:O$128="")*(N$3:N$128="")*(M$3:M$128="P")*(G$3:G$128=G24)*(J$3:J$128&lt;J24)*(H$3:H$128&lt;&gt;H24)*(I$3:I$128="P")),-1*SUMPRODUCT((P$3:P$128="")*(O$3:O$128="")*(N$3:N$128="")*(M$3:M$128="P")*(G$3:G$128=G24)*(J$3:J$128&gt;J24)*(H$3:H$128="L5")*(I$3:I$128="P")))+1,"")))))</f>
        <v/>
      </c>
      <c r="B24" s="1" t="str" cm="1">
        <f t="array" ref="B24">IF(P24&lt;&gt;"",SUMPRODUCT((P$3:P$128&lt;&gt;"")*(G$3:G$128=G24)*(J$3:J$128&gt;J24))+1,IF(O24&lt;&gt;"",SUMPRODUCT((O$3:O$128&lt;&gt;"")*(P$3:P$128="")*(G$3:G$128=G24)*(J$3:J$128&gt;J24))+SUMPRODUCT((P$3:P$128&lt;&gt;"")*(G$3:G$128=G24))+1,IF(N24&lt;&gt;"",SUMPRODUCT((N$3:N$128&lt;&gt;"")*(G$3:G$128=G24)*(J$3:J$128&gt;J24))+1,IF(M24="P",SUMPRODUCT((O$3:O$128&lt;&gt;"")*(P$3:P$128="")*(G$3:G$128=G24))+SUMPRODUCT((P$3:P$128&lt;&gt;"")*(G$3:G$128=G24))+SUMPRODUCT((N$3:N$128&lt;&gt;"")*(G$3:G$128=G24))+SUMPRODUCT((P$3:P$128="")*(O$3:O$128="")*(N$3:N$128="")*(M$3:M$128="P")*(G$3:G$128=G24)*(J$3:J$128&gt;J24))+IF(H24="L5",SUMPRODUCT((P$3:P$128="")*(O$3:O$128="")*(N$3:N$128="")*(M$3:M$128="P")*(G$3:G$128=G24)*(J$3:J$128&lt;J24)*(H$3:H$128&lt;&gt;H24)),-1*SUMPRODUCT((P$3:P$128="")*(O$3:O$128="")*(N$3:N$128="")*(M$3:M$128="P")*(G$3:G$128=G24)*(J$3:J$128&gt;J24)*(H$3:H$128="L5")))+1,""))))</f>
        <v/>
      </c>
      <c r="C24" s="36" t="s">
        <v>454</v>
      </c>
      <c r="D24" s="36" t="str">
        <f>IF(E24="","",VLOOKUP(E24,'Coaching Points'!A:B,2,0))</f>
        <v>SK</v>
      </c>
      <c r="E24" s="36" t="s">
        <v>46</v>
      </c>
      <c r="F24" s="35">
        <v>2003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1.0409800000000001E-4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Scores'!C$13,T24,0),IF(W24&gt;='Qualifying Scores'!C$13,V24,0),IF(Z24&gt;='Qualifying Scores'!C$13,Y24,0),IF(AB24&gt;='Qualifying Scores'!C$13,AA24,0),IF(AD24&gt;'Qualifying Scores'!C$13,AC24,0),IF(AG24&gt;'Qualifying Scores'!C$13,AF24,0)),MAX(IF(OR(AND(G24="15-16",W24&gt;='Qualifying Scores'!C$12),AND(G24="13-14",W24&gt;='Qualifying Scores'!C$11),AND(G24="11-12",W24&gt;='Qualifying Scores'!C$10)),X24,0),IF(OR(AND(G24="15-16",AD24&gt;='Qualifying Scores'!C$12),AND(G24="13-14",AD24&gt;='Qualifying Scores'!C$11),AND(G24="11-12",AD24&gt;='Qualifying Scores'!C$10)),AE24,0))))</f>
        <v>0</v>
      </c>
      <c r="S24" s="4">
        <f>IF(G24="17-21",MAX(T24,V24,Y24,AA24,AC24,AF24),MAX(X24,AE24))</f>
        <v>40.980000000000004</v>
      </c>
      <c r="T24" s="33"/>
      <c r="U24" s="40"/>
      <c r="V24" s="34"/>
      <c r="W24" s="40"/>
      <c r="X24" s="4">
        <f>IF(H24="Senior",MAX(T24,V24),T24+V24)</f>
        <v>0</v>
      </c>
      <c r="Y24" s="34"/>
      <c r="Z24" s="40"/>
      <c r="AA24" s="33">
        <v>40.980000000000004</v>
      </c>
      <c r="AB24" s="40">
        <v>1.7</v>
      </c>
      <c r="AC24" s="34">
        <v>29.97</v>
      </c>
      <c r="AD24" s="40">
        <v>6.7</v>
      </c>
      <c r="AE24" s="4">
        <f>IF(H24="Senior",MAX(AA24,AC24),AA24+AC24)</f>
        <v>70.95</v>
      </c>
      <c r="AF24" s="34"/>
      <c r="AG24" s="37"/>
    </row>
    <row r="25" spans="1:33" x14ac:dyDescent="0.2">
      <c r="A25" s="1" t="str" cm="1">
        <f t="array" ref="A25">IF(I25="","",IF(P25&lt;&gt;"",SUMPRODUCT((P$3:P$128&lt;&gt;"")*(G$3:G$128=G25)*(J$3:J$128&gt;J25)*(I$3:I$128="P"))+1,IF(O25&lt;&gt;"",SUMPRODUCT((O$3:O$128&lt;&gt;"")*(P$3:P$128="")*(G$3:G$128=G25)*(J$3:J$128&gt;J25)*(I$3:I$128="P"))+SUMPRODUCT((P$3:P$128&lt;&gt;"")*(G$3:G$128=G25)*(I$3:I$128="P"))+1,IF(N25&lt;&gt;"",SUMPRODUCT((N$3:N$128&lt;&gt;"")*(G$3:G$128=G25)*(J$3:J$128&gt;J25)*(I$3:I$128="P"))+1,IF(M25="P",SUMPRODUCT((O$3:O$128&lt;&gt;"")*(P$3:P$128="")*(G$3:G$128=G25)*(I$3:I$128="P"))+SUMPRODUCT((P$3:P$128&lt;&gt;"")*(G$3:G$128=G25)*(I$3:I$128="P"))+SUMPRODUCT((N$3:N$128&lt;&gt;"")*(G$3:G$128=G25)*(I$3:I$128="P"))+SUMPRODUCT((P$3:P$128="")*(O$3:O$128="")*(N$3:N$128="")*(M$3:M$128="P")*(G$3:G$128=G25)*(J$3:J$128&gt;J25)*(I$3:I$128="P"))+IF(H25="L5",SUMPRODUCT((P$3:P$128="")*(O$3:O$128="")*(N$3:N$128="")*(M$3:M$128="P")*(G$3:G$128=G25)*(J$3:J$128&lt;J25)*(H$3:H$128&lt;&gt;H25)*(I$3:I$128="P")),-1*SUMPRODUCT((P$3:P$128="")*(O$3:O$128="")*(N$3:N$128="")*(M$3:M$128="P")*(G$3:G$128=G25)*(J$3:J$128&gt;J25)*(H$3:H$128="L5")*(I$3:I$128="P")))+1,"")))))</f>
        <v/>
      </c>
      <c r="B25" s="1" t="str" cm="1">
        <f t="array" ref="B25">IF(P25&lt;&gt;"",SUMPRODUCT((P$3:P$128&lt;&gt;"")*(G$3:G$128=G25)*(J$3:J$128&gt;J25))+1,IF(O25&lt;&gt;"",SUMPRODUCT((O$3:O$128&lt;&gt;"")*(P$3:P$128="")*(G$3:G$128=G25)*(J$3:J$128&gt;J25))+SUMPRODUCT((P$3:P$128&lt;&gt;"")*(G$3:G$128=G25))+1,IF(N25&lt;&gt;"",SUMPRODUCT((N$3:N$128&lt;&gt;"")*(G$3:G$128=G25)*(J$3:J$128&gt;J25))+1,IF(M25="P",SUMPRODUCT((O$3:O$128&lt;&gt;"")*(P$3:P$128="")*(G$3:G$128=G25))+SUMPRODUCT((P$3:P$128&lt;&gt;"")*(G$3:G$128=G25))+SUMPRODUCT((N$3:N$128&lt;&gt;"")*(G$3:G$128=G25))+SUMPRODUCT((P$3:P$128="")*(O$3:O$128="")*(N$3:N$128="")*(M$3:M$128="P")*(G$3:G$128=G25)*(J$3:J$128&gt;J25))+IF(H25="L5",SUMPRODUCT((P$3:P$128="")*(O$3:O$128="")*(N$3:N$128="")*(M$3:M$128="P")*(G$3:G$128=G25)*(J$3:J$128&lt;J25)*(H$3:H$128&lt;&gt;H25)),-1*SUMPRODUCT((P$3:P$128="")*(O$3:O$128="")*(N$3:N$128="")*(M$3:M$128="P")*(G$3:G$128=G25)*(J$3:J$128&gt;J25)*(H$3:H$128="L5")))+1,""))))</f>
        <v/>
      </c>
      <c r="C25" s="36" t="s">
        <v>290</v>
      </c>
      <c r="D25" s="36" t="str">
        <f>IF(E25="","",VLOOKUP(E25,'Coaching Points'!A:B,2,0))</f>
        <v>BC</v>
      </c>
      <c r="E25" s="36" t="s">
        <v>42</v>
      </c>
      <c r="F25" s="35">
        <v>2001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1.0404900000000001E-4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Scores'!C$13,T25,0),IF(W25&gt;='Qualifying Scores'!C$13,V25,0),IF(Z25&gt;='Qualifying Scores'!C$13,Y25,0),IF(AB25&gt;='Qualifying Scores'!C$13,AA25,0),IF(AD25&gt;'Qualifying Scores'!C$13,AC25,0),IF(AG25&gt;'Qualifying Scores'!C$13,AF25,0)),MAX(IF(OR(AND(G25="15-16",W25&gt;='Qualifying Scores'!C$12),AND(G25="13-14",W25&gt;='Qualifying Scores'!C$11),AND(G25="11-12",W25&gt;='Qualifying Scores'!C$10)),X25,0),IF(OR(AND(G25="15-16",AD25&gt;='Qualifying Scores'!C$12),AND(G25="13-14",AD25&gt;='Qualifying Scores'!C$11),AND(G25="11-12",AD25&gt;='Qualifying Scores'!C$10)),AE25,0))))</f>
        <v>0</v>
      </c>
      <c r="S25" s="4">
        <f>IF(G25="17-21",MAX(T25,V25,Y25,AA25,AC25,AF25),MAX(X25,AE25))</f>
        <v>46.25</v>
      </c>
      <c r="T25" s="33">
        <v>40.78</v>
      </c>
      <c r="U25" s="40">
        <v>2.1</v>
      </c>
      <c r="V25" s="34">
        <v>46.25</v>
      </c>
      <c r="W25" s="40">
        <v>9.6</v>
      </c>
      <c r="X25" s="4">
        <f>IF(H25="Senior",MAX(T25,V25),T25+V25)</f>
        <v>87.03</v>
      </c>
      <c r="Y25" s="34">
        <v>13.5</v>
      </c>
      <c r="Z25" s="40">
        <v>3.3</v>
      </c>
      <c r="AA25" s="33">
        <v>40.49</v>
      </c>
      <c r="AB25" s="40">
        <v>2.1</v>
      </c>
      <c r="AC25" s="34">
        <v>19.09</v>
      </c>
      <c r="AD25" s="40">
        <v>4.5</v>
      </c>
      <c r="AE25" s="4">
        <f>IF(H25="Senior",MAX(AA25,AC25),AA25+AC25)</f>
        <v>59.58</v>
      </c>
      <c r="AF25" s="34"/>
      <c r="AG25" s="37"/>
    </row>
    <row r="26" spans="1:33" x14ac:dyDescent="0.2">
      <c r="A26" s="1" t="str" cm="1">
        <f t="array" ref="A26">IF(I26="","",IF(P26&lt;&gt;"",SUMPRODUCT((P$3:P$128&lt;&gt;"")*(G$3:G$128=G26)*(J$3:J$128&gt;J26)*(I$3:I$128="P"))+1,IF(O26&lt;&gt;"",SUMPRODUCT((O$3:O$128&lt;&gt;"")*(P$3:P$128="")*(G$3:G$128=G26)*(J$3:J$128&gt;J26)*(I$3:I$128="P"))+SUMPRODUCT((P$3:P$128&lt;&gt;"")*(G$3:G$128=G26)*(I$3:I$128="P"))+1,IF(N26&lt;&gt;"",SUMPRODUCT((N$3:N$128&lt;&gt;"")*(G$3:G$128=G26)*(J$3:J$128&gt;J26)*(I$3:I$128="P"))+1,IF(M26="P",SUMPRODUCT((O$3:O$128&lt;&gt;"")*(P$3:P$128="")*(G$3:G$128=G26)*(I$3:I$128="P"))+SUMPRODUCT((P$3:P$128&lt;&gt;"")*(G$3:G$128=G26)*(I$3:I$128="P"))+SUMPRODUCT((N$3:N$128&lt;&gt;"")*(G$3:G$128=G26)*(I$3:I$128="P"))+SUMPRODUCT((P$3:P$128="")*(O$3:O$128="")*(N$3:N$128="")*(M$3:M$128="P")*(G$3:G$128=G26)*(J$3:J$128&gt;J26)*(I$3:I$128="P"))+IF(H26="L5",SUMPRODUCT((P$3:P$128="")*(O$3:O$128="")*(N$3:N$128="")*(M$3:M$128="P")*(G$3:G$128=G26)*(J$3:J$128&lt;J26)*(H$3:H$128&lt;&gt;H26)*(I$3:I$128="P")),-1*SUMPRODUCT((P$3:P$128="")*(O$3:O$128="")*(N$3:N$128="")*(M$3:M$128="P")*(G$3:G$128=G26)*(J$3:J$128&gt;J26)*(H$3:H$128="L5")*(I$3:I$128="P")))+1,"")))))</f>
        <v/>
      </c>
      <c r="B26" s="1" t="str" cm="1">
        <f t="array" ref="B26">IF(P26&lt;&gt;"",SUMPRODUCT((P$3:P$128&lt;&gt;"")*(G$3:G$128=G26)*(J$3:J$128&gt;J26))+1,IF(O26&lt;&gt;"",SUMPRODUCT((O$3:O$128&lt;&gt;"")*(P$3:P$128="")*(G$3:G$128=G26)*(J$3:J$128&gt;J26))+SUMPRODUCT((P$3:P$128&lt;&gt;"")*(G$3:G$128=G26))+1,IF(N26&lt;&gt;"",SUMPRODUCT((N$3:N$128&lt;&gt;"")*(G$3:G$128=G26)*(J$3:J$128&gt;J26))+1,IF(M26="P",SUMPRODUCT((O$3:O$128&lt;&gt;"")*(P$3:P$128="")*(G$3:G$128=G26))+SUMPRODUCT((P$3:P$128&lt;&gt;"")*(G$3:G$128=G26))+SUMPRODUCT((N$3:N$128&lt;&gt;"")*(G$3:G$128=G26))+SUMPRODUCT((P$3:P$128="")*(O$3:O$128="")*(N$3:N$128="")*(M$3:M$128="P")*(G$3:G$128=G26)*(J$3:J$128&gt;J26))+IF(H26="L5",SUMPRODUCT((P$3:P$128="")*(O$3:O$128="")*(N$3:N$128="")*(M$3:M$128="P")*(G$3:G$128=G26)*(J$3:J$128&lt;J26)*(H$3:H$128&lt;&gt;H26)),-1*SUMPRODUCT((P$3:P$128="")*(O$3:O$128="")*(N$3:N$128="")*(M$3:M$128="P")*(G$3:G$128=G26)*(J$3:J$128&gt;J26)*(H$3:H$128="L5")))+1,""))))</f>
        <v/>
      </c>
      <c r="C26" s="36" t="s">
        <v>457</v>
      </c>
      <c r="D26" s="36" t="str">
        <f>IF(E26="","",VLOOKUP(E26,'Coaching Points'!A:B,2,0))</f>
        <v>BC</v>
      </c>
      <c r="E26" s="36" t="s">
        <v>37</v>
      </c>
      <c r="F26" s="35">
        <v>2002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1.04034E-4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Scores'!C$13,T26,0),IF(W26&gt;='Qualifying Scores'!C$13,V26,0),IF(Z26&gt;='Qualifying Scores'!C$13,Y26,0),IF(AB26&gt;='Qualifying Scores'!C$13,AA26,0),IF(AD26&gt;'Qualifying Scores'!C$13,AC26,0),IF(AG26&gt;'Qualifying Scores'!C$13,AF26,0)),MAX(IF(OR(AND(G26="15-16",W26&gt;='Qualifying Scores'!C$12),AND(G26="13-14",W26&gt;='Qualifying Scores'!C$11),AND(G26="11-12",W26&gt;='Qualifying Scores'!C$10)),X26,0),IF(OR(AND(G26="15-16",AD26&gt;='Qualifying Scores'!C$12),AND(G26="13-14",AD26&gt;='Qualifying Scores'!C$11),AND(G26="11-12",AD26&gt;='Qualifying Scores'!C$10)),AE26,0))))</f>
        <v>0</v>
      </c>
      <c r="S26" s="4">
        <f>IF(G26="17-21",MAX(T26,V26,Y26,AA26,AC26,AF26),MAX(X26,AE26))</f>
        <v>40.340000000000003</v>
      </c>
      <c r="T26" s="33"/>
      <c r="U26" s="40"/>
      <c r="V26" s="34"/>
      <c r="W26" s="40"/>
      <c r="X26" s="4">
        <f>IF(H26="Senior",MAX(T26,V26),T26+V26)</f>
        <v>0</v>
      </c>
      <c r="Y26" s="34"/>
      <c r="Z26" s="40"/>
      <c r="AA26" s="33">
        <v>40.340000000000003</v>
      </c>
      <c r="AB26" s="40">
        <v>2</v>
      </c>
      <c r="AC26" s="34">
        <v>22.880000000000003</v>
      </c>
      <c r="AD26" s="40">
        <v>5.4</v>
      </c>
      <c r="AE26" s="4">
        <f>IF(H26="Senior",MAX(AA26,AC26),AA26+AC26)</f>
        <v>63.220000000000006</v>
      </c>
      <c r="AF26" s="34"/>
      <c r="AG26" s="37"/>
    </row>
    <row r="27" spans="1:33" x14ac:dyDescent="0.2">
      <c r="A27" s="1" t="str" cm="1">
        <f t="array" ref="A27">IF(I27="","",IF(P27&lt;&gt;"",SUMPRODUCT((P$3:P$128&lt;&gt;"")*(G$3:G$128=G27)*(J$3:J$128&gt;J27)*(I$3:I$128="P"))+1,IF(O27&lt;&gt;"",SUMPRODUCT((O$3:O$128&lt;&gt;"")*(P$3:P$128="")*(G$3:G$128=G27)*(J$3:J$128&gt;J27)*(I$3:I$128="P"))+SUMPRODUCT((P$3:P$128&lt;&gt;"")*(G$3:G$128=G27)*(I$3:I$128="P"))+1,IF(N27&lt;&gt;"",SUMPRODUCT((N$3:N$128&lt;&gt;"")*(G$3:G$128=G27)*(J$3:J$128&gt;J27)*(I$3:I$128="P"))+1,IF(M27="P",SUMPRODUCT((O$3:O$128&lt;&gt;"")*(P$3:P$128="")*(G$3:G$128=G27)*(I$3:I$128="P"))+SUMPRODUCT((P$3:P$128&lt;&gt;"")*(G$3:G$128=G27)*(I$3:I$128="P"))+SUMPRODUCT((N$3:N$128&lt;&gt;"")*(G$3:G$128=G27)*(I$3:I$128="P"))+SUMPRODUCT((P$3:P$128="")*(O$3:O$128="")*(N$3:N$128="")*(M$3:M$128="P")*(G$3:G$128=G27)*(J$3:J$128&gt;J27)*(I$3:I$128="P"))+IF(H27="L5",SUMPRODUCT((P$3:P$128="")*(O$3:O$128="")*(N$3:N$128="")*(M$3:M$128="P")*(G$3:G$128=G27)*(J$3:J$128&lt;J27)*(H$3:H$128&lt;&gt;H27)*(I$3:I$128="P")),-1*SUMPRODUCT((P$3:P$128="")*(O$3:O$128="")*(N$3:N$128="")*(M$3:M$128="P")*(G$3:G$128=G27)*(J$3:J$128&gt;J27)*(H$3:H$128="L5")*(I$3:I$128="P")))+1,"")))))</f>
        <v/>
      </c>
      <c r="B27" s="1" t="str" cm="1">
        <f t="array" ref="B27">IF(P27&lt;&gt;"",SUMPRODUCT((P$3:P$128&lt;&gt;"")*(G$3:G$128=G27)*(J$3:J$128&gt;J27))+1,IF(O27&lt;&gt;"",SUMPRODUCT((O$3:O$128&lt;&gt;"")*(P$3:P$128="")*(G$3:G$128=G27)*(J$3:J$128&gt;J27))+SUMPRODUCT((P$3:P$128&lt;&gt;"")*(G$3:G$128=G27))+1,IF(N27&lt;&gt;"",SUMPRODUCT((N$3:N$128&lt;&gt;"")*(G$3:G$128=G27)*(J$3:J$128&gt;J27))+1,IF(M27="P",SUMPRODUCT((O$3:O$128&lt;&gt;"")*(P$3:P$128="")*(G$3:G$128=G27))+SUMPRODUCT((P$3:P$128&lt;&gt;"")*(G$3:G$128=G27))+SUMPRODUCT((N$3:N$128&lt;&gt;"")*(G$3:G$128=G27))+SUMPRODUCT((P$3:P$128="")*(O$3:O$128="")*(N$3:N$128="")*(M$3:M$128="P")*(G$3:G$128=G27)*(J$3:J$128&gt;J27))+IF(H27="L5",SUMPRODUCT((P$3:P$128="")*(O$3:O$128="")*(N$3:N$128="")*(M$3:M$128="P")*(G$3:G$128=G27)*(J$3:J$128&lt;J27)*(H$3:H$128&lt;&gt;H27)),-1*SUMPRODUCT((P$3:P$128="")*(O$3:O$128="")*(N$3:N$128="")*(M$3:M$128="P")*(G$3:G$128=G27)*(J$3:J$128&gt;J27)*(H$3:H$128="L5")))+1,""))))</f>
        <v/>
      </c>
      <c r="C27" s="36" t="s">
        <v>291</v>
      </c>
      <c r="D27" s="36" t="str">
        <f>IF(E27="","",VLOOKUP(E27,'Coaching Points'!A:B,2,0))</f>
        <v>BC</v>
      </c>
      <c r="E27" s="36" t="s">
        <v>37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1.0391400000000001E-4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Scores'!C$13,T27,0),IF(W27&gt;='Qualifying Scores'!C$13,V27,0),IF(Z27&gt;='Qualifying Scores'!C$13,Y27,0),IF(AB27&gt;='Qualifying Scores'!C$13,AA27,0),IF(AD27&gt;'Qualifying Scores'!C$13,AC27,0),IF(AG27&gt;'Qualifying Scores'!C$13,AF27,0)),MAX(IF(OR(AND(G27="15-16",W27&gt;='Qualifying Scores'!C$12),AND(G27="13-14",W27&gt;='Qualifying Scores'!C$11),AND(G27="11-12",W27&gt;='Qualifying Scores'!C$10)),X27,0),IF(OR(AND(G27="15-16",AD27&gt;='Qualifying Scores'!C$12),AND(G27="13-14",AD27&gt;='Qualifying Scores'!C$11),AND(G27="11-12",AD27&gt;='Qualifying Scores'!C$10)),AE27,0))))</f>
        <v>0</v>
      </c>
      <c r="S27" s="4">
        <f>IF(G27="17-21",MAX(T27,V27,Y27,AA27,AC27,AF27),MAX(X27,AE27))</f>
        <v>45.39</v>
      </c>
      <c r="T27" s="33">
        <v>41.629999999999995</v>
      </c>
      <c r="U27" s="40">
        <v>1.4</v>
      </c>
      <c r="V27" s="34">
        <v>45.39</v>
      </c>
      <c r="W27" s="40">
        <v>8.1999999999999993</v>
      </c>
      <c r="X27" s="4">
        <f>IF(H27="Senior",MAX(T27,V27),T27+V27)</f>
        <v>87.02</v>
      </c>
      <c r="Y27" s="34">
        <v>9.7600000000000016</v>
      </c>
      <c r="Z27" s="40">
        <v>1.8</v>
      </c>
      <c r="AA27" s="33">
        <v>39.14</v>
      </c>
      <c r="AB27" s="40">
        <v>1.4</v>
      </c>
      <c r="AC27" s="34">
        <v>28.32</v>
      </c>
      <c r="AD27" s="40">
        <v>5.9</v>
      </c>
      <c r="AE27" s="4">
        <f>IF(H27="Senior",MAX(AA27,AC27),AA27+AC27)</f>
        <v>67.460000000000008</v>
      </c>
      <c r="AF27" s="34"/>
      <c r="AG27" s="37"/>
    </row>
    <row r="28" spans="1:33" x14ac:dyDescent="0.2">
      <c r="A28" s="1" t="str" cm="1">
        <f t="array" ref="A28">IF(I28="","",IF(P28&lt;&gt;"",SUMPRODUCT((P$3:P$128&lt;&gt;"")*(G$3:G$128=G28)*(J$3:J$128&gt;J28)*(I$3:I$128="P"))+1,IF(O28&lt;&gt;"",SUMPRODUCT((O$3:O$128&lt;&gt;"")*(P$3:P$128="")*(G$3:G$128=G28)*(J$3:J$128&gt;J28)*(I$3:I$128="P"))+SUMPRODUCT((P$3:P$128&lt;&gt;"")*(G$3:G$128=G28)*(I$3:I$128="P"))+1,IF(N28&lt;&gt;"",SUMPRODUCT((N$3:N$128&lt;&gt;"")*(G$3:G$128=G28)*(J$3:J$128&gt;J28)*(I$3:I$128="P"))+1,IF(M28="P",SUMPRODUCT((O$3:O$128&lt;&gt;"")*(P$3:P$128="")*(G$3:G$128=G28)*(I$3:I$128="P"))+SUMPRODUCT((P$3:P$128&lt;&gt;"")*(G$3:G$128=G28)*(I$3:I$128="P"))+SUMPRODUCT((N$3:N$128&lt;&gt;"")*(G$3:G$128=G28)*(I$3:I$128="P"))+SUMPRODUCT((P$3:P$128="")*(O$3:O$128="")*(N$3:N$128="")*(M$3:M$128="P")*(G$3:G$128=G28)*(J$3:J$128&gt;J28)*(I$3:I$128="P"))+IF(H28="L5",SUMPRODUCT((P$3:P$128="")*(O$3:O$128="")*(N$3:N$128="")*(M$3:M$128="P")*(G$3:G$128=G28)*(J$3:J$128&lt;J28)*(H$3:H$128&lt;&gt;H28)*(I$3:I$128="P")),-1*SUMPRODUCT((P$3:P$128="")*(O$3:O$128="")*(N$3:N$128="")*(M$3:M$128="P")*(G$3:G$128=G28)*(J$3:J$128&gt;J28)*(H$3:H$128="L5")*(I$3:I$128="P")))+1,"")))))</f>
        <v/>
      </c>
      <c r="B28" s="1" t="str" cm="1">
        <f t="array" ref="B28">IF(P28&lt;&gt;"",SUMPRODUCT((P$3:P$128&lt;&gt;"")*(G$3:G$128=G28)*(J$3:J$128&gt;J28))+1,IF(O28&lt;&gt;"",SUMPRODUCT((O$3:O$128&lt;&gt;"")*(P$3:P$128="")*(G$3:G$128=G28)*(J$3:J$128&gt;J28))+SUMPRODUCT((P$3:P$128&lt;&gt;"")*(G$3:G$128=G28))+1,IF(N28&lt;&gt;"",SUMPRODUCT((N$3:N$128&lt;&gt;"")*(G$3:G$128=G28)*(J$3:J$128&gt;J28))+1,IF(M28="P",SUMPRODUCT((O$3:O$128&lt;&gt;"")*(P$3:P$128="")*(G$3:G$128=G28))+SUMPRODUCT((P$3:P$128&lt;&gt;"")*(G$3:G$128=G28))+SUMPRODUCT((N$3:N$128&lt;&gt;"")*(G$3:G$128=G28))+SUMPRODUCT((P$3:P$128="")*(O$3:O$128="")*(N$3:N$128="")*(M$3:M$128="P")*(G$3:G$128=G28)*(J$3:J$128&gt;J28))+IF(H28="L5",SUMPRODUCT((P$3:P$128="")*(O$3:O$128="")*(N$3:N$128="")*(M$3:M$128="P")*(G$3:G$128=G28)*(J$3:J$128&lt;J28)*(H$3:H$128&lt;&gt;H28)),-1*SUMPRODUCT((P$3:P$128="")*(O$3:O$128="")*(N$3:N$128="")*(M$3:M$128="P")*(G$3:G$128=G28)*(J$3:J$128&gt;J28)*(H$3:H$128="L5")))+1,""))))</f>
        <v/>
      </c>
      <c r="C28" s="36" t="s">
        <v>455</v>
      </c>
      <c r="D28" s="36" t="str">
        <f>IF(E28="","",VLOOKUP(E28,'Coaching Points'!A:B,2,0))</f>
        <v>ON</v>
      </c>
      <c r="E28" s="36" t="s">
        <v>224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1.03848E-4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Scores'!C$13,T28,0),IF(W28&gt;='Qualifying Scores'!C$13,V28,0),IF(Z28&gt;='Qualifying Scores'!C$13,Y28,0),IF(AB28&gt;='Qualifying Scores'!C$13,AA28,0),IF(AD28&gt;'Qualifying Scores'!C$13,AC28,0),IF(AG28&gt;'Qualifying Scores'!C$13,AF28,0)),MAX(IF(OR(AND(G28="15-16",W28&gt;='Qualifying Scores'!C$12),AND(G28="13-14",W28&gt;='Qualifying Scores'!C$11),AND(G28="11-12",W28&gt;='Qualifying Scores'!C$10)),X28,0),IF(OR(AND(G28="15-16",AD28&gt;='Qualifying Scores'!C$12),AND(G28="13-14",AD28&gt;='Qualifying Scores'!C$11),AND(G28="11-12",AD28&gt;='Qualifying Scores'!C$10)),AE28,0))))</f>
        <v>0</v>
      </c>
      <c r="S28" s="4">
        <f>IF(G28="17-21",MAX(T28,V28,Y28,AA28,AC28,AF28),MAX(X28,AE28))</f>
        <v>38.479999999999997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38.479999999999997</v>
      </c>
      <c r="AB28" s="40">
        <v>1.5</v>
      </c>
      <c r="AC28" s="34">
        <v>8.74</v>
      </c>
      <c r="AD28" s="40">
        <v>2</v>
      </c>
      <c r="AE28" s="4">
        <f>IF(H28="Senior",MAX(AA28,AC28),AA28+AC28)</f>
        <v>47.22</v>
      </c>
      <c r="AF28" s="34"/>
      <c r="AG28" s="37"/>
    </row>
    <row r="29" spans="1:33" x14ac:dyDescent="0.2">
      <c r="A29" s="1" t="str" cm="1">
        <f t="array" ref="A29">IF(I29="","",IF(P29&lt;&gt;"",SUMPRODUCT((P$3:P$128&lt;&gt;"")*(G$3:G$128=G29)*(J$3:J$128&gt;J29)*(I$3:I$128="P"))+1,IF(O29&lt;&gt;"",SUMPRODUCT((O$3:O$128&lt;&gt;"")*(P$3:P$128="")*(G$3:G$128=G29)*(J$3:J$128&gt;J29)*(I$3:I$128="P"))+SUMPRODUCT((P$3:P$128&lt;&gt;"")*(G$3:G$128=G29)*(I$3:I$128="P"))+1,IF(N29&lt;&gt;"",SUMPRODUCT((N$3:N$128&lt;&gt;"")*(G$3:G$128=G29)*(J$3:J$128&gt;J29)*(I$3:I$128="P"))+1,IF(M29="P",SUMPRODUCT((O$3:O$128&lt;&gt;"")*(P$3:P$128="")*(G$3:G$128=G29)*(I$3:I$128="P"))+SUMPRODUCT((P$3:P$128&lt;&gt;"")*(G$3:G$128=G29)*(I$3:I$128="P"))+SUMPRODUCT((N$3:N$128&lt;&gt;"")*(G$3:G$128=G29)*(I$3:I$128="P"))+SUMPRODUCT((P$3:P$128="")*(O$3:O$128="")*(N$3:N$128="")*(M$3:M$128="P")*(G$3:G$128=G29)*(J$3:J$128&gt;J29)*(I$3:I$128="P"))+IF(H29="L5",SUMPRODUCT((P$3:P$128="")*(O$3:O$128="")*(N$3:N$128="")*(M$3:M$128="P")*(G$3:G$128=G29)*(J$3:J$128&lt;J29)*(H$3:H$128&lt;&gt;H29)*(I$3:I$128="P")),-1*SUMPRODUCT((P$3:P$128="")*(O$3:O$128="")*(N$3:N$128="")*(M$3:M$128="P")*(G$3:G$128=G29)*(J$3:J$128&gt;J29)*(H$3:H$128="L5")*(I$3:I$128="P")))+1,"")))))</f>
        <v/>
      </c>
      <c r="B29" s="1" t="str" cm="1">
        <f t="array" ref="B29">IF(P29&lt;&gt;"",SUMPRODUCT((P$3:P$128&lt;&gt;"")*(G$3:G$128=G29)*(J$3:J$128&gt;J29))+1,IF(O29&lt;&gt;"",SUMPRODUCT((O$3:O$128&lt;&gt;"")*(P$3:P$128="")*(G$3:G$128=G29)*(J$3:J$128&gt;J29))+SUMPRODUCT((P$3:P$128&lt;&gt;"")*(G$3:G$128=G29))+1,IF(N29&lt;&gt;"",SUMPRODUCT((N$3:N$128&lt;&gt;"")*(G$3:G$128=G29)*(J$3:J$128&gt;J29))+1,IF(M29="P",SUMPRODUCT((O$3:O$128&lt;&gt;"")*(P$3:P$128="")*(G$3:G$128=G29))+SUMPRODUCT((P$3:P$128&lt;&gt;"")*(G$3:G$128=G29))+SUMPRODUCT((N$3:N$128&lt;&gt;"")*(G$3:G$128=G29))+SUMPRODUCT((P$3:P$128="")*(O$3:O$128="")*(N$3:N$128="")*(M$3:M$128="P")*(G$3:G$128=G29)*(J$3:J$128&gt;J29))+IF(H29="L5",SUMPRODUCT((P$3:P$128="")*(O$3:O$128="")*(N$3:N$128="")*(M$3:M$128="P")*(G$3:G$128=G29)*(J$3:J$128&lt;J29)*(H$3:H$128&lt;&gt;H29)),-1*SUMPRODUCT((P$3:P$128="")*(O$3:O$128="")*(N$3:N$128="")*(M$3:M$128="P")*(G$3:G$128=G29)*(J$3:J$128&gt;J29)*(H$3:H$128="L5")))+1,""))))</f>
        <v/>
      </c>
      <c r="C29" s="36" t="s">
        <v>271</v>
      </c>
      <c r="D29" s="36" t="str">
        <f>IF(E29="","",VLOOKUP(E29,'Coaching Points'!A:B,2,0))</f>
        <v>AB</v>
      </c>
      <c r="E29" s="36" t="s">
        <v>29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1.03831E-4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Scores'!C$13,T29,0),IF(W29&gt;='Qualifying Scores'!C$13,V29,0),IF(Z29&gt;='Qualifying Scores'!C$13,Y29,0),IF(AB29&gt;='Qualifying Scores'!C$13,AA29,0),IF(AD29&gt;'Qualifying Scores'!C$13,AC29,0),IF(AG29&gt;'Qualifying Scores'!C$13,AF29,0)),MAX(IF(OR(AND(G29="15-16",W29&gt;='Qualifying Scores'!C$12),AND(G29="13-14",W29&gt;='Qualifying Scores'!C$11),AND(G29="11-12",W29&gt;='Qualifying Scores'!C$10)),X29,0),IF(OR(AND(G29="15-16",AD29&gt;='Qualifying Scores'!C$12),AND(G29="13-14",AD29&gt;='Qualifying Scores'!C$11),AND(G29="11-12",AD29&gt;='Qualifying Scores'!C$10)),AE29,0))))</f>
        <v>0</v>
      </c>
      <c r="S29" s="4">
        <f>IF(G29="17-21",MAX(T29,V29,Y29,AA29,AC29,AF29),MAX(X29,AE29))</f>
        <v>38.82</v>
      </c>
      <c r="T29" s="33">
        <v>38.82</v>
      </c>
      <c r="U29" s="40">
        <v>0</v>
      </c>
      <c r="V29" s="34">
        <v>37.620000000000005</v>
      </c>
      <c r="W29" s="40">
        <v>6.6999999999999993</v>
      </c>
      <c r="X29" s="4">
        <f>IF(H29="Senior",MAX(T29,V29),T29+V29)</f>
        <v>76.44</v>
      </c>
      <c r="Y29" s="34">
        <v>0</v>
      </c>
      <c r="Z29" s="40">
        <v>0</v>
      </c>
      <c r="AA29" s="33">
        <v>38.31</v>
      </c>
      <c r="AB29" s="40">
        <v>1.1000000000000001</v>
      </c>
      <c r="AC29" s="34">
        <v>9.41</v>
      </c>
      <c r="AD29" s="40">
        <v>2.2999999999999998</v>
      </c>
      <c r="AE29" s="4">
        <f>IF(H29="Senior",MAX(AA29,AC29),AA29+AC29)</f>
        <v>47.72</v>
      </c>
      <c r="AF29" s="34"/>
      <c r="AG29" s="37"/>
    </row>
    <row r="30" spans="1:33" x14ac:dyDescent="0.2">
      <c r="A30" s="1" t="str" cm="1">
        <f t="array" ref="A30">IF(I30="","",IF(P30&lt;&gt;"",SUMPRODUCT((P$3:P$128&lt;&gt;"")*(G$3:G$128=G30)*(J$3:J$128&gt;J30)*(I$3:I$128="P"))+1,IF(O30&lt;&gt;"",SUMPRODUCT((O$3:O$128&lt;&gt;"")*(P$3:P$128="")*(G$3:G$128=G30)*(J$3:J$128&gt;J30)*(I$3:I$128="P"))+SUMPRODUCT((P$3:P$128&lt;&gt;"")*(G$3:G$128=G30)*(I$3:I$128="P"))+1,IF(N30&lt;&gt;"",SUMPRODUCT((N$3:N$128&lt;&gt;"")*(G$3:G$128=G30)*(J$3:J$128&gt;J30)*(I$3:I$128="P"))+1,IF(M30="P",SUMPRODUCT((O$3:O$128&lt;&gt;"")*(P$3:P$128="")*(G$3:G$128=G30)*(I$3:I$128="P"))+SUMPRODUCT((P$3:P$128&lt;&gt;"")*(G$3:G$128=G30)*(I$3:I$128="P"))+SUMPRODUCT((N$3:N$128&lt;&gt;"")*(G$3:G$128=G30)*(I$3:I$128="P"))+SUMPRODUCT((P$3:P$128="")*(O$3:O$128="")*(N$3:N$128="")*(M$3:M$128="P")*(G$3:G$128=G30)*(J$3:J$128&gt;J30)*(I$3:I$128="P"))+IF(H30="L5",SUMPRODUCT((P$3:P$128="")*(O$3:O$128="")*(N$3:N$128="")*(M$3:M$128="P")*(G$3:G$128=G30)*(J$3:J$128&lt;J30)*(H$3:H$128&lt;&gt;H30)*(I$3:I$128="P")),-1*SUMPRODUCT((P$3:P$128="")*(O$3:O$128="")*(N$3:N$128="")*(M$3:M$128="P")*(G$3:G$128=G30)*(J$3:J$128&gt;J30)*(H$3:H$128="L5")*(I$3:I$128="P")))+1,"")))))</f>
        <v/>
      </c>
      <c r="B30" s="1" t="str" cm="1">
        <f t="array" ref="B30">IF(P30&lt;&gt;"",SUMPRODUCT((P$3:P$128&lt;&gt;"")*(G$3:G$128=G30)*(J$3:J$128&gt;J30))+1,IF(O30&lt;&gt;"",SUMPRODUCT((O$3:O$128&lt;&gt;"")*(P$3:P$128="")*(G$3:G$128=G30)*(J$3:J$128&gt;J30))+SUMPRODUCT((P$3:P$128&lt;&gt;"")*(G$3:G$128=G30))+1,IF(N30&lt;&gt;"",SUMPRODUCT((N$3:N$128&lt;&gt;"")*(G$3:G$128=G30)*(J$3:J$128&gt;J30))+1,IF(M30="P",SUMPRODUCT((O$3:O$128&lt;&gt;"")*(P$3:P$128="")*(G$3:G$128=G30))+SUMPRODUCT((P$3:P$128&lt;&gt;"")*(G$3:G$128=G30))+SUMPRODUCT((N$3:N$128&lt;&gt;"")*(G$3:G$128=G30))+SUMPRODUCT((P$3:P$128="")*(O$3:O$128="")*(N$3:N$128="")*(M$3:M$128="P")*(G$3:G$128=G30)*(J$3:J$128&gt;J30))+IF(H30="L5",SUMPRODUCT((P$3:P$128="")*(O$3:O$128="")*(N$3:N$128="")*(M$3:M$128="P")*(G$3:G$128=G30)*(J$3:J$128&lt;J30)*(H$3:H$128&lt;&gt;H30)),-1*SUMPRODUCT((P$3:P$128="")*(O$3:O$128="")*(N$3:N$128="")*(M$3:M$128="P")*(G$3:G$128=G30)*(J$3:J$128&gt;J30)*(H$3:H$128="L5")))+1,""))))</f>
        <v/>
      </c>
      <c r="C30" s="36" t="s">
        <v>254</v>
      </c>
      <c r="D30" s="36" t="str">
        <f>IF(E30="","",VLOOKUP(E30,'Coaching Points'!A:B,2,0))</f>
        <v>QC</v>
      </c>
      <c r="E30" s="36" t="s">
        <v>3</v>
      </c>
      <c r="F30" s="35">
        <v>2001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R30+IF(OR(H30="Junior",H30="Senior"),0.0002,IF(OR(H30="L7",H30="L6"),0.0001,0))+IF(G30="17-21",MAX(AA30,AC30,AF30),AE30)*0.0000001</f>
        <v>4.7469999999999996E-6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Scores'!C$13,T30,0),IF(W30&gt;='Qualifying Scores'!C$13,V30,0),IF(Z30&gt;='Qualifying Scores'!C$13,Y30,0),IF(AB30&gt;='Qualifying Scores'!C$13,AA30,0),IF(AD30&gt;'Qualifying Scores'!C$13,AC30,0),IF(AG30&gt;'Qualifying Scores'!C$13,AF30,0)),MAX(IF(OR(AND(G30="15-16",W30&gt;='Qualifying Scores'!C$12),AND(G30="13-14",W30&gt;='Qualifying Scores'!C$11),AND(G30="11-12",W30&gt;='Qualifying Scores'!C$10)),X30,0),IF(OR(AND(G30="15-16",AD30&gt;='Qualifying Scores'!C$12),AND(G30="13-14",AD30&gt;='Qualifying Scores'!C$11),AND(G30="11-12",AD30&gt;='Qualifying Scores'!C$10)),AE30,0))))</f>
        <v>0</v>
      </c>
      <c r="S30" s="4">
        <f>IF(G30="17-21",MAX(T30,V30,Y30,AA30,AC30,AF30),MAX(X30,AE30))</f>
        <v>47.47</v>
      </c>
      <c r="T30" s="33">
        <v>41.099999999999994</v>
      </c>
      <c r="U30" s="40">
        <v>0</v>
      </c>
      <c r="V30" s="34">
        <v>46.33</v>
      </c>
      <c r="W30" s="40">
        <v>7.6</v>
      </c>
      <c r="X30" s="4">
        <f>IF(H30="Senior",MAX(T30,V30),T30+V30)</f>
        <v>87.429999999999993</v>
      </c>
      <c r="Y30" s="34">
        <v>47.41</v>
      </c>
      <c r="Z30" s="40">
        <v>7.6</v>
      </c>
      <c r="AA30" s="33">
        <v>39.880000000000003</v>
      </c>
      <c r="AB30" s="40">
        <v>0</v>
      </c>
      <c r="AC30" s="34">
        <v>47.47</v>
      </c>
      <c r="AD30" s="40">
        <v>7.6</v>
      </c>
      <c r="AE30" s="4">
        <f>IF(H30="Senior",MAX(AA30,AC30),AA30+AC30)</f>
        <v>87.35</v>
      </c>
      <c r="AF30" s="34">
        <v>5.27</v>
      </c>
      <c r="AG30" s="37">
        <v>1.3</v>
      </c>
    </row>
    <row r="31" spans="1:33" x14ac:dyDescent="0.2">
      <c r="A31" s="1" t="str" cm="1">
        <f t="array" ref="A31">IF(I31="","",IF(P31&lt;&gt;"",SUMPRODUCT((P$3:P$128&lt;&gt;"")*(G$3:G$128=G31)*(J$3:J$128&gt;J31)*(I$3:I$128="P"))+1,IF(O31&lt;&gt;"",SUMPRODUCT((O$3:O$128&lt;&gt;"")*(P$3:P$128="")*(G$3:G$128=G31)*(J$3:J$128&gt;J31)*(I$3:I$128="P"))+SUMPRODUCT((P$3:P$128&lt;&gt;"")*(G$3:G$128=G31)*(I$3:I$128="P"))+1,IF(N31&lt;&gt;"",SUMPRODUCT((N$3:N$128&lt;&gt;"")*(G$3:G$128=G31)*(J$3:J$128&gt;J31)*(I$3:I$128="P"))+1,IF(M31="P",SUMPRODUCT((O$3:O$128&lt;&gt;"")*(P$3:P$128="")*(G$3:G$128=G31)*(I$3:I$128="P"))+SUMPRODUCT((P$3:P$128&lt;&gt;"")*(G$3:G$128=G31)*(I$3:I$128="P"))+SUMPRODUCT((N$3:N$128&lt;&gt;"")*(G$3:G$128=G31)*(I$3:I$128="P"))+SUMPRODUCT((P$3:P$128="")*(O$3:O$128="")*(N$3:N$128="")*(M$3:M$128="P")*(G$3:G$128=G31)*(J$3:J$128&gt;J31)*(I$3:I$128="P"))+IF(H31="L5",SUMPRODUCT((P$3:P$128="")*(O$3:O$128="")*(N$3:N$128="")*(M$3:M$128="P")*(G$3:G$128=G31)*(J$3:J$128&lt;J31)*(H$3:H$128&lt;&gt;H31)*(I$3:I$128="P")),-1*SUMPRODUCT((P$3:P$128="")*(O$3:O$128="")*(N$3:N$128="")*(M$3:M$128="P")*(G$3:G$128=G31)*(J$3:J$128&gt;J31)*(H$3:H$128="L5")*(I$3:I$128="P")))+1,"")))))</f>
        <v/>
      </c>
      <c r="B31" s="1" t="str" cm="1">
        <f t="array" ref="B31">IF(P31&lt;&gt;"",SUMPRODUCT((P$3:P$128&lt;&gt;"")*(G$3:G$128=G31)*(J$3:J$128&gt;J31))+1,IF(O31&lt;&gt;"",SUMPRODUCT((O$3:O$128&lt;&gt;"")*(P$3:P$128="")*(G$3:G$128=G31)*(J$3:J$128&gt;J31))+SUMPRODUCT((P$3:P$128&lt;&gt;"")*(G$3:G$128=G31))+1,IF(N31&lt;&gt;"",SUMPRODUCT((N$3:N$128&lt;&gt;"")*(G$3:G$128=G31)*(J$3:J$128&gt;J31))+1,IF(M31="P",SUMPRODUCT((O$3:O$128&lt;&gt;"")*(P$3:P$128="")*(G$3:G$128=G31))+SUMPRODUCT((P$3:P$128&lt;&gt;"")*(G$3:G$128=G31))+SUMPRODUCT((N$3:N$128&lt;&gt;"")*(G$3:G$128=G31))+SUMPRODUCT((P$3:P$128="")*(O$3:O$128="")*(N$3:N$128="")*(M$3:M$128="P")*(G$3:G$128=G31)*(J$3:J$128&gt;J31))+IF(H31="L5",SUMPRODUCT((P$3:P$128="")*(O$3:O$128="")*(N$3:N$128="")*(M$3:M$128="P")*(G$3:G$128=G31)*(J$3:J$128&lt;J31)*(H$3:H$128&lt;&gt;H31)),-1*SUMPRODUCT((P$3:P$128="")*(O$3:O$128="")*(N$3:N$128="")*(M$3:M$128="P")*(G$3:G$128=G31)*(J$3:J$128&gt;J31)*(H$3:H$128="L5")))+1,""))))</f>
        <v/>
      </c>
      <c r="C31" s="36" t="s">
        <v>258</v>
      </c>
      <c r="D31" s="36" t="str">
        <f>IF(E31="","",VLOOKUP(E31,'Coaching Points'!A:B,2,0))</f>
        <v>QC</v>
      </c>
      <c r="E31" s="36" t="s">
        <v>3</v>
      </c>
      <c r="F31" s="35">
        <v>2002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R31+IF(OR(H31="Junior",H31="Senior"),0.0002,IF(OR(H31="L7",H31="L6"),0.0001,0))+IF(G31="17-21",MAX(AA31,AC31,AF31),AE31)*0.0000001</f>
        <v>4.7399999999999995E-6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Scores'!C$13,T31,0),IF(W31&gt;='Qualifying Scores'!C$13,V31,0),IF(Z31&gt;='Qualifying Scores'!C$13,Y31,0),IF(AB31&gt;='Qualifying Scores'!C$13,AA31,0),IF(AD31&gt;'Qualifying Scores'!C$13,AC31,0),IF(AG31&gt;'Qualifying Scores'!C$13,AF31,0)),MAX(IF(OR(AND(G31="15-16",W31&gt;='Qualifying Scores'!C$12),AND(G31="13-14",W31&gt;='Qualifying Scores'!C$11),AND(G31="11-12",W31&gt;='Qualifying Scores'!C$10)),X31,0),IF(OR(AND(G31="15-16",AD31&gt;='Qualifying Scores'!C$12),AND(G31="13-14",AD31&gt;='Qualifying Scores'!C$11),AND(G31="11-12",AD31&gt;='Qualifying Scores'!C$10)),AE31,0))))</f>
        <v>0</v>
      </c>
      <c r="S31" s="4">
        <f>IF(G31="17-21",MAX(T31,V31,Y31,AA31,AC31,AF31),MAX(X31,AE31))</f>
        <v>47.4</v>
      </c>
      <c r="T31" s="33">
        <v>38.980000000000004</v>
      </c>
      <c r="U31" s="40">
        <v>0</v>
      </c>
      <c r="V31" s="34">
        <v>46.545000000000002</v>
      </c>
      <c r="W31" s="40">
        <v>7.5</v>
      </c>
      <c r="X31" s="4">
        <f>IF(H31="Senior",MAX(T31,V31),T31+V31)</f>
        <v>85.525000000000006</v>
      </c>
      <c r="Y31" s="34">
        <v>46.230000000000004</v>
      </c>
      <c r="Z31" s="40">
        <v>7.5</v>
      </c>
      <c r="AA31" s="33">
        <v>38.369999999999997</v>
      </c>
      <c r="AB31" s="40">
        <v>0</v>
      </c>
      <c r="AC31" s="34">
        <v>46.25</v>
      </c>
      <c r="AD31" s="40">
        <v>7.5</v>
      </c>
      <c r="AE31" s="4">
        <f>IF(H31="Senior",MAX(AA31,AC31),AA31+AC31)</f>
        <v>84.62</v>
      </c>
      <c r="AF31" s="34">
        <v>47.4</v>
      </c>
      <c r="AG31" s="37">
        <v>7.5</v>
      </c>
    </row>
    <row r="32" spans="1:33" x14ac:dyDescent="0.2">
      <c r="A32" s="1" t="str" cm="1">
        <f t="array" ref="A32">IF(I32="","",IF(P32&lt;&gt;"",SUMPRODUCT((P$3:P$128&lt;&gt;"")*(G$3:G$128=G32)*(J$3:J$128&gt;J32)*(I$3:I$128="P"))+1,IF(O32&lt;&gt;"",SUMPRODUCT((O$3:O$128&lt;&gt;"")*(P$3:P$128="")*(G$3:G$128=G32)*(J$3:J$128&gt;J32)*(I$3:I$128="P"))+SUMPRODUCT((P$3:P$128&lt;&gt;"")*(G$3:G$128=G32)*(I$3:I$128="P"))+1,IF(N32&lt;&gt;"",SUMPRODUCT((N$3:N$128&lt;&gt;"")*(G$3:G$128=G32)*(J$3:J$128&gt;J32)*(I$3:I$128="P"))+1,IF(M32="P",SUMPRODUCT((O$3:O$128&lt;&gt;"")*(P$3:P$128="")*(G$3:G$128=G32)*(I$3:I$128="P"))+SUMPRODUCT((P$3:P$128&lt;&gt;"")*(G$3:G$128=G32)*(I$3:I$128="P"))+SUMPRODUCT((N$3:N$128&lt;&gt;"")*(G$3:G$128=G32)*(I$3:I$128="P"))+SUMPRODUCT((P$3:P$128="")*(O$3:O$128="")*(N$3:N$128="")*(M$3:M$128="P")*(G$3:G$128=G32)*(J$3:J$128&gt;J32)*(I$3:I$128="P"))+IF(H32="L5",SUMPRODUCT((P$3:P$128="")*(O$3:O$128="")*(N$3:N$128="")*(M$3:M$128="P")*(G$3:G$128=G32)*(J$3:J$128&lt;J32)*(H$3:H$128&lt;&gt;H32)*(I$3:I$128="P")),-1*SUMPRODUCT((P$3:P$128="")*(O$3:O$128="")*(N$3:N$128="")*(M$3:M$128="P")*(G$3:G$128=G32)*(J$3:J$128&gt;J32)*(H$3:H$128="L5")*(I$3:I$128="P")))+1,"")))))</f>
        <v/>
      </c>
      <c r="B32" s="1" t="str" cm="1">
        <f t="array" ref="B32">IF(P32&lt;&gt;"",SUMPRODUCT((P$3:P$128&lt;&gt;"")*(G$3:G$128=G32)*(J$3:J$128&gt;J32))+1,IF(O32&lt;&gt;"",SUMPRODUCT((O$3:O$128&lt;&gt;"")*(P$3:P$128="")*(G$3:G$128=G32)*(J$3:J$128&gt;J32))+SUMPRODUCT((P$3:P$128&lt;&gt;"")*(G$3:G$128=G32))+1,IF(N32&lt;&gt;"",SUMPRODUCT((N$3:N$128&lt;&gt;"")*(G$3:G$128=G32)*(J$3:J$128&gt;J32))+1,IF(M32="P",SUMPRODUCT((O$3:O$128&lt;&gt;"")*(P$3:P$128="")*(G$3:G$128=G32))+SUMPRODUCT((P$3:P$128&lt;&gt;"")*(G$3:G$128=G32))+SUMPRODUCT((N$3:N$128&lt;&gt;"")*(G$3:G$128=G32))+SUMPRODUCT((P$3:P$128="")*(O$3:O$128="")*(N$3:N$128="")*(M$3:M$128="P")*(G$3:G$128=G32)*(J$3:J$128&gt;J32))+IF(H32="L5",SUMPRODUCT((P$3:P$128="")*(O$3:O$128="")*(N$3:N$128="")*(M$3:M$128="P")*(G$3:G$128=G32)*(J$3:J$128&lt;J32)*(H$3:H$128&lt;&gt;H32)),-1*SUMPRODUCT((P$3:P$128="")*(O$3:O$128="")*(N$3:N$128="")*(M$3:M$128="P")*(G$3:G$128=G32)*(J$3:J$128&gt;J32)*(H$3:H$128="L5")))+1,""))))</f>
        <v/>
      </c>
      <c r="C32" s="36" t="s">
        <v>255</v>
      </c>
      <c r="D32" s="36" t="str">
        <f>IF(E32="","",VLOOKUP(E32,'Coaching Points'!A:B,2,0))</f>
        <v>QC</v>
      </c>
      <c r="E32" s="36" t="s">
        <v>179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R32+IF(OR(H32="Junior",H32="Senior"),0.0002,IF(OR(H32="L7",H32="L6"),0.0001,0))+IF(G32="17-21",MAX(AA32,AC32,AF32),AE32)*0.0000001</f>
        <v>4.7299999999999996E-6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Scores'!C$13,T32,0),IF(W32&gt;='Qualifying Scores'!C$13,V32,0),IF(Z32&gt;='Qualifying Scores'!C$13,Y32,0),IF(AB32&gt;='Qualifying Scores'!C$13,AA32,0),IF(AD32&gt;'Qualifying Scores'!C$13,AC32,0),IF(AG32&gt;'Qualifying Scores'!C$13,AF32,0)),MAX(IF(OR(AND(G32="15-16",W32&gt;='Qualifying Scores'!C$12),AND(G32="13-14",W32&gt;='Qualifying Scores'!C$11),AND(G32="11-12",W32&gt;='Qualifying Scores'!C$10)),X32,0),IF(OR(AND(G32="15-16",AD32&gt;='Qualifying Scores'!C$12),AND(G32="13-14",AD32&gt;='Qualifying Scores'!C$11),AND(G32="11-12",AD32&gt;='Qualifying Scores'!C$10)),AE32,0))))</f>
        <v>0</v>
      </c>
      <c r="S32" s="4">
        <f>IF(G32="17-21",MAX(T32,V32,Y32,AA32,AC32,AF32),MAX(X32,AE32))</f>
        <v>47.3</v>
      </c>
      <c r="T32" s="33">
        <v>40.489999999999995</v>
      </c>
      <c r="U32" s="40">
        <v>0</v>
      </c>
      <c r="V32" s="34">
        <v>46.64</v>
      </c>
      <c r="W32" s="40">
        <v>7.1</v>
      </c>
      <c r="X32" s="4">
        <f>IF(H32="Senior",MAX(T32,V32),T32+V32)</f>
        <v>87.13</v>
      </c>
      <c r="Y32" s="34">
        <v>46.984999999999999</v>
      </c>
      <c r="Z32" s="40">
        <v>7.1</v>
      </c>
      <c r="AA32" s="33">
        <v>40.65</v>
      </c>
      <c r="AB32" s="40">
        <v>0</v>
      </c>
      <c r="AC32" s="34">
        <v>45.03</v>
      </c>
      <c r="AD32" s="40">
        <v>7.8</v>
      </c>
      <c r="AE32" s="4">
        <f>IF(H32="Senior",MAX(AA32,AC32),AA32+AC32)</f>
        <v>85.68</v>
      </c>
      <c r="AF32" s="34">
        <v>47.3</v>
      </c>
      <c r="AG32" s="37">
        <v>7.8</v>
      </c>
    </row>
    <row r="33" spans="1:33" x14ac:dyDescent="0.2">
      <c r="A33" s="1" t="str" cm="1">
        <f t="array" ref="A33">IF(I33="","",IF(P33&lt;&gt;"",SUMPRODUCT((P$3:P$128&lt;&gt;"")*(G$3:G$128=G33)*(J$3:J$128&gt;J33)*(I$3:I$128="P"))+1,IF(O33&lt;&gt;"",SUMPRODUCT((O$3:O$128&lt;&gt;"")*(P$3:P$128="")*(G$3:G$128=G33)*(J$3:J$128&gt;J33)*(I$3:I$128="P"))+SUMPRODUCT((P$3:P$128&lt;&gt;"")*(G$3:G$128=G33)*(I$3:I$128="P"))+1,IF(N33&lt;&gt;"",SUMPRODUCT((N$3:N$128&lt;&gt;"")*(G$3:G$128=G33)*(J$3:J$128&gt;J33)*(I$3:I$128="P"))+1,IF(M33="P",SUMPRODUCT((O$3:O$128&lt;&gt;"")*(P$3:P$128="")*(G$3:G$128=G33)*(I$3:I$128="P"))+SUMPRODUCT((P$3:P$128&lt;&gt;"")*(G$3:G$128=G33)*(I$3:I$128="P"))+SUMPRODUCT((N$3:N$128&lt;&gt;"")*(G$3:G$128=G33)*(I$3:I$128="P"))+SUMPRODUCT((P$3:P$128="")*(O$3:O$128="")*(N$3:N$128="")*(M$3:M$128="P")*(G$3:G$128=G33)*(J$3:J$128&gt;J33)*(I$3:I$128="P"))+IF(H33="L5",SUMPRODUCT((P$3:P$128="")*(O$3:O$128="")*(N$3:N$128="")*(M$3:M$128="P")*(G$3:G$128=G33)*(J$3:J$128&lt;J33)*(H$3:H$128&lt;&gt;H33)*(I$3:I$128="P")),-1*SUMPRODUCT((P$3:P$128="")*(O$3:O$128="")*(N$3:N$128="")*(M$3:M$128="P")*(G$3:G$128=G33)*(J$3:J$128&gt;J33)*(H$3:H$128="L5")*(I$3:I$128="P")))+1,"")))))</f>
        <v/>
      </c>
      <c r="B33" s="1" t="str" cm="1">
        <f t="array" ref="B33">IF(P33&lt;&gt;"",SUMPRODUCT((P$3:P$128&lt;&gt;"")*(G$3:G$128=G33)*(J$3:J$128&gt;J33))+1,IF(O33&lt;&gt;"",SUMPRODUCT((O$3:O$128&lt;&gt;"")*(P$3:P$128="")*(G$3:G$128=G33)*(J$3:J$128&gt;J33))+SUMPRODUCT((P$3:P$128&lt;&gt;"")*(G$3:G$128=G33))+1,IF(N33&lt;&gt;"",SUMPRODUCT((N$3:N$128&lt;&gt;"")*(G$3:G$128=G33)*(J$3:J$128&gt;J33))+1,IF(M33="P",SUMPRODUCT((O$3:O$128&lt;&gt;"")*(P$3:P$128="")*(G$3:G$128=G33))+SUMPRODUCT((P$3:P$128&lt;&gt;"")*(G$3:G$128=G33))+SUMPRODUCT((N$3:N$128&lt;&gt;"")*(G$3:G$128=G33))+SUMPRODUCT((P$3:P$128="")*(O$3:O$128="")*(N$3:N$128="")*(M$3:M$128="P")*(G$3:G$128=G33)*(J$3:J$128&gt;J33))+IF(H33="L5",SUMPRODUCT((P$3:P$128="")*(O$3:O$128="")*(N$3:N$128="")*(M$3:M$128="P")*(G$3:G$128=G33)*(J$3:J$128&lt;J33)*(H$3:H$128&lt;&gt;H33)),-1*SUMPRODUCT((P$3:P$128="")*(O$3:O$128="")*(N$3:N$128="")*(M$3:M$128="P")*(G$3:G$128=G33)*(J$3:J$128&gt;J33)*(H$3:H$128="L5")))+1,""))))</f>
        <v/>
      </c>
      <c r="C33" s="36" t="s">
        <v>260</v>
      </c>
      <c r="D33" s="36" t="str">
        <f>IF(E33="","",VLOOKUP(E33,'Coaching Points'!A:B,2,0))</f>
        <v>QC</v>
      </c>
      <c r="E33" s="36" t="s">
        <v>581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R33+IF(OR(H33="Junior",H33="Senior"),0.0002,IF(OR(H33="L7",H33="L6"),0.0001,0))+IF(G33="17-21",MAX(AA33,AC33,AF33),AE33)*0.0000001</f>
        <v>4.7140000000000001E-6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Scores'!C$13,T33,0),IF(W33&gt;='Qualifying Scores'!C$13,V33,0),IF(Z33&gt;='Qualifying Scores'!C$13,Y33,0),IF(AB33&gt;='Qualifying Scores'!C$13,AA33,0),IF(AD33&gt;'Qualifying Scores'!C$13,AC33,0),IF(AG33&gt;'Qualifying Scores'!C$13,AF33,0)),MAX(IF(OR(AND(G33="15-16",W33&gt;='Qualifying Scores'!C$12),AND(G33="13-14",W33&gt;='Qualifying Scores'!C$11),AND(G33="11-12",W33&gt;='Qualifying Scores'!C$10)),X33,0),IF(OR(AND(G33="15-16",AD33&gt;='Qualifying Scores'!C$12),AND(G33="13-14",AD33&gt;='Qualifying Scores'!C$11),AND(G33="11-12",AD33&gt;='Qualifying Scores'!C$10)),AE33,0))))</f>
        <v>0</v>
      </c>
      <c r="S33" s="4">
        <f>IF(G33="17-21",MAX(T33,V33,Y33,AA33,AC33,AF33),MAX(X33,AE33))</f>
        <v>47.14</v>
      </c>
      <c r="T33" s="33">
        <v>39.159999999999997</v>
      </c>
      <c r="U33" s="40">
        <v>0</v>
      </c>
      <c r="V33" s="34">
        <v>46.994999999999997</v>
      </c>
      <c r="W33" s="40">
        <v>7.8999999999999995</v>
      </c>
      <c r="X33" s="4">
        <f>IF(H33="Senior",MAX(T33,V33),T33+V33)</f>
        <v>86.155000000000001</v>
      </c>
      <c r="Y33" s="34">
        <v>46.11</v>
      </c>
      <c r="Z33" s="40">
        <v>7.8999999999999995</v>
      </c>
      <c r="AA33" s="33">
        <v>39.770000000000003</v>
      </c>
      <c r="AB33" s="40">
        <v>0</v>
      </c>
      <c r="AC33" s="34">
        <v>46.33</v>
      </c>
      <c r="AD33" s="40">
        <v>8.1</v>
      </c>
      <c r="AE33" s="4">
        <f>IF(H33="Senior",MAX(AA33,AC33),AA33+AC33)</f>
        <v>86.1</v>
      </c>
      <c r="AF33" s="34">
        <v>47.14</v>
      </c>
      <c r="AG33" s="37">
        <v>8.1</v>
      </c>
    </row>
    <row r="34" spans="1:33" x14ac:dyDescent="0.2">
      <c r="A34" s="1" t="str" cm="1">
        <f t="array" ref="A34">IF(I34="","",IF(P34&lt;&gt;"",SUMPRODUCT((P$3:P$128&lt;&gt;"")*(G$3:G$128=G34)*(J$3:J$128&gt;J34)*(I$3:I$128="P"))+1,IF(O34&lt;&gt;"",SUMPRODUCT((O$3:O$128&lt;&gt;"")*(P$3:P$128="")*(G$3:G$128=G34)*(J$3:J$128&gt;J34)*(I$3:I$128="P"))+SUMPRODUCT((P$3:P$128&lt;&gt;"")*(G$3:G$128=G34)*(I$3:I$128="P"))+1,IF(N34&lt;&gt;"",SUMPRODUCT((N$3:N$128&lt;&gt;"")*(G$3:G$128=G34)*(J$3:J$128&gt;J34)*(I$3:I$128="P"))+1,IF(M34="P",SUMPRODUCT((O$3:O$128&lt;&gt;"")*(P$3:P$128="")*(G$3:G$128=G34)*(I$3:I$128="P"))+SUMPRODUCT((P$3:P$128&lt;&gt;"")*(G$3:G$128=G34)*(I$3:I$128="P"))+SUMPRODUCT((N$3:N$128&lt;&gt;"")*(G$3:G$128=G34)*(I$3:I$128="P"))+SUMPRODUCT((P$3:P$128="")*(O$3:O$128="")*(N$3:N$128="")*(M$3:M$128="P")*(G$3:G$128=G34)*(J$3:J$128&gt;J34)*(I$3:I$128="P"))+IF(H34="L5",SUMPRODUCT((P$3:P$128="")*(O$3:O$128="")*(N$3:N$128="")*(M$3:M$128="P")*(G$3:G$128=G34)*(J$3:J$128&lt;J34)*(H$3:H$128&lt;&gt;H34)*(I$3:I$128="P")),-1*SUMPRODUCT((P$3:P$128="")*(O$3:O$128="")*(N$3:N$128="")*(M$3:M$128="P")*(G$3:G$128=G34)*(J$3:J$128&gt;J34)*(H$3:H$128="L5")*(I$3:I$128="P")))+1,"")))))</f>
        <v/>
      </c>
      <c r="B34" s="1" t="str" cm="1">
        <f t="array" ref="B34">IF(P34&lt;&gt;"",SUMPRODUCT((P$3:P$128&lt;&gt;"")*(G$3:G$128=G34)*(J$3:J$128&gt;J34))+1,IF(O34&lt;&gt;"",SUMPRODUCT((O$3:O$128&lt;&gt;"")*(P$3:P$128="")*(G$3:G$128=G34)*(J$3:J$128&gt;J34))+SUMPRODUCT((P$3:P$128&lt;&gt;"")*(G$3:G$128=G34))+1,IF(N34&lt;&gt;"",SUMPRODUCT((N$3:N$128&lt;&gt;"")*(G$3:G$128=G34)*(J$3:J$128&gt;J34))+1,IF(M34="P",SUMPRODUCT((O$3:O$128&lt;&gt;"")*(P$3:P$128="")*(G$3:G$128=G34))+SUMPRODUCT((P$3:P$128&lt;&gt;"")*(G$3:G$128=G34))+SUMPRODUCT((N$3:N$128&lt;&gt;"")*(G$3:G$128=G34))+SUMPRODUCT((P$3:P$128="")*(O$3:O$128="")*(N$3:N$128="")*(M$3:M$128="P")*(G$3:G$128=G34)*(J$3:J$128&gt;J34))+IF(H34="L5",SUMPRODUCT((P$3:P$128="")*(O$3:O$128="")*(N$3:N$128="")*(M$3:M$128="P")*(G$3:G$128=G34)*(J$3:J$128&lt;J34)*(H$3:H$128&lt;&gt;H34)),-1*SUMPRODUCT((P$3:P$128="")*(O$3:O$128="")*(N$3:N$128="")*(M$3:M$128="P")*(G$3:G$128=G34)*(J$3:J$128&gt;J34)*(H$3:H$128="L5")))+1,""))))</f>
        <v/>
      </c>
      <c r="C34" s="36" t="s">
        <v>446</v>
      </c>
      <c r="D34" s="36" t="str">
        <f>IF(E34="","",VLOOKUP(E34,'Coaching Points'!A:B,2,0))</f>
        <v>ON</v>
      </c>
      <c r="E34" s="36" t="s">
        <v>574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4.6649999999999994E-6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Scores'!C$13,T34,0),IF(W34&gt;='Qualifying Scores'!C$13,V34,0),IF(Z34&gt;='Qualifying Scores'!C$13,Y34,0),IF(AB34&gt;='Qualifying Scores'!C$13,AA34,0),IF(AD34&gt;'Qualifying Scores'!C$13,AC34,0),IF(AG34&gt;'Qualifying Scores'!C$13,AF34,0)),MAX(IF(OR(AND(G34="15-16",W34&gt;='Qualifying Scores'!C$12),AND(G34="13-14",W34&gt;='Qualifying Scores'!C$11),AND(G34="11-12",W34&gt;='Qualifying Scores'!C$10)),X34,0),IF(OR(AND(G34="15-16",AD34&gt;='Qualifying Scores'!C$12),AND(G34="13-14",AD34&gt;='Qualifying Scores'!C$11),AND(G34="11-12",AD34&gt;='Qualifying Scores'!C$10)),AE34,0))))</f>
        <v>0</v>
      </c>
      <c r="S34" s="4">
        <f>IF(G34="17-21",MAX(T34,V34,Y34,AA34,AC34,AF34),MAX(X34,AE34))</f>
        <v>46.65</v>
      </c>
      <c r="T34" s="33"/>
      <c r="U34" s="40"/>
      <c r="V34" s="34"/>
      <c r="W34" s="40"/>
      <c r="X34" s="4">
        <f>IF(H34="Senior",MAX(T34,V34),T34+V34)</f>
        <v>0</v>
      </c>
      <c r="Y34" s="34"/>
      <c r="Z34" s="40"/>
      <c r="AA34" s="33">
        <v>38.82</v>
      </c>
      <c r="AB34" s="40">
        <v>0</v>
      </c>
      <c r="AC34" s="34">
        <v>45.8</v>
      </c>
      <c r="AD34" s="40">
        <v>8.4</v>
      </c>
      <c r="AE34" s="4">
        <f>IF(H34="Senior",MAX(AA34,AC34),AA34+AC34)</f>
        <v>84.62</v>
      </c>
      <c r="AF34" s="34">
        <v>46.65</v>
      </c>
      <c r="AG34" s="37">
        <v>8.4</v>
      </c>
    </row>
    <row r="35" spans="1:33" x14ac:dyDescent="0.2">
      <c r="A35" s="1" t="str" cm="1">
        <f t="array" ref="A35">IF(I35="","",IF(P35&lt;&gt;"",SUMPRODUCT((P$3:P$128&lt;&gt;"")*(G$3:G$128=G35)*(J$3:J$128&gt;J35)*(I$3:I$128="P"))+1,IF(O35&lt;&gt;"",SUMPRODUCT((O$3:O$128&lt;&gt;"")*(P$3:P$128="")*(G$3:G$128=G35)*(J$3:J$128&gt;J35)*(I$3:I$128="P"))+SUMPRODUCT((P$3:P$128&lt;&gt;"")*(G$3:G$128=G35)*(I$3:I$128="P"))+1,IF(N35&lt;&gt;"",SUMPRODUCT((N$3:N$128&lt;&gt;"")*(G$3:G$128=G35)*(J$3:J$128&gt;J35)*(I$3:I$128="P"))+1,IF(M35="P",SUMPRODUCT((O$3:O$128&lt;&gt;"")*(P$3:P$128="")*(G$3:G$128=G35)*(I$3:I$128="P"))+SUMPRODUCT((P$3:P$128&lt;&gt;"")*(G$3:G$128=G35)*(I$3:I$128="P"))+SUMPRODUCT((N$3:N$128&lt;&gt;"")*(G$3:G$128=G35)*(I$3:I$128="P"))+SUMPRODUCT((P$3:P$128="")*(O$3:O$128="")*(N$3:N$128="")*(M$3:M$128="P")*(G$3:G$128=G35)*(J$3:J$128&gt;J35)*(I$3:I$128="P"))+IF(H35="L5",SUMPRODUCT((P$3:P$128="")*(O$3:O$128="")*(N$3:N$128="")*(M$3:M$128="P")*(G$3:G$128=G35)*(J$3:J$128&lt;J35)*(H$3:H$128&lt;&gt;H35)*(I$3:I$128="P")),-1*SUMPRODUCT((P$3:P$128="")*(O$3:O$128="")*(N$3:N$128="")*(M$3:M$128="P")*(G$3:G$128=G35)*(J$3:J$128&gt;J35)*(H$3:H$128="L5")*(I$3:I$128="P")))+1,"")))))</f>
        <v/>
      </c>
      <c r="B35" s="1" t="str" cm="1">
        <f t="array" ref="B35">IF(P35&lt;&gt;"",SUMPRODUCT((P$3:P$128&lt;&gt;"")*(G$3:G$128=G35)*(J$3:J$128&gt;J35))+1,IF(O35&lt;&gt;"",SUMPRODUCT((O$3:O$128&lt;&gt;"")*(P$3:P$128="")*(G$3:G$128=G35)*(J$3:J$128&gt;J35))+SUMPRODUCT((P$3:P$128&lt;&gt;"")*(G$3:G$128=G35))+1,IF(N35&lt;&gt;"",SUMPRODUCT((N$3:N$128&lt;&gt;"")*(G$3:G$128=G35)*(J$3:J$128&gt;J35))+1,IF(M35="P",SUMPRODUCT((O$3:O$128&lt;&gt;"")*(P$3:P$128="")*(G$3:G$128=G35))+SUMPRODUCT((P$3:P$128&lt;&gt;"")*(G$3:G$128=G35))+SUMPRODUCT((N$3:N$128&lt;&gt;"")*(G$3:G$128=G35))+SUMPRODUCT((P$3:P$128="")*(O$3:O$128="")*(N$3:N$128="")*(M$3:M$128="P")*(G$3:G$128=G35)*(J$3:J$128&gt;J35))+IF(H35="L5",SUMPRODUCT((P$3:P$128="")*(O$3:O$128="")*(N$3:N$128="")*(M$3:M$128="P")*(G$3:G$128=G35)*(J$3:J$128&lt;J35)*(H$3:H$128&lt;&gt;H35)),-1*SUMPRODUCT((P$3:P$128="")*(O$3:O$128="")*(N$3:N$128="")*(M$3:M$128="P")*(G$3:G$128=G35)*(J$3:J$128&gt;J35)*(H$3:H$128="L5")))+1,""))))</f>
        <v/>
      </c>
      <c r="C35" s="36" t="s">
        <v>444</v>
      </c>
      <c r="D35" s="36" t="str">
        <f>IF(E35="","",VLOOKUP(E35,'Coaching Points'!A:B,2,0))</f>
        <v>ON</v>
      </c>
      <c r="E35" s="36" t="s">
        <v>574</v>
      </c>
      <c r="F35" s="35">
        <v>2001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4.6630000000000001E-6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Scores'!C$13,T35,0),IF(W35&gt;='Qualifying Scores'!C$13,V35,0),IF(Z35&gt;='Qualifying Scores'!C$13,Y35,0),IF(AB35&gt;='Qualifying Scores'!C$13,AA35,0),IF(AD35&gt;'Qualifying Scores'!C$13,AC35,0),IF(AG35&gt;'Qualifying Scores'!C$13,AF35,0)),MAX(IF(OR(AND(G35="15-16",W35&gt;='Qualifying Scores'!C$12),AND(G35="13-14",W35&gt;='Qualifying Scores'!C$11),AND(G35="11-12",W35&gt;='Qualifying Scores'!C$10)),X35,0),IF(OR(AND(G35="15-16",AD35&gt;='Qualifying Scores'!C$12),AND(G35="13-14",AD35&gt;='Qualifying Scores'!C$11),AND(G35="11-12",AD35&gt;='Qualifying Scores'!C$10)),AE35,0))))</f>
        <v>0</v>
      </c>
      <c r="S35" s="4">
        <f>IF(G35="17-21",MAX(T35,V35,Y35,AA35,AC35,AF35),MAX(X35,AE35))</f>
        <v>46.63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39.33</v>
      </c>
      <c r="AB35" s="40">
        <v>0</v>
      </c>
      <c r="AC35" s="34">
        <v>45.33</v>
      </c>
      <c r="AD35" s="40">
        <v>7.1</v>
      </c>
      <c r="AE35" s="4">
        <f>IF(H35="Senior",MAX(AA35,AC35),AA35+AC35)</f>
        <v>84.66</v>
      </c>
      <c r="AF35" s="34">
        <v>46.63</v>
      </c>
      <c r="AG35" s="37">
        <v>7.7</v>
      </c>
    </row>
    <row r="36" spans="1:33" x14ac:dyDescent="0.2">
      <c r="A36" s="1" t="str" cm="1">
        <f t="array" ref="A36">IF(I36="","",IF(P36&lt;&gt;"",SUMPRODUCT((P$3:P$128&lt;&gt;"")*(G$3:G$128=G36)*(J$3:J$128&gt;J36)*(I$3:I$128="P"))+1,IF(O36&lt;&gt;"",SUMPRODUCT((O$3:O$128&lt;&gt;"")*(P$3:P$128="")*(G$3:G$128=G36)*(J$3:J$128&gt;J36)*(I$3:I$128="P"))+SUMPRODUCT((P$3:P$128&lt;&gt;"")*(G$3:G$128=G36)*(I$3:I$128="P"))+1,IF(N36&lt;&gt;"",SUMPRODUCT((N$3:N$128&lt;&gt;"")*(G$3:G$128=G36)*(J$3:J$128&gt;J36)*(I$3:I$128="P"))+1,IF(M36="P",SUMPRODUCT((O$3:O$128&lt;&gt;"")*(P$3:P$128="")*(G$3:G$128=G36)*(I$3:I$128="P"))+SUMPRODUCT((P$3:P$128&lt;&gt;"")*(G$3:G$128=G36)*(I$3:I$128="P"))+SUMPRODUCT((N$3:N$128&lt;&gt;"")*(G$3:G$128=G36)*(I$3:I$128="P"))+SUMPRODUCT((P$3:P$128="")*(O$3:O$128="")*(N$3:N$128="")*(M$3:M$128="P")*(G$3:G$128=G36)*(J$3:J$128&gt;J36)*(I$3:I$128="P"))+IF(H36="L5",SUMPRODUCT((P$3:P$128="")*(O$3:O$128="")*(N$3:N$128="")*(M$3:M$128="P")*(G$3:G$128=G36)*(J$3:J$128&lt;J36)*(H$3:H$128&lt;&gt;H36)*(I$3:I$128="P")),-1*SUMPRODUCT((P$3:P$128="")*(O$3:O$128="")*(N$3:N$128="")*(M$3:M$128="P")*(G$3:G$128=G36)*(J$3:J$128&gt;J36)*(H$3:H$128="L5")*(I$3:I$128="P")))+1,"")))))</f>
        <v/>
      </c>
      <c r="B36" s="1" t="str" cm="1">
        <f t="array" ref="B36">IF(P36&lt;&gt;"",SUMPRODUCT((P$3:P$128&lt;&gt;"")*(G$3:G$128=G36)*(J$3:J$128&gt;J36))+1,IF(O36&lt;&gt;"",SUMPRODUCT((O$3:O$128&lt;&gt;"")*(P$3:P$128="")*(G$3:G$128=G36)*(J$3:J$128&gt;J36))+SUMPRODUCT((P$3:P$128&lt;&gt;"")*(G$3:G$128=G36))+1,IF(N36&lt;&gt;"",SUMPRODUCT((N$3:N$128&lt;&gt;"")*(G$3:G$128=G36)*(J$3:J$128&gt;J36))+1,IF(M36="P",SUMPRODUCT((O$3:O$128&lt;&gt;"")*(P$3:P$128="")*(G$3:G$128=G36))+SUMPRODUCT((P$3:P$128&lt;&gt;"")*(G$3:G$128=G36))+SUMPRODUCT((N$3:N$128&lt;&gt;"")*(G$3:G$128=G36))+SUMPRODUCT((P$3:P$128="")*(O$3:O$128="")*(N$3:N$128="")*(M$3:M$128="P")*(G$3:G$128=G36)*(J$3:J$128&gt;J36))+IF(H36="L5",SUMPRODUCT((P$3:P$128="")*(O$3:O$128="")*(N$3:N$128="")*(M$3:M$128="P")*(G$3:G$128=G36)*(J$3:J$128&lt;J36)*(H$3:H$128&lt;&gt;H36)),-1*SUMPRODUCT((P$3:P$128="")*(O$3:O$128="")*(N$3:N$128="")*(M$3:M$128="P")*(G$3:G$128=G36)*(J$3:J$128&gt;J36)*(H$3:H$128="L5")))+1,""))))</f>
        <v/>
      </c>
      <c r="C36" s="36" t="s">
        <v>436</v>
      </c>
      <c r="D36" s="36" t="str">
        <f>IF(E36="","",VLOOKUP(E36,'Coaching Points'!A:B,2,0))</f>
        <v>ON</v>
      </c>
      <c r="E36" s="36" t="s">
        <v>574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4.656E-6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Scores'!C$13,T36,0),IF(W36&gt;='Qualifying Scores'!C$13,V36,0),IF(Z36&gt;='Qualifying Scores'!C$13,Y36,0),IF(AB36&gt;='Qualifying Scores'!C$13,AA36,0),IF(AD36&gt;'Qualifying Scores'!C$13,AC36,0),IF(AG36&gt;'Qualifying Scores'!C$13,AF36,0)),MAX(IF(OR(AND(G36="15-16",W36&gt;='Qualifying Scores'!C$12),AND(G36="13-14",W36&gt;='Qualifying Scores'!C$11),AND(G36="11-12",W36&gt;='Qualifying Scores'!C$10)),X36,0),IF(OR(AND(G36="15-16",AD36&gt;='Qualifying Scores'!C$12),AND(G36="13-14",AD36&gt;='Qualifying Scores'!C$11),AND(G36="11-12",AD36&gt;='Qualifying Scores'!C$10)),AE36,0))))</f>
        <v>0</v>
      </c>
      <c r="S36" s="4">
        <f>IF(G36="17-21",MAX(T36,V36,Y36,AA36,AC36,AF36),MAX(X36,AE36))</f>
        <v>46.56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40.29</v>
      </c>
      <c r="AB36" s="40">
        <v>0</v>
      </c>
      <c r="AC36" s="34">
        <v>46.56</v>
      </c>
      <c r="AD36" s="40">
        <v>8.4</v>
      </c>
      <c r="AE36" s="4">
        <f>IF(H36="Senior",MAX(AA36,AC36),AA36+AC36)</f>
        <v>86.85</v>
      </c>
      <c r="AF36" s="34">
        <v>46.19</v>
      </c>
      <c r="AG36" s="37">
        <v>8.4</v>
      </c>
    </row>
    <row r="37" spans="1:33" x14ac:dyDescent="0.2">
      <c r="A37" s="1" t="str" cm="1">
        <f t="array" ref="A37">IF(I37="","",IF(P37&lt;&gt;"",SUMPRODUCT((P$3:P$128&lt;&gt;"")*(G$3:G$128=G37)*(J$3:J$128&gt;J37)*(I$3:I$128="P"))+1,IF(O37&lt;&gt;"",SUMPRODUCT((O$3:O$128&lt;&gt;"")*(P$3:P$128="")*(G$3:G$128=G37)*(J$3:J$128&gt;J37)*(I$3:I$128="P"))+SUMPRODUCT((P$3:P$128&lt;&gt;"")*(G$3:G$128=G37)*(I$3:I$128="P"))+1,IF(N37&lt;&gt;"",SUMPRODUCT((N$3:N$128&lt;&gt;"")*(G$3:G$128=G37)*(J$3:J$128&gt;J37)*(I$3:I$128="P"))+1,IF(M37="P",SUMPRODUCT((O$3:O$128&lt;&gt;"")*(P$3:P$128="")*(G$3:G$128=G37)*(I$3:I$128="P"))+SUMPRODUCT((P$3:P$128&lt;&gt;"")*(G$3:G$128=G37)*(I$3:I$128="P"))+SUMPRODUCT((N$3:N$128&lt;&gt;"")*(G$3:G$128=G37)*(I$3:I$128="P"))+SUMPRODUCT((P$3:P$128="")*(O$3:O$128="")*(N$3:N$128="")*(M$3:M$128="P")*(G$3:G$128=G37)*(J$3:J$128&gt;J37)*(I$3:I$128="P"))+IF(H37="L5",SUMPRODUCT((P$3:P$128="")*(O$3:O$128="")*(N$3:N$128="")*(M$3:M$128="P")*(G$3:G$128=G37)*(J$3:J$128&lt;J37)*(H$3:H$128&lt;&gt;H37)*(I$3:I$128="P")),-1*SUMPRODUCT((P$3:P$128="")*(O$3:O$128="")*(N$3:N$128="")*(M$3:M$128="P")*(G$3:G$128=G37)*(J$3:J$128&gt;J37)*(H$3:H$128="L5")*(I$3:I$128="P")))+1,"")))))</f>
        <v/>
      </c>
      <c r="B37" s="1" t="str" cm="1">
        <f t="array" ref="B37">IF(P37&lt;&gt;"",SUMPRODUCT((P$3:P$128&lt;&gt;"")*(G$3:G$128=G37)*(J$3:J$128&gt;J37))+1,IF(O37&lt;&gt;"",SUMPRODUCT((O$3:O$128&lt;&gt;"")*(P$3:P$128="")*(G$3:G$128=G37)*(J$3:J$128&gt;J37))+SUMPRODUCT((P$3:P$128&lt;&gt;"")*(G$3:G$128=G37))+1,IF(N37&lt;&gt;"",SUMPRODUCT((N$3:N$128&lt;&gt;"")*(G$3:G$128=G37)*(J$3:J$128&gt;J37))+1,IF(M37="P",SUMPRODUCT((O$3:O$128&lt;&gt;"")*(P$3:P$128="")*(G$3:G$128=G37))+SUMPRODUCT((P$3:P$128&lt;&gt;"")*(G$3:G$128=G37))+SUMPRODUCT((N$3:N$128&lt;&gt;"")*(G$3:G$128=G37))+SUMPRODUCT((P$3:P$128="")*(O$3:O$128="")*(N$3:N$128="")*(M$3:M$128="P")*(G$3:G$128=G37)*(J$3:J$128&gt;J37))+IF(H37="L5",SUMPRODUCT((P$3:P$128="")*(O$3:O$128="")*(N$3:N$128="")*(M$3:M$128="P")*(G$3:G$128=G37)*(J$3:J$128&lt;J37)*(H$3:H$128&lt;&gt;H37)),-1*SUMPRODUCT((P$3:P$128="")*(O$3:O$128="")*(N$3:N$128="")*(M$3:M$128="P")*(G$3:G$128=G37)*(J$3:J$128&gt;J37)*(H$3:H$128="L5")))+1,""))))</f>
        <v/>
      </c>
      <c r="C37" s="36" t="s">
        <v>272</v>
      </c>
      <c r="D37" s="36" t="str">
        <f>IF(E37="","",VLOOKUP(E37,'Coaching Points'!A:B,2,0))</f>
        <v>ON</v>
      </c>
      <c r="E37" s="36" t="s">
        <v>141</v>
      </c>
      <c r="F37" s="35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4.6049999999999991E-6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Scores'!C$13,T37,0),IF(W37&gt;='Qualifying Scores'!C$13,V37,0),IF(Z37&gt;='Qualifying Scores'!C$13,Y37,0),IF(AB37&gt;='Qualifying Scores'!C$13,AA37,0),IF(AD37&gt;'Qualifying Scores'!C$13,AC37,0),IF(AG37&gt;'Qualifying Scores'!C$13,AF37,0)),MAX(IF(OR(AND(G37="15-16",W37&gt;='Qualifying Scores'!C$12),AND(G37="13-14",W37&gt;='Qualifying Scores'!C$11),AND(G37="11-12",W37&gt;='Qualifying Scores'!C$10)),X37,0),IF(OR(AND(G37="15-16",AD37&gt;='Qualifying Scores'!C$12),AND(G37="13-14",AD37&gt;='Qualifying Scores'!C$11),AND(G37="11-12",AD37&gt;='Qualifying Scores'!C$10)),AE37,0))))</f>
        <v>0</v>
      </c>
      <c r="S37" s="4">
        <f>IF(G37="17-21",MAX(T37,V37,Y37,AA37,AC37,AF37),MAX(X37,AE37))</f>
        <v>46.05</v>
      </c>
      <c r="T37" s="33">
        <v>37.835000000000001</v>
      </c>
      <c r="U37" s="40">
        <v>0</v>
      </c>
      <c r="V37" s="34">
        <v>31.025000000000002</v>
      </c>
      <c r="W37" s="40">
        <v>4.1000000000000005</v>
      </c>
      <c r="X37" s="4">
        <f>IF(H37="Senior",MAX(T37,V37),T37+V37)</f>
        <v>68.86</v>
      </c>
      <c r="Y37" s="34">
        <v>0</v>
      </c>
      <c r="Z37" s="40">
        <v>0</v>
      </c>
      <c r="AA37" s="33">
        <v>40.03</v>
      </c>
      <c r="AB37" s="40">
        <v>0</v>
      </c>
      <c r="AC37" s="34">
        <v>46.05</v>
      </c>
      <c r="AD37" s="40">
        <v>7.7</v>
      </c>
      <c r="AE37" s="4">
        <f>IF(H37="Senior",MAX(AA37,AC37),AA37+AC37)</f>
        <v>86.08</v>
      </c>
      <c r="AF37" s="34">
        <v>45.91</v>
      </c>
      <c r="AG37" s="37">
        <v>7.7</v>
      </c>
    </row>
    <row r="38" spans="1:33" x14ac:dyDescent="0.2">
      <c r="A38" s="1" t="str" cm="1">
        <f t="array" ref="A38">IF(I38="","",IF(P38&lt;&gt;"",SUMPRODUCT((P$3:P$128&lt;&gt;"")*(G$3:G$128=G38)*(J$3:J$128&gt;J38)*(I$3:I$128="P"))+1,IF(O38&lt;&gt;"",SUMPRODUCT((O$3:O$128&lt;&gt;"")*(P$3:P$128="")*(G$3:G$128=G38)*(J$3:J$128&gt;J38)*(I$3:I$128="P"))+SUMPRODUCT((P$3:P$128&lt;&gt;"")*(G$3:G$128=G38)*(I$3:I$128="P"))+1,IF(N38&lt;&gt;"",SUMPRODUCT((N$3:N$128&lt;&gt;"")*(G$3:G$128=G38)*(J$3:J$128&gt;J38)*(I$3:I$128="P"))+1,IF(M38="P",SUMPRODUCT((O$3:O$128&lt;&gt;"")*(P$3:P$128="")*(G$3:G$128=G38)*(I$3:I$128="P"))+SUMPRODUCT((P$3:P$128&lt;&gt;"")*(G$3:G$128=G38)*(I$3:I$128="P"))+SUMPRODUCT((N$3:N$128&lt;&gt;"")*(G$3:G$128=G38)*(I$3:I$128="P"))+SUMPRODUCT((P$3:P$128="")*(O$3:O$128="")*(N$3:N$128="")*(M$3:M$128="P")*(G$3:G$128=G38)*(J$3:J$128&gt;J38)*(I$3:I$128="P"))+IF(H38="L5",SUMPRODUCT((P$3:P$128="")*(O$3:O$128="")*(N$3:N$128="")*(M$3:M$128="P")*(G$3:G$128=G38)*(J$3:J$128&lt;J38)*(H$3:H$128&lt;&gt;H38)*(I$3:I$128="P")),-1*SUMPRODUCT((P$3:P$128="")*(O$3:O$128="")*(N$3:N$128="")*(M$3:M$128="P")*(G$3:G$128=G38)*(J$3:J$128&gt;J38)*(H$3:H$128="L5")*(I$3:I$128="P")))+1,"")))))</f>
        <v/>
      </c>
      <c r="B38" s="1" t="str" cm="1">
        <f t="array" ref="B38">IF(P38&lt;&gt;"",SUMPRODUCT((P$3:P$128&lt;&gt;"")*(G$3:G$128=G38)*(J$3:J$128&gt;J38))+1,IF(O38&lt;&gt;"",SUMPRODUCT((O$3:O$128&lt;&gt;"")*(P$3:P$128="")*(G$3:G$128=G38)*(J$3:J$128&gt;J38))+SUMPRODUCT((P$3:P$128&lt;&gt;"")*(G$3:G$128=G38))+1,IF(N38&lt;&gt;"",SUMPRODUCT((N$3:N$128&lt;&gt;"")*(G$3:G$128=G38)*(J$3:J$128&gt;J38))+1,IF(M38="P",SUMPRODUCT((O$3:O$128&lt;&gt;"")*(P$3:P$128="")*(G$3:G$128=G38))+SUMPRODUCT((P$3:P$128&lt;&gt;"")*(G$3:G$128=G38))+SUMPRODUCT((N$3:N$128&lt;&gt;"")*(G$3:G$128=G38))+SUMPRODUCT((P$3:P$128="")*(O$3:O$128="")*(N$3:N$128="")*(M$3:M$128="P")*(G$3:G$128=G38)*(J$3:J$128&gt;J38))+IF(H38="L5",SUMPRODUCT((P$3:P$128="")*(O$3:O$128="")*(N$3:N$128="")*(M$3:M$128="P")*(G$3:G$128=G38)*(J$3:J$128&lt;J38)*(H$3:H$128&lt;&gt;H38)),-1*SUMPRODUCT((P$3:P$128="")*(O$3:O$128="")*(N$3:N$128="")*(M$3:M$128="P")*(G$3:G$128=G38)*(J$3:J$128&gt;J38)*(H$3:H$128="L5")))+1,""))))</f>
        <v/>
      </c>
      <c r="C38" s="36" t="s">
        <v>267</v>
      </c>
      <c r="D38" s="36" t="str">
        <f>IF(E38="","",VLOOKUP(E38,'Coaching Points'!A:B,2,0))</f>
        <v>QC</v>
      </c>
      <c r="E38" s="36" t="s">
        <v>62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4.561E-6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Scores'!C$13,T38,0),IF(W38&gt;='Qualifying Scores'!C$13,V38,0),IF(Z38&gt;='Qualifying Scores'!C$13,Y38,0),IF(AB38&gt;='Qualifying Scores'!C$13,AA38,0),IF(AD38&gt;'Qualifying Scores'!C$13,AC38,0),IF(AG38&gt;'Qualifying Scores'!C$13,AF38,0)),MAX(IF(OR(AND(G38="15-16",W38&gt;='Qualifying Scores'!C$12),AND(G38="13-14",W38&gt;='Qualifying Scores'!C$11),AND(G38="11-12",W38&gt;='Qualifying Scores'!C$10)),X38,0),IF(OR(AND(G38="15-16",AD38&gt;='Qualifying Scores'!C$12),AND(G38="13-14",AD38&gt;='Qualifying Scores'!C$11),AND(G38="11-12",AD38&gt;='Qualifying Scores'!C$10)),AE38,0))))</f>
        <v>0</v>
      </c>
      <c r="S38" s="4">
        <f>IF(G38="17-21",MAX(T38,V38,Y38,AA38,AC38,AF38),MAX(X38,AE38))</f>
        <v>45.61</v>
      </c>
      <c r="T38" s="33">
        <v>37.575000000000003</v>
      </c>
      <c r="U38" s="40">
        <v>0</v>
      </c>
      <c r="V38" s="34">
        <v>45.355000000000004</v>
      </c>
      <c r="W38" s="40">
        <v>7.3999999999999995</v>
      </c>
      <c r="X38" s="4">
        <f>IF(H38="Senior",MAX(T38,V38),T38+V38)</f>
        <v>82.93</v>
      </c>
      <c r="Y38" s="34">
        <v>0</v>
      </c>
      <c r="Z38" s="40">
        <v>0</v>
      </c>
      <c r="AA38" s="33">
        <v>31.6</v>
      </c>
      <c r="AB38" s="40">
        <v>0</v>
      </c>
      <c r="AC38" s="34">
        <v>45.61</v>
      </c>
      <c r="AD38" s="40">
        <v>7.4</v>
      </c>
      <c r="AE38" s="4">
        <f>IF(H38="Senior",MAX(AA38,AC38),AA38+AC38)</f>
        <v>77.210000000000008</v>
      </c>
      <c r="AF38" s="34"/>
      <c r="AG38" s="37"/>
    </row>
    <row r="39" spans="1:33" x14ac:dyDescent="0.2">
      <c r="A39" s="1" t="str" cm="1">
        <f t="array" ref="A39">IF(I39="","",IF(P39&lt;&gt;"",SUMPRODUCT((P$3:P$128&lt;&gt;"")*(G$3:G$128=G39)*(J$3:J$128&gt;J39)*(I$3:I$128="P"))+1,IF(O39&lt;&gt;"",SUMPRODUCT((O$3:O$128&lt;&gt;"")*(P$3:P$128="")*(G$3:G$128=G39)*(J$3:J$128&gt;J39)*(I$3:I$128="P"))+SUMPRODUCT((P$3:P$128&lt;&gt;"")*(G$3:G$128=G39)*(I$3:I$128="P"))+1,IF(N39&lt;&gt;"",SUMPRODUCT((N$3:N$128&lt;&gt;"")*(G$3:G$128=G39)*(J$3:J$128&gt;J39)*(I$3:I$128="P"))+1,IF(M39="P",SUMPRODUCT((O$3:O$128&lt;&gt;"")*(P$3:P$128="")*(G$3:G$128=G39)*(I$3:I$128="P"))+SUMPRODUCT((P$3:P$128&lt;&gt;"")*(G$3:G$128=G39)*(I$3:I$128="P"))+SUMPRODUCT((N$3:N$128&lt;&gt;"")*(G$3:G$128=G39)*(I$3:I$128="P"))+SUMPRODUCT((P$3:P$128="")*(O$3:O$128="")*(N$3:N$128="")*(M$3:M$128="P")*(G$3:G$128=G39)*(J$3:J$128&gt;J39)*(I$3:I$128="P"))+IF(H39="L5",SUMPRODUCT((P$3:P$128="")*(O$3:O$128="")*(N$3:N$128="")*(M$3:M$128="P")*(G$3:G$128=G39)*(J$3:J$128&lt;J39)*(H$3:H$128&lt;&gt;H39)*(I$3:I$128="P")),-1*SUMPRODUCT((P$3:P$128="")*(O$3:O$128="")*(N$3:N$128="")*(M$3:M$128="P")*(G$3:G$128=G39)*(J$3:J$128&gt;J39)*(H$3:H$128="L5")*(I$3:I$128="P")))+1,"")))))</f>
        <v/>
      </c>
      <c r="B39" s="1" t="str" cm="1">
        <f t="array" ref="B39">IF(P39&lt;&gt;"",SUMPRODUCT((P$3:P$128&lt;&gt;"")*(G$3:G$128=G39)*(J$3:J$128&gt;J39))+1,IF(O39&lt;&gt;"",SUMPRODUCT((O$3:O$128&lt;&gt;"")*(P$3:P$128="")*(G$3:G$128=G39)*(J$3:J$128&gt;J39))+SUMPRODUCT((P$3:P$128&lt;&gt;"")*(G$3:G$128=G39))+1,IF(N39&lt;&gt;"",SUMPRODUCT((N$3:N$128&lt;&gt;"")*(G$3:G$128=G39)*(J$3:J$128&gt;J39))+1,IF(M39="P",SUMPRODUCT((O$3:O$128&lt;&gt;"")*(P$3:P$128="")*(G$3:G$128=G39))+SUMPRODUCT((P$3:P$128&lt;&gt;"")*(G$3:G$128=G39))+SUMPRODUCT((N$3:N$128&lt;&gt;"")*(G$3:G$128=G39))+SUMPRODUCT((P$3:P$128="")*(O$3:O$128="")*(N$3:N$128="")*(M$3:M$128="P")*(G$3:G$128=G39)*(J$3:J$128&gt;J39))+IF(H39="L5",SUMPRODUCT((P$3:P$128="")*(O$3:O$128="")*(N$3:N$128="")*(M$3:M$128="P")*(G$3:G$128=G39)*(J$3:J$128&lt;J39)*(H$3:H$128&lt;&gt;H39)),-1*SUMPRODUCT((P$3:P$128="")*(O$3:O$128="")*(N$3:N$128="")*(M$3:M$128="P")*(G$3:G$128=G39)*(J$3:J$128&gt;J39)*(H$3:H$128="L5")))+1,""))))</f>
        <v/>
      </c>
      <c r="C39" s="36" t="s">
        <v>268</v>
      </c>
      <c r="D39" s="36" t="str">
        <f>IF(E39="","",VLOOKUP(E39,'Coaching Points'!A:B,2,0))</f>
        <v>QC</v>
      </c>
      <c r="E39" s="36" t="s">
        <v>179</v>
      </c>
      <c r="F39" s="35">
        <v>2004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4.5329999999999996E-6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Scores'!C$13,T39,0),IF(W39&gt;='Qualifying Scores'!C$13,V39,0),IF(Z39&gt;='Qualifying Scores'!C$13,Y39,0),IF(AB39&gt;='Qualifying Scores'!C$13,AA39,0),IF(AD39&gt;'Qualifying Scores'!C$13,AC39,0),IF(AG39&gt;'Qualifying Scores'!C$13,AF39,0)),MAX(IF(OR(AND(G39="15-16",W39&gt;='Qualifying Scores'!C$12),AND(G39="13-14",W39&gt;='Qualifying Scores'!C$11),AND(G39="11-12",W39&gt;='Qualifying Scores'!C$10)),X39,0),IF(OR(AND(G39="15-16",AD39&gt;='Qualifying Scores'!C$12),AND(G39="13-14",AD39&gt;='Qualifying Scores'!C$11),AND(G39="11-12",AD39&gt;='Qualifying Scores'!C$10)),AE39,0))))</f>
        <v>0</v>
      </c>
      <c r="S39" s="4">
        <f>IF(G39="17-21",MAX(T39,V39,Y39,AA39,AC39,AF39),MAX(X39,AE39))</f>
        <v>45.33</v>
      </c>
      <c r="T39" s="33">
        <v>39.634999999999998</v>
      </c>
      <c r="U39" s="40">
        <v>0</v>
      </c>
      <c r="V39" s="34">
        <v>43.204999999999998</v>
      </c>
      <c r="W39" s="40">
        <v>7.4999999999999991</v>
      </c>
      <c r="X39" s="4">
        <f>IF(H39="Senior",MAX(T39,V39),T39+V39)</f>
        <v>82.84</v>
      </c>
      <c r="Y39" s="34">
        <v>0</v>
      </c>
      <c r="Z39" s="40">
        <v>0</v>
      </c>
      <c r="AA39" s="33">
        <v>39.86</v>
      </c>
      <c r="AB39" s="40">
        <v>0</v>
      </c>
      <c r="AC39" s="34">
        <v>45.33</v>
      </c>
      <c r="AD39" s="40">
        <v>8.3000000000000007</v>
      </c>
      <c r="AE39" s="4">
        <f>IF(H39="Senior",MAX(AA39,AC39),AA39+AC39)</f>
        <v>85.19</v>
      </c>
      <c r="AF39" s="34">
        <v>18.89</v>
      </c>
      <c r="AG39" s="37">
        <v>4</v>
      </c>
    </row>
    <row r="40" spans="1:33" x14ac:dyDescent="0.2">
      <c r="A40" s="1" t="str" cm="1">
        <f t="array" ref="A40">IF(I40="","",IF(P40&lt;&gt;"",SUMPRODUCT((P$3:P$128&lt;&gt;"")*(G$3:G$128=G40)*(J$3:J$128&gt;J40)*(I$3:I$128="P"))+1,IF(O40&lt;&gt;"",SUMPRODUCT((O$3:O$128&lt;&gt;"")*(P$3:P$128="")*(G$3:G$128=G40)*(J$3:J$128&gt;J40)*(I$3:I$128="P"))+SUMPRODUCT((P$3:P$128&lt;&gt;"")*(G$3:G$128=G40)*(I$3:I$128="P"))+1,IF(N40&lt;&gt;"",SUMPRODUCT((N$3:N$128&lt;&gt;"")*(G$3:G$128=G40)*(J$3:J$128&gt;J40)*(I$3:I$128="P"))+1,IF(M40="P",SUMPRODUCT((O$3:O$128&lt;&gt;"")*(P$3:P$128="")*(G$3:G$128=G40)*(I$3:I$128="P"))+SUMPRODUCT((P$3:P$128&lt;&gt;"")*(G$3:G$128=G40)*(I$3:I$128="P"))+SUMPRODUCT((N$3:N$128&lt;&gt;"")*(G$3:G$128=G40)*(I$3:I$128="P"))+SUMPRODUCT((P$3:P$128="")*(O$3:O$128="")*(N$3:N$128="")*(M$3:M$128="P")*(G$3:G$128=G40)*(J$3:J$128&gt;J40)*(I$3:I$128="P"))+IF(H40="L5",SUMPRODUCT((P$3:P$128="")*(O$3:O$128="")*(N$3:N$128="")*(M$3:M$128="P")*(G$3:G$128=G40)*(J$3:J$128&lt;J40)*(H$3:H$128&lt;&gt;H40)*(I$3:I$128="P")),-1*SUMPRODUCT((P$3:P$128="")*(O$3:O$128="")*(N$3:N$128="")*(M$3:M$128="P")*(G$3:G$128=G40)*(J$3:J$128&gt;J40)*(H$3:H$128="L5")*(I$3:I$128="P")))+1,"")))))</f>
        <v/>
      </c>
      <c r="B40" s="1" t="str" cm="1">
        <f t="array" ref="B40">IF(P40&lt;&gt;"",SUMPRODUCT((P$3:P$128&lt;&gt;"")*(G$3:G$128=G40)*(J$3:J$128&gt;J40))+1,IF(O40&lt;&gt;"",SUMPRODUCT((O$3:O$128&lt;&gt;"")*(P$3:P$128="")*(G$3:G$128=G40)*(J$3:J$128&gt;J40))+SUMPRODUCT((P$3:P$128&lt;&gt;"")*(G$3:G$128=G40))+1,IF(N40&lt;&gt;"",SUMPRODUCT((N$3:N$128&lt;&gt;"")*(G$3:G$128=G40)*(J$3:J$128&gt;J40))+1,IF(M40="P",SUMPRODUCT((O$3:O$128&lt;&gt;"")*(P$3:P$128="")*(G$3:G$128=G40))+SUMPRODUCT((P$3:P$128&lt;&gt;"")*(G$3:G$128=G40))+SUMPRODUCT((N$3:N$128&lt;&gt;"")*(G$3:G$128=G40))+SUMPRODUCT((P$3:P$128="")*(O$3:O$128="")*(N$3:N$128="")*(M$3:M$128="P")*(G$3:G$128=G40)*(J$3:J$128&gt;J40))+IF(H40="L5",SUMPRODUCT((P$3:P$128="")*(O$3:O$128="")*(N$3:N$128="")*(M$3:M$128="P")*(G$3:G$128=G40)*(J$3:J$128&lt;J40)*(H$3:H$128&lt;&gt;H40)),-1*SUMPRODUCT((P$3:P$128="")*(O$3:O$128="")*(N$3:N$128="")*(M$3:M$128="P")*(G$3:G$128=G40)*(J$3:J$128&gt;J40)*(H$3:H$128="L5")))+1,""))))</f>
        <v/>
      </c>
      <c r="C40" s="36" t="s">
        <v>448</v>
      </c>
      <c r="D40" s="36" t="str">
        <f>IF(E40="","",VLOOKUP(E40,'Coaching Points'!A:B,2,0))</f>
        <v>BC</v>
      </c>
      <c r="E40" s="36" t="s">
        <v>37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4.5079999999999999E-6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Scores'!C$13,T40,0),IF(W40&gt;='Qualifying Scores'!C$13,V40,0),IF(Z40&gt;='Qualifying Scores'!C$13,Y40,0),IF(AB40&gt;='Qualifying Scores'!C$13,AA40,0),IF(AD40&gt;'Qualifying Scores'!C$13,AC40,0),IF(AG40&gt;'Qualifying Scores'!C$13,AF40,0)),MAX(IF(OR(AND(G40="15-16",W40&gt;='Qualifying Scores'!C$12),AND(G40="13-14",W40&gt;='Qualifying Scores'!C$11),AND(G40="11-12",W40&gt;='Qualifying Scores'!C$10)),X40,0),IF(OR(AND(G40="15-16",AD40&gt;='Qualifying Scores'!C$12),AND(G40="13-14",AD40&gt;='Qualifying Scores'!C$11),AND(G40="11-12",AD40&gt;='Qualifying Scores'!C$10)),AE40,0))))</f>
        <v>0</v>
      </c>
      <c r="S40" s="4">
        <f>IF(G40="17-21",MAX(T40,V40,Y40,AA40,AC40,AF40),MAX(X40,AE40))</f>
        <v>45.08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30.3</v>
      </c>
      <c r="AB40" s="40">
        <v>0</v>
      </c>
      <c r="AC40" s="34">
        <v>45.08</v>
      </c>
      <c r="AD40" s="40">
        <v>8.4</v>
      </c>
      <c r="AE40" s="4">
        <f>IF(H40="Senior",MAX(AA40,AC40),AA40+AC40)</f>
        <v>75.38</v>
      </c>
      <c r="AF40" s="34"/>
      <c r="AG40" s="37"/>
    </row>
    <row r="41" spans="1:33" x14ac:dyDescent="0.2">
      <c r="A41" s="1" t="str" cm="1">
        <f t="array" ref="A41">IF(I41="","",IF(P41&lt;&gt;"",SUMPRODUCT((P$3:P$128&lt;&gt;"")*(G$3:G$128=G41)*(J$3:J$128&gt;J41)*(I$3:I$128="P"))+1,IF(O41&lt;&gt;"",SUMPRODUCT((O$3:O$128&lt;&gt;"")*(P$3:P$128="")*(G$3:G$128=G41)*(J$3:J$128&gt;J41)*(I$3:I$128="P"))+SUMPRODUCT((P$3:P$128&lt;&gt;"")*(G$3:G$128=G41)*(I$3:I$128="P"))+1,IF(N41&lt;&gt;"",SUMPRODUCT((N$3:N$128&lt;&gt;"")*(G$3:G$128=G41)*(J$3:J$128&gt;J41)*(I$3:I$128="P"))+1,IF(M41="P",SUMPRODUCT((O$3:O$128&lt;&gt;"")*(P$3:P$128="")*(G$3:G$128=G41)*(I$3:I$128="P"))+SUMPRODUCT((P$3:P$128&lt;&gt;"")*(G$3:G$128=G41)*(I$3:I$128="P"))+SUMPRODUCT((N$3:N$128&lt;&gt;"")*(G$3:G$128=G41)*(I$3:I$128="P"))+SUMPRODUCT((P$3:P$128="")*(O$3:O$128="")*(N$3:N$128="")*(M$3:M$128="P")*(G$3:G$128=G41)*(J$3:J$128&gt;J41)*(I$3:I$128="P"))+IF(H41="L5",SUMPRODUCT((P$3:P$128="")*(O$3:O$128="")*(N$3:N$128="")*(M$3:M$128="P")*(G$3:G$128=G41)*(J$3:J$128&lt;J41)*(H$3:H$128&lt;&gt;H41)*(I$3:I$128="P")),-1*SUMPRODUCT((P$3:P$128="")*(O$3:O$128="")*(N$3:N$128="")*(M$3:M$128="P")*(G$3:G$128=G41)*(J$3:J$128&gt;J41)*(H$3:H$128="L5")*(I$3:I$128="P")))+1,"")))))</f>
        <v/>
      </c>
      <c r="B41" s="1" t="str" cm="1">
        <f t="array" ref="B41">IF(P41&lt;&gt;"",SUMPRODUCT((P$3:P$128&lt;&gt;"")*(G$3:G$128=G41)*(J$3:J$128&gt;J41))+1,IF(O41&lt;&gt;"",SUMPRODUCT((O$3:O$128&lt;&gt;"")*(P$3:P$128="")*(G$3:G$128=G41)*(J$3:J$128&gt;J41))+SUMPRODUCT((P$3:P$128&lt;&gt;"")*(G$3:G$128=G41))+1,IF(N41&lt;&gt;"",SUMPRODUCT((N$3:N$128&lt;&gt;"")*(G$3:G$128=G41)*(J$3:J$128&gt;J41))+1,IF(M41="P",SUMPRODUCT((O$3:O$128&lt;&gt;"")*(P$3:P$128="")*(G$3:G$128=G41))+SUMPRODUCT((P$3:P$128&lt;&gt;"")*(G$3:G$128=G41))+SUMPRODUCT((N$3:N$128&lt;&gt;"")*(G$3:G$128=G41))+SUMPRODUCT((P$3:P$128="")*(O$3:O$128="")*(N$3:N$128="")*(M$3:M$128="P")*(G$3:G$128=G41)*(J$3:J$128&gt;J41))+IF(H41="L5",SUMPRODUCT((P$3:P$128="")*(O$3:O$128="")*(N$3:N$128="")*(M$3:M$128="P")*(G$3:G$128=G41)*(J$3:J$128&lt;J41)*(H$3:H$128&lt;&gt;H41)),-1*SUMPRODUCT((P$3:P$128="")*(O$3:O$128="")*(N$3:N$128="")*(M$3:M$128="P")*(G$3:G$128=G41)*(J$3:J$128&gt;J41)*(H$3:H$128="L5")))+1,""))))</f>
        <v/>
      </c>
      <c r="C41" s="36" t="s">
        <v>262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4.4969999999999995E-6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Scores'!C$13,T41,0),IF(W41&gt;='Qualifying Scores'!C$13,V41,0),IF(Z41&gt;='Qualifying Scores'!C$13,Y41,0),IF(AB41&gt;='Qualifying Scores'!C$13,AA41,0),IF(AD41&gt;'Qualifying Scores'!C$13,AC41,0),IF(AG41&gt;'Qualifying Scores'!C$13,AF41,0)),MAX(IF(OR(AND(G41="15-16",W41&gt;='Qualifying Scores'!C$12),AND(G41="13-14",W41&gt;='Qualifying Scores'!C$11),AND(G41="11-12",W41&gt;='Qualifying Scores'!C$10)),X41,0),IF(OR(AND(G41="15-16",AD41&gt;='Qualifying Scores'!C$12),AND(G41="13-14",AD41&gt;='Qualifying Scores'!C$11),AND(G41="11-12",AD41&gt;='Qualifying Scores'!C$10)),AE41,0))))</f>
        <v>0</v>
      </c>
      <c r="S41" s="4">
        <f>IF(G41="17-21",MAX(T41,V41,Y41,AA41,AC41,AF41),MAX(X41,AE41))</f>
        <v>45.885000000000005</v>
      </c>
      <c r="T41" s="33">
        <v>39.81</v>
      </c>
      <c r="U41" s="40">
        <v>0</v>
      </c>
      <c r="V41" s="34">
        <v>45.885000000000005</v>
      </c>
      <c r="W41" s="40">
        <v>7.7</v>
      </c>
      <c r="X41" s="4">
        <f>IF(H41="Senior",MAX(T41,V41),T41+V41)</f>
        <v>85.695000000000007</v>
      </c>
      <c r="Y41" s="34">
        <v>45.52</v>
      </c>
      <c r="Z41" s="40">
        <v>7.7</v>
      </c>
      <c r="AA41" s="33">
        <v>39.01</v>
      </c>
      <c r="AB41" s="40">
        <v>0</v>
      </c>
      <c r="AC41" s="34">
        <v>44.97</v>
      </c>
      <c r="AD41" s="40">
        <v>7.8</v>
      </c>
      <c r="AE41" s="4">
        <f>IF(H41="Senior",MAX(AA41,AC41),AA41+AC41)</f>
        <v>83.97999999999999</v>
      </c>
      <c r="AF41" s="34"/>
      <c r="AG41" s="37"/>
    </row>
    <row r="42" spans="1:33" x14ac:dyDescent="0.2">
      <c r="A42" s="1" t="str" cm="1">
        <f t="array" ref="A42">IF(I42="","",IF(P42&lt;&gt;"",SUMPRODUCT((P$3:P$128&lt;&gt;"")*(G$3:G$128=G42)*(J$3:J$128&gt;J42)*(I$3:I$128="P"))+1,IF(O42&lt;&gt;"",SUMPRODUCT((O$3:O$128&lt;&gt;"")*(P$3:P$128="")*(G$3:G$128=G42)*(J$3:J$128&gt;J42)*(I$3:I$128="P"))+SUMPRODUCT((P$3:P$128&lt;&gt;"")*(G$3:G$128=G42)*(I$3:I$128="P"))+1,IF(N42&lt;&gt;"",SUMPRODUCT((N$3:N$128&lt;&gt;"")*(G$3:G$128=G42)*(J$3:J$128&gt;J42)*(I$3:I$128="P"))+1,IF(M42="P",SUMPRODUCT((O$3:O$128&lt;&gt;"")*(P$3:P$128="")*(G$3:G$128=G42)*(I$3:I$128="P"))+SUMPRODUCT((P$3:P$128&lt;&gt;"")*(G$3:G$128=G42)*(I$3:I$128="P"))+SUMPRODUCT((N$3:N$128&lt;&gt;"")*(G$3:G$128=G42)*(I$3:I$128="P"))+SUMPRODUCT((P$3:P$128="")*(O$3:O$128="")*(N$3:N$128="")*(M$3:M$128="P")*(G$3:G$128=G42)*(J$3:J$128&gt;J42)*(I$3:I$128="P"))+IF(H42="L5",SUMPRODUCT((P$3:P$128="")*(O$3:O$128="")*(N$3:N$128="")*(M$3:M$128="P")*(G$3:G$128=G42)*(J$3:J$128&lt;J42)*(H$3:H$128&lt;&gt;H42)*(I$3:I$128="P")),-1*SUMPRODUCT((P$3:P$128="")*(O$3:O$128="")*(N$3:N$128="")*(M$3:M$128="P")*(G$3:G$128=G42)*(J$3:J$128&gt;J42)*(H$3:H$128="L5")*(I$3:I$128="P")))+1,"")))))</f>
        <v/>
      </c>
      <c r="B42" s="1" t="str" cm="1">
        <f t="array" ref="B42">IF(P42&lt;&gt;"",SUMPRODUCT((P$3:P$128&lt;&gt;"")*(G$3:G$128=G42)*(J$3:J$128&gt;J42))+1,IF(O42&lt;&gt;"",SUMPRODUCT((O$3:O$128&lt;&gt;"")*(P$3:P$128="")*(G$3:G$128=G42)*(J$3:J$128&gt;J42))+SUMPRODUCT((P$3:P$128&lt;&gt;"")*(G$3:G$128=G42))+1,IF(N42&lt;&gt;"",SUMPRODUCT((N$3:N$128&lt;&gt;"")*(G$3:G$128=G42)*(J$3:J$128&gt;J42))+1,IF(M42="P",SUMPRODUCT((O$3:O$128&lt;&gt;"")*(P$3:P$128="")*(G$3:G$128=G42))+SUMPRODUCT((P$3:P$128&lt;&gt;"")*(G$3:G$128=G42))+SUMPRODUCT((N$3:N$128&lt;&gt;"")*(G$3:G$128=G42))+SUMPRODUCT((P$3:P$128="")*(O$3:O$128="")*(N$3:N$128="")*(M$3:M$128="P")*(G$3:G$128=G42)*(J$3:J$128&gt;J42))+IF(H42="L5",SUMPRODUCT((P$3:P$128="")*(O$3:O$128="")*(N$3:N$128="")*(M$3:M$128="P")*(G$3:G$128=G42)*(J$3:J$128&lt;J42)*(H$3:H$128&lt;&gt;H42)),-1*SUMPRODUCT((P$3:P$128="")*(O$3:O$128="")*(N$3:N$128="")*(M$3:M$128="P")*(G$3:G$128=G42)*(J$3:J$128&gt;J42)*(H$3:H$128="L5")))+1,""))))</f>
        <v/>
      </c>
      <c r="C42" s="36" t="s">
        <v>443</v>
      </c>
      <c r="D42" s="36" t="str">
        <f>IF(E42="","",VLOOKUP(E42,'Coaching Points'!A:B,2,0))</f>
        <v>QC</v>
      </c>
      <c r="E42" s="36" t="s">
        <v>361</v>
      </c>
      <c r="F42" s="35">
        <v>2004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4.4899999999999994E-6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Scores'!C$13,T42,0),IF(W42&gt;='Qualifying Scores'!C$13,V42,0),IF(Z42&gt;='Qualifying Scores'!C$13,Y42,0),IF(AB42&gt;='Qualifying Scores'!C$13,AA42,0),IF(AD42&gt;'Qualifying Scores'!C$13,AC42,0),IF(AG42&gt;'Qualifying Scores'!C$13,AF42,0)),MAX(IF(OR(AND(G42="15-16",W42&gt;='Qualifying Scores'!C$12),AND(G42="13-14",W42&gt;='Qualifying Scores'!C$11),AND(G42="11-12",W42&gt;='Qualifying Scores'!C$10)),X42,0),IF(OR(AND(G42="15-16",AD42&gt;='Qualifying Scores'!C$12),AND(G42="13-14",AD42&gt;='Qualifying Scores'!C$11),AND(G42="11-12",AD42&gt;='Qualifying Scores'!C$10)),AE42,0))))</f>
        <v>0</v>
      </c>
      <c r="S42" s="4">
        <f>IF(G42="17-21",MAX(T42,V42,Y42,AA42,AC42,AF42),MAX(X42,AE42))</f>
        <v>44.9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39.270000000000003</v>
      </c>
      <c r="AB42" s="40">
        <v>0</v>
      </c>
      <c r="AC42" s="34">
        <v>44.9</v>
      </c>
      <c r="AD42" s="40">
        <v>7</v>
      </c>
      <c r="AE42" s="4">
        <f>IF(H42="Senior",MAX(AA42,AC42),AA42+AC42)</f>
        <v>84.17</v>
      </c>
      <c r="AF42" s="34">
        <v>43.62</v>
      </c>
      <c r="AG42" s="37">
        <v>7</v>
      </c>
    </row>
    <row r="43" spans="1:33" x14ac:dyDescent="0.2">
      <c r="A43" s="1" t="str" cm="1">
        <f t="array" ref="A43">IF(I43="","",IF(P43&lt;&gt;"",SUMPRODUCT((P$3:P$128&lt;&gt;"")*(G$3:G$128=G43)*(J$3:J$128&gt;J43)*(I$3:I$128="P"))+1,IF(O43&lt;&gt;"",SUMPRODUCT((O$3:O$128&lt;&gt;"")*(P$3:P$128="")*(G$3:G$128=G43)*(J$3:J$128&gt;J43)*(I$3:I$128="P"))+SUMPRODUCT((P$3:P$128&lt;&gt;"")*(G$3:G$128=G43)*(I$3:I$128="P"))+1,IF(N43&lt;&gt;"",SUMPRODUCT((N$3:N$128&lt;&gt;"")*(G$3:G$128=G43)*(J$3:J$128&gt;J43)*(I$3:I$128="P"))+1,IF(M43="P",SUMPRODUCT((O$3:O$128&lt;&gt;"")*(P$3:P$128="")*(G$3:G$128=G43)*(I$3:I$128="P"))+SUMPRODUCT((P$3:P$128&lt;&gt;"")*(G$3:G$128=G43)*(I$3:I$128="P"))+SUMPRODUCT((N$3:N$128&lt;&gt;"")*(G$3:G$128=G43)*(I$3:I$128="P"))+SUMPRODUCT((P$3:P$128="")*(O$3:O$128="")*(N$3:N$128="")*(M$3:M$128="P")*(G$3:G$128=G43)*(J$3:J$128&gt;J43)*(I$3:I$128="P"))+IF(H43="L5",SUMPRODUCT((P$3:P$128="")*(O$3:O$128="")*(N$3:N$128="")*(M$3:M$128="P")*(G$3:G$128=G43)*(J$3:J$128&lt;J43)*(H$3:H$128&lt;&gt;H43)*(I$3:I$128="P")),-1*SUMPRODUCT((P$3:P$128="")*(O$3:O$128="")*(N$3:N$128="")*(M$3:M$128="P")*(G$3:G$128=G43)*(J$3:J$128&gt;J43)*(H$3:H$128="L5")*(I$3:I$128="P")))+1,"")))))</f>
        <v/>
      </c>
      <c r="B43" s="1" t="str" cm="1">
        <f t="array" ref="B43">IF(P43&lt;&gt;"",SUMPRODUCT((P$3:P$128&lt;&gt;"")*(G$3:G$128=G43)*(J$3:J$128&gt;J43))+1,IF(O43&lt;&gt;"",SUMPRODUCT((O$3:O$128&lt;&gt;"")*(P$3:P$128="")*(G$3:G$128=G43)*(J$3:J$128&gt;J43))+SUMPRODUCT((P$3:P$128&lt;&gt;"")*(G$3:G$128=G43))+1,IF(N43&lt;&gt;"",SUMPRODUCT((N$3:N$128&lt;&gt;"")*(G$3:G$128=G43)*(J$3:J$128&gt;J43))+1,IF(M43="P",SUMPRODUCT((O$3:O$128&lt;&gt;"")*(P$3:P$128="")*(G$3:G$128=G43))+SUMPRODUCT((P$3:P$128&lt;&gt;"")*(G$3:G$128=G43))+SUMPRODUCT((N$3:N$128&lt;&gt;"")*(G$3:G$128=G43))+SUMPRODUCT((P$3:P$128="")*(O$3:O$128="")*(N$3:N$128="")*(M$3:M$128="P")*(G$3:G$128=G43)*(J$3:J$128&gt;J43))+IF(H43="L5",SUMPRODUCT((P$3:P$128="")*(O$3:O$128="")*(N$3:N$128="")*(M$3:M$128="P")*(G$3:G$128=G43)*(J$3:J$128&lt;J43)*(H$3:H$128&lt;&gt;H43)),-1*SUMPRODUCT((P$3:P$128="")*(O$3:O$128="")*(N$3:N$128="")*(M$3:M$128="P")*(G$3:G$128=G43)*(J$3:J$128&gt;J43)*(H$3:H$128="L5")))+1,""))))</f>
        <v/>
      </c>
      <c r="C43" s="36" t="s">
        <v>263</v>
      </c>
      <c r="D43" s="36" t="str">
        <f>IF(E43="","",VLOOKUP(E43,'Coaching Points'!A:B,2,0))</f>
        <v>BC</v>
      </c>
      <c r="E43" s="36" t="s">
        <v>47</v>
      </c>
      <c r="F43" s="35">
        <v>2004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4.481E-6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Scores'!C$13,T43,0),IF(W43&gt;='Qualifying Scores'!C$13,V43,0),IF(Z43&gt;='Qualifying Scores'!C$13,Y43,0),IF(AB43&gt;='Qualifying Scores'!C$13,AA43,0),IF(AD43&gt;'Qualifying Scores'!C$13,AC43,0),IF(AG43&gt;'Qualifying Scores'!C$13,AF43,0)),MAX(IF(OR(AND(G43="15-16",W43&gt;='Qualifying Scores'!C$12),AND(G43="13-14",W43&gt;='Qualifying Scores'!C$11),AND(G43="11-12",W43&gt;='Qualifying Scores'!C$10)),X43,0),IF(OR(AND(G43="15-16",AD43&gt;='Qualifying Scores'!C$12),AND(G43="13-14",AD43&gt;='Qualifying Scores'!C$11),AND(G43="11-12",AD43&gt;='Qualifying Scores'!C$10)),AE43,0))))</f>
        <v>0</v>
      </c>
      <c r="S43" s="4">
        <f>IF(G43="17-21",MAX(T43,V43,Y43,AA43,AC43,AF43),MAX(X43,AE43))</f>
        <v>45.484999999999999</v>
      </c>
      <c r="T43" s="33">
        <v>39.484999999999999</v>
      </c>
      <c r="U43" s="40">
        <v>0</v>
      </c>
      <c r="V43" s="34">
        <v>45.484999999999999</v>
      </c>
      <c r="W43" s="40">
        <v>8.4999999999999982</v>
      </c>
      <c r="X43" s="4">
        <f>IF(H43="Senior",MAX(T43,V43),T43+V43)</f>
        <v>84.97</v>
      </c>
      <c r="Y43" s="34">
        <v>43.734999999999999</v>
      </c>
      <c r="Z43" s="40">
        <v>8.4999999999999982</v>
      </c>
      <c r="AA43" s="33">
        <v>39.35</v>
      </c>
      <c r="AB43" s="40">
        <v>0</v>
      </c>
      <c r="AC43" s="34">
        <v>44.81</v>
      </c>
      <c r="AD43" s="40">
        <v>8.5</v>
      </c>
      <c r="AE43" s="4">
        <f>IF(H43="Senior",MAX(AA43,AC43),AA43+AC43)</f>
        <v>84.16</v>
      </c>
      <c r="AF43" s="34"/>
      <c r="AG43" s="37"/>
    </row>
    <row r="44" spans="1:33" x14ac:dyDescent="0.2">
      <c r="A44" s="1" t="str" cm="1">
        <f t="array" ref="A44">IF(I44="","",IF(P44&lt;&gt;"",SUMPRODUCT((P$3:P$128&lt;&gt;"")*(G$3:G$128=G44)*(J$3:J$128&gt;J44)*(I$3:I$128="P"))+1,IF(O44&lt;&gt;"",SUMPRODUCT((O$3:O$128&lt;&gt;"")*(P$3:P$128="")*(G$3:G$128=G44)*(J$3:J$128&gt;J44)*(I$3:I$128="P"))+SUMPRODUCT((P$3:P$128&lt;&gt;"")*(G$3:G$128=G44)*(I$3:I$128="P"))+1,IF(N44&lt;&gt;"",SUMPRODUCT((N$3:N$128&lt;&gt;"")*(G$3:G$128=G44)*(J$3:J$128&gt;J44)*(I$3:I$128="P"))+1,IF(M44="P",SUMPRODUCT((O$3:O$128&lt;&gt;"")*(P$3:P$128="")*(G$3:G$128=G44)*(I$3:I$128="P"))+SUMPRODUCT((P$3:P$128&lt;&gt;"")*(G$3:G$128=G44)*(I$3:I$128="P"))+SUMPRODUCT((N$3:N$128&lt;&gt;"")*(G$3:G$128=G44)*(I$3:I$128="P"))+SUMPRODUCT((P$3:P$128="")*(O$3:O$128="")*(N$3:N$128="")*(M$3:M$128="P")*(G$3:G$128=G44)*(J$3:J$128&gt;J44)*(I$3:I$128="P"))+IF(H44="L5",SUMPRODUCT((P$3:P$128="")*(O$3:O$128="")*(N$3:N$128="")*(M$3:M$128="P")*(G$3:G$128=G44)*(J$3:J$128&lt;J44)*(H$3:H$128&lt;&gt;H44)*(I$3:I$128="P")),-1*SUMPRODUCT((P$3:P$128="")*(O$3:O$128="")*(N$3:N$128="")*(M$3:M$128="P")*(G$3:G$128=G44)*(J$3:J$128&gt;J44)*(H$3:H$128="L5")*(I$3:I$128="P")))+1,"")))))</f>
        <v/>
      </c>
      <c r="B44" s="1" t="str" cm="1">
        <f t="array" ref="B44">IF(P44&lt;&gt;"",SUMPRODUCT((P$3:P$128&lt;&gt;"")*(G$3:G$128=G44)*(J$3:J$128&gt;J44))+1,IF(O44&lt;&gt;"",SUMPRODUCT((O$3:O$128&lt;&gt;"")*(P$3:P$128="")*(G$3:G$128=G44)*(J$3:J$128&gt;J44))+SUMPRODUCT((P$3:P$128&lt;&gt;"")*(G$3:G$128=G44))+1,IF(N44&lt;&gt;"",SUMPRODUCT((N$3:N$128&lt;&gt;"")*(G$3:G$128=G44)*(J$3:J$128&gt;J44))+1,IF(M44="P",SUMPRODUCT((O$3:O$128&lt;&gt;"")*(P$3:P$128="")*(G$3:G$128=G44))+SUMPRODUCT((P$3:P$128&lt;&gt;"")*(G$3:G$128=G44))+SUMPRODUCT((N$3:N$128&lt;&gt;"")*(G$3:G$128=G44))+SUMPRODUCT((P$3:P$128="")*(O$3:O$128="")*(N$3:N$128="")*(M$3:M$128="P")*(G$3:G$128=G44)*(J$3:J$128&gt;J44))+IF(H44="L5",SUMPRODUCT((P$3:P$128="")*(O$3:O$128="")*(N$3:N$128="")*(M$3:M$128="P")*(G$3:G$128=G44)*(J$3:J$128&lt;J44)*(H$3:H$128&lt;&gt;H44)),-1*SUMPRODUCT((P$3:P$128="")*(O$3:O$128="")*(N$3:N$128="")*(M$3:M$128="P")*(G$3:G$128=G44)*(J$3:J$128&gt;J44)*(H$3:H$128="L5")))+1,""))))</f>
        <v/>
      </c>
      <c r="C44" s="36" t="s">
        <v>441</v>
      </c>
      <c r="D44" s="36" t="str">
        <f>IF(E44="","",VLOOKUP(E44,'Coaching Points'!A:B,2,0))</f>
        <v>ON</v>
      </c>
      <c r="E44" s="36" t="s">
        <v>582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4.4770000000000005E-6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Scores'!C$13,T44,0),IF(W44&gt;='Qualifying Scores'!C$13,V44,0),IF(Z44&gt;='Qualifying Scores'!C$13,Y44,0),IF(AB44&gt;='Qualifying Scores'!C$13,AA44,0),IF(AD44&gt;'Qualifying Scores'!C$13,AC44,0),IF(AG44&gt;'Qualifying Scores'!C$13,AF44,0)),MAX(IF(OR(AND(G44="15-16",W44&gt;='Qualifying Scores'!C$12),AND(G44="13-14",W44&gt;='Qualifying Scores'!C$11),AND(G44="11-12",W44&gt;='Qualifying Scores'!C$10)),X44,0),IF(OR(AND(G44="15-16",AD44&gt;='Qualifying Scores'!C$12),AND(G44="13-14",AD44&gt;='Qualifying Scores'!C$11),AND(G44="11-12",AD44&gt;='Qualifying Scores'!C$10)),AE44,0))))</f>
        <v>0</v>
      </c>
      <c r="S44" s="4">
        <f>IF(G44="17-21",MAX(T44,V44,Y44,AA44,AC44,AF44),MAX(X44,AE44))</f>
        <v>44.77</v>
      </c>
      <c r="T44" s="33"/>
      <c r="U44" s="40"/>
      <c r="V44" s="34"/>
      <c r="W44" s="40"/>
      <c r="X44" s="4">
        <f>IF(H44="Senior",MAX(T44,V44),T44+V44)</f>
        <v>0</v>
      </c>
      <c r="Y44" s="34"/>
      <c r="Z44" s="40"/>
      <c r="AA44" s="33">
        <v>38.85</v>
      </c>
      <c r="AB44" s="40">
        <v>0</v>
      </c>
      <c r="AC44" s="34">
        <v>44.77</v>
      </c>
      <c r="AD44" s="40">
        <v>7.8</v>
      </c>
      <c r="AE44" s="4">
        <f>IF(H44="Senior",MAX(AA44,AC44),AA44+AC44)</f>
        <v>83.62</v>
      </c>
      <c r="AF44" s="34"/>
      <c r="AG44" s="37"/>
    </row>
    <row r="45" spans="1:33" x14ac:dyDescent="0.2">
      <c r="A45" s="1" t="str" cm="1">
        <f t="array" ref="A45">IF(I45="","",IF(P45&lt;&gt;"",SUMPRODUCT((P$3:P$128&lt;&gt;"")*(G$3:G$128=G45)*(J$3:J$128&gt;J45)*(I$3:I$128="P"))+1,IF(O45&lt;&gt;"",SUMPRODUCT((O$3:O$128&lt;&gt;"")*(P$3:P$128="")*(G$3:G$128=G45)*(J$3:J$128&gt;J45)*(I$3:I$128="P"))+SUMPRODUCT((P$3:P$128&lt;&gt;"")*(G$3:G$128=G45)*(I$3:I$128="P"))+1,IF(N45&lt;&gt;"",SUMPRODUCT((N$3:N$128&lt;&gt;"")*(G$3:G$128=G45)*(J$3:J$128&gt;J45)*(I$3:I$128="P"))+1,IF(M45="P",SUMPRODUCT((O$3:O$128&lt;&gt;"")*(P$3:P$128="")*(G$3:G$128=G45)*(I$3:I$128="P"))+SUMPRODUCT((P$3:P$128&lt;&gt;"")*(G$3:G$128=G45)*(I$3:I$128="P"))+SUMPRODUCT((N$3:N$128&lt;&gt;"")*(G$3:G$128=G45)*(I$3:I$128="P"))+SUMPRODUCT((P$3:P$128="")*(O$3:O$128="")*(N$3:N$128="")*(M$3:M$128="P")*(G$3:G$128=G45)*(J$3:J$128&gt;J45)*(I$3:I$128="P"))+IF(H45="L5",SUMPRODUCT((P$3:P$128="")*(O$3:O$128="")*(N$3:N$128="")*(M$3:M$128="P")*(G$3:G$128=G45)*(J$3:J$128&lt;J45)*(H$3:H$128&lt;&gt;H45)*(I$3:I$128="P")),-1*SUMPRODUCT((P$3:P$128="")*(O$3:O$128="")*(N$3:N$128="")*(M$3:M$128="P")*(G$3:G$128=G45)*(J$3:J$128&gt;J45)*(H$3:H$128="L5")*(I$3:I$128="P")))+1,"")))))</f>
        <v/>
      </c>
      <c r="B45" s="1" t="str" cm="1">
        <f t="array" ref="B45">IF(P45&lt;&gt;"",SUMPRODUCT((P$3:P$128&lt;&gt;"")*(G$3:G$128=G45)*(J$3:J$128&gt;J45))+1,IF(O45&lt;&gt;"",SUMPRODUCT((O$3:O$128&lt;&gt;"")*(P$3:P$128="")*(G$3:G$128=G45)*(J$3:J$128&gt;J45))+SUMPRODUCT((P$3:P$128&lt;&gt;"")*(G$3:G$128=G45))+1,IF(N45&lt;&gt;"",SUMPRODUCT((N$3:N$128&lt;&gt;"")*(G$3:G$128=G45)*(J$3:J$128&gt;J45))+1,IF(M45="P",SUMPRODUCT((O$3:O$128&lt;&gt;"")*(P$3:P$128="")*(G$3:G$128=G45))+SUMPRODUCT((P$3:P$128&lt;&gt;"")*(G$3:G$128=G45))+SUMPRODUCT((N$3:N$128&lt;&gt;"")*(G$3:G$128=G45))+SUMPRODUCT((P$3:P$128="")*(O$3:O$128="")*(N$3:N$128="")*(M$3:M$128="P")*(G$3:G$128=G45)*(J$3:J$128&gt;J45))+IF(H45="L5",SUMPRODUCT((P$3:P$128="")*(O$3:O$128="")*(N$3:N$128="")*(M$3:M$128="P")*(G$3:G$128=G45)*(J$3:J$128&lt;J45)*(H$3:H$128&lt;&gt;H45)),-1*SUMPRODUCT((P$3:P$128="")*(O$3:O$128="")*(N$3:N$128="")*(M$3:M$128="P")*(G$3:G$128=G45)*(J$3:J$128&gt;J45)*(H$3:H$128="L5")))+1,""))))</f>
        <v/>
      </c>
      <c r="C45" s="36" t="s">
        <v>437</v>
      </c>
      <c r="D45" s="36" t="str">
        <f>IF(E45="","",VLOOKUP(E45,'Coaching Points'!A:B,2,0))</f>
        <v>BC</v>
      </c>
      <c r="E45" s="36" t="s">
        <v>37</v>
      </c>
      <c r="F45" s="35">
        <v>2005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4.4739999999999999E-6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Scores'!C$13,T45,0),IF(W45&gt;='Qualifying Scores'!C$13,V45,0),IF(Z45&gt;='Qualifying Scores'!C$13,Y45,0),IF(AB45&gt;='Qualifying Scores'!C$13,AA45,0),IF(AD45&gt;'Qualifying Scores'!C$13,AC45,0),IF(AG45&gt;'Qualifying Scores'!C$13,AF45,0)),MAX(IF(OR(AND(G45="15-16",W45&gt;='Qualifying Scores'!C$12),AND(G45="13-14",W45&gt;='Qualifying Scores'!C$11),AND(G45="11-12",W45&gt;='Qualifying Scores'!C$10)),X45,0),IF(OR(AND(G45="15-16",AD45&gt;='Qualifying Scores'!C$12),AND(G45="13-14",AD45&gt;='Qualifying Scores'!C$11),AND(G45="11-12",AD45&gt;='Qualifying Scores'!C$10)),AE45,0))))</f>
        <v>0</v>
      </c>
      <c r="S45" s="4">
        <f>IF(G45="17-21",MAX(T45,V45,Y45,AA45,AC45,AF45),MAX(X45,AE45))</f>
        <v>44.74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38.75</v>
      </c>
      <c r="AB45" s="40">
        <v>0</v>
      </c>
      <c r="AC45" s="34">
        <v>44.74</v>
      </c>
      <c r="AD45" s="40">
        <v>7</v>
      </c>
      <c r="AE45" s="4">
        <f>IF(H45="Senior",MAX(AA45,AC45),AA45+AC45)</f>
        <v>83.490000000000009</v>
      </c>
      <c r="AF45" s="34"/>
      <c r="AG45" s="37"/>
    </row>
    <row r="46" spans="1:33" x14ac:dyDescent="0.2">
      <c r="A46" s="1" t="str" cm="1">
        <f t="array" ref="A46">IF(I46="","",IF(P46&lt;&gt;"",SUMPRODUCT((P$3:P$128&lt;&gt;"")*(G$3:G$128=G46)*(J$3:J$128&gt;J46)*(I$3:I$128="P"))+1,IF(O46&lt;&gt;"",SUMPRODUCT((O$3:O$128&lt;&gt;"")*(P$3:P$128="")*(G$3:G$128=G46)*(J$3:J$128&gt;J46)*(I$3:I$128="P"))+SUMPRODUCT((P$3:P$128&lt;&gt;"")*(G$3:G$128=G46)*(I$3:I$128="P"))+1,IF(N46&lt;&gt;"",SUMPRODUCT((N$3:N$128&lt;&gt;"")*(G$3:G$128=G46)*(J$3:J$128&gt;J46)*(I$3:I$128="P"))+1,IF(M46="P",SUMPRODUCT((O$3:O$128&lt;&gt;"")*(P$3:P$128="")*(G$3:G$128=G46)*(I$3:I$128="P"))+SUMPRODUCT((P$3:P$128&lt;&gt;"")*(G$3:G$128=G46)*(I$3:I$128="P"))+SUMPRODUCT((N$3:N$128&lt;&gt;"")*(G$3:G$128=G46)*(I$3:I$128="P"))+SUMPRODUCT((P$3:P$128="")*(O$3:O$128="")*(N$3:N$128="")*(M$3:M$128="P")*(G$3:G$128=G46)*(J$3:J$128&gt;J46)*(I$3:I$128="P"))+IF(H46="L5",SUMPRODUCT((P$3:P$128="")*(O$3:O$128="")*(N$3:N$128="")*(M$3:M$128="P")*(G$3:G$128=G46)*(J$3:J$128&lt;J46)*(H$3:H$128&lt;&gt;H46)*(I$3:I$128="P")),-1*SUMPRODUCT((P$3:P$128="")*(O$3:O$128="")*(N$3:N$128="")*(M$3:M$128="P")*(G$3:G$128=G46)*(J$3:J$128&gt;J46)*(H$3:H$128="L5")*(I$3:I$128="P")))+1,"")))))</f>
        <v/>
      </c>
      <c r="B46" s="1" t="str" cm="1">
        <f t="array" ref="B46">IF(P46&lt;&gt;"",SUMPRODUCT((P$3:P$128&lt;&gt;"")*(G$3:G$128=G46)*(J$3:J$128&gt;J46))+1,IF(O46&lt;&gt;"",SUMPRODUCT((O$3:O$128&lt;&gt;"")*(P$3:P$128="")*(G$3:G$128=G46)*(J$3:J$128&gt;J46))+SUMPRODUCT((P$3:P$128&lt;&gt;"")*(G$3:G$128=G46))+1,IF(N46&lt;&gt;"",SUMPRODUCT((N$3:N$128&lt;&gt;"")*(G$3:G$128=G46)*(J$3:J$128&gt;J46))+1,IF(M46="P",SUMPRODUCT((O$3:O$128&lt;&gt;"")*(P$3:P$128="")*(G$3:G$128=G46))+SUMPRODUCT((P$3:P$128&lt;&gt;"")*(G$3:G$128=G46))+SUMPRODUCT((N$3:N$128&lt;&gt;"")*(G$3:G$128=G46))+SUMPRODUCT((P$3:P$128="")*(O$3:O$128="")*(N$3:N$128="")*(M$3:M$128="P")*(G$3:G$128=G46)*(J$3:J$128&gt;J46))+IF(H46="L5",SUMPRODUCT((P$3:P$128="")*(O$3:O$128="")*(N$3:N$128="")*(M$3:M$128="P")*(G$3:G$128=G46)*(J$3:J$128&lt;J46)*(H$3:H$128&lt;&gt;H46)),-1*SUMPRODUCT((P$3:P$128="")*(O$3:O$128="")*(N$3:N$128="")*(M$3:M$128="P")*(G$3:G$128=G46)*(J$3:J$128&gt;J46)*(H$3:H$128="L5")))+1,""))))</f>
        <v/>
      </c>
      <c r="C46" s="36" t="s">
        <v>449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4.3599999999999998E-6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Scores'!C$13,T46,0),IF(W46&gt;='Qualifying Scores'!C$13,V46,0),IF(Z46&gt;='Qualifying Scores'!C$13,Y46,0),IF(AB46&gt;='Qualifying Scores'!C$13,AA46,0),IF(AD46&gt;'Qualifying Scores'!C$13,AC46,0),IF(AG46&gt;'Qualifying Scores'!C$13,AF46,0)),MAX(IF(OR(AND(G46="15-16",W46&gt;='Qualifying Scores'!C$12),AND(G46="13-14",W46&gt;='Qualifying Scores'!C$11),AND(G46="11-12",W46&gt;='Qualifying Scores'!C$10)),X46,0),IF(OR(AND(G46="15-16",AD46&gt;='Qualifying Scores'!C$12),AND(G46="13-14",AD46&gt;='Qualifying Scores'!C$11),AND(G46="11-12",AD46&gt;='Qualifying Scores'!C$10)),AE46,0))))</f>
        <v>0</v>
      </c>
      <c r="S46" s="4">
        <f>IF(G46="17-21",MAX(T46,V46,Y46,AA46,AC46,AF46),MAX(X46,AE46))</f>
        <v>43.6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37.64</v>
      </c>
      <c r="AB46" s="40">
        <v>0</v>
      </c>
      <c r="AC46" s="34">
        <v>43.6</v>
      </c>
      <c r="AD46" s="40">
        <v>7</v>
      </c>
      <c r="AE46" s="4">
        <f>IF(H46="Senior",MAX(AA46,AC46),AA46+AC46)</f>
        <v>81.240000000000009</v>
      </c>
      <c r="AF46" s="34"/>
      <c r="AG46" s="37"/>
    </row>
    <row r="47" spans="1:33" x14ac:dyDescent="0.2">
      <c r="A47" s="1" t="str" cm="1">
        <f t="array" ref="A47">IF(I47="","",IF(P47&lt;&gt;"",SUMPRODUCT((P$3:P$128&lt;&gt;"")*(G$3:G$128=G47)*(J$3:J$128&gt;J47)*(I$3:I$128="P"))+1,IF(O47&lt;&gt;"",SUMPRODUCT((O$3:O$128&lt;&gt;"")*(P$3:P$128="")*(G$3:G$128=G47)*(J$3:J$128&gt;J47)*(I$3:I$128="P"))+SUMPRODUCT((P$3:P$128&lt;&gt;"")*(G$3:G$128=G47)*(I$3:I$128="P"))+1,IF(N47&lt;&gt;"",SUMPRODUCT((N$3:N$128&lt;&gt;"")*(G$3:G$128=G47)*(J$3:J$128&gt;J47)*(I$3:I$128="P"))+1,IF(M47="P",SUMPRODUCT((O$3:O$128&lt;&gt;"")*(P$3:P$128="")*(G$3:G$128=G47)*(I$3:I$128="P"))+SUMPRODUCT((P$3:P$128&lt;&gt;"")*(G$3:G$128=G47)*(I$3:I$128="P"))+SUMPRODUCT((N$3:N$128&lt;&gt;"")*(G$3:G$128=G47)*(I$3:I$128="P"))+SUMPRODUCT((P$3:P$128="")*(O$3:O$128="")*(N$3:N$128="")*(M$3:M$128="P")*(G$3:G$128=G47)*(J$3:J$128&gt;J47)*(I$3:I$128="P"))+IF(H47="L5",SUMPRODUCT((P$3:P$128="")*(O$3:O$128="")*(N$3:N$128="")*(M$3:M$128="P")*(G$3:G$128=G47)*(J$3:J$128&lt;J47)*(H$3:H$128&lt;&gt;H47)*(I$3:I$128="P")),-1*SUMPRODUCT((P$3:P$128="")*(O$3:O$128="")*(N$3:N$128="")*(M$3:M$128="P")*(G$3:G$128=G47)*(J$3:J$128&gt;J47)*(H$3:H$128="L5")*(I$3:I$128="P")))+1,"")))))</f>
        <v/>
      </c>
      <c r="B47" s="1" t="str" cm="1">
        <f t="array" ref="B47">IF(P47&lt;&gt;"",SUMPRODUCT((P$3:P$128&lt;&gt;"")*(G$3:G$128=G47)*(J$3:J$128&gt;J47))+1,IF(O47&lt;&gt;"",SUMPRODUCT((O$3:O$128&lt;&gt;"")*(P$3:P$128="")*(G$3:G$128=G47)*(J$3:J$128&gt;J47))+SUMPRODUCT((P$3:P$128&lt;&gt;"")*(G$3:G$128=G47))+1,IF(N47&lt;&gt;"",SUMPRODUCT((N$3:N$128&lt;&gt;"")*(G$3:G$128=G47)*(J$3:J$128&gt;J47))+1,IF(M47="P",SUMPRODUCT((O$3:O$128&lt;&gt;"")*(P$3:P$128="")*(G$3:G$128=G47))+SUMPRODUCT((P$3:P$128&lt;&gt;"")*(G$3:G$128=G47))+SUMPRODUCT((N$3:N$128&lt;&gt;"")*(G$3:G$128=G47))+SUMPRODUCT((P$3:P$128="")*(O$3:O$128="")*(N$3:N$128="")*(M$3:M$128="P")*(G$3:G$128=G47)*(J$3:J$128&gt;J47))+IF(H47="L5",SUMPRODUCT((P$3:P$128="")*(O$3:O$128="")*(N$3:N$128="")*(M$3:M$128="P")*(G$3:G$128=G47)*(J$3:J$128&lt;J47)*(H$3:H$128&lt;&gt;H47)),-1*SUMPRODUCT((P$3:P$128="")*(O$3:O$128="")*(N$3:N$128="")*(M$3:M$128="P")*(G$3:G$128=G47)*(J$3:J$128&gt;J47)*(H$3:H$128="L5")))+1,""))))</f>
        <v/>
      </c>
      <c r="C47" s="36" t="s">
        <v>438</v>
      </c>
      <c r="D47" s="36" t="str">
        <f>IF(E47="","",VLOOKUP(E47,'Coaching Points'!A:B,2,0))</f>
        <v>ON</v>
      </c>
      <c r="E47" s="36" t="s">
        <v>583</v>
      </c>
      <c r="F47" s="35">
        <v>2004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4.3590000000000001E-6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Scores'!C$13,T47,0),IF(W47&gt;='Qualifying Scores'!C$13,V47,0),IF(Z47&gt;='Qualifying Scores'!C$13,Y47,0),IF(AB47&gt;='Qualifying Scores'!C$13,AA47,0),IF(AD47&gt;'Qualifying Scores'!C$13,AC47,0),IF(AG47&gt;'Qualifying Scores'!C$13,AF47,0)),MAX(IF(OR(AND(G47="15-16",W47&gt;='Qualifying Scores'!C$12),AND(G47="13-14",W47&gt;='Qualifying Scores'!C$11),AND(G47="11-12",W47&gt;='Qualifying Scores'!C$10)),X47,0),IF(OR(AND(G47="15-16",AD47&gt;='Qualifying Scores'!C$12),AND(G47="13-14",AD47&gt;='Qualifying Scores'!C$11),AND(G47="11-12",AD47&gt;='Qualifying Scores'!C$10)),AE47,0))))</f>
        <v>0</v>
      </c>
      <c r="S47" s="4">
        <f>IF(G47="17-21",MAX(T47,V47,Y47,AA47,AC47,AF47),MAX(X47,AE47))</f>
        <v>43.59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39.53</v>
      </c>
      <c r="AB47" s="40">
        <v>0</v>
      </c>
      <c r="AC47" s="34">
        <v>43.59</v>
      </c>
      <c r="AD47" s="40">
        <v>7.2</v>
      </c>
      <c r="AE47" s="4">
        <f>IF(H47="Senior",MAX(AA47,AC47),AA47+AC47)</f>
        <v>83.12</v>
      </c>
      <c r="AF47" s="34"/>
      <c r="AG47" s="37"/>
    </row>
    <row r="48" spans="1:33" x14ac:dyDescent="0.2">
      <c r="A48" s="1" t="str" cm="1">
        <f t="array" ref="A48">IF(I48="","",IF(P48&lt;&gt;"",SUMPRODUCT((P$3:P$128&lt;&gt;"")*(G$3:G$128=G48)*(J$3:J$128&gt;J48)*(I$3:I$128="P"))+1,IF(O48&lt;&gt;"",SUMPRODUCT((O$3:O$128&lt;&gt;"")*(P$3:P$128="")*(G$3:G$128=G48)*(J$3:J$128&gt;J48)*(I$3:I$128="P"))+SUMPRODUCT((P$3:P$128&lt;&gt;"")*(G$3:G$128=G48)*(I$3:I$128="P"))+1,IF(N48&lt;&gt;"",SUMPRODUCT((N$3:N$128&lt;&gt;"")*(G$3:G$128=G48)*(J$3:J$128&gt;J48)*(I$3:I$128="P"))+1,IF(M48="P",SUMPRODUCT((O$3:O$128&lt;&gt;"")*(P$3:P$128="")*(G$3:G$128=G48)*(I$3:I$128="P"))+SUMPRODUCT((P$3:P$128&lt;&gt;"")*(G$3:G$128=G48)*(I$3:I$128="P"))+SUMPRODUCT((N$3:N$128&lt;&gt;"")*(G$3:G$128=G48)*(I$3:I$128="P"))+SUMPRODUCT((P$3:P$128="")*(O$3:O$128="")*(N$3:N$128="")*(M$3:M$128="P")*(G$3:G$128=G48)*(J$3:J$128&gt;J48)*(I$3:I$128="P"))+IF(H48="L5",SUMPRODUCT((P$3:P$128="")*(O$3:O$128="")*(N$3:N$128="")*(M$3:M$128="P")*(G$3:G$128=G48)*(J$3:J$128&lt;J48)*(H$3:H$128&lt;&gt;H48)*(I$3:I$128="P")),-1*SUMPRODUCT((P$3:P$128="")*(O$3:O$128="")*(N$3:N$128="")*(M$3:M$128="P")*(G$3:G$128=G48)*(J$3:J$128&gt;J48)*(H$3:H$128="L5")*(I$3:I$128="P")))+1,"")))))</f>
        <v/>
      </c>
      <c r="B48" s="1" t="str" cm="1">
        <f t="array" ref="B48">IF(P48&lt;&gt;"",SUMPRODUCT((P$3:P$128&lt;&gt;"")*(G$3:G$128=G48)*(J$3:J$128&gt;J48))+1,IF(O48&lt;&gt;"",SUMPRODUCT((O$3:O$128&lt;&gt;"")*(P$3:P$128="")*(G$3:G$128=G48)*(J$3:J$128&gt;J48))+SUMPRODUCT((P$3:P$128&lt;&gt;"")*(G$3:G$128=G48))+1,IF(N48&lt;&gt;"",SUMPRODUCT((N$3:N$128&lt;&gt;"")*(G$3:G$128=G48)*(J$3:J$128&gt;J48))+1,IF(M48="P",SUMPRODUCT((O$3:O$128&lt;&gt;"")*(P$3:P$128="")*(G$3:G$128=G48))+SUMPRODUCT((P$3:P$128&lt;&gt;"")*(G$3:G$128=G48))+SUMPRODUCT((N$3:N$128&lt;&gt;"")*(G$3:G$128=G48))+SUMPRODUCT((P$3:P$128="")*(O$3:O$128="")*(N$3:N$128="")*(M$3:M$128="P")*(G$3:G$128=G48)*(J$3:J$128&gt;J48))+IF(H48="L5",SUMPRODUCT((P$3:P$128="")*(O$3:O$128="")*(N$3:N$128="")*(M$3:M$128="P")*(G$3:G$128=G48)*(J$3:J$128&lt;J48)*(H$3:H$128&lt;&gt;H48)),-1*SUMPRODUCT((P$3:P$128="")*(O$3:O$128="")*(N$3:N$128="")*(M$3:M$128="P")*(G$3:G$128=G48)*(J$3:J$128&gt;J48)*(H$3:H$128="L5")))+1,""))))</f>
        <v/>
      </c>
      <c r="C48" s="36" t="s">
        <v>256</v>
      </c>
      <c r="D48" s="36" t="str">
        <f>IF(E48="","",VLOOKUP(E48,'Coaching Points'!A:B,2,0))</f>
        <v>NS</v>
      </c>
      <c r="E48" s="36" t="s">
        <v>257</v>
      </c>
      <c r="F48" s="35">
        <v>2002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4.352E-6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Scores'!C$13,T48,0),IF(W48&gt;='Qualifying Scores'!C$13,V48,0),IF(Z48&gt;='Qualifying Scores'!C$13,Y48,0),IF(AB48&gt;='Qualifying Scores'!C$13,AA48,0),IF(AD48&gt;'Qualifying Scores'!C$13,AC48,0),IF(AG48&gt;'Qualifying Scores'!C$13,AF48,0)),MAX(IF(OR(AND(G48="15-16",W48&gt;='Qualifying Scores'!C$12),AND(G48="13-14",W48&gt;='Qualifying Scores'!C$11),AND(G48="11-12",W48&gt;='Qualifying Scores'!C$10)),X48,0),IF(OR(AND(G48="15-16",AD48&gt;='Qualifying Scores'!C$12),AND(G48="13-14",AD48&gt;='Qualifying Scores'!C$11),AND(G48="11-12",AD48&gt;='Qualifying Scores'!C$10)),AE48,0))))</f>
        <v>0</v>
      </c>
      <c r="S48" s="4">
        <f>IF(G48="17-21",MAX(T48,V48,Y48,AA48,AC48,AF48),MAX(X48,AE48))</f>
        <v>46.594999999999999</v>
      </c>
      <c r="T48" s="33">
        <v>39.425000000000004</v>
      </c>
      <c r="U48" s="40">
        <v>0</v>
      </c>
      <c r="V48" s="34">
        <v>45.625</v>
      </c>
      <c r="W48" s="40">
        <v>8</v>
      </c>
      <c r="X48" s="4">
        <f>IF(H48="Senior",MAX(T48,V48),T48+V48)</f>
        <v>85.050000000000011</v>
      </c>
      <c r="Y48" s="34">
        <v>46.594999999999999</v>
      </c>
      <c r="Z48" s="40">
        <v>8</v>
      </c>
      <c r="AA48" s="33">
        <v>37.229999999999997</v>
      </c>
      <c r="AB48" s="40">
        <v>0</v>
      </c>
      <c r="AC48" s="34">
        <v>43.52</v>
      </c>
      <c r="AD48" s="40">
        <v>8.3000000000000007</v>
      </c>
      <c r="AE48" s="4">
        <f>IF(H48="Senior",MAX(AA48,AC48),AA48+AC48)</f>
        <v>80.75</v>
      </c>
      <c r="AF48" s="34"/>
      <c r="AG48" s="37"/>
    </row>
    <row r="49" spans="1:33" x14ac:dyDescent="0.2">
      <c r="A49" s="1" t="str" cm="1">
        <f t="array" ref="A49">IF(I49="","",IF(P49&lt;&gt;"",SUMPRODUCT((P$3:P$128&lt;&gt;"")*(G$3:G$128=G49)*(J$3:J$128&gt;J49)*(I$3:I$128="P"))+1,IF(O49&lt;&gt;"",SUMPRODUCT((O$3:O$128&lt;&gt;"")*(P$3:P$128="")*(G$3:G$128=G49)*(J$3:J$128&gt;J49)*(I$3:I$128="P"))+SUMPRODUCT((P$3:P$128&lt;&gt;"")*(G$3:G$128=G49)*(I$3:I$128="P"))+1,IF(N49&lt;&gt;"",SUMPRODUCT((N$3:N$128&lt;&gt;"")*(G$3:G$128=G49)*(J$3:J$128&gt;J49)*(I$3:I$128="P"))+1,IF(M49="P",SUMPRODUCT((O$3:O$128&lt;&gt;"")*(P$3:P$128="")*(G$3:G$128=G49)*(I$3:I$128="P"))+SUMPRODUCT((P$3:P$128&lt;&gt;"")*(G$3:G$128=G49)*(I$3:I$128="P"))+SUMPRODUCT((N$3:N$128&lt;&gt;"")*(G$3:G$128=G49)*(I$3:I$128="P"))+SUMPRODUCT((P$3:P$128="")*(O$3:O$128="")*(N$3:N$128="")*(M$3:M$128="P")*(G$3:G$128=G49)*(J$3:J$128&gt;J49)*(I$3:I$128="P"))+IF(H49="L5",SUMPRODUCT((P$3:P$128="")*(O$3:O$128="")*(N$3:N$128="")*(M$3:M$128="P")*(G$3:G$128=G49)*(J$3:J$128&lt;J49)*(H$3:H$128&lt;&gt;H49)*(I$3:I$128="P")),-1*SUMPRODUCT((P$3:P$128="")*(O$3:O$128="")*(N$3:N$128="")*(M$3:M$128="P")*(G$3:G$128=G49)*(J$3:J$128&gt;J49)*(H$3:H$128="L5")*(I$3:I$128="P")))+1,"")))))</f>
        <v/>
      </c>
      <c r="B49" s="1" t="str" cm="1">
        <f t="array" ref="B49">IF(P49&lt;&gt;"",SUMPRODUCT((P$3:P$128&lt;&gt;"")*(G$3:G$128=G49)*(J$3:J$128&gt;J49))+1,IF(O49&lt;&gt;"",SUMPRODUCT((O$3:O$128&lt;&gt;"")*(P$3:P$128="")*(G$3:G$128=G49)*(J$3:J$128&gt;J49))+SUMPRODUCT((P$3:P$128&lt;&gt;"")*(G$3:G$128=G49))+1,IF(N49&lt;&gt;"",SUMPRODUCT((N$3:N$128&lt;&gt;"")*(G$3:G$128=G49)*(J$3:J$128&gt;J49))+1,IF(M49="P",SUMPRODUCT((O$3:O$128&lt;&gt;"")*(P$3:P$128="")*(G$3:G$128=G49))+SUMPRODUCT((P$3:P$128&lt;&gt;"")*(G$3:G$128=G49))+SUMPRODUCT((N$3:N$128&lt;&gt;"")*(G$3:G$128=G49))+SUMPRODUCT((P$3:P$128="")*(O$3:O$128="")*(N$3:N$128="")*(M$3:M$128="P")*(G$3:G$128=G49)*(J$3:J$128&gt;J49))+IF(H49="L5",SUMPRODUCT((P$3:P$128="")*(O$3:O$128="")*(N$3:N$128="")*(M$3:M$128="P")*(G$3:G$128=G49)*(J$3:J$128&lt;J49)*(H$3:H$128&lt;&gt;H49)),-1*SUMPRODUCT((P$3:P$128="")*(O$3:O$128="")*(N$3:N$128="")*(M$3:M$128="P")*(G$3:G$128=G49)*(J$3:J$128&gt;J49)*(H$3:H$128="L5")))+1,""))))</f>
        <v/>
      </c>
      <c r="C49" s="36" t="s">
        <v>265</v>
      </c>
      <c r="D49" s="36" t="str">
        <f>IF(E49="","",VLOOKUP(E49,'Coaching Points'!A:B,2,0))</f>
        <v>QC</v>
      </c>
      <c r="E49" s="36" t="s">
        <v>62</v>
      </c>
      <c r="F49" s="35">
        <v>2003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4.3270000000000002E-6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Scores'!C$13,T49,0),IF(W49&gt;='Qualifying Scores'!C$13,V49,0),IF(Z49&gt;='Qualifying Scores'!C$13,Y49,0),IF(AB49&gt;='Qualifying Scores'!C$13,AA49,0),IF(AD49&gt;'Qualifying Scores'!C$13,AC49,0),IF(AG49&gt;'Qualifying Scores'!C$13,AF49,0)),MAX(IF(OR(AND(G49="15-16",W49&gt;='Qualifying Scores'!C$12),AND(G49="13-14",W49&gt;='Qualifying Scores'!C$11),AND(G49="11-12",W49&gt;='Qualifying Scores'!C$10)),X49,0),IF(OR(AND(G49="15-16",AD49&gt;='Qualifying Scores'!C$12),AND(G49="13-14",AD49&gt;='Qualifying Scores'!C$11),AND(G49="11-12",AD49&gt;='Qualifying Scores'!C$10)),AE49,0))))</f>
        <v>0</v>
      </c>
      <c r="S49" s="4">
        <f>IF(G49="17-21",MAX(T49,V49,Y49,AA49,AC49,AF49),MAX(X49,AE49))</f>
        <v>43.825000000000003</v>
      </c>
      <c r="T49" s="33">
        <v>39.36</v>
      </c>
      <c r="U49" s="40">
        <v>0</v>
      </c>
      <c r="V49" s="34">
        <v>43.825000000000003</v>
      </c>
      <c r="W49" s="40">
        <v>7.0999999999999988</v>
      </c>
      <c r="X49" s="4">
        <f>IF(H49="Senior",MAX(T49,V49),T49+V49)</f>
        <v>83.185000000000002</v>
      </c>
      <c r="Y49" s="34">
        <v>0</v>
      </c>
      <c r="Z49" s="40">
        <v>0</v>
      </c>
      <c r="AA49" s="33">
        <v>40.29</v>
      </c>
      <c r="AB49" s="40">
        <v>0</v>
      </c>
      <c r="AC49" s="34">
        <v>43.27</v>
      </c>
      <c r="AD49" s="40">
        <v>7.1</v>
      </c>
      <c r="AE49" s="4">
        <f>IF(H49="Senior",MAX(AA49,AC49),AA49+AC49)</f>
        <v>83.56</v>
      </c>
      <c r="AF49" s="34"/>
      <c r="AG49" s="37"/>
    </row>
    <row r="50" spans="1:33" x14ac:dyDescent="0.2">
      <c r="A50" s="1" t="str" cm="1">
        <f t="array" ref="A50">IF(I50="","",IF(P50&lt;&gt;"",SUMPRODUCT((P$3:P$128&lt;&gt;"")*(G$3:G$128=G50)*(J$3:J$128&gt;J50)*(I$3:I$128="P"))+1,IF(O50&lt;&gt;"",SUMPRODUCT((O$3:O$128&lt;&gt;"")*(P$3:P$128="")*(G$3:G$128=G50)*(J$3:J$128&gt;J50)*(I$3:I$128="P"))+SUMPRODUCT((P$3:P$128&lt;&gt;"")*(G$3:G$128=G50)*(I$3:I$128="P"))+1,IF(N50&lt;&gt;"",SUMPRODUCT((N$3:N$128&lt;&gt;"")*(G$3:G$128=G50)*(J$3:J$128&gt;J50)*(I$3:I$128="P"))+1,IF(M50="P",SUMPRODUCT((O$3:O$128&lt;&gt;"")*(P$3:P$128="")*(G$3:G$128=G50)*(I$3:I$128="P"))+SUMPRODUCT((P$3:P$128&lt;&gt;"")*(G$3:G$128=G50)*(I$3:I$128="P"))+SUMPRODUCT((N$3:N$128&lt;&gt;"")*(G$3:G$128=G50)*(I$3:I$128="P"))+SUMPRODUCT((P$3:P$128="")*(O$3:O$128="")*(N$3:N$128="")*(M$3:M$128="P")*(G$3:G$128=G50)*(J$3:J$128&gt;J50)*(I$3:I$128="P"))+IF(H50="L5",SUMPRODUCT((P$3:P$128="")*(O$3:O$128="")*(N$3:N$128="")*(M$3:M$128="P")*(G$3:G$128=G50)*(J$3:J$128&lt;J50)*(H$3:H$128&lt;&gt;H50)*(I$3:I$128="P")),-1*SUMPRODUCT((P$3:P$128="")*(O$3:O$128="")*(N$3:N$128="")*(M$3:M$128="P")*(G$3:G$128=G50)*(J$3:J$128&gt;J50)*(H$3:H$128="L5")*(I$3:I$128="P")))+1,"")))))</f>
        <v/>
      </c>
      <c r="B50" s="1" t="str" cm="1">
        <f t="array" ref="B50">IF(P50&lt;&gt;"",SUMPRODUCT((P$3:P$128&lt;&gt;"")*(G$3:G$128=G50)*(J$3:J$128&gt;J50))+1,IF(O50&lt;&gt;"",SUMPRODUCT((O$3:O$128&lt;&gt;"")*(P$3:P$128="")*(G$3:G$128=G50)*(J$3:J$128&gt;J50))+SUMPRODUCT((P$3:P$128&lt;&gt;"")*(G$3:G$128=G50))+1,IF(N50&lt;&gt;"",SUMPRODUCT((N$3:N$128&lt;&gt;"")*(G$3:G$128=G50)*(J$3:J$128&gt;J50))+1,IF(M50="P",SUMPRODUCT((O$3:O$128&lt;&gt;"")*(P$3:P$128="")*(G$3:G$128=G50))+SUMPRODUCT((P$3:P$128&lt;&gt;"")*(G$3:G$128=G50))+SUMPRODUCT((N$3:N$128&lt;&gt;"")*(G$3:G$128=G50))+SUMPRODUCT((P$3:P$128="")*(O$3:O$128="")*(N$3:N$128="")*(M$3:M$128="P")*(G$3:G$128=G50)*(J$3:J$128&gt;J50))+IF(H50="L5",SUMPRODUCT((P$3:P$128="")*(O$3:O$128="")*(N$3:N$128="")*(M$3:M$128="P")*(G$3:G$128=G50)*(J$3:J$128&lt;J50)*(H$3:H$128&lt;&gt;H50)),-1*SUMPRODUCT((P$3:P$128="")*(O$3:O$128="")*(N$3:N$128="")*(M$3:M$128="P")*(G$3:G$128=G50)*(J$3:J$128&gt;J50)*(H$3:H$128="L5")))+1,""))))</f>
        <v/>
      </c>
      <c r="C50" s="36" t="s">
        <v>269</v>
      </c>
      <c r="D50" s="36" t="str">
        <f>IF(E50="","",VLOOKUP(E50,'Coaching Points'!A:B,2,0))</f>
        <v>QC</v>
      </c>
      <c r="E50" s="36" t="s">
        <v>586</v>
      </c>
      <c r="F50" s="35">
        <v>2004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4.2640000000000002E-6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Scores'!C$13,T50,0),IF(W50&gt;='Qualifying Scores'!C$13,V50,0),IF(Z50&gt;='Qualifying Scores'!C$13,Y50,0),IF(AB50&gt;='Qualifying Scores'!C$13,AA50,0),IF(AD50&gt;'Qualifying Scores'!C$13,AC50,0),IF(AG50&gt;'Qualifying Scores'!C$13,AF50,0)),MAX(IF(OR(AND(G50="15-16",W50&gt;='Qualifying Scores'!C$12),AND(G50="13-14",W50&gt;='Qualifying Scores'!C$11),AND(G50="11-12",W50&gt;='Qualifying Scores'!C$10)),X50,0),IF(OR(AND(G50="15-16",AD50&gt;='Qualifying Scores'!C$12),AND(G50="13-14",AD50&gt;='Qualifying Scores'!C$11),AND(G50="11-12",AD50&gt;='Qualifying Scores'!C$10)),AE50,0))))</f>
        <v>0</v>
      </c>
      <c r="S50" s="4">
        <f>IF(G50="17-21",MAX(T50,V50,Y50,AA50,AC50,AF50),MAX(X50,AE50))</f>
        <v>44.344999999999999</v>
      </c>
      <c r="T50" s="33">
        <v>38.015000000000001</v>
      </c>
      <c r="U50" s="40">
        <v>0</v>
      </c>
      <c r="V50" s="34">
        <v>44.344999999999999</v>
      </c>
      <c r="W50" s="40">
        <v>7.5</v>
      </c>
      <c r="X50" s="4">
        <f>IF(H50="Senior",MAX(T50,V50),T50+V50)</f>
        <v>82.36</v>
      </c>
      <c r="Y50" s="34">
        <v>0</v>
      </c>
      <c r="Z50" s="40">
        <v>0</v>
      </c>
      <c r="AA50" s="33">
        <v>38.61</v>
      </c>
      <c r="AB50" s="40">
        <v>0</v>
      </c>
      <c r="AC50" s="34">
        <v>42.64</v>
      </c>
      <c r="AD50" s="40">
        <v>7</v>
      </c>
      <c r="AE50" s="4">
        <f>IF(H50="Senior",MAX(AA50,AC50),AA50+AC50)</f>
        <v>81.25</v>
      </c>
      <c r="AF50" s="34"/>
      <c r="AG50" s="37"/>
    </row>
    <row r="51" spans="1:33" x14ac:dyDescent="0.2">
      <c r="A51" s="1" t="str" cm="1">
        <f t="array" ref="A51">IF(I51="","",IF(P51&lt;&gt;"",SUMPRODUCT((P$3:P$128&lt;&gt;"")*(G$3:G$128=G51)*(J$3:J$128&gt;J51)*(I$3:I$128="P"))+1,IF(O51&lt;&gt;"",SUMPRODUCT((O$3:O$128&lt;&gt;"")*(P$3:P$128="")*(G$3:G$128=G51)*(J$3:J$128&gt;J51)*(I$3:I$128="P"))+SUMPRODUCT((P$3:P$128&lt;&gt;"")*(G$3:G$128=G51)*(I$3:I$128="P"))+1,IF(N51&lt;&gt;"",SUMPRODUCT((N$3:N$128&lt;&gt;"")*(G$3:G$128=G51)*(J$3:J$128&gt;J51)*(I$3:I$128="P"))+1,IF(M51="P",SUMPRODUCT((O$3:O$128&lt;&gt;"")*(P$3:P$128="")*(G$3:G$128=G51)*(I$3:I$128="P"))+SUMPRODUCT((P$3:P$128&lt;&gt;"")*(G$3:G$128=G51)*(I$3:I$128="P"))+SUMPRODUCT((N$3:N$128&lt;&gt;"")*(G$3:G$128=G51)*(I$3:I$128="P"))+SUMPRODUCT((P$3:P$128="")*(O$3:O$128="")*(N$3:N$128="")*(M$3:M$128="P")*(G$3:G$128=G51)*(J$3:J$128&gt;J51)*(I$3:I$128="P"))+IF(H51="L5",SUMPRODUCT((P$3:P$128="")*(O$3:O$128="")*(N$3:N$128="")*(M$3:M$128="P")*(G$3:G$128=G51)*(J$3:J$128&lt;J51)*(H$3:H$128&lt;&gt;H51)*(I$3:I$128="P")),-1*SUMPRODUCT((P$3:P$128="")*(O$3:O$128="")*(N$3:N$128="")*(M$3:M$128="P")*(G$3:G$128=G51)*(J$3:J$128&gt;J51)*(H$3:H$128="L5")*(I$3:I$128="P")))+1,"")))))</f>
        <v/>
      </c>
      <c r="B51" s="1" t="str" cm="1">
        <f t="array" ref="B51">IF(P51&lt;&gt;"",SUMPRODUCT((P$3:P$128&lt;&gt;"")*(G$3:G$128=G51)*(J$3:J$128&gt;J51))+1,IF(O51&lt;&gt;"",SUMPRODUCT((O$3:O$128&lt;&gt;"")*(P$3:P$128="")*(G$3:G$128=G51)*(J$3:J$128&gt;J51))+SUMPRODUCT((P$3:P$128&lt;&gt;"")*(G$3:G$128=G51))+1,IF(N51&lt;&gt;"",SUMPRODUCT((N$3:N$128&lt;&gt;"")*(G$3:G$128=G51)*(J$3:J$128&gt;J51))+1,IF(M51="P",SUMPRODUCT((O$3:O$128&lt;&gt;"")*(P$3:P$128="")*(G$3:G$128=G51))+SUMPRODUCT((P$3:P$128&lt;&gt;"")*(G$3:G$128=G51))+SUMPRODUCT((N$3:N$128&lt;&gt;"")*(G$3:G$128=G51))+SUMPRODUCT((P$3:P$128="")*(O$3:O$128="")*(N$3:N$128="")*(M$3:M$128="P")*(G$3:G$128=G51)*(J$3:J$128&gt;J51))+IF(H51="L5",SUMPRODUCT((P$3:P$128="")*(O$3:O$128="")*(N$3:N$128="")*(M$3:M$128="P")*(G$3:G$128=G51)*(J$3:J$128&lt;J51)*(H$3:H$128&lt;&gt;H51)),-1*SUMPRODUCT((P$3:P$128="")*(O$3:O$128="")*(N$3:N$128="")*(M$3:M$128="P")*(G$3:G$128=G51)*(J$3:J$128&gt;J51)*(H$3:H$128="L5")))+1,""))))</f>
        <v/>
      </c>
      <c r="C51" s="36" t="s">
        <v>261</v>
      </c>
      <c r="D51" s="36" t="str">
        <f>IF(E51="","",VLOOKUP(E51,'Coaching Points'!A:B,2,0))</f>
        <v>ON</v>
      </c>
      <c r="E51" s="36" t="s">
        <v>38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4.2520000000000001E-6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Scores'!C$13,T51,0),IF(W51&gt;='Qualifying Scores'!C$13,V51,0),IF(Z51&gt;='Qualifying Scores'!C$13,Y51,0),IF(AB51&gt;='Qualifying Scores'!C$13,AA51,0),IF(AD51&gt;'Qualifying Scores'!C$13,AC51,0),IF(AG51&gt;'Qualifying Scores'!C$13,AF51,0)),MAX(IF(OR(AND(G51="15-16",W51&gt;='Qualifying Scores'!C$12),AND(G51="13-14",W51&gt;='Qualifying Scores'!C$11),AND(G51="11-12",W51&gt;='Qualifying Scores'!C$10)),X51,0),IF(OR(AND(G51="15-16",AD51&gt;='Qualifying Scores'!C$12),AND(G51="13-14",AD51&gt;='Qualifying Scores'!C$11),AND(G51="11-12",AD51&gt;='Qualifying Scores'!C$10)),AE51,0))))</f>
        <v>0</v>
      </c>
      <c r="S51" s="4">
        <f>IF(G51="17-21",MAX(T51,V51,Y51,AA51,AC51,AF51),MAX(X51,AE51))</f>
        <v>45.95</v>
      </c>
      <c r="T51" s="33">
        <v>39.75</v>
      </c>
      <c r="U51" s="40">
        <v>0</v>
      </c>
      <c r="V51" s="34">
        <v>45.95</v>
      </c>
      <c r="W51" s="40">
        <v>7.8</v>
      </c>
      <c r="X51" s="4">
        <f>IF(H51="Senior",MAX(T51,V51),T51+V51)</f>
        <v>85.7</v>
      </c>
      <c r="Y51" s="34">
        <v>45.6</v>
      </c>
      <c r="Z51" s="40">
        <v>7.8</v>
      </c>
      <c r="AA51" s="33">
        <v>39.51</v>
      </c>
      <c r="AB51" s="40">
        <v>0</v>
      </c>
      <c r="AC51" s="34">
        <v>42.52</v>
      </c>
      <c r="AD51" s="40">
        <v>7.8</v>
      </c>
      <c r="AE51" s="4">
        <f>IF(H51="Senior",MAX(AA51,AC51),AA51+AC51)</f>
        <v>82.03</v>
      </c>
      <c r="AF51" s="34"/>
      <c r="AG51" s="37"/>
    </row>
    <row r="52" spans="1:33" x14ac:dyDescent="0.2">
      <c r="A52" s="1" t="str" cm="1">
        <f t="array" ref="A52">IF(I52="","",IF(P52&lt;&gt;"",SUMPRODUCT((P$3:P$128&lt;&gt;"")*(G$3:G$128=G52)*(J$3:J$128&gt;J52)*(I$3:I$128="P"))+1,IF(O52&lt;&gt;"",SUMPRODUCT((O$3:O$128&lt;&gt;"")*(P$3:P$128="")*(G$3:G$128=G52)*(J$3:J$128&gt;J52)*(I$3:I$128="P"))+SUMPRODUCT((P$3:P$128&lt;&gt;"")*(G$3:G$128=G52)*(I$3:I$128="P"))+1,IF(N52&lt;&gt;"",SUMPRODUCT((N$3:N$128&lt;&gt;"")*(G$3:G$128=G52)*(J$3:J$128&gt;J52)*(I$3:I$128="P"))+1,IF(M52="P",SUMPRODUCT((O$3:O$128&lt;&gt;"")*(P$3:P$128="")*(G$3:G$128=G52)*(I$3:I$128="P"))+SUMPRODUCT((P$3:P$128&lt;&gt;"")*(G$3:G$128=G52)*(I$3:I$128="P"))+SUMPRODUCT((N$3:N$128&lt;&gt;"")*(G$3:G$128=G52)*(I$3:I$128="P"))+SUMPRODUCT((P$3:P$128="")*(O$3:O$128="")*(N$3:N$128="")*(M$3:M$128="P")*(G$3:G$128=G52)*(J$3:J$128&gt;J52)*(I$3:I$128="P"))+IF(H52="L5",SUMPRODUCT((P$3:P$128="")*(O$3:O$128="")*(N$3:N$128="")*(M$3:M$128="P")*(G$3:G$128=G52)*(J$3:J$128&lt;J52)*(H$3:H$128&lt;&gt;H52)*(I$3:I$128="P")),-1*SUMPRODUCT((P$3:P$128="")*(O$3:O$128="")*(N$3:N$128="")*(M$3:M$128="P")*(G$3:G$128=G52)*(J$3:J$128&gt;J52)*(H$3:H$128="L5")*(I$3:I$128="P")))+1,"")))))</f>
        <v/>
      </c>
      <c r="B52" s="1" t="str" cm="1">
        <f t="array" ref="B52">IF(P52&lt;&gt;"",SUMPRODUCT((P$3:P$128&lt;&gt;"")*(G$3:G$128=G52)*(J$3:J$128&gt;J52))+1,IF(O52&lt;&gt;"",SUMPRODUCT((O$3:O$128&lt;&gt;"")*(P$3:P$128="")*(G$3:G$128=G52)*(J$3:J$128&gt;J52))+SUMPRODUCT((P$3:P$128&lt;&gt;"")*(G$3:G$128=G52))+1,IF(N52&lt;&gt;"",SUMPRODUCT((N$3:N$128&lt;&gt;"")*(G$3:G$128=G52)*(J$3:J$128&gt;J52))+1,IF(M52="P",SUMPRODUCT((O$3:O$128&lt;&gt;"")*(P$3:P$128="")*(G$3:G$128=G52))+SUMPRODUCT((P$3:P$128&lt;&gt;"")*(G$3:G$128=G52))+SUMPRODUCT((N$3:N$128&lt;&gt;"")*(G$3:G$128=G52))+SUMPRODUCT((P$3:P$128="")*(O$3:O$128="")*(N$3:N$128="")*(M$3:M$128="P")*(G$3:G$128=G52)*(J$3:J$128&gt;J52))+IF(H52="L5",SUMPRODUCT((P$3:P$128="")*(O$3:O$128="")*(N$3:N$128="")*(M$3:M$128="P")*(G$3:G$128=G52)*(J$3:J$128&lt;J52)*(H$3:H$128&lt;&gt;H52)),-1*SUMPRODUCT((P$3:P$128="")*(O$3:O$128="")*(N$3:N$128="")*(M$3:M$128="P")*(G$3:G$128=G52)*(J$3:J$128&gt;J52)*(H$3:H$128="L5")))+1,""))))</f>
        <v/>
      </c>
      <c r="C52" s="36" t="s">
        <v>270</v>
      </c>
      <c r="D52" s="36" t="str">
        <f>IF(E52="","",VLOOKUP(E52,'Coaching Points'!A:B,2,0))</f>
        <v>BC</v>
      </c>
      <c r="E52" s="36" t="s">
        <v>80</v>
      </c>
      <c r="F52" s="35">
        <v>2003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R52+IF(OR(H52="Junior",H52="Senior"),0.0002,IF(OR(H52="L7",H52="L6"),0.0001,0))+IF(G52="17-21",MAX(AA52,AC52,AF52),AE52)*0.0000001</f>
        <v>4.2490000000000003E-6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Scores'!C$13,T52,0),IF(W52&gt;='Qualifying Scores'!C$13,V52,0),IF(Z52&gt;='Qualifying Scores'!C$13,Y52,0),IF(AB52&gt;='Qualifying Scores'!C$13,AA52,0),IF(AD52&gt;'Qualifying Scores'!C$13,AC52,0),IF(AG52&gt;'Qualifying Scores'!C$13,AF52,0)),MAX(IF(OR(AND(G52="15-16",W52&gt;='Qualifying Scores'!C$12),AND(G52="13-14",W52&gt;='Qualifying Scores'!C$11),AND(G52="11-12",W52&gt;='Qualifying Scores'!C$10)),X52,0),IF(OR(AND(G52="15-16",AD52&gt;='Qualifying Scores'!C$12),AND(G52="13-14",AD52&gt;='Qualifying Scores'!C$11),AND(G52="11-12",AD52&gt;='Qualifying Scores'!C$10)),AE52,0))))</f>
        <v>0</v>
      </c>
      <c r="S52" s="4">
        <f>IF(G52="17-21",MAX(T52,V52,Y52,AA52,AC52,AF52),MAX(X52,AE52))</f>
        <v>42.914999999999999</v>
      </c>
      <c r="T52" s="33">
        <v>36.96</v>
      </c>
      <c r="U52" s="40">
        <v>0</v>
      </c>
      <c r="V52" s="34">
        <v>42.914999999999999</v>
      </c>
      <c r="W52" s="40">
        <v>7.6999999999999993</v>
      </c>
      <c r="X52" s="4">
        <f>IF(H52="Senior",MAX(T52,V52),T52+V52)</f>
        <v>79.875</v>
      </c>
      <c r="Y52" s="34">
        <v>0</v>
      </c>
      <c r="Z52" s="40">
        <v>0</v>
      </c>
      <c r="AA52" s="33">
        <v>34.82</v>
      </c>
      <c r="AB52" s="40">
        <v>0</v>
      </c>
      <c r="AC52" s="34">
        <v>42.49</v>
      </c>
      <c r="AD52" s="40">
        <v>7.8</v>
      </c>
      <c r="AE52" s="4">
        <f>IF(H52="Senior",MAX(AA52,AC52),AA52+AC52)</f>
        <v>77.31</v>
      </c>
      <c r="AF52" s="34"/>
      <c r="AG52" s="37"/>
    </row>
    <row r="53" spans="1:33" x14ac:dyDescent="0.2">
      <c r="A53" s="1" t="str" cm="1">
        <f t="array" ref="A53">IF(I53="","",IF(P53&lt;&gt;"",SUMPRODUCT((P$3:P$128&lt;&gt;"")*(G$3:G$128=G53)*(J$3:J$128&gt;J53)*(I$3:I$128="P"))+1,IF(O53&lt;&gt;"",SUMPRODUCT((O$3:O$128&lt;&gt;"")*(P$3:P$128="")*(G$3:G$128=G53)*(J$3:J$128&gt;J53)*(I$3:I$128="P"))+SUMPRODUCT((P$3:P$128&lt;&gt;"")*(G$3:G$128=G53)*(I$3:I$128="P"))+1,IF(N53&lt;&gt;"",SUMPRODUCT((N$3:N$128&lt;&gt;"")*(G$3:G$128=G53)*(J$3:J$128&gt;J53)*(I$3:I$128="P"))+1,IF(M53="P",SUMPRODUCT((O$3:O$128&lt;&gt;"")*(P$3:P$128="")*(G$3:G$128=G53)*(I$3:I$128="P"))+SUMPRODUCT((P$3:P$128&lt;&gt;"")*(G$3:G$128=G53)*(I$3:I$128="P"))+SUMPRODUCT((N$3:N$128&lt;&gt;"")*(G$3:G$128=G53)*(I$3:I$128="P"))+SUMPRODUCT((P$3:P$128="")*(O$3:O$128="")*(N$3:N$128="")*(M$3:M$128="P")*(G$3:G$128=G53)*(J$3:J$128&gt;J53)*(I$3:I$128="P"))+IF(H53="L5",SUMPRODUCT((P$3:P$128="")*(O$3:O$128="")*(N$3:N$128="")*(M$3:M$128="P")*(G$3:G$128=G53)*(J$3:J$128&lt;J53)*(H$3:H$128&lt;&gt;H53)*(I$3:I$128="P")),-1*SUMPRODUCT((P$3:P$128="")*(O$3:O$128="")*(N$3:N$128="")*(M$3:M$128="P")*(G$3:G$128=G53)*(J$3:J$128&gt;J53)*(H$3:H$128="L5")*(I$3:I$128="P")))+1,"")))))</f>
        <v/>
      </c>
      <c r="B53" s="1" t="str" cm="1">
        <f t="array" ref="B53">IF(P53&lt;&gt;"",SUMPRODUCT((P$3:P$128&lt;&gt;"")*(G$3:G$128=G53)*(J$3:J$128&gt;J53))+1,IF(O53&lt;&gt;"",SUMPRODUCT((O$3:O$128&lt;&gt;"")*(P$3:P$128="")*(G$3:G$128=G53)*(J$3:J$128&gt;J53))+SUMPRODUCT((P$3:P$128&lt;&gt;"")*(G$3:G$128=G53))+1,IF(N53&lt;&gt;"",SUMPRODUCT((N$3:N$128&lt;&gt;"")*(G$3:G$128=G53)*(J$3:J$128&gt;J53))+1,IF(M53="P",SUMPRODUCT((O$3:O$128&lt;&gt;"")*(P$3:P$128="")*(G$3:G$128=G53))+SUMPRODUCT((P$3:P$128&lt;&gt;"")*(G$3:G$128=G53))+SUMPRODUCT((N$3:N$128&lt;&gt;"")*(G$3:G$128=G53))+SUMPRODUCT((P$3:P$128="")*(O$3:O$128="")*(N$3:N$128="")*(M$3:M$128="P")*(G$3:G$128=G53)*(J$3:J$128&gt;J53))+IF(H53="L5",SUMPRODUCT((P$3:P$128="")*(O$3:O$128="")*(N$3:N$128="")*(M$3:M$128="P")*(G$3:G$128=G53)*(J$3:J$128&lt;J53)*(H$3:H$128&lt;&gt;H53)),-1*SUMPRODUCT((P$3:P$128="")*(O$3:O$128="")*(N$3:N$128="")*(M$3:M$128="P")*(G$3:G$128=G53)*(J$3:J$128&gt;J53)*(H$3:H$128="L5")))+1,""))))</f>
        <v/>
      </c>
      <c r="C53" s="36" t="s">
        <v>432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R53+IF(OR(H53="Junior",H53="Senior"),0.0002,IF(OR(H53="L7",H53="L6"),0.0001,0))+IF(G53="17-21",MAX(AA53,AC53,AF53),AE53)*0.0000001</f>
        <v>4.2439999999999995E-6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Scores'!C$13,T53,0),IF(W53&gt;='Qualifying Scores'!C$13,V53,0),IF(Z53&gt;='Qualifying Scores'!C$13,Y53,0),IF(AB53&gt;='Qualifying Scores'!C$13,AA53,0),IF(AD53&gt;'Qualifying Scores'!C$13,AC53,0),IF(AG53&gt;'Qualifying Scores'!C$13,AF53,0)),MAX(IF(OR(AND(G53="15-16",W53&gt;='Qualifying Scores'!C$12),AND(G53="13-14",W53&gt;='Qualifying Scores'!C$11),AND(G53="11-12",W53&gt;='Qualifying Scores'!C$10)),X53,0),IF(OR(AND(G53="15-16",AD53&gt;='Qualifying Scores'!C$12),AND(G53="13-14",AD53&gt;='Qualifying Scores'!C$11),AND(G53="11-12",AD53&gt;='Qualifying Scores'!C$10)),AE53,0))))</f>
        <v>0</v>
      </c>
      <c r="S53" s="4">
        <f>IF(G53="17-21",MAX(T53,V53,Y53,AA53,AC53,AF53),MAX(X53,AE53))</f>
        <v>42.44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37.42</v>
      </c>
      <c r="AB53" s="40">
        <v>0</v>
      </c>
      <c r="AC53" s="34">
        <v>42.44</v>
      </c>
      <c r="AD53" s="40">
        <v>7</v>
      </c>
      <c r="AE53" s="4">
        <f>IF(H53="Senior",MAX(AA53,AC53),AA53+AC53)</f>
        <v>79.86</v>
      </c>
      <c r="AF53" s="34"/>
      <c r="AG53" s="37"/>
    </row>
    <row r="54" spans="1:33" x14ac:dyDescent="0.2">
      <c r="A54" s="1" t="str" cm="1">
        <f t="array" ref="A54">IF(I54="","",IF(P54&lt;&gt;"",SUMPRODUCT((P$3:P$128&lt;&gt;"")*(G$3:G$128=G54)*(J$3:J$128&gt;J54)*(I$3:I$128="P"))+1,IF(O54&lt;&gt;"",SUMPRODUCT((O$3:O$128&lt;&gt;"")*(P$3:P$128="")*(G$3:G$128=G54)*(J$3:J$128&gt;J54)*(I$3:I$128="P"))+SUMPRODUCT((P$3:P$128&lt;&gt;"")*(G$3:G$128=G54)*(I$3:I$128="P"))+1,IF(N54&lt;&gt;"",SUMPRODUCT((N$3:N$128&lt;&gt;"")*(G$3:G$128=G54)*(J$3:J$128&gt;J54)*(I$3:I$128="P"))+1,IF(M54="P",SUMPRODUCT((O$3:O$128&lt;&gt;"")*(P$3:P$128="")*(G$3:G$128=G54)*(I$3:I$128="P"))+SUMPRODUCT((P$3:P$128&lt;&gt;"")*(G$3:G$128=G54)*(I$3:I$128="P"))+SUMPRODUCT((N$3:N$128&lt;&gt;"")*(G$3:G$128=G54)*(I$3:I$128="P"))+SUMPRODUCT((P$3:P$128="")*(O$3:O$128="")*(N$3:N$128="")*(M$3:M$128="P")*(G$3:G$128=G54)*(J$3:J$128&gt;J54)*(I$3:I$128="P"))+IF(H54="L5",SUMPRODUCT((P$3:P$128="")*(O$3:O$128="")*(N$3:N$128="")*(M$3:M$128="P")*(G$3:G$128=G54)*(J$3:J$128&lt;J54)*(H$3:H$128&lt;&gt;H54)*(I$3:I$128="P")),-1*SUMPRODUCT((P$3:P$128="")*(O$3:O$128="")*(N$3:N$128="")*(M$3:M$128="P")*(G$3:G$128=G54)*(J$3:J$128&gt;J54)*(H$3:H$128="L5")*(I$3:I$128="P")))+1,"")))))</f>
        <v/>
      </c>
      <c r="B54" s="1" t="str" cm="1">
        <f t="array" ref="B54">IF(P54&lt;&gt;"",SUMPRODUCT((P$3:P$128&lt;&gt;"")*(G$3:G$128=G54)*(J$3:J$128&gt;J54))+1,IF(O54&lt;&gt;"",SUMPRODUCT((O$3:O$128&lt;&gt;"")*(P$3:P$128="")*(G$3:G$128=G54)*(J$3:J$128&gt;J54))+SUMPRODUCT((P$3:P$128&lt;&gt;"")*(G$3:G$128=G54))+1,IF(N54&lt;&gt;"",SUMPRODUCT((N$3:N$128&lt;&gt;"")*(G$3:G$128=G54)*(J$3:J$128&gt;J54))+1,IF(M54="P",SUMPRODUCT((O$3:O$128&lt;&gt;"")*(P$3:P$128="")*(G$3:G$128=G54))+SUMPRODUCT((P$3:P$128&lt;&gt;"")*(G$3:G$128=G54))+SUMPRODUCT((N$3:N$128&lt;&gt;"")*(G$3:G$128=G54))+SUMPRODUCT((P$3:P$128="")*(O$3:O$128="")*(N$3:N$128="")*(M$3:M$128="P")*(G$3:G$128=G54)*(J$3:J$128&gt;J54))+IF(H54="L5",SUMPRODUCT((P$3:P$128="")*(O$3:O$128="")*(N$3:N$128="")*(M$3:M$128="P")*(G$3:G$128=G54)*(J$3:J$128&lt;J54)*(H$3:H$128&lt;&gt;H54)),-1*SUMPRODUCT((P$3:P$128="")*(O$3:O$128="")*(N$3:N$128="")*(M$3:M$128="P")*(G$3:G$128=G54)*(J$3:J$128&gt;J54)*(H$3:H$128="L5")))+1,""))))</f>
        <v/>
      </c>
      <c r="C54" s="36" t="s">
        <v>450</v>
      </c>
      <c r="D54" s="36" t="str">
        <f>IF(E54="","",VLOOKUP(E54,'Coaching Points'!A:B,2,0))</f>
        <v>NS</v>
      </c>
      <c r="E54" s="36" t="s">
        <v>584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R54+IF(OR(H54="Junior",H54="Senior"),0.0002,IF(OR(H54="L7",H54="L6"),0.0001,0))+IF(G54="17-21",MAX(AA54,AC54,AF54),AE54)*0.0000001</f>
        <v>4.2429999999999999E-6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Scores'!C$13,T54,0),IF(W54&gt;='Qualifying Scores'!C$13,V54,0),IF(Z54&gt;='Qualifying Scores'!C$13,Y54,0),IF(AB54&gt;='Qualifying Scores'!C$13,AA54,0),IF(AD54&gt;'Qualifying Scores'!C$13,AC54,0),IF(AG54&gt;'Qualifying Scores'!C$13,AF54,0)),MAX(IF(OR(AND(G54="15-16",W54&gt;='Qualifying Scores'!C$12),AND(G54="13-14",W54&gt;='Qualifying Scores'!C$11),AND(G54="11-12",W54&gt;='Qualifying Scores'!C$10)),X54,0),IF(OR(AND(G54="15-16",AD54&gt;='Qualifying Scores'!C$12),AND(G54="13-14",AD54&gt;='Qualifying Scores'!C$11),AND(G54="11-12",AD54&gt;='Qualifying Scores'!C$10)),AE54,0))))</f>
        <v>0</v>
      </c>
      <c r="S54" s="4">
        <f>IF(G54="17-21",MAX(T54,V54,Y54,AA54,AC54,AF54),MAX(X54,AE54))</f>
        <v>42.43</v>
      </c>
      <c r="T54" s="33"/>
      <c r="U54" s="40"/>
      <c r="V54" s="34"/>
      <c r="W54" s="40"/>
      <c r="X54" s="4">
        <f>IF(H54="Senior",MAX(T54,V54),T54+V54)</f>
        <v>0</v>
      </c>
      <c r="Y54" s="34"/>
      <c r="Z54" s="40"/>
      <c r="AA54" s="33">
        <v>37.32</v>
      </c>
      <c r="AB54" s="40">
        <v>0</v>
      </c>
      <c r="AC54" s="34">
        <v>42.43</v>
      </c>
      <c r="AD54" s="40">
        <v>7</v>
      </c>
      <c r="AE54" s="4">
        <f>IF(H54="Senior",MAX(AA54,AC54),AA54+AC54)</f>
        <v>79.75</v>
      </c>
      <c r="AF54" s="34"/>
      <c r="AG54" s="37"/>
    </row>
    <row r="55" spans="1:33" x14ac:dyDescent="0.2">
      <c r="A55" s="1" t="str" cm="1">
        <f t="array" ref="A55">IF(I55="","",IF(P55&lt;&gt;"",SUMPRODUCT((P$3:P$128&lt;&gt;"")*(G$3:G$128=G55)*(J$3:J$128&gt;J55)*(I$3:I$128="P"))+1,IF(O55&lt;&gt;"",SUMPRODUCT((O$3:O$128&lt;&gt;"")*(P$3:P$128="")*(G$3:G$128=G55)*(J$3:J$128&gt;J55)*(I$3:I$128="P"))+SUMPRODUCT((P$3:P$128&lt;&gt;"")*(G$3:G$128=G55)*(I$3:I$128="P"))+1,IF(N55&lt;&gt;"",SUMPRODUCT((N$3:N$128&lt;&gt;"")*(G$3:G$128=G55)*(J$3:J$128&gt;J55)*(I$3:I$128="P"))+1,IF(M55="P",SUMPRODUCT((O$3:O$128&lt;&gt;"")*(P$3:P$128="")*(G$3:G$128=G55)*(I$3:I$128="P"))+SUMPRODUCT((P$3:P$128&lt;&gt;"")*(G$3:G$128=G55)*(I$3:I$128="P"))+SUMPRODUCT((N$3:N$128&lt;&gt;"")*(G$3:G$128=G55)*(I$3:I$128="P"))+SUMPRODUCT((P$3:P$128="")*(O$3:O$128="")*(N$3:N$128="")*(M$3:M$128="P")*(G$3:G$128=G55)*(J$3:J$128&gt;J55)*(I$3:I$128="P"))+IF(H55="L5",SUMPRODUCT((P$3:P$128="")*(O$3:O$128="")*(N$3:N$128="")*(M$3:M$128="P")*(G$3:G$128=G55)*(J$3:J$128&lt;J55)*(H$3:H$128&lt;&gt;H55)*(I$3:I$128="P")),-1*SUMPRODUCT((P$3:P$128="")*(O$3:O$128="")*(N$3:N$128="")*(M$3:M$128="P")*(G$3:G$128=G55)*(J$3:J$128&gt;J55)*(H$3:H$128="L5")*(I$3:I$128="P")))+1,"")))))</f>
        <v/>
      </c>
      <c r="B55" s="1" t="str" cm="1">
        <f t="array" ref="B55">IF(P55&lt;&gt;"",SUMPRODUCT((P$3:P$128&lt;&gt;"")*(G$3:G$128=G55)*(J$3:J$128&gt;J55))+1,IF(O55&lt;&gt;"",SUMPRODUCT((O$3:O$128&lt;&gt;"")*(P$3:P$128="")*(G$3:G$128=G55)*(J$3:J$128&gt;J55))+SUMPRODUCT((P$3:P$128&lt;&gt;"")*(G$3:G$128=G55))+1,IF(N55&lt;&gt;"",SUMPRODUCT((N$3:N$128&lt;&gt;"")*(G$3:G$128=G55)*(J$3:J$128&gt;J55))+1,IF(M55="P",SUMPRODUCT((O$3:O$128&lt;&gt;"")*(P$3:P$128="")*(G$3:G$128=G55))+SUMPRODUCT((P$3:P$128&lt;&gt;"")*(G$3:G$128=G55))+SUMPRODUCT((N$3:N$128&lt;&gt;"")*(G$3:G$128=G55))+SUMPRODUCT((P$3:P$128="")*(O$3:O$128="")*(N$3:N$128="")*(M$3:M$128="P")*(G$3:G$128=G55)*(J$3:J$128&gt;J55))+IF(H55="L5",SUMPRODUCT((P$3:P$128="")*(O$3:O$128="")*(N$3:N$128="")*(M$3:M$128="P")*(G$3:G$128=G55)*(J$3:J$128&lt;J55)*(H$3:H$128&lt;&gt;H55)),-1*SUMPRODUCT((P$3:P$128="")*(O$3:O$128="")*(N$3:N$128="")*(M$3:M$128="P")*(G$3:G$128=G55)*(J$3:J$128&gt;J55)*(H$3:H$128="L5")))+1,""))))</f>
        <v/>
      </c>
      <c r="C55" s="36" t="s">
        <v>447</v>
      </c>
      <c r="D55" s="36" t="str">
        <f>IF(E55="","",VLOOKUP(E55,'Coaching Points'!A:B,2,0))</f>
        <v>ON</v>
      </c>
      <c r="E55" s="36" t="s">
        <v>199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115</v>
      </c>
      <c r="I55" s="45"/>
      <c r="J55" s="4">
        <f>R55+IF(OR(H55="Junior",H55="Senior"),0.0002,IF(OR(H55="L7",H55="L6"),0.0001,0))+IF(G55="17-21",MAX(AA55,AC55,AF55),AE55)*0.0000001</f>
        <v>4.2420000000000002E-6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Scores'!C$13,T55,0),IF(W55&gt;='Qualifying Scores'!C$13,V55,0),IF(Z55&gt;='Qualifying Scores'!C$13,Y55,0),IF(AB55&gt;='Qualifying Scores'!C$13,AA55,0),IF(AD55&gt;'Qualifying Scores'!C$13,AC55,0),IF(AG55&gt;'Qualifying Scores'!C$13,AF55,0)),MAX(IF(OR(AND(G55="15-16",W55&gt;='Qualifying Scores'!C$12),AND(G55="13-14",W55&gt;='Qualifying Scores'!C$11),AND(G55="11-12",W55&gt;='Qualifying Scores'!C$10)),X55,0),IF(OR(AND(G55="15-16",AD55&gt;='Qualifying Scores'!C$12),AND(G55="13-14",AD55&gt;='Qualifying Scores'!C$11),AND(G55="11-12",AD55&gt;='Qualifying Scores'!C$10)),AE55,0))))</f>
        <v>0</v>
      </c>
      <c r="S55" s="4">
        <f>IF(G55="17-21",MAX(T55,V55,Y55,AA55,AC55,AF55),MAX(X55,AE55))</f>
        <v>42.42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33.56</v>
      </c>
      <c r="AB55" s="40">
        <v>0</v>
      </c>
      <c r="AC55" s="34">
        <v>42.42</v>
      </c>
      <c r="AD55" s="40">
        <v>7.5</v>
      </c>
      <c r="AE55" s="4">
        <f>IF(H55="Senior",MAX(AA55,AC55),AA55+AC55)</f>
        <v>75.98</v>
      </c>
      <c r="AF55" s="34"/>
      <c r="AG55" s="37"/>
    </row>
    <row r="56" spans="1:33" x14ac:dyDescent="0.2">
      <c r="A56" s="1" t="str" cm="1">
        <f t="array" ref="A56">IF(I56="","",IF(P56&lt;&gt;"",SUMPRODUCT((P$3:P$128&lt;&gt;"")*(G$3:G$128=G56)*(J$3:J$128&gt;J56)*(I$3:I$128="P"))+1,IF(O56&lt;&gt;"",SUMPRODUCT((O$3:O$128&lt;&gt;"")*(P$3:P$128="")*(G$3:G$128=G56)*(J$3:J$128&gt;J56)*(I$3:I$128="P"))+SUMPRODUCT((P$3:P$128&lt;&gt;"")*(G$3:G$128=G56)*(I$3:I$128="P"))+1,IF(N56&lt;&gt;"",SUMPRODUCT((N$3:N$128&lt;&gt;"")*(G$3:G$128=G56)*(J$3:J$128&gt;J56)*(I$3:I$128="P"))+1,IF(M56="P",SUMPRODUCT((O$3:O$128&lt;&gt;"")*(P$3:P$128="")*(G$3:G$128=G56)*(I$3:I$128="P"))+SUMPRODUCT((P$3:P$128&lt;&gt;"")*(G$3:G$128=G56)*(I$3:I$128="P"))+SUMPRODUCT((N$3:N$128&lt;&gt;"")*(G$3:G$128=G56)*(I$3:I$128="P"))+SUMPRODUCT((P$3:P$128="")*(O$3:O$128="")*(N$3:N$128="")*(M$3:M$128="P")*(G$3:G$128=G56)*(J$3:J$128&gt;J56)*(I$3:I$128="P"))+IF(H56="L5",SUMPRODUCT((P$3:P$128="")*(O$3:O$128="")*(N$3:N$128="")*(M$3:M$128="P")*(G$3:G$128=G56)*(J$3:J$128&lt;J56)*(H$3:H$128&lt;&gt;H56)*(I$3:I$128="P")),-1*SUMPRODUCT((P$3:P$128="")*(O$3:O$128="")*(N$3:N$128="")*(M$3:M$128="P")*(G$3:G$128=G56)*(J$3:J$128&gt;J56)*(H$3:H$128="L5")*(I$3:I$128="P")))+1,"")))))</f>
        <v/>
      </c>
      <c r="B56" s="1" t="str" cm="1">
        <f t="array" ref="B56">IF(P56&lt;&gt;"",SUMPRODUCT((P$3:P$128&lt;&gt;"")*(G$3:G$128=G56)*(J$3:J$128&gt;J56))+1,IF(O56&lt;&gt;"",SUMPRODUCT((O$3:O$128&lt;&gt;"")*(P$3:P$128="")*(G$3:G$128=G56)*(J$3:J$128&gt;J56))+SUMPRODUCT((P$3:P$128&lt;&gt;"")*(G$3:G$128=G56))+1,IF(N56&lt;&gt;"",SUMPRODUCT((N$3:N$128&lt;&gt;"")*(G$3:G$128=G56)*(J$3:J$128&gt;J56))+1,IF(M56="P",SUMPRODUCT((O$3:O$128&lt;&gt;"")*(P$3:P$128="")*(G$3:G$128=G56))+SUMPRODUCT((P$3:P$128&lt;&gt;"")*(G$3:G$128=G56))+SUMPRODUCT((N$3:N$128&lt;&gt;"")*(G$3:G$128=G56))+SUMPRODUCT((P$3:P$128="")*(O$3:O$128="")*(N$3:N$128="")*(M$3:M$128="P")*(G$3:G$128=G56)*(J$3:J$128&gt;J56))+IF(H56="L5",SUMPRODUCT((P$3:P$128="")*(O$3:O$128="")*(N$3:N$128="")*(M$3:M$128="P")*(G$3:G$128=G56)*(J$3:J$128&lt;J56)*(H$3:H$128&lt;&gt;H56)),-1*SUMPRODUCT((P$3:P$128="")*(O$3:O$128="")*(N$3:N$128="")*(M$3:M$128="P")*(G$3:G$128=G56)*(J$3:J$128&gt;J56)*(H$3:H$128="L5")))+1,""))))</f>
        <v/>
      </c>
      <c r="C56" s="36" t="s">
        <v>445</v>
      </c>
      <c r="D56" s="36" t="str">
        <f>IF(E56="","",VLOOKUP(E56,'Coaching Points'!A:B,2,0))</f>
        <v>ON</v>
      </c>
      <c r="E56" s="36" t="s">
        <v>575</v>
      </c>
      <c r="F56" s="35">
        <v>2005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115</v>
      </c>
      <c r="I56" s="45"/>
      <c r="J56" s="4">
        <f>R56+IF(OR(H56="Junior",H56="Senior"),0.0002,IF(OR(H56="L7",H56="L6"),0.0001,0))+IF(G56="17-21",MAX(AA56,AC56,AF56),AE56)*0.0000001</f>
        <v>4.2359999999999998E-6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Scores'!C$13,T56,0),IF(W56&gt;='Qualifying Scores'!C$13,V56,0),IF(Z56&gt;='Qualifying Scores'!C$13,Y56,0),IF(AB56&gt;='Qualifying Scores'!C$13,AA56,0),IF(AD56&gt;'Qualifying Scores'!C$13,AC56,0),IF(AG56&gt;'Qualifying Scores'!C$13,AF56,0)),MAX(IF(OR(AND(G56="15-16",W56&gt;='Qualifying Scores'!C$12),AND(G56="13-14",W56&gt;='Qualifying Scores'!C$11),AND(G56="11-12",W56&gt;='Qualifying Scores'!C$10)),X56,0),IF(OR(AND(G56="15-16",AD56&gt;='Qualifying Scores'!C$12),AND(G56="13-14",AD56&gt;='Qualifying Scores'!C$11),AND(G56="11-12",AD56&gt;='Qualifying Scores'!C$10)),AE56,0))))</f>
        <v>0</v>
      </c>
      <c r="S56" s="4">
        <f>IF(G56="17-21",MAX(T56,V56,Y56,AA56,AC56,AF56),MAX(X56,AE56))</f>
        <v>42.36</v>
      </c>
      <c r="T56" s="33"/>
      <c r="U56" s="40"/>
      <c r="V56" s="34"/>
      <c r="W56" s="40"/>
      <c r="X56" s="4">
        <f>IF(H56="Senior",MAX(T56,V56),T56+V56)</f>
        <v>0</v>
      </c>
      <c r="Y56" s="34"/>
      <c r="Z56" s="40"/>
      <c r="AA56" s="33">
        <v>36.29</v>
      </c>
      <c r="AB56" s="40">
        <v>0</v>
      </c>
      <c r="AC56" s="34">
        <v>42.36</v>
      </c>
      <c r="AD56" s="40">
        <v>7.8</v>
      </c>
      <c r="AE56" s="4">
        <f>IF(H56="Senior",MAX(AA56,AC56),AA56+AC56)</f>
        <v>78.650000000000006</v>
      </c>
      <c r="AF56" s="34"/>
      <c r="AG56" s="37"/>
    </row>
    <row r="57" spans="1:33" x14ac:dyDescent="0.2">
      <c r="A57" s="1" t="str" cm="1">
        <f t="array" ref="A57">IF(I57="","",IF(P57&lt;&gt;"",SUMPRODUCT((P$3:P$128&lt;&gt;"")*(G$3:G$128=G57)*(J$3:J$128&gt;J57)*(I$3:I$128="P"))+1,IF(O57&lt;&gt;"",SUMPRODUCT((O$3:O$128&lt;&gt;"")*(P$3:P$128="")*(G$3:G$128=G57)*(J$3:J$128&gt;J57)*(I$3:I$128="P"))+SUMPRODUCT((P$3:P$128&lt;&gt;"")*(G$3:G$128=G57)*(I$3:I$128="P"))+1,IF(N57&lt;&gt;"",SUMPRODUCT((N$3:N$128&lt;&gt;"")*(G$3:G$128=G57)*(J$3:J$128&gt;J57)*(I$3:I$128="P"))+1,IF(M57="P",SUMPRODUCT((O$3:O$128&lt;&gt;"")*(P$3:P$128="")*(G$3:G$128=G57)*(I$3:I$128="P"))+SUMPRODUCT((P$3:P$128&lt;&gt;"")*(G$3:G$128=G57)*(I$3:I$128="P"))+SUMPRODUCT((N$3:N$128&lt;&gt;"")*(G$3:G$128=G57)*(I$3:I$128="P"))+SUMPRODUCT((P$3:P$128="")*(O$3:O$128="")*(N$3:N$128="")*(M$3:M$128="P")*(G$3:G$128=G57)*(J$3:J$128&gt;J57)*(I$3:I$128="P"))+IF(H57="L5",SUMPRODUCT((P$3:P$128="")*(O$3:O$128="")*(N$3:N$128="")*(M$3:M$128="P")*(G$3:G$128=G57)*(J$3:J$128&lt;J57)*(H$3:H$128&lt;&gt;H57)*(I$3:I$128="P")),-1*SUMPRODUCT((P$3:P$128="")*(O$3:O$128="")*(N$3:N$128="")*(M$3:M$128="P")*(G$3:G$128=G57)*(J$3:J$128&gt;J57)*(H$3:H$128="L5")*(I$3:I$128="P")))+1,"")))))</f>
        <v/>
      </c>
      <c r="B57" s="1" t="str" cm="1">
        <f t="array" ref="B57">IF(P57&lt;&gt;"",SUMPRODUCT((P$3:P$128&lt;&gt;"")*(G$3:G$128=G57)*(J$3:J$128&gt;J57))+1,IF(O57&lt;&gt;"",SUMPRODUCT((O$3:O$128&lt;&gt;"")*(P$3:P$128="")*(G$3:G$128=G57)*(J$3:J$128&gt;J57))+SUMPRODUCT((P$3:P$128&lt;&gt;"")*(G$3:G$128=G57))+1,IF(N57&lt;&gt;"",SUMPRODUCT((N$3:N$128&lt;&gt;"")*(G$3:G$128=G57)*(J$3:J$128&gt;J57))+1,IF(M57="P",SUMPRODUCT((O$3:O$128&lt;&gt;"")*(P$3:P$128="")*(G$3:G$128=G57))+SUMPRODUCT((P$3:P$128&lt;&gt;"")*(G$3:G$128=G57))+SUMPRODUCT((N$3:N$128&lt;&gt;"")*(G$3:G$128=G57))+SUMPRODUCT((P$3:P$128="")*(O$3:O$128="")*(N$3:N$128="")*(M$3:M$128="P")*(G$3:G$128=G57)*(J$3:J$128&gt;J57))+IF(H57="L5",SUMPRODUCT((P$3:P$128="")*(O$3:O$128="")*(N$3:N$128="")*(M$3:M$128="P")*(G$3:G$128=G57)*(J$3:J$128&lt;J57)*(H$3:H$128&lt;&gt;H57)),-1*SUMPRODUCT((P$3:P$128="")*(O$3:O$128="")*(N$3:N$128="")*(M$3:M$128="P")*(G$3:G$128=G57)*(J$3:J$128&gt;J57)*(H$3:H$128="L5")))+1,""))))</f>
        <v/>
      </c>
      <c r="C57" s="36" t="s">
        <v>435</v>
      </c>
      <c r="D57" s="36" t="str">
        <f>IF(E57="","",VLOOKUP(E57,'Coaching Points'!A:B,2,0))</f>
        <v>QC</v>
      </c>
      <c r="E57" s="36" t="s">
        <v>195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115</v>
      </c>
      <c r="I57" s="45"/>
      <c r="J57" s="4">
        <f>R57+IF(OR(H57="Junior",H57="Senior"),0.0002,IF(OR(H57="L7",H57="L6"),0.0001,0))+IF(G57="17-21",MAX(AA57,AC57,AF57),AE57)*0.0000001</f>
        <v>4.211E-6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Scores'!C$13,T57,0),IF(W57&gt;='Qualifying Scores'!C$13,V57,0),IF(Z57&gt;='Qualifying Scores'!C$13,Y57,0),IF(AB57&gt;='Qualifying Scores'!C$13,AA57,0),IF(AD57&gt;'Qualifying Scores'!C$13,AC57,0),IF(AG57&gt;'Qualifying Scores'!C$13,AF57,0)),MAX(IF(OR(AND(G57="15-16",W57&gt;='Qualifying Scores'!C$12),AND(G57="13-14",W57&gt;='Qualifying Scores'!C$11),AND(G57="11-12",W57&gt;='Qualifying Scores'!C$10)),X57,0),IF(OR(AND(G57="15-16",AD57&gt;='Qualifying Scores'!C$12),AND(G57="13-14",AD57&gt;='Qualifying Scores'!C$11),AND(G57="11-12",AD57&gt;='Qualifying Scores'!C$10)),AE57,0))))</f>
        <v>0</v>
      </c>
      <c r="S57" s="4">
        <f>IF(G57="17-21",MAX(T57,V57,Y57,AA57,AC57,AF57),MAX(X57,AE57))</f>
        <v>42.11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39.04</v>
      </c>
      <c r="AB57" s="40">
        <v>0</v>
      </c>
      <c r="AC57" s="34">
        <v>42.11</v>
      </c>
      <c r="AD57" s="40">
        <v>7.1</v>
      </c>
      <c r="AE57" s="4">
        <f>IF(H57="Senior",MAX(AA57,AC57),AA57+AC57)</f>
        <v>81.150000000000006</v>
      </c>
      <c r="AF57" s="34"/>
      <c r="AG57" s="37"/>
    </row>
    <row r="58" spans="1:33" x14ac:dyDescent="0.2">
      <c r="A58" s="1" t="str" cm="1">
        <f t="array" ref="A58">IF(I58="","",IF(P58&lt;&gt;"",SUMPRODUCT((P$3:P$128&lt;&gt;"")*(G$3:G$128=G58)*(J$3:J$128&gt;J58)*(I$3:I$128="P"))+1,IF(O58&lt;&gt;"",SUMPRODUCT((O$3:O$128&lt;&gt;"")*(P$3:P$128="")*(G$3:G$128=G58)*(J$3:J$128&gt;J58)*(I$3:I$128="P"))+SUMPRODUCT((P$3:P$128&lt;&gt;"")*(G$3:G$128=G58)*(I$3:I$128="P"))+1,IF(N58&lt;&gt;"",SUMPRODUCT((N$3:N$128&lt;&gt;"")*(G$3:G$128=G58)*(J$3:J$128&gt;J58)*(I$3:I$128="P"))+1,IF(M58="P",SUMPRODUCT((O$3:O$128&lt;&gt;"")*(P$3:P$128="")*(G$3:G$128=G58)*(I$3:I$128="P"))+SUMPRODUCT((P$3:P$128&lt;&gt;"")*(G$3:G$128=G58)*(I$3:I$128="P"))+SUMPRODUCT((N$3:N$128&lt;&gt;"")*(G$3:G$128=G58)*(I$3:I$128="P"))+SUMPRODUCT((P$3:P$128="")*(O$3:O$128="")*(N$3:N$128="")*(M$3:M$128="P")*(G$3:G$128=G58)*(J$3:J$128&gt;J58)*(I$3:I$128="P"))+IF(H58="L5",SUMPRODUCT((P$3:P$128="")*(O$3:O$128="")*(N$3:N$128="")*(M$3:M$128="P")*(G$3:G$128=G58)*(J$3:J$128&lt;J58)*(H$3:H$128&lt;&gt;H58)*(I$3:I$128="P")),-1*SUMPRODUCT((P$3:P$128="")*(O$3:O$128="")*(N$3:N$128="")*(M$3:M$128="P")*(G$3:G$128=G58)*(J$3:J$128&gt;J58)*(H$3:H$128="L5")*(I$3:I$128="P")))+1,"")))))</f>
        <v/>
      </c>
      <c r="B58" s="1" t="str" cm="1">
        <f t="array" ref="B58">IF(P58&lt;&gt;"",SUMPRODUCT((P$3:P$128&lt;&gt;"")*(G$3:G$128=G58)*(J$3:J$128&gt;J58))+1,IF(O58&lt;&gt;"",SUMPRODUCT((O$3:O$128&lt;&gt;"")*(P$3:P$128="")*(G$3:G$128=G58)*(J$3:J$128&gt;J58))+SUMPRODUCT((P$3:P$128&lt;&gt;"")*(G$3:G$128=G58))+1,IF(N58&lt;&gt;"",SUMPRODUCT((N$3:N$128&lt;&gt;"")*(G$3:G$128=G58)*(J$3:J$128&gt;J58))+1,IF(M58="P",SUMPRODUCT((O$3:O$128&lt;&gt;"")*(P$3:P$128="")*(G$3:G$128=G58))+SUMPRODUCT((P$3:P$128&lt;&gt;"")*(G$3:G$128=G58))+SUMPRODUCT((N$3:N$128&lt;&gt;"")*(G$3:G$128=G58))+SUMPRODUCT((P$3:P$128="")*(O$3:O$128="")*(N$3:N$128="")*(M$3:M$128="P")*(G$3:G$128=G58)*(J$3:J$128&gt;J58))+IF(H58="L5",SUMPRODUCT((P$3:P$128="")*(O$3:O$128="")*(N$3:N$128="")*(M$3:M$128="P")*(G$3:G$128=G58)*(J$3:J$128&lt;J58)*(H$3:H$128&lt;&gt;H58)),-1*SUMPRODUCT((P$3:P$128="")*(O$3:O$128="")*(N$3:N$128="")*(M$3:M$128="P")*(G$3:G$128=G58)*(J$3:J$128&gt;J58)*(H$3:H$128="L5")))+1,""))))</f>
        <v/>
      </c>
      <c r="C58" s="36" t="s">
        <v>440</v>
      </c>
      <c r="D58" s="36" t="str">
        <f>IF(E58="","",VLOOKUP(E58,'Coaching Points'!A:B,2,0))</f>
        <v>BC</v>
      </c>
      <c r="E58" s="36" t="s">
        <v>42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115</v>
      </c>
      <c r="I58" s="45"/>
      <c r="J58" s="4">
        <f>R58+IF(OR(H58="Junior",H58="Senior"),0.0002,IF(OR(H58="L7",H58="L6"),0.0001,0))+IF(G58="17-21",MAX(AA58,AC58,AF58),AE58)*0.0000001</f>
        <v>4.1840000000000001E-6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Scores'!C$13,T58,0),IF(W58&gt;='Qualifying Scores'!C$13,V58,0),IF(Z58&gt;='Qualifying Scores'!C$13,Y58,0),IF(AB58&gt;='Qualifying Scores'!C$13,AA58,0),IF(AD58&gt;'Qualifying Scores'!C$13,AC58,0),IF(AG58&gt;'Qualifying Scores'!C$13,AF58,0)),MAX(IF(OR(AND(G58="15-16",W58&gt;='Qualifying Scores'!C$12),AND(G58="13-14",W58&gt;='Qualifying Scores'!C$11),AND(G58="11-12",W58&gt;='Qualifying Scores'!C$10)),X58,0),IF(OR(AND(G58="15-16",AD58&gt;='Qualifying Scores'!C$12),AND(G58="13-14",AD58&gt;='Qualifying Scores'!C$11),AND(G58="11-12",AD58&gt;='Qualifying Scores'!C$10)),AE58,0))))</f>
        <v>0</v>
      </c>
      <c r="S58" s="4">
        <f>IF(G58="17-21",MAX(T58,V58,Y58,AA58,AC58,AF58),MAX(X58,AE58))</f>
        <v>41.84</v>
      </c>
      <c r="T58" s="33"/>
      <c r="U58" s="40"/>
      <c r="V58" s="34"/>
      <c r="W58" s="40"/>
      <c r="X58" s="4">
        <f>IF(H58="Senior",MAX(T58,V58),T58+V58)</f>
        <v>0</v>
      </c>
      <c r="Y58" s="34"/>
      <c r="Z58" s="40"/>
      <c r="AA58" s="33">
        <v>30.23</v>
      </c>
      <c r="AB58" s="40">
        <v>0</v>
      </c>
      <c r="AC58" s="34">
        <v>41.84</v>
      </c>
      <c r="AD58" s="40">
        <v>7</v>
      </c>
      <c r="AE58" s="4">
        <f>IF(H58="Senior",MAX(AA58,AC58),AA58+AC58)</f>
        <v>72.070000000000007</v>
      </c>
      <c r="AF58" s="34"/>
      <c r="AG58" s="37"/>
    </row>
    <row r="59" spans="1:33" x14ac:dyDescent="0.2">
      <c r="A59" s="1" t="str" cm="1">
        <f t="array" ref="A59">IF(I59="","",IF(P59&lt;&gt;"",SUMPRODUCT((P$3:P$128&lt;&gt;"")*(G$3:G$128=G59)*(J$3:J$128&gt;J59)*(I$3:I$128="P"))+1,IF(O59&lt;&gt;"",SUMPRODUCT((O$3:O$128&lt;&gt;"")*(P$3:P$128="")*(G$3:G$128=G59)*(J$3:J$128&gt;J59)*(I$3:I$128="P"))+SUMPRODUCT((P$3:P$128&lt;&gt;"")*(G$3:G$128=G59)*(I$3:I$128="P"))+1,IF(N59&lt;&gt;"",SUMPRODUCT((N$3:N$128&lt;&gt;"")*(G$3:G$128=G59)*(J$3:J$128&gt;J59)*(I$3:I$128="P"))+1,IF(M59="P",SUMPRODUCT((O$3:O$128&lt;&gt;"")*(P$3:P$128="")*(G$3:G$128=G59)*(I$3:I$128="P"))+SUMPRODUCT((P$3:P$128&lt;&gt;"")*(G$3:G$128=G59)*(I$3:I$128="P"))+SUMPRODUCT((N$3:N$128&lt;&gt;"")*(G$3:G$128=G59)*(I$3:I$128="P"))+SUMPRODUCT((P$3:P$128="")*(O$3:O$128="")*(N$3:N$128="")*(M$3:M$128="P")*(G$3:G$128=G59)*(J$3:J$128&gt;J59)*(I$3:I$128="P"))+IF(H59="L5",SUMPRODUCT((P$3:P$128="")*(O$3:O$128="")*(N$3:N$128="")*(M$3:M$128="P")*(G$3:G$128=G59)*(J$3:J$128&lt;J59)*(H$3:H$128&lt;&gt;H59)*(I$3:I$128="P")),-1*SUMPRODUCT((P$3:P$128="")*(O$3:O$128="")*(N$3:N$128="")*(M$3:M$128="P")*(G$3:G$128=G59)*(J$3:J$128&gt;J59)*(H$3:H$128="L5")*(I$3:I$128="P")))+1,"")))))</f>
        <v/>
      </c>
      <c r="B59" s="1" t="str" cm="1">
        <f t="array" ref="B59">IF(P59&lt;&gt;"",SUMPRODUCT((P$3:P$128&lt;&gt;"")*(G$3:G$128=G59)*(J$3:J$128&gt;J59))+1,IF(O59&lt;&gt;"",SUMPRODUCT((O$3:O$128&lt;&gt;"")*(P$3:P$128="")*(G$3:G$128=G59)*(J$3:J$128&gt;J59))+SUMPRODUCT((P$3:P$128&lt;&gt;"")*(G$3:G$128=G59))+1,IF(N59&lt;&gt;"",SUMPRODUCT((N$3:N$128&lt;&gt;"")*(G$3:G$128=G59)*(J$3:J$128&gt;J59))+1,IF(M59="P",SUMPRODUCT((O$3:O$128&lt;&gt;"")*(P$3:P$128="")*(G$3:G$128=G59))+SUMPRODUCT((P$3:P$128&lt;&gt;"")*(G$3:G$128=G59))+SUMPRODUCT((N$3:N$128&lt;&gt;"")*(G$3:G$128=G59))+SUMPRODUCT((P$3:P$128="")*(O$3:O$128="")*(N$3:N$128="")*(M$3:M$128="P")*(G$3:G$128=G59)*(J$3:J$128&gt;J59))+IF(H59="L5",SUMPRODUCT((P$3:P$128="")*(O$3:O$128="")*(N$3:N$128="")*(M$3:M$128="P")*(G$3:G$128=G59)*(J$3:J$128&lt;J59)*(H$3:H$128&lt;&gt;H59)),-1*SUMPRODUCT((P$3:P$128="")*(O$3:O$128="")*(N$3:N$128="")*(M$3:M$128="P")*(G$3:G$128=G59)*(J$3:J$128&gt;J59)*(H$3:H$128="L5")))+1,""))))</f>
        <v/>
      </c>
      <c r="C59" s="36" t="s">
        <v>434</v>
      </c>
      <c r="D59" s="36" t="str">
        <f>IF(E59="","",VLOOKUP(E59,'Coaching Points'!A:B,2,0))</f>
        <v>NS</v>
      </c>
      <c r="E59" s="36" t="s">
        <v>584</v>
      </c>
      <c r="F59" s="35">
        <v>2001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4.1539999999999995E-6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Scores'!C$13,T59,0),IF(W59&gt;='Qualifying Scores'!C$13,V59,0),IF(Z59&gt;='Qualifying Scores'!C$13,Y59,0),IF(AB59&gt;='Qualifying Scores'!C$13,AA59,0),IF(AD59&gt;'Qualifying Scores'!C$13,AC59,0),IF(AG59&gt;'Qualifying Scores'!C$13,AF59,0)),MAX(IF(OR(AND(G59="15-16",W59&gt;='Qualifying Scores'!C$12),AND(G59="13-14",W59&gt;='Qualifying Scores'!C$11),AND(G59="11-12",W59&gt;='Qualifying Scores'!C$10)),X59,0),IF(OR(AND(G59="15-16",AD59&gt;='Qualifying Scores'!C$12),AND(G59="13-14",AD59&gt;='Qualifying Scores'!C$11),AND(G59="11-12",AD59&gt;='Qualifying Scores'!C$10)),AE59,0))))</f>
        <v>0</v>
      </c>
      <c r="S59" s="4">
        <f>IF(G59="17-21",MAX(T59,V59,Y59,AA59,AC59,AF59),MAX(X59,AE59))</f>
        <v>41.54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33.72</v>
      </c>
      <c r="AB59" s="40">
        <v>0</v>
      </c>
      <c r="AC59" s="34">
        <v>41.54</v>
      </c>
      <c r="AD59" s="40">
        <v>7</v>
      </c>
      <c r="AE59" s="4">
        <f>IF(H59="Senior",MAX(AA59,AC59),AA59+AC59)</f>
        <v>75.259999999999991</v>
      </c>
      <c r="AF59" s="34"/>
      <c r="AG59" s="37"/>
    </row>
    <row r="60" spans="1:33" x14ac:dyDescent="0.2">
      <c r="A60" s="1" t="str" cm="1">
        <f t="array" ref="A60">IF(I60="","",IF(P60&lt;&gt;"",SUMPRODUCT((P$3:P$128&lt;&gt;"")*(G$3:G$128=G60)*(J$3:J$128&gt;J60)*(I$3:I$128="P"))+1,IF(O60&lt;&gt;"",SUMPRODUCT((O$3:O$128&lt;&gt;"")*(P$3:P$128="")*(G$3:G$128=G60)*(J$3:J$128&gt;J60)*(I$3:I$128="P"))+SUMPRODUCT((P$3:P$128&lt;&gt;"")*(G$3:G$128=G60)*(I$3:I$128="P"))+1,IF(N60&lt;&gt;"",SUMPRODUCT((N$3:N$128&lt;&gt;"")*(G$3:G$128=G60)*(J$3:J$128&gt;J60)*(I$3:I$128="P"))+1,IF(M60="P",SUMPRODUCT((O$3:O$128&lt;&gt;"")*(P$3:P$128="")*(G$3:G$128=G60)*(I$3:I$128="P"))+SUMPRODUCT((P$3:P$128&lt;&gt;"")*(G$3:G$128=G60)*(I$3:I$128="P"))+SUMPRODUCT((N$3:N$128&lt;&gt;"")*(G$3:G$128=G60)*(I$3:I$128="P"))+SUMPRODUCT((P$3:P$128="")*(O$3:O$128="")*(N$3:N$128="")*(M$3:M$128="P")*(G$3:G$128=G60)*(J$3:J$128&gt;J60)*(I$3:I$128="P"))+IF(H60="L5",SUMPRODUCT((P$3:P$128="")*(O$3:O$128="")*(N$3:N$128="")*(M$3:M$128="P")*(G$3:G$128=G60)*(J$3:J$128&lt;J60)*(H$3:H$128&lt;&gt;H60)*(I$3:I$128="P")),-1*SUMPRODUCT((P$3:P$128="")*(O$3:O$128="")*(N$3:N$128="")*(M$3:M$128="P")*(G$3:G$128=G60)*(J$3:J$128&gt;J60)*(H$3:H$128="L5")*(I$3:I$128="P")))+1,"")))))</f>
        <v/>
      </c>
      <c r="B60" s="1" t="str" cm="1">
        <f t="array" ref="B60">IF(P60&lt;&gt;"",SUMPRODUCT((P$3:P$128&lt;&gt;"")*(G$3:G$128=G60)*(J$3:J$128&gt;J60))+1,IF(O60&lt;&gt;"",SUMPRODUCT((O$3:O$128&lt;&gt;"")*(P$3:P$128="")*(G$3:G$128=G60)*(J$3:J$128&gt;J60))+SUMPRODUCT((P$3:P$128&lt;&gt;"")*(G$3:G$128=G60))+1,IF(N60&lt;&gt;"",SUMPRODUCT((N$3:N$128&lt;&gt;"")*(G$3:G$128=G60)*(J$3:J$128&gt;J60))+1,IF(M60="P",SUMPRODUCT((O$3:O$128&lt;&gt;"")*(P$3:P$128="")*(G$3:G$128=G60))+SUMPRODUCT((P$3:P$128&lt;&gt;"")*(G$3:G$128=G60))+SUMPRODUCT((N$3:N$128&lt;&gt;"")*(G$3:G$128=G60))+SUMPRODUCT((P$3:P$128="")*(O$3:O$128="")*(N$3:N$128="")*(M$3:M$128="P")*(G$3:G$128=G60)*(J$3:J$128&gt;J60))+IF(H60="L5",SUMPRODUCT((P$3:P$128="")*(O$3:O$128="")*(N$3:N$128="")*(M$3:M$128="P")*(G$3:G$128=G60)*(J$3:J$128&lt;J60)*(H$3:H$128&lt;&gt;H60)),-1*SUMPRODUCT((P$3:P$128="")*(O$3:O$128="")*(N$3:N$128="")*(M$3:M$128="P")*(G$3:G$128=G60)*(J$3:J$128&gt;J60)*(H$3:H$128="L5")))+1,""))))</f>
        <v/>
      </c>
      <c r="C60" s="36" t="s">
        <v>442</v>
      </c>
      <c r="D60" s="36" t="str">
        <f>IF(E60="","",VLOOKUP(E60,'Coaching Points'!A:B,2,0))</f>
        <v>SK</v>
      </c>
      <c r="E60" s="36" t="s">
        <v>46</v>
      </c>
      <c r="F60" s="35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4.0539999999999996E-6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Scores'!C$13,T60,0),IF(W60&gt;='Qualifying Scores'!C$13,V60,0),IF(Z60&gt;='Qualifying Scores'!C$13,Y60,0),IF(AB60&gt;='Qualifying Scores'!C$13,AA60,0),IF(AD60&gt;'Qualifying Scores'!C$13,AC60,0),IF(AG60&gt;'Qualifying Scores'!C$13,AF60,0)),MAX(IF(OR(AND(G60="15-16",W60&gt;='Qualifying Scores'!C$12),AND(G60="13-14",W60&gt;='Qualifying Scores'!C$11),AND(G60="11-12",W60&gt;='Qualifying Scores'!C$10)),X60,0),IF(OR(AND(G60="15-16",AD60&gt;='Qualifying Scores'!C$12),AND(G60="13-14",AD60&gt;='Qualifying Scores'!C$11),AND(G60="11-12",AD60&gt;='Qualifying Scores'!C$10)),AE60,0))))</f>
        <v>0</v>
      </c>
      <c r="S60" s="4">
        <f>IF(G60="17-21",MAX(T60,V60,Y60,AA60,AC60,AF60),MAX(X60,AE60))</f>
        <v>40.54</v>
      </c>
      <c r="T60" s="33"/>
      <c r="U60" s="40"/>
      <c r="V60" s="34"/>
      <c r="W60" s="40"/>
      <c r="X60" s="4">
        <f>IF(H60="Senior",MAX(T60,V60),T60+V60)</f>
        <v>0</v>
      </c>
      <c r="Y60" s="34"/>
      <c r="Z60" s="40"/>
      <c r="AA60" s="33">
        <v>38.229999999999997</v>
      </c>
      <c r="AB60" s="40">
        <v>0</v>
      </c>
      <c r="AC60" s="34">
        <v>40.54</v>
      </c>
      <c r="AD60" s="40">
        <v>7.7</v>
      </c>
      <c r="AE60" s="4">
        <f>IF(H60="Senior",MAX(AA60,AC60),AA60+AC60)</f>
        <v>78.77</v>
      </c>
      <c r="AF60" s="34"/>
      <c r="AG60" s="37"/>
    </row>
    <row r="61" spans="1:33" x14ac:dyDescent="0.2">
      <c r="A61" s="1" t="str" cm="1">
        <f t="array" ref="A61">IF(I61="","",IF(P61&lt;&gt;"",SUMPRODUCT((P$3:P$128&lt;&gt;"")*(G$3:G$128=G61)*(J$3:J$128&gt;J61)*(I$3:I$128="P"))+1,IF(O61&lt;&gt;"",SUMPRODUCT((O$3:O$128&lt;&gt;"")*(P$3:P$128="")*(G$3:G$128=G61)*(J$3:J$128&gt;J61)*(I$3:I$128="P"))+SUMPRODUCT((P$3:P$128&lt;&gt;"")*(G$3:G$128=G61)*(I$3:I$128="P"))+1,IF(N61&lt;&gt;"",SUMPRODUCT((N$3:N$128&lt;&gt;"")*(G$3:G$128=G61)*(J$3:J$128&gt;J61)*(I$3:I$128="P"))+1,IF(M61="P",SUMPRODUCT((O$3:O$128&lt;&gt;"")*(P$3:P$128="")*(G$3:G$128=G61)*(I$3:I$128="P"))+SUMPRODUCT((P$3:P$128&lt;&gt;"")*(G$3:G$128=G61)*(I$3:I$128="P"))+SUMPRODUCT((N$3:N$128&lt;&gt;"")*(G$3:G$128=G61)*(I$3:I$128="P"))+SUMPRODUCT((P$3:P$128="")*(O$3:O$128="")*(N$3:N$128="")*(M$3:M$128="P")*(G$3:G$128=G61)*(J$3:J$128&gt;J61)*(I$3:I$128="P"))+IF(H61="L5",SUMPRODUCT((P$3:P$128="")*(O$3:O$128="")*(N$3:N$128="")*(M$3:M$128="P")*(G$3:G$128=G61)*(J$3:J$128&lt;J61)*(H$3:H$128&lt;&gt;H61)*(I$3:I$128="P")),-1*SUMPRODUCT((P$3:P$128="")*(O$3:O$128="")*(N$3:N$128="")*(M$3:M$128="P")*(G$3:G$128=G61)*(J$3:J$128&gt;J61)*(H$3:H$128="L5")*(I$3:I$128="P")))+1,"")))))</f>
        <v/>
      </c>
      <c r="B61" s="1" t="str" cm="1">
        <f t="array" ref="B61">IF(P61&lt;&gt;"",SUMPRODUCT((P$3:P$128&lt;&gt;"")*(G$3:G$128=G61)*(J$3:J$128&gt;J61))+1,IF(O61&lt;&gt;"",SUMPRODUCT((O$3:O$128&lt;&gt;"")*(P$3:P$128="")*(G$3:G$128=G61)*(J$3:J$128&gt;J61))+SUMPRODUCT((P$3:P$128&lt;&gt;"")*(G$3:G$128=G61))+1,IF(N61&lt;&gt;"",SUMPRODUCT((N$3:N$128&lt;&gt;"")*(G$3:G$128=G61)*(J$3:J$128&gt;J61))+1,IF(M61="P",SUMPRODUCT((O$3:O$128&lt;&gt;"")*(P$3:P$128="")*(G$3:G$128=G61))+SUMPRODUCT((P$3:P$128&lt;&gt;"")*(G$3:G$128=G61))+SUMPRODUCT((N$3:N$128&lt;&gt;"")*(G$3:G$128=G61))+SUMPRODUCT((P$3:P$128="")*(O$3:O$128="")*(N$3:N$128="")*(M$3:M$128="P")*(G$3:G$128=G61)*(J$3:J$128&gt;J61))+IF(H61="L5",SUMPRODUCT((P$3:P$128="")*(O$3:O$128="")*(N$3:N$128="")*(M$3:M$128="P")*(G$3:G$128=G61)*(J$3:J$128&lt;J61)*(H$3:H$128&lt;&gt;H61)),-1*SUMPRODUCT((P$3:P$128="")*(O$3:O$128="")*(N$3:N$128="")*(M$3:M$128="P")*(G$3:G$128=G61)*(J$3:J$128&gt;J61)*(H$3:H$128="L5")))+1,""))))</f>
        <v/>
      </c>
      <c r="C61" s="36" t="s">
        <v>433</v>
      </c>
      <c r="D61" s="36" t="str">
        <f>IF(E61="","",VLOOKUP(E61,'Coaching Points'!A:B,2,0))</f>
        <v>AB</v>
      </c>
      <c r="E61" s="36" t="s">
        <v>89</v>
      </c>
      <c r="F61" s="35">
        <v>2003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4.0060000000000003E-6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Scores'!C$13,T61,0),IF(W61&gt;='Qualifying Scores'!C$13,V61,0),IF(Z61&gt;='Qualifying Scores'!C$13,Y61,0),IF(AB61&gt;='Qualifying Scores'!C$13,AA61,0),IF(AD61&gt;'Qualifying Scores'!C$13,AC61,0),IF(AG61&gt;'Qualifying Scores'!C$13,AF61,0)),MAX(IF(OR(AND(G61="15-16",W61&gt;='Qualifying Scores'!C$12),AND(G61="13-14",W61&gt;='Qualifying Scores'!C$11),AND(G61="11-12",W61&gt;='Qualifying Scores'!C$10)),X61,0),IF(OR(AND(G61="15-16",AD61&gt;='Qualifying Scores'!C$12),AND(G61="13-14",AD61&gt;='Qualifying Scores'!C$11),AND(G61="11-12",AD61&gt;='Qualifying Scores'!C$10)),AE61,0))))</f>
        <v>0</v>
      </c>
      <c r="S61" s="4">
        <f>IF(G61="17-21",MAX(T61,V61,Y61,AA61,AC61,AF61),MAX(X61,AE61))</f>
        <v>40.06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36.99</v>
      </c>
      <c r="AB61" s="40">
        <v>0</v>
      </c>
      <c r="AC61" s="34">
        <v>40.06</v>
      </c>
      <c r="AD61" s="40">
        <v>7.2</v>
      </c>
      <c r="AE61" s="4">
        <f>IF(H61="Senior",MAX(AA61,AC61),AA61+AC61)</f>
        <v>77.050000000000011</v>
      </c>
      <c r="AF61" s="34"/>
      <c r="AG61" s="37"/>
    </row>
    <row r="62" spans="1:33" x14ac:dyDescent="0.2">
      <c r="A62" s="1" t="str" cm="1">
        <f t="array" ref="A62">IF(I62="","",IF(P62&lt;&gt;"",SUMPRODUCT((P$3:P$128&lt;&gt;"")*(G$3:G$128=G62)*(J$3:J$128&gt;J62)*(I$3:I$128="P"))+1,IF(O62&lt;&gt;"",SUMPRODUCT((O$3:O$128&lt;&gt;"")*(P$3:P$128="")*(G$3:G$128=G62)*(J$3:J$128&gt;J62)*(I$3:I$128="P"))+SUMPRODUCT((P$3:P$128&lt;&gt;"")*(G$3:G$128=G62)*(I$3:I$128="P"))+1,IF(N62&lt;&gt;"",SUMPRODUCT((N$3:N$128&lt;&gt;"")*(G$3:G$128=G62)*(J$3:J$128&gt;J62)*(I$3:I$128="P"))+1,IF(M62="P",SUMPRODUCT((O$3:O$128&lt;&gt;"")*(P$3:P$128="")*(G$3:G$128=G62)*(I$3:I$128="P"))+SUMPRODUCT((P$3:P$128&lt;&gt;"")*(G$3:G$128=G62)*(I$3:I$128="P"))+SUMPRODUCT((N$3:N$128&lt;&gt;"")*(G$3:G$128=G62)*(I$3:I$128="P"))+SUMPRODUCT((P$3:P$128="")*(O$3:O$128="")*(N$3:N$128="")*(M$3:M$128="P")*(G$3:G$128=G62)*(J$3:J$128&gt;J62)*(I$3:I$128="P"))+IF(H62="L5",SUMPRODUCT((P$3:P$128="")*(O$3:O$128="")*(N$3:N$128="")*(M$3:M$128="P")*(G$3:G$128=G62)*(J$3:J$128&lt;J62)*(H$3:H$128&lt;&gt;H62)*(I$3:I$128="P")),-1*SUMPRODUCT((P$3:P$128="")*(O$3:O$128="")*(N$3:N$128="")*(M$3:M$128="P")*(G$3:G$128=G62)*(J$3:J$128&gt;J62)*(H$3:H$128="L5")*(I$3:I$128="P")))+1,"")))))</f>
        <v/>
      </c>
      <c r="B62" s="1" t="str" cm="1">
        <f t="array" ref="B62">IF(P62&lt;&gt;"",SUMPRODUCT((P$3:P$128&lt;&gt;"")*(G$3:G$128=G62)*(J$3:J$128&gt;J62))+1,IF(O62&lt;&gt;"",SUMPRODUCT((O$3:O$128&lt;&gt;"")*(P$3:P$128="")*(G$3:G$128=G62)*(J$3:J$128&gt;J62))+SUMPRODUCT((P$3:P$128&lt;&gt;"")*(G$3:G$128=G62))+1,IF(N62&lt;&gt;"",SUMPRODUCT((N$3:N$128&lt;&gt;"")*(G$3:G$128=G62)*(J$3:J$128&gt;J62))+1,IF(M62="P",SUMPRODUCT((O$3:O$128&lt;&gt;"")*(P$3:P$128="")*(G$3:G$128=G62))+SUMPRODUCT((P$3:P$128&lt;&gt;"")*(G$3:G$128=G62))+SUMPRODUCT((N$3:N$128&lt;&gt;"")*(G$3:G$128=G62))+SUMPRODUCT((P$3:P$128="")*(O$3:O$128="")*(N$3:N$128="")*(M$3:M$128="P")*(G$3:G$128=G62)*(J$3:J$128&gt;J62))+IF(H62="L5",SUMPRODUCT((P$3:P$128="")*(O$3:O$128="")*(N$3:N$128="")*(M$3:M$128="P")*(G$3:G$128=G62)*(J$3:J$128&lt;J62)*(H$3:H$128&lt;&gt;H62)),-1*SUMPRODUCT((P$3:P$128="")*(O$3:O$128="")*(N$3:N$128="")*(M$3:M$128="P")*(G$3:G$128=G62)*(J$3:J$128&gt;J62)*(H$3:H$128="L5")))+1,""))))</f>
        <v/>
      </c>
      <c r="C62" s="36" t="s">
        <v>439</v>
      </c>
      <c r="D62" s="36" t="str">
        <f>IF(E62="","",VLOOKUP(E62,'Coaching Points'!A:B,2,0))</f>
        <v>QC</v>
      </c>
      <c r="E62" s="36" t="s">
        <v>3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3.9600000000000002E-6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Scores'!C$13,T62,0),IF(W62&gt;='Qualifying Scores'!C$13,V62,0),IF(Z62&gt;='Qualifying Scores'!C$13,Y62,0),IF(AB62&gt;='Qualifying Scores'!C$13,AA62,0),IF(AD62&gt;'Qualifying Scores'!C$13,AC62,0),IF(AG62&gt;'Qualifying Scores'!C$13,AF62,0)),MAX(IF(OR(AND(G62="15-16",W62&gt;='Qualifying Scores'!C$12),AND(G62="13-14",W62&gt;='Qualifying Scores'!C$11),AND(G62="11-12",W62&gt;='Qualifying Scores'!C$10)),X62,0),IF(OR(AND(G62="15-16",AD62&gt;='Qualifying Scores'!C$12),AND(G62="13-14",AD62&gt;='Qualifying Scores'!C$11),AND(G62="11-12",AD62&gt;='Qualifying Scores'!C$10)),AE62,0))))</f>
        <v>0</v>
      </c>
      <c r="S62" s="4">
        <f>IF(G62="17-21",MAX(T62,V62,Y62,AA62,AC62,AF62),MAX(X62,AE62))</f>
        <v>39.6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</v>
      </c>
      <c r="AB62" s="40">
        <v>0</v>
      </c>
      <c r="AC62" s="34">
        <v>22.54</v>
      </c>
      <c r="AD62" s="40">
        <v>3.7</v>
      </c>
      <c r="AE62" s="4">
        <f>IF(H62="Senior",MAX(AA62,AC62),AA62+AC62)</f>
        <v>62.14</v>
      </c>
      <c r="AF62" s="34"/>
      <c r="AG62" s="37"/>
    </row>
    <row r="63" spans="1:33" x14ac:dyDescent="0.2">
      <c r="A63" s="1" t="str" cm="1">
        <f t="array" ref="A63">IF(I63="","",IF(P63&lt;&gt;"",SUMPRODUCT((P$3:P$128&lt;&gt;"")*(G$3:G$128=G63)*(J$3:J$128&gt;J63)*(I$3:I$128="P"))+1,IF(O63&lt;&gt;"",SUMPRODUCT((O$3:O$128&lt;&gt;"")*(P$3:P$128="")*(G$3:G$128=G63)*(J$3:J$128&gt;J63)*(I$3:I$128="P"))+SUMPRODUCT((P$3:P$128&lt;&gt;"")*(G$3:G$128=G63)*(I$3:I$128="P"))+1,IF(N63&lt;&gt;"",SUMPRODUCT((N$3:N$128&lt;&gt;"")*(G$3:G$128=G63)*(J$3:J$128&gt;J63)*(I$3:I$128="P"))+1,IF(M63="P",SUMPRODUCT((O$3:O$128&lt;&gt;"")*(P$3:P$128="")*(G$3:G$128=G63)*(I$3:I$128="P"))+SUMPRODUCT((P$3:P$128&lt;&gt;"")*(G$3:G$128=G63)*(I$3:I$128="P"))+SUMPRODUCT((N$3:N$128&lt;&gt;"")*(G$3:G$128=G63)*(I$3:I$128="P"))+SUMPRODUCT((P$3:P$128="")*(O$3:O$128="")*(N$3:N$128="")*(M$3:M$128="P")*(G$3:G$128=G63)*(J$3:J$128&gt;J63)*(I$3:I$128="P"))+IF(H63="L5",SUMPRODUCT((P$3:P$128="")*(O$3:O$128="")*(N$3:N$128="")*(M$3:M$128="P")*(G$3:G$128=G63)*(J$3:J$128&lt;J63)*(H$3:H$128&lt;&gt;H63)*(I$3:I$128="P")),-1*SUMPRODUCT((P$3:P$128="")*(O$3:O$128="")*(N$3:N$128="")*(M$3:M$128="P")*(G$3:G$128=G63)*(J$3:J$128&gt;J63)*(H$3:H$128="L5")*(I$3:I$128="P")))+1,"")))))</f>
        <v/>
      </c>
      <c r="B63" s="1" t="str" cm="1">
        <f t="array" ref="B63">IF(P63&lt;&gt;"",SUMPRODUCT((P$3:P$128&lt;&gt;"")*(G$3:G$128=G63)*(J$3:J$128&gt;J63))+1,IF(O63&lt;&gt;"",SUMPRODUCT((O$3:O$128&lt;&gt;"")*(P$3:P$128="")*(G$3:G$128=G63)*(J$3:J$128&gt;J63))+SUMPRODUCT((P$3:P$128&lt;&gt;"")*(G$3:G$128=G63))+1,IF(N63&lt;&gt;"",SUMPRODUCT((N$3:N$128&lt;&gt;"")*(G$3:G$128=G63)*(J$3:J$128&gt;J63))+1,IF(M63="P",SUMPRODUCT((O$3:O$128&lt;&gt;"")*(P$3:P$128="")*(G$3:G$128=G63))+SUMPRODUCT((P$3:P$128&lt;&gt;"")*(G$3:G$128=G63))+SUMPRODUCT((N$3:N$128&lt;&gt;"")*(G$3:G$128=G63))+SUMPRODUCT((P$3:P$128="")*(O$3:O$128="")*(N$3:N$128="")*(M$3:M$128="P")*(G$3:G$128=G63)*(J$3:J$128&gt;J63))+IF(H63="L5",SUMPRODUCT((P$3:P$128="")*(O$3:O$128="")*(N$3:N$128="")*(M$3:M$128="P")*(G$3:G$128=G63)*(J$3:J$128&lt;J63)*(H$3:H$128&lt;&gt;H63)),-1*SUMPRODUCT((P$3:P$128="")*(O$3:O$128="")*(N$3:N$128="")*(M$3:M$128="P")*(G$3:G$128=G63)*(J$3:J$128&gt;J63)*(H$3:H$128="L5")))+1,""))))</f>
        <v/>
      </c>
      <c r="C63" s="36" t="s">
        <v>259</v>
      </c>
      <c r="D63" s="36" t="str">
        <f>IF(E63="","",VLOOKUP(E63,'Coaching Points'!A:B,2,0))</f>
        <v>QC</v>
      </c>
      <c r="E63" s="36" t="s">
        <v>3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3.9360000000000001E-6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Scores'!C$13,T63,0),IF(W63&gt;='Qualifying Scores'!C$13,V63,0),IF(Z63&gt;='Qualifying Scores'!C$13,Y63,0),IF(AB63&gt;='Qualifying Scores'!C$13,AA63,0),IF(AD63&gt;'Qualifying Scores'!C$13,AC63,0),IF(AG63&gt;'Qualifying Scores'!C$13,AF63,0)),MAX(IF(OR(AND(G63="15-16",W63&gt;='Qualifying Scores'!C$12),AND(G63="13-14",W63&gt;='Qualifying Scores'!C$11),AND(G63="11-12",W63&gt;='Qualifying Scores'!C$10)),X63,0),IF(OR(AND(G63="15-16",AD63&gt;='Qualifying Scores'!C$12),AND(G63="13-14",AD63&gt;='Qualifying Scores'!C$11),AND(G63="11-12",AD63&gt;='Qualifying Scores'!C$10)),AE63,0))))</f>
        <v>0</v>
      </c>
      <c r="S63" s="4">
        <f>IF(G63="17-21",MAX(T63,V63,Y63,AA63,AC63,AF63),MAX(X63,AE63))</f>
        <v>46.954999999999998</v>
      </c>
      <c r="T63" s="33">
        <v>39.405000000000001</v>
      </c>
      <c r="U63" s="40">
        <v>0</v>
      </c>
      <c r="V63" s="34">
        <v>46.954999999999998</v>
      </c>
      <c r="W63" s="40">
        <v>7.7</v>
      </c>
      <c r="X63" s="4">
        <f>IF(H63="Senior",MAX(T63,V63),T63+V63)</f>
        <v>86.36</v>
      </c>
      <c r="Y63" s="34">
        <v>46.144999999999996</v>
      </c>
      <c r="Z63" s="40">
        <v>7.7</v>
      </c>
      <c r="AA63" s="33">
        <v>39.36</v>
      </c>
      <c r="AB63" s="40">
        <v>0</v>
      </c>
      <c r="AC63" s="34">
        <v>23.12</v>
      </c>
      <c r="AD63" s="40">
        <v>4.0999999999999996</v>
      </c>
      <c r="AE63" s="4">
        <f>IF(H63="Senior",MAX(AA63,AC63),AA63+AC63)</f>
        <v>62.480000000000004</v>
      </c>
      <c r="AF63" s="34"/>
      <c r="AG63" s="37"/>
    </row>
    <row r="64" spans="1:33" x14ac:dyDescent="0.2">
      <c r="A64" s="1" t="str" cm="1">
        <f t="array" ref="A64">IF(I64="","",IF(P64&lt;&gt;"",SUMPRODUCT((P$3:P$128&lt;&gt;"")*(G$3:G$128=G64)*(J$3:J$128&gt;J64)*(I$3:I$128="P"))+1,IF(O64&lt;&gt;"",SUMPRODUCT((O$3:O$128&lt;&gt;"")*(P$3:P$128="")*(G$3:G$128=G64)*(J$3:J$128&gt;J64)*(I$3:I$128="P"))+SUMPRODUCT((P$3:P$128&lt;&gt;"")*(G$3:G$128=G64)*(I$3:I$128="P"))+1,IF(N64&lt;&gt;"",SUMPRODUCT((N$3:N$128&lt;&gt;"")*(G$3:G$128=G64)*(J$3:J$128&gt;J64)*(I$3:I$128="P"))+1,IF(M64="P",SUMPRODUCT((O$3:O$128&lt;&gt;"")*(P$3:P$128="")*(G$3:G$128=G64)*(I$3:I$128="P"))+SUMPRODUCT((P$3:P$128&lt;&gt;"")*(G$3:G$128=G64)*(I$3:I$128="P"))+SUMPRODUCT((N$3:N$128&lt;&gt;"")*(G$3:G$128=G64)*(I$3:I$128="P"))+SUMPRODUCT((P$3:P$128="")*(O$3:O$128="")*(N$3:N$128="")*(M$3:M$128="P")*(G$3:G$128=G64)*(J$3:J$128&gt;J64)*(I$3:I$128="P"))+IF(H64="L5",SUMPRODUCT((P$3:P$128="")*(O$3:O$128="")*(N$3:N$128="")*(M$3:M$128="P")*(G$3:G$128=G64)*(J$3:J$128&lt;J64)*(H$3:H$128&lt;&gt;H64)*(I$3:I$128="P")),-1*SUMPRODUCT((P$3:P$128="")*(O$3:O$128="")*(N$3:N$128="")*(M$3:M$128="P")*(G$3:G$128=G64)*(J$3:J$128&gt;J64)*(H$3:H$128="L5")*(I$3:I$128="P")))+1,"")))))</f>
        <v/>
      </c>
      <c r="B64" s="1" t="str" cm="1">
        <f t="array" ref="B64">IF(P64&lt;&gt;"",SUMPRODUCT((P$3:P$128&lt;&gt;"")*(G$3:G$128=G64)*(J$3:J$128&gt;J64))+1,IF(O64&lt;&gt;"",SUMPRODUCT((O$3:O$128&lt;&gt;"")*(P$3:P$128="")*(G$3:G$128=G64)*(J$3:J$128&gt;J64))+SUMPRODUCT((P$3:P$128&lt;&gt;"")*(G$3:G$128=G64))+1,IF(N64&lt;&gt;"",SUMPRODUCT((N$3:N$128&lt;&gt;"")*(G$3:G$128=G64)*(J$3:J$128&gt;J64))+1,IF(M64="P",SUMPRODUCT((O$3:O$128&lt;&gt;"")*(P$3:P$128="")*(G$3:G$128=G64))+SUMPRODUCT((P$3:P$128&lt;&gt;"")*(G$3:G$128=G64))+SUMPRODUCT((N$3:N$128&lt;&gt;"")*(G$3:G$128=G64))+SUMPRODUCT((P$3:P$128="")*(O$3:O$128="")*(N$3:N$128="")*(M$3:M$128="P")*(G$3:G$128=G64)*(J$3:J$128&gt;J64))+IF(H64="L5",SUMPRODUCT((P$3:P$128="")*(O$3:O$128="")*(N$3:N$128="")*(M$3:M$128="P")*(G$3:G$128=G64)*(J$3:J$128&lt;J64)*(H$3:H$128&lt;&gt;H64)),-1*SUMPRODUCT((P$3:P$128="")*(O$3:O$128="")*(N$3:N$128="")*(M$3:M$128="P")*(G$3:G$128=G64)*(J$3:J$128&gt;J64)*(H$3:H$128="L5")))+1,""))))</f>
        <v/>
      </c>
      <c r="C64" s="36" t="s">
        <v>264</v>
      </c>
      <c r="D64" s="36" t="str">
        <f>IF(E64="","",VLOOKUP(E64,'Coaching Points'!A:B,2,0))</f>
        <v>NS</v>
      </c>
      <c r="E64" s="36" t="s">
        <v>257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3.8359999999999994E-6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Scores'!C$13,T64,0),IF(W64&gt;='Qualifying Scores'!C$13,V64,0),IF(Z64&gt;='Qualifying Scores'!C$13,Y64,0),IF(AB64&gt;='Qualifying Scores'!C$13,AA64,0),IF(AD64&gt;'Qualifying Scores'!C$13,AC64,0),IF(AG64&gt;'Qualifying Scores'!C$13,AF64,0)),MAX(IF(OR(AND(G64="15-16",W64&gt;='Qualifying Scores'!C$12),AND(G64="13-14",W64&gt;='Qualifying Scores'!C$11),AND(G64="11-12",W64&gt;='Qualifying Scores'!C$10)),X64,0),IF(OR(AND(G64="15-16",AD64&gt;='Qualifying Scores'!C$12),AND(G64="13-14",AD64&gt;='Qualifying Scores'!C$11),AND(G64="11-12",AD64&gt;='Qualifying Scores'!C$10)),AE64,0))))</f>
        <v>0</v>
      </c>
      <c r="S64" s="4">
        <f>IF(G64="17-21",MAX(T64,V64,Y64,AA64,AC64,AF64),MAX(X64,AE64))</f>
        <v>45.454999999999998</v>
      </c>
      <c r="T64" s="33">
        <v>40.954999999999998</v>
      </c>
      <c r="U64" s="40">
        <v>0</v>
      </c>
      <c r="V64" s="34">
        <v>45.454999999999998</v>
      </c>
      <c r="W64" s="40">
        <v>7.8</v>
      </c>
      <c r="X64" s="4">
        <f>IF(H64="Senior",MAX(T64,V64),T64+V64)</f>
        <v>86.41</v>
      </c>
      <c r="Y64" s="34">
        <v>41.605000000000004</v>
      </c>
      <c r="Z64" s="40">
        <v>6.6</v>
      </c>
      <c r="AA64" s="33">
        <v>38.36</v>
      </c>
      <c r="AB64" s="40">
        <v>0</v>
      </c>
      <c r="AC64" s="34">
        <v>34.950000000000003</v>
      </c>
      <c r="AD64" s="40">
        <v>6</v>
      </c>
      <c r="AE64" s="4">
        <f>IF(H64="Senior",MAX(AA64,AC64),AA64+AC64)</f>
        <v>73.31</v>
      </c>
      <c r="AF64" s="34"/>
      <c r="AG64" s="37"/>
    </row>
    <row r="65" spans="1:33" x14ac:dyDescent="0.2">
      <c r="A65" s="1" t="str" cm="1">
        <f t="array" ref="A65">IF(I65="","",IF(P65&lt;&gt;"",SUMPRODUCT((P$3:P$128&lt;&gt;"")*(G$3:G$128=G65)*(J$3:J$128&gt;J65)*(I$3:I$128="P"))+1,IF(O65&lt;&gt;"",SUMPRODUCT((O$3:O$128&lt;&gt;"")*(P$3:P$128="")*(G$3:G$128=G65)*(J$3:J$128&gt;J65)*(I$3:I$128="P"))+SUMPRODUCT((P$3:P$128&lt;&gt;"")*(G$3:G$128=G65)*(I$3:I$128="P"))+1,IF(N65&lt;&gt;"",SUMPRODUCT((N$3:N$128&lt;&gt;"")*(G$3:G$128=G65)*(J$3:J$128&gt;J65)*(I$3:I$128="P"))+1,IF(M65="P",SUMPRODUCT((O$3:O$128&lt;&gt;"")*(P$3:P$128="")*(G$3:G$128=G65)*(I$3:I$128="P"))+SUMPRODUCT((P$3:P$128&lt;&gt;"")*(G$3:G$128=G65)*(I$3:I$128="P"))+SUMPRODUCT((N$3:N$128&lt;&gt;"")*(G$3:G$128=G65)*(I$3:I$128="P"))+SUMPRODUCT((P$3:P$128="")*(O$3:O$128="")*(N$3:N$128="")*(M$3:M$128="P")*(G$3:G$128=G65)*(J$3:J$128&gt;J65)*(I$3:I$128="P"))+IF(H65="L5",SUMPRODUCT((P$3:P$128="")*(O$3:O$128="")*(N$3:N$128="")*(M$3:M$128="P")*(G$3:G$128=G65)*(J$3:J$128&lt;J65)*(H$3:H$128&lt;&gt;H65)*(I$3:I$128="P")),-1*SUMPRODUCT((P$3:P$128="")*(O$3:O$128="")*(N$3:N$128="")*(M$3:M$128="P")*(G$3:G$128=G65)*(J$3:J$128&gt;J65)*(H$3:H$128="L5")*(I$3:I$128="P")))+1,"")))))</f>
        <v/>
      </c>
      <c r="B65" s="1" t="str" cm="1">
        <f t="array" ref="B65">IF(P65&lt;&gt;"",SUMPRODUCT((P$3:P$128&lt;&gt;"")*(G$3:G$128=G65)*(J$3:J$128&gt;J65))+1,IF(O65&lt;&gt;"",SUMPRODUCT((O$3:O$128&lt;&gt;"")*(P$3:P$128="")*(G$3:G$128=G65)*(J$3:J$128&gt;J65))+SUMPRODUCT((P$3:P$128&lt;&gt;"")*(G$3:G$128=G65))+1,IF(N65&lt;&gt;"",SUMPRODUCT((N$3:N$128&lt;&gt;"")*(G$3:G$128=G65)*(J$3:J$128&gt;J65))+1,IF(M65="P",SUMPRODUCT((O$3:O$128&lt;&gt;"")*(P$3:P$128="")*(G$3:G$128=G65))+SUMPRODUCT((P$3:P$128&lt;&gt;"")*(G$3:G$128=G65))+SUMPRODUCT((N$3:N$128&lt;&gt;"")*(G$3:G$128=G65))+SUMPRODUCT((P$3:P$128="")*(O$3:O$128="")*(N$3:N$128="")*(M$3:M$128="P")*(G$3:G$128=G65)*(J$3:J$128&gt;J65))+IF(H65="L5",SUMPRODUCT((P$3:P$128="")*(O$3:O$128="")*(N$3:N$128="")*(M$3:M$128="P")*(G$3:G$128=G65)*(J$3:J$128&lt;J65)*(H$3:H$128&lt;&gt;H65)),-1*SUMPRODUCT((P$3:P$128="")*(O$3:O$128="")*(N$3:N$128="")*(M$3:M$128="P")*(G$3:G$128=G65)*(J$3:J$128&gt;J65)*(H$3:H$128="L5")))+1,""))))</f>
        <v/>
      </c>
      <c r="C65" s="36" t="s">
        <v>452</v>
      </c>
      <c r="D65" s="36" t="str">
        <f>IF(E65="","",VLOOKUP(E65,'Coaching Points'!A:B,2,0))</f>
        <v>ON</v>
      </c>
      <c r="E65" s="36" t="s">
        <v>576</v>
      </c>
      <c r="F65" s="35">
        <v>2004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3.7939999999999996E-6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Scores'!C$13,T65,0),IF(W65&gt;='Qualifying Scores'!C$13,V65,0),IF(Z65&gt;='Qualifying Scores'!C$13,Y65,0),IF(AB65&gt;='Qualifying Scores'!C$13,AA65,0),IF(AD65&gt;'Qualifying Scores'!C$13,AC65,0),IF(AG65&gt;'Qualifying Scores'!C$13,AF65,0)),MAX(IF(OR(AND(G65="15-16",W65&gt;='Qualifying Scores'!C$12),AND(G65="13-14",W65&gt;='Qualifying Scores'!C$11),AND(G65="11-12",W65&gt;='Qualifying Scores'!C$10)),X65,0),IF(OR(AND(G65="15-16",AD65&gt;='Qualifying Scores'!C$12),AND(G65="13-14",AD65&gt;='Qualifying Scores'!C$11),AND(G65="11-12",AD65&gt;='Qualifying Scores'!C$10)),AE65,0))))</f>
        <v>0</v>
      </c>
      <c r="S65" s="4">
        <f>IF(G65="17-21",MAX(T65,V65,Y65,AA65,AC65,AF65),MAX(X65,AE65))</f>
        <v>37.94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37.94</v>
      </c>
      <c r="AB65" s="40">
        <v>0</v>
      </c>
      <c r="AC65" s="34">
        <v>18.14</v>
      </c>
      <c r="AD65" s="40">
        <v>3.9</v>
      </c>
      <c r="AE65" s="4">
        <f>IF(H65="Senior",MAX(AA65,AC65),AA65+AC65)</f>
        <v>56.08</v>
      </c>
      <c r="AF65" s="34"/>
      <c r="AG65" s="37"/>
    </row>
    <row r="66" spans="1:33" x14ac:dyDescent="0.2">
      <c r="A66" s="1" t="str" cm="1">
        <f t="array" ref="A66">IF(I66="","",IF(P66&lt;&gt;"",SUMPRODUCT((P$3:P$128&lt;&gt;"")*(G$3:G$128=G66)*(J$3:J$128&gt;J66)*(I$3:I$128="P"))+1,IF(O66&lt;&gt;"",SUMPRODUCT((O$3:O$128&lt;&gt;"")*(P$3:P$128="")*(G$3:G$128=G66)*(J$3:J$128&gt;J66)*(I$3:I$128="P"))+SUMPRODUCT((P$3:P$128&lt;&gt;"")*(G$3:G$128=G66)*(I$3:I$128="P"))+1,IF(N66&lt;&gt;"",SUMPRODUCT((N$3:N$128&lt;&gt;"")*(G$3:G$128=G66)*(J$3:J$128&gt;J66)*(I$3:I$128="P"))+1,IF(M66="P",SUMPRODUCT((O$3:O$128&lt;&gt;"")*(P$3:P$128="")*(G$3:G$128=G66)*(I$3:I$128="P"))+SUMPRODUCT((P$3:P$128&lt;&gt;"")*(G$3:G$128=G66)*(I$3:I$128="P"))+SUMPRODUCT((N$3:N$128&lt;&gt;"")*(G$3:G$128=G66)*(I$3:I$128="P"))+SUMPRODUCT((P$3:P$128="")*(O$3:O$128="")*(N$3:N$128="")*(M$3:M$128="P")*(G$3:G$128=G66)*(J$3:J$128&gt;J66)*(I$3:I$128="P"))+IF(H66="L5",SUMPRODUCT((P$3:P$128="")*(O$3:O$128="")*(N$3:N$128="")*(M$3:M$128="P")*(G$3:G$128=G66)*(J$3:J$128&lt;J66)*(H$3:H$128&lt;&gt;H66)*(I$3:I$128="P")),-1*SUMPRODUCT((P$3:P$128="")*(O$3:O$128="")*(N$3:N$128="")*(M$3:M$128="P")*(G$3:G$128=G66)*(J$3:J$128&gt;J66)*(H$3:H$128="L5")*(I$3:I$128="P")))+1,"")))))</f>
        <v/>
      </c>
      <c r="B66" s="1" t="str" cm="1">
        <f t="array" ref="B66">IF(P66&lt;&gt;"",SUMPRODUCT((P$3:P$128&lt;&gt;"")*(G$3:G$128=G66)*(J$3:J$128&gt;J66))+1,IF(O66&lt;&gt;"",SUMPRODUCT((O$3:O$128&lt;&gt;"")*(P$3:P$128="")*(G$3:G$128=G66)*(J$3:J$128&gt;J66))+SUMPRODUCT((P$3:P$128&lt;&gt;"")*(G$3:G$128=G66))+1,IF(N66&lt;&gt;"",SUMPRODUCT((N$3:N$128&lt;&gt;"")*(G$3:G$128=G66)*(J$3:J$128&gt;J66))+1,IF(M66="P",SUMPRODUCT((O$3:O$128&lt;&gt;"")*(P$3:P$128="")*(G$3:G$128=G66))+SUMPRODUCT((P$3:P$128&lt;&gt;"")*(G$3:G$128=G66))+SUMPRODUCT((N$3:N$128&lt;&gt;"")*(G$3:G$128=G66))+SUMPRODUCT((P$3:P$128="")*(O$3:O$128="")*(N$3:N$128="")*(M$3:M$128="P")*(G$3:G$128=G66)*(J$3:J$128&gt;J66))+IF(H66="L5",SUMPRODUCT((P$3:P$128="")*(O$3:O$128="")*(N$3:N$128="")*(M$3:M$128="P")*(G$3:G$128=G66)*(J$3:J$128&lt;J66)*(H$3:H$128&lt;&gt;H66)),-1*SUMPRODUCT((P$3:P$128="")*(O$3:O$128="")*(N$3:N$128="")*(M$3:M$128="P")*(G$3:G$128=G66)*(J$3:J$128&gt;J66)*(H$3:H$128="L5")))+1,""))))</f>
        <v/>
      </c>
      <c r="C66" s="36" t="s">
        <v>453</v>
      </c>
      <c r="D66" s="36" t="str">
        <f>IF(E66="","",VLOOKUP(E66,'Coaching Points'!A:B,2,0))</f>
        <v>AB</v>
      </c>
      <c r="E66" s="36" t="s">
        <v>89</v>
      </c>
      <c r="F66" s="35">
        <v>2005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3.7239999999999998E-6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Scores'!C$13,T66,0),IF(W66&gt;='Qualifying Scores'!C$13,V66,0),IF(Z66&gt;='Qualifying Scores'!C$13,Y66,0),IF(AB66&gt;='Qualifying Scores'!C$13,AA66,0),IF(AD66&gt;'Qualifying Scores'!C$13,AC66,0),IF(AG66&gt;'Qualifying Scores'!C$13,AF66,0)),MAX(IF(OR(AND(G66="15-16",W66&gt;='Qualifying Scores'!C$12),AND(G66="13-14",W66&gt;='Qualifying Scores'!C$11),AND(G66="11-12",W66&gt;='Qualifying Scores'!C$10)),X66,0),IF(OR(AND(G66="15-16",AD66&gt;='Qualifying Scores'!C$12),AND(G66="13-14",AD66&gt;='Qualifying Scores'!C$11),AND(G66="11-12",AD66&gt;='Qualifying Scores'!C$10)),AE66,0))))</f>
        <v>0</v>
      </c>
      <c r="S66" s="4">
        <f>IF(G66="17-21",MAX(T66,V66,Y66,AA66,AC66,AF66),MAX(X66,AE66))</f>
        <v>37.24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37.24</v>
      </c>
      <c r="AB66" s="40">
        <v>0</v>
      </c>
      <c r="AC66" s="34">
        <v>29.91</v>
      </c>
      <c r="AD66" s="40">
        <v>6.4</v>
      </c>
      <c r="AE66" s="4">
        <f>IF(H66="Senior",MAX(AA66,AC66),AA66+AC66)</f>
        <v>67.150000000000006</v>
      </c>
      <c r="AF66" s="34"/>
      <c r="AG66" s="37"/>
    </row>
    <row r="67" spans="1:33" x14ac:dyDescent="0.2">
      <c r="A67" s="1" t="str" cm="1">
        <f t="array" ref="A67">IF(I67="","",IF(P67&lt;&gt;"",SUMPRODUCT((P$3:P$128&lt;&gt;"")*(G$3:G$128=G67)*(J$3:J$128&gt;J67)*(I$3:I$128="P"))+1,IF(O67&lt;&gt;"",SUMPRODUCT((O$3:O$128&lt;&gt;"")*(P$3:P$128="")*(G$3:G$128=G67)*(J$3:J$128&gt;J67)*(I$3:I$128="P"))+SUMPRODUCT((P$3:P$128&lt;&gt;"")*(G$3:G$128=G67)*(I$3:I$128="P"))+1,IF(N67&lt;&gt;"",SUMPRODUCT((N$3:N$128&lt;&gt;"")*(G$3:G$128=G67)*(J$3:J$128&gt;J67)*(I$3:I$128="P"))+1,IF(M67="P",SUMPRODUCT((O$3:O$128&lt;&gt;"")*(P$3:P$128="")*(G$3:G$128=G67)*(I$3:I$128="P"))+SUMPRODUCT((P$3:P$128&lt;&gt;"")*(G$3:G$128=G67)*(I$3:I$128="P"))+SUMPRODUCT((N$3:N$128&lt;&gt;"")*(G$3:G$128=G67)*(I$3:I$128="P"))+SUMPRODUCT((P$3:P$128="")*(O$3:O$128="")*(N$3:N$128="")*(M$3:M$128="P")*(G$3:G$128=G67)*(J$3:J$128&gt;J67)*(I$3:I$128="P"))+IF(H67="L5",SUMPRODUCT((P$3:P$128="")*(O$3:O$128="")*(N$3:N$128="")*(M$3:M$128="P")*(G$3:G$128=G67)*(J$3:J$128&lt;J67)*(H$3:H$128&lt;&gt;H67)*(I$3:I$128="P")),-1*SUMPRODUCT((P$3:P$128="")*(O$3:O$128="")*(N$3:N$128="")*(M$3:M$128="P")*(G$3:G$128=G67)*(J$3:J$128&gt;J67)*(H$3:H$128="L5")*(I$3:I$128="P")))+1,"")))))</f>
        <v/>
      </c>
      <c r="B67" s="1" t="str" cm="1">
        <f t="array" ref="B67">IF(P67&lt;&gt;"",SUMPRODUCT((P$3:P$128&lt;&gt;"")*(G$3:G$128=G67)*(J$3:J$128&gt;J67))+1,IF(O67&lt;&gt;"",SUMPRODUCT((O$3:O$128&lt;&gt;"")*(P$3:P$128="")*(G$3:G$128=G67)*(J$3:J$128&gt;J67))+SUMPRODUCT((P$3:P$128&lt;&gt;"")*(G$3:G$128=G67))+1,IF(N67&lt;&gt;"",SUMPRODUCT((N$3:N$128&lt;&gt;"")*(G$3:G$128=G67)*(J$3:J$128&gt;J67))+1,IF(M67="P",SUMPRODUCT((O$3:O$128&lt;&gt;"")*(P$3:P$128="")*(G$3:G$128=G67))+SUMPRODUCT((P$3:P$128&lt;&gt;"")*(G$3:G$128=G67))+SUMPRODUCT((N$3:N$128&lt;&gt;"")*(G$3:G$128=G67))+SUMPRODUCT((P$3:P$128="")*(O$3:O$128="")*(N$3:N$128="")*(M$3:M$128="P")*(G$3:G$128=G67)*(J$3:J$128&gt;J67))+IF(H67="L5",SUMPRODUCT((P$3:P$128="")*(O$3:O$128="")*(N$3:N$128="")*(M$3:M$128="P")*(G$3:G$128=G67)*(J$3:J$128&lt;J67)*(H$3:H$128&lt;&gt;H67)),-1*SUMPRODUCT((P$3:P$128="")*(O$3:O$128="")*(N$3:N$128="")*(M$3:M$128="P")*(G$3:G$128=G67)*(J$3:J$128&gt;J67)*(H$3:H$128="L5")))+1,""))))</f>
        <v/>
      </c>
      <c r="C67" s="36" t="s">
        <v>273</v>
      </c>
      <c r="D67" s="36" t="str">
        <f>IF(E67="","",VLOOKUP(E67,'Coaching Points'!A:B,2,0))</f>
        <v>BC</v>
      </c>
      <c r="E67" s="36" t="s">
        <v>47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3.625E-6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Scores'!C$13,T67,0),IF(W67&gt;='Qualifying Scores'!C$13,V67,0),IF(Z67&gt;='Qualifying Scores'!C$13,Y67,0),IF(AB67&gt;='Qualifying Scores'!C$13,AA67,0),IF(AD67&gt;'Qualifying Scores'!C$13,AC67,0),IF(AG67&gt;'Qualifying Scores'!C$13,AF67,0)),MAX(IF(OR(AND(G67="15-16",W67&gt;='Qualifying Scores'!C$12),AND(G67="13-14",W67&gt;='Qualifying Scores'!C$11),AND(G67="11-12",W67&gt;='Qualifying Scores'!C$10)),X67,0),IF(OR(AND(G67="15-16",AD67&gt;='Qualifying Scores'!C$12),AND(G67="13-14",AD67&gt;='Qualifying Scores'!C$11),AND(G67="11-12",AD67&gt;='Qualifying Scores'!C$10)),AE67,0))))</f>
        <v>0</v>
      </c>
      <c r="S67" s="4">
        <f>IF(G67="17-21",MAX(T67,V67,Y67,AA67,AC67,AF67),MAX(X67,AE67))</f>
        <v>41.12</v>
      </c>
      <c r="T67" s="33">
        <v>23.715</v>
      </c>
      <c r="U67" s="40">
        <v>0</v>
      </c>
      <c r="V67" s="34">
        <v>41.12</v>
      </c>
      <c r="W67" s="40">
        <v>8.3999999999999986</v>
      </c>
      <c r="X67" s="4">
        <f>IF(H67="Senior",MAX(T67,V67),T67+V67)</f>
        <v>64.834999999999994</v>
      </c>
      <c r="Y67" s="34">
        <v>0</v>
      </c>
      <c r="Z67" s="40">
        <v>0</v>
      </c>
      <c r="AA67" s="33">
        <v>36.25</v>
      </c>
      <c r="AB67" s="40">
        <v>0</v>
      </c>
      <c r="AC67" s="34">
        <v>32.4</v>
      </c>
      <c r="AD67" s="40">
        <v>5.4</v>
      </c>
      <c r="AE67" s="4">
        <f>IF(H67="Senior",MAX(AA67,AC67),AA67+AC67)</f>
        <v>68.650000000000006</v>
      </c>
      <c r="AF67" s="34"/>
      <c r="AG67" s="37"/>
    </row>
    <row r="68" spans="1:33" x14ac:dyDescent="0.2">
      <c r="A68" s="1" t="str" cm="1">
        <f t="array" ref="A68">IF(I68="","",IF(P68&lt;&gt;"",SUMPRODUCT((P$3:P$128&lt;&gt;"")*(G$3:G$128=G68)*(J$3:J$128&gt;J68)*(I$3:I$128="P"))+1,IF(O68&lt;&gt;"",SUMPRODUCT((O$3:O$128&lt;&gt;"")*(P$3:P$128="")*(G$3:G$128=G68)*(J$3:J$128&gt;J68)*(I$3:I$128="P"))+SUMPRODUCT((P$3:P$128&lt;&gt;"")*(G$3:G$128=G68)*(I$3:I$128="P"))+1,IF(N68&lt;&gt;"",SUMPRODUCT((N$3:N$128&lt;&gt;"")*(G$3:G$128=G68)*(J$3:J$128&gt;J68)*(I$3:I$128="P"))+1,IF(M68="P",SUMPRODUCT((O$3:O$128&lt;&gt;"")*(P$3:P$128="")*(G$3:G$128=G68)*(I$3:I$128="P"))+SUMPRODUCT((P$3:P$128&lt;&gt;"")*(G$3:G$128=G68)*(I$3:I$128="P"))+SUMPRODUCT((N$3:N$128&lt;&gt;"")*(G$3:G$128=G68)*(I$3:I$128="P"))+SUMPRODUCT((P$3:P$128="")*(O$3:O$128="")*(N$3:N$128="")*(M$3:M$128="P")*(G$3:G$128=G68)*(J$3:J$128&gt;J68)*(I$3:I$128="P"))+IF(H68="L5",SUMPRODUCT((P$3:P$128="")*(O$3:O$128="")*(N$3:N$128="")*(M$3:M$128="P")*(G$3:G$128=G68)*(J$3:J$128&lt;J68)*(H$3:H$128&lt;&gt;H68)*(I$3:I$128="P")),-1*SUMPRODUCT((P$3:P$128="")*(O$3:O$128="")*(N$3:N$128="")*(M$3:M$128="P")*(G$3:G$128=G68)*(J$3:J$128&gt;J68)*(H$3:H$128="L5")*(I$3:I$128="P")))+1,"")))))</f>
        <v/>
      </c>
      <c r="B68" s="1" t="str" cm="1">
        <f t="array" ref="B68">IF(P68&lt;&gt;"",SUMPRODUCT((P$3:P$128&lt;&gt;"")*(G$3:G$128=G68)*(J$3:J$128&gt;J68))+1,IF(O68&lt;&gt;"",SUMPRODUCT((O$3:O$128&lt;&gt;"")*(P$3:P$128="")*(G$3:G$128=G68)*(J$3:J$128&gt;J68))+SUMPRODUCT((P$3:P$128&lt;&gt;"")*(G$3:G$128=G68))+1,IF(N68&lt;&gt;"",SUMPRODUCT((N$3:N$128&lt;&gt;"")*(G$3:G$128=G68)*(J$3:J$128&gt;J68))+1,IF(M68="P",SUMPRODUCT((O$3:O$128&lt;&gt;"")*(P$3:P$128="")*(G$3:G$128=G68))+SUMPRODUCT((P$3:P$128&lt;&gt;"")*(G$3:G$128=G68))+SUMPRODUCT((N$3:N$128&lt;&gt;"")*(G$3:G$128=G68))+SUMPRODUCT((P$3:P$128="")*(O$3:O$128="")*(N$3:N$128="")*(M$3:M$128="P")*(G$3:G$128=G68)*(J$3:J$128&gt;J68))+IF(H68="L5",SUMPRODUCT((P$3:P$128="")*(O$3:O$128="")*(N$3:N$128="")*(M$3:M$128="P")*(G$3:G$128=G68)*(J$3:J$128&lt;J68)*(H$3:H$128&lt;&gt;H68)),-1*SUMPRODUCT((P$3:P$128="")*(O$3:O$128="")*(N$3:N$128="")*(M$3:M$128="P")*(G$3:G$128=G68)*(J$3:J$128&gt;J68)*(H$3:H$128="L5")))+1,""))))</f>
        <v/>
      </c>
      <c r="C68" s="36" t="s">
        <v>275</v>
      </c>
      <c r="D68" s="36" t="str">
        <f>IF(E68="","",VLOOKUP(E68,'Coaching Points'!A:B,2,0))</f>
        <v>BC</v>
      </c>
      <c r="E68" s="36" t="s">
        <v>84</v>
      </c>
      <c r="F68" s="35">
        <v>2005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115</v>
      </c>
      <c r="I68" s="45"/>
      <c r="J68" s="4">
        <f>R68+IF(OR(H68="Junior",H68="Senior"),0.0002,IF(OR(H68="L7",H68="L6"),0.0001,0))+IF(G68="17-21",MAX(AA68,AC68,AF68),AE68)*0.0000001</f>
        <v>3.6119999999999995E-6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Scores'!C$13,T68,0),IF(W68&gt;='Qualifying Scores'!C$13,V68,0),IF(Z68&gt;='Qualifying Scores'!C$13,Y68,0),IF(AB68&gt;='Qualifying Scores'!C$13,AA68,0),IF(AD68&gt;'Qualifying Scores'!C$13,AC68,0),IF(AG68&gt;'Qualifying Scores'!C$13,AF68,0)),MAX(IF(OR(AND(G68="15-16",W68&gt;='Qualifying Scores'!C$12),AND(G68="13-14",W68&gt;='Qualifying Scores'!C$11),AND(G68="11-12",W68&gt;='Qualifying Scores'!C$10)),X68,0),IF(OR(AND(G68="15-16",AD68&gt;='Qualifying Scores'!C$12),AND(G68="13-14",AD68&gt;='Qualifying Scores'!C$11),AND(G68="11-12",AD68&gt;='Qualifying Scores'!C$10)),AE68,0))))</f>
        <v>0</v>
      </c>
      <c r="S68" s="4">
        <f>IF(G68="17-21",MAX(T68,V68,Y68,AA68,AC68,AF68),MAX(X68,AE68))</f>
        <v>39.31</v>
      </c>
      <c r="T68" s="33">
        <v>39.31</v>
      </c>
      <c r="U68" s="40">
        <v>0</v>
      </c>
      <c r="V68" s="34">
        <v>13.695</v>
      </c>
      <c r="W68" s="40">
        <v>3.4</v>
      </c>
      <c r="X68" s="4">
        <f>IF(H68="Senior",MAX(T68,V68),T68+V68)</f>
        <v>53.005000000000003</v>
      </c>
      <c r="Y68" s="34">
        <v>0</v>
      </c>
      <c r="Z68" s="40">
        <v>0</v>
      </c>
      <c r="AA68" s="33">
        <v>36.119999999999997</v>
      </c>
      <c r="AB68" s="40">
        <v>0</v>
      </c>
      <c r="AC68" s="34">
        <v>18.04</v>
      </c>
      <c r="AD68" s="40">
        <v>4.5999999999999996</v>
      </c>
      <c r="AE68" s="4">
        <f>IF(H68="Senior",MAX(AA68,AC68),AA68+AC68)</f>
        <v>54.16</v>
      </c>
      <c r="AF68" s="34"/>
      <c r="AG68" s="37"/>
    </row>
    <row r="69" spans="1:33" x14ac:dyDescent="0.2">
      <c r="A69" s="1" t="str" cm="1">
        <f t="array" ref="A69">IF(I69="","",IF(P69&lt;&gt;"",SUMPRODUCT((P$3:P$128&lt;&gt;"")*(G$3:G$128=G69)*(J$3:J$128&gt;J69)*(I$3:I$128="P"))+1,IF(O69&lt;&gt;"",SUMPRODUCT((O$3:O$128&lt;&gt;"")*(P$3:P$128="")*(G$3:G$128=G69)*(J$3:J$128&gt;J69)*(I$3:I$128="P"))+SUMPRODUCT((P$3:P$128&lt;&gt;"")*(G$3:G$128=G69)*(I$3:I$128="P"))+1,IF(N69&lt;&gt;"",SUMPRODUCT((N$3:N$128&lt;&gt;"")*(G$3:G$128=G69)*(J$3:J$128&gt;J69)*(I$3:I$128="P"))+1,IF(M69="P",SUMPRODUCT((O$3:O$128&lt;&gt;"")*(P$3:P$128="")*(G$3:G$128=G69)*(I$3:I$128="P"))+SUMPRODUCT((P$3:P$128&lt;&gt;"")*(G$3:G$128=G69)*(I$3:I$128="P"))+SUMPRODUCT((N$3:N$128&lt;&gt;"")*(G$3:G$128=G69)*(I$3:I$128="P"))+SUMPRODUCT((P$3:P$128="")*(O$3:O$128="")*(N$3:N$128="")*(M$3:M$128="P")*(G$3:G$128=G69)*(J$3:J$128&gt;J69)*(I$3:I$128="P"))+IF(H69="L5",SUMPRODUCT((P$3:P$128="")*(O$3:O$128="")*(N$3:N$128="")*(M$3:M$128="P")*(G$3:G$128=G69)*(J$3:J$128&lt;J69)*(H$3:H$128&lt;&gt;H69)*(I$3:I$128="P")),-1*SUMPRODUCT((P$3:P$128="")*(O$3:O$128="")*(N$3:N$128="")*(M$3:M$128="P")*(G$3:G$128=G69)*(J$3:J$128&gt;J69)*(H$3:H$128="L5")*(I$3:I$128="P")))+1,"")))))</f>
        <v/>
      </c>
      <c r="B69" s="1" t="str" cm="1">
        <f t="array" ref="B69">IF(P69&lt;&gt;"",SUMPRODUCT((P$3:P$128&lt;&gt;"")*(G$3:G$128=G69)*(J$3:J$128&gt;J69))+1,IF(O69&lt;&gt;"",SUMPRODUCT((O$3:O$128&lt;&gt;"")*(P$3:P$128="")*(G$3:G$128=G69)*(J$3:J$128&gt;J69))+SUMPRODUCT((P$3:P$128&lt;&gt;"")*(G$3:G$128=G69))+1,IF(N69&lt;&gt;"",SUMPRODUCT((N$3:N$128&lt;&gt;"")*(G$3:G$128=G69)*(J$3:J$128&gt;J69))+1,IF(M69="P",SUMPRODUCT((O$3:O$128&lt;&gt;"")*(P$3:P$128="")*(G$3:G$128=G69))+SUMPRODUCT((P$3:P$128&lt;&gt;"")*(G$3:G$128=G69))+SUMPRODUCT((N$3:N$128&lt;&gt;"")*(G$3:G$128=G69))+SUMPRODUCT((P$3:P$128="")*(O$3:O$128="")*(N$3:N$128="")*(M$3:M$128="P")*(G$3:G$128=G69)*(J$3:J$128&gt;J69))+IF(H69="L5",SUMPRODUCT((P$3:P$128="")*(O$3:O$128="")*(N$3:N$128="")*(M$3:M$128="P")*(G$3:G$128=G69)*(J$3:J$128&lt;J69)*(H$3:H$128&lt;&gt;H69)),-1*SUMPRODUCT((P$3:P$128="")*(O$3:O$128="")*(N$3:N$128="")*(M$3:M$128="P")*(G$3:G$128=G69)*(J$3:J$128&gt;J69)*(H$3:H$128="L5")))+1,""))))</f>
        <v/>
      </c>
      <c r="C69" s="36" t="s">
        <v>328</v>
      </c>
      <c r="D69" s="36" t="str">
        <f>IF(E69="","",VLOOKUP(E69,'Coaching Points'!A:B,2,0))</f>
        <v>SK</v>
      </c>
      <c r="E69" s="36" t="s">
        <v>46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3.4590000000000003E-6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Scores'!C$13,T69,0),IF(W69&gt;='Qualifying Scores'!C$13,V69,0),IF(Z69&gt;='Qualifying Scores'!C$13,Y69,0),IF(AB69&gt;='Qualifying Scores'!C$13,AA69,0),IF(AD69&gt;'Qualifying Scores'!C$13,AC69,0),IF(AG69&gt;'Qualifying Scores'!C$13,AF69,0)),MAX(IF(OR(AND(G69="15-16",W69&gt;='Qualifying Scores'!C$12),AND(G69="13-14",W69&gt;='Qualifying Scores'!C$11),AND(G69="11-12",W69&gt;='Qualifying Scores'!C$10)),X69,0),IF(OR(AND(G69="15-16",AD69&gt;='Qualifying Scores'!C$12),AND(G69="13-14",AD69&gt;='Qualifying Scores'!C$11),AND(G69="11-12",AD69&gt;='Qualifying Scores'!C$10)),AE69,0))))</f>
        <v>0</v>
      </c>
      <c r="S69" s="4">
        <f>IF(G69="17-21",MAX(T69,V69,Y69,AA69,AC69,AF69),MAX(X69,AE69))</f>
        <v>34.590000000000003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34.590000000000003</v>
      </c>
      <c r="AB69" s="40">
        <v>0</v>
      </c>
      <c r="AC69" s="34">
        <v>12.98</v>
      </c>
      <c r="AD69" s="40">
        <v>2.9</v>
      </c>
      <c r="AE69" s="4">
        <f>IF(H69="Senior",MAX(AA69,AC69),AA69+AC69)</f>
        <v>47.570000000000007</v>
      </c>
      <c r="AF69" s="34"/>
      <c r="AG69" s="37"/>
    </row>
    <row r="70" spans="1:33" x14ac:dyDescent="0.2">
      <c r="A70" s="1" t="str" cm="1">
        <f t="array" ref="A70">IF(I70="","",IF(P70&lt;&gt;"",SUMPRODUCT((P$3:P$128&lt;&gt;"")*(G$3:G$128=G70)*(J$3:J$128&gt;J70)*(I$3:I$128="P"))+1,IF(O70&lt;&gt;"",SUMPRODUCT((O$3:O$128&lt;&gt;"")*(P$3:P$128="")*(G$3:G$128=G70)*(J$3:J$128&gt;J70)*(I$3:I$128="P"))+SUMPRODUCT((P$3:P$128&lt;&gt;"")*(G$3:G$128=G70)*(I$3:I$128="P"))+1,IF(N70&lt;&gt;"",SUMPRODUCT((N$3:N$128&lt;&gt;"")*(G$3:G$128=G70)*(J$3:J$128&gt;J70)*(I$3:I$128="P"))+1,IF(M70="P",SUMPRODUCT((O$3:O$128&lt;&gt;"")*(P$3:P$128="")*(G$3:G$128=G70)*(I$3:I$128="P"))+SUMPRODUCT((P$3:P$128&lt;&gt;"")*(G$3:G$128=G70)*(I$3:I$128="P"))+SUMPRODUCT((N$3:N$128&lt;&gt;"")*(G$3:G$128=G70)*(I$3:I$128="P"))+SUMPRODUCT((P$3:P$128="")*(O$3:O$128="")*(N$3:N$128="")*(M$3:M$128="P")*(G$3:G$128=G70)*(J$3:J$128&gt;J70)*(I$3:I$128="P"))+IF(H70="L5",SUMPRODUCT((P$3:P$128="")*(O$3:O$128="")*(N$3:N$128="")*(M$3:M$128="P")*(G$3:G$128=G70)*(J$3:J$128&lt;J70)*(H$3:H$128&lt;&gt;H70)*(I$3:I$128="P")),-1*SUMPRODUCT((P$3:P$128="")*(O$3:O$128="")*(N$3:N$128="")*(M$3:M$128="P")*(G$3:G$128=G70)*(J$3:J$128&gt;J70)*(H$3:H$128="L5")*(I$3:I$128="P")))+1,"")))))</f>
        <v/>
      </c>
      <c r="B70" s="1" t="str" cm="1">
        <f t="array" ref="B70">IF(P70&lt;&gt;"",SUMPRODUCT((P$3:P$128&lt;&gt;"")*(G$3:G$128=G70)*(J$3:J$128&gt;J70))+1,IF(O70&lt;&gt;"",SUMPRODUCT((O$3:O$128&lt;&gt;"")*(P$3:P$128="")*(G$3:G$128=G70)*(J$3:J$128&gt;J70))+SUMPRODUCT((P$3:P$128&lt;&gt;"")*(G$3:G$128=G70))+1,IF(N70&lt;&gt;"",SUMPRODUCT((N$3:N$128&lt;&gt;"")*(G$3:G$128=G70)*(J$3:J$128&gt;J70))+1,IF(M70="P",SUMPRODUCT((O$3:O$128&lt;&gt;"")*(P$3:P$128="")*(G$3:G$128=G70))+SUMPRODUCT((P$3:P$128&lt;&gt;"")*(G$3:G$128=G70))+SUMPRODUCT((N$3:N$128&lt;&gt;"")*(G$3:G$128=G70))+SUMPRODUCT((P$3:P$128="")*(O$3:O$128="")*(N$3:N$128="")*(M$3:M$128="P")*(G$3:G$128=G70)*(J$3:J$128&gt;J70))+IF(H70="L5",SUMPRODUCT((P$3:P$128="")*(O$3:O$128="")*(N$3:N$128="")*(M$3:M$128="P")*(G$3:G$128=G70)*(J$3:J$128&lt;J70)*(H$3:H$128&lt;&gt;H70)),-1*SUMPRODUCT((P$3:P$128="")*(O$3:O$128="")*(N$3:N$128="")*(M$3:M$128="P")*(G$3:G$128=G70)*(J$3:J$128&gt;J70)*(H$3:H$128="L5")))+1,""))))</f>
        <v/>
      </c>
      <c r="C70" s="36" t="s">
        <v>600</v>
      </c>
      <c r="D70" s="36" t="str">
        <f>IF(E70="","",VLOOKUP(E70,'Coaching Points'!A:B,2,0))</f>
        <v>NB</v>
      </c>
      <c r="E70" s="36" t="s">
        <v>49</v>
      </c>
      <c r="F70" s="35">
        <v>2005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3.4590000000000003E-6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Scores'!C$13,T70,0),IF(W70&gt;='Qualifying Scores'!C$13,V70,0),IF(Z70&gt;='Qualifying Scores'!C$13,Y70,0),IF(AB70&gt;='Qualifying Scores'!C$13,AA70,0),IF(AD70&gt;'Qualifying Scores'!C$13,AC70,0),IF(AG70&gt;'Qualifying Scores'!C$13,AF70,0)),MAX(IF(OR(AND(G70="15-16",W70&gt;='Qualifying Scores'!C$12),AND(G70="13-14",W70&gt;='Qualifying Scores'!C$11),AND(G70="11-12",W70&gt;='Qualifying Scores'!C$10)),X70,0),IF(OR(AND(G70="15-16",AD70&gt;='Qualifying Scores'!C$12),AND(G70="13-14",AD70&gt;='Qualifying Scores'!C$11),AND(G70="11-12",AD70&gt;='Qualifying Scores'!C$10)),AE70,0))))</f>
        <v>0</v>
      </c>
      <c r="S70" s="4">
        <f>IF(G70="17-21",MAX(T70,V70,Y70,AA70,AC70,AF70),MAX(X70,AE70))</f>
        <v>34.590000000000003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34.590000000000003</v>
      </c>
      <c r="AB70" s="40">
        <v>0</v>
      </c>
      <c r="AC70" s="34">
        <v>3.24</v>
      </c>
      <c r="AD70" s="40">
        <v>0.5</v>
      </c>
      <c r="AE70" s="4">
        <f>IF(H70="Senior",MAX(AA70,AC70),AA70+AC70)</f>
        <v>37.830000000000005</v>
      </c>
      <c r="AF70" s="34"/>
      <c r="AG70" s="37"/>
    </row>
    <row r="71" spans="1:33" x14ac:dyDescent="0.2">
      <c r="A71" s="1" t="str" cm="1">
        <f t="array" ref="A71">IF(I71="","",IF(P71&lt;&gt;"",SUMPRODUCT((P$3:P$128&lt;&gt;"")*(G$3:G$128=G71)*(J$3:J$128&gt;J71)*(I$3:I$128="P"))+1,IF(O71&lt;&gt;"",SUMPRODUCT((O$3:O$128&lt;&gt;"")*(P$3:P$128="")*(G$3:G$128=G71)*(J$3:J$128&gt;J71)*(I$3:I$128="P"))+SUMPRODUCT((P$3:P$128&lt;&gt;"")*(G$3:G$128=G71)*(I$3:I$128="P"))+1,IF(N71&lt;&gt;"",SUMPRODUCT((N$3:N$128&lt;&gt;"")*(G$3:G$128=G71)*(J$3:J$128&gt;J71)*(I$3:I$128="P"))+1,IF(M71="P",SUMPRODUCT((O$3:O$128&lt;&gt;"")*(P$3:P$128="")*(G$3:G$128=G71)*(I$3:I$128="P"))+SUMPRODUCT((P$3:P$128&lt;&gt;"")*(G$3:G$128=G71)*(I$3:I$128="P"))+SUMPRODUCT((N$3:N$128&lt;&gt;"")*(G$3:G$128=G71)*(I$3:I$128="P"))+SUMPRODUCT((P$3:P$128="")*(O$3:O$128="")*(N$3:N$128="")*(M$3:M$128="P")*(G$3:G$128=G71)*(J$3:J$128&gt;J71)*(I$3:I$128="P"))+IF(H71="L5",SUMPRODUCT((P$3:P$128="")*(O$3:O$128="")*(N$3:N$128="")*(M$3:M$128="P")*(G$3:G$128=G71)*(J$3:J$128&lt;J71)*(H$3:H$128&lt;&gt;H71)*(I$3:I$128="P")),-1*SUMPRODUCT((P$3:P$128="")*(O$3:O$128="")*(N$3:N$128="")*(M$3:M$128="P")*(G$3:G$128=G71)*(J$3:J$128&gt;J71)*(H$3:H$128="L5")*(I$3:I$128="P")))+1,"")))))</f>
        <v/>
      </c>
      <c r="B71" s="1" t="str" cm="1">
        <f t="array" ref="B71">IF(P71&lt;&gt;"",SUMPRODUCT((P$3:P$128&lt;&gt;"")*(G$3:G$128=G71)*(J$3:J$128&gt;J71))+1,IF(O71&lt;&gt;"",SUMPRODUCT((O$3:O$128&lt;&gt;"")*(P$3:P$128="")*(G$3:G$128=G71)*(J$3:J$128&gt;J71))+SUMPRODUCT((P$3:P$128&lt;&gt;"")*(G$3:G$128=G71))+1,IF(N71&lt;&gt;"",SUMPRODUCT((N$3:N$128&lt;&gt;"")*(G$3:G$128=G71)*(J$3:J$128&gt;J71))+1,IF(M71="P",SUMPRODUCT((O$3:O$128&lt;&gt;"")*(P$3:P$128="")*(G$3:G$128=G71))+SUMPRODUCT((P$3:P$128&lt;&gt;"")*(G$3:G$128=G71))+SUMPRODUCT((N$3:N$128&lt;&gt;"")*(G$3:G$128=G71))+SUMPRODUCT((P$3:P$128="")*(O$3:O$128="")*(N$3:N$128="")*(M$3:M$128="P")*(G$3:G$128=G71)*(J$3:J$128&gt;J71))+IF(H71="L5",SUMPRODUCT((P$3:P$128="")*(O$3:O$128="")*(N$3:N$128="")*(M$3:M$128="P")*(G$3:G$128=G71)*(J$3:J$128&lt;J71)*(H$3:H$128&lt;&gt;H71)),-1*SUMPRODUCT((P$3:P$128="")*(O$3:O$128="")*(N$3:N$128="")*(M$3:M$128="P")*(G$3:G$128=G71)*(J$3:J$128&gt;J71)*(H$3:H$128="L5")))+1,""))))</f>
        <v/>
      </c>
      <c r="C71" s="36" t="s">
        <v>266</v>
      </c>
      <c r="D71" s="36" t="str">
        <f>IF(E71="","",VLOOKUP(E71,'Coaching Points'!A:B,2,0))</f>
        <v>BC</v>
      </c>
      <c r="E71" s="36" t="s">
        <v>47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1.3619999999999998E-6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Scores'!C$13,T71,0),IF(W71&gt;='Qualifying Scores'!C$13,V71,0),IF(Z71&gt;='Qualifying Scores'!C$13,Y71,0),IF(AB71&gt;='Qualifying Scores'!C$13,AA71,0),IF(AD71&gt;'Qualifying Scores'!C$13,AC71,0),IF(AG71&gt;'Qualifying Scores'!C$13,AF71,0)),MAX(IF(OR(AND(G71="15-16",W71&gt;='Qualifying Scores'!C$12),AND(G71="13-14",W71&gt;='Qualifying Scores'!C$11),AND(G71="11-12",W71&gt;='Qualifying Scores'!C$10)),X71,0),IF(OR(AND(G71="15-16",AD71&gt;='Qualifying Scores'!C$12),AND(G71="13-14",AD71&gt;='Qualifying Scores'!C$11),AND(G71="11-12",AD71&gt;='Qualifying Scores'!C$10)),AE71,0))))</f>
        <v>0</v>
      </c>
      <c r="S71" s="4">
        <f>IF(G71="17-21",MAX(T71,V71,Y71,AA71,AC71,AF71),MAX(X71,AE71))</f>
        <v>43.57</v>
      </c>
      <c r="T71" s="33">
        <v>39.5</v>
      </c>
      <c r="U71" s="40">
        <v>0</v>
      </c>
      <c r="V71" s="34">
        <v>43.57</v>
      </c>
      <c r="W71" s="40">
        <v>7.1</v>
      </c>
      <c r="X71" s="4">
        <f>IF(H71="Senior",MAX(T71,V71),T71+V71)</f>
        <v>83.07</v>
      </c>
      <c r="Y71" s="34">
        <v>0</v>
      </c>
      <c r="Z71" s="40">
        <v>0</v>
      </c>
      <c r="AA71" s="33">
        <v>0</v>
      </c>
      <c r="AB71" s="40">
        <v>0</v>
      </c>
      <c r="AC71" s="34">
        <v>13.62</v>
      </c>
      <c r="AD71" s="40">
        <v>2.9</v>
      </c>
      <c r="AE71" s="4">
        <f>IF(H71="Senior",MAX(AA71,AC71),AA71+AC71)</f>
        <v>13.62</v>
      </c>
      <c r="AF71" s="34"/>
      <c r="AG71" s="37"/>
    </row>
    <row r="72" spans="1:33" x14ac:dyDescent="0.2">
      <c r="A72" s="1" t="str" cm="1">
        <f t="array" ref="A72">IF(I72="","",IF(P72&lt;&gt;"",SUMPRODUCT((P$3:P$128&lt;&gt;"")*(G$3:G$128=G72)*(J$3:J$128&gt;J72)*(I$3:I$128="P"))+1,IF(O72&lt;&gt;"",SUMPRODUCT((O$3:O$128&lt;&gt;"")*(P$3:P$128="")*(G$3:G$128=G72)*(J$3:J$128&gt;J72)*(I$3:I$128="P"))+SUMPRODUCT((P$3:P$128&lt;&gt;"")*(G$3:G$128=G72)*(I$3:I$128="P"))+1,IF(N72&lt;&gt;"",SUMPRODUCT((N$3:N$128&lt;&gt;"")*(G$3:G$128=G72)*(J$3:J$128&gt;J72)*(I$3:I$128="P"))+1,IF(M72="P",SUMPRODUCT((O$3:O$128&lt;&gt;"")*(P$3:P$128="")*(G$3:G$128=G72)*(I$3:I$128="P"))+SUMPRODUCT((P$3:P$128&lt;&gt;"")*(G$3:G$128=G72)*(I$3:I$128="P"))+SUMPRODUCT((N$3:N$128&lt;&gt;"")*(G$3:G$128=G72)*(I$3:I$128="P"))+SUMPRODUCT((P$3:P$128="")*(O$3:O$128="")*(N$3:N$128="")*(M$3:M$128="P")*(G$3:G$128=G72)*(J$3:J$128&gt;J72)*(I$3:I$128="P"))+IF(H72="L5",SUMPRODUCT((P$3:P$128="")*(O$3:O$128="")*(N$3:N$128="")*(M$3:M$128="P")*(G$3:G$128=G72)*(J$3:J$128&lt;J72)*(H$3:H$128&lt;&gt;H72)*(I$3:I$128="P")),-1*SUMPRODUCT((P$3:P$128="")*(O$3:O$128="")*(N$3:N$128="")*(M$3:M$128="P")*(G$3:G$128=G72)*(J$3:J$128&gt;J72)*(H$3:H$128="L5")*(I$3:I$128="P")))+1,"")))))</f>
        <v/>
      </c>
      <c r="B72" s="1" t="str" cm="1">
        <f t="array" ref="B72">IF(P72&lt;&gt;"",SUMPRODUCT((P$3:P$128&lt;&gt;"")*(G$3:G$128=G72)*(J$3:J$128&gt;J72))+1,IF(O72&lt;&gt;"",SUMPRODUCT((O$3:O$128&lt;&gt;"")*(P$3:P$128="")*(G$3:G$128=G72)*(J$3:J$128&gt;J72))+SUMPRODUCT((P$3:P$128&lt;&gt;"")*(G$3:G$128=G72))+1,IF(N72&lt;&gt;"",SUMPRODUCT((N$3:N$128&lt;&gt;"")*(G$3:G$128=G72)*(J$3:J$128&gt;J72))+1,IF(M72="P",SUMPRODUCT((O$3:O$128&lt;&gt;"")*(P$3:P$128="")*(G$3:G$128=G72))+SUMPRODUCT((P$3:P$128&lt;&gt;"")*(G$3:G$128=G72))+SUMPRODUCT((N$3:N$128&lt;&gt;"")*(G$3:G$128=G72))+SUMPRODUCT((P$3:P$128="")*(O$3:O$128="")*(N$3:N$128="")*(M$3:M$128="P")*(G$3:G$128=G72)*(J$3:J$128&gt;J72))+IF(H72="L5",SUMPRODUCT((P$3:P$128="")*(O$3:O$128="")*(N$3:N$128="")*(M$3:M$128="P")*(G$3:G$128=G72)*(J$3:J$128&lt;J72)*(H$3:H$128&lt;&gt;H72)),-1*SUMPRODUCT((P$3:P$128="")*(O$3:O$128="")*(N$3:N$128="")*(M$3:M$128="P")*(G$3:G$128=G72)*(J$3:J$128&gt;J72)*(H$3:H$128="L5")))+1,""))))</f>
        <v/>
      </c>
      <c r="C72" s="36" t="s">
        <v>276</v>
      </c>
      <c r="D72" s="36" t="str">
        <f>IF(E72="","",VLOOKUP(E72,'Coaching Points'!A:B,2,0))</f>
        <v>QC</v>
      </c>
      <c r="E72" s="36" t="s">
        <v>171</v>
      </c>
      <c r="F72" s="35">
        <v>2004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0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Scores'!C$13,T72,0),IF(W72&gt;='Qualifying Scores'!C$13,V72,0),IF(Z72&gt;='Qualifying Scores'!C$13,Y72,0),IF(AB72&gt;='Qualifying Scores'!C$13,AA72,0),IF(AD72&gt;'Qualifying Scores'!C$13,AC72,0),IF(AG72&gt;'Qualifying Scores'!C$13,AF72,0)),MAX(IF(OR(AND(G72="15-16",W72&gt;='Qualifying Scores'!C$12),AND(G72="13-14",W72&gt;='Qualifying Scores'!C$11),AND(G72="11-12",W72&gt;='Qualifying Scores'!C$10)),X72,0),IF(OR(AND(G72="15-16",AD72&gt;='Qualifying Scores'!C$12),AND(G72="13-14",AD72&gt;='Qualifying Scores'!C$11),AND(G72="11-12",AD72&gt;='Qualifying Scores'!C$10)),AE72,0))))</f>
        <v>0</v>
      </c>
      <c r="S72" s="4">
        <f>IF(G72="17-21",MAX(T72,V72,Y72,AA72,AC72,AF72),MAX(X72,AE72))</f>
        <v>29.355000000000004</v>
      </c>
      <c r="T72" s="33">
        <v>29.355000000000004</v>
      </c>
      <c r="U72" s="40">
        <v>0</v>
      </c>
      <c r="V72" s="34">
        <v>23.380000000000003</v>
      </c>
      <c r="W72" s="40">
        <v>3.6</v>
      </c>
      <c r="X72" s="4">
        <f>IF(H72="Senior",MAX(T72,V72),T72+V72)</f>
        <v>52.735000000000007</v>
      </c>
      <c r="Y72" s="34">
        <v>0</v>
      </c>
      <c r="Z72" s="40">
        <v>0</v>
      </c>
      <c r="AA72" s="33"/>
      <c r="AB72" s="40"/>
      <c r="AC72" s="34"/>
      <c r="AD72" s="40"/>
      <c r="AE72" s="4">
        <f>IF(H72="Senior",MAX(AA72,AC72),AA72+AC72)</f>
        <v>0</v>
      </c>
      <c r="AF72" s="34"/>
      <c r="AG72" s="37"/>
    </row>
    <row r="73" spans="1:33" x14ac:dyDescent="0.2">
      <c r="A73" s="1" t="str" cm="1">
        <f t="array" ref="A73">IF(I73="","",IF(P73&lt;&gt;"",SUMPRODUCT((P$3:P$128&lt;&gt;"")*(G$3:G$128=G73)*(J$3:J$128&gt;J73)*(I$3:I$128="P"))+1,IF(O73&lt;&gt;"",SUMPRODUCT((O$3:O$128&lt;&gt;"")*(P$3:P$128="")*(G$3:G$128=G73)*(J$3:J$128&gt;J73)*(I$3:I$128="P"))+SUMPRODUCT((P$3:P$128&lt;&gt;"")*(G$3:G$128=G73)*(I$3:I$128="P"))+1,IF(N73&lt;&gt;"",SUMPRODUCT((N$3:N$128&lt;&gt;"")*(G$3:G$128=G73)*(J$3:J$128&gt;J73)*(I$3:I$128="P"))+1,IF(M73="P",SUMPRODUCT((O$3:O$128&lt;&gt;"")*(P$3:P$128="")*(G$3:G$128=G73)*(I$3:I$128="P"))+SUMPRODUCT((P$3:P$128&lt;&gt;"")*(G$3:G$128=G73)*(I$3:I$128="P"))+SUMPRODUCT((N$3:N$128&lt;&gt;"")*(G$3:G$128=G73)*(I$3:I$128="P"))+SUMPRODUCT((P$3:P$128="")*(O$3:O$128="")*(N$3:N$128="")*(M$3:M$128="P")*(G$3:G$128=G73)*(J$3:J$128&gt;J73)*(I$3:I$128="P"))+IF(H73="L5",SUMPRODUCT((P$3:P$128="")*(O$3:O$128="")*(N$3:N$128="")*(M$3:M$128="P")*(G$3:G$128=G73)*(J$3:J$128&lt;J73)*(H$3:H$128&lt;&gt;H73)*(I$3:I$128="P")),-1*SUMPRODUCT((P$3:P$128="")*(O$3:O$128="")*(N$3:N$128="")*(M$3:M$128="P")*(G$3:G$128=G73)*(J$3:J$128&gt;J73)*(H$3:H$128="L5")*(I$3:I$128="P")))+1,"")))))</f>
        <v/>
      </c>
      <c r="B73" s="1" t="str" cm="1">
        <f t="array" ref="B73">IF(P73&lt;&gt;"",SUMPRODUCT((P$3:P$128&lt;&gt;"")*(G$3:G$128=G73)*(J$3:J$128&gt;J73))+1,IF(O73&lt;&gt;"",SUMPRODUCT((O$3:O$128&lt;&gt;"")*(P$3:P$128="")*(G$3:G$128=G73)*(J$3:J$128&gt;J73))+SUMPRODUCT((P$3:P$128&lt;&gt;"")*(G$3:G$128=G73))+1,IF(N73&lt;&gt;"",SUMPRODUCT((N$3:N$128&lt;&gt;"")*(G$3:G$128=G73)*(J$3:J$128&gt;J73))+1,IF(M73="P",SUMPRODUCT((O$3:O$128&lt;&gt;"")*(P$3:P$128="")*(G$3:G$128=G73))+SUMPRODUCT((P$3:P$128&lt;&gt;"")*(G$3:G$128=G73))+SUMPRODUCT((N$3:N$128&lt;&gt;"")*(G$3:G$128=G73))+SUMPRODUCT((P$3:P$128="")*(O$3:O$128="")*(N$3:N$128="")*(M$3:M$128="P")*(G$3:G$128=G73)*(J$3:J$128&gt;J73))+IF(H73="L5",SUMPRODUCT((P$3:P$128="")*(O$3:O$128="")*(N$3:N$128="")*(M$3:M$128="P")*(G$3:G$128=G73)*(J$3:J$128&lt;J73)*(H$3:H$128&lt;&gt;H73)),-1*SUMPRODUCT((P$3:P$128="")*(O$3:O$128="")*(N$3:N$128="")*(M$3:M$128="P")*(G$3:G$128=G73)*(J$3:J$128&gt;J73)*(H$3:H$128="L5")))+1,""))))</f>
        <v/>
      </c>
      <c r="C73" s="36" t="s">
        <v>338</v>
      </c>
      <c r="D73" s="36" t="str">
        <f>IF(E73="","",VLOOKUP(E73,'Coaching Points'!A:B,2,0))</f>
        <v>BC</v>
      </c>
      <c r="E73" s="36" t="s">
        <v>42</v>
      </c>
      <c r="F73" s="35">
        <v>2003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0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Scores'!C$13,T73,0),IF(W73&gt;='Qualifying Scores'!C$13,V73,0),IF(Z73&gt;='Qualifying Scores'!C$13,Y73,0),IF(AB73&gt;='Qualifying Scores'!C$13,AA73,0),IF(AD73&gt;'Qualifying Scores'!C$13,AC73,0),IF(AG73&gt;'Qualifying Scores'!C$13,AF73,0)),MAX(IF(OR(AND(G73="15-16",W73&gt;='Qualifying Scores'!C$12),AND(G73="13-14",W73&gt;='Qualifying Scores'!C$11),AND(G73="11-12",W73&gt;='Qualifying Scores'!C$10)),X73,0),IF(OR(AND(G73="15-16",AD73&gt;='Qualifying Scores'!C$12),AND(G73="13-14",AD73&gt;='Qualifying Scores'!C$11),AND(G73="11-12",AD73&gt;='Qualifying Scores'!C$10)),AE73,0))))</f>
        <v>0</v>
      </c>
      <c r="S73" s="4">
        <f>IF(G73="17-21",MAX(T73,V73,Y73,AA73,AC73,AF73),MAX(X73,AE73))</f>
        <v>0</v>
      </c>
      <c r="T73" s="33"/>
      <c r="U73" s="40"/>
      <c r="V73" s="34"/>
      <c r="W73" s="40"/>
      <c r="X73" s="4">
        <f>IF(H73="Senior",MAX(T73,V73),T73+V73)</f>
        <v>0</v>
      </c>
      <c r="Y73" s="34"/>
      <c r="Z73" s="40"/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$128&lt;&gt;"")*(G$3:G$128=G74)*(J$3:J$128&gt;J74)*(I$3:I$128="P"))+1,IF(O74&lt;&gt;"",SUMPRODUCT((O$3:O$128&lt;&gt;"")*(P$3:P$128="")*(G$3:G$128=G74)*(J$3:J$128&gt;J74)*(I$3:I$128="P"))+SUMPRODUCT((P$3:P$128&lt;&gt;"")*(G$3:G$128=G74)*(I$3:I$128="P"))+1,IF(N74&lt;&gt;"",SUMPRODUCT((N$3:N$128&lt;&gt;"")*(G$3:G$128=G74)*(J$3:J$128&gt;J74)*(I$3:I$128="P"))+1,IF(M74="P",SUMPRODUCT((O$3:O$128&lt;&gt;"")*(P$3:P$128="")*(G$3:G$128=G74)*(I$3:I$128="P"))+SUMPRODUCT((P$3:P$128&lt;&gt;"")*(G$3:G$128=G74)*(I$3:I$128="P"))+SUMPRODUCT((N$3:N$128&lt;&gt;"")*(G$3:G$128=G74)*(I$3:I$128="P"))+SUMPRODUCT((P$3:P$128="")*(O$3:O$128="")*(N$3:N$128="")*(M$3:M$128="P")*(G$3:G$128=G74)*(J$3:J$128&gt;J74)*(I$3:I$128="P"))+IF(H74="L5",SUMPRODUCT((P$3:P$128="")*(O$3:O$128="")*(N$3:N$128="")*(M$3:M$128="P")*(G$3:G$128=G74)*(J$3:J$128&lt;J74)*(H$3:H$128&lt;&gt;H74)*(I$3:I$128="P")),-1*SUMPRODUCT((P$3:P$128="")*(O$3:O$128="")*(N$3:N$128="")*(M$3:M$128="P")*(G$3:G$128=G74)*(J$3:J$128&gt;J74)*(H$3:H$128="L5")*(I$3:I$128="P")))+1,"")))))</f>
        <v/>
      </c>
      <c r="B74" s="1" t="str" cm="1">
        <f t="array" ref="B74">IF(P74&lt;&gt;"",SUMPRODUCT((P$3:P$128&lt;&gt;"")*(G$3:G$128=G74)*(J$3:J$128&gt;J74))+1,IF(O74&lt;&gt;"",SUMPRODUCT((O$3:O$128&lt;&gt;"")*(P$3:P$128="")*(G$3:G$128=G74)*(J$3:J$128&gt;J74))+SUMPRODUCT((P$3:P$128&lt;&gt;"")*(G$3:G$128=G74))+1,IF(N74&lt;&gt;"",SUMPRODUCT((N$3:N$128&lt;&gt;"")*(G$3:G$128=G74)*(J$3:J$128&gt;J74))+1,IF(M74="P",SUMPRODUCT((O$3:O$128&lt;&gt;"")*(P$3:P$128="")*(G$3:G$128=G74))+SUMPRODUCT((P$3:P$128&lt;&gt;"")*(G$3:G$128=G74))+SUMPRODUCT((N$3:N$128&lt;&gt;"")*(G$3:G$128=G74))+SUMPRODUCT((P$3:P$128="")*(O$3:O$128="")*(N$3:N$128="")*(M$3:M$128="P")*(G$3:G$128=G74)*(J$3:J$128&gt;J74))+IF(H74="L5",SUMPRODUCT((P$3:P$128="")*(O$3:O$128="")*(N$3:N$128="")*(M$3:M$128="P")*(G$3:G$128=G74)*(J$3:J$128&lt;J74)*(H$3:H$128&lt;&gt;H74)),-1*SUMPRODUCT((P$3:P$128="")*(O$3:O$128="")*(N$3:N$128="")*(M$3:M$128="P")*(G$3:G$128=G74)*(J$3:J$128&gt;J74)*(H$3:H$128="L5")))+1,""))))</f>
        <v/>
      </c>
      <c r="C74" s="36" t="s">
        <v>451</v>
      </c>
      <c r="D74" s="36" t="str">
        <f>IF(E74="","",VLOOKUP(E74,'Coaching Points'!A:B,2,0))</f>
        <v>ON</v>
      </c>
      <c r="E74" s="36" t="s">
        <v>224</v>
      </c>
      <c r="F74" s="35">
        <v>2001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0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Scores'!C$13,T74,0),IF(W74&gt;='Qualifying Scores'!C$13,V74,0),IF(Z74&gt;='Qualifying Scores'!C$13,Y74,0),IF(AB74&gt;='Qualifying Scores'!C$13,AA74,0),IF(AD74&gt;'Qualifying Scores'!C$13,AC74,0),IF(AG74&gt;'Qualifying Scores'!C$13,AF74,0)),MAX(IF(OR(AND(G74="15-16",W74&gt;='Qualifying Scores'!C$12),AND(G74="13-14",W74&gt;='Qualifying Scores'!C$11),AND(G74="11-12",W74&gt;='Qualifying Scores'!C$10)),X74,0),IF(OR(AND(G74="15-16",AD74&gt;='Qualifying Scores'!C$12),AND(G74="13-14",AD74&gt;='Qualifying Scores'!C$11),AND(G74="11-12",AD74&gt;='Qualifying Scores'!C$10)),AE74,0))))</f>
        <v>0</v>
      </c>
      <c r="S74" s="4">
        <f>IF(G74="17-21",MAX(T74,V74,Y74,AA74,AC74,AF74),MAX(X74,AE74))</f>
        <v>0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/>
      <c r="AB74" s="40"/>
      <c r="AC74" s="34"/>
      <c r="AD74" s="40"/>
      <c r="AE74" s="4">
        <f>IF(H74="Senior",MAX(AA74,AC74),AA74+AC74)</f>
        <v>0</v>
      </c>
      <c r="AF74" s="34"/>
      <c r="AG74" s="37"/>
    </row>
    <row r="75" spans="1:33" x14ac:dyDescent="0.2">
      <c r="A75" s="1" cm="1">
        <f t="array" ref="A75">IF(I75="","",IF(P75&lt;&gt;"",SUMPRODUCT((P$3:P$128&lt;&gt;"")*(G$3:G$128=G75)*(J$3:J$128&gt;J75)*(I$3:I$128="P"))+1,IF(O75&lt;&gt;"",SUMPRODUCT((O$3:O$128&lt;&gt;"")*(P$3:P$128="")*(G$3:G$128=G75)*(J$3:J$128&gt;J75)*(I$3:I$128="P"))+SUMPRODUCT((P$3:P$128&lt;&gt;"")*(G$3:G$128=G75)*(I$3:I$128="P"))+1,IF(N75&lt;&gt;"",SUMPRODUCT((N$3:N$128&lt;&gt;"")*(G$3:G$128=G75)*(J$3:J$128&gt;J75)*(I$3:I$128="P"))+1,IF(M75="P",SUMPRODUCT((O$3:O$128&lt;&gt;"")*(P$3:P$128="")*(G$3:G$128=G75)*(I$3:I$128="P"))+SUMPRODUCT((P$3:P$128&lt;&gt;"")*(G$3:G$128=G75)*(I$3:I$128="P"))+SUMPRODUCT((N$3:N$128&lt;&gt;"")*(G$3:G$128=G75)*(I$3:I$128="P"))+SUMPRODUCT((P$3:P$128="")*(O$3:O$128="")*(N$3:N$128="")*(M$3:M$128="P")*(G$3:G$128=G75)*(J$3:J$128&gt;J75)*(I$3:I$128="P"))+IF(H75="L5",SUMPRODUCT((P$3:P$128="")*(O$3:O$128="")*(N$3:N$128="")*(M$3:M$128="P")*(G$3:G$128=G75)*(J$3:J$128&lt;J75)*(H$3:H$128&lt;&gt;H75)*(I$3:I$128="P")),-1*SUMPRODUCT((P$3:P$128="")*(O$3:O$128="")*(N$3:N$128="")*(M$3:M$128="P")*(G$3:G$128=G75)*(J$3:J$128&gt;J75)*(H$3:H$128="L5")*(I$3:I$128="P")))+1,"")))))</f>
        <v>1</v>
      </c>
      <c r="B75" s="1" cm="1">
        <f t="array" ref="B75">IF(P75&lt;&gt;"",SUMPRODUCT((P$3:P$128&lt;&gt;"")*(G$3:G$128=G75)*(J$3:J$128&gt;J75))+1,IF(O75&lt;&gt;"",SUMPRODUCT((O$3:O$128&lt;&gt;"")*(P$3:P$128="")*(G$3:G$128=G75)*(J$3:J$128&gt;J75))+SUMPRODUCT((P$3:P$128&lt;&gt;"")*(G$3:G$128=G75))+1,IF(N75&lt;&gt;"",SUMPRODUCT((N$3:N$128&lt;&gt;"")*(G$3:G$128=G75)*(J$3:J$128&gt;J75))+1,IF(M75="P",SUMPRODUCT((O$3:O$128&lt;&gt;"")*(P$3:P$128="")*(G$3:G$128=G75))+SUMPRODUCT((P$3:P$128&lt;&gt;"")*(G$3:G$128=G75))+SUMPRODUCT((N$3:N$128&lt;&gt;"")*(G$3:G$128=G75))+SUMPRODUCT((P$3:P$128="")*(O$3:O$128="")*(N$3:N$128="")*(M$3:M$128="P")*(G$3:G$128=G75)*(J$3:J$128&gt;J75))+IF(H75="L5",SUMPRODUCT((P$3:P$128="")*(O$3:O$128="")*(N$3:N$128="")*(M$3:M$128="P")*(G$3:G$128=G75)*(J$3:J$128&lt;J75)*(H$3:H$128&lt;&gt;H75)),-1*SUMPRODUCT((P$3:P$128="")*(O$3:O$128="")*(N$3:N$128="")*(M$3:M$128="P")*(G$3:G$128=G75)*(J$3:J$128&gt;J75)*(H$3:H$128="L5")))+1,""))))</f>
        <v>1</v>
      </c>
      <c r="C75" s="36" t="s">
        <v>228</v>
      </c>
      <c r="D75" s="36" t="str">
        <f>IF(E75="","",VLOOKUP(E75,'Coaching Points'!A:B,2,0))</f>
        <v>ON</v>
      </c>
      <c r="E75" s="36" t="s">
        <v>38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114</v>
      </c>
      <c r="I75" s="45" t="s">
        <v>604</v>
      </c>
      <c r="J75" s="4">
        <f>R75+IF(OR(H75="Junior",H75="Senior"),0.0002,IF(OR(H75="L7",H75="L6"),0.0001,0))+IF(G75="17-21",MAX(AA75,AC75,AF75),AE75)*0.0000001</f>
        <v>93.170209002999997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>P</v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>P</v>
      </c>
      <c r="N75" s="39">
        <v>1</v>
      </c>
      <c r="Q75" s="49">
        <f>IF(A75&lt;5,IF(_xlfn.MAXIFS(A:A,G:G,G75)&gt;3,5-A75,_xlfn.MAXIFS(A:A,G:G,G75)+1-A75),"")</f>
        <v>3</v>
      </c>
      <c r="R75" s="4">
        <f>IF(G75="Not Age Eligible",0,IF(G75="17-21",MAX(IF(U75&gt;='Qualifying Scores'!C$13,T75,0),IF(W75&gt;='Qualifying Scores'!C$13,V75,0),IF(Z75&gt;='Qualifying Scores'!C$13,Y75,0),IF(AB75&gt;='Qualifying Scores'!C$13,AA75,0),IF(AD75&gt;'Qualifying Scores'!C$13,AC75,0),IF(AG75&gt;'Qualifying Scores'!C$13,AF75,0)),MAX(IF(OR(AND(G75="15-16",W75&gt;='Qualifying Scores'!C$12),AND(G75="13-14",W75&gt;='Qualifying Scores'!C$11),AND(G75="11-12",W75&gt;='Qualifying Scores'!C$10)),X75,0),IF(OR(AND(G75="15-16",AD75&gt;='Qualifying Scores'!C$12),AND(G75="13-14",AD75&gt;='Qualifying Scores'!C$11),AND(G75="11-12",AD75&gt;='Qualifying Scores'!C$10)),AE75,0))))</f>
        <v>93.169999999999987</v>
      </c>
      <c r="S75" s="4">
        <f>IF(G75="17-21",MAX(T75,V75,Y75,AA75,AC75,AF75),MAX(X75,AE75))</f>
        <v>93.169999999999987</v>
      </c>
      <c r="T75" s="33">
        <v>42.15</v>
      </c>
      <c r="U75" s="40">
        <v>0</v>
      </c>
      <c r="V75" s="34">
        <v>51.019999999999996</v>
      </c>
      <c r="W75" s="40">
        <v>11.4</v>
      </c>
      <c r="X75" s="4">
        <f>IF(H75="Senior",MAX(T75,V75),T75+V75)</f>
        <v>93.169999999999987</v>
      </c>
      <c r="Y75" s="34">
        <v>50.65</v>
      </c>
      <c r="Z75" s="40">
        <v>11.4</v>
      </c>
      <c r="AA75" s="33">
        <v>41.97</v>
      </c>
      <c r="AB75" s="40">
        <v>0</v>
      </c>
      <c r="AC75" s="34">
        <v>48.06</v>
      </c>
      <c r="AD75" s="40">
        <v>11.3</v>
      </c>
      <c r="AE75" s="4">
        <f>IF(H75="Senior",MAX(AA75,AC75),AA75+AC75)</f>
        <v>90.03</v>
      </c>
      <c r="AF75" s="34">
        <v>48.300000000000004</v>
      </c>
      <c r="AG75" s="37">
        <v>11.3</v>
      </c>
    </row>
    <row r="76" spans="1:33" x14ac:dyDescent="0.2">
      <c r="A76" s="1" cm="1">
        <f t="array" ref="A76">IF(I76="","",IF(P76&lt;&gt;"",SUMPRODUCT((P$3:P$128&lt;&gt;"")*(G$3:G$128=G76)*(J$3:J$128&gt;J76)*(I$3:I$128="P"))+1,IF(O76&lt;&gt;"",SUMPRODUCT((O$3:O$128&lt;&gt;"")*(P$3:P$128="")*(G$3:G$128=G76)*(J$3:J$128&gt;J76)*(I$3:I$128="P"))+SUMPRODUCT((P$3:P$128&lt;&gt;"")*(G$3:G$128=G76)*(I$3:I$128="P"))+1,IF(N76&lt;&gt;"",SUMPRODUCT((N$3:N$128&lt;&gt;"")*(G$3:G$128=G76)*(J$3:J$128&gt;J76)*(I$3:I$128="P"))+1,IF(M76="P",SUMPRODUCT((O$3:O$128&lt;&gt;"")*(P$3:P$128="")*(G$3:G$128=G76)*(I$3:I$128="P"))+SUMPRODUCT((P$3:P$128&lt;&gt;"")*(G$3:G$128=G76)*(I$3:I$128="P"))+SUMPRODUCT((N$3:N$128&lt;&gt;"")*(G$3:G$128=G76)*(I$3:I$128="P"))+SUMPRODUCT((P$3:P$128="")*(O$3:O$128="")*(N$3:N$128="")*(M$3:M$128="P")*(G$3:G$128=G76)*(J$3:J$128&gt;J76)*(I$3:I$128="P"))+IF(H76="L5",SUMPRODUCT((P$3:P$128="")*(O$3:O$128="")*(N$3:N$128="")*(M$3:M$128="P")*(G$3:G$128=G76)*(J$3:J$128&lt;J76)*(H$3:H$128&lt;&gt;H76)*(I$3:I$128="P")),-1*SUMPRODUCT((P$3:P$128="")*(O$3:O$128="")*(N$3:N$128="")*(M$3:M$128="P")*(G$3:G$128=G76)*(J$3:J$128&gt;J76)*(H$3:H$128="L5")*(I$3:I$128="P")))+1,"")))))</f>
        <v>2</v>
      </c>
      <c r="B76" s="1" cm="1">
        <f t="array" ref="B76">IF(P76&lt;&gt;"",SUMPRODUCT((P$3:P$128&lt;&gt;"")*(G$3:G$128=G76)*(J$3:J$128&gt;J76))+1,IF(O76&lt;&gt;"",SUMPRODUCT((O$3:O$128&lt;&gt;"")*(P$3:P$128="")*(G$3:G$128=G76)*(J$3:J$128&gt;J76))+SUMPRODUCT((P$3:P$128&lt;&gt;"")*(G$3:G$128=G76))+1,IF(N76&lt;&gt;"",SUMPRODUCT((N$3:N$128&lt;&gt;"")*(G$3:G$128=G76)*(J$3:J$128&gt;J76))+1,IF(M76="P",SUMPRODUCT((O$3:O$128&lt;&gt;"")*(P$3:P$128="")*(G$3:G$128=G76))+SUMPRODUCT((P$3:P$128&lt;&gt;"")*(G$3:G$128=G76))+SUMPRODUCT((N$3:N$128&lt;&gt;"")*(G$3:G$128=G76))+SUMPRODUCT((P$3:P$128="")*(O$3:O$128="")*(N$3:N$128="")*(M$3:M$128="P")*(G$3:G$128=G76)*(J$3:J$128&gt;J76))+IF(H76="L5",SUMPRODUCT((P$3:P$128="")*(O$3:O$128="")*(N$3:N$128="")*(M$3:M$128="P")*(G$3:G$128=G76)*(J$3:J$128&lt;J76)*(H$3:H$128&lt;&gt;H76)),-1*SUMPRODUCT((P$3:P$128="")*(O$3:O$128="")*(N$3:N$128="")*(M$3:M$128="P")*(G$3:G$128=G76)*(J$3:J$128&gt;J76)*(H$3:H$128="L5")))+1,""))))</f>
        <v>2</v>
      </c>
      <c r="C76" s="36" t="s">
        <v>229</v>
      </c>
      <c r="D76" s="36" t="str">
        <f>IF(E76="","",VLOOKUP(E76,'Coaching Points'!A:B,2,0))</f>
        <v>QC</v>
      </c>
      <c r="E76" s="36" t="s">
        <v>581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114</v>
      </c>
      <c r="I76" s="45" t="s">
        <v>604</v>
      </c>
      <c r="J76" s="4">
        <f>R76+IF(OR(H76="Junior",H76="Senior"),0.0002,IF(OR(H76="L7",H76="L6"),0.0001,0))+IF(G76="17-21",MAX(AA76,AC76,AF76),AE76)*0.0000001</f>
        <v>91.090206168000009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>P</v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>P</v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>P</v>
      </c>
      <c r="N76" s="39">
        <v>2</v>
      </c>
      <c r="Q76" s="49">
        <f>IF(A76&lt;5,IF(_xlfn.MAXIFS(A:A,G:G,G76)&gt;3,5-A76,_xlfn.MAXIFS(A:A,G:G,G76)+1-A76),"")</f>
        <v>2</v>
      </c>
      <c r="R76" s="4">
        <f>IF(G76="Not Age Eligible",0,IF(G76="17-21",MAX(IF(U76&gt;='Qualifying Scores'!C$13,T76,0),IF(W76&gt;='Qualifying Scores'!C$13,V76,0),IF(Z76&gt;='Qualifying Scores'!C$13,Y76,0),IF(AB76&gt;='Qualifying Scores'!C$13,AA76,0),IF(AD76&gt;'Qualifying Scores'!C$13,AC76,0),IF(AG76&gt;'Qualifying Scores'!C$13,AF76,0)),MAX(IF(OR(AND(G76="15-16",W76&gt;='Qualifying Scores'!C$12),AND(G76="13-14",W76&gt;='Qualifying Scores'!C$11),AND(G76="11-12",W76&gt;='Qualifying Scores'!C$10)),X76,0),IF(OR(AND(G76="15-16",AD76&gt;='Qualifying Scores'!C$12),AND(G76="13-14",AD76&gt;='Qualifying Scores'!C$11),AND(G76="11-12",AD76&gt;='Qualifying Scores'!C$10)),AE76,0))))</f>
        <v>91.09</v>
      </c>
      <c r="S76" s="4">
        <f>IF(G76="17-21",MAX(T76,V76,Y76,AA76,AC76,AF76),MAX(X76,AE76))</f>
        <v>91.09</v>
      </c>
      <c r="T76" s="33">
        <v>42.08</v>
      </c>
      <c r="U76" s="40">
        <v>0</v>
      </c>
      <c r="V76" s="34">
        <v>49.010000000000005</v>
      </c>
      <c r="W76" s="40">
        <v>10.5</v>
      </c>
      <c r="X76" s="4">
        <f>IF(H76="Senior",MAX(T76,V76),T76+V76)</f>
        <v>91.09</v>
      </c>
      <c r="Y76" s="34">
        <v>49.06</v>
      </c>
      <c r="Z76" s="40">
        <v>10.4</v>
      </c>
      <c r="AA76" s="33">
        <v>41.58</v>
      </c>
      <c r="AB76" s="40">
        <v>0</v>
      </c>
      <c r="AC76" s="34">
        <v>20.100000000000001</v>
      </c>
      <c r="AD76" s="40">
        <v>5</v>
      </c>
      <c r="AE76" s="4">
        <f>IF(H76="Senior",MAX(AA76,AC76),AA76+AC76)</f>
        <v>61.68</v>
      </c>
      <c r="AF76" s="34">
        <v>15.82</v>
      </c>
      <c r="AG76" s="37">
        <v>3.8</v>
      </c>
    </row>
    <row r="77" spans="1:33" x14ac:dyDescent="0.2">
      <c r="A77" s="1" cm="1">
        <f t="array" ref="A77">IF(I77="","",IF(P77&lt;&gt;"",SUMPRODUCT((P$3:P$128&lt;&gt;"")*(G$3:G$128=G77)*(J$3:J$128&gt;J77)*(I$3:I$128="P"))+1,IF(O77&lt;&gt;"",SUMPRODUCT((O$3:O$128&lt;&gt;"")*(P$3:P$128="")*(G$3:G$128=G77)*(J$3:J$128&gt;J77)*(I$3:I$128="P"))+SUMPRODUCT((P$3:P$128&lt;&gt;"")*(G$3:G$128=G77)*(I$3:I$128="P"))+1,IF(N77&lt;&gt;"",SUMPRODUCT((N$3:N$128&lt;&gt;"")*(G$3:G$128=G77)*(J$3:J$128&gt;J77)*(I$3:I$128="P"))+1,IF(M77="P",SUMPRODUCT((O$3:O$128&lt;&gt;"")*(P$3:P$128="")*(G$3:G$128=G77)*(I$3:I$128="P"))+SUMPRODUCT((P$3:P$128&lt;&gt;"")*(G$3:G$128=G77)*(I$3:I$128="P"))+SUMPRODUCT((N$3:N$128&lt;&gt;"")*(G$3:G$128=G77)*(I$3:I$128="P"))+SUMPRODUCT((P$3:P$128="")*(O$3:O$128="")*(N$3:N$128="")*(M$3:M$128="P")*(G$3:G$128=G77)*(J$3:J$128&gt;J77)*(I$3:I$128="P"))+IF(H77="L5",SUMPRODUCT((P$3:P$128="")*(O$3:O$128="")*(N$3:N$128="")*(M$3:M$128="P")*(G$3:G$128=G77)*(J$3:J$128&lt;J77)*(H$3:H$128&lt;&gt;H77)*(I$3:I$128="P")),-1*SUMPRODUCT((P$3:P$128="")*(O$3:O$128="")*(N$3:N$128="")*(M$3:M$128="P")*(G$3:G$128=G77)*(J$3:J$128&gt;J77)*(H$3:H$128="L5")*(I$3:I$128="P")))+1,"")))))</f>
        <v>3</v>
      </c>
      <c r="B77" s="1" cm="1">
        <f t="array" ref="B77">IF(P77&lt;&gt;"",SUMPRODUCT((P$3:P$128&lt;&gt;"")*(G$3:G$128=G77)*(J$3:J$128&gt;J77))+1,IF(O77&lt;&gt;"",SUMPRODUCT((O$3:O$128&lt;&gt;"")*(P$3:P$128="")*(G$3:G$128=G77)*(J$3:J$128&gt;J77))+SUMPRODUCT((P$3:P$128&lt;&gt;"")*(G$3:G$128=G77))+1,IF(N77&lt;&gt;"",SUMPRODUCT((N$3:N$128&lt;&gt;"")*(G$3:G$128=G77)*(J$3:J$128&gt;J77))+1,IF(M77="P",SUMPRODUCT((O$3:O$128&lt;&gt;"")*(P$3:P$128="")*(G$3:G$128=G77))+SUMPRODUCT((P$3:P$128&lt;&gt;"")*(G$3:G$128=G77))+SUMPRODUCT((N$3:N$128&lt;&gt;"")*(G$3:G$128=G77))+SUMPRODUCT((P$3:P$128="")*(O$3:O$128="")*(N$3:N$128="")*(M$3:M$128="P")*(G$3:G$128=G77)*(J$3:J$128&gt;J77))+IF(H77="L5",SUMPRODUCT((P$3:P$128="")*(O$3:O$128="")*(N$3:N$128="")*(M$3:M$128="P")*(G$3:G$128=G77)*(J$3:J$128&lt;J77)*(H$3:H$128&lt;&gt;H77)),-1*SUMPRODUCT((P$3:P$128="")*(O$3:O$128="")*(N$3:N$128="")*(M$3:M$128="P")*(G$3:G$128=G77)*(J$3:J$128&gt;J77)*(H$3:H$128="L5")))+1,""))))</f>
        <v>3</v>
      </c>
      <c r="C77" s="36" t="s">
        <v>279</v>
      </c>
      <c r="D77" s="36" t="str">
        <f>IF(E77="","",VLOOKUP(E77,'Coaching Points'!A:B,2,0))</f>
        <v>QC</v>
      </c>
      <c r="E77" s="36" t="s">
        <v>179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114</v>
      </c>
      <c r="I77" s="45" t="s">
        <v>604</v>
      </c>
      <c r="J77" s="4">
        <f>R77+IF(OR(H77="Junior",H77="Senior"),0.0002,IF(OR(H77="L7",H77="L6"),0.0001,0))+IF(G77="17-21",MAX(AA77,AC77,AF77),AE77)*0.0000001</f>
        <v>88.78020879200001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>P</v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>P</v>
      </c>
      <c r="Q77" s="49">
        <f>IF(A77&lt;5,IF(_xlfn.MAXIFS(A:A,G:G,G77)&gt;3,5-A77,_xlfn.MAXIFS(A:A,G:G,G77)+1-A77),"")</f>
        <v>1</v>
      </c>
      <c r="R77" s="4">
        <f>IF(G77="Not Age Eligible",0,IF(G77="17-21",MAX(IF(U77&gt;='Qualifying Scores'!C$13,T77,0),IF(W77&gt;='Qualifying Scores'!C$13,V77,0),IF(Z77&gt;='Qualifying Scores'!C$13,Y77,0),IF(AB77&gt;='Qualifying Scores'!C$13,AA77,0),IF(AD77&gt;'Qualifying Scores'!C$13,AC77,0),IF(AG77&gt;'Qualifying Scores'!C$13,AF77,0)),MAX(IF(OR(AND(G77="15-16",W77&gt;='Qualifying Scores'!C$12),AND(G77="13-14",W77&gt;='Qualifying Scores'!C$11),AND(G77="11-12",W77&gt;='Qualifying Scores'!C$10)),X77,0),IF(OR(AND(G77="15-16",AD77&gt;='Qualifying Scores'!C$12),AND(G77="13-14",AD77&gt;='Qualifying Scores'!C$11),AND(G77="11-12",AD77&gt;='Qualifying Scores'!C$10)),AE77,0))))</f>
        <v>88.78</v>
      </c>
      <c r="S77" s="4">
        <f>IF(G77="17-21",MAX(T77,V77,Y77,AA77,AC77,AF77),MAX(X77,AE77))</f>
        <v>88.78</v>
      </c>
      <c r="T77" s="33">
        <v>40.840000000000003</v>
      </c>
      <c r="U77" s="40">
        <v>0</v>
      </c>
      <c r="V77" s="34">
        <v>47.940000000000005</v>
      </c>
      <c r="W77" s="40">
        <v>9.1</v>
      </c>
      <c r="X77" s="4">
        <f>IF(H77="Senior",MAX(T77,V77),T77+V77)</f>
        <v>88.78</v>
      </c>
      <c r="Y77" s="34">
        <v>46.32</v>
      </c>
      <c r="Z77" s="40">
        <v>9.1</v>
      </c>
      <c r="AA77" s="33">
        <v>41.45</v>
      </c>
      <c r="AB77" s="40">
        <v>0</v>
      </c>
      <c r="AC77" s="34">
        <v>46.47</v>
      </c>
      <c r="AD77" s="40">
        <v>10</v>
      </c>
      <c r="AE77" s="4">
        <f>IF(H77="Senior",MAX(AA77,AC77),AA77+AC77)</f>
        <v>87.92</v>
      </c>
      <c r="AF77" s="34">
        <v>47.43</v>
      </c>
      <c r="AG77" s="37">
        <v>10</v>
      </c>
    </row>
    <row r="78" spans="1:33" x14ac:dyDescent="0.2">
      <c r="A78" s="1" t="str" cm="1">
        <f t="array" ref="A78">IF(I78="","",IF(P78&lt;&gt;"",SUMPRODUCT((P$3:P$128&lt;&gt;"")*(G$3:G$128=G78)*(J$3:J$128&gt;J78)*(I$3:I$128="P"))+1,IF(O78&lt;&gt;"",SUMPRODUCT((O$3:O$128&lt;&gt;"")*(P$3:P$128="")*(G$3:G$128=G78)*(J$3:J$128&gt;J78)*(I$3:I$128="P"))+SUMPRODUCT((P$3:P$128&lt;&gt;"")*(G$3:G$128=G78)*(I$3:I$128="P"))+1,IF(N78&lt;&gt;"",SUMPRODUCT((N$3:N$128&lt;&gt;"")*(G$3:G$128=G78)*(J$3:J$128&gt;J78)*(I$3:I$128="P"))+1,IF(M78="P",SUMPRODUCT((O$3:O$128&lt;&gt;"")*(P$3:P$128="")*(G$3:G$128=G78)*(I$3:I$128="P"))+SUMPRODUCT((P$3:P$128&lt;&gt;"")*(G$3:G$128=G78)*(I$3:I$128="P"))+SUMPRODUCT((N$3:N$128&lt;&gt;"")*(G$3:G$128=G78)*(I$3:I$128="P"))+SUMPRODUCT((P$3:P$128="")*(O$3:O$128="")*(N$3:N$128="")*(M$3:M$128="P")*(G$3:G$128=G78)*(J$3:J$128&gt;J78)*(I$3:I$128="P"))+IF(H78="L5",SUMPRODUCT((P$3:P$128="")*(O$3:O$128="")*(N$3:N$128="")*(M$3:M$128="P")*(G$3:G$128=G78)*(J$3:J$128&lt;J78)*(H$3:H$128&lt;&gt;H78)*(I$3:I$128="P")),-1*SUMPRODUCT((P$3:P$128="")*(O$3:O$128="")*(N$3:N$128="")*(M$3:M$128="P")*(G$3:G$128=G78)*(J$3:J$128&gt;J78)*(H$3:H$128="L5")*(I$3:I$128="P")))+1,"")))))</f>
        <v/>
      </c>
      <c r="B78" s="1" cm="1">
        <f t="array" ref="B78">IF(P78&lt;&gt;"",SUMPRODUCT((P$3:P$128&lt;&gt;"")*(G$3:G$128=G78)*(J$3:J$128&gt;J78))+1,IF(O78&lt;&gt;"",SUMPRODUCT((O$3:O$128&lt;&gt;"")*(P$3:P$128="")*(G$3:G$128=G78)*(J$3:J$128&gt;J78))+SUMPRODUCT((P$3:P$128&lt;&gt;"")*(G$3:G$128=G78))+1,IF(N78&lt;&gt;"",SUMPRODUCT((N$3:N$128&lt;&gt;"")*(G$3:G$128=G78)*(J$3:J$128&gt;J78))+1,IF(M78="P",SUMPRODUCT((O$3:O$128&lt;&gt;"")*(P$3:P$128="")*(G$3:G$128=G78))+SUMPRODUCT((P$3:P$128&lt;&gt;"")*(G$3:G$128=G78))+SUMPRODUCT((N$3:N$128&lt;&gt;"")*(G$3:G$128=G78))+SUMPRODUCT((P$3:P$128="")*(O$3:O$128="")*(N$3:N$128="")*(M$3:M$128="P")*(G$3:G$128=G78)*(J$3:J$128&gt;J78))+IF(H78="L5",SUMPRODUCT((P$3:P$128="")*(O$3:O$128="")*(N$3:N$128="")*(M$3:M$128="P")*(G$3:G$128=G78)*(J$3:J$128&lt;J78)*(H$3:H$128&lt;&gt;H78)),-1*SUMPRODUCT((P$3:P$128="")*(O$3:O$128="")*(N$3:N$128="")*(M$3:M$128="P")*(G$3:G$128=G78)*(J$3:J$128&gt;J78)*(H$3:H$128="L5")))+1,""))))</f>
        <v>4</v>
      </c>
      <c r="C78" s="36" t="s">
        <v>282</v>
      </c>
      <c r="D78" s="36" t="str">
        <f>IF(E78="","",VLOOKUP(E78,'Coaching Points'!A:B,2,0))</f>
        <v>BC</v>
      </c>
      <c r="E78" s="36" t="s">
        <v>47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116</v>
      </c>
      <c r="I78" s="45"/>
      <c r="J78" s="4">
        <f>R78+IF(OR(H78="Junior",H78="Senior"),0.0002,IF(OR(H78="L7",H78="L6"),0.0001,0))+IF(G78="17-21",MAX(AA78,AC78,AF78),AE78)*0.0000001</f>
        <v>88.510099999999994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>P</v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>P</v>
      </c>
      <c r="Q78" s="49" t="str">
        <f>IF(A78&lt;5,IF(_xlfn.MAXIFS(A:A,G:G,G78)&gt;3,5-A78,_xlfn.MAXIFS(A:A,G:G,G78)+1-A78),"")</f>
        <v/>
      </c>
      <c r="R78" s="4">
        <f>IF(G78="Not Age Eligible",0,IF(G78="17-21",MAX(IF(U78&gt;='Qualifying Scores'!C$13,T78,0),IF(W78&gt;='Qualifying Scores'!C$13,V78,0),IF(Z78&gt;='Qualifying Scores'!C$13,Y78,0),IF(AB78&gt;='Qualifying Scores'!C$13,AA78,0),IF(AD78&gt;'Qualifying Scores'!C$13,AC78,0),IF(AG78&gt;'Qualifying Scores'!C$13,AF78,0)),MAX(IF(OR(AND(G78="15-16",W78&gt;='Qualifying Scores'!C$12),AND(G78="13-14",W78&gt;='Qualifying Scores'!C$11),AND(G78="11-12",W78&gt;='Qualifying Scores'!C$10)),X78,0),IF(OR(AND(G78="15-16",AD78&gt;='Qualifying Scores'!C$12),AND(G78="13-14",AD78&gt;='Qualifying Scores'!C$11),AND(G78="11-12",AD78&gt;='Qualifying Scores'!C$10)),AE78,0))))</f>
        <v>88.509999999999991</v>
      </c>
      <c r="S78" s="4">
        <f>IF(G78="17-21",MAX(T78,V78,Y78,AA78,AC78,AF78),MAX(X78,AE78))</f>
        <v>88.509999999999991</v>
      </c>
      <c r="T78" s="33">
        <v>40.729999999999997</v>
      </c>
      <c r="U78" s="40">
        <v>0</v>
      </c>
      <c r="V78" s="34">
        <v>47.78</v>
      </c>
      <c r="W78" s="40">
        <v>9.7999999999999989</v>
      </c>
      <c r="X78" s="4">
        <f>IF(H78="Senior",MAX(T78,V78),T78+V78)</f>
        <v>88.509999999999991</v>
      </c>
      <c r="Y78" s="34">
        <v>44.08</v>
      </c>
      <c r="Z78" s="40">
        <v>9</v>
      </c>
      <c r="AA78" s="33"/>
      <c r="AB78" s="40"/>
      <c r="AC78" s="34"/>
      <c r="AD78" s="40"/>
      <c r="AE78" s="4">
        <f>IF(H78="Senior",MAX(AA78,AC78),AA78+AC78)</f>
        <v>0</v>
      </c>
      <c r="AF78" s="34"/>
      <c r="AG78" s="37"/>
    </row>
    <row r="79" spans="1:33" x14ac:dyDescent="0.2">
      <c r="A79" s="1" t="str" cm="1">
        <f t="array" ref="A79">IF(I79="","",IF(P79&lt;&gt;"",SUMPRODUCT((P$3:P$128&lt;&gt;"")*(G$3:G$128=G79)*(J$3:J$128&gt;J79)*(I$3:I$128="P"))+1,IF(O79&lt;&gt;"",SUMPRODUCT((O$3:O$128&lt;&gt;"")*(P$3:P$128="")*(G$3:G$128=G79)*(J$3:J$128&gt;J79)*(I$3:I$128="P"))+SUMPRODUCT((P$3:P$128&lt;&gt;"")*(G$3:G$128=G79)*(I$3:I$128="P"))+1,IF(N79&lt;&gt;"",SUMPRODUCT((N$3:N$128&lt;&gt;"")*(G$3:G$128=G79)*(J$3:J$128&gt;J79)*(I$3:I$128="P"))+1,IF(M79="P",SUMPRODUCT((O$3:O$128&lt;&gt;"")*(P$3:P$128="")*(G$3:G$128=G79)*(I$3:I$128="P"))+SUMPRODUCT((P$3:P$128&lt;&gt;"")*(G$3:G$128=G79)*(I$3:I$128="P"))+SUMPRODUCT((N$3:N$128&lt;&gt;"")*(G$3:G$128=G79)*(I$3:I$128="P"))+SUMPRODUCT((P$3:P$128="")*(O$3:O$128="")*(N$3:N$128="")*(M$3:M$128="P")*(G$3:G$128=G79)*(J$3:J$128&gt;J79)*(I$3:I$128="P"))+IF(H79="L5",SUMPRODUCT((P$3:P$128="")*(O$3:O$128="")*(N$3:N$128="")*(M$3:M$128="P")*(G$3:G$128=G79)*(J$3:J$128&lt;J79)*(H$3:H$128&lt;&gt;H79)*(I$3:I$128="P")),-1*SUMPRODUCT((P$3:P$128="")*(O$3:O$128="")*(N$3:N$128="")*(M$3:M$128="P")*(G$3:G$128=G79)*(J$3:J$128&gt;J79)*(H$3:H$128="L5")*(I$3:I$128="P")))+1,"")))))</f>
        <v/>
      </c>
      <c r="B79" s="1" t="str" cm="1">
        <f t="array" ref="B79">IF(P79&lt;&gt;"",SUMPRODUCT((P$3:P$128&lt;&gt;"")*(G$3:G$128=G79)*(J$3:J$128&gt;J79))+1,IF(O79&lt;&gt;"",SUMPRODUCT((O$3:O$128&lt;&gt;"")*(P$3:P$128="")*(G$3:G$128=G79)*(J$3:J$128&gt;J79))+SUMPRODUCT((P$3:P$128&lt;&gt;"")*(G$3:G$128=G79))+1,IF(N79&lt;&gt;"",SUMPRODUCT((N$3:N$128&lt;&gt;"")*(G$3:G$128=G79)*(J$3:J$128&gt;J79))+1,IF(M79="P",SUMPRODUCT((O$3:O$128&lt;&gt;"")*(P$3:P$128="")*(G$3:G$128=G79))+SUMPRODUCT((P$3:P$128&lt;&gt;"")*(G$3:G$128=G79))+SUMPRODUCT((N$3:N$128&lt;&gt;"")*(G$3:G$128=G79))+SUMPRODUCT((P$3:P$128="")*(O$3:O$128="")*(N$3:N$128="")*(M$3:M$128="P")*(G$3:G$128=G79)*(J$3:J$128&gt;J79))+IF(H79="L5",SUMPRODUCT((P$3:P$128="")*(O$3:O$128="")*(N$3:N$128="")*(M$3:M$128="P")*(G$3:G$128=G79)*(J$3:J$128&lt;J79)*(H$3:H$128&lt;&gt;H79)),-1*SUMPRODUCT((P$3:P$128="")*(O$3:O$128="")*(N$3:N$128="")*(M$3:M$128="P")*(G$3:G$128=G79)*(J$3:J$128&gt;J79)*(H$3:H$128="L5")))+1,""))))</f>
        <v/>
      </c>
      <c r="C79" s="36" t="s">
        <v>318</v>
      </c>
      <c r="D79" s="36" t="str">
        <f>IF(E79="","",VLOOKUP(E79,'Coaching Points'!A:B,2,0))</f>
        <v>AB</v>
      </c>
      <c r="E79" s="36" t="s">
        <v>61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116</v>
      </c>
      <c r="I79" s="45" t="s">
        <v>604</v>
      </c>
      <c r="J79" s="4">
        <f>R79+IF(OR(H79="Junior",H79="Senior"),0.0002,IF(OR(H79="L7",H79="L6"),0.0001,0))+IF(G79="17-21",MAX(AA79,AC79,AF79),AE79)*0.0000001</f>
        <v>84.180108418000003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Scores'!C$13,T79,0),IF(W79&gt;='Qualifying Scores'!C$13,V79,0),IF(Z79&gt;='Qualifying Scores'!C$13,Y79,0),IF(AB79&gt;='Qualifying Scores'!C$13,AA79,0),IF(AD79&gt;'Qualifying Scores'!C$13,AC79,0),IF(AG79&gt;'Qualifying Scores'!C$13,AF79,0)),MAX(IF(OR(AND(G79="15-16",W79&gt;='Qualifying Scores'!C$12),AND(G79="13-14",W79&gt;='Qualifying Scores'!C$11),AND(G79="11-12",W79&gt;='Qualifying Scores'!C$10)),X79,0),IF(OR(AND(G79="15-16",AD79&gt;='Qualifying Scores'!C$12),AND(G79="13-14",AD79&gt;='Qualifying Scores'!C$11),AND(G79="11-12",AD79&gt;='Qualifying Scores'!C$10)),AE79,0))))</f>
        <v>84.18</v>
      </c>
      <c r="S79" s="4">
        <f>IF(G79="17-21",MAX(T79,V79,Y79,AA79,AC79,AF79),MAX(X79,AE79))</f>
        <v>84.18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37.94</v>
      </c>
      <c r="AB79" s="40">
        <v>0</v>
      </c>
      <c r="AC79" s="34">
        <v>46.24</v>
      </c>
      <c r="AD79" s="40">
        <v>9.6</v>
      </c>
      <c r="AE79" s="4">
        <f>IF(H79="Senior",MAX(AA79,AC79),AA79+AC79)</f>
        <v>84.18</v>
      </c>
      <c r="AF79" s="34">
        <v>18.71</v>
      </c>
      <c r="AG79" s="37">
        <v>4.2</v>
      </c>
    </row>
    <row r="80" spans="1:33" x14ac:dyDescent="0.2">
      <c r="A80" s="1" t="str" cm="1">
        <f t="array" ref="A80">IF(I80="","",IF(P80&lt;&gt;"",SUMPRODUCT((P$3:P$128&lt;&gt;"")*(G$3:G$128=G80)*(J$3:J$128&gt;J80)*(I$3:I$128="P"))+1,IF(O80&lt;&gt;"",SUMPRODUCT((O$3:O$128&lt;&gt;"")*(P$3:P$128="")*(G$3:G$128=G80)*(J$3:J$128&gt;J80)*(I$3:I$128="P"))+SUMPRODUCT((P$3:P$128&lt;&gt;"")*(G$3:G$128=G80)*(I$3:I$128="P"))+1,IF(N80&lt;&gt;"",SUMPRODUCT((N$3:N$128&lt;&gt;"")*(G$3:G$128=G80)*(J$3:J$128&gt;J80)*(I$3:I$128="P"))+1,IF(M80="P",SUMPRODUCT((O$3:O$128&lt;&gt;"")*(P$3:P$128="")*(G$3:G$128=G80)*(I$3:I$128="P"))+SUMPRODUCT((P$3:P$128&lt;&gt;"")*(G$3:G$128=G80)*(I$3:I$128="P"))+SUMPRODUCT((N$3:N$128&lt;&gt;"")*(G$3:G$128=G80)*(I$3:I$128="P"))+SUMPRODUCT((P$3:P$128="")*(O$3:O$128="")*(N$3:N$128="")*(M$3:M$128="P")*(G$3:G$128=G80)*(J$3:J$128&gt;J80)*(I$3:I$128="P"))+IF(H80="L5",SUMPRODUCT((P$3:P$128="")*(O$3:O$128="")*(N$3:N$128="")*(M$3:M$128="P")*(G$3:G$128=G80)*(J$3:J$128&lt;J80)*(H$3:H$128&lt;&gt;H80)*(I$3:I$128="P")),-1*SUMPRODUCT((P$3:P$128="")*(O$3:O$128="")*(N$3:N$128="")*(M$3:M$128="P")*(G$3:G$128=G80)*(J$3:J$128&gt;J80)*(H$3:H$128="L5")*(I$3:I$128="P")))+1,"")))))</f>
        <v/>
      </c>
      <c r="B80" s="1" t="str" cm="1">
        <f t="array" ref="B80">IF(P80&lt;&gt;"",SUMPRODUCT((P$3:P$128&lt;&gt;"")*(G$3:G$128=G80)*(J$3:J$128&gt;J80))+1,IF(O80&lt;&gt;"",SUMPRODUCT((O$3:O$128&lt;&gt;"")*(P$3:P$128="")*(G$3:G$128=G80)*(J$3:J$128&gt;J80))+SUMPRODUCT((P$3:P$128&lt;&gt;"")*(G$3:G$128=G80))+1,IF(N80&lt;&gt;"",SUMPRODUCT((N$3:N$128&lt;&gt;"")*(G$3:G$128=G80)*(J$3:J$128&gt;J80))+1,IF(M80="P",SUMPRODUCT((O$3:O$128&lt;&gt;"")*(P$3:P$128="")*(G$3:G$128=G80))+SUMPRODUCT((P$3:P$128&lt;&gt;"")*(G$3:G$128=G80))+SUMPRODUCT((N$3:N$128&lt;&gt;"")*(G$3:G$128=G80))+SUMPRODUCT((P$3:P$128="")*(O$3:O$128="")*(N$3:N$128="")*(M$3:M$128="P")*(G$3:G$128=G80)*(J$3:J$128&gt;J80))+IF(H80="L5",SUMPRODUCT((P$3:P$128="")*(O$3:O$128="")*(N$3:N$128="")*(M$3:M$128="P")*(G$3:G$128=G80)*(J$3:J$128&lt;J80)*(H$3:H$128&lt;&gt;H80)),-1*SUMPRODUCT((P$3:P$128="")*(O$3:O$128="")*(N$3:N$128="")*(M$3:M$128="P")*(G$3:G$128=G80)*(J$3:J$128&gt;J80)*(H$3:H$128="L5")))+1,""))))</f>
        <v/>
      </c>
      <c r="C80" s="36" t="s">
        <v>411</v>
      </c>
      <c r="D80" s="36" t="str">
        <f>IF(E80="","",VLOOKUP(E80,'Coaching Points'!A:B,2,0))</f>
        <v>ON</v>
      </c>
      <c r="E80" s="36" t="s">
        <v>573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114</v>
      </c>
      <c r="I80" s="45" t="s">
        <v>604</v>
      </c>
      <c r="J80" s="4">
        <f>R80+IF(OR(H80="Junior",H80="Senior"),0.0002,IF(OR(H80="L7",H80="L6"),0.0001,0))+IF(G80="17-21",MAX(AA80,AC80,AF80),AE80)*0.0000001</f>
        <v>82.820208281999996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Scores'!C$13,T80,0),IF(W80&gt;='Qualifying Scores'!C$13,V80,0),IF(Z80&gt;='Qualifying Scores'!C$13,Y80,0),IF(AB80&gt;='Qualifying Scores'!C$13,AA80,0),IF(AD80&gt;'Qualifying Scores'!C$13,AC80,0),IF(AG80&gt;'Qualifying Scores'!C$13,AF80,0)),MAX(IF(OR(AND(G80="15-16",W80&gt;='Qualifying Scores'!C$12),AND(G80="13-14",W80&gt;='Qualifying Scores'!C$11),AND(G80="11-12",W80&gt;='Qualifying Scores'!C$10)),X80,0),IF(OR(AND(G80="15-16",AD80&gt;='Qualifying Scores'!C$12),AND(G80="13-14",AD80&gt;='Qualifying Scores'!C$11),AND(G80="11-12",AD80&gt;='Qualifying Scores'!C$10)),AE80,0))))</f>
        <v>82.82</v>
      </c>
      <c r="S80" s="4">
        <f>IF(G80="17-21",MAX(T80,V80,Y80,AA80,AC80,AF80),MAX(X80,AE80))</f>
        <v>82.82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35.659999999999997</v>
      </c>
      <c r="AB80" s="40">
        <v>0</v>
      </c>
      <c r="AC80" s="34">
        <v>47.16</v>
      </c>
      <c r="AD80" s="40">
        <v>9.6</v>
      </c>
      <c r="AE80" s="4">
        <f>IF(H80="Senior",MAX(AA80,AC80),AA80+AC80)</f>
        <v>82.82</v>
      </c>
      <c r="AF80" s="34">
        <v>45.600000000000009</v>
      </c>
      <c r="AG80" s="37">
        <v>9.6</v>
      </c>
    </row>
    <row r="81" spans="1:33" x14ac:dyDescent="0.2">
      <c r="A81" s="1" t="str" cm="1">
        <f t="array" ref="A81">IF(I81="","",IF(P81&lt;&gt;"",SUMPRODUCT((P$3:P$128&lt;&gt;"")*(G$3:G$128=G81)*(J$3:J$128&gt;J81)*(I$3:I$128="P"))+1,IF(O81&lt;&gt;"",SUMPRODUCT((O$3:O$128&lt;&gt;"")*(P$3:P$128="")*(G$3:G$128=G81)*(J$3:J$128&gt;J81)*(I$3:I$128="P"))+SUMPRODUCT((P$3:P$128&lt;&gt;"")*(G$3:G$128=G81)*(I$3:I$128="P"))+1,IF(N81&lt;&gt;"",SUMPRODUCT((N$3:N$128&lt;&gt;"")*(G$3:G$128=G81)*(J$3:J$128&gt;J81)*(I$3:I$128="P"))+1,IF(M81="P",SUMPRODUCT((O$3:O$128&lt;&gt;"")*(P$3:P$128="")*(G$3:G$128=G81)*(I$3:I$128="P"))+SUMPRODUCT((P$3:P$128&lt;&gt;"")*(G$3:G$128=G81)*(I$3:I$128="P"))+SUMPRODUCT((N$3:N$128&lt;&gt;"")*(G$3:G$128=G81)*(I$3:I$128="P"))+SUMPRODUCT((P$3:P$128="")*(O$3:O$128="")*(N$3:N$128="")*(M$3:M$128="P")*(G$3:G$128=G81)*(J$3:J$128&gt;J81)*(I$3:I$128="P"))+IF(H81="L5",SUMPRODUCT((P$3:P$128="")*(O$3:O$128="")*(N$3:N$128="")*(M$3:M$128="P")*(G$3:G$128=G81)*(J$3:J$128&lt;J81)*(H$3:H$128&lt;&gt;H81)*(I$3:I$128="P")),-1*SUMPRODUCT((P$3:P$128="")*(O$3:O$128="")*(N$3:N$128="")*(M$3:M$128="P")*(G$3:G$128=G81)*(J$3:J$128&gt;J81)*(H$3:H$128="L5")*(I$3:I$128="P")))+1,"")))))</f>
        <v/>
      </c>
      <c r="B81" s="1" t="str" cm="1">
        <f t="array" ref="B81">IF(P81&lt;&gt;"",SUMPRODUCT((P$3:P$128&lt;&gt;"")*(G$3:G$128=G81)*(J$3:J$128&gt;J81))+1,IF(O81&lt;&gt;"",SUMPRODUCT((O$3:O$128&lt;&gt;"")*(P$3:P$128="")*(G$3:G$128=G81)*(J$3:J$128&gt;J81))+SUMPRODUCT((P$3:P$128&lt;&gt;"")*(G$3:G$128=G81))+1,IF(N81&lt;&gt;"",SUMPRODUCT((N$3:N$128&lt;&gt;"")*(G$3:G$128=G81)*(J$3:J$128&gt;J81))+1,IF(M81="P",SUMPRODUCT((O$3:O$128&lt;&gt;"")*(P$3:P$128="")*(G$3:G$128=G81))+SUMPRODUCT((P$3:P$128&lt;&gt;"")*(G$3:G$128=G81))+SUMPRODUCT((N$3:N$128&lt;&gt;"")*(G$3:G$128=G81))+SUMPRODUCT((P$3:P$128="")*(O$3:O$128="")*(N$3:N$128="")*(M$3:M$128="P")*(G$3:G$128=G81)*(J$3:J$128&gt;J81))+IF(H81="L5",SUMPRODUCT((P$3:P$128="")*(O$3:O$128="")*(N$3:N$128="")*(M$3:M$128="P")*(G$3:G$128=G81)*(J$3:J$128&lt;J81)*(H$3:H$128&lt;&gt;H81)),-1*SUMPRODUCT((P$3:P$128="")*(O$3:O$128="")*(N$3:N$128="")*(M$3:M$128="P")*(G$3:G$128=G81)*(J$3:J$128&gt;J81)*(H$3:H$128="L5")))+1,""))))</f>
        <v/>
      </c>
      <c r="C81" s="36" t="s">
        <v>239</v>
      </c>
      <c r="D81" s="36" t="str">
        <f>IF(E81="","",VLOOKUP(E81,'Coaching Points'!A:B,2,0))</f>
        <v>SK</v>
      </c>
      <c r="E81" s="36" t="s">
        <v>70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116</v>
      </c>
      <c r="I81" s="45" t="s">
        <v>604</v>
      </c>
      <c r="J81" s="4">
        <f>R81+IF(OR(H81="Junior",H81="Senior"),0.0002,IF(OR(H81="L7",H81="L6"),0.0001,0))+IF(G81="17-21",MAX(AA81,AC81,AF81),AE81)*0.0000001</f>
        <v>82.750103859000006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Scores'!C$13,T81,0),IF(W81&gt;='Qualifying Scores'!C$13,V81,0),IF(Z81&gt;='Qualifying Scores'!C$13,Y81,0),IF(AB81&gt;='Qualifying Scores'!C$13,AA81,0),IF(AD81&gt;'Qualifying Scores'!C$13,AC81,0),IF(AG81&gt;'Qualifying Scores'!C$13,AF81,0)),MAX(IF(OR(AND(G81="15-16",W81&gt;='Qualifying Scores'!C$12),AND(G81="13-14",W81&gt;='Qualifying Scores'!C$11),AND(G81="11-12",W81&gt;='Qualifying Scores'!C$10)),X81,0),IF(OR(AND(G81="15-16",AD81&gt;='Qualifying Scores'!C$12),AND(G81="13-14",AD81&gt;='Qualifying Scores'!C$11),AND(G81="11-12",AD81&gt;='Qualifying Scores'!C$10)),AE81,0))))</f>
        <v>82.75</v>
      </c>
      <c r="S81" s="4">
        <f>IF(G81="17-21",MAX(T81,V81,Y81,AA81,AC81,AF81),MAX(X81,AE81))</f>
        <v>82.75</v>
      </c>
      <c r="T81" s="33">
        <v>37.6</v>
      </c>
      <c r="U81" s="40">
        <v>0</v>
      </c>
      <c r="V81" s="34">
        <v>45.15</v>
      </c>
      <c r="W81" s="40">
        <v>8.7999999999999989</v>
      </c>
      <c r="X81" s="4">
        <f>IF(H81="Senior",MAX(T81,V81),T81+V81)</f>
        <v>82.75</v>
      </c>
      <c r="Y81" s="34">
        <v>45.67</v>
      </c>
      <c r="Z81" s="40">
        <v>8.7999999999999989</v>
      </c>
      <c r="AA81" s="33">
        <v>33.729999999999997</v>
      </c>
      <c r="AB81" s="40">
        <v>0</v>
      </c>
      <c r="AC81" s="34">
        <v>4.8600000000000003</v>
      </c>
      <c r="AD81" s="40">
        <v>1.3</v>
      </c>
      <c r="AE81" s="4">
        <f>IF(H81="Senior",MAX(AA81,AC81),AA81+AC81)</f>
        <v>38.589999999999996</v>
      </c>
      <c r="AF81" s="34"/>
      <c r="AG81" s="37"/>
    </row>
    <row r="82" spans="1:33" x14ac:dyDescent="0.2">
      <c r="A82" s="1" t="str" cm="1">
        <f t="array" ref="A82">IF(I82="","",IF(P82&lt;&gt;"",SUMPRODUCT((P$3:P$128&lt;&gt;"")*(G$3:G$128=G82)*(J$3:J$128&gt;J82)*(I$3:I$128="P"))+1,IF(O82&lt;&gt;"",SUMPRODUCT((O$3:O$128&lt;&gt;"")*(P$3:P$128="")*(G$3:G$128=G82)*(J$3:J$128&gt;J82)*(I$3:I$128="P"))+SUMPRODUCT((P$3:P$128&lt;&gt;"")*(G$3:G$128=G82)*(I$3:I$128="P"))+1,IF(N82&lt;&gt;"",SUMPRODUCT((N$3:N$128&lt;&gt;"")*(G$3:G$128=G82)*(J$3:J$128&gt;J82)*(I$3:I$128="P"))+1,IF(M82="P",SUMPRODUCT((O$3:O$128&lt;&gt;"")*(P$3:P$128="")*(G$3:G$128=G82)*(I$3:I$128="P"))+SUMPRODUCT((P$3:P$128&lt;&gt;"")*(G$3:G$128=G82)*(I$3:I$128="P"))+SUMPRODUCT((N$3:N$128&lt;&gt;"")*(G$3:G$128=G82)*(I$3:I$128="P"))+SUMPRODUCT((P$3:P$128="")*(O$3:O$128="")*(N$3:N$128="")*(M$3:M$128="P")*(G$3:G$128=G82)*(J$3:J$128&gt;J82)*(I$3:I$128="P"))+IF(H82="L5",SUMPRODUCT((P$3:P$128="")*(O$3:O$128="")*(N$3:N$128="")*(M$3:M$128="P")*(G$3:G$128=G82)*(J$3:J$128&lt;J82)*(H$3:H$128&lt;&gt;H82)*(I$3:I$128="P")),-1*SUMPRODUCT((P$3:P$128="")*(O$3:O$128="")*(N$3:N$128="")*(M$3:M$128="P")*(G$3:G$128=G82)*(J$3:J$128&gt;J82)*(H$3:H$128="L5")*(I$3:I$128="P")))+1,"")))))</f>
        <v/>
      </c>
      <c r="B82" s="1" t="str" cm="1">
        <f t="array" ref="B82">IF(P82&lt;&gt;"",SUMPRODUCT((P$3:P$128&lt;&gt;"")*(G$3:G$128=G82)*(J$3:J$128&gt;J82))+1,IF(O82&lt;&gt;"",SUMPRODUCT((O$3:O$128&lt;&gt;"")*(P$3:P$128="")*(G$3:G$128=G82)*(J$3:J$128&gt;J82))+SUMPRODUCT((P$3:P$128&lt;&gt;"")*(G$3:G$128=G82))+1,IF(N82&lt;&gt;"",SUMPRODUCT((N$3:N$128&lt;&gt;"")*(G$3:G$128=G82)*(J$3:J$128&gt;J82))+1,IF(M82="P",SUMPRODUCT((O$3:O$128&lt;&gt;"")*(P$3:P$128="")*(G$3:G$128=G82))+SUMPRODUCT((P$3:P$128&lt;&gt;"")*(G$3:G$128=G82))+SUMPRODUCT((N$3:N$128&lt;&gt;"")*(G$3:G$128=G82))+SUMPRODUCT((P$3:P$128="")*(O$3:O$128="")*(N$3:N$128="")*(M$3:M$128="P")*(G$3:G$128=G82)*(J$3:J$128&gt;J82))+IF(H82="L5",SUMPRODUCT((P$3:P$128="")*(O$3:O$128="")*(N$3:N$128="")*(M$3:M$128="P")*(G$3:G$128=G82)*(J$3:J$128&lt;J82)*(H$3:H$128&lt;&gt;H82)),-1*SUMPRODUCT((P$3:P$128="")*(O$3:O$128="")*(N$3:N$128="")*(M$3:M$128="P")*(G$3:G$128=G82)*(J$3:J$128&gt;J82)*(H$3:H$128="L5")))+1,""))))</f>
        <v/>
      </c>
      <c r="C82" s="36" t="s">
        <v>243</v>
      </c>
      <c r="D82" s="36" t="str">
        <f>IF(E82="","",VLOOKUP(E82,'Coaching Points'!A:B,2,0))</f>
        <v>SK</v>
      </c>
      <c r="E82" s="36" t="s">
        <v>46</v>
      </c>
      <c r="F82" s="35">
        <v>2006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115</v>
      </c>
      <c r="I82" s="45"/>
      <c r="J82" s="4">
        <f>R82+IF(OR(H82="Junior",H82="Senior"),0.0002,IF(OR(H82="L7",H82="L6"),0.0001,0))+IF(G82="17-21",MAX(AA82,AC82,AF82),AE82)*0.0000001</f>
        <v>82.610008261000004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>P</v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Scores'!C$13,T82,0),IF(W82&gt;='Qualifying Scores'!C$13,V82,0),IF(Z82&gt;='Qualifying Scores'!C$13,Y82,0),IF(AB82&gt;='Qualifying Scores'!C$13,AA82,0),IF(AD82&gt;'Qualifying Scores'!C$13,AC82,0),IF(AG82&gt;'Qualifying Scores'!C$13,AF82,0)),MAX(IF(OR(AND(G82="15-16",W82&gt;='Qualifying Scores'!C$12),AND(G82="13-14",W82&gt;='Qualifying Scores'!C$11),AND(G82="11-12",W82&gt;='Qualifying Scores'!C$10)),X82,0),IF(OR(AND(G82="15-16",AD82&gt;='Qualifying Scores'!C$12),AND(G82="13-14",AD82&gt;='Qualifying Scores'!C$11),AND(G82="11-12",AD82&gt;='Qualifying Scores'!C$10)),AE82,0))))</f>
        <v>82.61</v>
      </c>
      <c r="S82" s="4">
        <f>IF(G82="17-21",MAX(T82,V82,Y82,AA82,AC82,AF82),MAX(X82,AE82))</f>
        <v>82.61</v>
      </c>
      <c r="T82" s="33">
        <v>38.619999999999997</v>
      </c>
      <c r="U82" s="40">
        <v>0</v>
      </c>
      <c r="V82" s="34">
        <v>43.91</v>
      </c>
      <c r="W82" s="40">
        <v>8.8999999999999986</v>
      </c>
      <c r="X82" s="4">
        <f>IF(H82="Senior",MAX(T82,V82),T82+V82)</f>
        <v>82.53</v>
      </c>
      <c r="Y82" s="34">
        <v>14.16</v>
      </c>
      <c r="Z82" s="40">
        <v>3.6</v>
      </c>
      <c r="AA82" s="33">
        <v>37.17</v>
      </c>
      <c r="AB82" s="40">
        <v>0</v>
      </c>
      <c r="AC82" s="34">
        <v>45.44</v>
      </c>
      <c r="AD82" s="40">
        <v>8.9</v>
      </c>
      <c r="AE82" s="4">
        <f>IF(H82="Senior",MAX(AA82,AC82),AA82+AC82)</f>
        <v>82.61</v>
      </c>
      <c r="AF82" s="34">
        <v>19.89</v>
      </c>
      <c r="AG82" s="37">
        <v>4.5999999999999996</v>
      </c>
    </row>
    <row r="83" spans="1:33" x14ac:dyDescent="0.2">
      <c r="A83" s="1" t="str" cm="1">
        <f t="array" ref="A83">IF(I83="","",IF(P83&lt;&gt;"",SUMPRODUCT((P$3:P$128&lt;&gt;"")*(G$3:G$128=G83)*(J$3:J$128&gt;J83)*(I$3:I$128="P"))+1,IF(O83&lt;&gt;"",SUMPRODUCT((O$3:O$128&lt;&gt;"")*(P$3:P$128="")*(G$3:G$128=G83)*(J$3:J$128&gt;J83)*(I$3:I$128="P"))+SUMPRODUCT((P$3:P$128&lt;&gt;"")*(G$3:G$128=G83)*(I$3:I$128="P"))+1,IF(N83&lt;&gt;"",SUMPRODUCT((N$3:N$128&lt;&gt;"")*(G$3:G$128=G83)*(J$3:J$128&gt;J83)*(I$3:I$128="P"))+1,IF(M83="P",SUMPRODUCT((O$3:O$128&lt;&gt;"")*(P$3:P$128="")*(G$3:G$128=G83)*(I$3:I$128="P"))+SUMPRODUCT((P$3:P$128&lt;&gt;"")*(G$3:G$128=G83)*(I$3:I$128="P"))+SUMPRODUCT((N$3:N$128&lt;&gt;"")*(G$3:G$128=G83)*(I$3:I$128="P"))+SUMPRODUCT((P$3:P$128="")*(O$3:O$128="")*(N$3:N$128="")*(M$3:M$128="P")*(G$3:G$128=G83)*(J$3:J$128&gt;J83)*(I$3:I$128="P"))+IF(H83="L5",SUMPRODUCT((P$3:P$128="")*(O$3:O$128="")*(N$3:N$128="")*(M$3:M$128="P")*(G$3:G$128=G83)*(J$3:J$128&lt;J83)*(H$3:H$128&lt;&gt;H83)*(I$3:I$128="P")),-1*SUMPRODUCT((P$3:P$128="")*(O$3:O$128="")*(N$3:N$128="")*(M$3:M$128="P")*(G$3:G$128=G83)*(J$3:J$128&gt;J83)*(H$3:H$128="L5")*(I$3:I$128="P")))+1,"")))))</f>
        <v/>
      </c>
      <c r="B83" s="1" t="str" cm="1">
        <f t="array" ref="B83">IF(P83&lt;&gt;"",SUMPRODUCT((P$3:P$128&lt;&gt;"")*(G$3:G$128=G83)*(J$3:J$128&gt;J83))+1,IF(O83&lt;&gt;"",SUMPRODUCT((O$3:O$128&lt;&gt;"")*(P$3:P$128="")*(G$3:G$128=G83)*(J$3:J$128&gt;J83))+SUMPRODUCT((P$3:P$128&lt;&gt;"")*(G$3:G$128=G83))+1,IF(N83&lt;&gt;"",SUMPRODUCT((N$3:N$128&lt;&gt;"")*(G$3:G$128=G83)*(J$3:J$128&gt;J83))+1,IF(M83="P",SUMPRODUCT((O$3:O$128&lt;&gt;"")*(P$3:P$128="")*(G$3:G$128=G83))+SUMPRODUCT((P$3:P$128&lt;&gt;"")*(G$3:G$128=G83))+SUMPRODUCT((N$3:N$128&lt;&gt;"")*(G$3:G$128=G83))+SUMPRODUCT((P$3:P$128="")*(O$3:O$128="")*(N$3:N$128="")*(M$3:M$128="P")*(G$3:G$128=G83)*(J$3:J$128&gt;J83))+IF(H83="L5",SUMPRODUCT((P$3:P$128="")*(O$3:O$128="")*(N$3:N$128="")*(M$3:M$128="P")*(G$3:G$128=G83)*(J$3:J$128&lt;J83)*(H$3:H$128&lt;&gt;H83)),-1*SUMPRODUCT((P$3:P$128="")*(O$3:O$128="")*(N$3:N$128="")*(M$3:M$128="P")*(G$3:G$128=G83)*(J$3:J$128&gt;J83)*(H$3:H$128="L5")))+1,""))))</f>
        <v/>
      </c>
      <c r="C83" s="36" t="s">
        <v>235</v>
      </c>
      <c r="D83" s="36" t="str">
        <f>IF(E83="","",VLOOKUP(E83,'Coaching Points'!A:B,2,0))</f>
        <v>ON</v>
      </c>
      <c r="E83" s="36" t="s">
        <v>38</v>
      </c>
      <c r="F83" s="35">
        <v>2006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82.590008259000001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>P</v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Scores'!C$13,T83,0),IF(W83&gt;='Qualifying Scores'!C$13,V83,0),IF(Z83&gt;='Qualifying Scores'!C$13,Y83,0),IF(AB83&gt;='Qualifying Scores'!C$13,AA83,0),IF(AD83&gt;'Qualifying Scores'!C$13,AC83,0),IF(AG83&gt;'Qualifying Scores'!C$13,AF83,0)),MAX(IF(OR(AND(G83="15-16",W83&gt;='Qualifying Scores'!C$12),AND(G83="13-14",W83&gt;='Qualifying Scores'!C$11),AND(G83="11-12",W83&gt;='Qualifying Scores'!C$10)),X83,0),IF(OR(AND(G83="15-16",AD83&gt;='Qualifying Scores'!C$12),AND(G83="13-14",AD83&gt;='Qualifying Scores'!C$11),AND(G83="11-12",AD83&gt;='Qualifying Scores'!C$10)),AE83,0))))</f>
        <v>82.59</v>
      </c>
      <c r="S83" s="4">
        <f>IF(G83="17-21",MAX(T83,V83,Y83,AA83,AC83,AF83),MAX(X83,AE83))</f>
        <v>86.57</v>
      </c>
      <c r="T83" s="33">
        <v>40.15</v>
      </c>
      <c r="U83" s="40">
        <v>0</v>
      </c>
      <c r="V83" s="34">
        <v>46.42</v>
      </c>
      <c r="W83" s="40">
        <v>8.1999999999999993</v>
      </c>
      <c r="X83" s="4">
        <f>IF(H83="Senior",MAX(T83,V83),T83+V83)</f>
        <v>86.57</v>
      </c>
      <c r="Y83" s="34">
        <v>46.25</v>
      </c>
      <c r="Z83" s="40">
        <v>8.1999999999999993</v>
      </c>
      <c r="AA83" s="33">
        <v>38.19</v>
      </c>
      <c r="AB83" s="40">
        <v>0</v>
      </c>
      <c r="AC83" s="34">
        <v>44.4</v>
      </c>
      <c r="AD83" s="40">
        <v>8.9</v>
      </c>
      <c r="AE83" s="4">
        <f>IF(H83="Senior",MAX(AA83,AC83),AA83+AC83)</f>
        <v>82.59</v>
      </c>
      <c r="AF83" s="34"/>
      <c r="AG83" s="37"/>
    </row>
    <row r="84" spans="1:33" x14ac:dyDescent="0.2">
      <c r="A84" s="1" t="str" cm="1">
        <f t="array" ref="A84">IF(I84="","",IF(P84&lt;&gt;"",SUMPRODUCT((P$3:P$128&lt;&gt;"")*(G$3:G$128=G84)*(J$3:J$128&gt;J84)*(I$3:I$128="P"))+1,IF(O84&lt;&gt;"",SUMPRODUCT((O$3:O$128&lt;&gt;"")*(P$3:P$128="")*(G$3:G$128=G84)*(J$3:J$128&gt;J84)*(I$3:I$128="P"))+SUMPRODUCT((P$3:P$128&lt;&gt;"")*(G$3:G$128=G84)*(I$3:I$128="P"))+1,IF(N84&lt;&gt;"",SUMPRODUCT((N$3:N$128&lt;&gt;"")*(G$3:G$128=G84)*(J$3:J$128&gt;J84)*(I$3:I$128="P"))+1,IF(M84="P",SUMPRODUCT((O$3:O$128&lt;&gt;"")*(P$3:P$128="")*(G$3:G$128=G84)*(I$3:I$128="P"))+SUMPRODUCT((P$3:P$128&lt;&gt;"")*(G$3:G$128=G84)*(I$3:I$128="P"))+SUMPRODUCT((N$3:N$128&lt;&gt;"")*(G$3:G$128=G84)*(I$3:I$128="P"))+SUMPRODUCT((P$3:P$128="")*(O$3:O$128="")*(N$3:N$128="")*(M$3:M$128="P")*(G$3:G$128=G84)*(J$3:J$128&gt;J84)*(I$3:I$128="P"))+IF(H84="L5",SUMPRODUCT((P$3:P$128="")*(O$3:O$128="")*(N$3:N$128="")*(M$3:M$128="P")*(G$3:G$128=G84)*(J$3:J$128&lt;J84)*(H$3:H$128&lt;&gt;H84)*(I$3:I$128="P")),-1*SUMPRODUCT((P$3:P$128="")*(O$3:O$128="")*(N$3:N$128="")*(M$3:M$128="P")*(G$3:G$128=G84)*(J$3:J$128&gt;J84)*(H$3:H$128="L5")*(I$3:I$128="P")))+1,"")))))</f>
        <v/>
      </c>
      <c r="B84" s="1" t="str" cm="1">
        <f t="array" ref="B84">IF(P84&lt;&gt;"",SUMPRODUCT((P$3:P$128&lt;&gt;"")*(G$3:G$128=G84)*(J$3:J$128&gt;J84))+1,IF(O84&lt;&gt;"",SUMPRODUCT((O$3:O$128&lt;&gt;"")*(P$3:P$128="")*(G$3:G$128=G84)*(J$3:J$128&gt;J84))+SUMPRODUCT((P$3:P$128&lt;&gt;"")*(G$3:G$128=G84))+1,IF(N84&lt;&gt;"",SUMPRODUCT((N$3:N$128&lt;&gt;"")*(G$3:G$128=G84)*(J$3:J$128&gt;J84))+1,IF(M84="P",SUMPRODUCT((O$3:O$128&lt;&gt;"")*(P$3:P$128="")*(G$3:G$128=G84))+SUMPRODUCT((P$3:P$128&lt;&gt;"")*(G$3:G$128=G84))+SUMPRODUCT((N$3:N$128&lt;&gt;"")*(G$3:G$128=G84))+SUMPRODUCT((P$3:P$128="")*(O$3:O$128="")*(N$3:N$128="")*(M$3:M$128="P")*(G$3:G$128=G84)*(J$3:J$128&gt;J84))+IF(H84="L5",SUMPRODUCT((P$3:P$128="")*(O$3:O$128="")*(N$3:N$128="")*(M$3:M$128="P")*(G$3:G$128=G84)*(J$3:J$128&lt;J84)*(H$3:H$128&lt;&gt;H84)),-1*SUMPRODUCT((P$3:P$128="")*(O$3:O$128="")*(N$3:N$128="")*(M$3:M$128="P")*(G$3:G$128=G84)*(J$3:J$128&gt;J84)*(H$3:H$128="L5")))+1,""))))</f>
        <v/>
      </c>
      <c r="C84" s="36" t="s">
        <v>249</v>
      </c>
      <c r="D84" s="36" t="str">
        <f>IF(E84="","",VLOOKUP(E84,'Coaching Points'!A:B,2,0))</f>
        <v>BC</v>
      </c>
      <c r="E84" s="36" t="s">
        <v>47</v>
      </c>
      <c r="F84" s="35">
        <v>2006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81.64000816399998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Scores'!C$13,T84,0),IF(W84&gt;='Qualifying Scores'!C$13,V84,0),IF(Z84&gt;='Qualifying Scores'!C$13,Y84,0),IF(AB84&gt;='Qualifying Scores'!C$13,AA84,0),IF(AD84&gt;'Qualifying Scores'!C$13,AC84,0),IF(AG84&gt;'Qualifying Scores'!C$13,AF84,0)),MAX(IF(OR(AND(G84="15-16",W84&gt;='Qualifying Scores'!C$12),AND(G84="13-14",W84&gt;='Qualifying Scores'!C$11),AND(G84="11-12",W84&gt;='Qualifying Scores'!C$10)),X84,0),IF(OR(AND(G84="15-16",AD84&gt;='Qualifying Scores'!C$12),AND(G84="13-14",AD84&gt;='Qualifying Scores'!C$11),AND(G84="11-12",AD84&gt;='Qualifying Scores'!C$10)),AE84,0))))</f>
        <v>81.639999999999986</v>
      </c>
      <c r="S84" s="4">
        <f>IF(G84="17-21",MAX(T84,V84,Y84,AA84,AC84,AF84),MAX(X84,AE84))</f>
        <v>81.639999999999986</v>
      </c>
      <c r="T84" s="33">
        <v>38.47</v>
      </c>
      <c r="U84" s="40">
        <v>0</v>
      </c>
      <c r="V84" s="34">
        <v>41.72</v>
      </c>
      <c r="W84" s="40">
        <v>8.9</v>
      </c>
      <c r="X84" s="4">
        <f>IF(H84="Senior",MAX(T84,V84),T84+V84)</f>
        <v>80.19</v>
      </c>
      <c r="Y84" s="34">
        <v>0</v>
      </c>
      <c r="Z84" s="40">
        <v>0</v>
      </c>
      <c r="AA84" s="33">
        <v>36.979999999999997</v>
      </c>
      <c r="AB84" s="40">
        <v>0</v>
      </c>
      <c r="AC84" s="34">
        <v>44.66</v>
      </c>
      <c r="AD84" s="40">
        <v>9.1</v>
      </c>
      <c r="AE84" s="4">
        <f>IF(H84="Senior",MAX(AA84,AC84),AA84+AC84)</f>
        <v>81.639999999999986</v>
      </c>
      <c r="AF84" s="34"/>
      <c r="AG84" s="37"/>
    </row>
    <row r="85" spans="1:33" x14ac:dyDescent="0.2">
      <c r="A85" s="1" t="str" cm="1">
        <f t="array" ref="A85">IF(I85="","",IF(P85&lt;&gt;"",SUMPRODUCT((P$3:P$128&lt;&gt;"")*(G$3:G$128=G85)*(J$3:J$128&gt;J85)*(I$3:I$128="P"))+1,IF(O85&lt;&gt;"",SUMPRODUCT((O$3:O$128&lt;&gt;"")*(P$3:P$128="")*(G$3:G$128=G85)*(J$3:J$128&gt;J85)*(I$3:I$128="P"))+SUMPRODUCT((P$3:P$128&lt;&gt;"")*(G$3:G$128=G85)*(I$3:I$128="P"))+1,IF(N85&lt;&gt;"",SUMPRODUCT((N$3:N$128&lt;&gt;"")*(G$3:G$128=G85)*(J$3:J$128&gt;J85)*(I$3:I$128="P"))+1,IF(M85="P",SUMPRODUCT((O$3:O$128&lt;&gt;"")*(P$3:P$128="")*(G$3:G$128=G85)*(I$3:I$128="P"))+SUMPRODUCT((P$3:P$128&lt;&gt;"")*(G$3:G$128=G85)*(I$3:I$128="P"))+SUMPRODUCT((N$3:N$128&lt;&gt;"")*(G$3:G$128=G85)*(I$3:I$128="P"))+SUMPRODUCT((P$3:P$128="")*(O$3:O$128="")*(N$3:N$128="")*(M$3:M$128="P")*(G$3:G$128=G85)*(J$3:J$128&gt;J85)*(I$3:I$128="P"))+IF(H85="L5",SUMPRODUCT((P$3:P$128="")*(O$3:O$128="")*(N$3:N$128="")*(M$3:M$128="P")*(G$3:G$128=G85)*(J$3:J$128&lt;J85)*(H$3:H$128&lt;&gt;H85)*(I$3:I$128="P")),-1*SUMPRODUCT((P$3:P$128="")*(O$3:O$128="")*(N$3:N$128="")*(M$3:M$128="P")*(G$3:G$128=G85)*(J$3:J$128&gt;J85)*(H$3:H$128="L5")*(I$3:I$128="P")))+1,"")))))</f>
        <v/>
      </c>
      <c r="B85" s="1" t="str" cm="1">
        <f t="array" ref="B85">IF(P85&lt;&gt;"",SUMPRODUCT((P$3:P$128&lt;&gt;"")*(G$3:G$128=G85)*(J$3:J$128&gt;J85))+1,IF(O85&lt;&gt;"",SUMPRODUCT((O$3:O$128&lt;&gt;"")*(P$3:P$128="")*(G$3:G$128=G85)*(J$3:J$128&gt;J85))+SUMPRODUCT((P$3:P$128&lt;&gt;"")*(G$3:G$128=G85))+1,IF(N85&lt;&gt;"",SUMPRODUCT((N$3:N$128&lt;&gt;"")*(G$3:G$128=G85)*(J$3:J$128&gt;J85))+1,IF(M85="P",SUMPRODUCT((O$3:O$128&lt;&gt;"")*(P$3:P$128="")*(G$3:G$128=G85))+SUMPRODUCT((P$3:P$128&lt;&gt;"")*(G$3:G$128=G85))+SUMPRODUCT((N$3:N$128&lt;&gt;"")*(G$3:G$128=G85))+SUMPRODUCT((P$3:P$128="")*(O$3:O$128="")*(N$3:N$128="")*(M$3:M$128="P")*(G$3:G$128=G85)*(J$3:J$128&gt;J85))+IF(H85="L5",SUMPRODUCT((P$3:P$128="")*(O$3:O$128="")*(N$3:N$128="")*(M$3:M$128="P")*(G$3:G$128=G85)*(J$3:J$128&lt;J85)*(H$3:H$128&lt;&gt;H85)),-1*SUMPRODUCT((P$3:P$128="")*(O$3:O$128="")*(N$3:N$128="")*(M$3:M$128="P")*(G$3:G$128=G85)*(J$3:J$128&gt;J85)*(H$3:H$128="L5")))+1,""))))</f>
        <v/>
      </c>
      <c r="C85" s="36" t="s">
        <v>281</v>
      </c>
      <c r="D85" s="36" t="str">
        <f>IF(E85="","",VLOOKUP(E85,'Coaching Points'!A:B,2,0))</f>
        <v>SK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116</v>
      </c>
      <c r="I85" s="45"/>
      <c r="J85" s="4">
        <f>R85+IF(OR(H85="Junior",H85="Senior"),0.0002,IF(OR(H85="L7",H85="L6"),0.0001,0))+IF(G85="17-21",MAX(AA85,AC85,AF85),AE85)*0.0000001</f>
        <v>79.400106173000012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Scores'!C$13,T85,0),IF(W85&gt;='Qualifying Scores'!C$13,V85,0),IF(Z85&gt;='Qualifying Scores'!C$13,Y85,0),IF(AB85&gt;='Qualifying Scores'!C$13,AA85,0),IF(AD85&gt;'Qualifying Scores'!C$13,AC85,0),IF(AG85&gt;'Qualifying Scores'!C$13,AF85,0)),MAX(IF(OR(AND(G85="15-16",W85&gt;='Qualifying Scores'!C$12),AND(G85="13-14",W85&gt;='Qualifying Scores'!C$11),AND(G85="11-12",W85&gt;='Qualifying Scores'!C$10)),X85,0),IF(OR(AND(G85="15-16",AD85&gt;='Qualifying Scores'!C$12),AND(G85="13-14",AD85&gt;='Qualifying Scores'!C$11),AND(G85="11-12",AD85&gt;='Qualifying Scores'!C$10)),AE85,0))))</f>
        <v>79.400000000000006</v>
      </c>
      <c r="S85" s="4">
        <f>IF(G85="17-21",MAX(T85,V85,Y85,AA85,AC85,AF85),MAX(X85,AE85))</f>
        <v>79.400000000000006</v>
      </c>
      <c r="T85" s="33">
        <v>35.869999999999997</v>
      </c>
      <c r="U85" s="40">
        <v>0</v>
      </c>
      <c r="V85" s="34">
        <v>43.53</v>
      </c>
      <c r="W85" s="40">
        <v>8.7999999999999989</v>
      </c>
      <c r="X85" s="4">
        <f>IF(H85="Senior",MAX(T85,V85),T85+V85)</f>
        <v>79.400000000000006</v>
      </c>
      <c r="Y85" s="34">
        <v>44.28</v>
      </c>
      <c r="Z85" s="40">
        <v>8.7999999999999989</v>
      </c>
      <c r="AA85" s="33">
        <v>39.03</v>
      </c>
      <c r="AB85" s="40">
        <v>0</v>
      </c>
      <c r="AC85" s="34">
        <v>22.7</v>
      </c>
      <c r="AD85" s="40">
        <v>5.2</v>
      </c>
      <c r="AE85" s="4">
        <f>IF(H85="Senior",MAX(AA85,AC85),AA85+AC85)</f>
        <v>61.730000000000004</v>
      </c>
      <c r="AF85" s="34">
        <v>44.66</v>
      </c>
      <c r="AG85" s="37">
        <v>8.1999999999999993</v>
      </c>
    </row>
    <row r="86" spans="1:33" x14ac:dyDescent="0.2">
      <c r="A86" s="1" t="str" cm="1">
        <f t="array" ref="A86">IF(I86="","",IF(P86&lt;&gt;"",SUMPRODUCT((P$3:P$128&lt;&gt;"")*(G$3:G$128=G86)*(J$3:J$128&gt;J86)*(I$3:I$128="P"))+1,IF(O86&lt;&gt;"",SUMPRODUCT((O$3:O$128&lt;&gt;"")*(P$3:P$128="")*(G$3:G$128=G86)*(J$3:J$128&gt;J86)*(I$3:I$128="P"))+SUMPRODUCT((P$3:P$128&lt;&gt;"")*(G$3:G$128=G86)*(I$3:I$128="P"))+1,IF(N86&lt;&gt;"",SUMPRODUCT((N$3:N$128&lt;&gt;"")*(G$3:G$128=G86)*(J$3:J$128&gt;J86)*(I$3:I$128="P"))+1,IF(M86="P",SUMPRODUCT((O$3:O$128&lt;&gt;"")*(P$3:P$128="")*(G$3:G$128=G86)*(I$3:I$128="P"))+SUMPRODUCT((P$3:P$128&lt;&gt;"")*(G$3:G$128=G86)*(I$3:I$128="P"))+SUMPRODUCT((N$3:N$128&lt;&gt;"")*(G$3:G$128=G86)*(I$3:I$128="P"))+SUMPRODUCT((P$3:P$128="")*(O$3:O$128="")*(N$3:N$128="")*(M$3:M$128="P")*(G$3:G$128=G86)*(J$3:J$128&gt;J86)*(I$3:I$128="P"))+IF(H86="L5",SUMPRODUCT((P$3:P$128="")*(O$3:O$128="")*(N$3:N$128="")*(M$3:M$128="P")*(G$3:G$128=G86)*(J$3:J$128&lt;J86)*(H$3:H$128&lt;&gt;H86)*(I$3:I$128="P")),-1*SUMPRODUCT((P$3:P$128="")*(O$3:O$128="")*(N$3:N$128="")*(M$3:M$128="P")*(G$3:G$128=G86)*(J$3:J$128&gt;J86)*(H$3:H$128="L5")*(I$3:I$128="P")))+1,"")))))</f>
        <v/>
      </c>
      <c r="B86" s="1" t="str" cm="1">
        <f t="array" ref="B86">IF(P86&lt;&gt;"",SUMPRODUCT((P$3:P$128&lt;&gt;"")*(G$3:G$128=G86)*(J$3:J$128&gt;J86))+1,IF(O86&lt;&gt;"",SUMPRODUCT((O$3:O$128&lt;&gt;"")*(P$3:P$128="")*(G$3:G$128=G86)*(J$3:J$128&gt;J86))+SUMPRODUCT((P$3:P$128&lt;&gt;"")*(G$3:G$128=G86))+1,IF(N86&lt;&gt;"",SUMPRODUCT((N$3:N$128&lt;&gt;"")*(G$3:G$128=G86)*(J$3:J$128&gt;J86))+1,IF(M86="P",SUMPRODUCT((O$3:O$128&lt;&gt;"")*(P$3:P$128="")*(G$3:G$128=G86))+SUMPRODUCT((P$3:P$128&lt;&gt;"")*(G$3:G$128=G86))+SUMPRODUCT((N$3:N$128&lt;&gt;"")*(G$3:G$128=G86))+SUMPRODUCT((P$3:P$128="")*(O$3:O$128="")*(N$3:N$128="")*(M$3:M$128="P")*(G$3:G$128=G86)*(J$3:J$128&gt;J86))+IF(H86="L5",SUMPRODUCT((P$3:P$128="")*(O$3:O$128="")*(N$3:N$128="")*(M$3:M$128="P")*(G$3:G$128=G86)*(J$3:J$128&lt;J86)*(H$3:H$128&lt;&gt;H86)),-1*SUMPRODUCT((P$3:P$128="")*(O$3:O$128="")*(N$3:N$128="")*(M$3:M$128="P")*(G$3:G$128=G86)*(J$3:J$128&gt;J86)*(H$3:H$128="L5")))+1,""))))</f>
        <v/>
      </c>
      <c r="C86" s="36" t="s">
        <v>280</v>
      </c>
      <c r="D86" s="36" t="str">
        <f>IF(E86="","",VLOOKUP(E86,'Coaching Points'!A:B,2,0))</f>
        <v>ON</v>
      </c>
      <c r="E86" s="36" t="s">
        <v>224</v>
      </c>
      <c r="F86" s="35">
        <v>2006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116</v>
      </c>
      <c r="I86" s="45"/>
      <c r="J86" s="4">
        <f>R86+IF(OR(H86="Junior",H86="Senior"),0.0002,IF(OR(H86="L7",H86="L6"),0.0001,0))+IF(G86="17-21",MAX(AA86,AC86,AF86),AE86)*0.0000001</f>
        <v>1.0452600000000001E-4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Scores'!C$13,T86,0),IF(W86&gt;='Qualifying Scores'!C$13,V86,0),IF(Z86&gt;='Qualifying Scores'!C$13,Y86,0),IF(AB86&gt;='Qualifying Scores'!C$13,AA86,0),IF(AD86&gt;'Qualifying Scores'!C$13,AC86,0),IF(AG86&gt;'Qualifying Scores'!C$13,AF86,0)),MAX(IF(OR(AND(G86="15-16",W86&gt;='Qualifying Scores'!C$12),AND(G86="13-14",W86&gt;='Qualifying Scores'!C$11),AND(G86="11-12",W86&gt;='Qualifying Scores'!C$10)),X86,0),IF(OR(AND(G86="15-16",AD86&gt;='Qualifying Scores'!C$12),AND(G86="13-14",AD86&gt;='Qualifying Scores'!C$11),AND(G86="11-12",AD86&gt;='Qualifying Scores'!C$10)),AE86,0))))</f>
        <v>0</v>
      </c>
      <c r="S86" s="4">
        <f>IF(G86="17-21",MAX(T86,V86,Y86,AA86,AC86,AF86),MAX(X86,AE86))</f>
        <v>86.610000000000014</v>
      </c>
      <c r="T86" s="33">
        <v>40.79</v>
      </c>
      <c r="U86" s="40">
        <v>0</v>
      </c>
      <c r="V86" s="34">
        <v>45.820000000000007</v>
      </c>
      <c r="W86" s="40">
        <v>8.1999999999999993</v>
      </c>
      <c r="X86" s="4">
        <f>IF(H86="Senior",MAX(T86,V86),T86+V86)</f>
        <v>86.610000000000014</v>
      </c>
      <c r="Y86" s="34">
        <v>44.89</v>
      </c>
      <c r="Z86" s="40">
        <v>8.1999999999999993</v>
      </c>
      <c r="AA86" s="33">
        <v>40.299999999999997</v>
      </c>
      <c r="AB86" s="40">
        <v>0</v>
      </c>
      <c r="AC86" s="34">
        <v>4.96</v>
      </c>
      <c r="AD86" s="40">
        <v>1.3</v>
      </c>
      <c r="AE86" s="4">
        <f>IF(H86="Senior",MAX(AA86,AC86),AA86+AC86)</f>
        <v>45.26</v>
      </c>
      <c r="AF86" s="34"/>
      <c r="AG86" s="37"/>
    </row>
    <row r="87" spans="1:33" x14ac:dyDescent="0.2">
      <c r="A87" s="1" t="str" cm="1">
        <f t="array" ref="A87">IF(I87="","",IF(P87&lt;&gt;"",SUMPRODUCT((P$3:P$128&lt;&gt;"")*(G$3:G$128=G87)*(J$3:J$128&gt;J87)*(I$3:I$128="P"))+1,IF(O87&lt;&gt;"",SUMPRODUCT((O$3:O$128&lt;&gt;"")*(P$3:P$128="")*(G$3:G$128=G87)*(J$3:J$128&gt;J87)*(I$3:I$128="P"))+SUMPRODUCT((P$3:P$128&lt;&gt;"")*(G$3:G$128=G87)*(I$3:I$128="P"))+1,IF(N87&lt;&gt;"",SUMPRODUCT((N$3:N$128&lt;&gt;"")*(G$3:G$128=G87)*(J$3:J$128&gt;J87)*(I$3:I$128="P"))+1,IF(M87="P",SUMPRODUCT((O$3:O$128&lt;&gt;"")*(P$3:P$128="")*(G$3:G$128=G87)*(I$3:I$128="P"))+SUMPRODUCT((P$3:P$128&lt;&gt;"")*(G$3:G$128=G87)*(I$3:I$128="P"))+SUMPRODUCT((N$3:N$128&lt;&gt;"")*(G$3:G$128=G87)*(I$3:I$128="P"))+SUMPRODUCT((P$3:P$128="")*(O$3:O$128="")*(N$3:N$128="")*(M$3:M$128="P")*(G$3:G$128=G87)*(J$3:J$128&gt;J87)*(I$3:I$128="P"))+IF(H87="L5",SUMPRODUCT((P$3:P$128="")*(O$3:O$128="")*(N$3:N$128="")*(M$3:M$128="P")*(G$3:G$128=G87)*(J$3:J$128&lt;J87)*(H$3:H$128&lt;&gt;H87)*(I$3:I$128="P")),-1*SUMPRODUCT((P$3:P$128="")*(O$3:O$128="")*(N$3:N$128="")*(M$3:M$128="P")*(G$3:G$128=G87)*(J$3:J$128&gt;J87)*(H$3:H$128="L5")*(I$3:I$128="P")))+1,"")))))</f>
        <v/>
      </c>
      <c r="B87" s="1" t="str" cm="1">
        <f t="array" ref="B87">IF(P87&lt;&gt;"",SUMPRODUCT((P$3:P$128&lt;&gt;"")*(G$3:G$128=G87)*(J$3:J$128&gt;J87))+1,IF(O87&lt;&gt;"",SUMPRODUCT((O$3:O$128&lt;&gt;"")*(P$3:P$128="")*(G$3:G$128=G87)*(J$3:J$128&gt;J87))+SUMPRODUCT((P$3:P$128&lt;&gt;"")*(G$3:G$128=G87))+1,IF(N87&lt;&gt;"",SUMPRODUCT((N$3:N$128&lt;&gt;"")*(G$3:G$128=G87)*(J$3:J$128&gt;J87))+1,IF(M87="P",SUMPRODUCT((O$3:O$128&lt;&gt;"")*(P$3:P$128="")*(G$3:G$128=G87))+SUMPRODUCT((P$3:P$128&lt;&gt;"")*(G$3:G$128=G87))+SUMPRODUCT((N$3:N$128&lt;&gt;"")*(G$3:G$128=G87))+SUMPRODUCT((P$3:P$128="")*(O$3:O$128="")*(N$3:N$128="")*(M$3:M$128="P")*(G$3:G$128=G87)*(J$3:J$128&gt;J87))+IF(H87="L5",SUMPRODUCT((P$3:P$128="")*(O$3:O$128="")*(N$3:N$128="")*(M$3:M$128="P")*(G$3:G$128=G87)*(J$3:J$128&lt;J87)*(H$3:H$128&lt;&gt;H87)),-1*SUMPRODUCT((P$3:P$128="")*(O$3:O$128="")*(N$3:N$128="")*(M$3:M$128="P")*(G$3:G$128=G87)*(J$3:J$128&gt;J87)*(H$3:H$128="L5")))+1,""))))</f>
        <v/>
      </c>
      <c r="C87" s="36" t="s">
        <v>237</v>
      </c>
      <c r="D87" s="36" t="str">
        <f>IF(E87="","",VLOOKUP(E87,'Coaching Points'!A:B,2,0))</f>
        <v>QC</v>
      </c>
      <c r="E87" s="36" t="s">
        <v>62</v>
      </c>
      <c r="F87" s="35">
        <v>2006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8.7029999999999995E-6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Scores'!C$13,T87,0),IF(W87&gt;='Qualifying Scores'!C$13,V87,0),IF(Z87&gt;='Qualifying Scores'!C$13,Y87,0),IF(AB87&gt;='Qualifying Scores'!C$13,AA87,0),IF(AD87&gt;'Qualifying Scores'!C$13,AC87,0),IF(AG87&gt;'Qualifying Scores'!C$13,AF87,0)),MAX(IF(OR(AND(G87="15-16",W87&gt;='Qualifying Scores'!C$12),AND(G87="13-14",W87&gt;='Qualifying Scores'!C$11),AND(G87="11-12",W87&gt;='Qualifying Scores'!C$10)),X87,0),IF(OR(AND(G87="15-16",AD87&gt;='Qualifying Scores'!C$12),AND(G87="13-14",AD87&gt;='Qualifying Scores'!C$11),AND(G87="11-12",AD87&gt;='Qualifying Scores'!C$10)),AE87,0))))</f>
        <v>0</v>
      </c>
      <c r="S87" s="4">
        <f>IF(G87="17-21",MAX(T87,V87,Y87,AA87,AC87,AF87),MAX(X87,AE87))</f>
        <v>87.03</v>
      </c>
      <c r="T87" s="33">
        <v>40.19</v>
      </c>
      <c r="U87" s="40">
        <v>0</v>
      </c>
      <c r="V87" s="34">
        <v>45.91</v>
      </c>
      <c r="W87" s="40">
        <v>7.7</v>
      </c>
      <c r="X87" s="4">
        <f>IF(H87="Senior",MAX(T87,V87),T87+V87)</f>
        <v>86.1</v>
      </c>
      <c r="Y87" s="34">
        <v>45.79</v>
      </c>
      <c r="Z87" s="40">
        <v>7.7</v>
      </c>
      <c r="AA87" s="33">
        <v>41.21</v>
      </c>
      <c r="AB87" s="40">
        <v>0</v>
      </c>
      <c r="AC87" s="34">
        <v>45.82</v>
      </c>
      <c r="AD87" s="40">
        <v>8.1</v>
      </c>
      <c r="AE87" s="4">
        <f>IF(H87="Senior",MAX(AA87,AC87),AA87+AC87)</f>
        <v>87.03</v>
      </c>
      <c r="AF87" s="34">
        <v>46.47</v>
      </c>
      <c r="AG87" s="37">
        <v>8.1</v>
      </c>
    </row>
    <row r="88" spans="1:33" x14ac:dyDescent="0.2">
      <c r="A88" s="1" t="str" cm="1">
        <f t="array" ref="A88">IF(I88="","",IF(P88&lt;&gt;"",SUMPRODUCT((P$3:P$128&lt;&gt;"")*(G$3:G$128=G88)*(J$3:J$128&gt;J88)*(I$3:I$128="P"))+1,IF(O88&lt;&gt;"",SUMPRODUCT((O$3:O$128&lt;&gt;"")*(P$3:P$128="")*(G$3:G$128=G88)*(J$3:J$128&gt;J88)*(I$3:I$128="P"))+SUMPRODUCT((P$3:P$128&lt;&gt;"")*(G$3:G$128=G88)*(I$3:I$128="P"))+1,IF(N88&lt;&gt;"",SUMPRODUCT((N$3:N$128&lt;&gt;"")*(G$3:G$128=G88)*(J$3:J$128&gt;J88)*(I$3:I$128="P"))+1,IF(M88="P",SUMPRODUCT((O$3:O$128&lt;&gt;"")*(P$3:P$128="")*(G$3:G$128=G88)*(I$3:I$128="P"))+SUMPRODUCT((P$3:P$128&lt;&gt;"")*(G$3:G$128=G88)*(I$3:I$128="P"))+SUMPRODUCT((N$3:N$128&lt;&gt;"")*(G$3:G$128=G88)*(I$3:I$128="P"))+SUMPRODUCT((P$3:P$128="")*(O$3:O$128="")*(N$3:N$128="")*(M$3:M$128="P")*(G$3:G$128=G88)*(J$3:J$128&gt;J88)*(I$3:I$128="P"))+IF(H88="L5",SUMPRODUCT((P$3:P$128="")*(O$3:O$128="")*(N$3:N$128="")*(M$3:M$128="P")*(G$3:G$128=G88)*(J$3:J$128&lt;J88)*(H$3:H$128&lt;&gt;H88)*(I$3:I$128="P")),-1*SUMPRODUCT((P$3:P$128="")*(O$3:O$128="")*(N$3:N$128="")*(M$3:M$128="P")*(G$3:G$128=G88)*(J$3:J$128&gt;J88)*(H$3:H$128="L5")*(I$3:I$128="P")))+1,"")))))</f>
        <v/>
      </c>
      <c r="B88" s="1" t="str" cm="1">
        <f t="array" ref="B88">IF(P88&lt;&gt;"",SUMPRODUCT((P$3:P$128&lt;&gt;"")*(G$3:G$128=G88)*(J$3:J$128&gt;J88))+1,IF(O88&lt;&gt;"",SUMPRODUCT((O$3:O$128&lt;&gt;"")*(P$3:P$128="")*(G$3:G$128=G88)*(J$3:J$128&gt;J88))+SUMPRODUCT((P$3:P$128&lt;&gt;"")*(G$3:G$128=G88))+1,IF(N88&lt;&gt;"",SUMPRODUCT((N$3:N$128&lt;&gt;"")*(G$3:G$128=G88)*(J$3:J$128&gt;J88))+1,IF(M88="P",SUMPRODUCT((O$3:O$128&lt;&gt;"")*(P$3:P$128="")*(G$3:G$128=G88))+SUMPRODUCT((P$3:P$128&lt;&gt;"")*(G$3:G$128=G88))+SUMPRODUCT((N$3:N$128&lt;&gt;"")*(G$3:G$128=G88))+SUMPRODUCT((P$3:P$128="")*(O$3:O$128="")*(N$3:N$128="")*(M$3:M$128="P")*(G$3:G$128=G88)*(J$3:J$128&gt;J88))+IF(H88="L5",SUMPRODUCT((P$3:P$128="")*(O$3:O$128="")*(N$3:N$128="")*(M$3:M$128="P")*(G$3:G$128=G88)*(J$3:J$128&lt;J88)*(H$3:H$128&lt;&gt;H88)),-1*SUMPRODUCT((P$3:P$128="")*(O$3:O$128="")*(N$3:N$128="")*(M$3:M$128="P")*(G$3:G$128=G88)*(J$3:J$128&gt;J88)*(H$3:H$128="L5")))+1,""))))</f>
        <v/>
      </c>
      <c r="C88" s="36" t="s">
        <v>431</v>
      </c>
      <c r="D88" s="36" t="str">
        <f>IF(E88="","",VLOOKUP(E88,'Coaching Points'!A:B,2,0))</f>
        <v>ON</v>
      </c>
      <c r="E88" s="36" t="s">
        <v>38</v>
      </c>
      <c r="F88" s="35">
        <v>2006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8.6379999999999993E-6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Scores'!C$13,T88,0),IF(W88&gt;='Qualifying Scores'!C$13,V88,0),IF(Z88&gt;='Qualifying Scores'!C$13,Y88,0),IF(AB88&gt;='Qualifying Scores'!C$13,AA88,0),IF(AD88&gt;'Qualifying Scores'!C$13,AC88,0),IF(AG88&gt;'Qualifying Scores'!C$13,AF88,0)),MAX(IF(OR(AND(G88="15-16",W88&gt;='Qualifying Scores'!C$12),AND(G88="13-14",W88&gt;='Qualifying Scores'!C$11),AND(G88="11-12",W88&gt;='Qualifying Scores'!C$10)),X88,0),IF(OR(AND(G88="15-16",AD88&gt;='Qualifying Scores'!C$12),AND(G88="13-14",AD88&gt;='Qualifying Scores'!C$11),AND(G88="11-12",AD88&gt;='Qualifying Scores'!C$10)),AE88,0))))</f>
        <v>0</v>
      </c>
      <c r="S88" s="4">
        <f>IF(G88="17-21",MAX(T88,V88,Y88,AA88,AC88,AF88),MAX(X88,AE88))</f>
        <v>86.38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39.700000000000003</v>
      </c>
      <c r="AB88" s="40">
        <v>0</v>
      </c>
      <c r="AC88" s="34">
        <v>46.68</v>
      </c>
      <c r="AD88" s="40">
        <v>7.4</v>
      </c>
      <c r="AE88" s="4">
        <f>IF(H88="Senior",MAX(AA88,AC88),AA88+AC88)</f>
        <v>86.38</v>
      </c>
      <c r="AF88" s="34">
        <v>48.35</v>
      </c>
      <c r="AG88" s="37">
        <v>7.4</v>
      </c>
    </row>
    <row r="89" spans="1:33" x14ac:dyDescent="0.2">
      <c r="A89" s="1" t="str" cm="1">
        <f t="array" ref="A89">IF(I89="","",IF(P89&lt;&gt;"",SUMPRODUCT((P$3:P$128&lt;&gt;"")*(G$3:G$128=G89)*(J$3:J$128&gt;J89)*(I$3:I$128="P"))+1,IF(O89&lt;&gt;"",SUMPRODUCT((O$3:O$128&lt;&gt;"")*(P$3:P$128="")*(G$3:G$128=G89)*(J$3:J$128&gt;J89)*(I$3:I$128="P"))+SUMPRODUCT((P$3:P$128&lt;&gt;"")*(G$3:G$128=G89)*(I$3:I$128="P"))+1,IF(N89&lt;&gt;"",SUMPRODUCT((N$3:N$128&lt;&gt;"")*(G$3:G$128=G89)*(J$3:J$128&gt;J89)*(I$3:I$128="P"))+1,IF(M89="P",SUMPRODUCT((O$3:O$128&lt;&gt;"")*(P$3:P$128="")*(G$3:G$128=G89)*(I$3:I$128="P"))+SUMPRODUCT((P$3:P$128&lt;&gt;"")*(G$3:G$128=G89)*(I$3:I$128="P"))+SUMPRODUCT((N$3:N$128&lt;&gt;"")*(G$3:G$128=G89)*(I$3:I$128="P"))+SUMPRODUCT((P$3:P$128="")*(O$3:O$128="")*(N$3:N$128="")*(M$3:M$128="P")*(G$3:G$128=G89)*(J$3:J$128&gt;J89)*(I$3:I$128="P"))+IF(H89="L5",SUMPRODUCT((P$3:P$128="")*(O$3:O$128="")*(N$3:N$128="")*(M$3:M$128="P")*(G$3:G$128=G89)*(J$3:J$128&lt;J89)*(H$3:H$128&lt;&gt;H89)*(I$3:I$128="P")),-1*SUMPRODUCT((P$3:P$128="")*(O$3:O$128="")*(N$3:N$128="")*(M$3:M$128="P")*(G$3:G$128=G89)*(J$3:J$128&gt;J89)*(H$3:H$128="L5")*(I$3:I$128="P")))+1,"")))))</f>
        <v/>
      </c>
      <c r="B89" s="1" t="str" cm="1">
        <f t="array" ref="B89">IF(P89&lt;&gt;"",SUMPRODUCT((P$3:P$128&lt;&gt;"")*(G$3:G$128=G89)*(J$3:J$128&gt;J89))+1,IF(O89&lt;&gt;"",SUMPRODUCT((O$3:O$128&lt;&gt;"")*(P$3:P$128="")*(G$3:G$128=G89)*(J$3:J$128&gt;J89))+SUMPRODUCT((P$3:P$128&lt;&gt;"")*(G$3:G$128=G89))+1,IF(N89&lt;&gt;"",SUMPRODUCT((N$3:N$128&lt;&gt;"")*(G$3:G$128=G89)*(J$3:J$128&gt;J89))+1,IF(M89="P",SUMPRODUCT((O$3:O$128&lt;&gt;"")*(P$3:P$128="")*(G$3:G$128=G89))+SUMPRODUCT((P$3:P$128&lt;&gt;"")*(G$3:G$128=G89))+SUMPRODUCT((N$3:N$128&lt;&gt;"")*(G$3:G$128=G89))+SUMPRODUCT((P$3:P$128="")*(O$3:O$128="")*(N$3:N$128="")*(M$3:M$128="P")*(G$3:G$128=G89)*(J$3:J$128&gt;J89))+IF(H89="L5",SUMPRODUCT((P$3:P$128="")*(O$3:O$128="")*(N$3:N$128="")*(M$3:M$128="P")*(G$3:G$128=G89)*(J$3:J$128&lt;J89)*(H$3:H$128&lt;&gt;H89)),-1*SUMPRODUCT((P$3:P$128="")*(O$3:O$128="")*(N$3:N$128="")*(M$3:M$128="P")*(G$3:G$128=G89)*(J$3:J$128&gt;J89)*(H$3:H$128="L5")))+1,""))))</f>
        <v/>
      </c>
      <c r="C89" s="36" t="s">
        <v>242</v>
      </c>
      <c r="D89" s="36" t="str">
        <f>IF(E89="","",VLOOKUP(E89,'Coaching Points'!A:B,2,0))</f>
        <v>QC</v>
      </c>
      <c r="E89" s="36" t="s">
        <v>179</v>
      </c>
      <c r="F89" s="35">
        <v>2006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115</v>
      </c>
      <c r="I89" s="45"/>
      <c r="J89" s="4">
        <f>R89+IF(OR(H89="Junior",H89="Senior"),0.0002,IF(OR(H89="L7",H89="L6"),0.0001,0))+IF(G89="17-21",MAX(AA89,AC89,AF89),AE89)*0.0000001</f>
        <v>8.5590000000000006E-6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Scores'!C$13,T89,0),IF(W89&gt;='Qualifying Scores'!C$13,V89,0),IF(Z89&gt;='Qualifying Scores'!C$13,Y89,0),IF(AB89&gt;='Qualifying Scores'!C$13,AA89,0),IF(AD89&gt;'Qualifying Scores'!C$13,AC89,0),IF(AG89&gt;'Qualifying Scores'!C$13,AF89,0)),MAX(IF(OR(AND(G89="15-16",W89&gt;='Qualifying Scores'!C$12),AND(G89="13-14",W89&gt;='Qualifying Scores'!C$11),AND(G89="11-12",W89&gt;='Qualifying Scores'!C$10)),X89,0),IF(OR(AND(G89="15-16",AD89&gt;='Qualifying Scores'!C$12),AND(G89="13-14",AD89&gt;='Qualifying Scores'!C$11),AND(G89="11-12",AD89&gt;='Qualifying Scores'!C$10)),AE89,0))))</f>
        <v>0</v>
      </c>
      <c r="S89" s="4">
        <f>IF(G89="17-21",MAX(T89,V89,Y89,AA89,AC89,AF89),MAX(X89,AE89))</f>
        <v>85.59</v>
      </c>
      <c r="T89" s="33">
        <v>38.299999999999997</v>
      </c>
      <c r="U89" s="40">
        <v>0</v>
      </c>
      <c r="V89" s="34">
        <v>43.82</v>
      </c>
      <c r="W89" s="40">
        <v>6.9999999999999991</v>
      </c>
      <c r="X89" s="4">
        <f>IF(H89="Senior",MAX(T89,V89),T89+V89)</f>
        <v>82.12</v>
      </c>
      <c r="Y89" s="34">
        <v>44.169999999999995</v>
      </c>
      <c r="Z89" s="40">
        <v>6.9999999999999991</v>
      </c>
      <c r="AA89" s="33">
        <v>40.130000000000003</v>
      </c>
      <c r="AB89" s="40">
        <v>0</v>
      </c>
      <c r="AC89" s="34">
        <v>45.46</v>
      </c>
      <c r="AD89" s="40">
        <v>7.8</v>
      </c>
      <c r="AE89" s="4">
        <f>IF(H89="Senior",MAX(AA89,AC89),AA89+AC89)</f>
        <v>85.59</v>
      </c>
      <c r="AF89" s="34">
        <v>45</v>
      </c>
      <c r="AG89" s="37">
        <v>7.4</v>
      </c>
    </row>
    <row r="90" spans="1:33" x14ac:dyDescent="0.2">
      <c r="A90" s="1" t="str" cm="1">
        <f t="array" ref="A90">IF(I90="","",IF(P90&lt;&gt;"",SUMPRODUCT((P$3:P$128&lt;&gt;"")*(G$3:G$128=G90)*(J$3:J$128&gt;J90)*(I$3:I$128="P"))+1,IF(O90&lt;&gt;"",SUMPRODUCT((O$3:O$128&lt;&gt;"")*(P$3:P$128="")*(G$3:G$128=G90)*(J$3:J$128&gt;J90)*(I$3:I$128="P"))+SUMPRODUCT((P$3:P$128&lt;&gt;"")*(G$3:G$128=G90)*(I$3:I$128="P"))+1,IF(N90&lt;&gt;"",SUMPRODUCT((N$3:N$128&lt;&gt;"")*(G$3:G$128=G90)*(J$3:J$128&gt;J90)*(I$3:I$128="P"))+1,IF(M90="P",SUMPRODUCT((O$3:O$128&lt;&gt;"")*(P$3:P$128="")*(G$3:G$128=G90)*(I$3:I$128="P"))+SUMPRODUCT((P$3:P$128&lt;&gt;"")*(G$3:G$128=G90)*(I$3:I$128="P"))+SUMPRODUCT((N$3:N$128&lt;&gt;"")*(G$3:G$128=G90)*(I$3:I$128="P"))+SUMPRODUCT((P$3:P$128="")*(O$3:O$128="")*(N$3:N$128="")*(M$3:M$128="P")*(G$3:G$128=G90)*(J$3:J$128&gt;J90)*(I$3:I$128="P"))+IF(H90="L5",SUMPRODUCT((P$3:P$128="")*(O$3:O$128="")*(N$3:N$128="")*(M$3:M$128="P")*(G$3:G$128=G90)*(J$3:J$128&lt;J90)*(H$3:H$128&lt;&gt;H90)*(I$3:I$128="P")),-1*SUMPRODUCT((P$3:P$128="")*(O$3:O$128="")*(N$3:N$128="")*(M$3:M$128="P")*(G$3:G$128=G90)*(J$3:J$128&gt;J90)*(H$3:H$128="L5")*(I$3:I$128="P")))+1,"")))))</f>
        <v/>
      </c>
      <c r="B90" s="1" t="str" cm="1">
        <f t="array" ref="B90">IF(P90&lt;&gt;"",SUMPRODUCT((P$3:P$128&lt;&gt;"")*(G$3:G$128=G90)*(J$3:J$128&gt;J90))+1,IF(O90&lt;&gt;"",SUMPRODUCT((O$3:O$128&lt;&gt;"")*(P$3:P$128="")*(G$3:G$128=G90)*(J$3:J$128&gt;J90))+SUMPRODUCT((P$3:P$128&lt;&gt;"")*(G$3:G$128=G90))+1,IF(N90&lt;&gt;"",SUMPRODUCT((N$3:N$128&lt;&gt;"")*(G$3:G$128=G90)*(J$3:J$128&gt;J90))+1,IF(M90="P",SUMPRODUCT((O$3:O$128&lt;&gt;"")*(P$3:P$128="")*(G$3:G$128=G90))+SUMPRODUCT((P$3:P$128&lt;&gt;"")*(G$3:G$128=G90))+SUMPRODUCT((N$3:N$128&lt;&gt;"")*(G$3:G$128=G90))+SUMPRODUCT((P$3:P$128="")*(O$3:O$128="")*(N$3:N$128="")*(M$3:M$128="P")*(G$3:G$128=G90)*(J$3:J$128&gt;J90))+IF(H90="L5",SUMPRODUCT((P$3:P$128="")*(O$3:O$128="")*(N$3:N$128="")*(M$3:M$128="P")*(G$3:G$128=G90)*(J$3:J$128&lt;J90)*(H$3:H$128&lt;&gt;H90)),-1*SUMPRODUCT((P$3:P$128="")*(O$3:O$128="")*(N$3:N$128="")*(M$3:M$128="P")*(G$3:G$128=G90)*(J$3:J$128&gt;J90)*(H$3:H$128="L5")))+1,""))))</f>
        <v/>
      </c>
      <c r="C90" s="36" t="s">
        <v>425</v>
      </c>
      <c r="D90" s="36" t="str">
        <f>IF(E90="","",VLOOKUP(E90,'Coaching Points'!A:B,2,0))</f>
        <v>ON</v>
      </c>
      <c r="E90" s="36" t="s">
        <v>582</v>
      </c>
      <c r="F90" s="35">
        <v>2006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115</v>
      </c>
      <c r="I90" s="45"/>
      <c r="J90" s="4">
        <f>R90+IF(OR(H90="Junior",H90="Senior"),0.0002,IF(OR(H90="L7",H90="L6"),0.0001,0))+IF(G90="17-21",MAX(AA90,AC90,AF90),AE90)*0.0000001</f>
        <v>8.5289999999999991E-6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Scores'!C$13,T90,0),IF(W90&gt;='Qualifying Scores'!C$13,V90,0),IF(Z90&gt;='Qualifying Scores'!C$13,Y90,0),IF(AB90&gt;='Qualifying Scores'!C$13,AA90,0),IF(AD90&gt;'Qualifying Scores'!C$13,AC90,0),IF(AG90&gt;'Qualifying Scores'!C$13,AF90,0)),MAX(IF(OR(AND(G90="15-16",W90&gt;='Qualifying Scores'!C$12),AND(G90="13-14",W90&gt;='Qualifying Scores'!C$11),AND(G90="11-12",W90&gt;='Qualifying Scores'!C$10)),X90,0),IF(OR(AND(G90="15-16",AD90&gt;='Qualifying Scores'!C$12),AND(G90="13-14",AD90&gt;='Qualifying Scores'!C$11),AND(G90="11-12",AD90&gt;='Qualifying Scores'!C$10)),AE90,0))))</f>
        <v>0</v>
      </c>
      <c r="S90" s="4">
        <f>IF(G90="17-21",MAX(T90,V90,Y90,AA90,AC90,AF90),MAX(X90,AE90))</f>
        <v>85.289999999999992</v>
      </c>
      <c r="T90" s="33"/>
      <c r="U90" s="40"/>
      <c r="V90" s="34"/>
      <c r="W90" s="40"/>
      <c r="X90" s="4">
        <f>IF(H90="Senior",MAX(T90,V90),T90+V90)</f>
        <v>0</v>
      </c>
      <c r="Y90" s="34"/>
      <c r="Z90" s="40"/>
      <c r="AA90" s="33">
        <v>39.82</v>
      </c>
      <c r="AB90" s="40">
        <v>0</v>
      </c>
      <c r="AC90" s="34">
        <v>45.47</v>
      </c>
      <c r="AD90" s="40">
        <v>8.1</v>
      </c>
      <c r="AE90" s="4">
        <f>IF(H90="Senior",MAX(AA90,AC90),AA90+AC90)</f>
        <v>85.289999999999992</v>
      </c>
      <c r="AF90" s="34">
        <v>47.09</v>
      </c>
      <c r="AG90" s="37">
        <v>8.1</v>
      </c>
    </row>
    <row r="91" spans="1:33" x14ac:dyDescent="0.2">
      <c r="A91" s="1" t="str" cm="1">
        <f t="array" ref="A91">IF(I91="","",IF(P91&lt;&gt;"",SUMPRODUCT((P$3:P$128&lt;&gt;"")*(G$3:G$128=G91)*(J$3:J$128&gt;J91)*(I$3:I$128="P"))+1,IF(O91&lt;&gt;"",SUMPRODUCT((O$3:O$128&lt;&gt;"")*(P$3:P$128="")*(G$3:G$128=G91)*(J$3:J$128&gt;J91)*(I$3:I$128="P"))+SUMPRODUCT((P$3:P$128&lt;&gt;"")*(G$3:G$128=G91)*(I$3:I$128="P"))+1,IF(N91&lt;&gt;"",SUMPRODUCT((N$3:N$128&lt;&gt;"")*(G$3:G$128=G91)*(J$3:J$128&gt;J91)*(I$3:I$128="P"))+1,IF(M91="P",SUMPRODUCT((O$3:O$128&lt;&gt;"")*(P$3:P$128="")*(G$3:G$128=G91)*(I$3:I$128="P"))+SUMPRODUCT((P$3:P$128&lt;&gt;"")*(G$3:G$128=G91)*(I$3:I$128="P"))+SUMPRODUCT((N$3:N$128&lt;&gt;"")*(G$3:G$128=G91)*(I$3:I$128="P"))+SUMPRODUCT((P$3:P$128="")*(O$3:O$128="")*(N$3:N$128="")*(M$3:M$128="P")*(G$3:G$128=G91)*(J$3:J$128&gt;J91)*(I$3:I$128="P"))+IF(H91="L5",SUMPRODUCT((P$3:P$128="")*(O$3:O$128="")*(N$3:N$128="")*(M$3:M$128="P")*(G$3:G$128=G91)*(J$3:J$128&lt;J91)*(H$3:H$128&lt;&gt;H91)*(I$3:I$128="P")),-1*SUMPRODUCT((P$3:P$128="")*(O$3:O$128="")*(N$3:N$128="")*(M$3:M$128="P")*(G$3:G$128=G91)*(J$3:J$128&gt;J91)*(H$3:H$128="L5")*(I$3:I$128="P")))+1,"")))))</f>
        <v/>
      </c>
      <c r="B91" s="1" t="str" cm="1">
        <f t="array" ref="B91">IF(P91&lt;&gt;"",SUMPRODUCT((P$3:P$128&lt;&gt;"")*(G$3:G$128=G91)*(J$3:J$128&gt;J91))+1,IF(O91&lt;&gt;"",SUMPRODUCT((O$3:O$128&lt;&gt;"")*(P$3:P$128="")*(G$3:G$128=G91)*(J$3:J$128&gt;J91))+SUMPRODUCT((P$3:P$128&lt;&gt;"")*(G$3:G$128=G91))+1,IF(N91&lt;&gt;"",SUMPRODUCT((N$3:N$128&lt;&gt;"")*(G$3:G$128=G91)*(J$3:J$128&gt;J91))+1,IF(M91="P",SUMPRODUCT((O$3:O$128&lt;&gt;"")*(P$3:P$128="")*(G$3:G$128=G91))+SUMPRODUCT((P$3:P$128&lt;&gt;"")*(G$3:G$128=G91))+SUMPRODUCT((N$3:N$128&lt;&gt;"")*(G$3:G$128=G91))+SUMPRODUCT((P$3:P$128="")*(O$3:O$128="")*(N$3:N$128="")*(M$3:M$128="P")*(G$3:G$128=G91)*(J$3:J$128&gt;J91))+IF(H91="L5",SUMPRODUCT((P$3:P$128="")*(O$3:O$128="")*(N$3:N$128="")*(M$3:M$128="P")*(G$3:G$128=G91)*(J$3:J$128&lt;J91)*(H$3:H$128&lt;&gt;H91)),-1*SUMPRODUCT((P$3:P$128="")*(O$3:O$128="")*(N$3:N$128="")*(M$3:M$128="P")*(G$3:G$128=G91)*(J$3:J$128&gt;J91)*(H$3:H$128="L5")))+1,""))))</f>
        <v/>
      </c>
      <c r="C91" s="36" t="s">
        <v>430</v>
      </c>
      <c r="D91" s="36" t="str">
        <f>IF(E91="","",VLOOKUP(E91,'Coaching Points'!A:B,2,0))</f>
        <v>ON</v>
      </c>
      <c r="E91" s="36" t="s">
        <v>38</v>
      </c>
      <c r="F91" s="35">
        <v>2006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115</v>
      </c>
      <c r="I91" s="45"/>
      <c r="J91" s="4">
        <f>R91+IF(OR(H91="Junior",H91="Senior"),0.0002,IF(OR(H91="L7",H91="L6"),0.0001,0))+IF(G91="17-21",MAX(AA91,AC91,AF91),AE91)*0.0000001</f>
        <v>8.470999999999999E-6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49" t="str">
        <f>IF(A91&lt;5,IF(_xlfn.MAXIFS(A:A,G:G,G91)&gt;3,5-A91,_xlfn.MAXIFS(A:A,G:G,G91)+1-A91),"")</f>
        <v/>
      </c>
      <c r="R91" s="4">
        <f>IF(G91="Not Age Eligible",0,IF(G91="17-21",MAX(IF(U91&gt;='Qualifying Scores'!C$13,T91,0),IF(W91&gt;='Qualifying Scores'!C$13,V91,0),IF(Z91&gt;='Qualifying Scores'!C$13,Y91,0),IF(AB91&gt;='Qualifying Scores'!C$13,AA91,0),IF(AD91&gt;'Qualifying Scores'!C$13,AC91,0),IF(AG91&gt;'Qualifying Scores'!C$13,AF91,0)),MAX(IF(OR(AND(G91="15-16",W91&gt;='Qualifying Scores'!C$12),AND(G91="13-14",W91&gt;='Qualifying Scores'!C$11),AND(G91="11-12",W91&gt;='Qualifying Scores'!C$10)),X91,0),IF(OR(AND(G91="15-16",AD91&gt;='Qualifying Scores'!C$12),AND(G91="13-14",AD91&gt;='Qualifying Scores'!C$11),AND(G91="11-12",AD91&gt;='Qualifying Scores'!C$10)),AE91,0))))</f>
        <v>0</v>
      </c>
      <c r="S91" s="4">
        <f>IF(G91="17-21",MAX(T91,V91,Y91,AA91,AC91,AF91),MAX(X91,AE91))</f>
        <v>84.71</v>
      </c>
      <c r="T91" s="33"/>
      <c r="U91" s="40"/>
      <c r="V91" s="34"/>
      <c r="W91" s="40"/>
      <c r="X91" s="4">
        <f>IF(H91="Senior",MAX(T91,V91),T91+V91)</f>
        <v>0</v>
      </c>
      <c r="Y91" s="34"/>
      <c r="Z91" s="40"/>
      <c r="AA91" s="33">
        <v>39.299999999999997</v>
      </c>
      <c r="AB91" s="40">
        <v>0</v>
      </c>
      <c r="AC91" s="34">
        <v>45.41</v>
      </c>
      <c r="AD91" s="40">
        <v>8.3000000000000007</v>
      </c>
      <c r="AE91" s="4">
        <f>IF(H91="Senior",MAX(AA91,AC91),AA91+AC91)</f>
        <v>84.71</v>
      </c>
      <c r="AF91" s="34">
        <v>46.13</v>
      </c>
      <c r="AG91" s="37">
        <v>8.3000000000000007</v>
      </c>
    </row>
    <row r="92" spans="1:33" x14ac:dyDescent="0.2">
      <c r="A92" s="1" t="str" cm="1">
        <f t="array" ref="A92">IF(I92="","",IF(P92&lt;&gt;"",SUMPRODUCT((P$3:P$128&lt;&gt;"")*(G$3:G$128=G92)*(J$3:J$128&gt;J92)*(I$3:I$128="P"))+1,IF(O92&lt;&gt;"",SUMPRODUCT((O$3:O$128&lt;&gt;"")*(P$3:P$128="")*(G$3:G$128=G92)*(J$3:J$128&gt;J92)*(I$3:I$128="P"))+SUMPRODUCT((P$3:P$128&lt;&gt;"")*(G$3:G$128=G92)*(I$3:I$128="P"))+1,IF(N92&lt;&gt;"",SUMPRODUCT((N$3:N$128&lt;&gt;"")*(G$3:G$128=G92)*(J$3:J$128&gt;J92)*(I$3:I$128="P"))+1,IF(M92="P",SUMPRODUCT((O$3:O$128&lt;&gt;"")*(P$3:P$128="")*(G$3:G$128=G92)*(I$3:I$128="P"))+SUMPRODUCT((P$3:P$128&lt;&gt;"")*(G$3:G$128=G92)*(I$3:I$128="P"))+SUMPRODUCT((N$3:N$128&lt;&gt;"")*(G$3:G$128=G92)*(I$3:I$128="P"))+SUMPRODUCT((P$3:P$128="")*(O$3:O$128="")*(N$3:N$128="")*(M$3:M$128="P")*(G$3:G$128=G92)*(J$3:J$128&gt;J92)*(I$3:I$128="P"))+IF(H92="L5",SUMPRODUCT((P$3:P$128="")*(O$3:O$128="")*(N$3:N$128="")*(M$3:M$128="P")*(G$3:G$128=G92)*(J$3:J$128&lt;J92)*(H$3:H$128&lt;&gt;H92)*(I$3:I$128="P")),-1*SUMPRODUCT((P$3:P$128="")*(O$3:O$128="")*(N$3:N$128="")*(M$3:M$128="P")*(G$3:G$128=G92)*(J$3:J$128&gt;J92)*(H$3:H$128="L5")*(I$3:I$128="P")))+1,"")))))</f>
        <v/>
      </c>
      <c r="B92" s="1" t="str" cm="1">
        <f t="array" ref="B92">IF(P92&lt;&gt;"",SUMPRODUCT((P$3:P$128&lt;&gt;"")*(G$3:G$128=G92)*(J$3:J$128&gt;J92))+1,IF(O92&lt;&gt;"",SUMPRODUCT((O$3:O$128&lt;&gt;"")*(P$3:P$128="")*(G$3:G$128=G92)*(J$3:J$128&gt;J92))+SUMPRODUCT((P$3:P$128&lt;&gt;"")*(G$3:G$128=G92))+1,IF(N92&lt;&gt;"",SUMPRODUCT((N$3:N$128&lt;&gt;"")*(G$3:G$128=G92)*(J$3:J$128&gt;J92))+1,IF(M92="P",SUMPRODUCT((O$3:O$128&lt;&gt;"")*(P$3:P$128="")*(G$3:G$128=G92))+SUMPRODUCT((P$3:P$128&lt;&gt;"")*(G$3:G$128=G92))+SUMPRODUCT((N$3:N$128&lt;&gt;"")*(G$3:G$128=G92))+SUMPRODUCT((P$3:P$128="")*(O$3:O$128="")*(N$3:N$128="")*(M$3:M$128="P")*(G$3:G$128=G92)*(J$3:J$128&gt;J92))+IF(H92="L5",SUMPRODUCT((P$3:P$128="")*(O$3:O$128="")*(N$3:N$128="")*(M$3:M$128="P")*(G$3:G$128=G92)*(J$3:J$128&lt;J92)*(H$3:H$128&lt;&gt;H92)),-1*SUMPRODUCT((P$3:P$128="")*(O$3:O$128="")*(N$3:N$128="")*(M$3:M$128="P")*(G$3:G$128=G92)*(J$3:J$128&gt;J92)*(H$3:H$128="L5")))+1,""))))</f>
        <v/>
      </c>
      <c r="C92" s="36" t="s">
        <v>234</v>
      </c>
      <c r="D92" s="36" t="str">
        <f>IF(E92="","",VLOOKUP(E92,'Coaching Points'!A:B,2,0))</f>
        <v>QC</v>
      </c>
      <c r="E92" s="36" t="s">
        <v>179</v>
      </c>
      <c r="F92" s="35">
        <v>2006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115</v>
      </c>
      <c r="I92" s="45"/>
      <c r="J92" s="4">
        <f>R92+IF(OR(H92="Junior",H92="Senior"),0.0002,IF(OR(H92="L7",H92="L6"),0.0001,0))+IF(G92="17-21",MAX(AA92,AC92,AF92),AE92)*0.0000001</f>
        <v>8.4439999999999991E-6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49" t="str">
        <f>IF(A92&lt;5,IF(_xlfn.MAXIFS(A:A,G:G,G92)&gt;3,5-A92,_xlfn.MAXIFS(A:A,G:G,G92)+1-A92),"")</f>
        <v/>
      </c>
      <c r="R92" s="4">
        <f>IF(G92="Not Age Eligible",0,IF(G92="17-21",MAX(IF(U92&gt;='Qualifying Scores'!C$13,T92,0),IF(W92&gt;='Qualifying Scores'!C$13,V92,0),IF(Z92&gt;='Qualifying Scores'!C$13,Y92,0),IF(AB92&gt;='Qualifying Scores'!C$13,AA92,0),IF(AD92&gt;'Qualifying Scores'!C$13,AC92,0),IF(AG92&gt;'Qualifying Scores'!C$13,AF92,0)),MAX(IF(OR(AND(G92="15-16",W92&gt;='Qualifying Scores'!C$12),AND(G92="13-14",W92&gt;='Qualifying Scores'!C$11),AND(G92="11-12",W92&gt;='Qualifying Scores'!C$10)),X92,0),IF(OR(AND(G92="15-16",AD92&gt;='Qualifying Scores'!C$12),AND(G92="13-14",AD92&gt;='Qualifying Scores'!C$11),AND(G92="11-12",AD92&gt;='Qualifying Scores'!C$10)),AE92,0))))</f>
        <v>0</v>
      </c>
      <c r="S92" s="4">
        <f>IF(G92="17-21",MAX(T92,V92,Y92,AA92,AC92,AF92),MAX(X92,AE92))</f>
        <v>87.15</v>
      </c>
      <c r="T92" s="33">
        <v>40.42</v>
      </c>
      <c r="U92" s="40">
        <v>0</v>
      </c>
      <c r="V92" s="34">
        <v>46.73</v>
      </c>
      <c r="W92" s="40">
        <v>7.1</v>
      </c>
      <c r="X92" s="4">
        <f>IF(H92="Senior",MAX(T92,V92),T92+V92)</f>
        <v>87.15</v>
      </c>
      <c r="Y92" s="34">
        <v>47.6</v>
      </c>
      <c r="Z92" s="40">
        <v>7.1</v>
      </c>
      <c r="AA92" s="33">
        <v>39.69</v>
      </c>
      <c r="AB92" s="40">
        <v>0</v>
      </c>
      <c r="AC92" s="34">
        <v>44.75</v>
      </c>
      <c r="AD92" s="40">
        <v>8.1999999999999993</v>
      </c>
      <c r="AE92" s="4">
        <f>IF(H92="Senior",MAX(AA92,AC92),AA92+AC92)</f>
        <v>84.44</v>
      </c>
      <c r="AF92" s="34">
        <v>48.44</v>
      </c>
      <c r="AG92" s="37">
        <v>8.1999999999999993</v>
      </c>
    </row>
    <row r="93" spans="1:33" x14ac:dyDescent="0.2">
      <c r="A93" s="1" t="str" cm="1">
        <f t="array" ref="A93">IF(I93="","",IF(P93&lt;&gt;"",SUMPRODUCT((P$3:P$128&lt;&gt;"")*(G$3:G$128=G93)*(J$3:J$128&gt;J93)*(I$3:I$128="P"))+1,IF(O93&lt;&gt;"",SUMPRODUCT((O$3:O$128&lt;&gt;"")*(P$3:P$128="")*(G$3:G$128=G93)*(J$3:J$128&gt;J93)*(I$3:I$128="P"))+SUMPRODUCT((P$3:P$128&lt;&gt;"")*(G$3:G$128=G93)*(I$3:I$128="P"))+1,IF(N93&lt;&gt;"",SUMPRODUCT((N$3:N$128&lt;&gt;"")*(G$3:G$128=G93)*(J$3:J$128&gt;J93)*(I$3:I$128="P"))+1,IF(M93="P",SUMPRODUCT((O$3:O$128&lt;&gt;"")*(P$3:P$128="")*(G$3:G$128=G93)*(I$3:I$128="P"))+SUMPRODUCT((P$3:P$128&lt;&gt;"")*(G$3:G$128=G93)*(I$3:I$128="P"))+SUMPRODUCT((N$3:N$128&lt;&gt;"")*(G$3:G$128=G93)*(I$3:I$128="P"))+SUMPRODUCT((P$3:P$128="")*(O$3:O$128="")*(N$3:N$128="")*(M$3:M$128="P")*(G$3:G$128=G93)*(J$3:J$128&gt;J93)*(I$3:I$128="P"))+IF(H93="L5",SUMPRODUCT((P$3:P$128="")*(O$3:O$128="")*(N$3:N$128="")*(M$3:M$128="P")*(G$3:G$128=G93)*(J$3:J$128&lt;J93)*(H$3:H$128&lt;&gt;H93)*(I$3:I$128="P")),-1*SUMPRODUCT((P$3:P$128="")*(O$3:O$128="")*(N$3:N$128="")*(M$3:M$128="P")*(G$3:G$128=G93)*(J$3:J$128&gt;J93)*(H$3:H$128="L5")*(I$3:I$128="P")))+1,"")))))</f>
        <v/>
      </c>
      <c r="B93" s="1" t="str" cm="1">
        <f t="array" ref="B93">IF(P93&lt;&gt;"",SUMPRODUCT((P$3:P$128&lt;&gt;"")*(G$3:G$128=G93)*(J$3:J$128&gt;J93))+1,IF(O93&lt;&gt;"",SUMPRODUCT((O$3:O$128&lt;&gt;"")*(P$3:P$128="")*(G$3:G$128=G93)*(J$3:J$128&gt;J93))+SUMPRODUCT((P$3:P$128&lt;&gt;"")*(G$3:G$128=G93))+1,IF(N93&lt;&gt;"",SUMPRODUCT((N$3:N$128&lt;&gt;"")*(G$3:G$128=G93)*(J$3:J$128&gt;J93))+1,IF(M93="P",SUMPRODUCT((O$3:O$128&lt;&gt;"")*(P$3:P$128="")*(G$3:G$128=G93))+SUMPRODUCT((P$3:P$128&lt;&gt;"")*(G$3:G$128=G93))+SUMPRODUCT((N$3:N$128&lt;&gt;"")*(G$3:G$128=G93))+SUMPRODUCT((P$3:P$128="")*(O$3:O$128="")*(N$3:N$128="")*(M$3:M$128="P")*(G$3:G$128=G93)*(J$3:J$128&gt;J93))+IF(H93="L5",SUMPRODUCT((P$3:P$128="")*(O$3:O$128="")*(N$3:N$128="")*(M$3:M$128="P")*(G$3:G$128=G93)*(J$3:J$128&lt;J93)*(H$3:H$128&lt;&gt;H93)),-1*SUMPRODUCT((P$3:P$128="")*(O$3:O$128="")*(N$3:N$128="")*(M$3:M$128="P")*(G$3:G$128=G93)*(J$3:J$128&gt;J93)*(H$3:H$128="L5")))+1,""))))</f>
        <v/>
      </c>
      <c r="C93" s="36" t="s">
        <v>422</v>
      </c>
      <c r="D93" s="36" t="str">
        <f>IF(E93="","",VLOOKUP(E93,'Coaching Points'!A:B,2,0))</f>
        <v>ON</v>
      </c>
      <c r="E93" s="36" t="s">
        <v>575</v>
      </c>
      <c r="F93" s="35">
        <v>2006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115</v>
      </c>
      <c r="I93" s="45"/>
      <c r="J93" s="4">
        <f>R93+IF(OR(H93="Junior",H93="Senior"),0.0002,IF(OR(H93="L7",H93="L6"),0.0001,0))+IF(G93="17-21",MAX(AA93,AC93,AF93),AE93)*0.0000001</f>
        <v>8.3329999999999997E-6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49" t="str">
        <f>IF(A93&lt;5,IF(_xlfn.MAXIFS(A:A,G:G,G93)&gt;3,5-A93,_xlfn.MAXIFS(A:A,G:G,G93)+1-A93),"")</f>
        <v/>
      </c>
      <c r="R93" s="4">
        <f>IF(G93="Not Age Eligible",0,IF(G93="17-21",MAX(IF(U93&gt;='Qualifying Scores'!C$13,T93,0),IF(W93&gt;='Qualifying Scores'!C$13,V93,0),IF(Z93&gt;='Qualifying Scores'!C$13,Y93,0),IF(AB93&gt;='Qualifying Scores'!C$13,AA93,0),IF(AD93&gt;'Qualifying Scores'!C$13,AC93,0),IF(AG93&gt;'Qualifying Scores'!C$13,AF93,0)),MAX(IF(OR(AND(G93="15-16",W93&gt;='Qualifying Scores'!C$12),AND(G93="13-14",W93&gt;='Qualifying Scores'!C$11),AND(G93="11-12",W93&gt;='Qualifying Scores'!C$10)),X93,0),IF(OR(AND(G93="15-16",AD93&gt;='Qualifying Scores'!C$12),AND(G93="13-14",AD93&gt;='Qualifying Scores'!C$11),AND(G93="11-12",AD93&gt;='Qualifying Scores'!C$10)),AE93,0))))</f>
        <v>0</v>
      </c>
      <c r="S93" s="4">
        <f>IF(G93="17-21",MAX(T93,V93,Y93,AA93,AC93,AF93),MAX(X93,AE93))</f>
        <v>83.33</v>
      </c>
      <c r="T93" s="33"/>
      <c r="U93" s="40"/>
      <c r="V93" s="34"/>
      <c r="W93" s="40"/>
      <c r="X93" s="4">
        <f>IF(H93="Senior",MAX(T93,V93),T93+V93)</f>
        <v>0</v>
      </c>
      <c r="Y93" s="34"/>
      <c r="Z93" s="40"/>
      <c r="AA93" s="33">
        <v>38.67</v>
      </c>
      <c r="AB93" s="40">
        <v>0</v>
      </c>
      <c r="AC93" s="34">
        <v>44.66</v>
      </c>
      <c r="AD93" s="40">
        <v>7.8</v>
      </c>
      <c r="AE93" s="4">
        <f>IF(H93="Senior",MAX(AA93,AC93),AA93+AC93)</f>
        <v>83.33</v>
      </c>
      <c r="AF93" s="34">
        <v>46.48</v>
      </c>
      <c r="AG93" s="37">
        <v>7.8</v>
      </c>
    </row>
    <row r="94" spans="1:33" x14ac:dyDescent="0.2">
      <c r="A94" s="1" t="str" cm="1">
        <f t="array" ref="A94">IF(I94="","",IF(P94&lt;&gt;"",SUMPRODUCT((P$3:P$128&lt;&gt;"")*(G$3:G$128=G94)*(J$3:J$128&gt;J94)*(I$3:I$128="P"))+1,IF(O94&lt;&gt;"",SUMPRODUCT((O$3:O$128&lt;&gt;"")*(P$3:P$128="")*(G$3:G$128=G94)*(J$3:J$128&gt;J94)*(I$3:I$128="P"))+SUMPRODUCT((P$3:P$128&lt;&gt;"")*(G$3:G$128=G94)*(I$3:I$128="P"))+1,IF(N94&lt;&gt;"",SUMPRODUCT((N$3:N$128&lt;&gt;"")*(G$3:G$128=G94)*(J$3:J$128&gt;J94)*(I$3:I$128="P"))+1,IF(M94="P",SUMPRODUCT((O$3:O$128&lt;&gt;"")*(P$3:P$128="")*(G$3:G$128=G94)*(I$3:I$128="P"))+SUMPRODUCT((P$3:P$128&lt;&gt;"")*(G$3:G$128=G94)*(I$3:I$128="P"))+SUMPRODUCT((N$3:N$128&lt;&gt;"")*(G$3:G$128=G94)*(I$3:I$128="P"))+SUMPRODUCT((P$3:P$128="")*(O$3:O$128="")*(N$3:N$128="")*(M$3:M$128="P")*(G$3:G$128=G94)*(J$3:J$128&gt;J94)*(I$3:I$128="P"))+IF(H94="L5",SUMPRODUCT((P$3:P$128="")*(O$3:O$128="")*(N$3:N$128="")*(M$3:M$128="P")*(G$3:G$128=G94)*(J$3:J$128&lt;J94)*(H$3:H$128&lt;&gt;H94)*(I$3:I$128="P")),-1*SUMPRODUCT((P$3:P$128="")*(O$3:O$128="")*(N$3:N$128="")*(M$3:M$128="P")*(G$3:G$128=G94)*(J$3:J$128&gt;J94)*(H$3:H$128="L5")*(I$3:I$128="P")))+1,"")))))</f>
        <v/>
      </c>
      <c r="B94" s="1" t="str" cm="1">
        <f t="array" ref="B94">IF(P94&lt;&gt;"",SUMPRODUCT((P$3:P$128&lt;&gt;"")*(G$3:G$128=G94)*(J$3:J$128&gt;J94))+1,IF(O94&lt;&gt;"",SUMPRODUCT((O$3:O$128&lt;&gt;"")*(P$3:P$128="")*(G$3:G$128=G94)*(J$3:J$128&gt;J94))+SUMPRODUCT((P$3:P$128&lt;&gt;"")*(G$3:G$128=G94))+1,IF(N94&lt;&gt;"",SUMPRODUCT((N$3:N$128&lt;&gt;"")*(G$3:G$128=G94)*(J$3:J$128&gt;J94))+1,IF(M94="P",SUMPRODUCT((O$3:O$128&lt;&gt;"")*(P$3:P$128="")*(G$3:G$128=G94))+SUMPRODUCT((P$3:P$128&lt;&gt;"")*(G$3:G$128=G94))+SUMPRODUCT((N$3:N$128&lt;&gt;"")*(G$3:G$128=G94))+SUMPRODUCT((P$3:P$128="")*(O$3:O$128="")*(N$3:N$128="")*(M$3:M$128="P")*(G$3:G$128=G94)*(J$3:J$128&gt;J94))+IF(H94="L5",SUMPRODUCT((P$3:P$128="")*(O$3:O$128="")*(N$3:N$128="")*(M$3:M$128="P")*(G$3:G$128=G94)*(J$3:J$128&lt;J94)*(H$3:H$128&lt;&gt;H94)),-1*SUMPRODUCT((P$3:P$128="")*(O$3:O$128="")*(N$3:N$128="")*(M$3:M$128="P")*(G$3:G$128=G94)*(J$3:J$128&gt;J94)*(H$3:H$128="L5")))+1,""))))</f>
        <v/>
      </c>
      <c r="C94" s="36" t="s">
        <v>426</v>
      </c>
      <c r="D94" s="36" t="str">
        <f>IF(E94="","",VLOOKUP(E94,'Coaching Points'!A:B,2,0))</f>
        <v>QC</v>
      </c>
      <c r="E94" s="36" t="s">
        <v>3</v>
      </c>
      <c r="F94" s="35">
        <v>2006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115</v>
      </c>
      <c r="I94" s="45"/>
      <c r="J94" s="4">
        <f>R94+IF(OR(H94="Junior",H94="Senior"),0.0002,IF(OR(H94="L7",H94="L6"),0.0001,0))+IF(G94="17-21",MAX(AA94,AC94,AF94),AE94)*0.0000001</f>
        <v>8.2840000000000006E-6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49" t="str">
        <f>IF(A94&lt;5,IF(_xlfn.MAXIFS(A:A,G:G,G94)&gt;3,5-A94,_xlfn.MAXIFS(A:A,G:G,G94)+1-A94),"")</f>
        <v/>
      </c>
      <c r="R94" s="4">
        <f>IF(G94="Not Age Eligible",0,IF(G94="17-21",MAX(IF(U94&gt;='Qualifying Scores'!C$13,T94,0),IF(W94&gt;='Qualifying Scores'!C$13,V94,0),IF(Z94&gt;='Qualifying Scores'!C$13,Y94,0),IF(AB94&gt;='Qualifying Scores'!C$13,AA94,0),IF(AD94&gt;'Qualifying Scores'!C$13,AC94,0),IF(AG94&gt;'Qualifying Scores'!C$13,AF94,0)),MAX(IF(OR(AND(G94="15-16",W94&gt;='Qualifying Scores'!C$12),AND(G94="13-14",W94&gt;='Qualifying Scores'!C$11),AND(G94="11-12",W94&gt;='Qualifying Scores'!C$10)),X94,0),IF(OR(AND(G94="15-16",AD94&gt;='Qualifying Scores'!C$12),AND(G94="13-14",AD94&gt;='Qualifying Scores'!C$11),AND(G94="11-12",AD94&gt;='Qualifying Scores'!C$10)),AE94,0))))</f>
        <v>0</v>
      </c>
      <c r="S94" s="4">
        <f>IF(G94="17-21",MAX(T94,V94,Y94,AA94,AC94,AF94),MAX(X94,AE94))</f>
        <v>82.84</v>
      </c>
      <c r="T94" s="33"/>
      <c r="U94" s="40"/>
      <c r="V94" s="34"/>
      <c r="W94" s="40"/>
      <c r="X94" s="4">
        <f>IF(H94="Senior",MAX(T94,V94),T94+V94)</f>
        <v>0</v>
      </c>
      <c r="Y94" s="34"/>
      <c r="Z94" s="40"/>
      <c r="AA94" s="33">
        <v>38.78</v>
      </c>
      <c r="AB94" s="40">
        <v>0</v>
      </c>
      <c r="AC94" s="34">
        <v>44.06</v>
      </c>
      <c r="AD94" s="40">
        <v>7.7</v>
      </c>
      <c r="AE94" s="4">
        <f>IF(H94="Senior",MAX(AA94,AC94),AA94+AC94)</f>
        <v>82.84</v>
      </c>
      <c r="AF94" s="34">
        <v>46.85</v>
      </c>
      <c r="AG94" s="37">
        <v>7.7</v>
      </c>
    </row>
    <row r="95" spans="1:33" x14ac:dyDescent="0.2">
      <c r="A95" s="1" t="str" cm="1">
        <f t="array" ref="A95">IF(I95="","",IF(P95&lt;&gt;"",SUMPRODUCT((P$3:P$128&lt;&gt;"")*(G$3:G$128=G95)*(J$3:J$128&gt;J95)*(I$3:I$128="P"))+1,IF(O95&lt;&gt;"",SUMPRODUCT((O$3:O$128&lt;&gt;"")*(P$3:P$128="")*(G$3:G$128=G95)*(J$3:J$128&gt;J95)*(I$3:I$128="P"))+SUMPRODUCT((P$3:P$128&lt;&gt;"")*(G$3:G$128=G95)*(I$3:I$128="P"))+1,IF(N95&lt;&gt;"",SUMPRODUCT((N$3:N$128&lt;&gt;"")*(G$3:G$128=G95)*(J$3:J$128&gt;J95)*(I$3:I$128="P"))+1,IF(M95="P",SUMPRODUCT((O$3:O$128&lt;&gt;"")*(P$3:P$128="")*(G$3:G$128=G95)*(I$3:I$128="P"))+SUMPRODUCT((P$3:P$128&lt;&gt;"")*(G$3:G$128=G95)*(I$3:I$128="P"))+SUMPRODUCT((N$3:N$128&lt;&gt;"")*(G$3:G$128=G95)*(I$3:I$128="P"))+SUMPRODUCT((P$3:P$128="")*(O$3:O$128="")*(N$3:N$128="")*(M$3:M$128="P")*(G$3:G$128=G95)*(J$3:J$128&gt;J95)*(I$3:I$128="P"))+IF(H95="L5",SUMPRODUCT((P$3:P$128="")*(O$3:O$128="")*(N$3:N$128="")*(M$3:M$128="P")*(G$3:G$128=G95)*(J$3:J$128&lt;J95)*(H$3:H$128&lt;&gt;H95)*(I$3:I$128="P")),-1*SUMPRODUCT((P$3:P$128="")*(O$3:O$128="")*(N$3:N$128="")*(M$3:M$128="P")*(G$3:G$128=G95)*(J$3:J$128&gt;J95)*(H$3:H$128="L5")*(I$3:I$128="P")))+1,"")))))</f>
        <v/>
      </c>
      <c r="B95" s="1" t="str" cm="1">
        <f t="array" ref="B95">IF(P95&lt;&gt;"",SUMPRODUCT((P$3:P$128&lt;&gt;"")*(G$3:G$128=G95)*(J$3:J$128&gt;J95))+1,IF(O95&lt;&gt;"",SUMPRODUCT((O$3:O$128&lt;&gt;"")*(P$3:P$128="")*(G$3:G$128=G95)*(J$3:J$128&gt;J95))+SUMPRODUCT((P$3:P$128&lt;&gt;"")*(G$3:G$128=G95))+1,IF(N95&lt;&gt;"",SUMPRODUCT((N$3:N$128&lt;&gt;"")*(G$3:G$128=G95)*(J$3:J$128&gt;J95))+1,IF(M95="P",SUMPRODUCT((O$3:O$128&lt;&gt;"")*(P$3:P$128="")*(G$3:G$128=G95))+SUMPRODUCT((P$3:P$128&lt;&gt;"")*(G$3:G$128=G95))+SUMPRODUCT((N$3:N$128&lt;&gt;"")*(G$3:G$128=G95))+SUMPRODUCT((P$3:P$128="")*(O$3:O$128="")*(N$3:N$128="")*(M$3:M$128="P")*(G$3:G$128=G95)*(J$3:J$128&gt;J95))+IF(H95="L5",SUMPRODUCT((P$3:P$128="")*(O$3:O$128="")*(N$3:N$128="")*(M$3:M$128="P")*(G$3:G$128=G95)*(J$3:J$128&lt;J95)*(H$3:H$128&lt;&gt;H95)),-1*SUMPRODUCT((P$3:P$128="")*(O$3:O$128="")*(N$3:N$128="")*(M$3:M$128="P")*(G$3:G$128=G95)*(J$3:J$128&gt;J95)*(H$3:H$128="L5")))+1,""))))</f>
        <v/>
      </c>
      <c r="C95" s="36" t="s">
        <v>241</v>
      </c>
      <c r="D95" s="36" t="str">
        <f>IF(E95="","",VLOOKUP(E95,'Coaching Points'!A:B,2,0))</f>
        <v>ON</v>
      </c>
      <c r="E95" s="36" t="s">
        <v>141</v>
      </c>
      <c r="F95" s="35">
        <v>2006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115</v>
      </c>
      <c r="I95" s="45"/>
      <c r="J95" s="4">
        <f>R95+IF(OR(H95="Junior",H95="Senior"),0.0002,IF(OR(H95="L7",H95="L6"),0.0001,0))+IF(G95="17-21",MAX(AA95,AC95,AF95),AE95)*0.0000001</f>
        <v>8.2819999999999996E-6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49" t="str">
        <f>IF(A95&lt;5,IF(_xlfn.MAXIFS(A:A,G:G,G95)&gt;3,5-A95,_xlfn.MAXIFS(A:A,G:G,G95)+1-A95),"")</f>
        <v/>
      </c>
      <c r="R95" s="4">
        <f>IF(G95="Not Age Eligible",0,IF(G95="17-21",MAX(IF(U95&gt;='Qualifying Scores'!C$13,T95,0),IF(W95&gt;='Qualifying Scores'!C$13,V95,0),IF(Z95&gt;='Qualifying Scores'!C$13,Y95,0),IF(AB95&gt;='Qualifying Scores'!C$13,AA95,0),IF(AD95&gt;'Qualifying Scores'!C$13,AC95,0),IF(AG95&gt;'Qualifying Scores'!C$13,AF95,0)),MAX(IF(OR(AND(G95="15-16",W95&gt;='Qualifying Scores'!C$12),AND(G95="13-14",W95&gt;='Qualifying Scores'!C$11),AND(G95="11-12",W95&gt;='Qualifying Scores'!C$10)),X95,0),IF(OR(AND(G95="15-16",AD95&gt;='Qualifying Scores'!C$12),AND(G95="13-14",AD95&gt;='Qualifying Scores'!C$11),AND(G95="11-12",AD95&gt;='Qualifying Scores'!C$10)),AE95,0))))</f>
        <v>0</v>
      </c>
      <c r="S95" s="4">
        <f>IF(G95="17-21",MAX(T95,V95,Y95,AA95,AC95,AF95),MAX(X95,AE95))</f>
        <v>83.300000000000011</v>
      </c>
      <c r="T95" s="33">
        <v>39.24</v>
      </c>
      <c r="U95" s="40">
        <v>0</v>
      </c>
      <c r="V95" s="34">
        <v>44.06</v>
      </c>
      <c r="W95" s="40">
        <v>7.5</v>
      </c>
      <c r="X95" s="4">
        <f>IF(H95="Senior",MAX(T95,V95),T95+V95)</f>
        <v>83.300000000000011</v>
      </c>
      <c r="Y95" s="34">
        <v>44.230000000000004</v>
      </c>
      <c r="Z95" s="40">
        <v>7</v>
      </c>
      <c r="AA95" s="33">
        <v>38.49</v>
      </c>
      <c r="AB95" s="40">
        <v>0</v>
      </c>
      <c r="AC95" s="34">
        <v>44.33</v>
      </c>
      <c r="AD95" s="40">
        <v>7.7</v>
      </c>
      <c r="AE95" s="4">
        <f>IF(H95="Senior",MAX(AA95,AC95),AA95+AC95)</f>
        <v>82.82</v>
      </c>
      <c r="AF95" s="34">
        <v>45.45</v>
      </c>
      <c r="AG95" s="37">
        <v>7.7</v>
      </c>
    </row>
    <row r="96" spans="1:33" x14ac:dyDescent="0.2">
      <c r="A96" s="1" t="str" cm="1">
        <f t="array" ref="A96">IF(I96="","",IF(P96&lt;&gt;"",SUMPRODUCT((P$3:P$128&lt;&gt;"")*(G$3:G$128=G96)*(J$3:J$128&gt;J96)*(I$3:I$128="P"))+1,IF(O96&lt;&gt;"",SUMPRODUCT((O$3:O$128&lt;&gt;"")*(P$3:P$128="")*(G$3:G$128=G96)*(J$3:J$128&gt;J96)*(I$3:I$128="P"))+SUMPRODUCT((P$3:P$128&lt;&gt;"")*(G$3:G$128=G96)*(I$3:I$128="P"))+1,IF(N96&lt;&gt;"",SUMPRODUCT((N$3:N$128&lt;&gt;"")*(G$3:G$128=G96)*(J$3:J$128&gt;J96)*(I$3:I$128="P"))+1,IF(M96="P",SUMPRODUCT((O$3:O$128&lt;&gt;"")*(P$3:P$128="")*(G$3:G$128=G96)*(I$3:I$128="P"))+SUMPRODUCT((P$3:P$128&lt;&gt;"")*(G$3:G$128=G96)*(I$3:I$128="P"))+SUMPRODUCT((N$3:N$128&lt;&gt;"")*(G$3:G$128=G96)*(I$3:I$128="P"))+SUMPRODUCT((P$3:P$128="")*(O$3:O$128="")*(N$3:N$128="")*(M$3:M$128="P")*(G$3:G$128=G96)*(J$3:J$128&gt;J96)*(I$3:I$128="P"))+IF(H96="L5",SUMPRODUCT((P$3:P$128="")*(O$3:O$128="")*(N$3:N$128="")*(M$3:M$128="P")*(G$3:G$128=G96)*(J$3:J$128&lt;J96)*(H$3:H$128&lt;&gt;H96)*(I$3:I$128="P")),-1*SUMPRODUCT((P$3:P$128="")*(O$3:O$128="")*(N$3:N$128="")*(M$3:M$128="P")*(G$3:G$128=G96)*(J$3:J$128&gt;J96)*(H$3:H$128="L5")*(I$3:I$128="P")))+1,"")))))</f>
        <v/>
      </c>
      <c r="B96" s="1" t="str" cm="1">
        <f t="array" ref="B96">IF(P96&lt;&gt;"",SUMPRODUCT((P$3:P$128&lt;&gt;"")*(G$3:G$128=G96)*(J$3:J$128&gt;J96))+1,IF(O96&lt;&gt;"",SUMPRODUCT((O$3:O$128&lt;&gt;"")*(P$3:P$128="")*(G$3:G$128=G96)*(J$3:J$128&gt;J96))+SUMPRODUCT((P$3:P$128&lt;&gt;"")*(G$3:G$128=G96))+1,IF(N96&lt;&gt;"",SUMPRODUCT((N$3:N$128&lt;&gt;"")*(G$3:G$128=G96)*(J$3:J$128&gt;J96))+1,IF(M96="P",SUMPRODUCT((O$3:O$128&lt;&gt;"")*(P$3:P$128="")*(G$3:G$128=G96))+SUMPRODUCT((P$3:P$128&lt;&gt;"")*(G$3:G$128=G96))+SUMPRODUCT((N$3:N$128&lt;&gt;"")*(G$3:G$128=G96))+SUMPRODUCT((P$3:P$128="")*(O$3:O$128="")*(N$3:N$128="")*(M$3:M$128="P")*(G$3:G$128=G96)*(J$3:J$128&gt;J96))+IF(H96="L5",SUMPRODUCT((P$3:P$128="")*(O$3:O$128="")*(N$3:N$128="")*(M$3:M$128="P")*(G$3:G$128=G96)*(J$3:J$128&lt;J96)*(H$3:H$128&lt;&gt;H96)),-1*SUMPRODUCT((P$3:P$128="")*(O$3:O$128="")*(N$3:N$128="")*(M$3:M$128="P")*(G$3:G$128=G96)*(J$3:J$128&gt;J96)*(H$3:H$128="L5")))+1,""))))</f>
        <v/>
      </c>
      <c r="C96" s="36" t="s">
        <v>418</v>
      </c>
      <c r="D96" s="36" t="str">
        <f>IF(E96="","",VLOOKUP(E96,'Coaching Points'!A:B,2,0))</f>
        <v>BC</v>
      </c>
      <c r="E96" s="36" t="s">
        <v>585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115</v>
      </c>
      <c r="I96" s="45"/>
      <c r="J96" s="4">
        <f>R96+IF(OR(H96="Junior",H96="Senior"),0.0002,IF(OR(H96="L7",H96="L6"),0.0001,0))+IF(G96="17-21",MAX(AA96,AC96,AF96),AE96)*0.0000001</f>
        <v>8.1819999999999989E-6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49" t="str">
        <f>IF(A96&lt;5,IF(_xlfn.MAXIFS(A:A,G:G,G96)&gt;3,5-A96,_xlfn.MAXIFS(A:A,G:G,G96)+1-A96),"")</f>
        <v/>
      </c>
      <c r="R96" s="4">
        <f>IF(G96="Not Age Eligible",0,IF(G96="17-21",MAX(IF(U96&gt;='Qualifying Scores'!C$13,T96,0),IF(W96&gt;='Qualifying Scores'!C$13,V96,0),IF(Z96&gt;='Qualifying Scores'!C$13,Y96,0),IF(AB96&gt;='Qualifying Scores'!C$13,AA96,0),IF(AD96&gt;'Qualifying Scores'!C$13,AC96,0),IF(AG96&gt;'Qualifying Scores'!C$13,AF96,0)),MAX(IF(OR(AND(G96="15-16",W96&gt;='Qualifying Scores'!C$12),AND(G96="13-14",W96&gt;='Qualifying Scores'!C$11),AND(G96="11-12",W96&gt;='Qualifying Scores'!C$10)),X96,0),IF(OR(AND(G96="15-16",AD96&gt;='Qualifying Scores'!C$12),AND(G96="13-14",AD96&gt;='Qualifying Scores'!C$11),AND(G96="11-12",AD96&gt;='Qualifying Scores'!C$10)),AE96,0))))</f>
        <v>0</v>
      </c>
      <c r="S96" s="4">
        <f>IF(G96="17-21",MAX(T96,V96,Y96,AA96,AC96,AF96),MAX(X96,AE96))</f>
        <v>81.819999999999993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37.44</v>
      </c>
      <c r="AB96" s="40">
        <v>0</v>
      </c>
      <c r="AC96" s="34">
        <v>44.38</v>
      </c>
      <c r="AD96" s="40">
        <v>8.3000000000000007</v>
      </c>
      <c r="AE96" s="4">
        <f>IF(H96="Senior",MAX(AA96,AC96),AA96+AC96)</f>
        <v>81.819999999999993</v>
      </c>
      <c r="AF96" s="34"/>
      <c r="AG96" s="37"/>
    </row>
    <row r="97" spans="1:33" x14ac:dyDescent="0.2">
      <c r="A97" s="1" t="str" cm="1">
        <f t="array" ref="A97">IF(I97="","",IF(P97&lt;&gt;"",SUMPRODUCT((P$3:P$128&lt;&gt;"")*(G$3:G$128=G97)*(J$3:J$128&gt;J97)*(I$3:I$128="P"))+1,IF(O97&lt;&gt;"",SUMPRODUCT((O$3:O$128&lt;&gt;"")*(P$3:P$128="")*(G$3:G$128=G97)*(J$3:J$128&gt;J97)*(I$3:I$128="P"))+SUMPRODUCT((P$3:P$128&lt;&gt;"")*(G$3:G$128=G97)*(I$3:I$128="P"))+1,IF(N97&lt;&gt;"",SUMPRODUCT((N$3:N$128&lt;&gt;"")*(G$3:G$128=G97)*(J$3:J$128&gt;J97)*(I$3:I$128="P"))+1,IF(M97="P",SUMPRODUCT((O$3:O$128&lt;&gt;"")*(P$3:P$128="")*(G$3:G$128=G97)*(I$3:I$128="P"))+SUMPRODUCT((P$3:P$128&lt;&gt;"")*(G$3:G$128=G97)*(I$3:I$128="P"))+SUMPRODUCT((N$3:N$128&lt;&gt;"")*(G$3:G$128=G97)*(I$3:I$128="P"))+SUMPRODUCT((P$3:P$128="")*(O$3:O$128="")*(N$3:N$128="")*(M$3:M$128="P")*(G$3:G$128=G97)*(J$3:J$128&gt;J97)*(I$3:I$128="P"))+IF(H97="L5",SUMPRODUCT((P$3:P$128="")*(O$3:O$128="")*(N$3:N$128="")*(M$3:M$128="P")*(G$3:G$128=G97)*(J$3:J$128&lt;J97)*(H$3:H$128&lt;&gt;H97)*(I$3:I$128="P")),-1*SUMPRODUCT((P$3:P$128="")*(O$3:O$128="")*(N$3:N$128="")*(M$3:M$128="P")*(G$3:G$128=G97)*(J$3:J$128&gt;J97)*(H$3:H$128="L5")*(I$3:I$128="P")))+1,"")))))</f>
        <v/>
      </c>
      <c r="B97" s="1" t="str" cm="1">
        <f t="array" ref="B97">IF(P97&lt;&gt;"",SUMPRODUCT((P$3:P$128&lt;&gt;"")*(G$3:G$128=G97)*(J$3:J$128&gt;J97))+1,IF(O97&lt;&gt;"",SUMPRODUCT((O$3:O$128&lt;&gt;"")*(P$3:P$128="")*(G$3:G$128=G97)*(J$3:J$128&gt;J97))+SUMPRODUCT((P$3:P$128&lt;&gt;"")*(G$3:G$128=G97))+1,IF(N97&lt;&gt;"",SUMPRODUCT((N$3:N$128&lt;&gt;"")*(G$3:G$128=G97)*(J$3:J$128&gt;J97))+1,IF(M97="P",SUMPRODUCT((O$3:O$128&lt;&gt;"")*(P$3:P$128="")*(G$3:G$128=G97))+SUMPRODUCT((P$3:P$128&lt;&gt;"")*(G$3:G$128=G97))+SUMPRODUCT((N$3:N$128&lt;&gt;"")*(G$3:G$128=G97))+SUMPRODUCT((P$3:P$128="")*(O$3:O$128="")*(N$3:N$128="")*(M$3:M$128="P")*(G$3:G$128=G97)*(J$3:J$128&gt;J97))+IF(H97="L5",SUMPRODUCT((P$3:P$128="")*(O$3:O$128="")*(N$3:N$128="")*(M$3:M$128="P")*(G$3:G$128=G97)*(J$3:J$128&lt;J97)*(H$3:H$128&lt;&gt;H97)),-1*SUMPRODUCT((P$3:P$128="")*(O$3:O$128="")*(N$3:N$128="")*(M$3:M$128="P")*(G$3:G$128=G97)*(J$3:J$128&gt;J97)*(H$3:H$128="L5")))+1,""))))</f>
        <v/>
      </c>
      <c r="C97" s="36" t="s">
        <v>429</v>
      </c>
      <c r="D97" s="36" t="str">
        <f>IF(E97="","",VLOOKUP(E97,'Coaching Points'!A:B,2,0))</f>
        <v>ON</v>
      </c>
      <c r="E97" s="36" t="s">
        <v>582</v>
      </c>
      <c r="F97" s="35">
        <v>2006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115</v>
      </c>
      <c r="I97" s="45"/>
      <c r="J97" s="4">
        <f>R97+IF(OR(H97="Junior",H97="Senior"),0.0002,IF(OR(H97="L7",H97="L6"),0.0001,0))+IF(G97="17-21",MAX(AA97,AC97,AF97),AE97)*0.0000001</f>
        <v>8.1650000000000006E-6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49" t="str">
        <f>IF(A97&lt;5,IF(_xlfn.MAXIFS(A:A,G:G,G97)&gt;3,5-A97,_xlfn.MAXIFS(A:A,G:G,G97)+1-A97),"")</f>
        <v/>
      </c>
      <c r="R97" s="4">
        <f>IF(G97="Not Age Eligible",0,IF(G97="17-21",MAX(IF(U97&gt;='Qualifying Scores'!C$13,T97,0),IF(W97&gt;='Qualifying Scores'!C$13,V97,0),IF(Z97&gt;='Qualifying Scores'!C$13,Y97,0),IF(AB97&gt;='Qualifying Scores'!C$13,AA97,0),IF(AD97&gt;'Qualifying Scores'!C$13,AC97,0),IF(AG97&gt;'Qualifying Scores'!C$13,AF97,0)),MAX(IF(OR(AND(G97="15-16",W97&gt;='Qualifying Scores'!C$12),AND(G97="13-14",W97&gt;='Qualifying Scores'!C$11),AND(G97="11-12",W97&gt;='Qualifying Scores'!C$10)),X97,0),IF(OR(AND(G97="15-16",AD97&gt;='Qualifying Scores'!C$12),AND(G97="13-14",AD97&gt;='Qualifying Scores'!C$11),AND(G97="11-12",AD97&gt;='Qualifying Scores'!C$10)),AE97,0))))</f>
        <v>0</v>
      </c>
      <c r="S97" s="4">
        <f>IF(G97="17-21",MAX(T97,V97,Y97,AA97,AC97,AF97),MAX(X97,AE97))</f>
        <v>81.650000000000006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37.93</v>
      </c>
      <c r="AB97" s="40">
        <v>0</v>
      </c>
      <c r="AC97" s="34">
        <v>43.72</v>
      </c>
      <c r="AD97" s="40">
        <v>8.4</v>
      </c>
      <c r="AE97" s="4">
        <f>IF(H97="Senior",MAX(AA97,AC97),AA97+AC97)</f>
        <v>81.650000000000006</v>
      </c>
      <c r="AF97" s="34"/>
      <c r="AG97" s="37"/>
    </row>
    <row r="98" spans="1:33" x14ac:dyDescent="0.2">
      <c r="A98" s="1" t="str" cm="1">
        <f t="array" ref="A98">IF(I98="","",IF(P98&lt;&gt;"",SUMPRODUCT((P$3:P$128&lt;&gt;"")*(G$3:G$128=G98)*(J$3:J$128&gt;J98)*(I$3:I$128="P"))+1,IF(O98&lt;&gt;"",SUMPRODUCT((O$3:O$128&lt;&gt;"")*(P$3:P$128="")*(G$3:G$128=G98)*(J$3:J$128&gt;J98)*(I$3:I$128="P"))+SUMPRODUCT((P$3:P$128&lt;&gt;"")*(G$3:G$128=G98)*(I$3:I$128="P"))+1,IF(N98&lt;&gt;"",SUMPRODUCT((N$3:N$128&lt;&gt;"")*(G$3:G$128=G98)*(J$3:J$128&gt;J98)*(I$3:I$128="P"))+1,IF(M98="P",SUMPRODUCT((O$3:O$128&lt;&gt;"")*(P$3:P$128="")*(G$3:G$128=G98)*(I$3:I$128="P"))+SUMPRODUCT((P$3:P$128&lt;&gt;"")*(G$3:G$128=G98)*(I$3:I$128="P"))+SUMPRODUCT((N$3:N$128&lt;&gt;"")*(G$3:G$128=G98)*(I$3:I$128="P"))+SUMPRODUCT((P$3:P$128="")*(O$3:O$128="")*(N$3:N$128="")*(M$3:M$128="P")*(G$3:G$128=G98)*(J$3:J$128&gt;J98)*(I$3:I$128="P"))+IF(H98="L5",SUMPRODUCT((P$3:P$128="")*(O$3:O$128="")*(N$3:N$128="")*(M$3:M$128="P")*(G$3:G$128=G98)*(J$3:J$128&lt;J98)*(H$3:H$128&lt;&gt;H98)*(I$3:I$128="P")),-1*SUMPRODUCT((P$3:P$128="")*(O$3:O$128="")*(N$3:N$128="")*(M$3:M$128="P")*(G$3:G$128=G98)*(J$3:J$128&gt;J98)*(H$3:H$128="L5")*(I$3:I$128="P")))+1,"")))))</f>
        <v/>
      </c>
      <c r="B98" s="1" t="str" cm="1">
        <f t="array" ref="B98">IF(P98&lt;&gt;"",SUMPRODUCT((P$3:P$128&lt;&gt;"")*(G$3:G$128=G98)*(J$3:J$128&gt;J98))+1,IF(O98&lt;&gt;"",SUMPRODUCT((O$3:O$128&lt;&gt;"")*(P$3:P$128="")*(G$3:G$128=G98)*(J$3:J$128&gt;J98))+SUMPRODUCT((P$3:P$128&lt;&gt;"")*(G$3:G$128=G98))+1,IF(N98&lt;&gt;"",SUMPRODUCT((N$3:N$128&lt;&gt;"")*(G$3:G$128=G98)*(J$3:J$128&gt;J98))+1,IF(M98="P",SUMPRODUCT((O$3:O$128&lt;&gt;"")*(P$3:P$128="")*(G$3:G$128=G98))+SUMPRODUCT((P$3:P$128&lt;&gt;"")*(G$3:G$128=G98))+SUMPRODUCT((N$3:N$128&lt;&gt;"")*(G$3:G$128=G98))+SUMPRODUCT((P$3:P$128="")*(O$3:O$128="")*(N$3:N$128="")*(M$3:M$128="P")*(G$3:G$128=G98)*(J$3:J$128&gt;J98))+IF(H98="L5",SUMPRODUCT((P$3:P$128="")*(O$3:O$128="")*(N$3:N$128="")*(M$3:M$128="P")*(G$3:G$128=G98)*(J$3:J$128&lt;J98)*(H$3:H$128&lt;&gt;H98)),-1*SUMPRODUCT((P$3:P$128="")*(O$3:O$128="")*(N$3:N$128="")*(M$3:M$128="P")*(G$3:G$128=G98)*(J$3:J$128&gt;J98)*(H$3:H$128="L5")))+1,""))))</f>
        <v/>
      </c>
      <c r="C98" s="36" t="s">
        <v>240</v>
      </c>
      <c r="D98" s="36" t="str">
        <f>IF(E98="","",VLOOKUP(E98,'Coaching Points'!A:B,2,0))</f>
        <v>QC</v>
      </c>
      <c r="E98" s="36" t="s">
        <v>581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115</v>
      </c>
      <c r="I98" s="45"/>
      <c r="J98" s="4">
        <f>R98+IF(OR(H98="Junior",H98="Senior"),0.0002,IF(OR(H98="L7",H98="L6"),0.0001,0))+IF(G98="17-21",MAX(AA98,AC98,AF98),AE98)*0.0000001</f>
        <v>8.106E-6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49" t="str">
        <f>IF(A98&lt;5,IF(_xlfn.MAXIFS(A:A,G:G,G98)&gt;3,5-A98,_xlfn.MAXIFS(A:A,G:G,G98)+1-A98),"")</f>
        <v/>
      </c>
      <c r="R98" s="4">
        <f>IF(G98="Not Age Eligible",0,IF(G98="17-21",MAX(IF(U98&gt;='Qualifying Scores'!C$13,T98,0),IF(W98&gt;='Qualifying Scores'!C$13,V98,0),IF(Z98&gt;='Qualifying Scores'!C$13,Y98,0),IF(AB98&gt;='Qualifying Scores'!C$13,AA98,0),IF(AD98&gt;'Qualifying Scores'!C$13,AC98,0),IF(AG98&gt;'Qualifying Scores'!C$13,AF98,0)),MAX(IF(OR(AND(G98="15-16",W98&gt;='Qualifying Scores'!C$12),AND(G98="13-14",W98&gt;='Qualifying Scores'!C$11),AND(G98="11-12",W98&gt;='Qualifying Scores'!C$10)),X98,0),IF(OR(AND(G98="15-16",AD98&gt;='Qualifying Scores'!C$12),AND(G98="13-14",AD98&gt;='Qualifying Scores'!C$11),AND(G98="11-12",AD98&gt;='Qualifying Scores'!C$10)),AE98,0))))</f>
        <v>0</v>
      </c>
      <c r="S98" s="4">
        <f>IF(G98="17-21",MAX(T98,V98,Y98,AA98,AC98,AF98),MAX(X98,AE98))</f>
        <v>82.69</v>
      </c>
      <c r="T98" s="33">
        <v>38.26</v>
      </c>
      <c r="U98" s="40">
        <v>0</v>
      </c>
      <c r="V98" s="34">
        <v>44.43</v>
      </c>
      <c r="W98" s="40">
        <v>7.0999999999999988</v>
      </c>
      <c r="X98" s="4">
        <f>IF(H98="Senior",MAX(T98,V98),T98+V98)</f>
        <v>82.69</v>
      </c>
      <c r="Y98" s="34">
        <v>44.269999999999996</v>
      </c>
      <c r="Z98" s="40">
        <v>7.0999999999999988</v>
      </c>
      <c r="AA98" s="33">
        <v>37.130000000000003</v>
      </c>
      <c r="AB98" s="40">
        <v>0</v>
      </c>
      <c r="AC98" s="34">
        <v>43.93</v>
      </c>
      <c r="AD98" s="40">
        <v>7</v>
      </c>
      <c r="AE98" s="4">
        <f>IF(H98="Senior",MAX(AA98,AC98),AA98+AC98)</f>
        <v>81.06</v>
      </c>
      <c r="AF98" s="34"/>
      <c r="AG98" s="37"/>
    </row>
    <row r="99" spans="1:33" x14ac:dyDescent="0.2">
      <c r="A99" s="1" t="str" cm="1">
        <f t="array" ref="A99">IF(I99="","",IF(P99&lt;&gt;"",SUMPRODUCT((P$3:P$128&lt;&gt;"")*(G$3:G$128=G99)*(J$3:J$128&gt;J99)*(I$3:I$128="P"))+1,IF(O99&lt;&gt;"",SUMPRODUCT((O$3:O$128&lt;&gt;"")*(P$3:P$128="")*(G$3:G$128=G99)*(J$3:J$128&gt;J99)*(I$3:I$128="P"))+SUMPRODUCT((P$3:P$128&lt;&gt;"")*(G$3:G$128=G99)*(I$3:I$128="P"))+1,IF(N99&lt;&gt;"",SUMPRODUCT((N$3:N$128&lt;&gt;"")*(G$3:G$128=G99)*(J$3:J$128&gt;J99)*(I$3:I$128="P"))+1,IF(M99="P",SUMPRODUCT((O$3:O$128&lt;&gt;"")*(P$3:P$128="")*(G$3:G$128=G99)*(I$3:I$128="P"))+SUMPRODUCT((P$3:P$128&lt;&gt;"")*(G$3:G$128=G99)*(I$3:I$128="P"))+SUMPRODUCT((N$3:N$128&lt;&gt;"")*(G$3:G$128=G99)*(I$3:I$128="P"))+SUMPRODUCT((P$3:P$128="")*(O$3:O$128="")*(N$3:N$128="")*(M$3:M$128="P")*(G$3:G$128=G99)*(J$3:J$128&gt;J99)*(I$3:I$128="P"))+IF(H99="L5",SUMPRODUCT((P$3:P$128="")*(O$3:O$128="")*(N$3:N$128="")*(M$3:M$128="P")*(G$3:G$128=G99)*(J$3:J$128&lt;J99)*(H$3:H$128&lt;&gt;H99)*(I$3:I$128="P")),-1*SUMPRODUCT((P$3:P$128="")*(O$3:O$128="")*(N$3:N$128="")*(M$3:M$128="P")*(G$3:G$128=G99)*(J$3:J$128&gt;J99)*(H$3:H$128="L5")*(I$3:I$128="P")))+1,"")))))</f>
        <v/>
      </c>
      <c r="B99" s="1" t="str" cm="1">
        <f t="array" ref="B99">IF(P99&lt;&gt;"",SUMPRODUCT((P$3:P$128&lt;&gt;"")*(G$3:G$128=G99)*(J$3:J$128&gt;J99))+1,IF(O99&lt;&gt;"",SUMPRODUCT((O$3:O$128&lt;&gt;"")*(P$3:P$128="")*(G$3:G$128=G99)*(J$3:J$128&gt;J99))+SUMPRODUCT((P$3:P$128&lt;&gt;"")*(G$3:G$128=G99))+1,IF(N99&lt;&gt;"",SUMPRODUCT((N$3:N$128&lt;&gt;"")*(G$3:G$128=G99)*(J$3:J$128&gt;J99))+1,IF(M99="P",SUMPRODUCT((O$3:O$128&lt;&gt;"")*(P$3:P$128="")*(G$3:G$128=G99))+SUMPRODUCT((P$3:P$128&lt;&gt;"")*(G$3:G$128=G99))+SUMPRODUCT((N$3:N$128&lt;&gt;"")*(G$3:G$128=G99))+SUMPRODUCT((P$3:P$128="")*(O$3:O$128="")*(N$3:N$128="")*(M$3:M$128="P")*(G$3:G$128=G99)*(J$3:J$128&gt;J99))+IF(H99="L5",SUMPRODUCT((P$3:P$128="")*(O$3:O$128="")*(N$3:N$128="")*(M$3:M$128="P")*(G$3:G$128=G99)*(J$3:J$128&lt;J99)*(H$3:H$128&lt;&gt;H99)),-1*SUMPRODUCT((P$3:P$128="")*(O$3:O$128="")*(N$3:N$128="")*(M$3:M$128="P")*(G$3:G$128=G99)*(J$3:J$128&gt;J99)*(H$3:H$128="L5")))+1,""))))</f>
        <v/>
      </c>
      <c r="C99" s="36" t="s">
        <v>238</v>
      </c>
      <c r="D99" s="36" t="str">
        <f>IF(E99="","",VLOOKUP(E99,'Coaching Points'!A:B,2,0))</f>
        <v>ON</v>
      </c>
      <c r="E99" s="36" t="s">
        <v>38</v>
      </c>
      <c r="F99" s="35">
        <v>2006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115</v>
      </c>
      <c r="I99" s="45"/>
      <c r="J99" s="4">
        <f>R99+IF(OR(H99="Junior",H99="Senior"),0.0002,IF(OR(H99="L7",H99="L6"),0.0001,0))+IF(G99="17-21",MAX(AA99,AC99,AF99),AE99)*0.0000001</f>
        <v>8.0829999999999987E-6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49" t="str">
        <f>IF(A99&lt;5,IF(_xlfn.MAXIFS(A:A,G:G,G99)&gt;3,5-A99,_xlfn.MAXIFS(A:A,G:G,G99)+1-A99),"")</f>
        <v/>
      </c>
      <c r="R99" s="4">
        <f>IF(G99="Not Age Eligible",0,IF(G99="17-21",MAX(IF(U99&gt;='Qualifying Scores'!C$13,T99,0),IF(W99&gt;='Qualifying Scores'!C$13,V99,0),IF(Z99&gt;='Qualifying Scores'!C$13,Y99,0),IF(AB99&gt;='Qualifying Scores'!C$13,AA99,0),IF(AD99&gt;'Qualifying Scores'!C$13,AC99,0),IF(AG99&gt;'Qualifying Scores'!C$13,AF99,0)),MAX(IF(OR(AND(G99="15-16",W99&gt;='Qualifying Scores'!C$12),AND(G99="13-14",W99&gt;='Qualifying Scores'!C$11),AND(G99="11-12",W99&gt;='Qualifying Scores'!C$10)),X99,0),IF(OR(AND(G99="15-16",AD99&gt;='Qualifying Scores'!C$12),AND(G99="13-14",AD99&gt;='Qualifying Scores'!C$11),AND(G99="11-12",AD99&gt;='Qualifying Scores'!C$10)),AE99,0))))</f>
        <v>0</v>
      </c>
      <c r="S99" s="4">
        <f>IF(G99="17-21",MAX(T99,V99,Y99,AA99,AC99,AF99),MAX(X99,AE99))</f>
        <v>82.28</v>
      </c>
      <c r="T99" s="33">
        <v>37.949999999999996</v>
      </c>
      <c r="U99" s="40">
        <v>0</v>
      </c>
      <c r="V99" s="34">
        <v>44.33</v>
      </c>
      <c r="W99" s="40">
        <v>7.6</v>
      </c>
      <c r="X99" s="4">
        <f>IF(H99="Senior",MAX(T99,V99),T99+V99)</f>
        <v>82.28</v>
      </c>
      <c r="Y99" s="34">
        <v>45.730000000000004</v>
      </c>
      <c r="Z99" s="40">
        <v>7.6</v>
      </c>
      <c r="AA99" s="33">
        <v>37.53</v>
      </c>
      <c r="AB99" s="40">
        <v>0</v>
      </c>
      <c r="AC99" s="34">
        <v>43.3</v>
      </c>
      <c r="AD99" s="40">
        <v>7.6</v>
      </c>
      <c r="AE99" s="4">
        <f>IF(H99="Senior",MAX(AA99,AC99),AA99+AC99)</f>
        <v>80.83</v>
      </c>
      <c r="AF99" s="34"/>
      <c r="AG99" s="37"/>
    </row>
    <row r="100" spans="1:33" x14ac:dyDescent="0.2">
      <c r="A100" s="1" t="str" cm="1">
        <f t="array" ref="A100">IF(I100="","",IF(P100&lt;&gt;"",SUMPRODUCT((P$3:P$128&lt;&gt;"")*(G$3:G$128=G100)*(J$3:J$128&gt;J100)*(I$3:I$128="P"))+1,IF(O100&lt;&gt;"",SUMPRODUCT((O$3:O$128&lt;&gt;"")*(P$3:P$128="")*(G$3:G$128=G100)*(J$3:J$128&gt;J100)*(I$3:I$128="P"))+SUMPRODUCT((P$3:P$128&lt;&gt;"")*(G$3:G$128=G100)*(I$3:I$128="P"))+1,IF(N100&lt;&gt;"",SUMPRODUCT((N$3:N$128&lt;&gt;"")*(G$3:G$128=G100)*(J$3:J$128&gt;J100)*(I$3:I$128="P"))+1,IF(M100="P",SUMPRODUCT((O$3:O$128&lt;&gt;"")*(P$3:P$128="")*(G$3:G$128=G100)*(I$3:I$128="P"))+SUMPRODUCT((P$3:P$128&lt;&gt;"")*(G$3:G$128=G100)*(I$3:I$128="P"))+SUMPRODUCT((N$3:N$128&lt;&gt;"")*(G$3:G$128=G100)*(I$3:I$128="P"))+SUMPRODUCT((P$3:P$128="")*(O$3:O$128="")*(N$3:N$128="")*(M$3:M$128="P")*(G$3:G$128=G100)*(J$3:J$128&gt;J100)*(I$3:I$128="P"))+IF(H100="L5",SUMPRODUCT((P$3:P$128="")*(O$3:O$128="")*(N$3:N$128="")*(M$3:M$128="P")*(G$3:G$128=G100)*(J$3:J$128&lt;J100)*(H$3:H$128&lt;&gt;H100)*(I$3:I$128="P")),-1*SUMPRODUCT((P$3:P$128="")*(O$3:O$128="")*(N$3:N$128="")*(M$3:M$128="P")*(G$3:G$128=G100)*(J$3:J$128&gt;J100)*(H$3:H$128="L5")*(I$3:I$128="P")))+1,"")))))</f>
        <v/>
      </c>
      <c r="B100" s="1" t="str" cm="1">
        <f t="array" ref="B100">IF(P100&lt;&gt;"",SUMPRODUCT((P$3:P$128&lt;&gt;"")*(G$3:G$128=G100)*(J$3:J$128&gt;J100))+1,IF(O100&lt;&gt;"",SUMPRODUCT((O$3:O$128&lt;&gt;"")*(P$3:P$128="")*(G$3:G$128=G100)*(J$3:J$128&gt;J100))+SUMPRODUCT((P$3:P$128&lt;&gt;"")*(G$3:G$128=G100))+1,IF(N100&lt;&gt;"",SUMPRODUCT((N$3:N$128&lt;&gt;"")*(G$3:G$128=G100)*(J$3:J$128&gt;J100))+1,IF(M100="P",SUMPRODUCT((O$3:O$128&lt;&gt;"")*(P$3:P$128="")*(G$3:G$128=G100))+SUMPRODUCT((P$3:P$128&lt;&gt;"")*(G$3:G$128=G100))+SUMPRODUCT((N$3:N$128&lt;&gt;"")*(G$3:G$128=G100))+SUMPRODUCT((P$3:P$128="")*(O$3:O$128="")*(N$3:N$128="")*(M$3:M$128="P")*(G$3:G$128=G100)*(J$3:J$128&gt;J100))+IF(H100="L5",SUMPRODUCT((P$3:P$128="")*(O$3:O$128="")*(N$3:N$128="")*(M$3:M$128="P")*(G$3:G$128=G100)*(J$3:J$128&lt;J100)*(H$3:H$128&lt;&gt;H100)),-1*SUMPRODUCT((P$3:P$128="")*(O$3:O$128="")*(N$3:N$128="")*(M$3:M$128="P")*(G$3:G$128=G100)*(J$3:J$128&gt;J100)*(H$3:H$128="L5")))+1,""))))</f>
        <v/>
      </c>
      <c r="C100" s="36" t="s">
        <v>428</v>
      </c>
      <c r="D100" s="36" t="str">
        <f>IF(E100="","",VLOOKUP(E100,'Coaching Points'!A:B,2,0))</f>
        <v>NS</v>
      </c>
      <c r="E100" s="36" t="s">
        <v>257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115</v>
      </c>
      <c r="I100" s="45"/>
      <c r="J100" s="4">
        <f>R100+IF(OR(H100="Junior",H100="Senior"),0.0002,IF(OR(H100="L7",H100="L6"),0.0001,0))+IF(G100="17-21",MAX(AA100,AC100,AF100),AE100)*0.0000001</f>
        <v>7.9889999999999992E-6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49" t="str">
        <f>IF(A100&lt;5,IF(_xlfn.MAXIFS(A:A,G:G,G100)&gt;3,5-A100,_xlfn.MAXIFS(A:A,G:G,G100)+1-A100),"")</f>
        <v/>
      </c>
      <c r="R100" s="4">
        <f>IF(G100="Not Age Eligible",0,IF(G100="17-21",MAX(IF(U100&gt;='Qualifying Scores'!C$13,T100,0),IF(W100&gt;='Qualifying Scores'!C$13,V100,0),IF(Z100&gt;='Qualifying Scores'!C$13,Y100,0),IF(AB100&gt;='Qualifying Scores'!C$13,AA100,0),IF(AD100&gt;'Qualifying Scores'!C$13,AC100,0),IF(AG100&gt;'Qualifying Scores'!C$13,AF100,0)),MAX(IF(OR(AND(G100="15-16",W100&gt;='Qualifying Scores'!C$12),AND(G100="13-14",W100&gt;='Qualifying Scores'!C$11),AND(G100="11-12",W100&gt;='Qualifying Scores'!C$10)),X100,0),IF(OR(AND(G100="15-16",AD100&gt;='Qualifying Scores'!C$12),AND(G100="13-14",AD100&gt;='Qualifying Scores'!C$11),AND(G100="11-12",AD100&gt;='Qualifying Scores'!C$10)),AE100,0))))</f>
        <v>0</v>
      </c>
      <c r="S100" s="4">
        <f>IF(G100="17-21",MAX(T100,V100,Y100,AA100,AC100,AF100),MAX(X100,AE100))</f>
        <v>79.89</v>
      </c>
      <c r="T100" s="33"/>
      <c r="U100" s="40"/>
      <c r="V100" s="34"/>
      <c r="W100" s="40"/>
      <c r="X100" s="4">
        <f>IF(H100="Senior",MAX(T100,V100),T100+V100)</f>
        <v>0</v>
      </c>
      <c r="Y100" s="34"/>
      <c r="Z100" s="40"/>
      <c r="AA100" s="33">
        <v>37.270000000000003</v>
      </c>
      <c r="AB100" s="40">
        <v>0</v>
      </c>
      <c r="AC100" s="34">
        <v>42.62</v>
      </c>
      <c r="AD100" s="40">
        <v>7.8</v>
      </c>
      <c r="AE100" s="4">
        <f>IF(H100="Senior",MAX(AA100,AC100),AA100+AC100)</f>
        <v>79.89</v>
      </c>
      <c r="AF100" s="34"/>
      <c r="AG100" s="37"/>
    </row>
    <row r="101" spans="1:33" x14ac:dyDescent="0.2">
      <c r="A101" s="1" t="str" cm="1">
        <f t="array" ref="A101">IF(I101="","",IF(P101&lt;&gt;"",SUMPRODUCT((P$3:P$128&lt;&gt;"")*(G$3:G$128=G101)*(J$3:J$128&gt;J101)*(I$3:I$128="P"))+1,IF(O101&lt;&gt;"",SUMPRODUCT((O$3:O$128&lt;&gt;"")*(P$3:P$128="")*(G$3:G$128=G101)*(J$3:J$128&gt;J101)*(I$3:I$128="P"))+SUMPRODUCT((P$3:P$128&lt;&gt;"")*(G$3:G$128=G101)*(I$3:I$128="P"))+1,IF(N101&lt;&gt;"",SUMPRODUCT((N$3:N$128&lt;&gt;"")*(G$3:G$128=G101)*(J$3:J$128&gt;J101)*(I$3:I$128="P"))+1,IF(M101="P",SUMPRODUCT((O$3:O$128&lt;&gt;"")*(P$3:P$128="")*(G$3:G$128=G101)*(I$3:I$128="P"))+SUMPRODUCT((P$3:P$128&lt;&gt;"")*(G$3:G$128=G101)*(I$3:I$128="P"))+SUMPRODUCT((N$3:N$128&lt;&gt;"")*(G$3:G$128=G101)*(I$3:I$128="P"))+SUMPRODUCT((P$3:P$128="")*(O$3:O$128="")*(N$3:N$128="")*(M$3:M$128="P")*(G$3:G$128=G101)*(J$3:J$128&gt;J101)*(I$3:I$128="P"))+IF(H101="L5",SUMPRODUCT((P$3:P$128="")*(O$3:O$128="")*(N$3:N$128="")*(M$3:M$128="P")*(G$3:G$128=G101)*(J$3:J$128&lt;J101)*(H$3:H$128&lt;&gt;H101)*(I$3:I$128="P")),-1*SUMPRODUCT((P$3:P$128="")*(O$3:O$128="")*(N$3:N$128="")*(M$3:M$128="P")*(G$3:G$128=G101)*(J$3:J$128&gt;J101)*(H$3:H$128="L5")*(I$3:I$128="P")))+1,"")))))</f>
        <v/>
      </c>
      <c r="B101" s="1" t="str" cm="1">
        <f t="array" ref="B101">IF(P101&lt;&gt;"",SUMPRODUCT((P$3:P$128&lt;&gt;"")*(G$3:G$128=G101)*(J$3:J$128&gt;J101))+1,IF(O101&lt;&gt;"",SUMPRODUCT((O$3:O$128&lt;&gt;"")*(P$3:P$128="")*(G$3:G$128=G101)*(J$3:J$128&gt;J101))+SUMPRODUCT((P$3:P$128&lt;&gt;"")*(G$3:G$128=G101))+1,IF(N101&lt;&gt;"",SUMPRODUCT((N$3:N$128&lt;&gt;"")*(G$3:G$128=G101)*(J$3:J$128&gt;J101))+1,IF(M101="P",SUMPRODUCT((O$3:O$128&lt;&gt;"")*(P$3:P$128="")*(G$3:G$128=G101))+SUMPRODUCT((P$3:P$128&lt;&gt;"")*(G$3:G$128=G101))+SUMPRODUCT((N$3:N$128&lt;&gt;"")*(G$3:G$128=G101))+SUMPRODUCT((P$3:P$128="")*(O$3:O$128="")*(N$3:N$128="")*(M$3:M$128="P")*(G$3:G$128=G101)*(J$3:J$128&gt;J101))+IF(H101="L5",SUMPRODUCT((P$3:P$128="")*(O$3:O$128="")*(N$3:N$128="")*(M$3:M$128="P")*(G$3:G$128=G101)*(J$3:J$128&lt;J101)*(H$3:H$128&lt;&gt;H101)),-1*SUMPRODUCT((P$3:P$128="")*(O$3:O$128="")*(N$3:N$128="")*(M$3:M$128="P")*(G$3:G$128=G101)*(J$3:J$128&gt;J101)*(H$3:H$128="L5")))+1,""))))</f>
        <v/>
      </c>
      <c r="C101" s="36" t="s">
        <v>427</v>
      </c>
      <c r="D101" s="36" t="str">
        <f>IF(E101="","",VLOOKUP(E101,'Coaching Points'!A:B,2,0))</f>
        <v>AB</v>
      </c>
      <c r="E101" s="36" t="s">
        <v>29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115</v>
      </c>
      <c r="I101" s="45"/>
      <c r="J101" s="4">
        <f>R101+IF(OR(H101="Junior",H101="Senior"),0.0002,IF(OR(H101="L7",H101="L6"),0.0001,0))+IF(G101="17-21",MAX(AA101,AC101,AF101),AE101)*0.0000001</f>
        <v>7.9740000000000002E-6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49" t="str">
        <f>IF(A101&lt;5,IF(_xlfn.MAXIFS(A:A,G:G,G101)&gt;3,5-A101,_xlfn.MAXIFS(A:A,G:G,G101)+1-A101),"")</f>
        <v/>
      </c>
      <c r="R101" s="4">
        <f>IF(G101="Not Age Eligible",0,IF(G101="17-21",MAX(IF(U101&gt;='Qualifying Scores'!C$13,T101,0),IF(W101&gt;='Qualifying Scores'!C$13,V101,0),IF(Z101&gt;='Qualifying Scores'!C$13,Y101,0),IF(AB101&gt;='Qualifying Scores'!C$13,AA101,0),IF(AD101&gt;'Qualifying Scores'!C$13,AC101,0),IF(AG101&gt;'Qualifying Scores'!C$13,AF101,0)),MAX(IF(OR(AND(G101="15-16",W101&gt;='Qualifying Scores'!C$12),AND(G101="13-14",W101&gt;='Qualifying Scores'!C$11),AND(G101="11-12",W101&gt;='Qualifying Scores'!C$10)),X101,0),IF(OR(AND(G101="15-16",AD101&gt;='Qualifying Scores'!C$12),AND(G101="13-14",AD101&gt;='Qualifying Scores'!C$11),AND(G101="11-12",AD101&gt;='Qualifying Scores'!C$10)),AE101,0))))</f>
        <v>0</v>
      </c>
      <c r="S101" s="4">
        <f>IF(G101="17-21",MAX(T101,V101,Y101,AA101,AC101,AF101),MAX(X101,AE101))</f>
        <v>79.740000000000009</v>
      </c>
      <c r="T101" s="33"/>
      <c r="U101" s="40"/>
      <c r="V101" s="34"/>
      <c r="W101" s="40"/>
      <c r="X101" s="4">
        <f>IF(H101="Senior",MAX(T101,V101),T101+V101)</f>
        <v>0</v>
      </c>
      <c r="Y101" s="34"/>
      <c r="Z101" s="40"/>
      <c r="AA101" s="33">
        <v>36.93</v>
      </c>
      <c r="AB101" s="40">
        <v>0</v>
      </c>
      <c r="AC101" s="34">
        <v>42.81</v>
      </c>
      <c r="AD101" s="40">
        <v>7.5</v>
      </c>
      <c r="AE101" s="4">
        <f>IF(H101="Senior",MAX(AA101,AC101),AA101+AC101)</f>
        <v>79.740000000000009</v>
      </c>
      <c r="AF101" s="34"/>
      <c r="AG101" s="37"/>
    </row>
    <row r="102" spans="1:33" x14ac:dyDescent="0.2">
      <c r="A102" s="1" t="str" cm="1">
        <f t="array" ref="A102">IF(I102="","",IF(P102&lt;&gt;"",SUMPRODUCT((P$3:P$128&lt;&gt;"")*(G$3:G$128=G102)*(J$3:J$128&gt;J102)*(I$3:I$128="P"))+1,IF(O102&lt;&gt;"",SUMPRODUCT((O$3:O$128&lt;&gt;"")*(P$3:P$128="")*(G$3:G$128=G102)*(J$3:J$128&gt;J102)*(I$3:I$128="P"))+SUMPRODUCT((P$3:P$128&lt;&gt;"")*(G$3:G$128=G102)*(I$3:I$128="P"))+1,IF(N102&lt;&gt;"",SUMPRODUCT((N$3:N$128&lt;&gt;"")*(G$3:G$128=G102)*(J$3:J$128&gt;J102)*(I$3:I$128="P"))+1,IF(M102="P",SUMPRODUCT((O$3:O$128&lt;&gt;"")*(P$3:P$128="")*(G$3:G$128=G102)*(I$3:I$128="P"))+SUMPRODUCT((P$3:P$128&lt;&gt;"")*(G$3:G$128=G102)*(I$3:I$128="P"))+SUMPRODUCT((N$3:N$128&lt;&gt;"")*(G$3:G$128=G102)*(I$3:I$128="P"))+SUMPRODUCT((P$3:P$128="")*(O$3:O$128="")*(N$3:N$128="")*(M$3:M$128="P")*(G$3:G$128=G102)*(J$3:J$128&gt;J102)*(I$3:I$128="P"))+IF(H102="L5",SUMPRODUCT((P$3:P$128="")*(O$3:O$128="")*(N$3:N$128="")*(M$3:M$128="P")*(G$3:G$128=G102)*(J$3:J$128&lt;J102)*(H$3:H$128&lt;&gt;H102)*(I$3:I$128="P")),-1*SUMPRODUCT((P$3:P$128="")*(O$3:O$128="")*(N$3:N$128="")*(M$3:M$128="P")*(G$3:G$128=G102)*(J$3:J$128&gt;J102)*(H$3:H$128="L5")*(I$3:I$128="P")))+1,"")))))</f>
        <v/>
      </c>
      <c r="B102" s="1" t="str" cm="1">
        <f t="array" ref="B102">IF(P102&lt;&gt;"",SUMPRODUCT((P$3:P$128&lt;&gt;"")*(G$3:G$128=G102)*(J$3:J$128&gt;J102))+1,IF(O102&lt;&gt;"",SUMPRODUCT((O$3:O$128&lt;&gt;"")*(P$3:P$128="")*(G$3:G$128=G102)*(J$3:J$128&gt;J102))+SUMPRODUCT((P$3:P$128&lt;&gt;"")*(G$3:G$128=G102))+1,IF(N102&lt;&gt;"",SUMPRODUCT((N$3:N$128&lt;&gt;"")*(G$3:G$128=G102)*(J$3:J$128&gt;J102))+1,IF(M102="P",SUMPRODUCT((O$3:O$128&lt;&gt;"")*(P$3:P$128="")*(G$3:G$128=G102))+SUMPRODUCT((P$3:P$128&lt;&gt;"")*(G$3:G$128=G102))+SUMPRODUCT((N$3:N$128&lt;&gt;"")*(G$3:G$128=G102))+SUMPRODUCT((P$3:P$128="")*(O$3:O$128="")*(N$3:N$128="")*(M$3:M$128="P")*(G$3:G$128=G102)*(J$3:J$128&gt;J102))+IF(H102="L5",SUMPRODUCT((P$3:P$128="")*(O$3:O$128="")*(N$3:N$128="")*(M$3:M$128="P")*(G$3:G$128=G102)*(J$3:J$128&lt;J102)*(H$3:H$128&lt;&gt;H102)),-1*SUMPRODUCT((P$3:P$128="")*(O$3:O$128="")*(N$3:N$128="")*(M$3:M$128="P")*(G$3:G$128=G102)*(J$3:J$128&gt;J102)*(H$3:H$128="L5")))+1,""))))</f>
        <v/>
      </c>
      <c r="C102" s="36" t="s">
        <v>423</v>
      </c>
      <c r="D102" s="36" t="str">
        <f>IF(E102="","",VLOOKUP(E102,'Coaching Points'!A:B,2,0))</f>
        <v>ON</v>
      </c>
      <c r="E102" s="36" t="s">
        <v>578</v>
      </c>
      <c r="F102" s="35">
        <v>2006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115</v>
      </c>
      <c r="I102" s="45"/>
      <c r="J102" s="4">
        <f>R102+IF(OR(H102="Junior",H102="Senior"),0.0002,IF(OR(H102="L7",H102="L6"),0.0001,0))+IF(G102="17-21",MAX(AA102,AC102,AF102),AE102)*0.0000001</f>
        <v>7.9699999999999982E-6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49" t="str">
        <f>IF(A102&lt;5,IF(_xlfn.MAXIFS(A:A,G:G,G102)&gt;3,5-A102,_xlfn.MAXIFS(A:A,G:G,G102)+1-A102),"")</f>
        <v/>
      </c>
      <c r="R102" s="4">
        <f>IF(G102="Not Age Eligible",0,IF(G102="17-21",MAX(IF(U102&gt;='Qualifying Scores'!C$13,T102,0),IF(W102&gt;='Qualifying Scores'!C$13,V102,0),IF(Z102&gt;='Qualifying Scores'!C$13,Y102,0),IF(AB102&gt;='Qualifying Scores'!C$13,AA102,0),IF(AD102&gt;'Qualifying Scores'!C$13,AC102,0),IF(AG102&gt;'Qualifying Scores'!C$13,AF102,0)),MAX(IF(OR(AND(G102="15-16",W102&gt;='Qualifying Scores'!C$12),AND(G102="13-14",W102&gt;='Qualifying Scores'!C$11),AND(G102="11-12",W102&gt;='Qualifying Scores'!C$10)),X102,0),IF(OR(AND(G102="15-16",AD102&gt;='Qualifying Scores'!C$12),AND(G102="13-14",AD102&gt;='Qualifying Scores'!C$11),AND(G102="11-12",AD102&gt;='Qualifying Scores'!C$10)),AE102,0))))</f>
        <v>0</v>
      </c>
      <c r="S102" s="4">
        <f>IF(G102="17-21",MAX(T102,V102,Y102,AA102,AC102,AF102),MAX(X102,AE102))</f>
        <v>79.699999999999989</v>
      </c>
      <c r="T102" s="33"/>
      <c r="U102" s="40"/>
      <c r="V102" s="34"/>
      <c r="W102" s="40"/>
      <c r="X102" s="4">
        <f>IF(H102="Senior",MAX(T102,V102),T102+V102)</f>
        <v>0</v>
      </c>
      <c r="Y102" s="34"/>
      <c r="Z102" s="40"/>
      <c r="AA102" s="33">
        <v>37.159999999999997</v>
      </c>
      <c r="AB102" s="40">
        <v>0</v>
      </c>
      <c r="AC102" s="34">
        <v>42.54</v>
      </c>
      <c r="AD102" s="40">
        <v>7</v>
      </c>
      <c r="AE102" s="4">
        <f>IF(H102="Senior",MAX(AA102,AC102),AA102+AC102)</f>
        <v>79.699999999999989</v>
      </c>
      <c r="AF102" s="34"/>
      <c r="AG102" s="37"/>
    </row>
    <row r="103" spans="1:33" x14ac:dyDescent="0.2">
      <c r="A103" s="1" t="str" cm="1">
        <f t="array" ref="A103">IF(I103="","",IF(P103&lt;&gt;"",SUMPRODUCT((P$3:P$128&lt;&gt;"")*(G$3:G$128=G103)*(J$3:J$128&gt;J103)*(I$3:I$128="P"))+1,IF(O103&lt;&gt;"",SUMPRODUCT((O$3:O$128&lt;&gt;"")*(P$3:P$128="")*(G$3:G$128=G103)*(J$3:J$128&gt;J103)*(I$3:I$128="P"))+SUMPRODUCT((P$3:P$128&lt;&gt;"")*(G$3:G$128=G103)*(I$3:I$128="P"))+1,IF(N103&lt;&gt;"",SUMPRODUCT((N$3:N$128&lt;&gt;"")*(G$3:G$128=G103)*(J$3:J$128&gt;J103)*(I$3:I$128="P"))+1,IF(M103="P",SUMPRODUCT((O$3:O$128&lt;&gt;"")*(P$3:P$128="")*(G$3:G$128=G103)*(I$3:I$128="P"))+SUMPRODUCT((P$3:P$128&lt;&gt;"")*(G$3:G$128=G103)*(I$3:I$128="P"))+SUMPRODUCT((N$3:N$128&lt;&gt;"")*(G$3:G$128=G103)*(I$3:I$128="P"))+SUMPRODUCT((P$3:P$128="")*(O$3:O$128="")*(N$3:N$128="")*(M$3:M$128="P")*(G$3:G$128=G103)*(J$3:J$128&gt;J103)*(I$3:I$128="P"))+IF(H103="L5",SUMPRODUCT((P$3:P$128="")*(O$3:O$128="")*(N$3:N$128="")*(M$3:M$128="P")*(G$3:G$128=G103)*(J$3:J$128&lt;J103)*(H$3:H$128&lt;&gt;H103)*(I$3:I$128="P")),-1*SUMPRODUCT((P$3:P$128="")*(O$3:O$128="")*(N$3:N$128="")*(M$3:M$128="P")*(G$3:G$128=G103)*(J$3:J$128&gt;J103)*(H$3:H$128="L5")*(I$3:I$128="P")))+1,"")))))</f>
        <v/>
      </c>
      <c r="B103" s="1" t="str" cm="1">
        <f t="array" ref="B103">IF(P103&lt;&gt;"",SUMPRODUCT((P$3:P$128&lt;&gt;"")*(G$3:G$128=G103)*(J$3:J$128&gt;J103))+1,IF(O103&lt;&gt;"",SUMPRODUCT((O$3:O$128&lt;&gt;"")*(P$3:P$128="")*(G$3:G$128=G103)*(J$3:J$128&gt;J103))+SUMPRODUCT((P$3:P$128&lt;&gt;"")*(G$3:G$128=G103))+1,IF(N103&lt;&gt;"",SUMPRODUCT((N$3:N$128&lt;&gt;"")*(G$3:G$128=G103)*(J$3:J$128&gt;J103))+1,IF(M103="P",SUMPRODUCT((O$3:O$128&lt;&gt;"")*(P$3:P$128="")*(G$3:G$128=G103))+SUMPRODUCT((P$3:P$128&lt;&gt;"")*(G$3:G$128=G103))+SUMPRODUCT((N$3:N$128&lt;&gt;"")*(G$3:G$128=G103))+SUMPRODUCT((P$3:P$128="")*(O$3:O$128="")*(N$3:N$128="")*(M$3:M$128="P")*(G$3:G$128=G103)*(J$3:J$128&gt;J103))+IF(H103="L5",SUMPRODUCT((P$3:P$128="")*(O$3:O$128="")*(N$3:N$128="")*(M$3:M$128="P")*(G$3:G$128=G103)*(J$3:J$128&lt;J103)*(H$3:H$128&lt;&gt;H103)),-1*SUMPRODUCT((P$3:P$128="")*(O$3:O$128="")*(N$3:N$128="")*(M$3:M$128="P")*(G$3:G$128=G103)*(J$3:J$128&gt;J103)*(H$3:H$128="L5")))+1,""))))</f>
        <v/>
      </c>
      <c r="C103" s="36" t="s">
        <v>250</v>
      </c>
      <c r="D103" s="36" t="str">
        <f>IF(E103="","",VLOOKUP(E103,'Coaching Points'!A:B,2,0))</f>
        <v>ON</v>
      </c>
      <c r="E103" s="36" t="s">
        <v>48</v>
      </c>
      <c r="F103" s="35">
        <v>2006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115</v>
      </c>
      <c r="I103" s="45" t="s">
        <v>604</v>
      </c>
      <c r="J103" s="4">
        <f>R103+IF(OR(H103="Junior",H103="Senior"),0.0002,IF(OR(H103="L7",H103="L6"),0.0001,0))+IF(G103="17-21",MAX(AA103,AC103,AF103),AE103)*0.0000001</f>
        <v>7.8590000000000005E-6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49" t="str">
        <f>IF(A103&lt;5,IF(_xlfn.MAXIFS(A:A,G:G,G103)&gt;3,5-A103,_xlfn.MAXIFS(A:A,G:G,G103)+1-A103),"")</f>
        <v/>
      </c>
      <c r="R103" s="4">
        <f>IF(G103="Not Age Eligible",0,IF(G103="17-21",MAX(IF(U103&gt;='Qualifying Scores'!C$13,T103,0),IF(W103&gt;='Qualifying Scores'!C$13,V103,0),IF(Z103&gt;='Qualifying Scores'!C$13,Y103,0),IF(AB103&gt;='Qualifying Scores'!C$13,AA103,0),IF(AD103&gt;'Qualifying Scores'!C$13,AC103,0),IF(AG103&gt;'Qualifying Scores'!C$13,AF103,0)),MAX(IF(OR(AND(G103="15-16",W103&gt;='Qualifying Scores'!C$12),AND(G103="13-14",W103&gt;='Qualifying Scores'!C$11),AND(G103="11-12",W103&gt;='Qualifying Scores'!C$10)),X103,0),IF(OR(AND(G103="15-16",AD103&gt;='Qualifying Scores'!C$12),AND(G103="13-14",AD103&gt;='Qualifying Scores'!C$11),AND(G103="11-12",AD103&gt;='Qualifying Scores'!C$10)),AE103,0))))</f>
        <v>0</v>
      </c>
      <c r="S103" s="4">
        <f>IF(G103="17-21",MAX(T103,V103,Y103,AA103,AC103,AF103),MAX(X103,AE103))</f>
        <v>78.59</v>
      </c>
      <c r="T103" s="33">
        <v>35.299999999999997</v>
      </c>
      <c r="U103" s="40">
        <v>0</v>
      </c>
      <c r="V103" s="34">
        <v>41.33</v>
      </c>
      <c r="W103" s="40">
        <v>7.0999999999999988</v>
      </c>
      <c r="X103" s="4">
        <f>IF(H103="Senior",MAX(T103,V103),T103+V103)</f>
        <v>76.63</v>
      </c>
      <c r="Y103" s="34">
        <v>0</v>
      </c>
      <c r="Z103" s="40">
        <v>0</v>
      </c>
      <c r="AA103" s="33">
        <v>34.68</v>
      </c>
      <c r="AB103" s="40">
        <v>0</v>
      </c>
      <c r="AC103" s="34">
        <v>43.91</v>
      </c>
      <c r="AD103" s="40">
        <v>7.1</v>
      </c>
      <c r="AE103" s="4">
        <f>IF(H103="Senior",MAX(AA103,AC103),AA103+AC103)</f>
        <v>78.59</v>
      </c>
      <c r="AF103" s="34"/>
      <c r="AG103" s="37"/>
    </row>
    <row r="104" spans="1:33" x14ac:dyDescent="0.2">
      <c r="A104" s="1" t="str" cm="1">
        <f t="array" ref="A104">IF(I104="","",IF(P104&lt;&gt;"",SUMPRODUCT((P$3:P$128&lt;&gt;"")*(G$3:G$128=G104)*(J$3:J$128&gt;J104)*(I$3:I$128="P"))+1,IF(O104&lt;&gt;"",SUMPRODUCT((O$3:O$128&lt;&gt;"")*(P$3:P$128="")*(G$3:G$128=G104)*(J$3:J$128&gt;J104)*(I$3:I$128="P"))+SUMPRODUCT((P$3:P$128&lt;&gt;"")*(G$3:G$128=G104)*(I$3:I$128="P"))+1,IF(N104&lt;&gt;"",SUMPRODUCT((N$3:N$128&lt;&gt;"")*(G$3:G$128=G104)*(J$3:J$128&gt;J104)*(I$3:I$128="P"))+1,IF(M104="P",SUMPRODUCT((O$3:O$128&lt;&gt;"")*(P$3:P$128="")*(G$3:G$128=G104)*(I$3:I$128="P"))+SUMPRODUCT((P$3:P$128&lt;&gt;"")*(G$3:G$128=G104)*(I$3:I$128="P"))+SUMPRODUCT((N$3:N$128&lt;&gt;"")*(G$3:G$128=G104)*(I$3:I$128="P"))+SUMPRODUCT((P$3:P$128="")*(O$3:O$128="")*(N$3:N$128="")*(M$3:M$128="P")*(G$3:G$128=G104)*(J$3:J$128&gt;J104)*(I$3:I$128="P"))+IF(H104="L5",SUMPRODUCT((P$3:P$128="")*(O$3:O$128="")*(N$3:N$128="")*(M$3:M$128="P")*(G$3:G$128=G104)*(J$3:J$128&lt;J104)*(H$3:H$128&lt;&gt;H104)*(I$3:I$128="P")),-1*SUMPRODUCT((P$3:P$128="")*(O$3:O$128="")*(N$3:N$128="")*(M$3:M$128="P")*(G$3:G$128=G104)*(J$3:J$128&gt;J104)*(H$3:H$128="L5")*(I$3:I$128="P")))+1,"")))))</f>
        <v/>
      </c>
      <c r="B104" s="1" t="str" cm="1">
        <f t="array" ref="B104">IF(P104&lt;&gt;"",SUMPRODUCT((P$3:P$128&lt;&gt;"")*(G$3:G$128=G104)*(J$3:J$128&gt;J104))+1,IF(O104&lt;&gt;"",SUMPRODUCT((O$3:O$128&lt;&gt;"")*(P$3:P$128="")*(G$3:G$128=G104)*(J$3:J$128&gt;J104))+SUMPRODUCT((P$3:P$128&lt;&gt;"")*(G$3:G$128=G104))+1,IF(N104&lt;&gt;"",SUMPRODUCT((N$3:N$128&lt;&gt;"")*(G$3:G$128=G104)*(J$3:J$128&gt;J104))+1,IF(M104="P",SUMPRODUCT((O$3:O$128&lt;&gt;"")*(P$3:P$128="")*(G$3:G$128=G104))+SUMPRODUCT((P$3:P$128&lt;&gt;"")*(G$3:G$128=G104))+SUMPRODUCT((N$3:N$128&lt;&gt;"")*(G$3:G$128=G104))+SUMPRODUCT((P$3:P$128="")*(O$3:O$128="")*(N$3:N$128="")*(M$3:M$128="P")*(G$3:G$128=G104)*(J$3:J$128&gt;J104))+IF(H104="L5",SUMPRODUCT((P$3:P$128="")*(O$3:O$128="")*(N$3:N$128="")*(M$3:M$128="P")*(G$3:G$128=G104)*(J$3:J$128&lt;J104)*(H$3:H$128&lt;&gt;H104)),-1*SUMPRODUCT((P$3:P$128="")*(O$3:O$128="")*(N$3:N$128="")*(M$3:M$128="P")*(G$3:G$128=G104)*(J$3:J$128&gt;J104)*(H$3:H$128="L5")))+1,""))))</f>
        <v/>
      </c>
      <c r="C104" s="36" t="s">
        <v>248</v>
      </c>
      <c r="D104" s="36" t="str">
        <f>IF(E104="","",VLOOKUP(E104,'Coaching Points'!A:B,2,0))</f>
        <v>AB</v>
      </c>
      <c r="E104" s="36" t="s">
        <v>29</v>
      </c>
      <c r="F104" s="35">
        <v>2006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115</v>
      </c>
      <c r="I104" s="45"/>
      <c r="J104" s="4">
        <f>R104+IF(OR(H104="Junior",H104="Senior"),0.0002,IF(OR(H104="L7",H104="L6"),0.0001,0))+IF(G104="17-21",MAX(AA104,AC104,AF104),AE104)*0.0000001</f>
        <v>7.551999999999999E-6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49" t="str">
        <f>IF(A104&lt;5,IF(_xlfn.MAXIFS(A:A,G:G,G104)&gt;3,5-A104,_xlfn.MAXIFS(A:A,G:G,G104)+1-A104),"")</f>
        <v/>
      </c>
      <c r="R104" s="4">
        <f>IF(G104="Not Age Eligible",0,IF(G104="17-21",MAX(IF(U104&gt;='Qualifying Scores'!C$13,T104,0),IF(W104&gt;='Qualifying Scores'!C$13,V104,0),IF(Z104&gt;='Qualifying Scores'!C$13,Y104,0),IF(AB104&gt;='Qualifying Scores'!C$13,AA104,0),IF(AD104&gt;'Qualifying Scores'!C$13,AC104,0),IF(AG104&gt;'Qualifying Scores'!C$13,AF104,0)),MAX(IF(OR(AND(G104="15-16",W104&gt;='Qualifying Scores'!C$12),AND(G104="13-14",W104&gt;='Qualifying Scores'!C$11),AND(G104="11-12",W104&gt;='Qualifying Scores'!C$10)),X104,0),IF(OR(AND(G104="15-16",AD104&gt;='Qualifying Scores'!C$12),AND(G104="13-14",AD104&gt;='Qualifying Scores'!C$11),AND(G104="11-12",AD104&gt;='Qualifying Scores'!C$10)),AE104,0))))</f>
        <v>0</v>
      </c>
      <c r="S104" s="4">
        <f>IF(G104="17-21",MAX(T104,V104,Y104,AA104,AC104,AF104),MAX(X104,AE104))</f>
        <v>80.240000000000009</v>
      </c>
      <c r="T104" s="33">
        <v>37.29</v>
      </c>
      <c r="U104" s="40">
        <v>0</v>
      </c>
      <c r="V104" s="34">
        <v>42.95</v>
      </c>
      <c r="W104" s="40">
        <v>6.9999999999999991</v>
      </c>
      <c r="X104" s="4">
        <f>IF(H104="Senior",MAX(T104,V104),T104+V104)</f>
        <v>80.240000000000009</v>
      </c>
      <c r="Y104" s="34">
        <v>0</v>
      </c>
      <c r="Z104" s="40">
        <v>0</v>
      </c>
      <c r="AA104" s="33">
        <v>35.729999999999997</v>
      </c>
      <c r="AB104" s="40">
        <v>0</v>
      </c>
      <c r="AC104" s="34">
        <v>39.79</v>
      </c>
      <c r="AD104" s="40">
        <v>7.6</v>
      </c>
      <c r="AE104" s="4">
        <f>IF(H104="Senior",MAX(AA104,AC104),AA104+AC104)</f>
        <v>75.52</v>
      </c>
      <c r="AF104" s="34"/>
      <c r="AG104" s="37"/>
    </row>
    <row r="105" spans="1:33" x14ac:dyDescent="0.2">
      <c r="A105" s="1" t="str" cm="1">
        <f t="array" ref="A105">IF(I105="","",IF(P105&lt;&gt;"",SUMPRODUCT((P$3:P$128&lt;&gt;"")*(G$3:G$128=G105)*(J$3:J$128&gt;J105)*(I$3:I$128="P"))+1,IF(O105&lt;&gt;"",SUMPRODUCT((O$3:O$128&lt;&gt;"")*(P$3:P$128="")*(G$3:G$128=G105)*(J$3:J$128&gt;J105)*(I$3:I$128="P"))+SUMPRODUCT((P$3:P$128&lt;&gt;"")*(G$3:G$128=G105)*(I$3:I$128="P"))+1,IF(N105&lt;&gt;"",SUMPRODUCT((N$3:N$128&lt;&gt;"")*(G$3:G$128=G105)*(J$3:J$128&gt;J105)*(I$3:I$128="P"))+1,IF(M105="P",SUMPRODUCT((O$3:O$128&lt;&gt;"")*(P$3:P$128="")*(G$3:G$128=G105)*(I$3:I$128="P"))+SUMPRODUCT((P$3:P$128&lt;&gt;"")*(G$3:G$128=G105)*(I$3:I$128="P"))+SUMPRODUCT((N$3:N$128&lt;&gt;"")*(G$3:G$128=G105)*(I$3:I$128="P"))+SUMPRODUCT((P$3:P$128="")*(O$3:O$128="")*(N$3:N$128="")*(M$3:M$128="P")*(G$3:G$128=G105)*(J$3:J$128&gt;J105)*(I$3:I$128="P"))+IF(H105="L5",SUMPRODUCT((P$3:P$128="")*(O$3:O$128="")*(N$3:N$128="")*(M$3:M$128="P")*(G$3:G$128=G105)*(J$3:J$128&lt;J105)*(H$3:H$128&lt;&gt;H105)*(I$3:I$128="P")),-1*SUMPRODUCT((P$3:P$128="")*(O$3:O$128="")*(N$3:N$128="")*(M$3:M$128="P")*(G$3:G$128=G105)*(J$3:J$128&gt;J105)*(H$3:H$128="L5")*(I$3:I$128="P")))+1,"")))))</f>
        <v/>
      </c>
      <c r="B105" s="1" t="str" cm="1">
        <f t="array" ref="B105">IF(P105&lt;&gt;"",SUMPRODUCT((P$3:P$128&lt;&gt;"")*(G$3:G$128=G105)*(J$3:J$128&gt;J105))+1,IF(O105&lt;&gt;"",SUMPRODUCT((O$3:O$128&lt;&gt;"")*(P$3:P$128="")*(G$3:G$128=G105)*(J$3:J$128&gt;J105))+SUMPRODUCT((P$3:P$128&lt;&gt;"")*(G$3:G$128=G105))+1,IF(N105&lt;&gt;"",SUMPRODUCT((N$3:N$128&lt;&gt;"")*(G$3:G$128=G105)*(J$3:J$128&gt;J105))+1,IF(M105="P",SUMPRODUCT((O$3:O$128&lt;&gt;"")*(P$3:P$128="")*(G$3:G$128=G105))+SUMPRODUCT((P$3:P$128&lt;&gt;"")*(G$3:G$128=G105))+SUMPRODUCT((N$3:N$128&lt;&gt;"")*(G$3:G$128=G105))+SUMPRODUCT((P$3:P$128="")*(O$3:O$128="")*(N$3:N$128="")*(M$3:M$128="P")*(G$3:G$128=G105)*(J$3:J$128&gt;J105))+IF(H105="L5",SUMPRODUCT((P$3:P$128="")*(O$3:O$128="")*(N$3:N$128="")*(M$3:M$128="P")*(G$3:G$128=G105)*(J$3:J$128&lt;J105)*(H$3:H$128&lt;&gt;H105)),-1*SUMPRODUCT((P$3:P$128="")*(O$3:O$128="")*(N$3:N$128="")*(M$3:M$128="P")*(G$3:G$128=G105)*(J$3:J$128&gt;J105)*(H$3:H$128="L5")))+1,""))))</f>
        <v/>
      </c>
      <c r="C105" s="36" t="s">
        <v>244</v>
      </c>
      <c r="D105" s="36" t="str">
        <f>IF(E105="","",VLOOKUP(E105,'Coaching Points'!A:B,2,0))</f>
        <v>QC</v>
      </c>
      <c r="E105" s="36" t="s">
        <v>195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115</v>
      </c>
      <c r="I105" s="45"/>
      <c r="J105" s="4">
        <f>R105+IF(OR(H105="Junior",H105="Senior"),0.0002,IF(OR(H105="L7",H105="L6"),0.0001,0))+IF(G105="17-21",MAX(AA105,AC105,AF105),AE105)*0.0000001</f>
        <v>7.4820000000000005E-6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49" t="str">
        <f>IF(A105&lt;5,IF(_xlfn.MAXIFS(A:A,G:G,G105)&gt;3,5-A105,_xlfn.MAXIFS(A:A,G:G,G105)+1-A105),"")</f>
        <v/>
      </c>
      <c r="R105" s="4">
        <f>IF(G105="Not Age Eligible",0,IF(G105="17-21",MAX(IF(U105&gt;='Qualifying Scores'!C$13,T105,0),IF(W105&gt;='Qualifying Scores'!C$13,V105,0),IF(Z105&gt;='Qualifying Scores'!C$13,Y105,0),IF(AB105&gt;='Qualifying Scores'!C$13,AA105,0),IF(AD105&gt;'Qualifying Scores'!C$13,AC105,0),IF(AG105&gt;'Qualifying Scores'!C$13,AF105,0)),MAX(IF(OR(AND(G105="15-16",W105&gt;='Qualifying Scores'!C$12),AND(G105="13-14",W105&gt;='Qualifying Scores'!C$11),AND(G105="11-12",W105&gt;='Qualifying Scores'!C$10)),X105,0),IF(OR(AND(G105="15-16",AD105&gt;='Qualifying Scores'!C$12),AND(G105="13-14",AD105&gt;='Qualifying Scores'!C$11),AND(G105="11-12",AD105&gt;='Qualifying Scores'!C$10)),AE105,0))))</f>
        <v>0</v>
      </c>
      <c r="S105" s="4">
        <f>IF(G105="17-21",MAX(T105,V105,Y105,AA105,AC105,AF105),MAX(X105,AE105))</f>
        <v>82.08</v>
      </c>
      <c r="T105" s="33">
        <v>36.93</v>
      </c>
      <c r="U105" s="40">
        <v>0</v>
      </c>
      <c r="V105" s="34">
        <v>45.15</v>
      </c>
      <c r="W105" s="40">
        <v>7.1</v>
      </c>
      <c r="X105" s="4">
        <f>IF(H105="Senior",MAX(T105,V105),T105+V105)</f>
        <v>82.08</v>
      </c>
      <c r="Y105" s="34">
        <v>0</v>
      </c>
      <c r="Z105" s="40">
        <v>0</v>
      </c>
      <c r="AA105" s="33">
        <v>30.19</v>
      </c>
      <c r="AB105" s="40">
        <v>0</v>
      </c>
      <c r="AC105" s="34">
        <v>44.63</v>
      </c>
      <c r="AD105" s="40">
        <v>7.1</v>
      </c>
      <c r="AE105" s="4">
        <f>IF(H105="Senior",MAX(AA105,AC105),AA105+AC105)</f>
        <v>74.820000000000007</v>
      </c>
      <c r="AF105" s="34"/>
      <c r="AG105" s="37"/>
    </row>
    <row r="106" spans="1:33" x14ac:dyDescent="0.2">
      <c r="A106" s="1" t="str" cm="1">
        <f t="array" ref="A106">IF(I106="","",IF(P106&lt;&gt;"",SUMPRODUCT((P$3:P$128&lt;&gt;"")*(G$3:G$128=G106)*(J$3:J$128&gt;J106)*(I$3:I$128="P"))+1,IF(O106&lt;&gt;"",SUMPRODUCT((O$3:O$128&lt;&gt;"")*(P$3:P$128="")*(G$3:G$128=G106)*(J$3:J$128&gt;J106)*(I$3:I$128="P"))+SUMPRODUCT((P$3:P$128&lt;&gt;"")*(G$3:G$128=G106)*(I$3:I$128="P"))+1,IF(N106&lt;&gt;"",SUMPRODUCT((N$3:N$128&lt;&gt;"")*(G$3:G$128=G106)*(J$3:J$128&gt;J106)*(I$3:I$128="P"))+1,IF(M106="P",SUMPRODUCT((O$3:O$128&lt;&gt;"")*(P$3:P$128="")*(G$3:G$128=G106)*(I$3:I$128="P"))+SUMPRODUCT((P$3:P$128&lt;&gt;"")*(G$3:G$128=G106)*(I$3:I$128="P"))+SUMPRODUCT((N$3:N$128&lt;&gt;"")*(G$3:G$128=G106)*(I$3:I$128="P"))+SUMPRODUCT((P$3:P$128="")*(O$3:O$128="")*(N$3:N$128="")*(M$3:M$128="P")*(G$3:G$128=G106)*(J$3:J$128&gt;J106)*(I$3:I$128="P"))+IF(H106="L5",SUMPRODUCT((P$3:P$128="")*(O$3:O$128="")*(N$3:N$128="")*(M$3:M$128="P")*(G$3:G$128=G106)*(J$3:J$128&lt;J106)*(H$3:H$128&lt;&gt;H106)*(I$3:I$128="P")),-1*SUMPRODUCT((P$3:P$128="")*(O$3:O$128="")*(N$3:N$128="")*(M$3:M$128="P")*(G$3:G$128=G106)*(J$3:J$128&gt;J106)*(H$3:H$128="L5")*(I$3:I$128="P")))+1,"")))))</f>
        <v/>
      </c>
      <c r="B106" s="1" t="str" cm="1">
        <f t="array" ref="B106">IF(P106&lt;&gt;"",SUMPRODUCT((P$3:P$128&lt;&gt;"")*(G$3:G$128=G106)*(J$3:J$128&gt;J106))+1,IF(O106&lt;&gt;"",SUMPRODUCT((O$3:O$128&lt;&gt;"")*(P$3:P$128="")*(G$3:G$128=G106)*(J$3:J$128&gt;J106))+SUMPRODUCT((P$3:P$128&lt;&gt;"")*(G$3:G$128=G106))+1,IF(N106&lt;&gt;"",SUMPRODUCT((N$3:N$128&lt;&gt;"")*(G$3:G$128=G106)*(J$3:J$128&gt;J106))+1,IF(M106="P",SUMPRODUCT((O$3:O$128&lt;&gt;"")*(P$3:P$128="")*(G$3:G$128=G106))+SUMPRODUCT((P$3:P$128&lt;&gt;"")*(G$3:G$128=G106))+SUMPRODUCT((N$3:N$128&lt;&gt;"")*(G$3:G$128=G106))+SUMPRODUCT((P$3:P$128="")*(O$3:O$128="")*(N$3:N$128="")*(M$3:M$128="P")*(G$3:G$128=G106)*(J$3:J$128&gt;J106))+IF(H106="L5",SUMPRODUCT((P$3:P$128="")*(O$3:O$128="")*(N$3:N$128="")*(M$3:M$128="P")*(G$3:G$128=G106)*(J$3:J$128&lt;J106)*(H$3:H$128&lt;&gt;H106)),-1*SUMPRODUCT((P$3:P$128="")*(O$3:O$128="")*(N$3:N$128="")*(M$3:M$128="P")*(G$3:G$128=G106)*(J$3:J$128&gt;J106)*(H$3:H$128="L5")))+1,""))))</f>
        <v/>
      </c>
      <c r="C106" s="36" t="s">
        <v>247</v>
      </c>
      <c r="D106" s="36" t="str">
        <f>IF(E106="","",VLOOKUP(E106,'Coaching Points'!A:B,2,0))</f>
        <v>ON</v>
      </c>
      <c r="E106" s="36" t="s">
        <v>158</v>
      </c>
      <c r="F106" s="35">
        <v>2007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115</v>
      </c>
      <c r="I106" s="45"/>
      <c r="J106" s="4">
        <f>R106+IF(OR(H106="Junior",H106="Senior"),0.0002,IF(OR(H106="L7",H106="L6"),0.0001,0))+IF(G106="17-21",MAX(AA106,AC106,AF106),AE106)*0.0000001</f>
        <v>7.4370000000000001E-6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49" t="str">
        <f>IF(A106&lt;5,IF(_xlfn.MAXIFS(A:A,G:G,G106)&gt;3,5-A106,_xlfn.MAXIFS(A:A,G:G,G106)+1-A106),"")</f>
        <v/>
      </c>
      <c r="R106" s="4">
        <f>IF(G106="Not Age Eligible",0,IF(G106="17-21",MAX(IF(U106&gt;='Qualifying Scores'!C$13,T106,0),IF(W106&gt;='Qualifying Scores'!C$13,V106,0),IF(Z106&gt;='Qualifying Scores'!C$13,Y106,0),IF(AB106&gt;='Qualifying Scores'!C$13,AA106,0),IF(AD106&gt;'Qualifying Scores'!C$13,AC106,0),IF(AG106&gt;'Qualifying Scores'!C$13,AF106,0)),MAX(IF(OR(AND(G106="15-16",W106&gt;='Qualifying Scores'!C$12),AND(G106="13-14",W106&gt;='Qualifying Scores'!C$11),AND(G106="11-12",W106&gt;='Qualifying Scores'!C$10)),X106,0),IF(OR(AND(G106="15-16",AD106&gt;='Qualifying Scores'!C$12),AND(G106="13-14",AD106&gt;='Qualifying Scores'!C$11),AND(G106="11-12",AD106&gt;='Qualifying Scores'!C$10)),AE106,0))))</f>
        <v>0</v>
      </c>
      <c r="S106" s="4">
        <f>IF(G106="17-21",MAX(T106,V106,Y106,AA106,AC106,AF106),MAX(X106,AE106))</f>
        <v>80.56</v>
      </c>
      <c r="T106" s="33">
        <v>37.11</v>
      </c>
      <c r="U106" s="40">
        <v>0</v>
      </c>
      <c r="V106" s="34">
        <v>43.449999999999996</v>
      </c>
      <c r="W106" s="40">
        <v>7.0999999999999988</v>
      </c>
      <c r="X106" s="4">
        <f>IF(H106="Senior",MAX(T106,V106),T106+V106)</f>
        <v>80.56</v>
      </c>
      <c r="Y106" s="34">
        <v>0</v>
      </c>
      <c r="Z106" s="40">
        <v>0</v>
      </c>
      <c r="AA106" s="33">
        <v>31.52</v>
      </c>
      <c r="AB106" s="40">
        <v>0</v>
      </c>
      <c r="AC106" s="34">
        <v>42.85</v>
      </c>
      <c r="AD106" s="40">
        <v>7</v>
      </c>
      <c r="AE106" s="4">
        <f>IF(H106="Senior",MAX(AA106,AC106),AA106+AC106)</f>
        <v>74.37</v>
      </c>
      <c r="AF106" s="34"/>
      <c r="AG106" s="37"/>
    </row>
    <row r="107" spans="1:33" x14ac:dyDescent="0.2">
      <c r="A107" s="1" t="str" cm="1">
        <f t="array" ref="A107">IF(I107="","",IF(P107&lt;&gt;"",SUMPRODUCT((P$3:P$128&lt;&gt;"")*(G$3:G$128=G107)*(J$3:J$128&gt;J107)*(I$3:I$128="P"))+1,IF(O107&lt;&gt;"",SUMPRODUCT((O$3:O$128&lt;&gt;"")*(P$3:P$128="")*(G$3:G$128=G107)*(J$3:J$128&gt;J107)*(I$3:I$128="P"))+SUMPRODUCT((P$3:P$128&lt;&gt;"")*(G$3:G$128=G107)*(I$3:I$128="P"))+1,IF(N107&lt;&gt;"",SUMPRODUCT((N$3:N$128&lt;&gt;"")*(G$3:G$128=G107)*(J$3:J$128&gt;J107)*(I$3:I$128="P"))+1,IF(M107="P",SUMPRODUCT((O$3:O$128&lt;&gt;"")*(P$3:P$128="")*(G$3:G$128=G107)*(I$3:I$128="P"))+SUMPRODUCT((P$3:P$128&lt;&gt;"")*(G$3:G$128=G107)*(I$3:I$128="P"))+SUMPRODUCT((N$3:N$128&lt;&gt;"")*(G$3:G$128=G107)*(I$3:I$128="P"))+SUMPRODUCT((P$3:P$128="")*(O$3:O$128="")*(N$3:N$128="")*(M$3:M$128="P")*(G$3:G$128=G107)*(J$3:J$128&gt;J107)*(I$3:I$128="P"))+IF(H107="L5",SUMPRODUCT((P$3:P$128="")*(O$3:O$128="")*(N$3:N$128="")*(M$3:M$128="P")*(G$3:G$128=G107)*(J$3:J$128&lt;J107)*(H$3:H$128&lt;&gt;H107)*(I$3:I$128="P")),-1*SUMPRODUCT((P$3:P$128="")*(O$3:O$128="")*(N$3:N$128="")*(M$3:M$128="P")*(G$3:G$128=G107)*(J$3:J$128&gt;J107)*(H$3:H$128="L5")*(I$3:I$128="P")))+1,"")))))</f>
        <v/>
      </c>
      <c r="B107" s="1" t="str" cm="1">
        <f t="array" ref="B107">IF(P107&lt;&gt;"",SUMPRODUCT((P$3:P$128&lt;&gt;"")*(G$3:G$128=G107)*(J$3:J$128&gt;J107))+1,IF(O107&lt;&gt;"",SUMPRODUCT((O$3:O$128&lt;&gt;"")*(P$3:P$128="")*(G$3:G$128=G107)*(J$3:J$128&gt;J107))+SUMPRODUCT((P$3:P$128&lt;&gt;"")*(G$3:G$128=G107))+1,IF(N107&lt;&gt;"",SUMPRODUCT((N$3:N$128&lt;&gt;"")*(G$3:G$128=G107)*(J$3:J$128&gt;J107))+1,IF(M107="P",SUMPRODUCT((O$3:O$128&lt;&gt;"")*(P$3:P$128="")*(G$3:G$128=G107))+SUMPRODUCT((P$3:P$128&lt;&gt;"")*(G$3:G$128=G107))+SUMPRODUCT((N$3:N$128&lt;&gt;"")*(G$3:G$128=G107))+SUMPRODUCT((P$3:P$128="")*(O$3:O$128="")*(N$3:N$128="")*(M$3:M$128="P")*(G$3:G$128=G107)*(J$3:J$128&gt;J107))+IF(H107="L5",SUMPRODUCT((P$3:P$128="")*(O$3:O$128="")*(N$3:N$128="")*(M$3:M$128="P")*(G$3:G$128=G107)*(J$3:J$128&lt;J107)*(H$3:H$128&lt;&gt;H107)),-1*SUMPRODUCT((P$3:P$128="")*(O$3:O$128="")*(N$3:N$128="")*(M$3:M$128="P")*(G$3:G$128=G107)*(J$3:J$128&gt;J107)*(H$3:H$128="L5")))+1,""))))</f>
        <v/>
      </c>
      <c r="C107" s="36" t="s">
        <v>253</v>
      </c>
      <c r="D107" s="36" t="str">
        <f>IF(E107="","",VLOOKUP(E107,'Coaching Points'!A:B,2,0))</f>
        <v>BC</v>
      </c>
      <c r="E107" s="36" t="s">
        <v>571</v>
      </c>
      <c r="F107" s="35">
        <v>2006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115</v>
      </c>
      <c r="I107" s="45"/>
      <c r="J107" s="4">
        <f>R107+IF(OR(H107="Junior",H107="Senior"),0.0002,IF(OR(H107="L7",H107="L6"),0.0001,0))+IF(G107="17-21",MAX(AA107,AC107,AF107),AE107)*0.0000001</f>
        <v>7.0400000000000004E-6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49" t="str">
        <f>IF(A107&lt;5,IF(_xlfn.MAXIFS(A:A,G:G,G107)&gt;3,5-A107,_xlfn.MAXIFS(A:A,G:G,G107)+1-A107),"")</f>
        <v/>
      </c>
      <c r="R107" s="4">
        <f>IF(G107="Not Age Eligible",0,IF(G107="17-21",MAX(IF(U107&gt;='Qualifying Scores'!C$13,T107,0),IF(W107&gt;='Qualifying Scores'!C$13,V107,0),IF(Z107&gt;='Qualifying Scores'!C$13,Y107,0),IF(AB107&gt;='Qualifying Scores'!C$13,AA107,0),IF(AD107&gt;'Qualifying Scores'!C$13,AC107,0),IF(AG107&gt;'Qualifying Scores'!C$13,AF107,0)),MAX(IF(OR(AND(G107="15-16",W107&gt;='Qualifying Scores'!C$12),AND(G107="13-14",W107&gt;='Qualifying Scores'!C$11),AND(G107="11-12",W107&gt;='Qualifying Scores'!C$10)),X107,0),IF(OR(AND(G107="15-16",AD107&gt;='Qualifying Scores'!C$12),AND(G107="13-14",AD107&gt;='Qualifying Scores'!C$11),AND(G107="11-12",AD107&gt;='Qualifying Scores'!C$10)),AE107,0))))</f>
        <v>0</v>
      </c>
      <c r="S107" s="4">
        <f>IF(G107="17-21",MAX(T107,V107,Y107,AA107,AC107,AF107),MAX(X107,AE107))</f>
        <v>70.400000000000006</v>
      </c>
      <c r="T107" s="33">
        <v>38.129999999999995</v>
      </c>
      <c r="U107" s="40">
        <v>0</v>
      </c>
      <c r="V107" s="34">
        <v>5.0999999999999996</v>
      </c>
      <c r="W107" s="40">
        <v>1.3</v>
      </c>
      <c r="X107" s="4">
        <f>IF(H107="Senior",MAX(T107,V107),T107+V107)</f>
        <v>43.23</v>
      </c>
      <c r="Y107" s="34">
        <v>0</v>
      </c>
      <c r="Z107" s="40">
        <v>0</v>
      </c>
      <c r="AA107" s="33">
        <v>30.25</v>
      </c>
      <c r="AB107" s="40">
        <v>0</v>
      </c>
      <c r="AC107" s="34">
        <v>40.15</v>
      </c>
      <c r="AD107" s="40">
        <v>7.3</v>
      </c>
      <c r="AE107" s="4">
        <f>IF(H107="Senior",MAX(AA107,AC107),AA107+AC107)</f>
        <v>70.400000000000006</v>
      </c>
      <c r="AF107" s="34"/>
      <c r="AG107" s="37"/>
    </row>
    <row r="108" spans="1:33" x14ac:dyDescent="0.2">
      <c r="A108" s="1" t="str" cm="1">
        <f t="array" ref="A108">IF(I108="","",IF(P108&lt;&gt;"",SUMPRODUCT((P$3:P$128&lt;&gt;"")*(G$3:G$128=G108)*(J$3:J$128&gt;J108)*(I$3:I$128="P"))+1,IF(O108&lt;&gt;"",SUMPRODUCT((O$3:O$128&lt;&gt;"")*(P$3:P$128="")*(G$3:G$128=G108)*(J$3:J$128&gt;J108)*(I$3:I$128="P"))+SUMPRODUCT((P$3:P$128&lt;&gt;"")*(G$3:G$128=G108)*(I$3:I$128="P"))+1,IF(N108&lt;&gt;"",SUMPRODUCT((N$3:N$128&lt;&gt;"")*(G$3:G$128=G108)*(J$3:J$128&gt;J108)*(I$3:I$128="P"))+1,IF(M108="P",SUMPRODUCT((O$3:O$128&lt;&gt;"")*(P$3:P$128="")*(G$3:G$128=G108)*(I$3:I$128="P"))+SUMPRODUCT((P$3:P$128&lt;&gt;"")*(G$3:G$128=G108)*(I$3:I$128="P"))+SUMPRODUCT((N$3:N$128&lt;&gt;"")*(G$3:G$128=G108)*(I$3:I$128="P"))+SUMPRODUCT((P$3:P$128="")*(O$3:O$128="")*(N$3:N$128="")*(M$3:M$128="P")*(G$3:G$128=G108)*(J$3:J$128&gt;J108)*(I$3:I$128="P"))+IF(H108="L5",SUMPRODUCT((P$3:P$128="")*(O$3:O$128="")*(N$3:N$128="")*(M$3:M$128="P")*(G$3:G$128=G108)*(J$3:J$128&lt;J108)*(H$3:H$128&lt;&gt;H108)*(I$3:I$128="P")),-1*SUMPRODUCT((P$3:P$128="")*(O$3:O$128="")*(N$3:N$128="")*(M$3:M$128="P")*(G$3:G$128=G108)*(J$3:J$128&gt;J108)*(H$3:H$128="L5")*(I$3:I$128="P")))+1,"")))))</f>
        <v/>
      </c>
      <c r="B108" s="1" t="str" cm="1">
        <f t="array" ref="B108">IF(P108&lt;&gt;"",SUMPRODUCT((P$3:P$128&lt;&gt;"")*(G$3:G$128=G108)*(J$3:J$128&gt;J108))+1,IF(O108&lt;&gt;"",SUMPRODUCT((O$3:O$128&lt;&gt;"")*(P$3:P$128="")*(G$3:G$128=G108)*(J$3:J$128&gt;J108))+SUMPRODUCT((P$3:P$128&lt;&gt;"")*(G$3:G$128=G108))+1,IF(N108&lt;&gt;"",SUMPRODUCT((N$3:N$128&lt;&gt;"")*(G$3:G$128=G108)*(J$3:J$128&gt;J108))+1,IF(M108="P",SUMPRODUCT((O$3:O$128&lt;&gt;"")*(P$3:P$128="")*(G$3:G$128=G108))+SUMPRODUCT((P$3:P$128&lt;&gt;"")*(G$3:G$128=G108))+SUMPRODUCT((N$3:N$128&lt;&gt;"")*(G$3:G$128=G108))+SUMPRODUCT((P$3:P$128="")*(O$3:O$128="")*(N$3:N$128="")*(M$3:M$128="P")*(G$3:G$128=G108)*(J$3:J$128&gt;J108))+IF(H108="L5",SUMPRODUCT((P$3:P$128="")*(O$3:O$128="")*(N$3:N$128="")*(M$3:M$128="P")*(G$3:G$128=G108)*(J$3:J$128&lt;J108)*(H$3:H$128&lt;&gt;H108)),-1*SUMPRODUCT((P$3:P$128="")*(O$3:O$128="")*(N$3:N$128="")*(M$3:M$128="P")*(G$3:G$128=G108)*(J$3:J$128&gt;J108)*(H$3:H$128="L5")))+1,""))))</f>
        <v/>
      </c>
      <c r="C108" s="36" t="s">
        <v>236</v>
      </c>
      <c r="D108" s="36" t="str">
        <f>IF(E108="","",VLOOKUP(E108,'Coaching Points'!A:B,2,0))</f>
        <v>AB</v>
      </c>
      <c r="E108" s="36" t="s">
        <v>29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115</v>
      </c>
      <c r="I108" s="45"/>
      <c r="J108" s="4">
        <f>R108+IF(OR(H108="Junior",H108="Senior"),0.0002,IF(OR(H108="L7",H108="L6"),0.0001,0))+IF(G108="17-21",MAX(AA108,AC108,AF108),AE108)*0.0000001</f>
        <v>6.1999999999999999E-6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49" t="str">
        <f>IF(A108&lt;5,IF(_xlfn.MAXIFS(A:A,G:G,G108)&gt;3,5-A108,_xlfn.MAXIFS(A:A,G:G,G108)+1-A108),"")</f>
        <v/>
      </c>
      <c r="R108" s="4">
        <f>IF(G108="Not Age Eligible",0,IF(G108="17-21",MAX(IF(U108&gt;='Qualifying Scores'!C$13,T108,0),IF(W108&gt;='Qualifying Scores'!C$13,V108,0),IF(Z108&gt;='Qualifying Scores'!C$13,Y108,0),IF(AB108&gt;='Qualifying Scores'!C$13,AA108,0),IF(AD108&gt;'Qualifying Scores'!C$13,AC108,0),IF(AG108&gt;'Qualifying Scores'!C$13,AF108,0)),MAX(IF(OR(AND(G108="15-16",W108&gt;='Qualifying Scores'!C$12),AND(G108="13-14",W108&gt;='Qualifying Scores'!C$11),AND(G108="11-12",W108&gt;='Qualifying Scores'!C$10)),X108,0),IF(OR(AND(G108="15-16",AD108&gt;='Qualifying Scores'!C$12),AND(G108="13-14",AD108&gt;='Qualifying Scores'!C$11),AND(G108="11-12",AD108&gt;='Qualifying Scores'!C$10)),AE108,0))))</f>
        <v>0</v>
      </c>
      <c r="S108" s="4">
        <f>IF(G108="17-21",MAX(T108,V108,Y108,AA108,AC108,AF108),MAX(X108,AE108))</f>
        <v>83.79</v>
      </c>
      <c r="T108" s="33">
        <v>39.090000000000003</v>
      </c>
      <c r="U108" s="40">
        <v>0</v>
      </c>
      <c r="V108" s="34">
        <v>44.7</v>
      </c>
      <c r="W108" s="40">
        <v>7.1</v>
      </c>
      <c r="X108" s="4">
        <f>IF(H108="Senior",MAX(T108,V108),T108+V108)</f>
        <v>83.79</v>
      </c>
      <c r="Y108" s="34">
        <v>45.94</v>
      </c>
      <c r="Z108" s="40">
        <v>7.1</v>
      </c>
      <c r="AA108" s="33">
        <v>39.79</v>
      </c>
      <c r="AB108" s="40">
        <v>0</v>
      </c>
      <c r="AC108" s="34">
        <v>22.21</v>
      </c>
      <c r="AD108" s="40">
        <v>3.8</v>
      </c>
      <c r="AE108" s="4">
        <f>IF(H108="Senior",MAX(AA108,AC108),AA108+AC108)</f>
        <v>62</v>
      </c>
      <c r="AF108" s="34"/>
      <c r="AG108" s="37"/>
    </row>
    <row r="109" spans="1:33" x14ac:dyDescent="0.2">
      <c r="A109" s="1" t="str" cm="1">
        <f t="array" ref="A109">IF(I109="","",IF(P109&lt;&gt;"",SUMPRODUCT((P$3:P$128&lt;&gt;"")*(G$3:G$128=G109)*(J$3:J$128&gt;J109)*(I$3:I$128="P"))+1,IF(O109&lt;&gt;"",SUMPRODUCT((O$3:O$128&lt;&gt;"")*(P$3:P$128="")*(G$3:G$128=G109)*(J$3:J$128&gt;J109)*(I$3:I$128="P"))+SUMPRODUCT((P$3:P$128&lt;&gt;"")*(G$3:G$128=G109)*(I$3:I$128="P"))+1,IF(N109&lt;&gt;"",SUMPRODUCT((N$3:N$128&lt;&gt;"")*(G$3:G$128=G109)*(J$3:J$128&gt;J109)*(I$3:I$128="P"))+1,IF(M109="P",SUMPRODUCT((O$3:O$128&lt;&gt;"")*(P$3:P$128="")*(G$3:G$128=G109)*(I$3:I$128="P"))+SUMPRODUCT((P$3:P$128&lt;&gt;"")*(G$3:G$128=G109)*(I$3:I$128="P"))+SUMPRODUCT((N$3:N$128&lt;&gt;"")*(G$3:G$128=G109)*(I$3:I$128="P"))+SUMPRODUCT((P$3:P$128="")*(O$3:O$128="")*(N$3:N$128="")*(M$3:M$128="P")*(G$3:G$128=G109)*(J$3:J$128&gt;J109)*(I$3:I$128="P"))+IF(H109="L5",SUMPRODUCT((P$3:P$128="")*(O$3:O$128="")*(N$3:N$128="")*(M$3:M$128="P")*(G$3:G$128=G109)*(J$3:J$128&lt;J109)*(H$3:H$128&lt;&gt;H109)*(I$3:I$128="P")),-1*SUMPRODUCT((P$3:P$128="")*(O$3:O$128="")*(N$3:N$128="")*(M$3:M$128="P")*(G$3:G$128=G109)*(J$3:J$128&gt;J109)*(H$3:H$128="L5")*(I$3:I$128="P")))+1,"")))))</f>
        <v/>
      </c>
      <c r="B109" s="1" t="str" cm="1">
        <f t="array" ref="B109">IF(P109&lt;&gt;"",SUMPRODUCT((P$3:P$128&lt;&gt;"")*(G$3:G$128=G109)*(J$3:J$128&gt;J109))+1,IF(O109&lt;&gt;"",SUMPRODUCT((O$3:O$128&lt;&gt;"")*(P$3:P$128="")*(G$3:G$128=G109)*(J$3:J$128&gt;J109))+SUMPRODUCT((P$3:P$128&lt;&gt;"")*(G$3:G$128=G109))+1,IF(N109&lt;&gt;"",SUMPRODUCT((N$3:N$128&lt;&gt;"")*(G$3:G$128=G109)*(J$3:J$128&gt;J109))+1,IF(M109="P",SUMPRODUCT((O$3:O$128&lt;&gt;"")*(P$3:P$128="")*(G$3:G$128=G109))+SUMPRODUCT((P$3:P$128&lt;&gt;"")*(G$3:G$128=G109))+SUMPRODUCT((N$3:N$128&lt;&gt;"")*(G$3:G$128=G109))+SUMPRODUCT((P$3:P$128="")*(O$3:O$128="")*(N$3:N$128="")*(M$3:M$128="P")*(G$3:G$128=G109)*(J$3:J$128&gt;J109))+IF(H109="L5",SUMPRODUCT((P$3:P$128="")*(O$3:O$128="")*(N$3:N$128="")*(M$3:M$128="P")*(G$3:G$128=G109)*(J$3:J$128&lt;J109)*(H$3:H$128&lt;&gt;H109)),-1*SUMPRODUCT((P$3:P$128="")*(O$3:O$128="")*(N$3:N$128="")*(M$3:M$128="P")*(G$3:G$128=G109)*(J$3:J$128&gt;J109)*(H$3:H$128="L5")))+1,""))))</f>
        <v/>
      </c>
      <c r="C109" s="36" t="s">
        <v>420</v>
      </c>
      <c r="D109" s="36" t="str">
        <f>IF(E109="","",VLOOKUP(E109,'Coaching Points'!A:B,2,0))</f>
        <v>BC</v>
      </c>
      <c r="E109" s="36" t="s">
        <v>84</v>
      </c>
      <c r="F109" s="35">
        <v>2007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115</v>
      </c>
      <c r="I109" s="45"/>
      <c r="J109" s="4">
        <f>R109+IF(OR(H109="Junior",H109="Senior"),0.0002,IF(OR(H109="L7",H109="L6"),0.0001,0))+IF(G109="17-21",MAX(AA109,AC109,AF109),AE109)*0.0000001</f>
        <v>5.5829999999999997E-6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49" t="str">
        <f>IF(A109&lt;5,IF(_xlfn.MAXIFS(A:A,G:G,G109)&gt;3,5-A109,_xlfn.MAXIFS(A:A,G:G,G109)+1-A109),"")</f>
        <v/>
      </c>
      <c r="R109" s="4">
        <f>IF(G109="Not Age Eligible",0,IF(G109="17-21",MAX(IF(U109&gt;='Qualifying Scores'!C$13,T109,0),IF(W109&gt;='Qualifying Scores'!C$13,V109,0),IF(Z109&gt;='Qualifying Scores'!C$13,Y109,0),IF(AB109&gt;='Qualifying Scores'!C$13,AA109,0),IF(AD109&gt;'Qualifying Scores'!C$13,AC109,0),IF(AG109&gt;'Qualifying Scores'!C$13,AF109,0)),MAX(IF(OR(AND(G109="15-16",W109&gt;='Qualifying Scores'!C$12),AND(G109="13-14",W109&gt;='Qualifying Scores'!C$11),AND(G109="11-12",W109&gt;='Qualifying Scores'!C$10)),X109,0),IF(OR(AND(G109="15-16",AD109&gt;='Qualifying Scores'!C$12),AND(G109="13-14",AD109&gt;='Qualifying Scores'!C$11),AND(G109="11-12",AD109&gt;='Qualifying Scores'!C$10)),AE109,0))))</f>
        <v>0</v>
      </c>
      <c r="S109" s="4">
        <f>IF(G109="17-21",MAX(T109,V109,Y109,AA109,AC109,AF109),MAX(X109,AE109))</f>
        <v>55.83</v>
      </c>
      <c r="T109" s="33"/>
      <c r="U109" s="40"/>
      <c r="V109" s="34"/>
      <c r="W109" s="40"/>
      <c r="X109" s="4">
        <f>IF(H109="Senior",MAX(T109,V109),T109+V109)</f>
        <v>0</v>
      </c>
      <c r="Y109" s="34"/>
      <c r="Z109" s="40"/>
      <c r="AA109" s="33">
        <v>34.85</v>
      </c>
      <c r="AB109" s="40">
        <v>0</v>
      </c>
      <c r="AC109" s="34">
        <v>20.98</v>
      </c>
      <c r="AD109" s="40">
        <v>4.5</v>
      </c>
      <c r="AE109" s="4">
        <f>IF(H109="Senior",MAX(AA109,AC109),AA109+AC109)</f>
        <v>55.83</v>
      </c>
      <c r="AF109" s="34"/>
      <c r="AG109" s="37"/>
    </row>
    <row r="110" spans="1:33" x14ac:dyDescent="0.2">
      <c r="A110" s="1" t="str" cm="1">
        <f t="array" ref="A110">IF(I110="","",IF(P110&lt;&gt;"",SUMPRODUCT((P$3:P$128&lt;&gt;"")*(G$3:G$128=G110)*(J$3:J$128&gt;J110)*(I$3:I$128="P"))+1,IF(O110&lt;&gt;"",SUMPRODUCT((O$3:O$128&lt;&gt;"")*(P$3:P$128="")*(G$3:G$128=G110)*(J$3:J$128&gt;J110)*(I$3:I$128="P"))+SUMPRODUCT((P$3:P$128&lt;&gt;"")*(G$3:G$128=G110)*(I$3:I$128="P"))+1,IF(N110&lt;&gt;"",SUMPRODUCT((N$3:N$128&lt;&gt;"")*(G$3:G$128=G110)*(J$3:J$128&gt;J110)*(I$3:I$128="P"))+1,IF(M110="P",SUMPRODUCT((O$3:O$128&lt;&gt;"")*(P$3:P$128="")*(G$3:G$128=G110)*(I$3:I$128="P"))+SUMPRODUCT((P$3:P$128&lt;&gt;"")*(G$3:G$128=G110)*(I$3:I$128="P"))+SUMPRODUCT((N$3:N$128&lt;&gt;"")*(G$3:G$128=G110)*(I$3:I$128="P"))+SUMPRODUCT((P$3:P$128="")*(O$3:O$128="")*(N$3:N$128="")*(M$3:M$128="P")*(G$3:G$128=G110)*(J$3:J$128&gt;J110)*(I$3:I$128="P"))+IF(H110="L5",SUMPRODUCT((P$3:P$128="")*(O$3:O$128="")*(N$3:N$128="")*(M$3:M$128="P")*(G$3:G$128=G110)*(J$3:J$128&lt;J110)*(H$3:H$128&lt;&gt;H110)*(I$3:I$128="P")),-1*SUMPRODUCT((P$3:P$128="")*(O$3:O$128="")*(N$3:N$128="")*(M$3:M$128="P")*(G$3:G$128=G110)*(J$3:J$128&gt;J110)*(H$3:H$128="L5")*(I$3:I$128="P")))+1,"")))))</f>
        <v/>
      </c>
      <c r="B110" s="1" t="str" cm="1">
        <f t="array" ref="B110">IF(P110&lt;&gt;"",SUMPRODUCT((P$3:P$128&lt;&gt;"")*(G$3:G$128=G110)*(J$3:J$128&gt;J110))+1,IF(O110&lt;&gt;"",SUMPRODUCT((O$3:O$128&lt;&gt;"")*(P$3:P$128="")*(G$3:G$128=G110)*(J$3:J$128&gt;J110))+SUMPRODUCT((P$3:P$128&lt;&gt;"")*(G$3:G$128=G110))+1,IF(N110&lt;&gt;"",SUMPRODUCT((N$3:N$128&lt;&gt;"")*(G$3:G$128=G110)*(J$3:J$128&gt;J110))+1,IF(M110="P",SUMPRODUCT((O$3:O$128&lt;&gt;"")*(P$3:P$128="")*(G$3:G$128=G110))+SUMPRODUCT((P$3:P$128&lt;&gt;"")*(G$3:G$128=G110))+SUMPRODUCT((N$3:N$128&lt;&gt;"")*(G$3:G$128=G110))+SUMPRODUCT((P$3:P$128="")*(O$3:O$128="")*(N$3:N$128="")*(M$3:M$128="P")*(G$3:G$128=G110)*(J$3:J$128&gt;J110))+IF(H110="L5",SUMPRODUCT((P$3:P$128="")*(O$3:O$128="")*(N$3:N$128="")*(M$3:M$128="P")*(G$3:G$128=G110)*(J$3:J$128&lt;J110)*(H$3:H$128&lt;&gt;H110)),-1*SUMPRODUCT((P$3:P$128="")*(O$3:O$128="")*(N$3:N$128="")*(M$3:M$128="P")*(G$3:G$128=G110)*(J$3:J$128&gt;J110)*(H$3:H$128="L5")))+1,""))))</f>
        <v/>
      </c>
      <c r="C110" s="36" t="s">
        <v>421</v>
      </c>
      <c r="D110" s="36" t="str">
        <f>IF(E110="","",VLOOKUP(E110,'Coaching Points'!A:B,2,0))</f>
        <v>BC</v>
      </c>
      <c r="E110" s="36" t="s">
        <v>37</v>
      </c>
      <c r="F110" s="35">
        <v>2006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115</v>
      </c>
      <c r="I110" s="45"/>
      <c r="J110" s="4">
        <f>R110+IF(OR(H110="Junior",H110="Senior"),0.0002,IF(OR(H110="L7",H110="L6"),0.0001,0))+IF(G110="17-21",MAX(AA110,AC110,AF110),AE110)*0.0000001</f>
        <v>5.1040000000000006E-6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49" t="str">
        <f>IF(A110&lt;5,IF(_xlfn.MAXIFS(A:A,G:G,G110)&gt;3,5-A110,_xlfn.MAXIFS(A:A,G:G,G110)+1-A110),"")</f>
        <v/>
      </c>
      <c r="R110" s="4">
        <f>IF(G110="Not Age Eligible",0,IF(G110="17-21",MAX(IF(U110&gt;='Qualifying Scores'!C$13,T110,0),IF(W110&gt;='Qualifying Scores'!C$13,V110,0),IF(Z110&gt;='Qualifying Scores'!C$13,Y110,0),IF(AB110&gt;='Qualifying Scores'!C$13,AA110,0),IF(AD110&gt;'Qualifying Scores'!C$13,AC110,0),IF(AG110&gt;'Qualifying Scores'!C$13,AF110,0)),MAX(IF(OR(AND(G110="15-16",W110&gt;='Qualifying Scores'!C$12),AND(G110="13-14",W110&gt;='Qualifying Scores'!C$11),AND(G110="11-12",W110&gt;='Qualifying Scores'!C$10)),X110,0),IF(OR(AND(G110="15-16",AD110&gt;='Qualifying Scores'!C$12),AND(G110="13-14",AD110&gt;='Qualifying Scores'!C$11),AND(G110="11-12",AD110&gt;='Qualifying Scores'!C$10)),AE110,0))))</f>
        <v>0</v>
      </c>
      <c r="S110" s="4">
        <f>IF(G110="17-21",MAX(T110,V110,Y110,AA110,AC110,AF110),MAX(X110,AE110))</f>
        <v>51.040000000000006</v>
      </c>
      <c r="T110" s="33"/>
      <c r="U110" s="40"/>
      <c r="V110" s="34"/>
      <c r="W110" s="40"/>
      <c r="X110" s="4">
        <f>IF(H110="Senior",MAX(T110,V110),T110+V110)</f>
        <v>0</v>
      </c>
      <c r="Y110" s="34"/>
      <c r="Z110" s="40"/>
      <c r="AA110" s="33">
        <v>37.630000000000003</v>
      </c>
      <c r="AB110" s="40">
        <v>0</v>
      </c>
      <c r="AC110" s="34">
        <v>13.41</v>
      </c>
      <c r="AD110" s="40">
        <v>2.2000000000000002</v>
      </c>
      <c r="AE110" s="4">
        <f>IF(H110="Senior",MAX(AA110,AC110),AA110+AC110)</f>
        <v>51.040000000000006</v>
      </c>
      <c r="AF110" s="34"/>
      <c r="AG110" s="37"/>
    </row>
    <row r="111" spans="1:33" x14ac:dyDescent="0.2">
      <c r="A111" s="1" t="str" cm="1">
        <f t="array" ref="A111">IF(I111="","",IF(P111&lt;&gt;"",SUMPRODUCT((P$3:P$128&lt;&gt;"")*(G$3:G$128=G111)*(J$3:J$128&gt;J111)*(I$3:I$128="P"))+1,IF(O111&lt;&gt;"",SUMPRODUCT((O$3:O$128&lt;&gt;"")*(P$3:P$128="")*(G$3:G$128=G111)*(J$3:J$128&gt;J111)*(I$3:I$128="P"))+SUMPRODUCT((P$3:P$128&lt;&gt;"")*(G$3:G$128=G111)*(I$3:I$128="P"))+1,IF(N111&lt;&gt;"",SUMPRODUCT((N$3:N$128&lt;&gt;"")*(G$3:G$128=G111)*(J$3:J$128&gt;J111)*(I$3:I$128="P"))+1,IF(M111="P",SUMPRODUCT((O$3:O$128&lt;&gt;"")*(P$3:P$128="")*(G$3:G$128=G111)*(I$3:I$128="P"))+SUMPRODUCT((P$3:P$128&lt;&gt;"")*(G$3:G$128=G111)*(I$3:I$128="P"))+SUMPRODUCT((N$3:N$128&lt;&gt;"")*(G$3:G$128=G111)*(I$3:I$128="P"))+SUMPRODUCT((P$3:P$128="")*(O$3:O$128="")*(N$3:N$128="")*(M$3:M$128="P")*(G$3:G$128=G111)*(J$3:J$128&gt;J111)*(I$3:I$128="P"))+IF(H111="L5",SUMPRODUCT((P$3:P$128="")*(O$3:O$128="")*(N$3:N$128="")*(M$3:M$128="P")*(G$3:G$128=G111)*(J$3:J$128&lt;J111)*(H$3:H$128&lt;&gt;H111)*(I$3:I$128="P")),-1*SUMPRODUCT((P$3:P$128="")*(O$3:O$128="")*(N$3:N$128="")*(M$3:M$128="P")*(G$3:G$128=G111)*(J$3:J$128&gt;J111)*(H$3:H$128="L5")*(I$3:I$128="P")))+1,"")))))</f>
        <v/>
      </c>
      <c r="B111" s="1" t="str" cm="1">
        <f t="array" ref="B111">IF(P111&lt;&gt;"",SUMPRODUCT((P$3:P$128&lt;&gt;"")*(G$3:G$128=G111)*(J$3:J$128&gt;J111))+1,IF(O111&lt;&gt;"",SUMPRODUCT((O$3:O$128&lt;&gt;"")*(P$3:P$128="")*(G$3:G$128=G111)*(J$3:J$128&gt;J111))+SUMPRODUCT((P$3:P$128&lt;&gt;"")*(G$3:G$128=G111))+1,IF(N111&lt;&gt;"",SUMPRODUCT((N$3:N$128&lt;&gt;"")*(G$3:G$128=G111)*(J$3:J$128&gt;J111))+1,IF(M111="P",SUMPRODUCT((O$3:O$128&lt;&gt;"")*(P$3:P$128="")*(G$3:G$128=G111))+SUMPRODUCT((P$3:P$128&lt;&gt;"")*(G$3:G$128=G111))+SUMPRODUCT((N$3:N$128&lt;&gt;"")*(G$3:G$128=G111))+SUMPRODUCT((P$3:P$128="")*(O$3:O$128="")*(N$3:N$128="")*(M$3:M$128="P")*(G$3:G$128=G111)*(J$3:J$128&gt;J111))+IF(H111="L5",SUMPRODUCT((P$3:P$128="")*(O$3:O$128="")*(N$3:N$128="")*(M$3:M$128="P")*(G$3:G$128=G111)*(J$3:J$128&lt;J111)*(H$3:H$128&lt;&gt;H111)),-1*SUMPRODUCT((P$3:P$128="")*(O$3:O$128="")*(N$3:N$128="")*(M$3:M$128="P")*(G$3:G$128=G111)*(J$3:J$128&gt;J111)*(H$3:H$128="L5")))+1,""))))</f>
        <v/>
      </c>
      <c r="C111" s="36" t="s">
        <v>424</v>
      </c>
      <c r="D111" s="36" t="str">
        <f>IF(E111="","",VLOOKUP(E111,'Coaching Points'!A:B,2,0))</f>
        <v>ON</v>
      </c>
      <c r="E111" s="36" t="s">
        <v>38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115</v>
      </c>
      <c r="I111" s="45"/>
      <c r="J111" s="4">
        <f>R111+IF(OR(H111="Junior",H111="Senior"),0.0002,IF(OR(H111="L7",H111="L6"),0.0001,0))+IF(G111="17-21",MAX(AA111,AC111,AF111),AE111)*0.0000001</f>
        <v>4.4669999999999998E-6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49" t="str">
        <f>IF(A111&lt;5,IF(_xlfn.MAXIFS(A:A,G:G,G111)&gt;3,5-A111,_xlfn.MAXIFS(A:A,G:G,G111)+1-A111),"")</f>
        <v/>
      </c>
      <c r="R111" s="4">
        <f>IF(G111="Not Age Eligible",0,IF(G111="17-21",MAX(IF(U111&gt;='Qualifying Scores'!C$13,T111,0),IF(W111&gt;='Qualifying Scores'!C$13,V111,0),IF(Z111&gt;='Qualifying Scores'!C$13,Y111,0),IF(AB111&gt;='Qualifying Scores'!C$13,AA111,0),IF(AD111&gt;'Qualifying Scores'!C$13,AC111,0),IF(AG111&gt;'Qualifying Scores'!C$13,AF111,0)),MAX(IF(OR(AND(G111="15-16",W111&gt;='Qualifying Scores'!C$12),AND(G111="13-14",W111&gt;='Qualifying Scores'!C$11),AND(G111="11-12",W111&gt;='Qualifying Scores'!C$10)),X111,0),IF(OR(AND(G111="15-16",AD111&gt;='Qualifying Scores'!C$12),AND(G111="13-14",AD111&gt;='Qualifying Scores'!C$11),AND(G111="11-12",AD111&gt;='Qualifying Scores'!C$10)),AE111,0))))</f>
        <v>0</v>
      </c>
      <c r="S111" s="4">
        <f>IF(G111="17-21",MAX(T111,V111,Y111,AA111,AC111,AF111),MAX(X111,AE111))</f>
        <v>44.67</v>
      </c>
      <c r="T111" s="33"/>
      <c r="U111" s="40"/>
      <c r="V111" s="34"/>
      <c r="W111" s="40"/>
      <c r="X111" s="4">
        <f>IF(H111="Senior",MAX(T111,V111),T111+V111)</f>
        <v>0</v>
      </c>
      <c r="Y111" s="34"/>
      <c r="Z111" s="40"/>
      <c r="AA111" s="33">
        <v>36.5</v>
      </c>
      <c r="AB111" s="40">
        <v>0</v>
      </c>
      <c r="AC111" s="34">
        <v>8.17</v>
      </c>
      <c r="AD111" s="40">
        <v>1.8</v>
      </c>
      <c r="AE111" s="4">
        <f>IF(H111="Senior",MAX(AA111,AC111),AA111+AC111)</f>
        <v>44.67</v>
      </c>
      <c r="AF111" s="34"/>
      <c r="AG111" s="37"/>
    </row>
    <row r="112" spans="1:33" x14ac:dyDescent="0.2">
      <c r="A112" s="1" t="str" cm="1">
        <f t="array" ref="A112">IF(I112="","",IF(P112&lt;&gt;"",SUMPRODUCT((P$3:P$128&lt;&gt;"")*(G$3:G$128=G112)*(J$3:J$128&gt;J112)*(I$3:I$128="P"))+1,IF(O112&lt;&gt;"",SUMPRODUCT((O$3:O$128&lt;&gt;"")*(P$3:P$128="")*(G$3:G$128=G112)*(J$3:J$128&gt;J112)*(I$3:I$128="P"))+SUMPRODUCT((P$3:P$128&lt;&gt;"")*(G$3:G$128=G112)*(I$3:I$128="P"))+1,IF(N112&lt;&gt;"",SUMPRODUCT((N$3:N$128&lt;&gt;"")*(G$3:G$128=G112)*(J$3:J$128&gt;J112)*(I$3:I$128="P"))+1,IF(M112="P",SUMPRODUCT((O$3:O$128&lt;&gt;"")*(P$3:P$128="")*(G$3:G$128=G112)*(I$3:I$128="P"))+SUMPRODUCT((P$3:P$128&lt;&gt;"")*(G$3:G$128=G112)*(I$3:I$128="P"))+SUMPRODUCT((N$3:N$128&lt;&gt;"")*(G$3:G$128=G112)*(I$3:I$128="P"))+SUMPRODUCT((P$3:P$128="")*(O$3:O$128="")*(N$3:N$128="")*(M$3:M$128="P")*(G$3:G$128=G112)*(J$3:J$128&gt;J112)*(I$3:I$128="P"))+IF(H112="L5",SUMPRODUCT((P$3:P$128="")*(O$3:O$128="")*(N$3:N$128="")*(M$3:M$128="P")*(G$3:G$128=G112)*(J$3:J$128&lt;J112)*(H$3:H$128&lt;&gt;H112)*(I$3:I$128="P")),-1*SUMPRODUCT((P$3:P$128="")*(O$3:O$128="")*(N$3:N$128="")*(M$3:M$128="P")*(G$3:G$128=G112)*(J$3:J$128&gt;J112)*(H$3:H$128="L5")*(I$3:I$128="P")))+1,"")))))</f>
        <v/>
      </c>
      <c r="B112" s="1" t="str" cm="1">
        <f t="array" ref="B112">IF(P112&lt;&gt;"",SUMPRODUCT((P$3:P$128&lt;&gt;"")*(G$3:G$128=G112)*(J$3:J$128&gt;J112))+1,IF(O112&lt;&gt;"",SUMPRODUCT((O$3:O$128&lt;&gt;"")*(P$3:P$128="")*(G$3:G$128=G112)*(J$3:J$128&gt;J112))+SUMPRODUCT((P$3:P$128&lt;&gt;"")*(G$3:G$128=G112))+1,IF(N112&lt;&gt;"",SUMPRODUCT((N$3:N$128&lt;&gt;"")*(G$3:G$128=G112)*(J$3:J$128&gt;J112))+1,IF(M112="P",SUMPRODUCT((O$3:O$128&lt;&gt;"")*(P$3:P$128="")*(G$3:G$128=G112))+SUMPRODUCT((P$3:P$128&lt;&gt;"")*(G$3:G$128=G112))+SUMPRODUCT((N$3:N$128&lt;&gt;"")*(G$3:G$128=G112))+SUMPRODUCT((P$3:P$128="")*(O$3:O$128="")*(N$3:N$128="")*(M$3:M$128="P")*(G$3:G$128=G112)*(J$3:J$128&gt;J112))+IF(H112="L5",SUMPRODUCT((P$3:P$128="")*(O$3:O$128="")*(N$3:N$128="")*(M$3:M$128="P")*(G$3:G$128=G112)*(J$3:J$128&lt;J112)*(H$3:H$128&lt;&gt;H112)),-1*SUMPRODUCT((P$3:P$128="")*(O$3:O$128="")*(N$3:N$128="")*(M$3:M$128="P")*(G$3:G$128=G112)*(J$3:J$128&gt;J112)*(H$3:H$128="L5")))+1,""))))</f>
        <v/>
      </c>
      <c r="C112" s="36" t="s">
        <v>251</v>
      </c>
      <c r="D112" s="36" t="str">
        <f>IF(E112="","",VLOOKUP(E112,'Coaching Points'!A:B,2,0))</f>
        <v>BC</v>
      </c>
      <c r="E112" s="36" t="s">
        <v>59</v>
      </c>
      <c r="F112" s="35">
        <v>2006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115</v>
      </c>
      <c r="I112" s="45"/>
      <c r="J112" s="4">
        <f>R112+IF(OR(H112="Junior",H112="Senior"),0.0002,IF(OR(H112="L7",H112="L6"),0.0001,0))+IF(G112="17-21",MAX(AA112,AC112,AF112),AE112)*0.0000001</f>
        <v>4.3480000000000006E-6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49" t="str">
        <f>IF(A112&lt;5,IF(_xlfn.MAXIFS(A:A,G:G,G112)&gt;3,5-A112,_xlfn.MAXIFS(A:A,G:G,G112)+1-A112),"")</f>
        <v/>
      </c>
      <c r="R112" s="4">
        <f>IF(G112="Not Age Eligible",0,IF(G112="17-21",MAX(IF(U112&gt;='Qualifying Scores'!C$13,T112,0),IF(W112&gt;='Qualifying Scores'!C$13,V112,0),IF(Z112&gt;='Qualifying Scores'!C$13,Y112,0),IF(AB112&gt;='Qualifying Scores'!C$13,AA112,0),IF(AD112&gt;'Qualifying Scores'!C$13,AC112,0),IF(AG112&gt;'Qualifying Scores'!C$13,AF112,0)),MAX(IF(OR(AND(G112="15-16",W112&gt;='Qualifying Scores'!C$12),AND(G112="13-14",W112&gt;='Qualifying Scores'!C$11),AND(G112="11-12",W112&gt;='Qualifying Scores'!C$10)),X112,0),IF(OR(AND(G112="15-16",AD112&gt;='Qualifying Scores'!C$12),AND(G112="13-14",AD112&gt;='Qualifying Scores'!C$11),AND(G112="11-12",AD112&gt;='Qualifying Scores'!C$10)),AE112,0))))</f>
        <v>0</v>
      </c>
      <c r="S112" s="4">
        <f>IF(G112="17-21",MAX(T112,V112,Y112,AA112,AC112,AF112),MAX(X112,AE112))</f>
        <v>74.11</v>
      </c>
      <c r="T112" s="33">
        <v>38.380000000000003</v>
      </c>
      <c r="U112" s="40">
        <v>0</v>
      </c>
      <c r="V112" s="34">
        <v>35.729999999999997</v>
      </c>
      <c r="W112" s="40">
        <v>6.3999999999999995</v>
      </c>
      <c r="X112" s="4">
        <f>IF(H112="Senior",MAX(T112,V112),T112+V112)</f>
        <v>74.11</v>
      </c>
      <c r="Y112" s="34">
        <v>0</v>
      </c>
      <c r="Z112" s="40">
        <v>0</v>
      </c>
      <c r="AA112" s="33">
        <v>38.75</v>
      </c>
      <c r="AB112" s="40">
        <v>0</v>
      </c>
      <c r="AC112" s="34">
        <v>4.7300000000000004</v>
      </c>
      <c r="AD112" s="40">
        <v>1.3</v>
      </c>
      <c r="AE112" s="4">
        <f>IF(H112="Senior",MAX(AA112,AC112),AA112+AC112)</f>
        <v>43.480000000000004</v>
      </c>
      <c r="AF112" s="34"/>
      <c r="AG112" s="37"/>
    </row>
    <row r="113" spans="1:33" x14ac:dyDescent="0.2">
      <c r="A113" s="1" t="str" cm="1">
        <f t="array" ref="A113">IF(I113="","",IF(P113&lt;&gt;"",SUMPRODUCT((P$3:P$128&lt;&gt;"")*(G$3:G$128=G113)*(J$3:J$128&gt;J113)*(I$3:I$128="P"))+1,IF(O113&lt;&gt;"",SUMPRODUCT((O$3:O$128&lt;&gt;"")*(P$3:P$128="")*(G$3:G$128=G113)*(J$3:J$128&gt;J113)*(I$3:I$128="P"))+SUMPRODUCT((P$3:P$128&lt;&gt;"")*(G$3:G$128=G113)*(I$3:I$128="P"))+1,IF(N113&lt;&gt;"",SUMPRODUCT((N$3:N$128&lt;&gt;"")*(G$3:G$128=G113)*(J$3:J$128&gt;J113)*(I$3:I$128="P"))+1,IF(M113="P",SUMPRODUCT((O$3:O$128&lt;&gt;"")*(P$3:P$128="")*(G$3:G$128=G113)*(I$3:I$128="P"))+SUMPRODUCT((P$3:P$128&lt;&gt;"")*(G$3:G$128=G113)*(I$3:I$128="P"))+SUMPRODUCT((N$3:N$128&lt;&gt;"")*(G$3:G$128=G113)*(I$3:I$128="P"))+SUMPRODUCT((P$3:P$128="")*(O$3:O$128="")*(N$3:N$128="")*(M$3:M$128="P")*(G$3:G$128=G113)*(J$3:J$128&gt;J113)*(I$3:I$128="P"))+IF(H113="L5",SUMPRODUCT((P$3:P$128="")*(O$3:O$128="")*(N$3:N$128="")*(M$3:M$128="P")*(G$3:G$128=G113)*(J$3:J$128&lt;J113)*(H$3:H$128&lt;&gt;H113)*(I$3:I$128="P")),-1*SUMPRODUCT((P$3:P$128="")*(O$3:O$128="")*(N$3:N$128="")*(M$3:M$128="P")*(G$3:G$128=G113)*(J$3:J$128&gt;J113)*(H$3:H$128="L5")*(I$3:I$128="P")))+1,"")))))</f>
        <v/>
      </c>
      <c r="B113" s="1" t="str" cm="1">
        <f t="array" ref="B113">IF(P113&lt;&gt;"",SUMPRODUCT((P$3:P$128&lt;&gt;"")*(G$3:G$128=G113)*(J$3:J$128&gt;J113))+1,IF(O113&lt;&gt;"",SUMPRODUCT((O$3:O$128&lt;&gt;"")*(P$3:P$128="")*(G$3:G$128=G113)*(J$3:J$128&gt;J113))+SUMPRODUCT((P$3:P$128&lt;&gt;"")*(G$3:G$128=G113))+1,IF(N113&lt;&gt;"",SUMPRODUCT((N$3:N$128&lt;&gt;"")*(G$3:G$128=G113)*(J$3:J$128&gt;J113))+1,IF(M113="P",SUMPRODUCT((O$3:O$128&lt;&gt;"")*(P$3:P$128="")*(G$3:G$128=G113))+SUMPRODUCT((P$3:P$128&lt;&gt;"")*(G$3:G$128=G113))+SUMPRODUCT((N$3:N$128&lt;&gt;"")*(G$3:G$128=G113))+SUMPRODUCT((P$3:P$128="")*(O$3:O$128="")*(N$3:N$128="")*(M$3:M$128="P")*(G$3:G$128=G113)*(J$3:J$128&gt;J113))+IF(H113="L5",SUMPRODUCT((P$3:P$128="")*(O$3:O$128="")*(N$3:N$128="")*(M$3:M$128="P")*(G$3:G$128=G113)*(J$3:J$128&lt;J113)*(H$3:H$128&lt;&gt;H113)),-1*SUMPRODUCT((P$3:P$128="")*(O$3:O$128="")*(N$3:N$128="")*(M$3:M$128="P")*(G$3:G$128=G113)*(J$3:J$128&gt;J113)*(H$3:H$128="L5")))+1,""))))</f>
        <v/>
      </c>
      <c r="C113" s="36" t="s">
        <v>245</v>
      </c>
      <c r="D113" s="36" t="str">
        <f>IF(E113="","",VLOOKUP(E113,'Coaching Points'!A:B,2,0))</f>
        <v>BC</v>
      </c>
      <c r="E113" s="36" t="s">
        <v>37</v>
      </c>
      <c r="F113" s="35">
        <v>2006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115</v>
      </c>
      <c r="I113" s="45"/>
      <c r="J113" s="4">
        <f>R113+IF(OR(H113="Junior",H113="Senior"),0.0002,IF(OR(H113="L7",H113="L6"),0.0001,0))+IF(G113="17-21",MAX(AA113,AC113,AF113),AE113)*0.0000001</f>
        <v>3.1704999999999995E-6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49" t="str">
        <f>IF(A113&lt;5,IF(_xlfn.MAXIFS(A:A,G:G,G113)&gt;3,5-A113,_xlfn.MAXIFS(A:A,G:G,G113)+1-A113),"")</f>
        <v/>
      </c>
      <c r="R113" s="4">
        <f>IF(G113="Not Age Eligible",0,IF(G113="17-21",MAX(IF(U113&gt;='Qualifying Scores'!C$13,T113,0),IF(W113&gt;='Qualifying Scores'!C$13,V113,0),IF(Z113&gt;='Qualifying Scores'!C$13,Y113,0),IF(AB113&gt;='Qualifying Scores'!C$13,AA113,0),IF(AD113&gt;'Qualifying Scores'!C$13,AC113,0),IF(AG113&gt;'Qualifying Scores'!C$13,AF113,0)),MAX(IF(OR(AND(G113="15-16",W113&gt;='Qualifying Scores'!C$12),AND(G113="13-14",W113&gt;='Qualifying Scores'!C$11),AND(G113="11-12",W113&gt;='Qualifying Scores'!C$10)),X113,0),IF(OR(AND(G113="15-16",AD113&gt;='Qualifying Scores'!C$12),AND(G113="13-14",AD113&gt;='Qualifying Scores'!C$11),AND(G113="11-12",AD113&gt;='Qualifying Scores'!C$10)),AE113,0))))</f>
        <v>0</v>
      </c>
      <c r="S113" s="4">
        <f>IF(G113="17-21",MAX(T113,V113,Y113,AA113,AC113,AF113),MAX(X113,AE113))</f>
        <v>80.94</v>
      </c>
      <c r="T113" s="33">
        <v>36.93</v>
      </c>
      <c r="U113" s="40">
        <v>0</v>
      </c>
      <c r="V113" s="34">
        <v>44.01</v>
      </c>
      <c r="W113" s="40">
        <v>8.3999999999999986</v>
      </c>
      <c r="X113" s="4">
        <f>IF(H113="Senior",MAX(T113,V113),T113+V113)</f>
        <v>80.94</v>
      </c>
      <c r="Y113" s="34">
        <v>0</v>
      </c>
      <c r="Z113" s="40">
        <v>0</v>
      </c>
      <c r="AA113" s="33">
        <v>26.66</v>
      </c>
      <c r="AB113" s="40">
        <v>0</v>
      </c>
      <c r="AC113" s="34">
        <v>5.0449999999999999</v>
      </c>
      <c r="AD113" s="40">
        <v>1.3</v>
      </c>
      <c r="AE113" s="4">
        <f>IF(H113="Senior",MAX(AA113,AC113),AA113+AC113)</f>
        <v>31.704999999999998</v>
      </c>
      <c r="AF113" s="34"/>
      <c r="AG113" s="37"/>
    </row>
    <row r="114" spans="1:33" x14ac:dyDescent="0.2">
      <c r="A114" s="1" t="str" cm="1">
        <f t="array" ref="A114">IF(I114="","",IF(P114&lt;&gt;"",SUMPRODUCT((P$3:P$128&lt;&gt;"")*(G$3:G$128=G114)*(J$3:J$128&gt;J114)*(I$3:I$128="P"))+1,IF(O114&lt;&gt;"",SUMPRODUCT((O$3:O$128&lt;&gt;"")*(P$3:P$128="")*(G$3:G$128=G114)*(J$3:J$128&gt;J114)*(I$3:I$128="P"))+SUMPRODUCT((P$3:P$128&lt;&gt;"")*(G$3:G$128=G114)*(I$3:I$128="P"))+1,IF(N114&lt;&gt;"",SUMPRODUCT((N$3:N$128&lt;&gt;"")*(G$3:G$128=G114)*(J$3:J$128&gt;J114)*(I$3:I$128="P"))+1,IF(M114="P",SUMPRODUCT((O$3:O$128&lt;&gt;"")*(P$3:P$128="")*(G$3:G$128=G114)*(I$3:I$128="P"))+SUMPRODUCT((P$3:P$128&lt;&gt;"")*(G$3:G$128=G114)*(I$3:I$128="P"))+SUMPRODUCT((N$3:N$128&lt;&gt;"")*(G$3:G$128=G114)*(I$3:I$128="P"))+SUMPRODUCT((P$3:P$128="")*(O$3:O$128="")*(N$3:N$128="")*(M$3:M$128="P")*(G$3:G$128=G114)*(J$3:J$128&gt;J114)*(I$3:I$128="P"))+IF(H114="L5",SUMPRODUCT((P$3:P$128="")*(O$3:O$128="")*(N$3:N$128="")*(M$3:M$128="P")*(G$3:G$128=G114)*(J$3:J$128&lt;J114)*(H$3:H$128&lt;&gt;H114)*(I$3:I$128="P")),-1*SUMPRODUCT((P$3:P$128="")*(O$3:O$128="")*(N$3:N$128="")*(M$3:M$128="P")*(G$3:G$128=G114)*(J$3:J$128&gt;J114)*(H$3:H$128="L5")*(I$3:I$128="P")))+1,"")))))</f>
        <v/>
      </c>
      <c r="B114" s="1" t="str" cm="1">
        <f t="array" ref="B114">IF(P114&lt;&gt;"",SUMPRODUCT((P$3:P$128&lt;&gt;"")*(G$3:G$128=G114)*(J$3:J$128&gt;J114))+1,IF(O114&lt;&gt;"",SUMPRODUCT((O$3:O$128&lt;&gt;"")*(P$3:P$128="")*(G$3:G$128=G114)*(J$3:J$128&gt;J114))+SUMPRODUCT((P$3:P$128&lt;&gt;"")*(G$3:G$128=G114))+1,IF(N114&lt;&gt;"",SUMPRODUCT((N$3:N$128&lt;&gt;"")*(G$3:G$128=G114)*(J$3:J$128&gt;J114))+1,IF(M114="P",SUMPRODUCT((O$3:O$128&lt;&gt;"")*(P$3:P$128="")*(G$3:G$128=G114))+SUMPRODUCT((P$3:P$128&lt;&gt;"")*(G$3:G$128=G114))+SUMPRODUCT((N$3:N$128&lt;&gt;"")*(G$3:G$128=G114))+SUMPRODUCT((P$3:P$128="")*(O$3:O$128="")*(N$3:N$128="")*(M$3:M$128="P")*(G$3:G$128=G114)*(J$3:J$128&gt;J114))+IF(H114="L5",SUMPRODUCT((P$3:P$128="")*(O$3:O$128="")*(N$3:N$128="")*(M$3:M$128="P")*(G$3:G$128=G114)*(J$3:J$128&lt;J114)*(H$3:H$128&lt;&gt;H114)),-1*SUMPRODUCT((P$3:P$128="")*(O$3:O$128="")*(N$3:N$128="")*(M$3:M$128="P")*(G$3:G$128=G114)*(J$3:J$128&gt;J114)*(H$3:H$128="L5")))+1,""))))</f>
        <v/>
      </c>
      <c r="C114" s="36" t="s">
        <v>252</v>
      </c>
      <c r="D114" s="36" t="str">
        <f>IF(E114="","",VLOOKUP(E114,'Coaching Points'!A:B,2,0))</f>
        <v>ON</v>
      </c>
      <c r="E114" s="36" t="s">
        <v>38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115</v>
      </c>
      <c r="I114" s="45"/>
      <c r="J114" s="4">
        <f>R114+IF(OR(H114="Junior",H114="Senior"),0.0002,IF(OR(H114="L7",H114="L6"),0.0001,0))+IF(G114="17-21",MAX(AA114,AC114,AF114),AE114)*0.0000001</f>
        <v>0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49" t="str">
        <f>IF(A114&lt;5,IF(_xlfn.MAXIFS(A:A,G:G,G114)&gt;3,5-A114,_xlfn.MAXIFS(A:A,G:G,G114)+1-A114),"")</f>
        <v/>
      </c>
      <c r="R114" s="4">
        <f>IF(G114="Not Age Eligible",0,IF(G114="17-21",MAX(IF(U114&gt;='Qualifying Scores'!C$13,T114,0),IF(W114&gt;='Qualifying Scores'!C$13,V114,0),IF(Z114&gt;='Qualifying Scores'!C$13,Y114,0),IF(AB114&gt;='Qualifying Scores'!C$13,AA114,0),IF(AD114&gt;'Qualifying Scores'!C$13,AC114,0),IF(AG114&gt;'Qualifying Scores'!C$13,AF114,0)),MAX(IF(OR(AND(G114="15-16",W114&gt;='Qualifying Scores'!C$12),AND(G114="13-14",W114&gt;='Qualifying Scores'!C$11),AND(G114="11-12",W114&gt;='Qualifying Scores'!C$10)),X114,0),IF(OR(AND(G114="15-16",AD114&gt;='Qualifying Scores'!C$12),AND(G114="13-14",AD114&gt;='Qualifying Scores'!C$11),AND(G114="11-12",AD114&gt;='Qualifying Scores'!C$10)),AE114,0))))</f>
        <v>0</v>
      </c>
      <c r="S114" s="4">
        <f>IF(G114="17-21",MAX(T114,V114,Y114,AA114,AC114,AF114),MAX(X114,AE114))</f>
        <v>72.11</v>
      </c>
      <c r="T114" s="33">
        <v>27.33</v>
      </c>
      <c r="U114" s="40">
        <v>0</v>
      </c>
      <c r="V114" s="34">
        <v>44.78</v>
      </c>
      <c r="W114" s="40">
        <v>7.0999999999999988</v>
      </c>
      <c r="X114" s="4">
        <f>IF(H114="Senior",MAX(T114,V114),T114+V114)</f>
        <v>72.11</v>
      </c>
      <c r="Y114" s="34">
        <v>0</v>
      </c>
      <c r="Z114" s="40">
        <v>0</v>
      </c>
      <c r="AA114" s="33"/>
      <c r="AB114" s="40"/>
      <c r="AC114" s="34"/>
      <c r="AD114" s="40"/>
      <c r="AE114" s="4">
        <f>IF(H114="Senior",MAX(AA114,AC114),AA114+AC114)</f>
        <v>0</v>
      </c>
      <c r="AF114" s="34"/>
      <c r="AG114" s="37"/>
    </row>
    <row r="115" spans="1:33" x14ac:dyDescent="0.2">
      <c r="A115" s="1" t="str" cm="1">
        <f t="array" ref="A115">IF(I115="","",IF(P115&lt;&gt;"",SUMPRODUCT((P$3:P$128&lt;&gt;"")*(G$3:G$128=G115)*(J$3:J$128&gt;J115)*(I$3:I$128="P"))+1,IF(O115&lt;&gt;"",SUMPRODUCT((O$3:O$128&lt;&gt;"")*(P$3:P$128="")*(G$3:G$128=G115)*(J$3:J$128&gt;J115)*(I$3:I$128="P"))+SUMPRODUCT((P$3:P$128&lt;&gt;"")*(G$3:G$128=G115)*(I$3:I$128="P"))+1,IF(N115&lt;&gt;"",SUMPRODUCT((N$3:N$128&lt;&gt;"")*(G$3:G$128=G115)*(J$3:J$128&gt;J115)*(I$3:I$128="P"))+1,IF(M115="P",SUMPRODUCT((O$3:O$128&lt;&gt;"")*(P$3:P$128="")*(G$3:G$128=G115)*(I$3:I$128="P"))+SUMPRODUCT((P$3:P$128&lt;&gt;"")*(G$3:G$128=G115)*(I$3:I$128="P"))+SUMPRODUCT((N$3:N$128&lt;&gt;"")*(G$3:G$128=G115)*(I$3:I$128="P"))+SUMPRODUCT((P$3:P$128="")*(O$3:O$128="")*(N$3:N$128="")*(M$3:M$128="P")*(G$3:G$128=G115)*(J$3:J$128&gt;J115)*(I$3:I$128="P"))+IF(H115="L5",SUMPRODUCT((P$3:P$128="")*(O$3:O$128="")*(N$3:N$128="")*(M$3:M$128="P")*(G$3:G$128=G115)*(J$3:J$128&lt;J115)*(H$3:H$128&lt;&gt;H115)*(I$3:I$128="P")),-1*SUMPRODUCT((P$3:P$128="")*(O$3:O$128="")*(N$3:N$128="")*(M$3:M$128="P")*(G$3:G$128=G115)*(J$3:J$128&gt;J115)*(H$3:H$128="L5")*(I$3:I$128="P")))+1,"")))))</f>
        <v/>
      </c>
      <c r="B115" s="1" t="str" cm="1">
        <f t="array" ref="B115">IF(P115&lt;&gt;"",SUMPRODUCT((P$3:P$128&lt;&gt;"")*(G$3:G$128=G115)*(J$3:J$128&gt;J115))+1,IF(O115&lt;&gt;"",SUMPRODUCT((O$3:O$128&lt;&gt;"")*(P$3:P$128="")*(G$3:G$128=G115)*(J$3:J$128&gt;J115))+SUMPRODUCT((P$3:P$128&lt;&gt;"")*(G$3:G$128=G115))+1,IF(N115&lt;&gt;"",SUMPRODUCT((N$3:N$128&lt;&gt;"")*(G$3:G$128=G115)*(J$3:J$128&gt;J115))+1,IF(M115="P",SUMPRODUCT((O$3:O$128&lt;&gt;"")*(P$3:P$128="")*(G$3:G$128=G115))+SUMPRODUCT((P$3:P$128&lt;&gt;"")*(G$3:G$128=G115))+SUMPRODUCT((N$3:N$128&lt;&gt;"")*(G$3:G$128=G115))+SUMPRODUCT((P$3:P$128="")*(O$3:O$128="")*(N$3:N$128="")*(M$3:M$128="P")*(G$3:G$128=G115)*(J$3:J$128&gt;J115))+IF(H115="L5",SUMPRODUCT((P$3:P$128="")*(O$3:O$128="")*(N$3:N$128="")*(M$3:M$128="P")*(G$3:G$128=G115)*(J$3:J$128&lt;J115)*(H$3:H$128&lt;&gt;H115)),-1*SUMPRODUCT((P$3:P$128="")*(O$3:O$128="")*(N$3:N$128="")*(M$3:M$128="P")*(G$3:G$128=G115)*(J$3:J$128&gt;J115)*(H$3:H$128="L5")))+1,""))))</f>
        <v/>
      </c>
      <c r="C115" s="36" t="s">
        <v>419</v>
      </c>
      <c r="D115" s="36" t="str">
        <f>IF(E115="","",VLOOKUP(E115,'Coaching Points'!A:B,2,0))</f>
        <v>BC</v>
      </c>
      <c r="E115" s="36" t="s">
        <v>571</v>
      </c>
      <c r="F115" s="35">
        <v>2006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115</v>
      </c>
      <c r="I115" s="45"/>
      <c r="J115" s="4">
        <f>R115+IF(OR(H115="Junior",H115="Senior"),0.0002,IF(OR(H115="L7",H115="L6"),0.0001,0))+IF(G115="17-21",MAX(AA115,AC115,AF115),AE115)*0.0000001</f>
        <v>0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49" t="str">
        <f>IF(A115&lt;5,IF(_xlfn.MAXIFS(A:A,G:G,G115)&gt;3,5-A115,_xlfn.MAXIFS(A:A,G:G,G115)+1-A115),"")</f>
        <v/>
      </c>
      <c r="R115" s="4">
        <f>IF(G115="Not Age Eligible",0,IF(G115="17-21",MAX(IF(U115&gt;='Qualifying Scores'!C$13,T115,0),IF(W115&gt;='Qualifying Scores'!C$13,V115,0),IF(Z115&gt;='Qualifying Scores'!C$13,Y115,0),IF(AB115&gt;='Qualifying Scores'!C$13,AA115,0),IF(AD115&gt;'Qualifying Scores'!C$13,AC115,0),IF(AG115&gt;'Qualifying Scores'!C$13,AF115,0)),MAX(IF(OR(AND(G115="15-16",W115&gt;='Qualifying Scores'!C$12),AND(G115="13-14",W115&gt;='Qualifying Scores'!C$11),AND(G115="11-12",W115&gt;='Qualifying Scores'!C$10)),X115,0),IF(OR(AND(G115="15-16",AD115&gt;='Qualifying Scores'!C$12),AND(G115="13-14",AD115&gt;='Qualifying Scores'!C$11),AND(G115="11-12",AD115&gt;='Qualifying Scores'!C$10)),AE115,0))))</f>
        <v>0</v>
      </c>
      <c r="S115" s="4">
        <f>IF(G115="17-21",MAX(T115,V115,Y115,AA115,AC115,AF115),MAX(X115,AE115))</f>
        <v>0</v>
      </c>
      <c r="T115" s="33"/>
      <c r="U115" s="40"/>
      <c r="V115" s="34"/>
      <c r="W115" s="40"/>
      <c r="X115" s="4">
        <f>IF(H115="Senior",MAX(T115,V115),T115+V115)</f>
        <v>0</v>
      </c>
      <c r="Y115" s="34"/>
      <c r="Z115" s="40"/>
      <c r="AA115" s="33"/>
      <c r="AB115" s="40"/>
      <c r="AC115" s="34"/>
      <c r="AD115" s="40"/>
      <c r="AE115" s="4">
        <f>IF(H115="Senior",MAX(AA115,AC115),AA115+AC115)</f>
        <v>0</v>
      </c>
      <c r="AF115" s="34"/>
      <c r="AG115" s="37"/>
    </row>
    <row r="116" spans="1:33" x14ac:dyDescent="0.2">
      <c r="A116" s="1" t="str" cm="1">
        <f t="array" ref="A116">IF(I116="","",IF(P116&lt;&gt;"",SUMPRODUCT((P$3:P$128&lt;&gt;"")*(G$3:G$128=G116)*(J$3:J$128&gt;J116)*(I$3:I$128="P"))+1,IF(O116&lt;&gt;"",SUMPRODUCT((O$3:O$128&lt;&gt;"")*(P$3:P$128="")*(G$3:G$128=G116)*(J$3:J$128&gt;J116)*(I$3:I$128="P"))+SUMPRODUCT((P$3:P$128&lt;&gt;"")*(G$3:G$128=G116)*(I$3:I$128="P"))+1,IF(N116&lt;&gt;"",SUMPRODUCT((N$3:N$128&lt;&gt;"")*(G$3:G$128=G116)*(J$3:J$128&gt;J116)*(I$3:I$128="P"))+1,IF(M116="P",SUMPRODUCT((O$3:O$128&lt;&gt;"")*(P$3:P$128="")*(G$3:G$128=G116)*(I$3:I$128="P"))+SUMPRODUCT((P$3:P$128&lt;&gt;"")*(G$3:G$128=G116)*(I$3:I$128="P"))+SUMPRODUCT((N$3:N$128&lt;&gt;"")*(G$3:G$128=G116)*(I$3:I$128="P"))+SUMPRODUCT((P$3:P$128="")*(O$3:O$128="")*(N$3:N$128="")*(M$3:M$128="P")*(G$3:G$128=G116)*(J$3:J$128&gt;J116)*(I$3:I$128="P"))+IF(H116="L5",SUMPRODUCT((P$3:P$128="")*(O$3:O$128="")*(N$3:N$128="")*(M$3:M$128="P")*(G$3:G$128=G116)*(J$3:J$128&lt;J116)*(H$3:H$128&lt;&gt;H116)*(I$3:I$128="P")),-1*SUMPRODUCT((P$3:P$128="")*(O$3:O$128="")*(N$3:N$128="")*(M$3:M$128="P")*(G$3:G$128=G116)*(J$3:J$128&gt;J116)*(H$3:H$128="L5")*(I$3:I$128="P")))+1,"")))))</f>
        <v/>
      </c>
      <c r="B116" s="1" t="str" cm="1">
        <f t="array" ref="B116">IF(P116&lt;&gt;"",SUMPRODUCT((P$3:P$128&lt;&gt;"")*(G$3:G$128=G116)*(J$3:J$128&gt;J116))+1,IF(O116&lt;&gt;"",SUMPRODUCT((O$3:O$128&lt;&gt;"")*(P$3:P$128="")*(G$3:G$128=G116)*(J$3:J$128&gt;J116))+SUMPRODUCT((P$3:P$128&lt;&gt;"")*(G$3:G$128=G116))+1,IF(N116&lt;&gt;"",SUMPRODUCT((N$3:N$128&lt;&gt;"")*(G$3:G$128=G116)*(J$3:J$128&gt;J116))+1,IF(M116="P",SUMPRODUCT((O$3:O$128&lt;&gt;"")*(P$3:P$128="")*(G$3:G$128=G116))+SUMPRODUCT((P$3:P$128&lt;&gt;"")*(G$3:G$128=G116))+SUMPRODUCT((N$3:N$128&lt;&gt;"")*(G$3:G$128=G116))+SUMPRODUCT((P$3:P$128="")*(O$3:O$128="")*(N$3:N$128="")*(M$3:M$128="P")*(G$3:G$128=G116)*(J$3:J$128&gt;J116))+IF(H116="L5",SUMPRODUCT((P$3:P$128="")*(O$3:O$128="")*(N$3:N$128="")*(M$3:M$128="P")*(G$3:G$128=G116)*(J$3:J$128&lt;J116)*(H$3:H$128&lt;&gt;H116)),-1*SUMPRODUCT((P$3:P$128="")*(O$3:O$128="")*(N$3:N$128="")*(M$3:M$128="P")*(G$3:G$128=G116)*(J$3:J$128&gt;J116)*(H$3:H$128="L5")))+1,""))))</f>
        <v/>
      </c>
      <c r="C116" s="36" t="s">
        <v>278</v>
      </c>
      <c r="D116" s="36" t="str">
        <f>IF(E116="","",VLOOKUP(E116,'Coaching Points'!A:B,2,0))</f>
        <v>QC</v>
      </c>
      <c r="E116" s="36" t="s">
        <v>62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13-14</v>
      </c>
      <c r="H116" s="39" t="s">
        <v>116</v>
      </c>
      <c r="I116" s="45"/>
      <c r="J116" s="4">
        <f>R116+IF(OR(H116="Junior",H116="Senior"),0.0002,IF(OR(H116="L7",H116="L6"),0.0001,0))+IF(G116="17-21",MAX(AA116,AC116,AF116),AE116)*0.0000001</f>
        <v>86.410104986999997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>P</v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49" t="str">
        <f>IF(A116&lt;5,IF(_xlfn.MAXIFS(A:A,G:G,G116)&gt;3,5-A116,_xlfn.MAXIFS(A:A,G:G,G116)+1-A116),"")</f>
        <v/>
      </c>
      <c r="R116" s="4">
        <f>IF(G116="Not Age Eligible",0,IF(G116="17-21",MAX(IF(U116&gt;='Qualifying Scores'!C$13,T116,0),IF(W116&gt;='Qualifying Scores'!C$13,V116,0),IF(Z116&gt;='Qualifying Scores'!C$13,Y116,0),IF(AB116&gt;='Qualifying Scores'!C$13,AA116,0),IF(AD116&gt;'Qualifying Scores'!C$13,AC116,0),IF(AG116&gt;'Qualifying Scores'!C$13,AF116,0)),MAX(IF(OR(AND(G116="15-16",W116&gt;='Qualifying Scores'!C$12),AND(G116="13-14",W116&gt;='Qualifying Scores'!C$11),AND(G116="11-12",W116&gt;='Qualifying Scores'!C$10)),X116,0),IF(OR(AND(G116="15-16",AD116&gt;='Qualifying Scores'!C$12),AND(G116="13-14",AD116&gt;='Qualifying Scores'!C$11),AND(G116="11-12",AD116&gt;='Qualifying Scores'!C$10)),AE116,0))))</f>
        <v>86.41</v>
      </c>
      <c r="S116" s="4">
        <f>IF(G116="17-21",MAX(T116,V116,Y116,AA116,AC116,AF116),MAX(X116,AE116))</f>
        <v>86.41</v>
      </c>
      <c r="T116" s="33">
        <v>40.239999999999995</v>
      </c>
      <c r="U116" s="40">
        <v>0</v>
      </c>
      <c r="V116" s="34">
        <v>46.17</v>
      </c>
      <c r="W116" s="40">
        <v>8.7999999999999989</v>
      </c>
      <c r="X116" s="4">
        <f>IF(H116="Senior",MAX(T116,V116),T116+V116)</f>
        <v>86.41</v>
      </c>
      <c r="Y116" s="34">
        <v>47.14</v>
      </c>
      <c r="Z116" s="40">
        <v>8.7999999999999989</v>
      </c>
      <c r="AA116" s="33">
        <v>40.04</v>
      </c>
      <c r="AB116" s="40">
        <v>0</v>
      </c>
      <c r="AC116" s="34">
        <v>9.83</v>
      </c>
      <c r="AD116" s="40">
        <v>2.5</v>
      </c>
      <c r="AE116" s="4">
        <f>IF(H116="Senior",MAX(AA116,AC116),AA116+AC116)</f>
        <v>49.87</v>
      </c>
      <c r="AF116" s="34"/>
      <c r="AG116" s="37"/>
    </row>
    <row r="117" spans="1:33" x14ac:dyDescent="0.2">
      <c r="A117" s="1" t="str" cm="1">
        <f t="array" ref="A117">IF(I117="","",IF(P117&lt;&gt;"",SUMPRODUCT((P$3:P$128&lt;&gt;"")*(G$3:G$128=G117)*(J$3:J$128&gt;J117)*(I$3:I$128="P"))+1,IF(O117&lt;&gt;"",SUMPRODUCT((O$3:O$128&lt;&gt;"")*(P$3:P$128="")*(G$3:G$128=G117)*(J$3:J$128&gt;J117)*(I$3:I$128="P"))+SUMPRODUCT((P$3:P$128&lt;&gt;"")*(G$3:G$128=G117)*(I$3:I$128="P"))+1,IF(N117&lt;&gt;"",SUMPRODUCT((N$3:N$128&lt;&gt;"")*(G$3:G$128=G117)*(J$3:J$128&gt;J117)*(I$3:I$128="P"))+1,IF(M117="P",SUMPRODUCT((O$3:O$128&lt;&gt;"")*(P$3:P$128="")*(G$3:G$128=G117)*(I$3:I$128="P"))+SUMPRODUCT((P$3:P$128&lt;&gt;"")*(G$3:G$128=G117)*(I$3:I$128="P"))+SUMPRODUCT((N$3:N$128&lt;&gt;"")*(G$3:G$128=G117)*(I$3:I$128="P"))+SUMPRODUCT((P$3:P$128="")*(O$3:O$128="")*(N$3:N$128="")*(M$3:M$128="P")*(G$3:G$128=G117)*(J$3:J$128&gt;J117)*(I$3:I$128="P"))+IF(H117="L5",SUMPRODUCT((P$3:P$128="")*(O$3:O$128="")*(N$3:N$128="")*(M$3:M$128="P")*(G$3:G$128=G117)*(J$3:J$128&lt;J117)*(H$3:H$128&lt;&gt;H117)*(I$3:I$128="P")),-1*SUMPRODUCT((P$3:P$128="")*(O$3:O$128="")*(N$3:N$128="")*(M$3:M$128="P")*(G$3:G$128=G117)*(J$3:J$128&gt;J117)*(H$3:H$128="L5")*(I$3:I$128="P")))+1,"")))))</f>
        <v/>
      </c>
      <c r="B117" s="1" t="str" cm="1">
        <f t="array" ref="B117">IF(P117&lt;&gt;"",SUMPRODUCT((P$3:P$128&lt;&gt;"")*(G$3:G$128=G117)*(J$3:J$128&gt;J117))+1,IF(O117&lt;&gt;"",SUMPRODUCT((O$3:O$128&lt;&gt;"")*(P$3:P$128="")*(G$3:G$128=G117)*(J$3:J$128&gt;J117))+SUMPRODUCT((P$3:P$128&lt;&gt;"")*(G$3:G$128=G117))+1,IF(N117&lt;&gt;"",SUMPRODUCT((N$3:N$128&lt;&gt;"")*(G$3:G$128=G117)*(J$3:J$128&gt;J117))+1,IF(M117="P",SUMPRODUCT((O$3:O$128&lt;&gt;"")*(P$3:P$128="")*(G$3:G$128=G117))+SUMPRODUCT((P$3:P$128&lt;&gt;"")*(G$3:G$128=G117))+SUMPRODUCT((N$3:N$128&lt;&gt;"")*(G$3:G$128=G117))+SUMPRODUCT((P$3:P$128="")*(O$3:O$128="")*(N$3:N$128="")*(M$3:M$128="P")*(G$3:G$128=G117)*(J$3:J$128&gt;J117))+IF(H117="L5",SUMPRODUCT((P$3:P$128="")*(O$3:O$128="")*(N$3:N$128="")*(M$3:M$128="P")*(G$3:G$128=G117)*(J$3:J$128&lt;J117)*(H$3:H$128&lt;&gt;H117)),-1*SUMPRODUCT((P$3:P$128="")*(O$3:O$128="")*(N$3:N$128="")*(M$3:M$128="P")*(G$3:G$128=G117)*(J$3:J$128&gt;J117)*(H$3:H$128="L5")))+1,""))))</f>
        <v/>
      </c>
      <c r="C117" s="36" t="s">
        <v>277</v>
      </c>
      <c r="D117" s="36" t="str">
        <f>IF(E117="","",VLOOKUP(E117,'Coaching Points'!A:B,2,0))</f>
        <v>BC</v>
      </c>
      <c r="E117" s="36" t="s">
        <v>59</v>
      </c>
      <c r="F117" s="35">
        <v>2009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13-14</v>
      </c>
      <c r="H117" s="39" t="s">
        <v>114</v>
      </c>
      <c r="I117" s="45" t="s">
        <v>604</v>
      </c>
      <c r="J117" s="4">
        <f>R117+IF(OR(H117="Junior",H117="Senior"),0.0002,IF(OR(H117="L7",H117="L6"),0.0001,0))+IF(G117="17-21",MAX(AA117,AC117,AF117),AE117)*0.0000001</f>
        <v>86.370208522000013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>P</v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49" t="str">
        <f>IF(A117&lt;5,IF(_xlfn.MAXIFS(A:A,G:G,G117)&gt;3,5-A117,_xlfn.MAXIFS(A:A,G:G,G117)+1-A117),"")</f>
        <v/>
      </c>
      <c r="R117" s="4">
        <f>IF(G117="Not Age Eligible",0,IF(G117="17-21",MAX(IF(U117&gt;='Qualifying Scores'!C$13,T117,0),IF(W117&gt;='Qualifying Scores'!C$13,V117,0),IF(Z117&gt;='Qualifying Scores'!C$13,Y117,0),IF(AB117&gt;='Qualifying Scores'!C$13,AA117,0),IF(AD117&gt;'Qualifying Scores'!C$13,AC117,0),IF(AG117&gt;'Qualifying Scores'!C$13,AF117,0)),MAX(IF(OR(AND(G117="15-16",W117&gt;='Qualifying Scores'!C$12),AND(G117="13-14",W117&gt;='Qualifying Scores'!C$11),AND(G117="11-12",W117&gt;='Qualifying Scores'!C$10)),X117,0),IF(OR(AND(G117="15-16",AD117&gt;='Qualifying Scores'!C$12),AND(G117="13-14",AD117&gt;='Qualifying Scores'!C$11),AND(G117="11-12",AD117&gt;='Qualifying Scores'!C$10)),AE117,0))))</f>
        <v>86.37</v>
      </c>
      <c r="S117" s="4">
        <f>IF(G117="17-21",MAX(T117,V117,Y117,AA117,AC117,AF117),MAX(X117,AE117))</f>
        <v>86.37</v>
      </c>
      <c r="T117" s="33">
        <v>38.67</v>
      </c>
      <c r="U117" s="40">
        <v>0</v>
      </c>
      <c r="V117" s="34">
        <v>47.7</v>
      </c>
      <c r="W117" s="40">
        <v>9.6999999999999993</v>
      </c>
      <c r="X117" s="4">
        <f>IF(H117="Senior",MAX(T117,V117),T117+V117)</f>
        <v>86.37</v>
      </c>
      <c r="Y117" s="34">
        <v>48.489999999999995</v>
      </c>
      <c r="Z117" s="40">
        <v>9.6999999999999993</v>
      </c>
      <c r="AA117" s="33">
        <v>39.200000000000003</v>
      </c>
      <c r="AB117" s="40">
        <v>0</v>
      </c>
      <c r="AC117" s="34">
        <v>46.02</v>
      </c>
      <c r="AD117" s="40">
        <v>10.3</v>
      </c>
      <c r="AE117" s="4">
        <f>IF(H117="Senior",MAX(AA117,AC117),AA117+AC117)</f>
        <v>85.22</v>
      </c>
      <c r="AF117" s="34">
        <v>24.45</v>
      </c>
      <c r="AG117" s="37">
        <v>5.6</v>
      </c>
    </row>
    <row r="118" spans="1:33" x14ac:dyDescent="0.2">
      <c r="A118" s="1" t="str" cm="1">
        <f t="array" ref="A118">IF(I118="","",IF(P118&lt;&gt;"",SUMPRODUCT((P$3:P$128&lt;&gt;"")*(G$3:G$128=G118)*(J$3:J$128&gt;J118)*(I$3:I$128="P"))+1,IF(O118&lt;&gt;"",SUMPRODUCT((O$3:O$128&lt;&gt;"")*(P$3:P$128="")*(G$3:G$128=G118)*(J$3:J$128&gt;J118)*(I$3:I$128="P"))+SUMPRODUCT((P$3:P$128&lt;&gt;"")*(G$3:G$128=G118)*(I$3:I$128="P"))+1,IF(N118&lt;&gt;"",SUMPRODUCT((N$3:N$128&lt;&gt;"")*(G$3:G$128=G118)*(J$3:J$128&gt;J118)*(I$3:I$128="P"))+1,IF(M118="P",SUMPRODUCT((O$3:O$128&lt;&gt;"")*(P$3:P$128="")*(G$3:G$128=G118)*(I$3:I$128="P"))+SUMPRODUCT((P$3:P$128&lt;&gt;"")*(G$3:G$128=G118)*(I$3:I$128="P"))+SUMPRODUCT((N$3:N$128&lt;&gt;"")*(G$3:G$128=G118)*(I$3:I$128="P"))+SUMPRODUCT((P$3:P$128="")*(O$3:O$128="")*(N$3:N$128="")*(M$3:M$128="P")*(G$3:G$128=G118)*(J$3:J$128&gt;J118)*(I$3:I$128="P"))+IF(H118="L5",SUMPRODUCT((P$3:P$128="")*(O$3:O$128="")*(N$3:N$128="")*(M$3:M$128="P")*(G$3:G$128=G118)*(J$3:J$128&lt;J118)*(H$3:H$128&lt;&gt;H118)*(I$3:I$128="P")),-1*SUMPRODUCT((P$3:P$128="")*(O$3:O$128="")*(N$3:N$128="")*(M$3:M$128="P")*(G$3:G$128=G118)*(J$3:J$128&gt;J118)*(H$3:H$128="L5")*(I$3:I$128="P")))+1,"")))))</f>
        <v/>
      </c>
      <c r="B118" s="1" t="str" cm="1">
        <f t="array" ref="B118">IF(P118&lt;&gt;"",SUMPRODUCT((P$3:P$128&lt;&gt;"")*(G$3:G$128=G118)*(J$3:J$128&gt;J118))+1,IF(O118&lt;&gt;"",SUMPRODUCT((O$3:O$128&lt;&gt;"")*(P$3:P$128="")*(G$3:G$128=G118)*(J$3:J$128&gt;J118))+SUMPRODUCT((P$3:P$128&lt;&gt;"")*(G$3:G$128=G118))+1,IF(N118&lt;&gt;"",SUMPRODUCT((N$3:N$128&lt;&gt;"")*(G$3:G$128=G118)*(J$3:J$128&gt;J118))+1,IF(M118="P",SUMPRODUCT((O$3:O$128&lt;&gt;"")*(P$3:P$128="")*(G$3:G$128=G118))+SUMPRODUCT((P$3:P$128&lt;&gt;"")*(G$3:G$128=G118))+SUMPRODUCT((N$3:N$128&lt;&gt;"")*(G$3:G$128=G118))+SUMPRODUCT((P$3:P$128="")*(O$3:O$128="")*(N$3:N$128="")*(M$3:M$128="P")*(G$3:G$128=G118)*(J$3:J$128&gt;J118))+IF(H118="L5",SUMPRODUCT((P$3:P$128="")*(O$3:O$128="")*(N$3:N$128="")*(M$3:M$128="P")*(G$3:G$128=G118)*(J$3:J$128&lt;J118)*(H$3:H$128&lt;&gt;H118)),-1*SUMPRODUCT((P$3:P$128="")*(O$3:O$128="")*(N$3:N$128="")*(M$3:M$128="P")*(G$3:G$128=G118)*(J$3:J$128&gt;J118)*(H$3:H$128="L5")))+1,""))))</f>
        <v/>
      </c>
      <c r="C118" s="36" t="s">
        <v>231</v>
      </c>
      <c r="D118" s="36" t="str">
        <f>IF(E118="","",VLOOKUP(E118,'Coaching Points'!A:B,2,0))</f>
        <v>BC</v>
      </c>
      <c r="E118" s="36" t="s">
        <v>59</v>
      </c>
      <c r="F118" s="35">
        <v>2009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13-14</v>
      </c>
      <c r="H118" s="39" t="s">
        <v>116</v>
      </c>
      <c r="I118" s="45" t="s">
        <v>604</v>
      </c>
      <c r="J118" s="4">
        <f>R118+IF(OR(H118="Junior",H118="Senior"),0.0002,IF(OR(H118="L7",H118="L6"),0.0001,0))+IF(G118="17-21",MAX(AA118,AC118,AF118),AE118)*0.0000001</f>
        <v>85.800108433999995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>P</v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49" t="str">
        <f>IF(A118&lt;5,IF(_xlfn.MAXIFS(A:A,G:G,G118)&gt;3,5-A118,_xlfn.MAXIFS(A:A,G:G,G118)+1-A118),"")</f>
        <v/>
      </c>
      <c r="R118" s="4">
        <f>IF(G118="Not Age Eligible",0,IF(G118="17-21",MAX(IF(U118&gt;='Qualifying Scores'!C$13,T118,0),IF(W118&gt;='Qualifying Scores'!C$13,V118,0),IF(Z118&gt;='Qualifying Scores'!C$13,Y118,0),IF(AB118&gt;='Qualifying Scores'!C$13,AA118,0),IF(AD118&gt;'Qualifying Scores'!C$13,AC118,0),IF(AG118&gt;'Qualifying Scores'!C$13,AF118,0)),MAX(IF(OR(AND(G118="15-16",W118&gt;='Qualifying Scores'!C$12),AND(G118="13-14",W118&gt;='Qualifying Scores'!C$11),AND(G118="11-12",W118&gt;='Qualifying Scores'!C$10)),X118,0),IF(OR(AND(G118="15-16",AD118&gt;='Qualifying Scores'!C$12),AND(G118="13-14",AD118&gt;='Qualifying Scores'!C$11),AND(G118="11-12",AD118&gt;='Qualifying Scores'!C$10)),AE118,0))))</f>
        <v>85.8</v>
      </c>
      <c r="S118" s="4">
        <f>IF(G118="17-21",MAX(T118,V118,Y118,AA118,AC118,AF118),MAX(X118,AE118))</f>
        <v>85.8</v>
      </c>
      <c r="T118" s="33">
        <v>39</v>
      </c>
      <c r="U118" s="40">
        <v>0</v>
      </c>
      <c r="V118" s="34">
        <v>46.8</v>
      </c>
      <c r="W118" s="40">
        <v>9.3999999999999986</v>
      </c>
      <c r="X118" s="4">
        <f>IF(H118="Senior",MAX(T118,V118),T118+V118)</f>
        <v>85.8</v>
      </c>
      <c r="Y118" s="34">
        <v>45.4</v>
      </c>
      <c r="Z118" s="40">
        <v>9.3999999999999986</v>
      </c>
      <c r="AA118" s="33">
        <v>38.47</v>
      </c>
      <c r="AB118" s="40">
        <v>0</v>
      </c>
      <c r="AC118" s="34">
        <v>45.87</v>
      </c>
      <c r="AD118" s="40">
        <v>9.1</v>
      </c>
      <c r="AE118" s="4">
        <f>IF(H118="Senior",MAX(AA118,AC118),AA118+AC118)</f>
        <v>84.34</v>
      </c>
      <c r="AF118" s="34">
        <v>47.02</v>
      </c>
      <c r="AG118" s="37">
        <v>9.1</v>
      </c>
    </row>
    <row r="119" spans="1:33" x14ac:dyDescent="0.2">
      <c r="A119" s="1" t="str" cm="1">
        <f t="array" ref="A119">IF(I119="","",IF(P119&lt;&gt;"",SUMPRODUCT((P$3:P$128&lt;&gt;"")*(G$3:G$128=G119)*(J$3:J$128&gt;J119)*(I$3:I$128="P"))+1,IF(O119&lt;&gt;"",SUMPRODUCT((O$3:O$128&lt;&gt;"")*(P$3:P$128="")*(G$3:G$128=G119)*(J$3:J$128&gt;J119)*(I$3:I$128="P"))+SUMPRODUCT((P$3:P$128&lt;&gt;"")*(G$3:G$128=G119)*(I$3:I$128="P"))+1,IF(N119&lt;&gt;"",SUMPRODUCT((N$3:N$128&lt;&gt;"")*(G$3:G$128=G119)*(J$3:J$128&gt;J119)*(I$3:I$128="P"))+1,IF(M119="P",SUMPRODUCT((O$3:O$128&lt;&gt;"")*(P$3:P$128="")*(G$3:G$128=G119)*(I$3:I$128="P"))+SUMPRODUCT((P$3:P$128&lt;&gt;"")*(G$3:G$128=G119)*(I$3:I$128="P"))+SUMPRODUCT((N$3:N$128&lt;&gt;"")*(G$3:G$128=G119)*(I$3:I$128="P"))+SUMPRODUCT((P$3:P$128="")*(O$3:O$128="")*(N$3:N$128="")*(M$3:M$128="P")*(G$3:G$128=G119)*(J$3:J$128&gt;J119)*(I$3:I$128="P"))+IF(H119="L5",SUMPRODUCT((P$3:P$128="")*(O$3:O$128="")*(N$3:N$128="")*(M$3:M$128="P")*(G$3:G$128=G119)*(J$3:J$128&lt;J119)*(H$3:H$128&lt;&gt;H119)*(I$3:I$128="P")),-1*SUMPRODUCT((P$3:P$128="")*(O$3:O$128="")*(N$3:N$128="")*(M$3:M$128="P")*(G$3:G$128=G119)*(J$3:J$128&gt;J119)*(H$3:H$128="L5")*(I$3:I$128="P")))+1,"")))))</f>
        <v/>
      </c>
      <c r="B119" s="1" t="str" cm="1">
        <f t="array" ref="B119">IF(P119&lt;&gt;"",SUMPRODUCT((P$3:P$128&lt;&gt;"")*(G$3:G$128=G119)*(J$3:J$128&gt;J119))+1,IF(O119&lt;&gt;"",SUMPRODUCT((O$3:O$128&lt;&gt;"")*(P$3:P$128="")*(G$3:G$128=G119)*(J$3:J$128&gt;J119))+SUMPRODUCT((P$3:P$128&lt;&gt;"")*(G$3:G$128=G119))+1,IF(N119&lt;&gt;"",SUMPRODUCT((N$3:N$128&lt;&gt;"")*(G$3:G$128=G119)*(J$3:J$128&gt;J119))+1,IF(M119="P",SUMPRODUCT((O$3:O$128&lt;&gt;"")*(P$3:P$128="")*(G$3:G$128=G119))+SUMPRODUCT((P$3:P$128&lt;&gt;"")*(G$3:G$128=G119))+SUMPRODUCT((N$3:N$128&lt;&gt;"")*(G$3:G$128=G119))+SUMPRODUCT((P$3:P$128="")*(O$3:O$128="")*(N$3:N$128="")*(M$3:M$128="P")*(G$3:G$128=G119)*(J$3:J$128&gt;J119))+IF(H119="L5",SUMPRODUCT((P$3:P$128="")*(O$3:O$128="")*(N$3:N$128="")*(M$3:M$128="P")*(G$3:G$128=G119)*(J$3:J$128&lt;J119)*(H$3:H$128&lt;&gt;H119)),-1*SUMPRODUCT((P$3:P$128="")*(O$3:O$128="")*(N$3:N$128="")*(M$3:M$128="P")*(G$3:G$128=G119)*(J$3:J$128&gt;J119)*(H$3:H$128="L5")))+1,""))))</f>
        <v/>
      </c>
      <c r="C119" s="36" t="s">
        <v>412</v>
      </c>
      <c r="D119" s="36" t="str">
        <f>IF(E119="","",VLOOKUP(E119,'Coaching Points'!A:B,2,0))</f>
        <v>AB</v>
      </c>
      <c r="E119" s="36" t="s">
        <v>61</v>
      </c>
      <c r="F119" s="35">
        <v>2008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115</v>
      </c>
      <c r="I119" s="45"/>
      <c r="J119" s="4">
        <f>R119+IF(OR(H119="Junior",H119="Senior"),0.0002,IF(OR(H119="L7",H119="L6"),0.0001,0))+IF(G119="17-21",MAX(AA119,AC119,AF119),AE119)*0.0000001</f>
        <v>84.530008453000008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49" t="str">
        <f>IF(A119&lt;5,IF(_xlfn.MAXIFS(A:A,G:G,G119)&gt;3,5-A119,_xlfn.MAXIFS(A:A,G:G,G119)+1-A119),"")</f>
        <v/>
      </c>
      <c r="R119" s="4">
        <f>IF(G119="Not Age Eligible",0,IF(G119="17-21",MAX(IF(U119&gt;='Qualifying Scores'!C$13,T119,0),IF(W119&gt;='Qualifying Scores'!C$13,V119,0),IF(Z119&gt;='Qualifying Scores'!C$13,Y119,0),IF(AB119&gt;='Qualifying Scores'!C$13,AA119,0),IF(AD119&gt;'Qualifying Scores'!C$13,AC119,0),IF(AG119&gt;'Qualifying Scores'!C$13,AF119,0)),MAX(IF(OR(AND(G119="15-16",W119&gt;='Qualifying Scores'!C$12),AND(G119="13-14",W119&gt;='Qualifying Scores'!C$11),AND(G119="11-12",W119&gt;='Qualifying Scores'!C$10)),X119,0),IF(OR(AND(G119="15-16",AD119&gt;='Qualifying Scores'!C$12),AND(G119="13-14",AD119&gt;='Qualifying Scores'!C$11),AND(G119="11-12",AD119&gt;='Qualifying Scores'!C$10)),AE119,0))))</f>
        <v>84.53</v>
      </c>
      <c r="S119" s="4">
        <f>IF(G119="17-21",MAX(T119,V119,Y119,AA119,AC119,AF119),MAX(X119,AE119))</f>
        <v>84.53</v>
      </c>
      <c r="T119" s="33"/>
      <c r="U119" s="40"/>
      <c r="V119" s="34"/>
      <c r="W119" s="40"/>
      <c r="X119" s="4">
        <f>IF(H119="Senior",MAX(T119,V119),T119+V119)</f>
        <v>0</v>
      </c>
      <c r="Y119" s="34"/>
      <c r="Z119" s="40"/>
      <c r="AA119" s="33">
        <v>38.520000000000003</v>
      </c>
      <c r="AB119" s="40">
        <v>0</v>
      </c>
      <c r="AC119" s="34">
        <v>46.01</v>
      </c>
      <c r="AD119" s="40">
        <v>8.6</v>
      </c>
      <c r="AE119" s="4">
        <f>IF(H119="Senior",MAX(AA119,AC119),AA119+AC119)</f>
        <v>84.53</v>
      </c>
      <c r="AF119" s="34">
        <v>23.41</v>
      </c>
      <c r="AG119" s="37">
        <v>4.8</v>
      </c>
    </row>
    <row r="120" spans="1:33" x14ac:dyDescent="0.2">
      <c r="A120" s="1" t="str" cm="1">
        <f t="array" ref="A120">IF(I120="","",IF(P120&lt;&gt;"",SUMPRODUCT((P$3:P$128&lt;&gt;"")*(G$3:G$128=G120)*(J$3:J$128&gt;J120)*(I$3:I$128="P"))+1,IF(O120&lt;&gt;"",SUMPRODUCT((O$3:O$128&lt;&gt;"")*(P$3:P$128="")*(G$3:G$128=G120)*(J$3:J$128&gt;J120)*(I$3:I$128="P"))+SUMPRODUCT((P$3:P$128&lt;&gt;"")*(G$3:G$128=G120)*(I$3:I$128="P"))+1,IF(N120&lt;&gt;"",SUMPRODUCT((N$3:N$128&lt;&gt;"")*(G$3:G$128=G120)*(J$3:J$128&gt;J120)*(I$3:I$128="P"))+1,IF(M120="P",SUMPRODUCT((O$3:O$128&lt;&gt;"")*(P$3:P$128="")*(G$3:G$128=G120)*(I$3:I$128="P"))+SUMPRODUCT((P$3:P$128&lt;&gt;"")*(G$3:G$128=G120)*(I$3:I$128="P"))+SUMPRODUCT((N$3:N$128&lt;&gt;"")*(G$3:G$128=G120)*(I$3:I$128="P"))+SUMPRODUCT((P$3:P$128="")*(O$3:O$128="")*(N$3:N$128="")*(M$3:M$128="P")*(G$3:G$128=G120)*(J$3:J$128&gt;J120)*(I$3:I$128="P"))+IF(H120="L5",SUMPRODUCT((P$3:P$128="")*(O$3:O$128="")*(N$3:N$128="")*(M$3:M$128="P")*(G$3:G$128=G120)*(J$3:J$128&lt;J120)*(H$3:H$128&lt;&gt;H120)*(I$3:I$128="P")),-1*SUMPRODUCT((P$3:P$128="")*(O$3:O$128="")*(N$3:N$128="")*(M$3:M$128="P")*(G$3:G$128=G120)*(J$3:J$128&gt;J120)*(H$3:H$128="L5")*(I$3:I$128="P")))+1,"")))))</f>
        <v/>
      </c>
      <c r="B120" s="1" t="str" cm="1">
        <f t="array" ref="B120">IF(P120&lt;&gt;"",SUMPRODUCT((P$3:P$128&lt;&gt;"")*(G$3:G$128=G120)*(J$3:J$128&gt;J120))+1,IF(O120&lt;&gt;"",SUMPRODUCT((O$3:O$128&lt;&gt;"")*(P$3:P$128="")*(G$3:G$128=G120)*(J$3:J$128&gt;J120))+SUMPRODUCT((P$3:P$128&lt;&gt;"")*(G$3:G$128=G120))+1,IF(N120&lt;&gt;"",SUMPRODUCT((N$3:N$128&lt;&gt;"")*(G$3:G$128=G120)*(J$3:J$128&gt;J120))+1,IF(M120="P",SUMPRODUCT((O$3:O$128&lt;&gt;"")*(P$3:P$128="")*(G$3:G$128=G120))+SUMPRODUCT((P$3:P$128&lt;&gt;"")*(G$3:G$128=G120))+SUMPRODUCT((N$3:N$128&lt;&gt;"")*(G$3:G$128=G120))+SUMPRODUCT((P$3:P$128="")*(O$3:O$128="")*(N$3:N$128="")*(M$3:M$128="P")*(G$3:G$128=G120)*(J$3:J$128&gt;J120))+IF(H120="L5",SUMPRODUCT((P$3:P$128="")*(O$3:O$128="")*(N$3:N$128="")*(M$3:M$128="P")*(G$3:G$128=G120)*(J$3:J$128&lt;J120)*(H$3:H$128&lt;&gt;H120)),-1*SUMPRODUCT((P$3:P$128="")*(O$3:O$128="")*(N$3:N$128="")*(M$3:M$128="P")*(G$3:G$128=G120)*(J$3:J$128&gt;J120)*(H$3:H$128="L5")))+1,""))))</f>
        <v/>
      </c>
      <c r="C120" s="36" t="s">
        <v>232</v>
      </c>
      <c r="D120" s="36" t="str">
        <f>IF(E120="","",VLOOKUP(E120,'Coaching Points'!A:B,2,0))</f>
        <v>BC</v>
      </c>
      <c r="E120" s="36" t="s">
        <v>47</v>
      </c>
      <c r="F120" s="35">
        <v>2008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116</v>
      </c>
      <c r="I120" s="45"/>
      <c r="J120" s="4">
        <f>R120+IF(OR(H120="Junior",H120="Senior"),0.0002,IF(OR(H120="L7",H120="L6"),0.0001,0))+IF(G120="17-21",MAX(AA120,AC120,AF120),AE120)*0.0000001</f>
        <v>84.450108345999993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49" t="str">
        <f>IF(A120&lt;5,IF(_xlfn.MAXIFS(A:A,G:G,G120)&gt;3,5-A120,_xlfn.MAXIFS(A:A,G:G,G120)+1-A120),"")</f>
        <v/>
      </c>
      <c r="R120" s="4">
        <f>IF(G120="Not Age Eligible",0,IF(G120="17-21",MAX(IF(U120&gt;='Qualifying Scores'!C$13,T120,0),IF(W120&gt;='Qualifying Scores'!C$13,V120,0),IF(Z120&gt;='Qualifying Scores'!C$13,Y120,0),IF(AB120&gt;='Qualifying Scores'!C$13,AA120,0),IF(AD120&gt;'Qualifying Scores'!C$13,AC120,0),IF(AG120&gt;'Qualifying Scores'!C$13,AF120,0)),MAX(IF(OR(AND(G120="15-16",W120&gt;='Qualifying Scores'!C$12),AND(G120="13-14",W120&gt;='Qualifying Scores'!C$11),AND(G120="11-12",W120&gt;='Qualifying Scores'!C$10)),X120,0),IF(OR(AND(G120="15-16",AD120&gt;='Qualifying Scores'!C$12),AND(G120="13-14",AD120&gt;='Qualifying Scores'!C$11),AND(G120="11-12",AD120&gt;='Qualifying Scores'!C$10)),AE120,0))))</f>
        <v>84.449999999999989</v>
      </c>
      <c r="S120" s="4">
        <f>IF(G120="17-21",MAX(T120,V120,Y120,AA120,AC120,AF120),MAX(X120,AE120))</f>
        <v>84.449999999999989</v>
      </c>
      <c r="T120" s="33">
        <v>39.47</v>
      </c>
      <c r="U120" s="40">
        <v>0</v>
      </c>
      <c r="V120" s="34">
        <v>44.98</v>
      </c>
      <c r="W120" s="40">
        <v>9.4</v>
      </c>
      <c r="X120" s="4">
        <f>IF(H120="Senior",MAX(T120,V120),T120+V120)</f>
        <v>84.449999999999989</v>
      </c>
      <c r="Y120" s="34">
        <v>45.19</v>
      </c>
      <c r="Z120" s="40">
        <v>9.4</v>
      </c>
      <c r="AA120" s="33">
        <v>37.869999999999997</v>
      </c>
      <c r="AB120" s="40">
        <v>0</v>
      </c>
      <c r="AC120" s="34">
        <v>45.59</v>
      </c>
      <c r="AD120" s="40">
        <v>9.6</v>
      </c>
      <c r="AE120" s="4">
        <f>IF(H120="Senior",MAX(AA120,AC120),AA120+AC120)</f>
        <v>83.460000000000008</v>
      </c>
      <c r="AF120" s="34">
        <v>43.68</v>
      </c>
      <c r="AG120" s="37">
        <v>9.4</v>
      </c>
    </row>
    <row r="121" spans="1:33" x14ac:dyDescent="0.2">
      <c r="A121" s="1" t="str" cm="1">
        <f t="array" ref="A121">IF(I121="","",IF(P121&lt;&gt;"",SUMPRODUCT((P$3:P$128&lt;&gt;"")*(G$3:G$128=G121)*(J$3:J$128&gt;J121)*(I$3:I$128="P"))+1,IF(O121&lt;&gt;"",SUMPRODUCT((O$3:O$128&lt;&gt;"")*(P$3:P$128="")*(G$3:G$128=G121)*(J$3:J$128&gt;J121)*(I$3:I$128="P"))+SUMPRODUCT((P$3:P$128&lt;&gt;"")*(G$3:G$128=G121)*(I$3:I$128="P"))+1,IF(N121&lt;&gt;"",SUMPRODUCT((N$3:N$128&lt;&gt;"")*(G$3:G$128=G121)*(J$3:J$128&gt;J121)*(I$3:I$128="P"))+1,IF(M121="P",SUMPRODUCT((O$3:O$128&lt;&gt;"")*(P$3:P$128="")*(G$3:G$128=G121)*(I$3:I$128="P"))+SUMPRODUCT((P$3:P$128&lt;&gt;"")*(G$3:G$128=G121)*(I$3:I$128="P"))+SUMPRODUCT((N$3:N$128&lt;&gt;"")*(G$3:G$128=G121)*(I$3:I$128="P"))+SUMPRODUCT((P$3:P$128="")*(O$3:O$128="")*(N$3:N$128="")*(M$3:M$128="P")*(G$3:G$128=G121)*(J$3:J$128&gt;J121)*(I$3:I$128="P"))+IF(H121="L5",SUMPRODUCT((P$3:P$128="")*(O$3:O$128="")*(N$3:N$128="")*(M$3:M$128="P")*(G$3:G$128=G121)*(J$3:J$128&lt;J121)*(H$3:H$128&lt;&gt;H121)*(I$3:I$128="P")),-1*SUMPRODUCT((P$3:P$128="")*(O$3:O$128="")*(N$3:N$128="")*(M$3:M$128="P")*(G$3:G$128=G121)*(J$3:J$128&gt;J121)*(H$3:H$128="L5")*(I$3:I$128="P")))+1,"")))))</f>
        <v/>
      </c>
      <c r="B121" s="1" t="str" cm="1">
        <f t="array" ref="B121">IF(P121&lt;&gt;"",SUMPRODUCT((P$3:P$128&lt;&gt;"")*(G$3:G$128=G121)*(J$3:J$128&gt;J121))+1,IF(O121&lt;&gt;"",SUMPRODUCT((O$3:O$128&lt;&gt;"")*(P$3:P$128="")*(G$3:G$128=G121)*(J$3:J$128&gt;J121))+SUMPRODUCT((P$3:P$128&lt;&gt;"")*(G$3:G$128=G121))+1,IF(N121&lt;&gt;"",SUMPRODUCT((N$3:N$128&lt;&gt;"")*(G$3:G$128=G121)*(J$3:J$128&gt;J121))+1,IF(M121="P",SUMPRODUCT((O$3:O$128&lt;&gt;"")*(P$3:P$128="")*(G$3:G$128=G121))+SUMPRODUCT((P$3:P$128&lt;&gt;"")*(G$3:G$128=G121))+SUMPRODUCT((N$3:N$128&lt;&gt;"")*(G$3:G$128=G121))+SUMPRODUCT((P$3:P$128="")*(O$3:O$128="")*(N$3:N$128="")*(M$3:M$128="P")*(G$3:G$128=G121)*(J$3:J$128&gt;J121))+IF(H121="L5",SUMPRODUCT((P$3:P$128="")*(O$3:O$128="")*(N$3:N$128="")*(M$3:M$128="P")*(G$3:G$128=G121)*(J$3:J$128&lt;J121)*(H$3:H$128&lt;&gt;H121)),-1*SUMPRODUCT((P$3:P$128="")*(O$3:O$128="")*(N$3:N$128="")*(M$3:M$128="P")*(G$3:G$128=G121)*(J$3:J$128&gt;J121)*(H$3:H$128="L5")))+1,""))))</f>
        <v/>
      </c>
      <c r="C121" s="36" t="s">
        <v>230</v>
      </c>
      <c r="D121" s="36" t="str">
        <f>IF(E121="","",VLOOKUP(E121,'Coaching Points'!A:B,2,0))</f>
        <v>AB</v>
      </c>
      <c r="E121" s="36" t="s">
        <v>91</v>
      </c>
      <c r="F121" s="35">
        <v>2008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116</v>
      </c>
      <c r="I121" s="45" t="s">
        <v>604</v>
      </c>
      <c r="J121" s="4">
        <f>R121+IF(OR(H121="Junior",H121="Senior"),0.0002,IF(OR(H121="L7",H121="L6"),0.0001,0))+IF(G121="17-21",MAX(AA121,AC121,AF121),AE121)*0.0000001</f>
        <v>84.150104254000013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49" t="str">
        <f>IF(A121&lt;5,IF(_xlfn.MAXIFS(A:A,G:G,G121)&gt;3,5-A121,_xlfn.MAXIFS(A:A,G:G,G121)+1-A121),"")</f>
        <v/>
      </c>
      <c r="R121" s="4">
        <f>IF(G121="Not Age Eligible",0,IF(G121="17-21",MAX(IF(U121&gt;='Qualifying Scores'!C$13,T121,0),IF(W121&gt;='Qualifying Scores'!C$13,V121,0),IF(Z121&gt;='Qualifying Scores'!C$13,Y121,0),IF(AB121&gt;='Qualifying Scores'!C$13,AA121,0),IF(AD121&gt;'Qualifying Scores'!C$13,AC121,0),IF(AG121&gt;'Qualifying Scores'!C$13,AF121,0)),MAX(IF(OR(AND(G121="15-16",W121&gt;='Qualifying Scores'!C$12),AND(G121="13-14",W121&gt;='Qualifying Scores'!C$11),AND(G121="11-12",W121&gt;='Qualifying Scores'!C$10)),X121,0),IF(OR(AND(G121="15-16",AD121&gt;='Qualifying Scores'!C$12),AND(G121="13-14",AD121&gt;='Qualifying Scores'!C$11),AND(G121="11-12",AD121&gt;='Qualifying Scores'!C$10)),AE121,0))))</f>
        <v>84.15</v>
      </c>
      <c r="S121" s="4">
        <f>IF(G121="17-21",MAX(T121,V121,Y121,AA121,AC121,AF121),MAX(X121,AE121))</f>
        <v>84.15</v>
      </c>
      <c r="T121" s="33">
        <v>38.380000000000003</v>
      </c>
      <c r="U121" s="40">
        <v>0</v>
      </c>
      <c r="V121" s="34">
        <v>45.769999999999996</v>
      </c>
      <c r="W121" s="40">
        <v>8.2999999999999989</v>
      </c>
      <c r="X121" s="4">
        <f>IF(H121="Senior",MAX(T121,V121),T121+V121)</f>
        <v>84.15</v>
      </c>
      <c r="Y121" s="34">
        <v>45.629999999999995</v>
      </c>
      <c r="Z121" s="40">
        <v>8.2999999999999989</v>
      </c>
      <c r="AA121" s="33">
        <v>37.58</v>
      </c>
      <c r="AB121" s="40">
        <v>0</v>
      </c>
      <c r="AC121" s="34">
        <v>4.96</v>
      </c>
      <c r="AD121" s="40">
        <v>1.3</v>
      </c>
      <c r="AE121" s="4">
        <f>IF(H121="Senior",MAX(AA121,AC121),AA121+AC121)</f>
        <v>42.54</v>
      </c>
      <c r="AF121" s="34"/>
      <c r="AG121" s="37"/>
    </row>
    <row r="122" spans="1:33" x14ac:dyDescent="0.2">
      <c r="A122" s="1" t="str" cm="1">
        <f t="array" ref="A122">IF(I122="","",IF(P122&lt;&gt;"",SUMPRODUCT((P$3:P$128&lt;&gt;"")*(G$3:G$128=G122)*(J$3:J$128&gt;J122)*(I$3:I$128="P"))+1,IF(O122&lt;&gt;"",SUMPRODUCT((O$3:O$128&lt;&gt;"")*(P$3:P$128="")*(G$3:G$128=G122)*(J$3:J$128&gt;J122)*(I$3:I$128="P"))+SUMPRODUCT((P$3:P$128&lt;&gt;"")*(G$3:G$128=G122)*(I$3:I$128="P"))+1,IF(N122&lt;&gt;"",SUMPRODUCT((N$3:N$128&lt;&gt;"")*(G$3:G$128=G122)*(J$3:J$128&gt;J122)*(I$3:I$128="P"))+1,IF(M122="P",SUMPRODUCT((O$3:O$128&lt;&gt;"")*(P$3:P$128="")*(G$3:G$128=G122)*(I$3:I$128="P"))+SUMPRODUCT((P$3:P$128&lt;&gt;"")*(G$3:G$128=G122)*(I$3:I$128="P"))+SUMPRODUCT((N$3:N$128&lt;&gt;"")*(G$3:G$128=G122)*(I$3:I$128="P"))+SUMPRODUCT((P$3:P$128="")*(O$3:O$128="")*(N$3:N$128="")*(M$3:M$128="P")*(G$3:G$128=G122)*(J$3:J$128&gt;J122)*(I$3:I$128="P"))+IF(H122="L5",SUMPRODUCT((P$3:P$128="")*(O$3:O$128="")*(N$3:N$128="")*(M$3:M$128="P")*(G$3:G$128=G122)*(J$3:J$128&lt;J122)*(H$3:H$128&lt;&gt;H122)*(I$3:I$128="P")),-1*SUMPRODUCT((P$3:P$128="")*(O$3:O$128="")*(N$3:N$128="")*(M$3:M$128="P")*(G$3:G$128=G122)*(J$3:J$128&gt;J122)*(H$3:H$128="L5")*(I$3:I$128="P")))+1,"")))))</f>
        <v/>
      </c>
      <c r="B122" s="1" t="str" cm="1">
        <f t="array" ref="B122">IF(P122&lt;&gt;"",SUMPRODUCT((P$3:P$128&lt;&gt;"")*(G$3:G$128=G122)*(J$3:J$128&gt;J122))+1,IF(O122&lt;&gt;"",SUMPRODUCT((O$3:O$128&lt;&gt;"")*(P$3:P$128="")*(G$3:G$128=G122)*(J$3:J$128&gt;J122))+SUMPRODUCT((P$3:P$128&lt;&gt;"")*(G$3:G$128=G122))+1,IF(N122&lt;&gt;"",SUMPRODUCT((N$3:N$128&lt;&gt;"")*(G$3:G$128=G122)*(J$3:J$128&gt;J122))+1,IF(M122="P",SUMPRODUCT((O$3:O$128&lt;&gt;"")*(P$3:P$128="")*(G$3:G$128=G122))+SUMPRODUCT((P$3:P$128&lt;&gt;"")*(G$3:G$128=G122))+SUMPRODUCT((N$3:N$128&lt;&gt;"")*(G$3:G$128=G122))+SUMPRODUCT((P$3:P$128="")*(O$3:O$128="")*(N$3:N$128="")*(M$3:M$128="P")*(G$3:G$128=G122)*(J$3:J$128&gt;J122))+IF(H122="L5",SUMPRODUCT((P$3:P$128="")*(O$3:O$128="")*(N$3:N$128="")*(M$3:M$128="P")*(G$3:G$128=G122)*(J$3:J$128&lt;J122)*(H$3:H$128&lt;&gt;H122)),-1*SUMPRODUCT((P$3:P$128="")*(O$3:O$128="")*(N$3:N$128="")*(M$3:M$128="P")*(G$3:G$128=G122)*(J$3:J$128&gt;J122)*(H$3:H$128="L5")))+1,""))))</f>
        <v/>
      </c>
      <c r="C122" s="36" t="s">
        <v>246</v>
      </c>
      <c r="D122" s="36" t="str">
        <f>IF(E122="","",VLOOKUP(E122,'Coaching Points'!A:B,2,0))</f>
        <v>BC</v>
      </c>
      <c r="E122" s="36" t="s">
        <v>80</v>
      </c>
      <c r="F122" s="35">
        <v>2008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115</v>
      </c>
      <c r="I122" s="45"/>
      <c r="J122" s="4">
        <f>R122+IF(OR(H122="Junior",H122="Senior"),0.0002,IF(OR(H122="L7",H122="L6"),0.0001,0))+IF(G122="17-21",MAX(AA122,AC122,AF122),AE122)*0.0000001</f>
        <v>80.580004372999994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49" t="str">
        <f>IF(A122&lt;5,IF(_xlfn.MAXIFS(A:A,G:G,G122)&gt;3,5-A122,_xlfn.MAXIFS(A:A,G:G,G122)+1-A122),"")</f>
        <v/>
      </c>
      <c r="R122" s="4">
        <f>IF(G122="Not Age Eligible",0,IF(G122="17-21",MAX(IF(U122&gt;='Qualifying Scores'!C$13,T122,0),IF(W122&gt;='Qualifying Scores'!C$13,V122,0),IF(Z122&gt;='Qualifying Scores'!C$13,Y122,0),IF(AB122&gt;='Qualifying Scores'!C$13,AA122,0),IF(AD122&gt;'Qualifying Scores'!C$13,AC122,0),IF(AG122&gt;'Qualifying Scores'!C$13,AF122,0)),MAX(IF(OR(AND(G122="15-16",W122&gt;='Qualifying Scores'!C$12),AND(G122="13-14",W122&gt;='Qualifying Scores'!C$11),AND(G122="11-12",W122&gt;='Qualifying Scores'!C$10)),X122,0),IF(OR(AND(G122="15-16",AD122&gt;='Qualifying Scores'!C$12),AND(G122="13-14",AD122&gt;='Qualifying Scores'!C$11),AND(G122="11-12",AD122&gt;='Qualifying Scores'!C$10)),AE122,0))))</f>
        <v>80.58</v>
      </c>
      <c r="S122" s="4">
        <f>IF(G122="17-21",MAX(T122,V122,Y122,AA122,AC122,AF122),MAX(X122,AE122))</f>
        <v>80.58</v>
      </c>
      <c r="T122" s="33">
        <v>37.17</v>
      </c>
      <c r="U122" s="40">
        <v>0</v>
      </c>
      <c r="V122" s="34">
        <v>43.41</v>
      </c>
      <c r="W122" s="40">
        <v>8.3999999999999986</v>
      </c>
      <c r="X122" s="4">
        <f>IF(H122="Senior",MAX(T122,V122),T122+V122)</f>
        <v>80.58</v>
      </c>
      <c r="Y122" s="34">
        <v>0</v>
      </c>
      <c r="Z122" s="40">
        <v>0</v>
      </c>
      <c r="AA122" s="33">
        <v>38.67</v>
      </c>
      <c r="AB122" s="40">
        <v>0</v>
      </c>
      <c r="AC122" s="34">
        <v>5.0599999999999996</v>
      </c>
      <c r="AD122" s="40">
        <v>1.3</v>
      </c>
      <c r="AE122" s="4">
        <f>IF(H122="Senior",MAX(AA122,AC122),AA122+AC122)</f>
        <v>43.730000000000004</v>
      </c>
      <c r="AF122" s="34"/>
      <c r="AG122" s="37"/>
    </row>
    <row r="123" spans="1:33" x14ac:dyDescent="0.2">
      <c r="A123" s="1" t="str" cm="1">
        <f t="array" ref="A123">IF(I123="","",IF(P123&lt;&gt;"",SUMPRODUCT((P$3:P$128&lt;&gt;"")*(G$3:G$128=G123)*(J$3:J$128&gt;J123)*(I$3:I$128="P"))+1,IF(O123&lt;&gt;"",SUMPRODUCT((O$3:O$128&lt;&gt;"")*(P$3:P$128="")*(G$3:G$128=G123)*(J$3:J$128&gt;J123)*(I$3:I$128="P"))+SUMPRODUCT((P$3:P$128&lt;&gt;"")*(G$3:G$128=G123)*(I$3:I$128="P"))+1,IF(N123&lt;&gt;"",SUMPRODUCT((N$3:N$128&lt;&gt;"")*(G$3:G$128=G123)*(J$3:J$128&gt;J123)*(I$3:I$128="P"))+1,IF(M123="P",SUMPRODUCT((O$3:O$128&lt;&gt;"")*(P$3:P$128="")*(G$3:G$128=G123)*(I$3:I$128="P"))+SUMPRODUCT((P$3:P$128&lt;&gt;"")*(G$3:G$128=G123)*(I$3:I$128="P"))+SUMPRODUCT((N$3:N$128&lt;&gt;"")*(G$3:G$128=G123)*(I$3:I$128="P"))+SUMPRODUCT((P$3:P$128="")*(O$3:O$128="")*(N$3:N$128="")*(M$3:M$128="P")*(G$3:G$128=G123)*(J$3:J$128&gt;J123)*(I$3:I$128="P"))+IF(H123="L5",SUMPRODUCT((P$3:P$128="")*(O$3:O$128="")*(N$3:N$128="")*(M$3:M$128="P")*(G$3:G$128=G123)*(J$3:J$128&lt;J123)*(H$3:H$128&lt;&gt;H123)*(I$3:I$128="P")),-1*SUMPRODUCT((P$3:P$128="")*(O$3:O$128="")*(N$3:N$128="")*(M$3:M$128="P")*(G$3:G$128=G123)*(J$3:J$128&gt;J123)*(H$3:H$128="L5")*(I$3:I$128="P")))+1,"")))))</f>
        <v/>
      </c>
      <c r="B123" s="1" t="str" cm="1">
        <f t="array" ref="B123">IF(P123&lt;&gt;"",SUMPRODUCT((P$3:P$128&lt;&gt;"")*(G$3:G$128=G123)*(J$3:J$128&gt;J123))+1,IF(O123&lt;&gt;"",SUMPRODUCT((O$3:O$128&lt;&gt;"")*(P$3:P$128="")*(G$3:G$128=G123)*(J$3:J$128&gt;J123))+SUMPRODUCT((P$3:P$128&lt;&gt;"")*(G$3:G$128=G123))+1,IF(N123&lt;&gt;"",SUMPRODUCT((N$3:N$128&lt;&gt;"")*(G$3:G$128=G123)*(J$3:J$128&gt;J123))+1,IF(M123="P",SUMPRODUCT((O$3:O$128&lt;&gt;"")*(P$3:P$128="")*(G$3:G$128=G123))+SUMPRODUCT((P$3:P$128&lt;&gt;"")*(G$3:G$128=G123))+SUMPRODUCT((N$3:N$128&lt;&gt;"")*(G$3:G$128=G123))+SUMPRODUCT((P$3:P$128="")*(O$3:O$128="")*(N$3:N$128="")*(M$3:M$128="P")*(G$3:G$128=G123)*(J$3:J$128&gt;J123))+IF(H123="L5",SUMPRODUCT((P$3:P$128="")*(O$3:O$128="")*(N$3:N$128="")*(M$3:M$128="P")*(G$3:G$128=G123)*(J$3:J$128&lt;J123)*(H$3:H$128&lt;&gt;H123)),-1*SUMPRODUCT((P$3:P$128="")*(O$3:O$128="")*(N$3:N$128="")*(M$3:M$128="P")*(G$3:G$128=G123)*(J$3:J$128&gt;J123)*(H$3:H$128="L5")))+1,""))))</f>
        <v/>
      </c>
      <c r="C123" s="36" t="s">
        <v>416</v>
      </c>
      <c r="D123" s="36" t="str">
        <f>IF(E123="","",VLOOKUP(E123,'Coaching Points'!A:B,2,0))</f>
        <v>AB</v>
      </c>
      <c r="E123" s="36" t="s">
        <v>61</v>
      </c>
      <c r="F123" s="35">
        <v>2008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115</v>
      </c>
      <c r="I123" s="45"/>
      <c r="J123" s="4">
        <f>R123+IF(OR(H123="Junior",H123="Senior"),0.0002,IF(OR(H123="L7",H123="L6"),0.0001,0))+IF(G123="17-21",MAX(AA123,AC123,AF123),AE123)*0.0000001</f>
        <v>80.570008056999995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49" t="str">
        <f>IF(A123&lt;5,IF(_xlfn.MAXIFS(A:A,G:G,G123)&gt;3,5-A123,_xlfn.MAXIFS(A:A,G:G,G123)+1-A123),"")</f>
        <v/>
      </c>
      <c r="R123" s="4">
        <f>IF(G123="Not Age Eligible",0,IF(G123="17-21",MAX(IF(U123&gt;='Qualifying Scores'!C$13,T123,0),IF(W123&gt;='Qualifying Scores'!C$13,V123,0),IF(Z123&gt;='Qualifying Scores'!C$13,Y123,0),IF(AB123&gt;='Qualifying Scores'!C$13,AA123,0),IF(AD123&gt;'Qualifying Scores'!C$13,AC123,0),IF(AG123&gt;'Qualifying Scores'!C$13,AF123,0)),MAX(IF(OR(AND(G123="15-16",W123&gt;='Qualifying Scores'!C$12),AND(G123="13-14",W123&gt;='Qualifying Scores'!C$11),AND(G123="11-12",W123&gt;='Qualifying Scores'!C$10)),X123,0),IF(OR(AND(G123="15-16",AD123&gt;='Qualifying Scores'!C$12),AND(G123="13-14",AD123&gt;='Qualifying Scores'!C$11),AND(G123="11-12",AD123&gt;='Qualifying Scores'!C$10)),AE123,0))))</f>
        <v>80.569999999999993</v>
      </c>
      <c r="S123" s="4">
        <f>IF(G123="17-21",MAX(T123,V123,Y123,AA123,AC123,AF123),MAX(X123,AE123))</f>
        <v>80.569999999999993</v>
      </c>
      <c r="T123" s="33"/>
      <c r="U123" s="40"/>
      <c r="V123" s="34"/>
      <c r="W123" s="40"/>
      <c r="X123" s="4">
        <f>IF(H123="Senior",MAX(T123,V123),T123+V123)</f>
        <v>0</v>
      </c>
      <c r="Y123" s="34"/>
      <c r="Z123" s="40"/>
      <c r="AA123" s="33">
        <v>37.18</v>
      </c>
      <c r="AB123" s="40">
        <v>0</v>
      </c>
      <c r="AC123" s="34">
        <v>43.39</v>
      </c>
      <c r="AD123" s="40">
        <v>8.9</v>
      </c>
      <c r="AE123" s="4">
        <f>IF(H123="Senior",MAX(AA123,AC123),AA123+AC123)</f>
        <v>80.569999999999993</v>
      </c>
      <c r="AF123" s="34">
        <v>17.04</v>
      </c>
      <c r="AG123" s="37">
        <v>4</v>
      </c>
    </row>
    <row r="124" spans="1:33" x14ac:dyDescent="0.2">
      <c r="A124" s="1" t="str" cm="1">
        <f t="array" ref="A124">IF(I124="","",IF(P124&lt;&gt;"",SUMPRODUCT((P$3:P$128&lt;&gt;"")*(G$3:G$128=G124)*(J$3:J$128&gt;J124)*(I$3:I$128="P"))+1,IF(O124&lt;&gt;"",SUMPRODUCT((O$3:O$128&lt;&gt;"")*(P$3:P$128="")*(G$3:G$128=G124)*(J$3:J$128&gt;J124)*(I$3:I$128="P"))+SUMPRODUCT((P$3:P$128&lt;&gt;"")*(G$3:G$128=G124)*(I$3:I$128="P"))+1,IF(N124&lt;&gt;"",SUMPRODUCT((N$3:N$128&lt;&gt;"")*(G$3:G$128=G124)*(J$3:J$128&gt;J124)*(I$3:I$128="P"))+1,IF(M124="P",SUMPRODUCT((O$3:O$128&lt;&gt;"")*(P$3:P$128="")*(G$3:G$128=G124)*(I$3:I$128="P"))+SUMPRODUCT((P$3:P$128&lt;&gt;"")*(G$3:G$128=G124)*(I$3:I$128="P"))+SUMPRODUCT((N$3:N$128&lt;&gt;"")*(G$3:G$128=G124)*(I$3:I$128="P"))+SUMPRODUCT((P$3:P$128="")*(O$3:O$128="")*(N$3:N$128="")*(M$3:M$128="P")*(G$3:G$128=G124)*(J$3:J$128&gt;J124)*(I$3:I$128="P"))+IF(H124="L5",SUMPRODUCT((P$3:P$128="")*(O$3:O$128="")*(N$3:N$128="")*(M$3:M$128="P")*(G$3:G$128=G124)*(J$3:J$128&lt;J124)*(H$3:H$128&lt;&gt;H124)*(I$3:I$128="P")),-1*SUMPRODUCT((P$3:P$128="")*(O$3:O$128="")*(N$3:N$128="")*(M$3:M$128="P")*(G$3:G$128=G124)*(J$3:J$128&gt;J124)*(H$3:H$128="L5")*(I$3:I$128="P")))+1,"")))))</f>
        <v/>
      </c>
      <c r="B124" s="1" t="str" cm="1">
        <f t="array" ref="B124">IF(P124&lt;&gt;"",SUMPRODUCT((P$3:P$128&lt;&gt;"")*(G$3:G$128=G124)*(J$3:J$128&gt;J124))+1,IF(O124&lt;&gt;"",SUMPRODUCT((O$3:O$128&lt;&gt;"")*(P$3:P$128="")*(G$3:G$128=G124)*(J$3:J$128&gt;J124))+SUMPRODUCT((P$3:P$128&lt;&gt;"")*(G$3:G$128=G124))+1,IF(N124&lt;&gt;"",SUMPRODUCT((N$3:N$128&lt;&gt;"")*(G$3:G$128=G124)*(J$3:J$128&gt;J124))+1,IF(M124="P",SUMPRODUCT((O$3:O$128&lt;&gt;"")*(P$3:P$128="")*(G$3:G$128=G124))+SUMPRODUCT((P$3:P$128&lt;&gt;"")*(G$3:G$128=G124))+SUMPRODUCT((N$3:N$128&lt;&gt;"")*(G$3:G$128=G124))+SUMPRODUCT((P$3:P$128="")*(O$3:O$128="")*(N$3:N$128="")*(M$3:M$128="P")*(G$3:G$128=G124)*(J$3:J$128&gt;J124))+IF(H124="L5",SUMPRODUCT((P$3:P$128="")*(O$3:O$128="")*(N$3:N$128="")*(M$3:M$128="P")*(G$3:G$128=G124)*(J$3:J$128&lt;J124)*(H$3:H$128&lt;&gt;H124)),-1*SUMPRODUCT((P$3:P$128="")*(O$3:O$128="")*(N$3:N$128="")*(M$3:M$128="P")*(G$3:G$128=G124)*(J$3:J$128&gt;J124)*(H$3:H$128="L5")))+1,""))))</f>
        <v/>
      </c>
      <c r="C124" s="36" t="s">
        <v>413</v>
      </c>
      <c r="D124" s="36" t="str">
        <f>IF(E124="","",VLOOKUP(E124,'Coaching Points'!A:B,2,0))</f>
        <v>BC</v>
      </c>
      <c r="E124" s="36" t="s">
        <v>42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115</v>
      </c>
      <c r="I124" s="45"/>
      <c r="J124" s="4">
        <f>R124+IF(OR(H124="Junior",H124="Senior"),0.0002,IF(OR(H124="L7",H124="L6"),0.0001,0))+IF(G124="17-21",MAX(AA124,AC124,AF124),AE124)*0.0000001</f>
        <v>80.090008009000002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49" t="str">
        <f>IF(A124&lt;5,IF(_xlfn.MAXIFS(A:A,G:G,G124)&gt;3,5-A124,_xlfn.MAXIFS(A:A,G:G,G124)+1-A124),"")</f>
        <v/>
      </c>
      <c r="R124" s="4">
        <f>IF(G124="Not Age Eligible",0,IF(G124="17-21",MAX(IF(U124&gt;='Qualifying Scores'!C$13,T124,0),IF(W124&gt;='Qualifying Scores'!C$13,V124,0),IF(Z124&gt;='Qualifying Scores'!C$13,Y124,0),IF(AB124&gt;='Qualifying Scores'!C$13,AA124,0),IF(AD124&gt;'Qualifying Scores'!C$13,AC124,0),IF(AG124&gt;'Qualifying Scores'!C$13,AF124,0)),MAX(IF(OR(AND(G124="15-16",W124&gt;='Qualifying Scores'!C$12),AND(G124="13-14",W124&gt;='Qualifying Scores'!C$11),AND(G124="11-12",W124&gt;='Qualifying Scores'!C$10)),X124,0),IF(OR(AND(G124="15-16",AD124&gt;='Qualifying Scores'!C$12),AND(G124="13-14",AD124&gt;='Qualifying Scores'!C$11),AND(G124="11-12",AD124&gt;='Qualifying Scores'!C$10)),AE124,0))))</f>
        <v>80.09</v>
      </c>
      <c r="S124" s="4">
        <f>IF(G124="17-21",MAX(T124,V124,Y124,AA124,AC124,AF124),MAX(X124,AE124))</f>
        <v>80.09</v>
      </c>
      <c r="T124" s="33"/>
      <c r="U124" s="40"/>
      <c r="V124" s="34"/>
      <c r="W124" s="40"/>
      <c r="X124" s="4">
        <f>IF(H124="Senior",MAX(T124,V124),T124+V124)</f>
        <v>0</v>
      </c>
      <c r="Y124" s="34"/>
      <c r="Z124" s="40"/>
      <c r="AA124" s="33">
        <v>37.299999999999997</v>
      </c>
      <c r="AB124" s="40">
        <v>0</v>
      </c>
      <c r="AC124" s="34">
        <v>42.79</v>
      </c>
      <c r="AD124" s="40">
        <v>8.4</v>
      </c>
      <c r="AE124" s="4">
        <f>IF(H124="Senior",MAX(AA124,AC124),AA124+AC124)</f>
        <v>80.09</v>
      </c>
      <c r="AF124" s="34">
        <v>9.16</v>
      </c>
      <c r="AG124" s="37">
        <v>1.8</v>
      </c>
    </row>
    <row r="125" spans="1:33" x14ac:dyDescent="0.2">
      <c r="A125" s="1" t="str" cm="1">
        <f t="array" ref="A125">IF(I125="","",IF(P125&lt;&gt;"",SUMPRODUCT((P$3:P$128&lt;&gt;"")*(G$3:G$128=G125)*(J$3:J$128&gt;J125)*(I$3:I$128="P"))+1,IF(O125&lt;&gt;"",SUMPRODUCT((O$3:O$128&lt;&gt;"")*(P$3:P$128="")*(G$3:G$128=G125)*(J$3:J$128&gt;J125)*(I$3:I$128="P"))+SUMPRODUCT((P$3:P$128&lt;&gt;"")*(G$3:G$128=G125)*(I$3:I$128="P"))+1,IF(N125&lt;&gt;"",SUMPRODUCT((N$3:N$128&lt;&gt;"")*(G$3:G$128=G125)*(J$3:J$128&gt;J125)*(I$3:I$128="P"))+1,IF(M125="P",SUMPRODUCT((O$3:O$128&lt;&gt;"")*(P$3:P$128="")*(G$3:G$128=G125)*(I$3:I$128="P"))+SUMPRODUCT((P$3:P$128&lt;&gt;"")*(G$3:G$128=G125)*(I$3:I$128="P"))+SUMPRODUCT((N$3:N$128&lt;&gt;"")*(G$3:G$128=G125)*(I$3:I$128="P"))+SUMPRODUCT((P$3:P$128="")*(O$3:O$128="")*(N$3:N$128="")*(M$3:M$128="P")*(G$3:G$128=G125)*(J$3:J$128&gt;J125)*(I$3:I$128="P"))+IF(H125="L5",SUMPRODUCT((P$3:P$128="")*(O$3:O$128="")*(N$3:N$128="")*(M$3:M$128="P")*(G$3:G$128=G125)*(J$3:J$128&lt;J125)*(H$3:H$128&lt;&gt;H125)*(I$3:I$128="P")),-1*SUMPRODUCT((P$3:P$128="")*(O$3:O$128="")*(N$3:N$128="")*(M$3:M$128="P")*(G$3:G$128=G125)*(J$3:J$128&gt;J125)*(H$3:H$128="L5")*(I$3:I$128="P")))+1,"")))))</f>
        <v/>
      </c>
      <c r="B125" s="1" t="str" cm="1">
        <f t="array" ref="B125">IF(P125&lt;&gt;"",SUMPRODUCT((P$3:P$128&lt;&gt;"")*(G$3:G$128=G125)*(J$3:J$128&gt;J125))+1,IF(O125&lt;&gt;"",SUMPRODUCT((O$3:O$128&lt;&gt;"")*(P$3:P$128="")*(G$3:G$128=G125)*(J$3:J$128&gt;J125))+SUMPRODUCT((P$3:P$128&lt;&gt;"")*(G$3:G$128=G125))+1,IF(N125&lt;&gt;"",SUMPRODUCT((N$3:N$128&lt;&gt;"")*(G$3:G$128=G125)*(J$3:J$128&gt;J125))+1,IF(M125="P",SUMPRODUCT((O$3:O$128&lt;&gt;"")*(P$3:P$128="")*(G$3:G$128=G125))+SUMPRODUCT((P$3:P$128&lt;&gt;"")*(G$3:G$128=G125))+SUMPRODUCT((N$3:N$128&lt;&gt;"")*(G$3:G$128=G125))+SUMPRODUCT((P$3:P$128="")*(O$3:O$128="")*(N$3:N$128="")*(M$3:M$128="P")*(G$3:G$128=G125)*(J$3:J$128&gt;J125))+IF(H125="L5",SUMPRODUCT((P$3:P$128="")*(O$3:O$128="")*(N$3:N$128="")*(M$3:M$128="P")*(G$3:G$128=G125)*(J$3:J$128&lt;J125)*(H$3:H$128&lt;&gt;H125)),-1*SUMPRODUCT((P$3:P$128="")*(O$3:O$128="")*(N$3:N$128="")*(M$3:M$128="P")*(G$3:G$128=G125)*(J$3:J$128&gt;J125)*(H$3:H$128="L5")))+1,""))))</f>
        <v/>
      </c>
      <c r="C125" s="36" t="s">
        <v>233</v>
      </c>
      <c r="D125" s="36" t="str">
        <f>IF(E125="","",VLOOKUP(E125,'Coaching Points'!A:B,2,0))</f>
        <v>ON</v>
      </c>
      <c r="E125" s="36" t="s">
        <v>48</v>
      </c>
      <c r="F125" s="35">
        <v>2008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115</v>
      </c>
      <c r="I125" s="45" t="s">
        <v>604</v>
      </c>
      <c r="J125" s="4">
        <f>R125+IF(OR(H125="Junior",H125="Senior"),0.0002,IF(OR(H125="L7",H125="L6"),0.0001,0))+IF(G125="17-21",MAX(AA125,AC125,AF125),AE125)*0.0000001</f>
        <v>70.660007065999991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>P</v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49" t="str">
        <f>IF(A125&lt;5,IF(_xlfn.MAXIFS(A:A,G:G,G125)&gt;3,5-A125,_xlfn.MAXIFS(A:A,G:G,G125)+1-A125),"")</f>
        <v/>
      </c>
      <c r="R125" s="4">
        <f>IF(G125="Not Age Eligible",0,IF(G125="17-21",MAX(IF(U125&gt;='Qualifying Scores'!C$13,T125,0),IF(W125&gt;='Qualifying Scores'!C$13,V125,0),IF(Z125&gt;='Qualifying Scores'!C$13,Y125,0),IF(AB125&gt;='Qualifying Scores'!C$13,AA125,0),IF(AD125&gt;'Qualifying Scores'!C$13,AC125,0),IF(AG125&gt;'Qualifying Scores'!C$13,AF125,0)),MAX(IF(OR(AND(G125="15-16",W125&gt;='Qualifying Scores'!C$12),AND(G125="13-14",W125&gt;='Qualifying Scores'!C$11),AND(G125="11-12",W125&gt;='Qualifying Scores'!C$10)),X125,0),IF(OR(AND(G125="15-16",AD125&gt;='Qualifying Scores'!C$12),AND(G125="13-14",AD125&gt;='Qualifying Scores'!C$11),AND(G125="11-12",AD125&gt;='Qualifying Scores'!C$10)),AE125,0))))</f>
        <v>70.66</v>
      </c>
      <c r="S125" s="4">
        <f>IF(G125="17-21",MAX(T125,V125,Y125,AA125,AC125,AF125),MAX(X125,AE125))</f>
        <v>78.52</v>
      </c>
      <c r="T125" s="33">
        <v>36.019999999999996</v>
      </c>
      <c r="U125" s="40">
        <v>0</v>
      </c>
      <c r="V125" s="34">
        <v>42.5</v>
      </c>
      <c r="W125" s="40">
        <v>7.0999999999999988</v>
      </c>
      <c r="X125" s="4">
        <f>IF(H125="Senior",MAX(T125,V125),T125+V125)</f>
        <v>78.52</v>
      </c>
      <c r="Y125" s="34">
        <v>42.9</v>
      </c>
      <c r="Z125" s="40">
        <v>7.0999999999999988</v>
      </c>
      <c r="AA125" s="33">
        <v>29.15</v>
      </c>
      <c r="AB125" s="40">
        <v>0</v>
      </c>
      <c r="AC125" s="34">
        <v>41.51</v>
      </c>
      <c r="AD125" s="40">
        <v>8.5</v>
      </c>
      <c r="AE125" s="4">
        <f>IF(H125="Senior",MAX(AA125,AC125),AA125+AC125)</f>
        <v>70.66</v>
      </c>
      <c r="AF125" s="34">
        <v>42.56</v>
      </c>
      <c r="AG125" s="37">
        <v>8.5</v>
      </c>
    </row>
    <row r="126" spans="1:33" x14ac:dyDescent="0.2">
      <c r="A126" s="1" t="str" cm="1">
        <f t="array" ref="A126">IF(I126="","",IF(P126&lt;&gt;"",SUMPRODUCT((P$3:P$128&lt;&gt;"")*(G$3:G$128=G126)*(J$3:J$128&gt;J126)*(I$3:I$128="P"))+1,IF(O126&lt;&gt;"",SUMPRODUCT((O$3:O$128&lt;&gt;"")*(P$3:P$128="")*(G$3:G$128=G126)*(J$3:J$128&gt;J126)*(I$3:I$128="P"))+SUMPRODUCT((P$3:P$128&lt;&gt;"")*(G$3:G$128=G126)*(I$3:I$128="P"))+1,IF(N126&lt;&gt;"",SUMPRODUCT((N$3:N$128&lt;&gt;"")*(G$3:G$128=G126)*(J$3:J$128&gt;J126)*(I$3:I$128="P"))+1,IF(M126="P",SUMPRODUCT((O$3:O$128&lt;&gt;"")*(P$3:P$128="")*(G$3:G$128=G126)*(I$3:I$128="P"))+SUMPRODUCT((P$3:P$128&lt;&gt;"")*(G$3:G$128=G126)*(I$3:I$128="P"))+SUMPRODUCT((N$3:N$128&lt;&gt;"")*(G$3:G$128=G126)*(I$3:I$128="P"))+SUMPRODUCT((P$3:P$128="")*(O$3:O$128="")*(N$3:N$128="")*(M$3:M$128="P")*(G$3:G$128=G126)*(J$3:J$128&gt;J126)*(I$3:I$128="P"))+IF(H126="L5",SUMPRODUCT((P$3:P$128="")*(O$3:O$128="")*(N$3:N$128="")*(M$3:M$128="P")*(G$3:G$128=G126)*(J$3:J$128&lt;J126)*(H$3:H$128&lt;&gt;H126)*(I$3:I$128="P")),-1*SUMPRODUCT((P$3:P$128="")*(O$3:O$128="")*(N$3:N$128="")*(M$3:M$128="P")*(G$3:G$128=G126)*(J$3:J$128&gt;J126)*(H$3:H$128="L5")*(I$3:I$128="P")))+1,"")))))</f>
        <v/>
      </c>
      <c r="B126" s="1" t="str" cm="1">
        <f t="array" ref="B126">IF(P126&lt;&gt;"",SUMPRODUCT((P$3:P$128&lt;&gt;"")*(G$3:G$128=G126)*(J$3:J$128&gt;J126))+1,IF(O126&lt;&gt;"",SUMPRODUCT((O$3:O$128&lt;&gt;"")*(P$3:P$128="")*(G$3:G$128=G126)*(J$3:J$128&gt;J126))+SUMPRODUCT((P$3:P$128&lt;&gt;"")*(G$3:G$128=G126))+1,IF(N126&lt;&gt;"",SUMPRODUCT((N$3:N$128&lt;&gt;"")*(G$3:G$128=G126)*(J$3:J$128&gt;J126))+1,IF(M126="P",SUMPRODUCT((O$3:O$128&lt;&gt;"")*(P$3:P$128="")*(G$3:G$128=G126))+SUMPRODUCT((P$3:P$128&lt;&gt;"")*(G$3:G$128=G126))+SUMPRODUCT((N$3:N$128&lt;&gt;"")*(G$3:G$128=G126))+SUMPRODUCT((P$3:P$128="")*(O$3:O$128="")*(N$3:N$128="")*(M$3:M$128="P")*(G$3:G$128=G126)*(J$3:J$128&gt;J126))+IF(H126="L5",SUMPRODUCT((P$3:P$128="")*(O$3:O$128="")*(N$3:N$128="")*(M$3:M$128="P")*(G$3:G$128=G126)*(J$3:J$128&lt;J126)*(H$3:H$128&lt;&gt;H126)),-1*SUMPRODUCT((P$3:P$128="")*(O$3:O$128="")*(N$3:N$128="")*(M$3:M$128="P")*(G$3:G$128=G126)*(J$3:J$128&gt;J126)*(H$3:H$128="L5")))+1,""))))</f>
        <v/>
      </c>
      <c r="C126" s="36" t="s">
        <v>417</v>
      </c>
      <c r="D126" s="36" t="str">
        <f>IF(E126="","",VLOOKUP(E126,'Coaching Points'!A:B,2,0))</f>
        <v>QC</v>
      </c>
      <c r="E126" s="36" t="s">
        <v>195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115</v>
      </c>
      <c r="I126" s="45"/>
      <c r="J126" s="4">
        <f>R126+IF(OR(H126="Junior",H126="Senior"),0.0002,IF(OR(H126="L7",H126="L6"),0.0001,0))+IF(G126="17-21",MAX(AA126,AC126,AF126),AE126)*0.0000001</f>
        <v>8.4689999999999997E-6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49" t="str">
        <f>IF(A126&lt;5,IF(_xlfn.MAXIFS(A:A,G:G,G126)&gt;3,5-A126,_xlfn.MAXIFS(A:A,G:G,G126)+1-A126),"")</f>
        <v/>
      </c>
      <c r="R126" s="4">
        <f>IF(G126="Not Age Eligible",0,IF(G126="17-21",MAX(IF(U126&gt;='Qualifying Scores'!C$13,T126,0),IF(W126&gt;='Qualifying Scores'!C$13,V126,0),IF(Z126&gt;='Qualifying Scores'!C$13,Y126,0),IF(AB126&gt;='Qualifying Scores'!C$13,AA126,0),IF(AD126&gt;'Qualifying Scores'!C$13,AC126,0),IF(AG126&gt;'Qualifying Scores'!C$13,AF126,0)),MAX(IF(OR(AND(G126="15-16",W126&gt;='Qualifying Scores'!C$12),AND(G126="13-14",W126&gt;='Qualifying Scores'!C$11),AND(G126="11-12",W126&gt;='Qualifying Scores'!C$10)),X126,0),IF(OR(AND(G126="15-16",AD126&gt;='Qualifying Scores'!C$12),AND(G126="13-14",AD126&gt;='Qualifying Scores'!C$11),AND(G126="11-12",AD126&gt;='Qualifying Scores'!C$10)),AE126,0))))</f>
        <v>0</v>
      </c>
      <c r="S126" s="4">
        <f>IF(G126="17-21",MAX(T126,V126,Y126,AA126,AC126,AF126),MAX(X126,AE126))</f>
        <v>84.69</v>
      </c>
      <c r="T126" s="33">
        <v>38.03</v>
      </c>
      <c r="U126" s="40">
        <v>0</v>
      </c>
      <c r="V126" s="34">
        <v>14.479999999999999</v>
      </c>
      <c r="W126" s="40">
        <v>3.4</v>
      </c>
      <c r="X126" s="4">
        <f>IF(H126="Senior",MAX(T126,V126),T126+V126)</f>
        <v>52.51</v>
      </c>
      <c r="Y126" s="34">
        <v>44.65</v>
      </c>
      <c r="Z126" s="40">
        <v>7.9999999999999991</v>
      </c>
      <c r="AA126" s="33">
        <v>39.4</v>
      </c>
      <c r="AB126" s="40">
        <v>0</v>
      </c>
      <c r="AC126" s="34">
        <v>45.29</v>
      </c>
      <c r="AD126" s="40">
        <v>7.7</v>
      </c>
      <c r="AE126" s="4">
        <f>IF(H126="Senior",MAX(AA126,AC126),AA126+AC126)</f>
        <v>84.69</v>
      </c>
      <c r="AF126" s="34">
        <v>46.04</v>
      </c>
      <c r="AG126" s="37">
        <v>8.4</v>
      </c>
    </row>
    <row r="127" spans="1:33" x14ac:dyDescent="0.2">
      <c r="A127" s="1" t="str" cm="1">
        <f t="array" ref="A127">IF(I127="","",IF(P127&lt;&gt;"",SUMPRODUCT((P$3:P$128&lt;&gt;"")*(G$3:G$128=G127)*(J$3:J$128&gt;J127)*(I$3:I$128="P"))+1,IF(O127&lt;&gt;"",SUMPRODUCT((O$3:O$128&lt;&gt;"")*(P$3:P$128="")*(G$3:G$128=G127)*(J$3:J$128&gt;J127)*(I$3:I$128="P"))+SUMPRODUCT((P$3:P$128&lt;&gt;"")*(G$3:G$128=G127)*(I$3:I$128="P"))+1,IF(N127&lt;&gt;"",SUMPRODUCT((N$3:N$128&lt;&gt;"")*(G$3:G$128=G127)*(J$3:J$128&gt;J127)*(I$3:I$128="P"))+1,IF(M127="P",SUMPRODUCT((O$3:O$128&lt;&gt;"")*(P$3:P$128="")*(G$3:G$128=G127)*(I$3:I$128="P"))+SUMPRODUCT((P$3:P$128&lt;&gt;"")*(G$3:G$128=G127)*(I$3:I$128="P"))+SUMPRODUCT((N$3:N$128&lt;&gt;"")*(G$3:G$128=G127)*(I$3:I$128="P"))+SUMPRODUCT((P$3:P$128="")*(O$3:O$128="")*(N$3:N$128="")*(M$3:M$128="P")*(G$3:G$128=G127)*(J$3:J$128&gt;J127)*(I$3:I$128="P"))+IF(H127="L5",SUMPRODUCT((P$3:P$128="")*(O$3:O$128="")*(N$3:N$128="")*(M$3:M$128="P")*(G$3:G$128=G127)*(J$3:J$128&lt;J127)*(H$3:H$128&lt;&gt;H127)*(I$3:I$128="P")),-1*SUMPRODUCT((P$3:P$128="")*(O$3:O$128="")*(N$3:N$128="")*(M$3:M$128="P")*(G$3:G$128=G127)*(J$3:J$128&gt;J127)*(H$3:H$128="L5")*(I$3:I$128="P")))+1,"")))))</f>
        <v/>
      </c>
      <c r="B127" s="1" t="str" cm="1">
        <f t="array" ref="B127">IF(P127&lt;&gt;"",SUMPRODUCT((P$3:P$128&lt;&gt;"")*(G$3:G$128=G127)*(J$3:J$128&gt;J127))+1,IF(O127&lt;&gt;"",SUMPRODUCT((O$3:O$128&lt;&gt;"")*(P$3:P$128="")*(G$3:G$128=G127)*(J$3:J$128&gt;J127))+SUMPRODUCT((P$3:P$128&lt;&gt;"")*(G$3:G$128=G127))+1,IF(N127&lt;&gt;"",SUMPRODUCT((N$3:N$128&lt;&gt;"")*(G$3:G$128=G127)*(J$3:J$128&gt;J127))+1,IF(M127="P",SUMPRODUCT((O$3:O$128&lt;&gt;"")*(P$3:P$128="")*(G$3:G$128=G127))+SUMPRODUCT((P$3:P$128&lt;&gt;"")*(G$3:G$128=G127))+SUMPRODUCT((N$3:N$128&lt;&gt;"")*(G$3:G$128=G127))+SUMPRODUCT((P$3:P$128="")*(O$3:O$128="")*(N$3:N$128="")*(M$3:M$128="P")*(G$3:G$128=G127)*(J$3:J$128&gt;J127))+IF(H127="L5",SUMPRODUCT((P$3:P$128="")*(O$3:O$128="")*(N$3:N$128="")*(M$3:M$128="P")*(G$3:G$128=G127)*(J$3:J$128&lt;J127)*(H$3:H$128&lt;&gt;H127)),-1*SUMPRODUCT((P$3:P$128="")*(O$3:O$128="")*(N$3:N$128="")*(M$3:M$128="P")*(G$3:G$128=G127)*(J$3:J$128&gt;J127)*(H$3:H$128="L5")))+1,""))))</f>
        <v/>
      </c>
      <c r="C127" s="36" t="s">
        <v>414</v>
      </c>
      <c r="D127" s="36" t="str">
        <f>IF(E127="","",VLOOKUP(E127,'Coaching Points'!A:B,2,0))</f>
        <v>BC</v>
      </c>
      <c r="E127" s="36" t="s">
        <v>80</v>
      </c>
      <c r="F127" s="35">
        <v>2008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115</v>
      </c>
      <c r="I127" s="45"/>
      <c r="J127" s="4">
        <f>R127+IF(OR(H127="Junior",H127="Senior"),0.0002,IF(OR(H127="L7",H127="L6"),0.0001,0))+IF(G127="17-21",MAX(AA127,AC127,AF127),AE127)*0.0000001</f>
        <v>7.6199999999999999E-6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49" t="str">
        <f>IF(A127&lt;5,IF(_xlfn.MAXIFS(A:A,G:G,G127)&gt;3,5-A127,_xlfn.MAXIFS(A:A,G:G,G127)+1-A127),"")</f>
        <v/>
      </c>
      <c r="R127" s="4">
        <f>IF(G127="Not Age Eligible",0,IF(G127="17-21",MAX(IF(U127&gt;='Qualifying Scores'!C$13,T127,0),IF(W127&gt;='Qualifying Scores'!C$13,V127,0),IF(Z127&gt;='Qualifying Scores'!C$13,Y127,0),IF(AB127&gt;='Qualifying Scores'!C$13,AA127,0),IF(AD127&gt;'Qualifying Scores'!C$13,AC127,0),IF(AG127&gt;'Qualifying Scores'!C$13,AF127,0)),MAX(IF(OR(AND(G127="15-16",W127&gt;='Qualifying Scores'!C$12),AND(G127="13-14",W127&gt;='Qualifying Scores'!C$11),AND(G127="11-12",W127&gt;='Qualifying Scores'!C$10)),X127,0),IF(OR(AND(G127="15-16",AD127&gt;='Qualifying Scores'!C$12),AND(G127="13-14",AD127&gt;='Qualifying Scores'!C$11),AND(G127="11-12",AD127&gt;='Qualifying Scores'!C$10)),AE127,0))))</f>
        <v>0</v>
      </c>
      <c r="S127" s="4">
        <f>IF(G127="17-21",MAX(T127,V127,Y127,AA127,AC127,AF127),MAX(X127,AE127))</f>
        <v>76.2</v>
      </c>
      <c r="T127" s="33"/>
      <c r="U127" s="40"/>
      <c r="V127" s="34"/>
      <c r="W127" s="40"/>
      <c r="X127" s="4">
        <f>IF(H127="Senior",MAX(T127,V127),T127+V127)</f>
        <v>0</v>
      </c>
      <c r="Y127" s="34"/>
      <c r="Z127" s="40"/>
      <c r="AA127" s="33">
        <v>33.85</v>
      </c>
      <c r="AB127" s="40">
        <v>0</v>
      </c>
      <c r="AC127" s="34">
        <v>42.35</v>
      </c>
      <c r="AD127" s="40">
        <v>7.1</v>
      </c>
      <c r="AE127" s="4">
        <f>IF(H127="Senior",MAX(AA127,AC127),AA127+AC127)</f>
        <v>76.2</v>
      </c>
      <c r="AF127" s="34">
        <v>40.51</v>
      </c>
      <c r="AG127" s="37">
        <v>7.1</v>
      </c>
    </row>
    <row r="128" spans="1:33" x14ac:dyDescent="0.2">
      <c r="A128" s="1" t="str" cm="1">
        <f t="array" ref="A128">IF(I128="","",IF(P128&lt;&gt;"",SUMPRODUCT((P$3:P$128&lt;&gt;"")*(G$3:G$128=G128)*(J$3:J$128&gt;J128)*(I$3:I$128="P"))+1,IF(O128&lt;&gt;"",SUMPRODUCT((O$3:O$128&lt;&gt;"")*(P$3:P$128="")*(G$3:G$128=G128)*(J$3:J$128&gt;J128)*(I$3:I$128="P"))+SUMPRODUCT((P$3:P$128&lt;&gt;"")*(G$3:G$128=G128)*(I$3:I$128="P"))+1,IF(N128&lt;&gt;"",SUMPRODUCT((N$3:N$128&lt;&gt;"")*(G$3:G$128=G128)*(J$3:J$128&gt;J128)*(I$3:I$128="P"))+1,IF(M128="P",SUMPRODUCT((O$3:O$128&lt;&gt;"")*(P$3:P$128="")*(G$3:G$128=G128)*(I$3:I$128="P"))+SUMPRODUCT((P$3:P$128&lt;&gt;"")*(G$3:G$128=G128)*(I$3:I$128="P"))+SUMPRODUCT((N$3:N$128&lt;&gt;"")*(G$3:G$128=G128)*(I$3:I$128="P"))+SUMPRODUCT((P$3:P$128="")*(O$3:O$128="")*(N$3:N$128="")*(M$3:M$128="P")*(G$3:G$128=G128)*(J$3:J$128&gt;J128)*(I$3:I$128="P"))+IF(H128="L5",SUMPRODUCT((P$3:P$128="")*(O$3:O$128="")*(N$3:N$128="")*(M$3:M$128="P")*(G$3:G$128=G128)*(J$3:J$128&lt;J128)*(H$3:H$128&lt;&gt;H128)*(I$3:I$128="P")),-1*SUMPRODUCT((P$3:P$128="")*(O$3:O$128="")*(N$3:N$128="")*(M$3:M$128="P")*(G$3:G$128=G128)*(J$3:J$128&gt;J128)*(H$3:H$128="L5")*(I$3:I$128="P")))+1,"")))))</f>
        <v/>
      </c>
      <c r="B128" s="1" t="str" cm="1">
        <f t="array" ref="B128">IF(P128&lt;&gt;"",SUMPRODUCT((P$3:P$128&lt;&gt;"")*(G$3:G$128=G128)*(J$3:J$128&gt;J128))+1,IF(O128&lt;&gt;"",SUMPRODUCT((O$3:O$128&lt;&gt;"")*(P$3:P$128="")*(G$3:G$128=G128)*(J$3:J$128&gt;J128))+SUMPRODUCT((P$3:P$128&lt;&gt;"")*(G$3:G$128=G128))+1,IF(N128&lt;&gt;"",SUMPRODUCT((N$3:N$128&lt;&gt;"")*(G$3:G$128=G128)*(J$3:J$128&gt;J128))+1,IF(M128="P",SUMPRODUCT((O$3:O$128&lt;&gt;"")*(P$3:P$128="")*(G$3:G$128=G128))+SUMPRODUCT((P$3:P$128&lt;&gt;"")*(G$3:G$128=G128))+SUMPRODUCT((N$3:N$128&lt;&gt;"")*(G$3:G$128=G128))+SUMPRODUCT((P$3:P$128="")*(O$3:O$128="")*(N$3:N$128="")*(M$3:M$128="P")*(G$3:G$128=G128)*(J$3:J$128&gt;J128))+IF(H128="L5",SUMPRODUCT((P$3:P$128="")*(O$3:O$128="")*(N$3:N$128="")*(M$3:M$128="P")*(G$3:G$128=G128)*(J$3:J$128&lt;J128)*(H$3:H$128&lt;&gt;H128)),-1*SUMPRODUCT((P$3:P$128="")*(O$3:O$128="")*(N$3:N$128="")*(M$3:M$128="P")*(G$3:G$128=G128)*(J$3:J$128&gt;J128)*(H$3:H$128="L5")))+1,""))))</f>
        <v/>
      </c>
      <c r="C128" s="36" t="s">
        <v>415</v>
      </c>
      <c r="D128" s="36" t="str">
        <f>IF(E128="","",VLOOKUP(E128,'Coaching Points'!A:B,2,0))</f>
        <v>ON</v>
      </c>
      <c r="E128" s="36" t="s">
        <v>573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115</v>
      </c>
      <c r="I128" s="45"/>
      <c r="J128" s="4">
        <f>R128+IF(OR(H128="Junior",H128="Senior"),0.0002,IF(OR(H128="L7",H128="L6"),0.0001,0))+IF(G128="17-21",MAX(AA128,AC128,AF128),AE128)*0.0000001</f>
        <v>7.5879999999999992E-6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49" t="str">
        <f>IF(A128&lt;5,IF(_xlfn.MAXIFS(A:A,G:G,G128)&gt;3,5-A128,_xlfn.MAXIFS(A:A,G:G,G128)+1-A128),"")</f>
        <v/>
      </c>
      <c r="R128" s="4">
        <f>IF(G128="Not Age Eligible",0,IF(G128="17-21",MAX(IF(U128&gt;='Qualifying Scores'!C$13,T128,0),IF(W128&gt;='Qualifying Scores'!C$13,V128,0),IF(Z128&gt;='Qualifying Scores'!C$13,Y128,0),IF(AB128&gt;='Qualifying Scores'!C$13,AA128,0),IF(AD128&gt;'Qualifying Scores'!C$13,AC128,0),IF(AG128&gt;'Qualifying Scores'!C$13,AF128,0)),MAX(IF(OR(AND(G128="15-16",W128&gt;='Qualifying Scores'!C$12),AND(G128="13-14",W128&gt;='Qualifying Scores'!C$11),AND(G128="11-12",W128&gt;='Qualifying Scores'!C$10)),X128,0),IF(OR(AND(G128="15-16",AD128&gt;='Qualifying Scores'!C$12),AND(G128="13-14",AD128&gt;='Qualifying Scores'!C$11),AND(G128="11-12",AD128&gt;='Qualifying Scores'!C$10)),AE128,0))))</f>
        <v>0</v>
      </c>
      <c r="S128" s="4">
        <f>IF(G128="17-21",MAX(T128,V128,Y128,AA128,AC128,AF128),MAX(X128,AE128))</f>
        <v>75.88</v>
      </c>
      <c r="T128" s="33"/>
      <c r="U128" s="40"/>
      <c r="V128" s="34"/>
      <c r="W128" s="40"/>
      <c r="X128" s="4">
        <f>IF(H128="Senior",MAX(T128,V128),T128+V128)</f>
        <v>0</v>
      </c>
      <c r="Y128" s="34"/>
      <c r="Z128" s="40"/>
      <c r="AA128" s="33">
        <v>38.950000000000003</v>
      </c>
      <c r="AB128" s="40">
        <v>0</v>
      </c>
      <c r="AC128" s="34">
        <v>36.93</v>
      </c>
      <c r="AD128" s="40">
        <v>7</v>
      </c>
      <c r="AE128" s="4">
        <f>IF(H128="Senior",MAX(AA128,AC128),AA128+AC128)</f>
        <v>75.88</v>
      </c>
      <c r="AF128" s="34">
        <v>44.52</v>
      </c>
      <c r="AG128" s="37">
        <v>8.4</v>
      </c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28">
      <sortCondition descending="1" ref="G1:G12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XFD1048576">
    <cfRule type="expression" dxfId="27" priority="9">
      <formula>IF($G1="17-21",1,0)</formula>
    </cfRule>
    <cfRule type="expression" dxfId="26" priority="10">
      <formula>IF($G1="15-16",1,0)</formula>
    </cfRule>
    <cfRule type="expression" dxfId="25" priority="11">
      <formula>IF($G1="13-14",1,0)</formula>
    </cfRule>
    <cfRule type="expression" dxfId="24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2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569</v>
      </c>
      <c r="F1" s="77" t="s">
        <v>570</v>
      </c>
      <c r="G1" s="79" t="s">
        <v>4</v>
      </c>
      <c r="H1" s="73" t="s">
        <v>5</v>
      </c>
      <c r="I1" s="73" t="s">
        <v>57</v>
      </c>
      <c r="J1" s="73" t="s">
        <v>43</v>
      </c>
      <c r="K1" s="84" t="s">
        <v>13</v>
      </c>
      <c r="L1" s="73" t="s">
        <v>9</v>
      </c>
      <c r="M1" s="73" t="s">
        <v>10</v>
      </c>
      <c r="N1" s="73" t="s">
        <v>33</v>
      </c>
      <c r="O1" s="73" t="s">
        <v>12</v>
      </c>
      <c r="P1" s="73" t="s">
        <v>50</v>
      </c>
      <c r="Q1" s="73" t="s">
        <v>11</v>
      </c>
      <c r="R1" s="75" t="s">
        <v>365</v>
      </c>
      <c r="S1" s="81" t="s">
        <v>598</v>
      </c>
      <c r="T1" s="73" t="s">
        <v>599</v>
      </c>
      <c r="U1" s="83" t="s">
        <v>45</v>
      </c>
      <c r="V1" s="83"/>
      <c r="W1" s="83"/>
      <c r="X1" s="83"/>
      <c r="Y1" s="83"/>
      <c r="Z1" s="83"/>
      <c r="AA1" s="83"/>
      <c r="AB1" s="83" t="s">
        <v>44</v>
      </c>
      <c r="AC1" s="83"/>
      <c r="AD1" s="83"/>
      <c r="AE1" s="83"/>
      <c r="AF1" s="83"/>
      <c r="AG1" s="83"/>
      <c r="AH1" s="83"/>
    </row>
    <row r="2" spans="1:34" s="7" customFormat="1" ht="17" thickBot="1" x14ac:dyDescent="0.25">
      <c r="A2" s="82"/>
      <c r="B2" s="82"/>
      <c r="C2" s="74"/>
      <c r="D2" s="76"/>
      <c r="E2" s="78"/>
      <c r="F2" s="78"/>
      <c r="G2" s="80"/>
      <c r="H2" s="74"/>
      <c r="I2" s="74"/>
      <c r="J2" s="74"/>
      <c r="K2" s="85"/>
      <c r="L2" s="74"/>
      <c r="M2" s="74"/>
      <c r="N2" s="74"/>
      <c r="O2" s="74"/>
      <c r="P2" s="74"/>
      <c r="Q2" s="74"/>
      <c r="R2" s="76"/>
      <c r="S2" s="82"/>
      <c r="T2" s="74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$20&lt;&gt;"")*(H$3:H$20=H3)*(K$3:K$20&gt;K3)*(J$3:J$20="P"))+1,IF(P3&lt;&gt;"",SUMPRODUCT((P$3:P$20&lt;&gt;"")*(Q$3:Q$20="")*(H$3:H$20=H3)*(K$3:K$20&gt;K3)*(J$3:J$20="P"))+SUMPRODUCT((Q$3:Q$20&lt;&gt;"")*(H$3:H$20=H3)*(J$3:J$20="P"))+1,IF(O3&lt;&gt;"",SUMPRODUCT((O$3:O$20&lt;&gt;"")*(H$3:H$20=H3)*(K$3:K$20&gt;K3)*(J$3:J$20="P"))+1,IF(N3="P",SUMPRODUCT((P$3:P$20&lt;&gt;"")*(Q$3:Q$20="")*(H$3:H$20=H3)*(J$3:J$20="P"))+SUMPRODUCT((Q$3:Q$20&lt;&gt;"")*(H$3:H$20=H3)*(J$3:J$20="P"))+SUMPRODUCT((O$3:O$20&lt;&gt;"")*(H$3:H$20=H3)*(J$3:J$20="P"))+SUMPRODUCT((Q$3:Q$20="")*(P$3:P$20="")*(O$3:O$20="")*(N$3:N$20="P")*(H$3:H$20=H3)*(K$3:K$20&gt;K3)*(J$3:J$20="P"))+IF(I3="L5",SUMPRODUCT((Q$3:Q$20="")*(P$3:P$20="")*(O$3:O$20="")*(N$3:N$20="P")*(H$3:H$20=H3)*(K$3:K$20&lt;K3)*(I$3:I$20&lt;&gt;I3)*(J$3:J$20="P")),-1*SUMPRODUCT((Q$3:Q$20="")*(P$3:P$20="")*(O$3:O$20="")*(N$3:N$20="P")*(H$3:H$20=H3)*(K$3:K$20&gt;K3)*(I$3:I$20="L5")*(J$3:J$20="P")))+1,"")))))</f>
        <v>1</v>
      </c>
      <c r="B3" s="1" cm="1">
        <f t="array" ref="B3">IF(Q3&lt;&gt;"",SUMPRODUCT((Q$3:Q$20&lt;&gt;"")*(H$3:H$20=H3)*(K$3:K$20&gt;K3))+1,IF(P3&lt;&gt;"",SUMPRODUCT((P$3:P$20&lt;&gt;"")*(Q$3:Q$20="")*(H$3:H$20=H3)*(K$3:K$20&gt;K3))+SUMPRODUCT((Q$3:Q$20&lt;&gt;"")*(H$3:H$20=H3))+1,IF(O3&lt;&gt;"",SUMPRODUCT((O$3:O$20&lt;&gt;"")*(H$3:H$20=H3)*(K$3:K$20&gt;K3))+1,IF(N3="P",SUMPRODUCT((P$3:P$20&lt;&gt;"")*(Q$3:Q$20="")*(H$3:H$20=H3))+SUMPRODUCT((Q$3:Q$20&lt;&gt;"")*(H$3:H$20=H3))+SUMPRODUCT((O$3:O$20&lt;&gt;"")*(H$3:H$20=H3))+SUMPRODUCT((Q$3:Q$20="")*(P$3:P$20="")*(O$3:O$20="")*(N$3:N$20="P")*(H$3:H$20=H3)*(K$3:K$20&gt;K3))+IF(I3="L5",SUMPRODUCT((Q$3:Q$20="")*(P$3:P$20="")*(O$3:O$20="")*(N$3:N$20="P")*(H$3:H$20=H3)*(K$3:K$20&lt;K3)*(I$3:I$20&lt;&gt;I3)),-1*SUMPRODUCT((Q$3:Q$20="")*(P$3:P$20="")*(O$3:O$20="")*(N$3:N$20="P")*(H$3:H$20=H3)*(K$3:K$20&gt;K3)*(I$3:I$20="L5")))+1,""))))</f>
        <v>2</v>
      </c>
      <c r="C3" s="36" t="s">
        <v>474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47.600204760000004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49">
        <f>IF(A3&lt;5,IF(_xlfn.MAXIFS(A:A,H:H,H3)&gt;3,5-A3,_xlfn.MAXIFS(A:A,H:H,H3)+1-A3),"")</f>
        <v>1</v>
      </c>
      <c r="S3" s="4">
        <f>IF(H3="Not Age Eligible",0,MAX(IF(OR(AND(H3="17-21",V3&gt;='Qualifying Scores'!D$13),AND(H3="15-16",V3&gt;='Qualifying Scores'!D$12),AND(H3="13-14",V3&gt;='Qualifying Scores'!D$11),AND(H3="11-12",V3&gt;='Qualifying Scores'!D$10)),U3,0),IF(OR(AND(H3="17-21",X3&gt;='Qualifying Scores'!D$13),AND(H3="15-16",X3&gt;='Qualifying Scores'!D$12),AND(H3="13-14",X3&gt;='Qualifying Scores'!D$11),AND(H3="11-12",X3&gt;='Qualifying Scores'!D$10)),W3,0),IF(OR(AND(H3="17-21",AA3&gt;='Qualifying Scores'!D$13),AND(H3="15-16",AA3&gt;='Qualifying Scores'!D$12),AND(H3="13-14",AA3&gt;='Qualifying Scores'!D$11),AND(H3="11-12",AA3&gt;='Qualifying Scores'!D$10)),Z3,0),IF(OR(AND(H3="17-21",AC3&gt;='Qualifying Scores'!D$13),AND(H3="15-16",AC3&gt;='Qualifying Scores'!D$12),AND(H3="13-14",AC3&gt;='Qualifying Scores'!D$11),AND(H3="11-12",AC3&gt;='Qualifying Scores'!D$10)),AB3,0),IF(OR(AND(H3="17-21",AE3&gt;='Qualifying Scores'!D$13),AND(H3="15-16",AE3&gt;='Qualifying Scores'!D$12),AND(H3="13-14",AE3&gt;='Qualifying Scores'!D$11),AND(H3="11-12",AE3&gt;='Qualifying Scores'!D$10)),AD3,0),IF(OR(AND(H3="17-21",AH3&gt;='Qualifying Scores'!D$13),AND(H3="15-16",AH3&gt;='Qualifying Scores'!D$12),AND(H3="13-14",AH3&gt;='Qualifying Scores'!D$11),AND(H3="11-12",AH3&gt;='Qualifying Scores'!D$10)),AG3,0)))</f>
        <v>47.6</v>
      </c>
      <c r="T3" s="4">
        <f>MAX(U3,W3,Z3,AB3,AD3,AG3)</f>
        <v>47.6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46.09</v>
      </c>
      <c r="AC3" s="40">
        <v>10.5</v>
      </c>
      <c r="AD3" s="34">
        <v>47.6</v>
      </c>
      <c r="AE3" s="40">
        <v>10.5</v>
      </c>
      <c r="AF3" s="4">
        <f>IF(I3="Senior",MAX(AB3,AD3),AB3+AD3)</f>
        <v>47.6</v>
      </c>
      <c r="AG3" s="34">
        <v>46.92</v>
      </c>
      <c r="AH3" s="37">
        <v>10.5</v>
      </c>
    </row>
    <row r="4" spans="1:34" x14ac:dyDescent="0.2">
      <c r="A4" s="1" t="str" cm="1">
        <f t="array" ref="A4">IF(J4="","",IF(Q4&lt;&gt;"",SUMPRODUCT((Q$3:Q$20&lt;&gt;"")*(H$3:H$20=H4)*(K$3:K$20&gt;K4)*(J$3:J$20="P"))+1,IF(P4&lt;&gt;"",SUMPRODUCT((P$3:P$20&lt;&gt;"")*(Q$3:Q$20="")*(H$3:H$20=H4)*(K$3:K$20&gt;K4)*(J$3:J$20="P"))+SUMPRODUCT((Q$3:Q$20&lt;&gt;"")*(H$3:H$20=H4)*(J$3:J$20="P"))+1,IF(O4&lt;&gt;"",SUMPRODUCT((O$3:O$20&lt;&gt;"")*(H$3:H$20=H4)*(K$3:K$20&gt;K4)*(J$3:J$20="P"))+1,IF(N4="P",SUMPRODUCT((P$3:P$20&lt;&gt;"")*(Q$3:Q$20="")*(H$3:H$20=H4)*(J$3:J$20="P"))+SUMPRODUCT((Q$3:Q$20&lt;&gt;"")*(H$3:H$20=H4)*(J$3:J$20="P"))+SUMPRODUCT((O$3:O$20&lt;&gt;"")*(H$3:H$20=H4)*(J$3:J$20="P"))+SUMPRODUCT((Q$3:Q$20="")*(P$3:P$20="")*(O$3:O$20="")*(N$3:N$20="P")*(H$3:H$20=H4)*(K$3:K$20&gt;K4)*(J$3:J$20="P"))+IF(I4="L5",SUMPRODUCT((Q$3:Q$20="")*(P$3:P$20="")*(O$3:O$20="")*(N$3:N$20="P")*(H$3:H$20=H4)*(K$3:K$20&lt;K4)*(I$3:I$20&lt;&gt;I4)*(J$3:J$20="P")),-1*SUMPRODUCT((Q$3:Q$20="")*(P$3:P$20="")*(O$3:O$20="")*(N$3:N$20="P")*(H$3:H$20=H4)*(K$3:K$20&gt;K4)*(I$3:I$20="L5")*(J$3:J$20="P")))+1,"")))))</f>
        <v/>
      </c>
      <c r="B4" s="1" cm="1">
        <f t="array" ref="B4">IF(Q4&lt;&gt;"",SUMPRODUCT((Q$3:Q$20&lt;&gt;"")*(H$3:H$20=H4)*(K$3:K$20&gt;K4))+1,IF(P4&lt;&gt;"",SUMPRODUCT((P$3:P$20&lt;&gt;"")*(Q$3:Q$20="")*(H$3:H$20=H4)*(K$3:K$20&gt;K4))+SUMPRODUCT((Q$3:Q$20&lt;&gt;"")*(H$3:H$20=H4))+1,IF(O4&lt;&gt;"",SUMPRODUCT((O$3:O$20&lt;&gt;"")*(H$3:H$20=H4)*(K$3:K$20&gt;K4))+1,IF(N4="P",SUMPRODUCT((P$3:P$20&lt;&gt;"")*(Q$3:Q$20="")*(H$3:H$20=H4))+SUMPRODUCT((Q$3:Q$20&lt;&gt;"")*(H$3:H$20=H4))+SUMPRODUCT((O$3:O$20&lt;&gt;"")*(H$3:H$20=H4))+SUMPRODUCT((Q$3:Q$20="")*(P$3:P$20="")*(O$3:O$20="")*(N$3:N$20="P")*(H$3:H$20=H4)*(K$3:K$20&gt;K4))+IF(I4="L5",SUMPRODUCT((Q$3:Q$20="")*(P$3:P$20="")*(O$3:O$20="")*(N$3:N$20="P")*(H$3:H$20=H4)*(K$3:K$20&lt;K4)*(I$3:I$20&lt;&gt;I4)),-1*SUMPRODUCT((Q$3:Q$20="")*(P$3:P$20="")*(O$3:O$20="")*(N$3:N$20="P")*(H$3:H$20=H4)*(K$3:K$20&gt;K4)*(I$3:I$20="L5")))+1,""))))</f>
        <v>1</v>
      </c>
      <c r="C4" s="36" t="s">
        <v>475</v>
      </c>
      <c r="D4" s="36" t="str">
        <f>IF(E4="","",VLOOKUP(E4,'Coaching Points'!A:B,2,0)&amp;"/"&amp;VLOOKUP(F4,'Coaching Points'!A:B,2,0))</f>
        <v>QC/QC</v>
      </c>
      <c r="E4" s="36" t="s">
        <v>3</v>
      </c>
      <c r="F4" s="36" t="s">
        <v>179</v>
      </c>
      <c r="G4" s="35">
        <v>2001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/>
      <c r="K4" s="4">
        <f>S4+IF(OR(I4="Junior",I4="Senior"),0.0002,IF(OR(I4="L7",I4="L6"),0.0001,0))+MAX(AB4,AD4,AG4)*0.0000001</f>
        <v>33.730203372999995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Q4" s="39">
        <v>1</v>
      </c>
      <c r="R4" s="49" t="str">
        <f>IF(A4&lt;5,IF(_xlfn.MAXIFS(A:A,H:H,H4)&gt;3,5-A4,_xlfn.MAXIFS(A:A,H:H,H4)+1-A4),"")</f>
        <v/>
      </c>
      <c r="S4" s="4">
        <f>IF(H4="Not Age Eligible",0,MAX(IF(OR(AND(H4="17-21",V4&gt;='Qualifying Scores'!D$13),AND(H4="15-16",V4&gt;='Qualifying Scores'!D$12),AND(H4="13-14",V4&gt;='Qualifying Scores'!D$11),AND(H4="11-12",V4&gt;='Qualifying Scores'!D$10)),U4,0),IF(OR(AND(H4="17-21",X4&gt;='Qualifying Scores'!D$13),AND(H4="15-16",X4&gt;='Qualifying Scores'!D$12),AND(H4="13-14",X4&gt;='Qualifying Scores'!D$11),AND(H4="11-12",X4&gt;='Qualifying Scores'!D$10)),W4,0),IF(OR(AND(H4="17-21",AA4&gt;='Qualifying Scores'!D$13),AND(H4="15-16",AA4&gt;='Qualifying Scores'!D$12),AND(H4="13-14",AA4&gt;='Qualifying Scores'!D$11),AND(H4="11-12",AA4&gt;='Qualifying Scores'!D$10)),Z4,0),IF(OR(AND(H4="17-21",AC4&gt;='Qualifying Scores'!D$13),AND(H4="15-16",AC4&gt;='Qualifying Scores'!D$12),AND(H4="13-14",AC4&gt;='Qualifying Scores'!D$11),AND(H4="11-12",AC4&gt;='Qualifying Scores'!D$10)),AB4,0),IF(OR(AND(H4="17-21",AE4&gt;='Qualifying Scores'!D$13),AND(H4="15-16",AE4&gt;='Qualifying Scores'!D$12),AND(H4="13-14",AE4&gt;='Qualifying Scores'!D$11),AND(H4="11-12",AE4&gt;='Qualifying Scores'!D$10)),AD4,0),IF(OR(AND(H4="17-21",AH4&gt;='Qualifying Scores'!D$13),AND(H4="15-16",AH4&gt;='Qualifying Scores'!D$12),AND(H4="13-14",AH4&gt;='Qualifying Scores'!D$11),AND(H4="11-12",AH4&gt;='Qualifying Scores'!D$10)),AG4,0)))</f>
        <v>33.729999999999997</v>
      </c>
      <c r="T4" s="4">
        <f>MAX(U4,W4,Z4,AB4,AD4,AG4)</f>
        <v>33.729999999999997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33.729999999999997</v>
      </c>
      <c r="AC4" s="40">
        <v>10.3</v>
      </c>
      <c r="AD4" s="34">
        <v>15.8</v>
      </c>
      <c r="AE4" s="40">
        <v>5.0999999999999996</v>
      </c>
      <c r="AF4" s="4">
        <f>IF(I4="Senior",MAX(AB4,AD4),AB4+AD4)</f>
        <v>33.729999999999997</v>
      </c>
      <c r="AG4" s="34">
        <v>9.08</v>
      </c>
      <c r="AH4" s="37">
        <v>3.4</v>
      </c>
    </row>
    <row r="5" spans="1:34" x14ac:dyDescent="0.2">
      <c r="A5" s="1" t="str" cm="1">
        <f t="array" ref="A5">IF(J5="","",IF(Q5&lt;&gt;"",SUMPRODUCT((Q$3:Q$20&lt;&gt;"")*(H$3:H$20=H5)*(K$3:K$20&gt;K5)*(J$3:J$20="P"))+1,IF(P5&lt;&gt;"",SUMPRODUCT((P$3:P$20&lt;&gt;"")*(Q$3:Q$20="")*(H$3:H$20=H5)*(K$3:K$20&gt;K5)*(J$3:J$20="P"))+SUMPRODUCT((Q$3:Q$20&lt;&gt;"")*(H$3:H$20=H5)*(J$3:J$20="P"))+1,IF(O5&lt;&gt;"",SUMPRODUCT((O$3:O$20&lt;&gt;"")*(H$3:H$20=H5)*(K$3:K$20&gt;K5)*(J$3:J$20="P"))+1,IF(N5="P",SUMPRODUCT((P$3:P$20&lt;&gt;"")*(Q$3:Q$20="")*(H$3:H$20=H5)*(J$3:J$20="P"))+SUMPRODUCT((Q$3:Q$20&lt;&gt;"")*(H$3:H$20=H5)*(J$3:J$20="P"))+SUMPRODUCT((O$3:O$20&lt;&gt;"")*(H$3:H$20=H5)*(J$3:J$20="P"))+SUMPRODUCT((Q$3:Q$20="")*(P$3:P$20="")*(O$3:O$20="")*(N$3:N$20="P")*(H$3:H$20=H5)*(K$3:K$20&gt;K5)*(J$3:J$20="P"))+IF(I5="L5",SUMPRODUCT((Q$3:Q$20="")*(P$3:P$20="")*(O$3:O$20="")*(N$3:N$20="P")*(H$3:H$20=H5)*(K$3:K$20&lt;K5)*(I$3:I$20&lt;&gt;I5)*(J$3:J$20="P")),-1*SUMPRODUCT((Q$3:Q$20="")*(P$3:P$20="")*(O$3:O$20="")*(N$3:N$20="P")*(H$3:H$20=H5)*(K$3:K$20&gt;K5)*(I$3:I$20="L5")*(J$3:J$20="P")))+1,"")))))</f>
        <v/>
      </c>
      <c r="B5" s="1" t="str" cm="1">
        <f t="array" ref="B5">IF(Q5&lt;&gt;"",SUMPRODUCT((Q$3:Q$20&lt;&gt;"")*(H$3:H$20=H5)*(K$3:K$20&gt;K5))+1,IF(P5&lt;&gt;"",SUMPRODUCT((P$3:P$20&lt;&gt;"")*(Q$3:Q$20="")*(H$3:H$20=H5)*(K$3:K$20&gt;K5))+SUMPRODUCT((Q$3:Q$20&lt;&gt;"")*(H$3:H$20=H5))+1,IF(O5&lt;&gt;"",SUMPRODUCT((O$3:O$20&lt;&gt;"")*(H$3:H$20=H5)*(K$3:K$20&gt;K5))+1,IF(N5="P",SUMPRODUCT((P$3:P$20&lt;&gt;"")*(Q$3:Q$20="")*(H$3:H$20=H5))+SUMPRODUCT((Q$3:Q$20&lt;&gt;"")*(H$3:H$20=H5))+SUMPRODUCT((O$3:O$20&lt;&gt;"")*(H$3:H$20=H5))+SUMPRODUCT((Q$3:Q$20="")*(P$3:P$20="")*(O$3:O$20="")*(N$3:N$20="P")*(H$3:H$20=H5)*(K$3:K$20&gt;K5))+IF(I5="L5",SUMPRODUCT((Q$3:Q$20="")*(P$3:P$20="")*(O$3:O$20="")*(N$3:N$20="P")*(H$3:H$20=H5)*(K$3:K$20&lt;K5)*(I$3:I$20&lt;&gt;I5)),-1*SUMPRODUCT((Q$3:Q$20="")*(P$3:P$20="")*(O$3:O$20="")*(N$3:N$20="P")*(H$3:H$20=H5)*(K$3:K$20&gt;K5)*(I$3:I$20="L5")))+1,""))))</f>
        <v/>
      </c>
      <c r="C5" s="36" t="s">
        <v>472</v>
      </c>
      <c r="D5" s="36" t="str">
        <f>IF(E5="","",VLOOKUP(E5,'Coaching Points'!A:B,2,0)&amp;"/"&amp;VLOOKUP(F5,'Coaching Points'!A:B,2,0))</f>
        <v>AB/AB</v>
      </c>
      <c r="E5" s="36" t="s">
        <v>41</v>
      </c>
      <c r="F5" s="36" t="s">
        <v>41</v>
      </c>
      <c r="G5" s="35">
        <v>2002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116</v>
      </c>
      <c r="J5" s="45"/>
      <c r="K5" s="4">
        <f>S5+IF(OR(I5="Junior",I5="Senior"),0.0002,IF(OR(I5="L7",I5="L6"),0.0001,0))+MAX(AB5,AD5,AG5)*0.0000001</f>
        <v>1.04535E-4</v>
      </c>
      <c r="L5" s="3" t="str">
        <f>IF(H5="Not Age Eligible","",IF(MAX(U5,W5,Z5,AB5,AD5,AG5)&gt;=LOOKUP(H5,'Qualifying Scores'!$A$4:$A$7,'Qualifying Scores'!$D$4:$D$7),"P",""))</f>
        <v>P</v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Scores'!D$13),AND(H5="15-16",V5&gt;='Qualifying Scores'!D$12),AND(H5="13-14",V5&gt;='Qualifying Scores'!D$11),AND(H5="11-12",V5&gt;='Qualifying Scores'!D$10)),U5,0),IF(OR(AND(H5="17-21",X5&gt;='Qualifying Scores'!D$13),AND(H5="15-16",X5&gt;='Qualifying Scores'!D$12),AND(H5="13-14",X5&gt;='Qualifying Scores'!D$11),AND(H5="11-12",X5&gt;='Qualifying Scores'!D$10)),W5,0),IF(OR(AND(H5="17-21",AA5&gt;='Qualifying Scores'!D$13),AND(H5="15-16",AA5&gt;='Qualifying Scores'!D$12),AND(H5="13-14",AA5&gt;='Qualifying Scores'!D$11),AND(H5="11-12",AA5&gt;='Qualifying Scores'!D$10)),Z5,0),IF(OR(AND(H5="17-21",AC5&gt;='Qualifying Scores'!D$13),AND(H5="15-16",AC5&gt;='Qualifying Scores'!D$12),AND(H5="13-14",AC5&gt;='Qualifying Scores'!D$11),AND(H5="11-12",AC5&gt;='Qualifying Scores'!D$10)),AB5,0),IF(OR(AND(H5="17-21",AE5&gt;='Qualifying Scores'!D$13),AND(H5="15-16",AE5&gt;='Qualifying Scores'!D$12),AND(H5="13-14",AE5&gt;='Qualifying Scores'!D$11),AND(H5="11-12",AE5&gt;='Qualifying Scores'!D$10)),AD5,0),IF(OR(AND(H5="17-21",AH5&gt;='Qualifying Scores'!D$13),AND(H5="15-16",AH5&gt;='Qualifying Scores'!D$12),AND(H5="13-14",AH5&gt;='Qualifying Scores'!D$11),AND(H5="11-12",AH5&gt;='Qualifying Scores'!D$10)),AG5,0)))</f>
        <v>0</v>
      </c>
      <c r="T5" s="4">
        <f>MAX(U5,W5,Z5,AB5,AD5,AG5)</f>
        <v>45.35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35.75</v>
      </c>
      <c r="AC5" s="40">
        <v>9.8000000000000007</v>
      </c>
      <c r="AD5" s="34"/>
      <c r="AE5" s="40"/>
      <c r="AF5" s="4">
        <f>IF(I5="Senior",MAX(AB5,AD5),AB5+AD5)</f>
        <v>35.75</v>
      </c>
      <c r="AG5" s="34">
        <v>45.35</v>
      </c>
      <c r="AH5" s="37">
        <v>9.8000000000000007</v>
      </c>
    </row>
    <row r="6" spans="1:34" x14ac:dyDescent="0.2">
      <c r="A6" s="1" t="str" cm="1">
        <f t="array" ref="A6">IF(J6="","",IF(Q6&lt;&gt;"",SUMPRODUCT((Q$3:Q$20&lt;&gt;"")*(H$3:H$20=H6)*(K$3:K$20&gt;K6)*(J$3:J$20="P"))+1,IF(P6&lt;&gt;"",SUMPRODUCT((P$3:P$20&lt;&gt;"")*(Q$3:Q$20="")*(H$3:H$20=H6)*(K$3:K$20&gt;K6)*(J$3:J$20="P"))+SUMPRODUCT((Q$3:Q$20&lt;&gt;"")*(H$3:H$20=H6)*(J$3:J$20="P"))+1,IF(O6&lt;&gt;"",SUMPRODUCT((O$3:O$20&lt;&gt;"")*(H$3:H$20=H6)*(K$3:K$20&gt;K6)*(J$3:J$20="P"))+1,IF(N6="P",SUMPRODUCT((P$3:P$20&lt;&gt;"")*(Q$3:Q$20="")*(H$3:H$20=H6)*(J$3:J$20="P"))+SUMPRODUCT((Q$3:Q$20&lt;&gt;"")*(H$3:H$20=H6)*(J$3:J$20="P"))+SUMPRODUCT((O$3:O$20&lt;&gt;"")*(H$3:H$20=H6)*(J$3:J$20="P"))+SUMPRODUCT((Q$3:Q$20="")*(P$3:P$20="")*(O$3:O$20="")*(N$3:N$20="P")*(H$3:H$20=H6)*(K$3:K$20&gt;K6)*(J$3:J$20="P"))+IF(I6="L5",SUMPRODUCT((Q$3:Q$20="")*(P$3:P$20="")*(O$3:O$20="")*(N$3:N$20="P")*(H$3:H$20=H6)*(K$3:K$20&lt;K6)*(I$3:I$20&lt;&gt;I6)*(J$3:J$20="P")),-1*SUMPRODUCT((Q$3:Q$20="")*(P$3:P$20="")*(O$3:O$20="")*(N$3:N$20="P")*(H$3:H$20=H6)*(K$3:K$20&gt;K6)*(I$3:I$20="L5")*(J$3:J$20="P")))+1,"")))))</f>
        <v/>
      </c>
      <c r="B6" s="1" t="str" cm="1">
        <f t="array" ref="B6">IF(Q6&lt;&gt;"",SUMPRODUCT((Q$3:Q$20&lt;&gt;"")*(H$3:H$20=H6)*(K$3:K$20&gt;K6))+1,IF(P6&lt;&gt;"",SUMPRODUCT((P$3:P$20&lt;&gt;"")*(Q$3:Q$20="")*(H$3:H$20=H6)*(K$3:K$20&gt;K6))+SUMPRODUCT((Q$3:Q$20&lt;&gt;"")*(H$3:H$20=H6))+1,IF(O6&lt;&gt;"",SUMPRODUCT((O$3:O$20&lt;&gt;"")*(H$3:H$20=H6)*(K$3:K$20&gt;K6))+1,IF(N6="P",SUMPRODUCT((P$3:P$20&lt;&gt;"")*(Q$3:Q$20="")*(H$3:H$20=H6))+SUMPRODUCT((Q$3:Q$20&lt;&gt;"")*(H$3:H$20=H6))+SUMPRODUCT((O$3:O$20&lt;&gt;"")*(H$3:H$20=H6))+SUMPRODUCT((Q$3:Q$20="")*(P$3:P$20="")*(O$3:O$20="")*(N$3:N$20="P")*(H$3:H$20=H6)*(K$3:K$20&gt;K6))+IF(I6="L5",SUMPRODUCT((Q$3:Q$20="")*(P$3:P$20="")*(O$3:O$20="")*(N$3:N$20="P")*(H$3:H$20=H6)*(K$3:K$20&lt;K6)*(I$3:I$20&lt;&gt;I6)),-1*SUMPRODUCT((Q$3:Q$20="")*(P$3:P$20="")*(O$3:O$20="")*(N$3:N$20="P")*(H$3:H$20=H6)*(K$3:K$20&gt;K6)*(I$3:I$20="L5")))+1,""))))</f>
        <v/>
      </c>
      <c r="C6" s="36" t="s">
        <v>471</v>
      </c>
      <c r="D6" s="36" t="str">
        <f>IF(E6="","",VLOOKUP(E6,'Coaching Points'!A:B,2,0)&amp;"/"&amp;VLOOKUP(F6,'Coaching Points'!A:B,2,0))</f>
        <v>ON/ON</v>
      </c>
      <c r="E6" s="36" t="s">
        <v>199</v>
      </c>
      <c r="F6" s="36" t="s">
        <v>199</v>
      </c>
      <c r="G6" s="35">
        <v>2002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/>
      <c r="K6" s="4">
        <f>S6+IF(OR(I6="Junior",I6="Senior"),0.0002,IF(OR(I6="L7",I6="L6"),0.0001,0))+MAX(AB6,AD6,AG6)*0.0000001</f>
        <v>1.0239900000000001E-4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Scores'!D$13),AND(H6="15-16",V6&gt;='Qualifying Scores'!D$12),AND(H6="13-14",V6&gt;='Qualifying Scores'!D$11),AND(H6="11-12",V6&gt;='Qualifying Scores'!D$10)),U6,0),IF(OR(AND(H6="17-21",X6&gt;='Qualifying Scores'!D$13),AND(H6="15-16",X6&gt;='Qualifying Scores'!D$12),AND(H6="13-14",X6&gt;='Qualifying Scores'!D$11),AND(H6="11-12",X6&gt;='Qualifying Scores'!D$10)),W6,0),IF(OR(AND(H6="17-21",AA6&gt;='Qualifying Scores'!D$13),AND(H6="15-16",AA6&gt;='Qualifying Scores'!D$12),AND(H6="13-14",AA6&gt;='Qualifying Scores'!D$11),AND(H6="11-12",AA6&gt;='Qualifying Scores'!D$10)),Z6,0),IF(OR(AND(H6="17-21",AC6&gt;='Qualifying Scores'!D$13),AND(H6="15-16",AC6&gt;='Qualifying Scores'!D$12),AND(H6="13-14",AC6&gt;='Qualifying Scores'!D$11),AND(H6="11-12",AC6&gt;='Qualifying Scores'!D$10)),AB6,0),IF(OR(AND(H6="17-21",AE6&gt;='Qualifying Scores'!D$13),AND(H6="15-16",AE6&gt;='Qualifying Scores'!D$12),AND(H6="13-14",AE6&gt;='Qualifying Scores'!D$11),AND(H6="11-12",AE6&gt;='Qualifying Scores'!D$10)),AD6,0),IF(OR(AND(H6="17-21",AH6&gt;='Qualifying Scores'!D$13),AND(H6="15-16",AH6&gt;='Qualifying Scores'!D$12),AND(H6="13-14",AH6&gt;='Qualifying Scores'!D$11),AND(H6="11-12",AH6&gt;='Qualifying Scores'!D$10)),AG6,0)))</f>
        <v>0</v>
      </c>
      <c r="T6" s="4">
        <f>MAX(U6,W6,Z6,AB6,AD6,AG6)</f>
        <v>23.99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23.99</v>
      </c>
      <c r="AC6" s="40">
        <v>4.4000000000000004</v>
      </c>
      <c r="AD6" s="34"/>
      <c r="AE6" s="40"/>
      <c r="AF6" s="4">
        <f>IF(I6="Senior",MAX(AB6,AD6),AB6+AD6)</f>
        <v>23.99</v>
      </c>
      <c r="AG6" s="34"/>
      <c r="AH6" s="37"/>
    </row>
    <row r="7" spans="1:34" x14ac:dyDescent="0.2">
      <c r="A7" s="1" t="str" cm="1">
        <f t="array" ref="A7">IF(J7="","",IF(Q7&lt;&gt;"",SUMPRODUCT((Q$3:Q$20&lt;&gt;"")*(H$3:H$20=H7)*(K$3:K$20&gt;K7)*(J$3:J$20="P"))+1,IF(P7&lt;&gt;"",SUMPRODUCT((P$3:P$20&lt;&gt;"")*(Q$3:Q$20="")*(H$3:H$20=H7)*(K$3:K$20&gt;K7)*(J$3:J$20="P"))+SUMPRODUCT((Q$3:Q$20&lt;&gt;"")*(H$3:H$20=H7)*(J$3:J$20="P"))+1,IF(O7&lt;&gt;"",SUMPRODUCT((O$3:O$20&lt;&gt;"")*(H$3:H$20=H7)*(K$3:K$20&gt;K7)*(J$3:J$20="P"))+1,IF(N7="P",SUMPRODUCT((P$3:P$20&lt;&gt;"")*(Q$3:Q$20="")*(H$3:H$20=H7)*(J$3:J$20="P"))+SUMPRODUCT((Q$3:Q$20&lt;&gt;"")*(H$3:H$20=H7)*(J$3:J$20="P"))+SUMPRODUCT((O$3:O$20&lt;&gt;"")*(H$3:H$20=H7)*(J$3:J$20="P"))+SUMPRODUCT((Q$3:Q$20="")*(P$3:P$20="")*(O$3:O$20="")*(N$3:N$20="P")*(H$3:H$20=H7)*(K$3:K$20&gt;K7)*(J$3:J$20="P"))+IF(I7="L5",SUMPRODUCT((Q$3:Q$20="")*(P$3:P$20="")*(O$3:O$20="")*(N$3:N$20="P")*(H$3:H$20=H7)*(K$3:K$20&lt;K7)*(I$3:I$20&lt;&gt;I7)*(J$3:J$20="P")),-1*SUMPRODUCT((Q$3:Q$20="")*(P$3:P$20="")*(O$3:O$20="")*(N$3:N$20="P")*(H$3:H$20=H7)*(K$3:K$20&gt;K7)*(I$3:I$20="L5")*(J$3:J$20="P")))+1,"")))))</f>
        <v/>
      </c>
      <c r="B7" s="1" t="str" cm="1">
        <f t="array" ref="B7">IF(Q7&lt;&gt;"",SUMPRODUCT((Q$3:Q$20&lt;&gt;"")*(H$3:H$20=H7)*(K$3:K$20&gt;K7))+1,IF(P7&lt;&gt;"",SUMPRODUCT((P$3:P$20&lt;&gt;"")*(Q$3:Q$20="")*(H$3:H$20=H7)*(K$3:K$20&gt;K7))+SUMPRODUCT((Q$3:Q$20&lt;&gt;"")*(H$3:H$20=H7))+1,IF(O7&lt;&gt;"",SUMPRODUCT((O$3:O$20&lt;&gt;"")*(H$3:H$20=H7)*(K$3:K$20&gt;K7))+1,IF(N7="P",SUMPRODUCT((P$3:P$20&lt;&gt;"")*(Q$3:Q$20="")*(H$3:H$20=H7))+SUMPRODUCT((Q$3:Q$20&lt;&gt;"")*(H$3:H$20=H7))+SUMPRODUCT((O$3:O$20&lt;&gt;"")*(H$3:H$20=H7))+SUMPRODUCT((Q$3:Q$20="")*(P$3:P$20="")*(O$3:O$20="")*(N$3:N$20="P")*(H$3:H$20=H7)*(K$3:K$20&gt;K7))+IF(I7="L5",SUMPRODUCT((Q$3:Q$20="")*(P$3:P$20="")*(O$3:O$20="")*(N$3:N$20="P")*(H$3:H$20=H7)*(K$3:K$20&lt;K7)*(I$3:I$20&lt;&gt;I7)),-1*SUMPRODUCT((Q$3:Q$20="")*(P$3:P$20="")*(O$3:O$20="")*(N$3:N$20="P")*(H$3:H$20=H7)*(K$3:K$20&gt;K7)*(I$3:I$20="L5")))+1,""))))</f>
        <v/>
      </c>
      <c r="C7" s="36" t="s">
        <v>469</v>
      </c>
      <c r="D7" s="36" t="str">
        <f>IF(E7="","",VLOOKUP(E7,'Coaching Points'!A:B,2,0)&amp;"/"&amp;VLOOKUP(F7,'Coaching Points'!A:B,2,0))</f>
        <v>QC/QC</v>
      </c>
      <c r="E7" s="36" t="s">
        <v>171</v>
      </c>
      <c r="F7" s="36" t="s">
        <v>581</v>
      </c>
      <c r="G7" s="35">
        <v>2001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1.01604E-4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Scores'!D$13),AND(H7="15-16",V7&gt;='Qualifying Scores'!D$12),AND(H7="13-14",V7&gt;='Qualifying Scores'!D$11),AND(H7="11-12",V7&gt;='Qualifying Scores'!D$10)),U7,0),IF(OR(AND(H7="17-21",X7&gt;='Qualifying Scores'!D$13),AND(H7="15-16",X7&gt;='Qualifying Scores'!D$12),AND(H7="13-14",X7&gt;='Qualifying Scores'!D$11),AND(H7="11-12",X7&gt;='Qualifying Scores'!D$10)),W7,0),IF(OR(AND(H7="17-21",AA7&gt;='Qualifying Scores'!D$13),AND(H7="15-16",AA7&gt;='Qualifying Scores'!D$12),AND(H7="13-14",AA7&gt;='Qualifying Scores'!D$11),AND(H7="11-12",AA7&gt;='Qualifying Scores'!D$10)),Z7,0),IF(OR(AND(H7="17-21",AC7&gt;='Qualifying Scores'!D$13),AND(H7="15-16",AC7&gt;='Qualifying Scores'!D$12),AND(H7="13-14",AC7&gt;='Qualifying Scores'!D$11),AND(H7="11-12",AC7&gt;='Qualifying Scores'!D$10)),AB7,0),IF(OR(AND(H7="17-21",AE7&gt;='Qualifying Scores'!D$13),AND(H7="15-16",AE7&gt;='Qualifying Scores'!D$12),AND(H7="13-14",AE7&gt;='Qualifying Scores'!D$11),AND(H7="11-12",AE7&gt;='Qualifying Scores'!D$10)),AD7,0),IF(OR(AND(H7="17-21",AH7&gt;='Qualifying Scores'!D$13),AND(H7="15-16",AH7&gt;='Qualifying Scores'!D$12),AND(H7="13-14",AH7&gt;='Qualifying Scores'!D$11),AND(H7="11-12",AH7&gt;='Qualifying Scores'!D$10)),AG7,0)))</f>
        <v>0</v>
      </c>
      <c r="T7" s="4">
        <f>MAX(U7,W7,Z7,AB7,AD7,AG7)</f>
        <v>16.04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16.04</v>
      </c>
      <c r="AC7" s="40">
        <v>4.5999999999999996</v>
      </c>
      <c r="AD7" s="34"/>
      <c r="AE7" s="40"/>
      <c r="AF7" s="4">
        <f>IF(I7="Senior",MAX(AB7,AD7),AB7+AD7)</f>
        <v>16.04</v>
      </c>
      <c r="AG7" s="34"/>
      <c r="AH7" s="37"/>
    </row>
    <row r="8" spans="1:34" x14ac:dyDescent="0.2">
      <c r="A8" s="1" t="str" cm="1">
        <f t="array" ref="A8">IF(J8="","",IF(Q8&lt;&gt;"",SUMPRODUCT((Q$3:Q$20&lt;&gt;"")*(H$3:H$20=H8)*(K$3:K$20&gt;K8)*(J$3:J$20="P"))+1,IF(P8&lt;&gt;"",SUMPRODUCT((P$3:P$20&lt;&gt;"")*(Q$3:Q$20="")*(H$3:H$20=H8)*(K$3:K$20&gt;K8)*(J$3:J$20="P"))+SUMPRODUCT((Q$3:Q$20&lt;&gt;"")*(H$3:H$20=H8)*(J$3:J$20="P"))+1,IF(O8&lt;&gt;"",SUMPRODUCT((O$3:O$20&lt;&gt;"")*(H$3:H$20=H8)*(K$3:K$20&gt;K8)*(J$3:J$20="P"))+1,IF(N8="P",SUMPRODUCT((P$3:P$20&lt;&gt;"")*(Q$3:Q$20="")*(H$3:H$20=H8)*(J$3:J$20="P"))+SUMPRODUCT((Q$3:Q$20&lt;&gt;"")*(H$3:H$20=H8)*(J$3:J$20="P"))+SUMPRODUCT((O$3:O$20&lt;&gt;"")*(H$3:H$20=H8)*(J$3:J$20="P"))+SUMPRODUCT((Q$3:Q$20="")*(P$3:P$20="")*(O$3:O$20="")*(N$3:N$20="P")*(H$3:H$20=H8)*(K$3:K$20&gt;K8)*(J$3:J$20="P"))+IF(I8="L5",SUMPRODUCT((Q$3:Q$20="")*(P$3:P$20="")*(O$3:O$20="")*(N$3:N$20="P")*(H$3:H$20=H8)*(K$3:K$20&lt;K8)*(I$3:I$20&lt;&gt;I8)*(J$3:J$20="P")),-1*SUMPRODUCT((Q$3:Q$20="")*(P$3:P$20="")*(O$3:O$20="")*(N$3:N$20="P")*(H$3:H$20=H8)*(K$3:K$20&gt;K8)*(I$3:I$20="L5")*(J$3:J$20="P")))+1,"")))))</f>
        <v/>
      </c>
      <c r="B8" s="1" t="str" cm="1">
        <f t="array" ref="B8">IF(Q8&lt;&gt;"",SUMPRODUCT((Q$3:Q$20&lt;&gt;"")*(H$3:H$20=H8)*(K$3:K$20&gt;K8))+1,IF(P8&lt;&gt;"",SUMPRODUCT((P$3:P$20&lt;&gt;"")*(Q$3:Q$20="")*(H$3:H$20=H8)*(K$3:K$20&gt;K8))+SUMPRODUCT((Q$3:Q$20&lt;&gt;"")*(H$3:H$20=H8))+1,IF(O8&lt;&gt;"",SUMPRODUCT((O$3:O$20&lt;&gt;"")*(H$3:H$20=H8)*(K$3:K$20&gt;K8))+1,IF(N8="P",SUMPRODUCT((P$3:P$20&lt;&gt;"")*(Q$3:Q$20="")*(H$3:H$20=H8))+SUMPRODUCT((Q$3:Q$20&lt;&gt;"")*(H$3:H$20=H8))+SUMPRODUCT((O$3:O$20&lt;&gt;"")*(H$3:H$20=H8))+SUMPRODUCT((Q$3:Q$20="")*(P$3:P$20="")*(O$3:O$20="")*(N$3:N$20="P")*(H$3:H$20=H8)*(K$3:K$20&gt;K8))+IF(I8="L5",SUMPRODUCT((Q$3:Q$20="")*(P$3:P$20="")*(O$3:O$20="")*(N$3:N$20="P")*(H$3:H$20=H8)*(K$3:K$20&lt;K8)*(I$3:I$20&lt;&gt;I8)),-1*SUMPRODUCT((Q$3:Q$20="")*(P$3:P$20="")*(O$3:O$20="")*(N$3:N$20="P")*(H$3:H$20=H8)*(K$3:K$20&gt;K8)*(I$3:I$20="L5")))+1,""))))</f>
        <v/>
      </c>
      <c r="C8" s="36" t="s">
        <v>473</v>
      </c>
      <c r="D8" s="36" t="str">
        <f>IF(E8="","",VLOOKUP(E8,'Coaching Points'!A:B,2,0)&amp;"/"&amp;VLOOKUP(F8,'Coaching Points'!A:B,2,0))</f>
        <v>ON/ON</v>
      </c>
      <c r="E8" s="36" t="s">
        <v>218</v>
      </c>
      <c r="F8" s="36" t="s">
        <v>141</v>
      </c>
      <c r="G8" s="35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1.00932E-4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Scores'!D$13),AND(H8="15-16",V8&gt;='Qualifying Scores'!D$12),AND(H8="13-14",V8&gt;='Qualifying Scores'!D$11),AND(H8="11-12",V8&gt;='Qualifying Scores'!D$10)),U8,0),IF(OR(AND(H8="17-21",X8&gt;='Qualifying Scores'!D$13),AND(H8="15-16",X8&gt;='Qualifying Scores'!D$12),AND(H8="13-14",X8&gt;='Qualifying Scores'!D$11),AND(H8="11-12",X8&gt;='Qualifying Scores'!D$10)),W8,0),IF(OR(AND(H8="17-21",AA8&gt;='Qualifying Scores'!D$13),AND(H8="15-16",AA8&gt;='Qualifying Scores'!D$12),AND(H8="13-14",AA8&gt;='Qualifying Scores'!D$11),AND(H8="11-12",AA8&gt;='Qualifying Scores'!D$10)),Z8,0),IF(OR(AND(H8="17-21",AC8&gt;='Qualifying Scores'!D$13),AND(H8="15-16",AC8&gt;='Qualifying Scores'!D$12),AND(H8="13-14",AC8&gt;='Qualifying Scores'!D$11),AND(H8="11-12",AC8&gt;='Qualifying Scores'!D$10)),AB8,0),IF(OR(AND(H8="17-21",AE8&gt;='Qualifying Scores'!D$13),AND(H8="15-16",AE8&gt;='Qualifying Scores'!D$12),AND(H8="13-14",AE8&gt;='Qualifying Scores'!D$11),AND(H8="11-12",AE8&gt;='Qualifying Scores'!D$10)),AD8,0),IF(OR(AND(H8="17-21",AH8&gt;='Qualifying Scores'!D$13),AND(H8="15-16",AH8&gt;='Qualifying Scores'!D$12),AND(H8="13-14",AH8&gt;='Qualifying Scores'!D$11),AND(H8="11-12",AH8&gt;='Qualifying Scores'!D$10)),AG8,0)))</f>
        <v>0</v>
      </c>
      <c r="T8" s="4">
        <f>MAX(U8,W8,Z8,AB8,AD8,AG8)</f>
        <v>9.32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9.32</v>
      </c>
      <c r="AC8" s="40">
        <v>2.7</v>
      </c>
      <c r="AD8" s="34"/>
      <c r="AE8" s="40"/>
      <c r="AF8" s="4">
        <f>IF(I8="Senior",MAX(AB8,AD8),AB8+AD8)</f>
        <v>9.32</v>
      </c>
      <c r="AG8" s="34"/>
      <c r="AH8" s="37"/>
    </row>
    <row r="9" spans="1:34" x14ac:dyDescent="0.2">
      <c r="A9" s="1" t="str" cm="1">
        <f t="array" ref="A9">IF(J9="","",IF(Q9&lt;&gt;"",SUMPRODUCT((Q$3:Q$20&lt;&gt;"")*(H$3:H$20=H9)*(K$3:K$20&gt;K9)*(J$3:J$20="P"))+1,IF(P9&lt;&gt;"",SUMPRODUCT((P$3:P$20&lt;&gt;"")*(Q$3:Q$20="")*(H$3:H$20=H9)*(K$3:K$20&gt;K9)*(J$3:J$20="P"))+SUMPRODUCT((Q$3:Q$20&lt;&gt;"")*(H$3:H$20=H9)*(J$3:J$20="P"))+1,IF(O9&lt;&gt;"",SUMPRODUCT((O$3:O$20&lt;&gt;"")*(H$3:H$20=H9)*(K$3:K$20&gt;K9)*(J$3:J$20="P"))+1,IF(N9="P",SUMPRODUCT((P$3:P$20&lt;&gt;"")*(Q$3:Q$20="")*(H$3:H$20=H9)*(J$3:J$20="P"))+SUMPRODUCT((Q$3:Q$20&lt;&gt;"")*(H$3:H$20=H9)*(J$3:J$20="P"))+SUMPRODUCT((O$3:O$20&lt;&gt;"")*(H$3:H$20=H9)*(J$3:J$20="P"))+SUMPRODUCT((Q$3:Q$20="")*(P$3:P$20="")*(O$3:O$20="")*(N$3:N$20="P")*(H$3:H$20=H9)*(K$3:K$20&gt;K9)*(J$3:J$20="P"))+IF(I9="L5",SUMPRODUCT((Q$3:Q$20="")*(P$3:P$20="")*(O$3:O$20="")*(N$3:N$20="P")*(H$3:H$20=H9)*(K$3:K$20&lt;K9)*(I$3:I$20&lt;&gt;I9)*(J$3:J$20="P")),-1*SUMPRODUCT((Q$3:Q$20="")*(P$3:P$20="")*(O$3:O$20="")*(N$3:N$20="P")*(H$3:H$20=H9)*(K$3:K$20&gt;K9)*(I$3:I$20="L5")*(J$3:J$20="P")))+1,"")))))</f>
        <v/>
      </c>
      <c r="B9" s="1" t="str" cm="1">
        <f t="array" ref="B9">IF(Q9&lt;&gt;"",SUMPRODUCT((Q$3:Q$20&lt;&gt;"")*(H$3:H$20=H9)*(K$3:K$20&gt;K9))+1,IF(P9&lt;&gt;"",SUMPRODUCT((P$3:P$20&lt;&gt;"")*(Q$3:Q$20="")*(H$3:H$20=H9)*(K$3:K$20&gt;K9))+SUMPRODUCT((Q$3:Q$20&lt;&gt;"")*(H$3:H$20=H9))+1,IF(O9&lt;&gt;"",SUMPRODUCT((O$3:O$20&lt;&gt;"")*(H$3:H$20=H9)*(K$3:K$20&gt;K9))+1,IF(N9="P",SUMPRODUCT((P$3:P$20&lt;&gt;"")*(Q$3:Q$20="")*(H$3:H$20=H9))+SUMPRODUCT((Q$3:Q$20&lt;&gt;"")*(H$3:H$20=H9))+SUMPRODUCT((O$3:O$20&lt;&gt;"")*(H$3:H$20=H9))+SUMPRODUCT((Q$3:Q$20="")*(P$3:P$20="")*(O$3:O$20="")*(N$3:N$20="P")*(H$3:H$20=H9)*(K$3:K$20&gt;K9))+IF(I9="L5",SUMPRODUCT((Q$3:Q$20="")*(P$3:P$20="")*(O$3:O$20="")*(N$3:N$20="P")*(H$3:H$20=H9)*(K$3:K$20&lt;K9)*(I$3:I$20&lt;&gt;I9)),-1*SUMPRODUCT((Q$3:Q$20="")*(P$3:P$20="")*(O$3:O$20="")*(N$3:N$20="P")*(H$3:H$20=H9)*(K$3:K$20&gt;K9)*(I$3:I$20="L5")))+1,""))))</f>
        <v/>
      </c>
      <c r="C9" s="36" t="s">
        <v>470</v>
      </c>
      <c r="D9" s="36" t="str">
        <f>IF(E9="","",VLOOKUP(E9,'Coaching Points'!A:B,2,0)&amp;"/"&amp;VLOOKUP(F9,'Coaching Points'!A:B,2,0))</f>
        <v>BC/BC</v>
      </c>
      <c r="E9" s="36" t="s">
        <v>47</v>
      </c>
      <c r="F9" s="36" t="s">
        <v>47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1.00419E-4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Scores'!D$13),AND(H9="15-16",V9&gt;='Qualifying Scores'!D$12),AND(H9="13-14",V9&gt;='Qualifying Scores'!D$11),AND(H9="11-12",V9&gt;='Qualifying Scores'!D$10)),U9,0),IF(OR(AND(H9="17-21",X9&gt;='Qualifying Scores'!D$13),AND(H9="15-16",X9&gt;='Qualifying Scores'!D$12),AND(H9="13-14",X9&gt;='Qualifying Scores'!D$11),AND(H9="11-12",X9&gt;='Qualifying Scores'!D$10)),W9,0),IF(OR(AND(H9="17-21",AA9&gt;='Qualifying Scores'!D$13),AND(H9="15-16",AA9&gt;='Qualifying Scores'!D$12),AND(H9="13-14",AA9&gt;='Qualifying Scores'!D$11),AND(H9="11-12",AA9&gt;='Qualifying Scores'!D$10)),Z9,0),IF(OR(AND(H9="17-21",AC9&gt;='Qualifying Scores'!D$13),AND(H9="15-16",AC9&gt;='Qualifying Scores'!D$12),AND(H9="13-14",AC9&gt;='Qualifying Scores'!D$11),AND(H9="11-12",AC9&gt;='Qualifying Scores'!D$10)),AB9,0),IF(OR(AND(H9="17-21",AE9&gt;='Qualifying Scores'!D$13),AND(H9="15-16",AE9&gt;='Qualifying Scores'!D$12),AND(H9="13-14",AE9&gt;='Qualifying Scores'!D$11),AND(H9="11-12",AE9&gt;='Qualifying Scores'!D$10)),AD9,0),IF(OR(AND(H9="17-21",AH9&gt;='Qualifying Scores'!D$13),AND(H9="15-16",AH9&gt;='Qualifying Scores'!D$12),AND(H9="13-14",AH9&gt;='Qualifying Scores'!D$11),AND(H9="11-12",AH9&gt;='Qualifying Scores'!D$10)),AG9,0)))</f>
        <v>0</v>
      </c>
      <c r="T9" s="4">
        <f>MAX(U9,W9,Z9,AB9,AD9,AG9)</f>
        <v>4.1900000000000004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4.1900000000000004</v>
      </c>
      <c r="AC9" s="40">
        <v>1.5</v>
      </c>
      <c r="AD9" s="34"/>
      <c r="AE9" s="40"/>
      <c r="AF9" s="4">
        <f>IF(I9="Senior",MAX(AB9,AD9),AB9+AD9)</f>
        <v>4.1900000000000004</v>
      </c>
      <c r="AG9" s="34"/>
      <c r="AH9" s="37"/>
    </row>
    <row r="10" spans="1:34" x14ac:dyDescent="0.2">
      <c r="A10" s="1" t="str" cm="1">
        <f t="array" ref="A10">IF(J10="","",IF(Q10&lt;&gt;"",SUMPRODUCT((Q$3:Q$20&lt;&gt;"")*(H$3:H$20=H10)*(K$3:K$20&gt;K10)*(J$3:J$20="P"))+1,IF(P10&lt;&gt;"",SUMPRODUCT((P$3:P$20&lt;&gt;"")*(Q$3:Q$20="")*(H$3:H$20=H10)*(K$3:K$20&gt;K10)*(J$3:J$20="P"))+SUMPRODUCT((Q$3:Q$20&lt;&gt;"")*(H$3:H$20=H10)*(J$3:J$20="P"))+1,IF(O10&lt;&gt;"",SUMPRODUCT((O$3:O$20&lt;&gt;"")*(H$3:H$20=H10)*(K$3:K$20&gt;K10)*(J$3:J$20="P"))+1,IF(N10="P",SUMPRODUCT((P$3:P$20&lt;&gt;"")*(Q$3:Q$20="")*(H$3:H$20=H10)*(J$3:J$20="P"))+SUMPRODUCT((Q$3:Q$20&lt;&gt;"")*(H$3:H$20=H10)*(J$3:J$20="P"))+SUMPRODUCT((O$3:O$20&lt;&gt;"")*(H$3:H$20=H10)*(J$3:J$20="P"))+SUMPRODUCT((Q$3:Q$20="")*(P$3:P$20="")*(O$3:O$20="")*(N$3:N$20="P")*(H$3:H$20=H10)*(K$3:K$20&gt;K10)*(J$3:J$20="P"))+IF(I10="L5",SUMPRODUCT((Q$3:Q$20="")*(P$3:P$20="")*(O$3:O$20="")*(N$3:N$20="P")*(H$3:H$20=H10)*(K$3:K$20&lt;K10)*(I$3:I$20&lt;&gt;I10)*(J$3:J$20="P")),-1*SUMPRODUCT((Q$3:Q$20="")*(P$3:P$20="")*(O$3:O$20="")*(N$3:N$20="P")*(H$3:H$20=H10)*(K$3:K$20&gt;K10)*(I$3:I$20="L5")*(J$3:J$20="P")))+1,"")))))</f>
        <v/>
      </c>
      <c r="B10" s="1" t="str" cm="1">
        <f t="array" ref="B10">IF(Q10&lt;&gt;"",SUMPRODUCT((Q$3:Q$20&lt;&gt;"")*(H$3:H$20=H10)*(K$3:K$20&gt;K10))+1,IF(P10&lt;&gt;"",SUMPRODUCT((P$3:P$20&lt;&gt;"")*(Q$3:Q$20="")*(H$3:H$20=H10)*(K$3:K$20&gt;K10))+SUMPRODUCT((Q$3:Q$20&lt;&gt;"")*(H$3:H$20=H10))+1,IF(O10&lt;&gt;"",SUMPRODUCT((O$3:O$20&lt;&gt;"")*(H$3:H$20=H10)*(K$3:K$20&gt;K10))+1,IF(N10="P",SUMPRODUCT((P$3:P$20&lt;&gt;"")*(Q$3:Q$20="")*(H$3:H$20=H10))+SUMPRODUCT((Q$3:Q$20&lt;&gt;"")*(H$3:H$20=H10))+SUMPRODUCT((O$3:O$20&lt;&gt;"")*(H$3:H$20=H10))+SUMPRODUCT((Q$3:Q$20="")*(P$3:P$20="")*(O$3:O$20="")*(N$3:N$20="P")*(H$3:H$20=H10)*(K$3:K$20&gt;K10))+IF(I10="L5",SUMPRODUCT((Q$3:Q$20="")*(P$3:P$20="")*(O$3:O$20="")*(N$3:N$20="P")*(H$3:H$20=H10)*(K$3:K$20&lt;K10)*(I$3:I$20&lt;&gt;I10)),-1*SUMPRODUCT((Q$3:Q$20="")*(P$3:P$20="")*(O$3:O$20="")*(N$3:N$20="P")*(H$3:H$20=H10)*(K$3:K$20&gt;K10)*(I$3:I$20="L5")))+1,""))))</f>
        <v/>
      </c>
      <c r="C10" s="36" t="s">
        <v>466</v>
      </c>
      <c r="D10" s="36" t="str">
        <f>IF(E10="","",VLOOKUP(E10,'Coaching Points'!A:B,2,0)&amp;"/"&amp;VLOOKUP(F10,'Coaching Points'!A:B,2,0))</f>
        <v>QC/QC</v>
      </c>
      <c r="E10" s="36" t="s">
        <v>3</v>
      </c>
      <c r="F10" s="36" t="s">
        <v>3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115</v>
      </c>
      <c r="J10" s="45"/>
      <c r="K10" s="4">
        <f>S10+IF(OR(I10="Junior",I10="Senior"),0.0002,IF(OR(I10="L7",I10="L6"),0.0001,0))+MAX(AB10,AD10,AG10)*0.0000001</f>
        <v>4.2979999999999993E-6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Scores'!D$13),AND(H10="15-16",V10&gt;='Qualifying Scores'!D$12),AND(H10="13-14",V10&gt;='Qualifying Scores'!D$11),AND(H10="11-12",V10&gt;='Qualifying Scores'!D$10)),U10,0),IF(OR(AND(H10="17-21",X10&gt;='Qualifying Scores'!D$13),AND(H10="15-16",X10&gt;='Qualifying Scores'!D$12),AND(H10="13-14",X10&gt;='Qualifying Scores'!D$11),AND(H10="11-12",X10&gt;='Qualifying Scores'!D$10)),W10,0),IF(OR(AND(H10="17-21",AA10&gt;='Qualifying Scores'!D$13),AND(H10="15-16",AA10&gt;='Qualifying Scores'!D$12),AND(H10="13-14",AA10&gt;='Qualifying Scores'!D$11),AND(H10="11-12",AA10&gt;='Qualifying Scores'!D$10)),Z10,0),IF(OR(AND(H10="17-21",AC10&gt;='Qualifying Scores'!D$13),AND(H10="15-16",AC10&gt;='Qualifying Scores'!D$12),AND(H10="13-14",AC10&gt;='Qualifying Scores'!D$11),AND(H10="11-12",AC10&gt;='Qualifying Scores'!D$10)),AB10,0),IF(OR(AND(H10="17-21",AE10&gt;='Qualifying Scores'!D$13),AND(H10="15-16",AE10&gt;='Qualifying Scores'!D$12),AND(H10="13-14",AE10&gt;='Qualifying Scores'!D$11),AND(H10="11-12",AE10&gt;='Qualifying Scores'!D$10)),AD10,0),IF(OR(AND(H10="17-21",AH10&gt;='Qualifying Scores'!D$13),AND(H10="15-16",AH10&gt;='Qualifying Scores'!D$12),AND(H10="13-14",AH10&gt;='Qualifying Scores'!D$11),AND(H10="11-12",AH10&gt;='Qualifying Scores'!D$10)),AG10,0)))</f>
        <v>0</v>
      </c>
      <c r="T10" s="4">
        <f>MAX(U10,W10,Z10,AB10,AD10,AG10)</f>
        <v>42.98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41.64</v>
      </c>
      <c r="AC10" s="40">
        <v>7</v>
      </c>
      <c r="AD10" s="34"/>
      <c r="AE10" s="40"/>
      <c r="AF10" s="4">
        <f>IF(I10="Senior",MAX(AB10,AD10),AB10+AD10)</f>
        <v>41.64</v>
      </c>
      <c r="AG10" s="34">
        <v>42.98</v>
      </c>
      <c r="AH10" s="37">
        <v>7</v>
      </c>
    </row>
    <row r="11" spans="1:34" x14ac:dyDescent="0.2">
      <c r="A11" s="1" t="str" cm="1">
        <f t="array" ref="A11">IF(J11="","",IF(Q11&lt;&gt;"",SUMPRODUCT((Q$3:Q$20&lt;&gt;"")*(H$3:H$20=H11)*(K$3:K$20&gt;K11)*(J$3:J$20="P"))+1,IF(P11&lt;&gt;"",SUMPRODUCT((P$3:P$20&lt;&gt;"")*(Q$3:Q$20="")*(H$3:H$20=H11)*(K$3:K$20&gt;K11)*(J$3:J$20="P"))+SUMPRODUCT((Q$3:Q$20&lt;&gt;"")*(H$3:H$20=H11)*(J$3:J$20="P"))+1,IF(O11&lt;&gt;"",SUMPRODUCT((O$3:O$20&lt;&gt;"")*(H$3:H$20=H11)*(K$3:K$20&gt;K11)*(J$3:J$20="P"))+1,IF(N11="P",SUMPRODUCT((P$3:P$20&lt;&gt;"")*(Q$3:Q$20="")*(H$3:H$20=H11)*(J$3:J$20="P"))+SUMPRODUCT((Q$3:Q$20&lt;&gt;"")*(H$3:H$20=H11)*(J$3:J$20="P"))+SUMPRODUCT((O$3:O$20&lt;&gt;"")*(H$3:H$20=H11)*(J$3:J$20="P"))+SUMPRODUCT((Q$3:Q$20="")*(P$3:P$20="")*(O$3:O$20="")*(N$3:N$20="P")*(H$3:H$20=H11)*(K$3:K$20&gt;K11)*(J$3:J$20="P"))+IF(I11="L5",SUMPRODUCT((Q$3:Q$20="")*(P$3:P$20="")*(O$3:O$20="")*(N$3:N$20="P")*(H$3:H$20=H11)*(K$3:K$20&lt;K11)*(I$3:I$20&lt;&gt;I11)*(J$3:J$20="P")),-1*SUMPRODUCT((Q$3:Q$20="")*(P$3:P$20="")*(O$3:O$20="")*(N$3:N$20="P")*(H$3:H$20=H11)*(K$3:K$20&gt;K11)*(I$3:I$20="L5")*(J$3:J$20="P")))+1,"")))))</f>
        <v/>
      </c>
      <c r="B11" s="1" t="str" cm="1">
        <f t="array" ref="B11">IF(Q11&lt;&gt;"",SUMPRODUCT((Q$3:Q$20&lt;&gt;"")*(H$3:H$20=H11)*(K$3:K$20&gt;K11))+1,IF(P11&lt;&gt;"",SUMPRODUCT((P$3:P$20&lt;&gt;"")*(Q$3:Q$20="")*(H$3:H$20=H11)*(K$3:K$20&gt;K11))+SUMPRODUCT((Q$3:Q$20&lt;&gt;"")*(H$3:H$20=H11))+1,IF(O11&lt;&gt;"",SUMPRODUCT((O$3:O$20&lt;&gt;"")*(H$3:H$20=H11)*(K$3:K$20&gt;K11))+1,IF(N11="P",SUMPRODUCT((P$3:P$20&lt;&gt;"")*(Q$3:Q$20="")*(H$3:H$20=H11))+SUMPRODUCT((Q$3:Q$20&lt;&gt;"")*(H$3:H$20=H11))+SUMPRODUCT((O$3:O$20&lt;&gt;"")*(H$3:H$20=H11))+SUMPRODUCT((Q$3:Q$20="")*(P$3:P$20="")*(O$3:O$20="")*(N$3:N$20="P")*(H$3:H$20=H11)*(K$3:K$20&gt;K11))+IF(I11="L5",SUMPRODUCT((Q$3:Q$20="")*(P$3:P$20="")*(O$3:O$20="")*(N$3:N$20="P")*(H$3:H$20=H11)*(K$3:K$20&lt;K11)*(I$3:I$20&lt;&gt;I11)),-1*SUMPRODUCT((Q$3:Q$20="")*(P$3:P$20="")*(O$3:O$20="")*(N$3:N$20="P")*(H$3:H$20=H11)*(K$3:K$20&gt;K11)*(I$3:I$20="L5")))+1,""))))</f>
        <v/>
      </c>
      <c r="C11" s="36" t="s">
        <v>461</v>
      </c>
      <c r="D11" s="36" t="str">
        <f>IF(E11="","",VLOOKUP(E11,'Coaching Points'!A:B,2,0)&amp;"/"&amp;VLOOKUP(F11,'Coaching Points'!A:B,2,0))</f>
        <v>ON/ON</v>
      </c>
      <c r="E11" s="36" t="s">
        <v>575</v>
      </c>
      <c r="F11" s="36" t="s">
        <v>575</v>
      </c>
      <c r="G11" s="35">
        <v>2004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115</v>
      </c>
      <c r="J11" s="45"/>
      <c r="K11" s="4">
        <f>S11+IF(OR(I11="Junior",I11="Senior"),0.0002,IF(OR(I11="L7",I11="L6"),0.0001,0))+MAX(AB11,AD11,AG11)*0.0000001</f>
        <v>4.2609999999999995E-6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Scores'!D$13),AND(H11="15-16",V11&gt;='Qualifying Scores'!D$12),AND(H11="13-14",V11&gt;='Qualifying Scores'!D$11),AND(H11="11-12",V11&gt;='Qualifying Scores'!D$10)),U11,0),IF(OR(AND(H11="17-21",X11&gt;='Qualifying Scores'!D$13),AND(H11="15-16",X11&gt;='Qualifying Scores'!D$12),AND(H11="13-14",X11&gt;='Qualifying Scores'!D$11),AND(H11="11-12",X11&gt;='Qualifying Scores'!D$10)),W11,0),IF(OR(AND(H11="17-21",AA11&gt;='Qualifying Scores'!D$13),AND(H11="15-16",AA11&gt;='Qualifying Scores'!D$12),AND(H11="13-14",AA11&gt;='Qualifying Scores'!D$11),AND(H11="11-12",AA11&gt;='Qualifying Scores'!D$10)),Z11,0),IF(OR(AND(H11="17-21",AC11&gt;='Qualifying Scores'!D$13),AND(H11="15-16",AC11&gt;='Qualifying Scores'!D$12),AND(H11="13-14",AC11&gt;='Qualifying Scores'!D$11),AND(H11="11-12",AC11&gt;='Qualifying Scores'!D$10)),AB11,0),IF(OR(AND(H11="17-21",AE11&gt;='Qualifying Scores'!D$13),AND(H11="15-16",AE11&gt;='Qualifying Scores'!D$12),AND(H11="13-14",AE11&gt;='Qualifying Scores'!D$11),AND(H11="11-12",AE11&gt;='Qualifying Scores'!D$10)),AD11,0),IF(OR(AND(H11="17-21",AH11&gt;='Qualifying Scores'!D$13),AND(H11="15-16",AH11&gt;='Qualifying Scores'!D$12),AND(H11="13-14",AH11&gt;='Qualifying Scores'!D$11),AND(H11="11-12",AH11&gt;='Qualifying Scores'!D$10)),AG11,0)))</f>
        <v>0</v>
      </c>
      <c r="T11" s="4">
        <f>MAX(U11,W11,Z11,AB11,AD11,AG11)</f>
        <v>42.61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25.52</v>
      </c>
      <c r="AC11" s="40">
        <v>5.2</v>
      </c>
      <c r="AD11" s="34"/>
      <c r="AE11" s="40"/>
      <c r="AF11" s="4">
        <f>IF(I11="Senior",MAX(AB11,AD11),AB11+AD11)</f>
        <v>25.52</v>
      </c>
      <c r="AG11" s="34">
        <v>42.61</v>
      </c>
      <c r="AH11" s="37">
        <v>8.1999999999999993</v>
      </c>
    </row>
    <row r="12" spans="1:34" x14ac:dyDescent="0.2">
      <c r="A12" s="1" t="str" cm="1">
        <f t="array" ref="A12">IF(J12="","",IF(Q12&lt;&gt;"",SUMPRODUCT((Q$3:Q$20&lt;&gt;"")*(H$3:H$20=H12)*(K$3:K$20&gt;K12)*(J$3:J$20="P"))+1,IF(P12&lt;&gt;"",SUMPRODUCT((P$3:P$20&lt;&gt;"")*(Q$3:Q$20="")*(H$3:H$20=H12)*(K$3:K$20&gt;K12)*(J$3:J$20="P"))+SUMPRODUCT((Q$3:Q$20&lt;&gt;"")*(H$3:H$20=H12)*(J$3:J$20="P"))+1,IF(O12&lt;&gt;"",SUMPRODUCT((O$3:O$20&lt;&gt;"")*(H$3:H$20=H12)*(K$3:K$20&gt;K12)*(J$3:J$20="P"))+1,IF(N12="P",SUMPRODUCT((P$3:P$20&lt;&gt;"")*(Q$3:Q$20="")*(H$3:H$20=H12)*(J$3:J$20="P"))+SUMPRODUCT((Q$3:Q$20&lt;&gt;"")*(H$3:H$20=H12)*(J$3:J$20="P"))+SUMPRODUCT((O$3:O$20&lt;&gt;"")*(H$3:H$20=H12)*(J$3:J$20="P"))+SUMPRODUCT((Q$3:Q$20="")*(P$3:P$20="")*(O$3:O$20="")*(N$3:N$20="P")*(H$3:H$20=H12)*(K$3:K$20&gt;K12)*(J$3:J$20="P"))+IF(I12="L5",SUMPRODUCT((Q$3:Q$20="")*(P$3:P$20="")*(O$3:O$20="")*(N$3:N$20="P")*(H$3:H$20=H12)*(K$3:K$20&lt;K12)*(I$3:I$20&lt;&gt;I12)*(J$3:J$20="P")),-1*SUMPRODUCT((Q$3:Q$20="")*(P$3:P$20="")*(O$3:O$20="")*(N$3:N$20="P")*(H$3:H$20=H12)*(K$3:K$20&gt;K12)*(I$3:I$20="L5")*(J$3:J$20="P")))+1,"")))))</f>
        <v/>
      </c>
      <c r="B12" s="1" t="str" cm="1">
        <f t="array" ref="B12">IF(Q12&lt;&gt;"",SUMPRODUCT((Q$3:Q$20&lt;&gt;"")*(H$3:H$20=H12)*(K$3:K$20&gt;K12))+1,IF(P12&lt;&gt;"",SUMPRODUCT((P$3:P$20&lt;&gt;"")*(Q$3:Q$20="")*(H$3:H$20=H12)*(K$3:K$20&gt;K12))+SUMPRODUCT((Q$3:Q$20&lt;&gt;"")*(H$3:H$20=H12))+1,IF(O12&lt;&gt;"",SUMPRODUCT((O$3:O$20&lt;&gt;"")*(H$3:H$20=H12)*(K$3:K$20&gt;K12))+1,IF(N12="P",SUMPRODUCT((P$3:P$20&lt;&gt;"")*(Q$3:Q$20="")*(H$3:H$20=H12))+SUMPRODUCT((Q$3:Q$20&lt;&gt;"")*(H$3:H$20=H12))+SUMPRODUCT((O$3:O$20&lt;&gt;"")*(H$3:H$20=H12))+SUMPRODUCT((Q$3:Q$20="")*(P$3:P$20="")*(O$3:O$20="")*(N$3:N$20="P")*(H$3:H$20=H12)*(K$3:K$20&gt;K12))+IF(I12="L5",SUMPRODUCT((Q$3:Q$20="")*(P$3:P$20="")*(O$3:O$20="")*(N$3:N$20="P")*(H$3:H$20=H12)*(K$3:K$20&lt;K12)*(I$3:I$20&lt;&gt;I12)),-1*SUMPRODUCT((Q$3:Q$20="")*(P$3:P$20="")*(O$3:O$20="")*(N$3:N$20="P")*(H$3:H$20=H12)*(K$3:K$20&gt;K12)*(I$3:I$20="L5")))+1,""))))</f>
        <v/>
      </c>
      <c r="C12" s="36" t="s">
        <v>464</v>
      </c>
      <c r="D12" s="36" t="str">
        <f>IF(E12="","",VLOOKUP(E12,'Coaching Points'!A:B,2,0)&amp;"/"&amp;VLOOKUP(F12,'Coaching Points'!A:B,2,0))</f>
        <v>ON/ON</v>
      </c>
      <c r="E12" s="36" t="s">
        <v>224</v>
      </c>
      <c r="F12" s="36" t="s">
        <v>224</v>
      </c>
      <c r="G12" s="35">
        <v>2005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115</v>
      </c>
      <c r="J12" s="45"/>
      <c r="K12" s="4">
        <f>S12+IF(OR(I12="Junior",I12="Senior"),0.0002,IF(OR(I12="L7",I12="L6"),0.0001,0))+MAX(AB12,AD12,AG12)*0.0000001</f>
        <v>3.929E-6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Scores'!D$13),AND(H12="15-16",V12&gt;='Qualifying Scores'!D$12),AND(H12="13-14",V12&gt;='Qualifying Scores'!D$11),AND(H12="11-12",V12&gt;='Qualifying Scores'!D$10)),U12,0),IF(OR(AND(H12="17-21",X12&gt;='Qualifying Scores'!D$13),AND(H12="15-16",X12&gt;='Qualifying Scores'!D$12),AND(H12="13-14",X12&gt;='Qualifying Scores'!D$11),AND(H12="11-12",X12&gt;='Qualifying Scores'!D$10)),W12,0),IF(OR(AND(H12="17-21",AA12&gt;='Qualifying Scores'!D$13),AND(H12="15-16",AA12&gt;='Qualifying Scores'!D$12),AND(H12="13-14",AA12&gt;='Qualifying Scores'!D$11),AND(H12="11-12",AA12&gt;='Qualifying Scores'!D$10)),Z12,0),IF(OR(AND(H12="17-21",AC12&gt;='Qualifying Scores'!D$13),AND(H12="15-16",AC12&gt;='Qualifying Scores'!D$12),AND(H12="13-14",AC12&gt;='Qualifying Scores'!D$11),AND(H12="11-12",AC12&gt;='Qualifying Scores'!D$10)),AB12,0),IF(OR(AND(H12="17-21",AE12&gt;='Qualifying Scores'!D$13),AND(H12="15-16",AE12&gt;='Qualifying Scores'!D$12),AND(H12="13-14",AE12&gt;='Qualifying Scores'!D$11),AND(H12="11-12",AE12&gt;='Qualifying Scores'!D$10)),AD12,0),IF(OR(AND(H12="17-21",AH12&gt;='Qualifying Scores'!D$13),AND(H12="15-16",AH12&gt;='Qualifying Scores'!D$12),AND(H12="13-14",AH12&gt;='Qualifying Scores'!D$11),AND(H12="11-12",AH12&gt;='Qualifying Scores'!D$10)),AG12,0)))</f>
        <v>0</v>
      </c>
      <c r="T12" s="4">
        <f>MAX(U12,W12,Z12,AB12,AD12,AG12)</f>
        <v>39.29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35.200000000000003</v>
      </c>
      <c r="AC12" s="40">
        <v>8.5</v>
      </c>
      <c r="AD12" s="34"/>
      <c r="AE12" s="40"/>
      <c r="AF12" s="4">
        <f>IF(I12="Senior",MAX(AB12,AD12),AB12+AD12)</f>
        <v>35.200000000000003</v>
      </c>
      <c r="AG12" s="34">
        <v>39.29</v>
      </c>
      <c r="AH12" s="37">
        <v>8.5</v>
      </c>
    </row>
    <row r="13" spans="1:34" x14ac:dyDescent="0.2">
      <c r="A13" s="1" t="str" cm="1">
        <f t="array" ref="A13">IF(J13="","",IF(Q13&lt;&gt;"",SUMPRODUCT((Q$3:Q$20&lt;&gt;"")*(H$3:H$20=H13)*(K$3:K$20&gt;K13)*(J$3:J$20="P"))+1,IF(P13&lt;&gt;"",SUMPRODUCT((P$3:P$20&lt;&gt;"")*(Q$3:Q$20="")*(H$3:H$20=H13)*(K$3:K$20&gt;K13)*(J$3:J$20="P"))+SUMPRODUCT((Q$3:Q$20&lt;&gt;"")*(H$3:H$20=H13)*(J$3:J$20="P"))+1,IF(O13&lt;&gt;"",SUMPRODUCT((O$3:O$20&lt;&gt;"")*(H$3:H$20=H13)*(K$3:K$20&gt;K13)*(J$3:J$20="P"))+1,IF(N13="P",SUMPRODUCT((P$3:P$20&lt;&gt;"")*(Q$3:Q$20="")*(H$3:H$20=H13)*(J$3:J$20="P"))+SUMPRODUCT((Q$3:Q$20&lt;&gt;"")*(H$3:H$20=H13)*(J$3:J$20="P"))+SUMPRODUCT((O$3:O$20&lt;&gt;"")*(H$3:H$20=H13)*(J$3:J$20="P"))+SUMPRODUCT((Q$3:Q$20="")*(P$3:P$20="")*(O$3:O$20="")*(N$3:N$20="P")*(H$3:H$20=H13)*(K$3:K$20&gt;K13)*(J$3:J$20="P"))+IF(I13="L5",SUMPRODUCT((Q$3:Q$20="")*(P$3:P$20="")*(O$3:O$20="")*(N$3:N$20="P")*(H$3:H$20=H13)*(K$3:K$20&lt;K13)*(I$3:I$20&lt;&gt;I13)*(J$3:J$20="P")),-1*SUMPRODUCT((Q$3:Q$20="")*(P$3:P$20="")*(O$3:O$20="")*(N$3:N$20="P")*(H$3:H$20=H13)*(K$3:K$20&gt;K13)*(I$3:I$20="L5")*(J$3:J$20="P")))+1,"")))))</f>
        <v/>
      </c>
      <c r="B13" s="1" t="str" cm="1">
        <f t="array" ref="B13">IF(Q13&lt;&gt;"",SUMPRODUCT((Q$3:Q$20&lt;&gt;"")*(H$3:H$20=H13)*(K$3:K$20&gt;K13))+1,IF(P13&lt;&gt;"",SUMPRODUCT((P$3:P$20&lt;&gt;"")*(Q$3:Q$20="")*(H$3:H$20=H13)*(K$3:K$20&gt;K13))+SUMPRODUCT((Q$3:Q$20&lt;&gt;"")*(H$3:H$20=H13))+1,IF(O13&lt;&gt;"",SUMPRODUCT((O$3:O$20&lt;&gt;"")*(H$3:H$20=H13)*(K$3:K$20&gt;K13))+1,IF(N13="P",SUMPRODUCT((P$3:P$20&lt;&gt;"")*(Q$3:Q$20="")*(H$3:H$20=H13))+SUMPRODUCT((Q$3:Q$20&lt;&gt;"")*(H$3:H$20=H13))+SUMPRODUCT((O$3:O$20&lt;&gt;"")*(H$3:H$20=H13))+SUMPRODUCT((Q$3:Q$20="")*(P$3:P$20="")*(O$3:O$20="")*(N$3:N$20="P")*(H$3:H$20=H13)*(K$3:K$20&gt;K13))+IF(I13="L5",SUMPRODUCT((Q$3:Q$20="")*(P$3:P$20="")*(O$3:O$20="")*(N$3:N$20="P")*(H$3:H$20=H13)*(K$3:K$20&lt;K13)*(I$3:I$20&lt;&gt;I13)),-1*SUMPRODUCT((Q$3:Q$20="")*(P$3:P$20="")*(O$3:O$20="")*(N$3:N$20="P")*(H$3:H$20=H13)*(K$3:K$20&gt;K13)*(I$3:I$20="L5")))+1,""))))</f>
        <v/>
      </c>
      <c r="C13" s="36" t="s">
        <v>465</v>
      </c>
      <c r="D13" s="36" t="str">
        <f>IF(E13="","",VLOOKUP(E13,'Coaching Points'!A:B,2,0)&amp;"/"&amp;VLOOKUP(F13,'Coaching Points'!A:B,2,0))</f>
        <v>MB/MB</v>
      </c>
      <c r="E13" s="36" t="s">
        <v>129</v>
      </c>
      <c r="F13" s="36" t="s">
        <v>129</v>
      </c>
      <c r="G13" s="35">
        <v>2002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115</v>
      </c>
      <c r="J13" s="45"/>
      <c r="K13" s="4">
        <f>S13+IF(OR(I13="Junior",I13="Senior"),0.0002,IF(OR(I13="L7",I13="L6"),0.0001,0))+MAX(AB13,AD13,AG13)*0.0000001</f>
        <v>2.255E-6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Scores'!D$13),AND(H13="15-16",V13&gt;='Qualifying Scores'!D$12),AND(H13="13-14",V13&gt;='Qualifying Scores'!D$11),AND(H13="11-12",V13&gt;='Qualifying Scores'!D$10)),U13,0),IF(OR(AND(H13="17-21",X13&gt;='Qualifying Scores'!D$13),AND(H13="15-16",X13&gt;='Qualifying Scores'!D$12),AND(H13="13-14",X13&gt;='Qualifying Scores'!D$11),AND(H13="11-12",X13&gt;='Qualifying Scores'!D$10)),W13,0),IF(OR(AND(H13="17-21",AA13&gt;='Qualifying Scores'!D$13),AND(H13="15-16",AA13&gt;='Qualifying Scores'!D$12),AND(H13="13-14",AA13&gt;='Qualifying Scores'!D$11),AND(H13="11-12",AA13&gt;='Qualifying Scores'!D$10)),Z13,0),IF(OR(AND(H13="17-21",AC13&gt;='Qualifying Scores'!D$13),AND(H13="15-16",AC13&gt;='Qualifying Scores'!D$12),AND(H13="13-14",AC13&gt;='Qualifying Scores'!D$11),AND(H13="11-12",AC13&gt;='Qualifying Scores'!D$10)),AB13,0),IF(OR(AND(H13="17-21",AE13&gt;='Qualifying Scores'!D$13),AND(H13="15-16",AE13&gt;='Qualifying Scores'!D$12),AND(H13="13-14",AE13&gt;='Qualifying Scores'!D$11),AND(H13="11-12",AE13&gt;='Qualifying Scores'!D$10)),AD13,0),IF(OR(AND(H13="17-21",AH13&gt;='Qualifying Scores'!D$13),AND(H13="15-16",AH13&gt;='Qualifying Scores'!D$12),AND(H13="13-14",AH13&gt;='Qualifying Scores'!D$11),AND(H13="11-12",AH13&gt;='Qualifying Scores'!D$10)),AG13,0)))</f>
        <v>0</v>
      </c>
      <c r="T13" s="4">
        <f>MAX(U13,W13,Z13,AB13,AD13,AG13)</f>
        <v>22.55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22.55</v>
      </c>
      <c r="AC13" s="40">
        <v>5.2</v>
      </c>
      <c r="AD13" s="34"/>
      <c r="AE13" s="40"/>
      <c r="AF13" s="4">
        <f>IF(I13="Senior",MAX(AB13,AD13),AB13+AD13)</f>
        <v>22.55</v>
      </c>
      <c r="AG13" s="34"/>
      <c r="AH13" s="37"/>
    </row>
    <row r="14" spans="1:34" x14ac:dyDescent="0.2">
      <c r="A14" s="1" t="str" cm="1">
        <f t="array" ref="A14">IF(J14="","",IF(Q14&lt;&gt;"",SUMPRODUCT((Q$3:Q$20&lt;&gt;"")*(H$3:H$20=H14)*(K$3:K$20&gt;K14)*(J$3:J$20="P"))+1,IF(P14&lt;&gt;"",SUMPRODUCT((P$3:P$20&lt;&gt;"")*(Q$3:Q$20="")*(H$3:H$20=H14)*(K$3:K$20&gt;K14)*(J$3:J$20="P"))+SUMPRODUCT((Q$3:Q$20&lt;&gt;"")*(H$3:H$20=H14)*(J$3:J$20="P"))+1,IF(O14&lt;&gt;"",SUMPRODUCT((O$3:O$20&lt;&gt;"")*(H$3:H$20=H14)*(K$3:K$20&gt;K14)*(J$3:J$20="P"))+1,IF(N14="P",SUMPRODUCT((P$3:P$20&lt;&gt;"")*(Q$3:Q$20="")*(H$3:H$20=H14)*(J$3:J$20="P"))+SUMPRODUCT((Q$3:Q$20&lt;&gt;"")*(H$3:H$20=H14)*(J$3:J$20="P"))+SUMPRODUCT((O$3:O$20&lt;&gt;"")*(H$3:H$20=H14)*(J$3:J$20="P"))+SUMPRODUCT((Q$3:Q$20="")*(P$3:P$20="")*(O$3:O$20="")*(N$3:N$20="P")*(H$3:H$20=H14)*(K$3:K$20&gt;K14)*(J$3:J$20="P"))+IF(I14="L5",SUMPRODUCT((Q$3:Q$20="")*(P$3:P$20="")*(O$3:O$20="")*(N$3:N$20="P")*(H$3:H$20=H14)*(K$3:K$20&lt;K14)*(I$3:I$20&lt;&gt;I14)*(J$3:J$20="P")),-1*SUMPRODUCT((Q$3:Q$20="")*(P$3:P$20="")*(O$3:O$20="")*(N$3:N$20="P")*(H$3:H$20=H14)*(K$3:K$20&gt;K14)*(I$3:I$20="L5")*(J$3:J$20="P")))+1,"")))))</f>
        <v/>
      </c>
      <c r="B14" s="1" t="str" cm="1">
        <f t="array" ref="B14">IF(Q14&lt;&gt;"",SUMPRODUCT((Q$3:Q$20&lt;&gt;"")*(H$3:H$20=H14)*(K$3:K$20&gt;K14))+1,IF(P14&lt;&gt;"",SUMPRODUCT((P$3:P$20&lt;&gt;"")*(Q$3:Q$20="")*(H$3:H$20=H14)*(K$3:K$20&gt;K14))+SUMPRODUCT((Q$3:Q$20&lt;&gt;"")*(H$3:H$20=H14))+1,IF(O14&lt;&gt;"",SUMPRODUCT((O$3:O$20&lt;&gt;"")*(H$3:H$20=H14)*(K$3:K$20&gt;K14))+1,IF(N14="P",SUMPRODUCT((P$3:P$20&lt;&gt;"")*(Q$3:Q$20="")*(H$3:H$20=H14))+SUMPRODUCT((Q$3:Q$20&lt;&gt;"")*(H$3:H$20=H14))+SUMPRODUCT((O$3:O$20&lt;&gt;"")*(H$3:H$20=H14))+SUMPRODUCT((Q$3:Q$20="")*(P$3:P$20="")*(O$3:O$20="")*(N$3:N$20="P")*(H$3:H$20=H14)*(K$3:K$20&gt;K14))+IF(I14="L5",SUMPRODUCT((Q$3:Q$20="")*(P$3:P$20="")*(O$3:O$20="")*(N$3:N$20="P")*(H$3:H$20=H14)*(K$3:K$20&lt;K14)*(I$3:I$20&lt;&gt;I14)),-1*SUMPRODUCT((Q$3:Q$20="")*(P$3:P$20="")*(O$3:O$20="")*(N$3:N$20="P")*(H$3:H$20=H14)*(K$3:K$20&gt;K14)*(I$3:I$20="L5")))+1,""))))</f>
        <v/>
      </c>
      <c r="C14" s="36" t="s">
        <v>463</v>
      </c>
      <c r="D14" s="36" t="str">
        <f>IF(E14="","",VLOOKUP(E14,'Coaching Points'!A:B,2,0)&amp;"/"&amp;VLOOKUP(F14,'Coaching Points'!A:B,2,0))</f>
        <v>ON/ON</v>
      </c>
      <c r="E14" s="36" t="s">
        <v>38</v>
      </c>
      <c r="F14" s="36" t="s">
        <v>38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115</v>
      </c>
      <c r="J14" s="45"/>
      <c r="K14" s="4">
        <f>S14+IF(OR(I14="Junior",I14="Senior"),0.0002,IF(OR(I14="L7",I14="L6"),0.0001,0))+MAX(AB14,AD14,AG14)*0.0000001</f>
        <v>2.1639999999999999E-6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Scores'!D$13),AND(H14="15-16",V14&gt;='Qualifying Scores'!D$12),AND(H14="13-14",V14&gt;='Qualifying Scores'!D$11),AND(H14="11-12",V14&gt;='Qualifying Scores'!D$10)),U14,0),IF(OR(AND(H14="17-21",X14&gt;='Qualifying Scores'!D$13),AND(H14="15-16",X14&gt;='Qualifying Scores'!D$12),AND(H14="13-14",X14&gt;='Qualifying Scores'!D$11),AND(H14="11-12",X14&gt;='Qualifying Scores'!D$10)),W14,0),IF(OR(AND(H14="17-21",AA14&gt;='Qualifying Scores'!D$13),AND(H14="15-16",AA14&gt;='Qualifying Scores'!D$12),AND(H14="13-14",AA14&gt;='Qualifying Scores'!D$11),AND(H14="11-12",AA14&gt;='Qualifying Scores'!D$10)),Z14,0),IF(OR(AND(H14="17-21",AC14&gt;='Qualifying Scores'!D$13),AND(H14="15-16",AC14&gt;='Qualifying Scores'!D$12),AND(H14="13-14",AC14&gt;='Qualifying Scores'!D$11),AND(H14="11-12",AC14&gt;='Qualifying Scores'!D$10)),AB14,0),IF(OR(AND(H14="17-21",AE14&gt;='Qualifying Scores'!D$13),AND(H14="15-16",AE14&gt;='Qualifying Scores'!D$12),AND(H14="13-14",AE14&gt;='Qualifying Scores'!D$11),AND(H14="11-12",AE14&gt;='Qualifying Scores'!D$10)),AD14,0),IF(OR(AND(H14="17-21",AH14&gt;='Qualifying Scores'!D$13),AND(H14="15-16",AH14&gt;='Qualifying Scores'!D$12),AND(H14="13-14",AH14&gt;='Qualifying Scores'!D$11),AND(H14="11-12",AH14&gt;='Qualifying Scores'!D$10)),AG14,0)))</f>
        <v>0</v>
      </c>
      <c r="T14" s="4">
        <f>MAX(U14,W14,Z14,AB14,AD14,AG14)</f>
        <v>21.64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21.64</v>
      </c>
      <c r="AC14" s="40">
        <v>5.2</v>
      </c>
      <c r="AD14" s="34"/>
      <c r="AE14" s="40"/>
      <c r="AF14" s="4">
        <f>IF(I14="Senior",MAX(AB14,AD14),AB14+AD14)</f>
        <v>21.64</v>
      </c>
      <c r="AG14" s="34"/>
      <c r="AH14" s="37"/>
    </row>
    <row r="15" spans="1:34" x14ac:dyDescent="0.2">
      <c r="A15" s="1" t="str" cm="1">
        <f t="array" ref="A15">IF(J15="","",IF(Q15&lt;&gt;"",SUMPRODUCT((Q$3:Q$20&lt;&gt;"")*(H$3:H$20=H15)*(K$3:K$20&gt;K15)*(J$3:J$20="P"))+1,IF(P15&lt;&gt;"",SUMPRODUCT((P$3:P$20&lt;&gt;"")*(Q$3:Q$20="")*(H$3:H$20=H15)*(K$3:K$20&gt;K15)*(J$3:J$20="P"))+SUMPRODUCT((Q$3:Q$20&lt;&gt;"")*(H$3:H$20=H15)*(J$3:J$20="P"))+1,IF(O15&lt;&gt;"",SUMPRODUCT((O$3:O$20&lt;&gt;"")*(H$3:H$20=H15)*(K$3:K$20&gt;K15)*(J$3:J$20="P"))+1,IF(N15="P",SUMPRODUCT((P$3:P$20&lt;&gt;"")*(Q$3:Q$20="")*(H$3:H$20=H15)*(J$3:J$20="P"))+SUMPRODUCT((Q$3:Q$20&lt;&gt;"")*(H$3:H$20=H15)*(J$3:J$20="P"))+SUMPRODUCT((O$3:O$20&lt;&gt;"")*(H$3:H$20=H15)*(J$3:J$20="P"))+SUMPRODUCT((Q$3:Q$20="")*(P$3:P$20="")*(O$3:O$20="")*(N$3:N$20="P")*(H$3:H$20=H15)*(K$3:K$20&gt;K15)*(J$3:J$20="P"))+IF(I15="L5",SUMPRODUCT((Q$3:Q$20="")*(P$3:P$20="")*(O$3:O$20="")*(N$3:N$20="P")*(H$3:H$20=H15)*(K$3:K$20&lt;K15)*(I$3:I$20&lt;&gt;I15)*(J$3:J$20="P")),-1*SUMPRODUCT((Q$3:Q$20="")*(P$3:P$20="")*(O$3:O$20="")*(N$3:N$20="P")*(H$3:H$20=H15)*(K$3:K$20&gt;K15)*(I$3:I$20="L5")*(J$3:J$20="P")))+1,"")))))</f>
        <v/>
      </c>
      <c r="B15" s="1" t="str" cm="1">
        <f t="array" ref="B15">IF(Q15&lt;&gt;"",SUMPRODUCT((Q$3:Q$20&lt;&gt;"")*(H$3:H$20=H15)*(K$3:K$20&gt;K15))+1,IF(P15&lt;&gt;"",SUMPRODUCT((P$3:P$20&lt;&gt;"")*(Q$3:Q$20="")*(H$3:H$20=H15)*(K$3:K$20&gt;K15))+SUMPRODUCT((Q$3:Q$20&lt;&gt;"")*(H$3:H$20=H15))+1,IF(O15&lt;&gt;"",SUMPRODUCT((O$3:O$20&lt;&gt;"")*(H$3:H$20=H15)*(K$3:K$20&gt;K15))+1,IF(N15="P",SUMPRODUCT((P$3:P$20&lt;&gt;"")*(Q$3:Q$20="")*(H$3:H$20=H15))+SUMPRODUCT((Q$3:Q$20&lt;&gt;"")*(H$3:H$20=H15))+SUMPRODUCT((O$3:O$20&lt;&gt;"")*(H$3:H$20=H15))+SUMPRODUCT((Q$3:Q$20="")*(P$3:P$20="")*(O$3:O$20="")*(N$3:N$20="P")*(H$3:H$20=H15)*(K$3:K$20&gt;K15))+IF(I15="L5",SUMPRODUCT((Q$3:Q$20="")*(P$3:P$20="")*(O$3:O$20="")*(N$3:N$20="P")*(H$3:H$20=H15)*(K$3:K$20&lt;K15)*(I$3:I$20&lt;&gt;I15)),-1*SUMPRODUCT((Q$3:Q$20="")*(P$3:P$20="")*(O$3:O$20="")*(N$3:N$20="P")*(H$3:H$20=H15)*(K$3:K$20&gt;K15)*(I$3:I$20="L5")))+1,""))))</f>
        <v/>
      </c>
      <c r="C15" s="36" t="s">
        <v>459</v>
      </c>
      <c r="D15" s="36" t="str">
        <f>IF(E15="","",VLOOKUP(E15,'Coaching Points'!A:B,2,0)&amp;"/"&amp;VLOOKUP(F15,'Coaching Points'!A:B,2,0))</f>
        <v>ON/ON</v>
      </c>
      <c r="E15" s="36" t="s">
        <v>573</v>
      </c>
      <c r="F15" s="36" t="s">
        <v>573</v>
      </c>
      <c r="G15" s="35">
        <v>2006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15-16</v>
      </c>
      <c r="I15" s="39" t="s">
        <v>115</v>
      </c>
      <c r="J15" s="45"/>
      <c r="K15" s="4">
        <f>S15+IF(OR(I15="Junior",I15="Senior"),0.0002,IF(OR(I15="L7",I15="L6"),0.0001,0))+MAX(AB15,AD15,AG15)*0.0000001</f>
        <v>4.2549999999999999E-6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Scores'!D$13),AND(H15="15-16",V15&gt;='Qualifying Scores'!D$12),AND(H15="13-14",V15&gt;='Qualifying Scores'!D$11),AND(H15="11-12",V15&gt;='Qualifying Scores'!D$10)),U15,0),IF(OR(AND(H15="17-21",X15&gt;='Qualifying Scores'!D$13),AND(H15="15-16",X15&gt;='Qualifying Scores'!D$12),AND(H15="13-14",X15&gt;='Qualifying Scores'!D$11),AND(H15="11-12",X15&gt;='Qualifying Scores'!D$10)),W15,0),IF(OR(AND(H15="17-21",AA15&gt;='Qualifying Scores'!D$13),AND(H15="15-16",AA15&gt;='Qualifying Scores'!D$12),AND(H15="13-14",AA15&gt;='Qualifying Scores'!D$11),AND(H15="11-12",AA15&gt;='Qualifying Scores'!D$10)),Z15,0),IF(OR(AND(H15="17-21",AC15&gt;='Qualifying Scores'!D$13),AND(H15="15-16",AC15&gt;='Qualifying Scores'!D$12),AND(H15="13-14",AC15&gt;='Qualifying Scores'!D$11),AND(H15="11-12",AC15&gt;='Qualifying Scores'!D$10)),AB15,0),IF(OR(AND(H15="17-21",AE15&gt;='Qualifying Scores'!D$13),AND(H15="15-16",AE15&gt;='Qualifying Scores'!D$12),AND(H15="13-14",AE15&gt;='Qualifying Scores'!D$11),AND(H15="11-12",AE15&gt;='Qualifying Scores'!D$10)),AD15,0),IF(OR(AND(H15="17-21",AH15&gt;='Qualifying Scores'!D$13),AND(H15="15-16",AH15&gt;='Qualifying Scores'!D$12),AND(H15="13-14",AH15&gt;='Qualifying Scores'!D$11),AND(H15="11-12",AH15&gt;='Qualifying Scores'!D$10)),AG15,0)))</f>
        <v>0</v>
      </c>
      <c r="T15" s="4">
        <f>MAX(U15,W15,Z15,AB15,AD15,AG15)</f>
        <v>42.55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41.94</v>
      </c>
      <c r="AC15" s="40">
        <v>8.1</v>
      </c>
      <c r="AD15" s="34"/>
      <c r="AE15" s="40"/>
      <c r="AF15" s="4">
        <f>IF(I15="Senior",MAX(AB15,AD15),AB15+AD15)</f>
        <v>41.94</v>
      </c>
      <c r="AG15" s="34">
        <v>42.55</v>
      </c>
      <c r="AH15" s="37">
        <v>8.1</v>
      </c>
    </row>
    <row r="16" spans="1:34" x14ac:dyDescent="0.2">
      <c r="A16" s="1" t="str" cm="1">
        <f t="array" ref="A16">IF(J16="","",IF(Q16&lt;&gt;"",SUMPRODUCT((Q$3:Q$20&lt;&gt;"")*(H$3:H$20=H16)*(K$3:K$20&gt;K16)*(J$3:J$20="P"))+1,IF(P16&lt;&gt;"",SUMPRODUCT((P$3:P$20&lt;&gt;"")*(Q$3:Q$20="")*(H$3:H$20=H16)*(K$3:K$20&gt;K16)*(J$3:J$20="P"))+SUMPRODUCT((Q$3:Q$20&lt;&gt;"")*(H$3:H$20=H16)*(J$3:J$20="P"))+1,IF(O16&lt;&gt;"",SUMPRODUCT((O$3:O$20&lt;&gt;"")*(H$3:H$20=H16)*(K$3:K$20&gt;K16)*(J$3:J$20="P"))+1,IF(N16="P",SUMPRODUCT((P$3:P$20&lt;&gt;"")*(Q$3:Q$20="")*(H$3:H$20=H16)*(J$3:J$20="P"))+SUMPRODUCT((Q$3:Q$20&lt;&gt;"")*(H$3:H$20=H16)*(J$3:J$20="P"))+SUMPRODUCT((O$3:O$20&lt;&gt;"")*(H$3:H$20=H16)*(J$3:J$20="P"))+SUMPRODUCT((Q$3:Q$20="")*(P$3:P$20="")*(O$3:O$20="")*(N$3:N$20="P")*(H$3:H$20=H16)*(K$3:K$20&gt;K16)*(J$3:J$20="P"))+IF(I16="L5",SUMPRODUCT((Q$3:Q$20="")*(P$3:P$20="")*(O$3:O$20="")*(N$3:N$20="P")*(H$3:H$20=H16)*(K$3:K$20&lt;K16)*(I$3:I$20&lt;&gt;I16)*(J$3:J$20="P")),-1*SUMPRODUCT((Q$3:Q$20="")*(P$3:P$20="")*(O$3:O$20="")*(N$3:N$20="P")*(H$3:H$20=H16)*(K$3:K$20&gt;K16)*(I$3:I$20="L5")*(J$3:J$20="P")))+1,"")))))</f>
        <v/>
      </c>
      <c r="B16" s="1" t="str" cm="1">
        <f t="array" ref="B16">IF(Q16&lt;&gt;"",SUMPRODUCT((Q$3:Q$20&lt;&gt;"")*(H$3:H$20=H16)*(K$3:K$20&gt;K16))+1,IF(P16&lt;&gt;"",SUMPRODUCT((P$3:P$20&lt;&gt;"")*(Q$3:Q$20="")*(H$3:H$20=H16)*(K$3:K$20&gt;K16))+SUMPRODUCT((Q$3:Q$20&lt;&gt;"")*(H$3:H$20=H16))+1,IF(O16&lt;&gt;"",SUMPRODUCT((O$3:O$20&lt;&gt;"")*(H$3:H$20=H16)*(K$3:K$20&gt;K16))+1,IF(N16="P",SUMPRODUCT((P$3:P$20&lt;&gt;"")*(Q$3:Q$20="")*(H$3:H$20=H16))+SUMPRODUCT((Q$3:Q$20&lt;&gt;"")*(H$3:H$20=H16))+SUMPRODUCT((O$3:O$20&lt;&gt;"")*(H$3:H$20=H16))+SUMPRODUCT((Q$3:Q$20="")*(P$3:P$20="")*(O$3:O$20="")*(N$3:N$20="P")*(H$3:H$20=H16)*(K$3:K$20&gt;K16))+IF(I16="L5",SUMPRODUCT((Q$3:Q$20="")*(P$3:P$20="")*(O$3:O$20="")*(N$3:N$20="P")*(H$3:H$20=H16)*(K$3:K$20&lt;K16)*(I$3:I$20&lt;&gt;I16)),-1*SUMPRODUCT((Q$3:Q$20="")*(P$3:P$20="")*(O$3:O$20="")*(N$3:N$20="P")*(H$3:H$20=H16)*(K$3:K$20&gt;K16)*(I$3:I$20="L5")))+1,""))))</f>
        <v/>
      </c>
      <c r="C16" s="36" t="s">
        <v>460</v>
      </c>
      <c r="D16" s="36" t="str">
        <f>IF(E16="","",VLOOKUP(E16,'Coaching Points'!A:B,2,0)&amp;"/"&amp;VLOOKUP(F16,'Coaching Points'!A:B,2,0))</f>
        <v>QC/QC</v>
      </c>
      <c r="E16" s="36" t="s">
        <v>171</v>
      </c>
      <c r="F16" s="36" t="s">
        <v>581</v>
      </c>
      <c r="G16" s="35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9" t="s">
        <v>115</v>
      </c>
      <c r="J16" s="45"/>
      <c r="K16" s="4">
        <f>S16+IF(OR(I16="Junior",I16="Senior"),0.0002,IF(OR(I16="L7",I16="L6"),0.0001,0))+MAX(AB16,AD16,AG16)*0.0000001</f>
        <v>4.1619999999999993E-6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Scores'!D$13),AND(H16="15-16",V16&gt;='Qualifying Scores'!D$12),AND(H16="13-14",V16&gt;='Qualifying Scores'!D$11),AND(H16="11-12",V16&gt;='Qualifying Scores'!D$10)),U16,0),IF(OR(AND(H16="17-21",X16&gt;='Qualifying Scores'!D$13),AND(H16="15-16",X16&gt;='Qualifying Scores'!D$12),AND(H16="13-14",X16&gt;='Qualifying Scores'!D$11),AND(H16="11-12",X16&gt;='Qualifying Scores'!D$10)),W16,0),IF(OR(AND(H16="17-21",AA16&gt;='Qualifying Scores'!D$13),AND(H16="15-16",AA16&gt;='Qualifying Scores'!D$12),AND(H16="13-14",AA16&gt;='Qualifying Scores'!D$11),AND(H16="11-12",AA16&gt;='Qualifying Scores'!D$10)),Z16,0),IF(OR(AND(H16="17-21",AC16&gt;='Qualifying Scores'!D$13),AND(H16="15-16",AC16&gt;='Qualifying Scores'!D$12),AND(H16="13-14",AC16&gt;='Qualifying Scores'!D$11),AND(H16="11-12",AC16&gt;='Qualifying Scores'!D$10)),AB16,0),IF(OR(AND(H16="17-21",AE16&gt;='Qualifying Scores'!D$13),AND(H16="15-16",AE16&gt;='Qualifying Scores'!D$12),AND(H16="13-14",AE16&gt;='Qualifying Scores'!D$11),AND(H16="11-12",AE16&gt;='Qualifying Scores'!D$10)),AD16,0),IF(OR(AND(H16="17-21",AH16&gt;='Qualifying Scores'!D$13),AND(H16="15-16",AH16&gt;='Qualifying Scores'!D$12),AND(H16="13-14",AH16&gt;='Qualifying Scores'!D$11),AND(H16="11-12",AH16&gt;='Qualifying Scores'!D$10)),AG16,0)))</f>
        <v>0</v>
      </c>
      <c r="T16" s="4">
        <f>MAX(U16,W16,Z16,AB16,AD16,AG16)</f>
        <v>41.62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41.62</v>
      </c>
      <c r="AC16" s="40">
        <v>8.5</v>
      </c>
      <c r="AD16" s="34"/>
      <c r="AE16" s="40"/>
      <c r="AF16" s="4">
        <f>IF(I16="Senior",MAX(AB16,AD16),AB16+AD16)</f>
        <v>41.62</v>
      </c>
      <c r="AG16" s="34">
        <v>41.24</v>
      </c>
      <c r="AH16" s="37">
        <v>8.5</v>
      </c>
    </row>
    <row r="17" spans="1:34" x14ac:dyDescent="0.2">
      <c r="A17" s="1" t="str" cm="1">
        <f t="array" ref="A17">IF(J17="","",IF(Q17&lt;&gt;"",SUMPRODUCT((Q$3:Q$20&lt;&gt;"")*(H$3:H$20=H17)*(K$3:K$20&gt;K17)*(J$3:J$20="P"))+1,IF(P17&lt;&gt;"",SUMPRODUCT((P$3:P$20&lt;&gt;"")*(Q$3:Q$20="")*(H$3:H$20=H17)*(K$3:K$20&gt;K17)*(J$3:J$20="P"))+SUMPRODUCT((Q$3:Q$20&lt;&gt;"")*(H$3:H$20=H17)*(J$3:J$20="P"))+1,IF(O17&lt;&gt;"",SUMPRODUCT((O$3:O$20&lt;&gt;"")*(H$3:H$20=H17)*(K$3:K$20&gt;K17)*(J$3:J$20="P"))+1,IF(N17="P",SUMPRODUCT((P$3:P$20&lt;&gt;"")*(Q$3:Q$20="")*(H$3:H$20=H17)*(J$3:J$20="P"))+SUMPRODUCT((Q$3:Q$20&lt;&gt;"")*(H$3:H$20=H17)*(J$3:J$20="P"))+SUMPRODUCT((O$3:O$20&lt;&gt;"")*(H$3:H$20=H17)*(J$3:J$20="P"))+SUMPRODUCT((Q$3:Q$20="")*(P$3:P$20="")*(O$3:O$20="")*(N$3:N$20="P")*(H$3:H$20=H17)*(K$3:K$20&gt;K17)*(J$3:J$20="P"))+IF(I17="L5",SUMPRODUCT((Q$3:Q$20="")*(P$3:P$20="")*(O$3:O$20="")*(N$3:N$20="P")*(H$3:H$20=H17)*(K$3:K$20&lt;K17)*(I$3:I$20&lt;&gt;I17)*(J$3:J$20="P")),-1*SUMPRODUCT((Q$3:Q$20="")*(P$3:P$20="")*(O$3:O$20="")*(N$3:N$20="P")*(H$3:H$20=H17)*(K$3:K$20&gt;K17)*(I$3:I$20="L5")*(J$3:J$20="P")))+1,"")))))</f>
        <v/>
      </c>
      <c r="B17" s="1" t="str" cm="1">
        <f t="array" ref="B17">IF(Q17&lt;&gt;"",SUMPRODUCT((Q$3:Q$20&lt;&gt;"")*(H$3:H$20=H17)*(K$3:K$20&gt;K17))+1,IF(P17&lt;&gt;"",SUMPRODUCT((P$3:P$20&lt;&gt;"")*(Q$3:Q$20="")*(H$3:H$20=H17)*(K$3:K$20&gt;K17))+SUMPRODUCT((Q$3:Q$20&lt;&gt;"")*(H$3:H$20=H17))+1,IF(O17&lt;&gt;"",SUMPRODUCT((O$3:O$20&lt;&gt;"")*(H$3:H$20=H17)*(K$3:K$20&gt;K17))+1,IF(N17="P",SUMPRODUCT((P$3:P$20&lt;&gt;"")*(Q$3:Q$20="")*(H$3:H$20=H17))+SUMPRODUCT((Q$3:Q$20&lt;&gt;"")*(H$3:H$20=H17))+SUMPRODUCT((O$3:O$20&lt;&gt;"")*(H$3:H$20=H17))+SUMPRODUCT((Q$3:Q$20="")*(P$3:P$20="")*(O$3:O$20="")*(N$3:N$20="P")*(H$3:H$20=H17)*(K$3:K$20&gt;K17))+IF(I17="L5",SUMPRODUCT((Q$3:Q$20="")*(P$3:P$20="")*(O$3:O$20="")*(N$3:N$20="P")*(H$3:H$20=H17)*(K$3:K$20&lt;K17)*(I$3:I$20&lt;&gt;I17)),-1*SUMPRODUCT((Q$3:Q$20="")*(P$3:P$20="")*(O$3:O$20="")*(N$3:N$20="P")*(H$3:H$20=H17)*(K$3:K$20&gt;K17)*(I$3:I$20="L5")))+1,""))))</f>
        <v/>
      </c>
      <c r="C17" s="36" t="s">
        <v>594</v>
      </c>
      <c r="D17" s="36" t="str">
        <f>IF(E17="","",VLOOKUP(E17,'Coaching Points'!A:B,2,0)&amp;"/"&amp;VLOOKUP(F17,'Coaching Points'!A:B,2,0))</f>
        <v>NB/NB</v>
      </c>
      <c r="E17" s="36" t="s">
        <v>49</v>
      </c>
      <c r="F17" s="36" t="s">
        <v>49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9" t="s">
        <v>115</v>
      </c>
      <c r="J17" s="45"/>
      <c r="K17" s="4">
        <f>S17+IF(OR(I17="Junior",I17="Senior"),0.0002,IF(OR(I17="L7",I17="L6"),0.0001,0))+MAX(AB17,AD17,AG17)*0.0000001</f>
        <v>3.0799999999999997E-6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Scores'!D$13),AND(H17="15-16",V17&gt;='Qualifying Scores'!D$12),AND(H17="13-14",V17&gt;='Qualifying Scores'!D$11),AND(H17="11-12",V17&gt;='Qualifying Scores'!D$10)),U17,0),IF(OR(AND(H17="17-21",X17&gt;='Qualifying Scores'!D$13),AND(H17="15-16",X17&gt;='Qualifying Scores'!D$12),AND(H17="13-14",X17&gt;='Qualifying Scores'!D$11),AND(H17="11-12",X17&gt;='Qualifying Scores'!D$10)),W17,0),IF(OR(AND(H17="17-21",AA17&gt;='Qualifying Scores'!D$13),AND(H17="15-16",AA17&gt;='Qualifying Scores'!D$12),AND(H17="13-14",AA17&gt;='Qualifying Scores'!D$11),AND(H17="11-12",AA17&gt;='Qualifying Scores'!D$10)),Z17,0),IF(OR(AND(H17="17-21",AC17&gt;='Qualifying Scores'!D$13),AND(H17="15-16",AC17&gt;='Qualifying Scores'!D$12),AND(H17="13-14",AC17&gt;='Qualifying Scores'!D$11),AND(H17="11-12",AC17&gt;='Qualifying Scores'!D$10)),AB17,0),IF(OR(AND(H17="17-21",AE17&gt;='Qualifying Scores'!D$13),AND(H17="15-16",AE17&gt;='Qualifying Scores'!D$12),AND(H17="13-14",AE17&gt;='Qualifying Scores'!D$11),AND(H17="11-12",AE17&gt;='Qualifying Scores'!D$10)),AD17,0),IF(OR(AND(H17="17-21",AH17&gt;='Qualifying Scores'!D$13),AND(H17="15-16",AH17&gt;='Qualifying Scores'!D$12),AND(H17="13-14",AH17&gt;='Qualifying Scores'!D$11),AND(H17="11-12",AH17&gt;='Qualifying Scores'!D$10)),AG17,0)))</f>
        <v>0</v>
      </c>
      <c r="T17" s="4">
        <f>MAX(U17,W17,Z17,AB17,AD17,AG17)</f>
        <v>30.8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30.8</v>
      </c>
      <c r="AC17" s="40">
        <v>7.1</v>
      </c>
      <c r="AD17" s="34"/>
      <c r="AE17" s="40"/>
      <c r="AF17" s="4">
        <f>IF(I17="Senior",MAX(AB17,AD17),AB17+AD17)</f>
        <v>30.8</v>
      </c>
      <c r="AG17" s="34">
        <v>14.59</v>
      </c>
      <c r="AH17" s="37">
        <v>4</v>
      </c>
    </row>
    <row r="18" spans="1:34" x14ac:dyDescent="0.2">
      <c r="A18" s="1" t="str" cm="1">
        <f t="array" ref="A18">IF(J18="","",IF(Q18&lt;&gt;"",SUMPRODUCT((Q$3:Q$20&lt;&gt;"")*(H$3:H$20=H18)*(K$3:K$20&gt;K18)*(J$3:J$20="P"))+1,IF(P18&lt;&gt;"",SUMPRODUCT((P$3:P$20&lt;&gt;"")*(Q$3:Q$20="")*(H$3:H$20=H18)*(K$3:K$20&gt;K18)*(J$3:J$20="P"))+SUMPRODUCT((Q$3:Q$20&lt;&gt;"")*(H$3:H$20=H18)*(J$3:J$20="P"))+1,IF(O18&lt;&gt;"",SUMPRODUCT((O$3:O$20&lt;&gt;"")*(H$3:H$20=H18)*(K$3:K$20&gt;K18)*(J$3:J$20="P"))+1,IF(N18="P",SUMPRODUCT((P$3:P$20&lt;&gt;"")*(Q$3:Q$20="")*(H$3:H$20=H18)*(J$3:J$20="P"))+SUMPRODUCT((Q$3:Q$20&lt;&gt;"")*(H$3:H$20=H18)*(J$3:J$20="P"))+SUMPRODUCT((O$3:O$20&lt;&gt;"")*(H$3:H$20=H18)*(J$3:J$20="P"))+SUMPRODUCT((Q$3:Q$20="")*(P$3:P$20="")*(O$3:O$20="")*(N$3:N$20="P")*(H$3:H$20=H18)*(K$3:K$20&gt;K18)*(J$3:J$20="P"))+IF(I18="L5",SUMPRODUCT((Q$3:Q$20="")*(P$3:P$20="")*(O$3:O$20="")*(N$3:N$20="P")*(H$3:H$20=H18)*(K$3:K$20&lt;K18)*(I$3:I$20&lt;&gt;I18)*(J$3:J$20="P")),-1*SUMPRODUCT((Q$3:Q$20="")*(P$3:P$20="")*(O$3:O$20="")*(N$3:N$20="P")*(H$3:H$20=H18)*(K$3:K$20&gt;K18)*(I$3:I$20="L5")*(J$3:J$20="P")))+1,"")))))</f>
        <v/>
      </c>
      <c r="B18" s="1" t="str" cm="1">
        <f t="array" ref="B18">IF(Q18&lt;&gt;"",SUMPRODUCT((Q$3:Q$20&lt;&gt;"")*(H$3:H$20=H18)*(K$3:K$20&gt;K18))+1,IF(P18&lt;&gt;"",SUMPRODUCT((P$3:P$20&lt;&gt;"")*(Q$3:Q$20="")*(H$3:H$20=H18)*(K$3:K$20&gt;K18))+SUMPRODUCT((Q$3:Q$20&lt;&gt;"")*(H$3:H$20=H18))+1,IF(O18&lt;&gt;"",SUMPRODUCT((O$3:O$20&lt;&gt;"")*(H$3:H$20=H18)*(K$3:K$20&gt;K18))+1,IF(N18="P",SUMPRODUCT((P$3:P$20&lt;&gt;"")*(Q$3:Q$20="")*(H$3:H$20=H18))+SUMPRODUCT((Q$3:Q$20&lt;&gt;"")*(H$3:H$20=H18))+SUMPRODUCT((O$3:O$20&lt;&gt;"")*(H$3:H$20=H18))+SUMPRODUCT((Q$3:Q$20="")*(P$3:P$20="")*(O$3:O$20="")*(N$3:N$20="P")*(H$3:H$20=H18)*(K$3:K$20&gt;K18))+IF(I18="L5",SUMPRODUCT((Q$3:Q$20="")*(P$3:P$20="")*(O$3:O$20="")*(N$3:N$20="P")*(H$3:H$20=H18)*(K$3:K$20&lt;K18)*(I$3:I$20&lt;&gt;I18)),-1*SUMPRODUCT((Q$3:Q$20="")*(P$3:P$20="")*(O$3:O$20="")*(N$3:N$20="P")*(H$3:H$20=H18)*(K$3:K$20&gt;K18)*(I$3:I$20="L5")))+1,""))))</f>
        <v/>
      </c>
      <c r="C18" s="36" t="s">
        <v>462</v>
      </c>
      <c r="D18" s="36" t="str">
        <f>IF(E18="","",VLOOKUP(E18,'Coaching Points'!A:B,2,0)&amp;"/"&amp;VLOOKUP(F18,'Coaching Points'!A:B,2,0))</f>
        <v>BC/BC</v>
      </c>
      <c r="E18" s="36" t="s">
        <v>571</v>
      </c>
      <c r="F18" s="36" t="s">
        <v>80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9" t="s">
        <v>115</v>
      </c>
      <c r="J18" s="45"/>
      <c r="K18" s="4">
        <f>S18+IF(OR(I18="Junior",I18="Senior"),0.0002,IF(OR(I18="L7",I18="L6"),0.0001,0))+MAX(AB18,AD18,AG18)*0.0000001</f>
        <v>1.2890000000000001E-6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Scores'!D$13),AND(H18="15-16",V18&gt;='Qualifying Scores'!D$12),AND(H18="13-14",V18&gt;='Qualifying Scores'!D$11),AND(H18="11-12",V18&gt;='Qualifying Scores'!D$10)),U18,0),IF(OR(AND(H18="17-21",X18&gt;='Qualifying Scores'!D$13),AND(H18="15-16",X18&gt;='Qualifying Scores'!D$12),AND(H18="13-14",X18&gt;='Qualifying Scores'!D$11),AND(H18="11-12",X18&gt;='Qualifying Scores'!D$10)),W18,0),IF(OR(AND(H18="17-21",AA18&gt;='Qualifying Scores'!D$13),AND(H18="15-16",AA18&gt;='Qualifying Scores'!D$12),AND(H18="13-14",AA18&gt;='Qualifying Scores'!D$11),AND(H18="11-12",AA18&gt;='Qualifying Scores'!D$10)),Z18,0),IF(OR(AND(H18="17-21",AC18&gt;='Qualifying Scores'!D$13),AND(H18="15-16",AC18&gt;='Qualifying Scores'!D$12),AND(H18="13-14",AC18&gt;='Qualifying Scores'!D$11),AND(H18="11-12",AC18&gt;='Qualifying Scores'!D$10)),AB18,0),IF(OR(AND(H18="17-21",AE18&gt;='Qualifying Scores'!D$13),AND(H18="15-16",AE18&gt;='Qualifying Scores'!D$12),AND(H18="13-14",AE18&gt;='Qualifying Scores'!D$11),AND(H18="11-12",AE18&gt;='Qualifying Scores'!D$10)),AD18,0),IF(OR(AND(H18="17-21",AH18&gt;='Qualifying Scores'!D$13),AND(H18="15-16",AH18&gt;='Qualifying Scores'!D$12),AND(H18="13-14",AH18&gt;='Qualifying Scores'!D$11),AND(H18="11-12",AH18&gt;='Qualifying Scores'!D$10)),AG18,0)))</f>
        <v>0</v>
      </c>
      <c r="T18" s="4">
        <f>MAX(U18,W18,Z18,AB18,AD18,AG18)</f>
        <v>12.89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12.89</v>
      </c>
      <c r="AC18" s="40">
        <v>3.1</v>
      </c>
      <c r="AD18" s="34"/>
      <c r="AE18" s="40"/>
      <c r="AF18" s="4">
        <f>IF(I18="Senior",MAX(AB18,AD18),AB18+AD18)</f>
        <v>12.89</v>
      </c>
      <c r="AG18" s="34"/>
      <c r="AH18" s="37"/>
    </row>
    <row r="19" spans="1:34" x14ac:dyDescent="0.2">
      <c r="A19" s="1" t="str" cm="1">
        <f t="array" ref="A19">IF(J19="","",IF(Q19&lt;&gt;"",SUMPRODUCT((Q$3:Q$20&lt;&gt;"")*(H$3:H$20=H19)*(K$3:K$20&gt;K19)*(J$3:J$20="P"))+1,IF(P19&lt;&gt;"",SUMPRODUCT((P$3:P$20&lt;&gt;"")*(Q$3:Q$20="")*(H$3:H$20=H19)*(K$3:K$20&gt;K19)*(J$3:J$20="P"))+SUMPRODUCT((Q$3:Q$20&lt;&gt;"")*(H$3:H$20=H19)*(J$3:J$20="P"))+1,IF(O19&lt;&gt;"",SUMPRODUCT((O$3:O$20&lt;&gt;"")*(H$3:H$20=H19)*(K$3:K$20&gt;K19)*(J$3:J$20="P"))+1,IF(N19="P",SUMPRODUCT((P$3:P$20&lt;&gt;"")*(Q$3:Q$20="")*(H$3:H$20=H19)*(J$3:J$20="P"))+SUMPRODUCT((Q$3:Q$20&lt;&gt;"")*(H$3:H$20=H19)*(J$3:J$20="P"))+SUMPRODUCT((O$3:O$20&lt;&gt;"")*(H$3:H$20=H19)*(J$3:J$20="P"))+SUMPRODUCT((Q$3:Q$20="")*(P$3:P$20="")*(O$3:O$20="")*(N$3:N$20="P")*(H$3:H$20=H19)*(K$3:K$20&gt;K19)*(J$3:J$20="P"))+IF(I19="L5",SUMPRODUCT((Q$3:Q$20="")*(P$3:P$20="")*(O$3:O$20="")*(N$3:N$20="P")*(H$3:H$20=H19)*(K$3:K$20&lt;K19)*(I$3:I$20&lt;&gt;I19)*(J$3:J$20="P")),-1*SUMPRODUCT((Q$3:Q$20="")*(P$3:P$20="")*(O$3:O$20="")*(N$3:N$20="P")*(H$3:H$20=H19)*(K$3:K$20&gt;K19)*(I$3:I$20="L5")*(J$3:J$20="P")))+1,"")))))</f>
        <v/>
      </c>
      <c r="B19" s="1" t="str" cm="1">
        <f t="array" ref="B19">IF(Q19&lt;&gt;"",SUMPRODUCT((Q$3:Q$20&lt;&gt;"")*(H$3:H$20=H19)*(K$3:K$20&gt;K19))+1,IF(P19&lt;&gt;"",SUMPRODUCT((P$3:P$20&lt;&gt;"")*(Q$3:Q$20="")*(H$3:H$20=H19)*(K$3:K$20&gt;K19))+SUMPRODUCT((Q$3:Q$20&lt;&gt;"")*(H$3:H$20=H19))+1,IF(O19&lt;&gt;"",SUMPRODUCT((O$3:O$20&lt;&gt;"")*(H$3:H$20=H19)*(K$3:K$20&gt;K19))+1,IF(N19="P",SUMPRODUCT((P$3:P$20&lt;&gt;"")*(Q$3:Q$20="")*(H$3:H$20=H19))+SUMPRODUCT((Q$3:Q$20&lt;&gt;"")*(H$3:H$20=H19))+SUMPRODUCT((O$3:O$20&lt;&gt;"")*(H$3:H$20=H19))+SUMPRODUCT((Q$3:Q$20="")*(P$3:P$20="")*(O$3:O$20="")*(N$3:N$20="P")*(H$3:H$20=H19)*(K$3:K$20&gt;K19))+IF(I19="L5",SUMPRODUCT((Q$3:Q$20="")*(P$3:P$20="")*(O$3:O$20="")*(N$3:N$20="P")*(H$3:H$20=H19)*(K$3:K$20&lt;K19)*(I$3:I$20&lt;&gt;I19)),-1*SUMPRODUCT((Q$3:Q$20="")*(P$3:P$20="")*(O$3:O$20="")*(N$3:N$20="P")*(H$3:H$20=H19)*(K$3:K$20&gt;K19)*(I$3:I$20="L5")))+1,""))))</f>
        <v/>
      </c>
      <c r="C19" s="36" t="s">
        <v>467</v>
      </c>
      <c r="D19" s="36" t="str">
        <f>IF(E19="","",VLOOKUP(E19,'Coaching Points'!A:B,2,0)&amp;"/"&amp;VLOOKUP(F19,'Coaching Points'!A:B,2,0))</f>
        <v>AB/AB</v>
      </c>
      <c r="E19" s="36" t="s">
        <v>29</v>
      </c>
      <c r="F19" s="36" t="s">
        <v>29</v>
      </c>
      <c r="G19" s="35">
        <v>2007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9" t="s">
        <v>115</v>
      </c>
      <c r="J19" s="45"/>
      <c r="K19" s="4">
        <f>S19+IF(OR(I19="Junior",I19="Senior"),0.0002,IF(OR(I19="L7",I19="L6"),0.0001,0))+MAX(AB19,AD19,AG19)*0.0000001</f>
        <v>4.6299999999999995E-7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Scores'!D$13),AND(H19="15-16",V19&gt;='Qualifying Scores'!D$12),AND(H19="13-14",V19&gt;='Qualifying Scores'!D$11),AND(H19="11-12",V19&gt;='Qualifying Scores'!D$10)),U19,0),IF(OR(AND(H19="17-21",X19&gt;='Qualifying Scores'!D$13),AND(H19="15-16",X19&gt;='Qualifying Scores'!D$12),AND(H19="13-14",X19&gt;='Qualifying Scores'!D$11),AND(H19="11-12",X19&gt;='Qualifying Scores'!D$10)),W19,0),IF(OR(AND(H19="17-21",AA19&gt;='Qualifying Scores'!D$13),AND(H19="15-16",AA19&gt;='Qualifying Scores'!D$12),AND(H19="13-14",AA19&gt;='Qualifying Scores'!D$11),AND(H19="11-12",AA19&gt;='Qualifying Scores'!D$10)),Z19,0),IF(OR(AND(H19="17-21",AC19&gt;='Qualifying Scores'!D$13),AND(H19="15-16",AC19&gt;='Qualifying Scores'!D$12),AND(H19="13-14",AC19&gt;='Qualifying Scores'!D$11),AND(H19="11-12",AC19&gt;='Qualifying Scores'!D$10)),AB19,0),IF(OR(AND(H19="17-21",AE19&gt;='Qualifying Scores'!D$13),AND(H19="15-16",AE19&gt;='Qualifying Scores'!D$12),AND(H19="13-14",AE19&gt;='Qualifying Scores'!D$11),AND(H19="11-12",AE19&gt;='Qualifying Scores'!D$10)),AD19,0),IF(OR(AND(H19="17-21",AH19&gt;='Qualifying Scores'!D$13),AND(H19="15-16",AH19&gt;='Qualifying Scores'!D$12),AND(H19="13-14",AH19&gt;='Qualifying Scores'!D$11),AND(H19="11-12",AH19&gt;='Qualifying Scores'!D$10)),AG19,0)))</f>
        <v>0</v>
      </c>
      <c r="T19" s="4">
        <f>MAX(U19,W19,Z19,AB19,AD19,AG19)</f>
        <v>4.63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4.63</v>
      </c>
      <c r="AC19" s="40">
        <v>1.3</v>
      </c>
      <c r="AD19" s="34"/>
      <c r="AE19" s="40"/>
      <c r="AF19" s="4">
        <f>IF(I19="Senior",MAX(AB19,AD19),AB19+AD19)</f>
        <v>4.63</v>
      </c>
      <c r="AG19" s="34"/>
      <c r="AH19" s="37"/>
    </row>
    <row r="20" spans="1:34" x14ac:dyDescent="0.2">
      <c r="A20" s="1" t="str" cm="1">
        <f t="array" ref="A20">IF(J20="","",IF(Q20&lt;&gt;"",SUMPRODUCT((Q$3:Q$20&lt;&gt;"")*(H$3:H$20=H20)*(K$3:K$20&gt;K20)*(J$3:J$20="P"))+1,IF(P20&lt;&gt;"",SUMPRODUCT((P$3:P$20&lt;&gt;"")*(Q$3:Q$20="")*(H$3:H$20=H20)*(K$3:K$20&gt;K20)*(J$3:J$20="P"))+SUMPRODUCT((Q$3:Q$20&lt;&gt;"")*(H$3:H$20=H20)*(J$3:J$20="P"))+1,IF(O20&lt;&gt;"",SUMPRODUCT((O$3:O$20&lt;&gt;"")*(H$3:H$20=H20)*(K$3:K$20&gt;K20)*(J$3:J$20="P"))+1,IF(N20="P",SUMPRODUCT((P$3:P$20&lt;&gt;"")*(Q$3:Q$20="")*(H$3:H$20=H20)*(J$3:J$20="P"))+SUMPRODUCT((Q$3:Q$20&lt;&gt;"")*(H$3:H$20=H20)*(J$3:J$20="P"))+SUMPRODUCT((O$3:O$20&lt;&gt;"")*(H$3:H$20=H20)*(J$3:J$20="P"))+SUMPRODUCT((Q$3:Q$20="")*(P$3:P$20="")*(O$3:O$20="")*(N$3:N$20="P")*(H$3:H$20=H20)*(K$3:K$20&gt;K20)*(J$3:J$20="P"))+IF(I20="L5",SUMPRODUCT((Q$3:Q$20="")*(P$3:P$20="")*(O$3:O$20="")*(N$3:N$20="P")*(H$3:H$20=H20)*(K$3:K$20&lt;K20)*(I$3:I$20&lt;&gt;I20)*(J$3:J$20="P")),-1*SUMPRODUCT((Q$3:Q$20="")*(P$3:P$20="")*(O$3:O$20="")*(N$3:N$20="P")*(H$3:H$20=H20)*(K$3:K$20&gt;K20)*(I$3:I$20="L5")*(J$3:J$20="P")))+1,"")))))</f>
        <v/>
      </c>
      <c r="B20" s="1" t="str" cm="1">
        <f t="array" ref="B20">IF(Q20&lt;&gt;"",SUMPRODUCT((Q$3:Q$20&lt;&gt;"")*(H$3:H$20=H20)*(K$3:K$20&gt;K20))+1,IF(P20&lt;&gt;"",SUMPRODUCT((P$3:P$20&lt;&gt;"")*(Q$3:Q$20="")*(H$3:H$20=H20)*(K$3:K$20&gt;K20))+SUMPRODUCT((Q$3:Q$20&lt;&gt;"")*(H$3:H$20=H20))+1,IF(O20&lt;&gt;"",SUMPRODUCT((O$3:O$20&lt;&gt;"")*(H$3:H$20=H20)*(K$3:K$20&gt;K20))+1,IF(N20="P",SUMPRODUCT((P$3:P$20&lt;&gt;"")*(Q$3:Q$20="")*(H$3:H$20=H20))+SUMPRODUCT((Q$3:Q$20&lt;&gt;"")*(H$3:H$20=H20))+SUMPRODUCT((O$3:O$20&lt;&gt;"")*(H$3:H$20=H20))+SUMPRODUCT((Q$3:Q$20="")*(P$3:P$20="")*(O$3:O$20="")*(N$3:N$20="P")*(H$3:H$20=H20)*(K$3:K$20&gt;K20))+IF(I20="L5",SUMPRODUCT((Q$3:Q$20="")*(P$3:P$20="")*(O$3:O$20="")*(N$3:N$20="P")*(H$3:H$20=H20)*(K$3:K$20&lt;K20)*(I$3:I$20&lt;&gt;I20)),-1*SUMPRODUCT((Q$3:Q$20="")*(P$3:P$20="")*(O$3:O$20="")*(N$3:N$20="P")*(H$3:H$20=H20)*(K$3:K$20&gt;K20)*(I$3:I$20="L5")))+1,""))))</f>
        <v/>
      </c>
      <c r="C20" s="36" t="s">
        <v>468</v>
      </c>
      <c r="D20" s="36" t="str">
        <f>IF(E20="","",VLOOKUP(E20,'Coaching Points'!A:B,2,0)&amp;"/"&amp;VLOOKUP(F20,'Coaching Points'!A:B,2,0))</f>
        <v>NS/NS</v>
      </c>
      <c r="E20" s="36" t="s">
        <v>257</v>
      </c>
      <c r="F20" s="36" t="s">
        <v>257</v>
      </c>
      <c r="G20" s="35">
        <v>2008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9" t="s">
        <v>115</v>
      </c>
      <c r="J20" s="45"/>
      <c r="K20" s="4">
        <f>S20+IF(OR(I20="Junior",I20="Senior"),0.0002,IF(OR(I20="L7",I20="L6"),0.0001,0))+MAX(AB20,AD20,AG20)*0.0000001</f>
        <v>4.0350000000000003E-6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Scores'!D$13),AND(H20="15-16",V20&gt;='Qualifying Scores'!D$12),AND(H20="13-14",V20&gt;='Qualifying Scores'!D$11),AND(H20="11-12",V20&gt;='Qualifying Scores'!D$10)),U20,0),IF(OR(AND(H20="17-21",X20&gt;='Qualifying Scores'!D$13),AND(H20="15-16",X20&gt;='Qualifying Scores'!D$12),AND(H20="13-14",X20&gt;='Qualifying Scores'!D$11),AND(H20="11-12",X20&gt;='Qualifying Scores'!D$10)),W20,0),IF(OR(AND(H20="17-21",AA20&gt;='Qualifying Scores'!D$13),AND(H20="15-16",AA20&gt;='Qualifying Scores'!D$12),AND(H20="13-14",AA20&gt;='Qualifying Scores'!D$11),AND(H20="11-12",AA20&gt;='Qualifying Scores'!D$10)),Z20,0),IF(OR(AND(H20="17-21",AC20&gt;='Qualifying Scores'!D$13),AND(H20="15-16",AC20&gt;='Qualifying Scores'!D$12),AND(H20="13-14",AC20&gt;='Qualifying Scores'!D$11),AND(H20="11-12",AC20&gt;='Qualifying Scores'!D$10)),AB20,0),IF(OR(AND(H20="17-21",AE20&gt;='Qualifying Scores'!D$13),AND(H20="15-16",AE20&gt;='Qualifying Scores'!D$12),AND(H20="13-14",AE20&gt;='Qualifying Scores'!D$11),AND(H20="11-12",AE20&gt;='Qualifying Scores'!D$10)),AD20,0),IF(OR(AND(H20="17-21",AH20&gt;='Qualifying Scores'!D$13),AND(H20="15-16",AH20&gt;='Qualifying Scores'!D$12),AND(H20="13-14",AH20&gt;='Qualifying Scores'!D$11),AND(H20="11-12",AH20&gt;='Qualifying Scores'!D$10)),AG20,0)))</f>
        <v>0</v>
      </c>
      <c r="T20" s="4">
        <f>MAX(U20,W20,Z20,AB20,AD20,AG20)</f>
        <v>40.35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40.35</v>
      </c>
      <c r="AC20" s="40">
        <v>7.6</v>
      </c>
      <c r="AD20" s="34"/>
      <c r="AE20" s="40"/>
      <c r="AF20" s="4">
        <f>IF(I20="Senior",MAX(AB20,AD20),AB20+AD20)</f>
        <v>40.35</v>
      </c>
      <c r="AG20" s="34">
        <v>36.07</v>
      </c>
      <c r="AH20" s="37">
        <v>8.4</v>
      </c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0">
      <sortCondition descending="1" ref="H1:H21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23" priority="9">
      <formula>IF($H1="17-21",1,0)</formula>
    </cfRule>
    <cfRule type="expression" dxfId="22" priority="10">
      <formula>IF($H1="15-16",1,0)</formula>
    </cfRule>
    <cfRule type="expression" dxfId="21" priority="11">
      <formula>IF($H1="13-14",1,0)</formula>
    </cfRule>
    <cfRule type="expression" dxfId="20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38"/>
  <sheetViews>
    <sheetView zoomScaleNormal="100" workbookViewId="0">
      <pane xSplit="6" ySplit="2" topLeftCell="I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569</v>
      </c>
      <c r="F1" s="77" t="s">
        <v>570</v>
      </c>
      <c r="G1" s="79" t="s">
        <v>4</v>
      </c>
      <c r="H1" s="73" t="s">
        <v>5</v>
      </c>
      <c r="I1" s="73" t="s">
        <v>57</v>
      </c>
      <c r="J1" s="73" t="s">
        <v>43</v>
      </c>
      <c r="K1" s="84" t="s">
        <v>13</v>
      </c>
      <c r="L1" s="73" t="s">
        <v>9</v>
      </c>
      <c r="M1" s="73" t="s">
        <v>10</v>
      </c>
      <c r="N1" s="73" t="s">
        <v>33</v>
      </c>
      <c r="O1" s="73" t="s">
        <v>12</v>
      </c>
      <c r="P1" s="73" t="s">
        <v>50</v>
      </c>
      <c r="Q1" s="73" t="s">
        <v>11</v>
      </c>
      <c r="R1" s="75" t="s">
        <v>365</v>
      </c>
      <c r="S1" s="81" t="s">
        <v>598</v>
      </c>
      <c r="T1" s="73" t="s">
        <v>599</v>
      </c>
      <c r="U1" s="83" t="s">
        <v>45</v>
      </c>
      <c r="V1" s="83"/>
      <c r="W1" s="83"/>
      <c r="X1" s="83"/>
      <c r="Y1" s="83"/>
      <c r="Z1" s="83"/>
      <c r="AA1" s="83"/>
      <c r="AB1" s="83" t="s">
        <v>44</v>
      </c>
      <c r="AC1" s="83"/>
      <c r="AD1" s="83"/>
      <c r="AE1" s="83"/>
      <c r="AF1" s="83"/>
      <c r="AG1" s="83"/>
      <c r="AH1" s="83"/>
    </row>
    <row r="2" spans="1:34" s="7" customFormat="1" ht="17" thickBot="1" x14ac:dyDescent="0.25">
      <c r="A2" s="82"/>
      <c r="B2" s="82"/>
      <c r="C2" s="74"/>
      <c r="D2" s="76"/>
      <c r="E2" s="78"/>
      <c r="F2" s="78"/>
      <c r="G2" s="80"/>
      <c r="H2" s="74"/>
      <c r="I2" s="74"/>
      <c r="J2" s="74"/>
      <c r="K2" s="85"/>
      <c r="L2" s="74"/>
      <c r="M2" s="74"/>
      <c r="N2" s="74"/>
      <c r="O2" s="74"/>
      <c r="P2" s="74"/>
      <c r="Q2" s="74"/>
      <c r="R2" s="76"/>
      <c r="S2" s="82"/>
      <c r="T2" s="74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$38&lt;&gt;"")*(H$3:H$38=H3)*(K$3:K$38&gt;K3)*(J$3:J$38="P"))+1,IF(P3&lt;&gt;"",SUMPRODUCT((P$3:P$38&lt;&gt;"")*(Q$3:Q$38="")*(H$3:H$38=H3)*(K$3:K$38&gt;K3)*(J$3:J$38="P"))+SUMPRODUCT((Q$3:Q$38&lt;&gt;"")*(H$3:H$38=H3)*(J$3:J$38="P"))+1,IF(O3&lt;&gt;"",SUMPRODUCT((O$3:O$38&lt;&gt;"")*(H$3:H$38=H3)*(K$3:K$38&gt;K3)*(J$3:J$38="P"))+1,IF(N3="P",SUMPRODUCT((P$3:P$38&lt;&gt;"")*(Q$3:Q$38="")*(H$3:H$38=H3)*(J$3:J$38="P"))+SUMPRODUCT((Q$3:Q$38&lt;&gt;"")*(H$3:H$38=H3)*(J$3:J$38="P"))+SUMPRODUCT((O$3:O$38&lt;&gt;"")*(H$3:H$38=H3)*(J$3:J$38="P"))+SUMPRODUCT((Q$3:Q$38="")*(P$3:P$38="")*(O$3:O$38="")*(N$3:N$38="P")*(H$3:H$38=H3)*(K$3:K$38&gt;K3)*(J$3:J$38="P"))+IF(I3="L5",SUMPRODUCT((Q$3:Q$38="")*(P$3:P$38="")*(O$3:O$38="")*(N$3:N$38="P")*(H$3:H$38=H3)*(K$3:K$38&lt;K3)*(I$3:I$38&lt;&gt;I3)*(J$3:J$38="P")),-1*SUMPRODUCT((Q$3:Q$38="")*(P$3:P$38="")*(O$3:O$38="")*(N$3:N$38="P")*(H$3:H$38=H3)*(K$3:K$38&gt;K3)*(I$3:I$38="L5")*(J$3:J$38="P")))+1,"")))))</f>
        <v>1</v>
      </c>
      <c r="B3" s="1" cm="1">
        <f t="array" ref="B3">IF(Q3&lt;&gt;"",SUMPRODUCT((Q$3:Q$38&lt;&gt;"")*(H$3:H$38=H3)*(K$3:K$38&gt;K3))+1,IF(P3&lt;&gt;"",SUMPRODUCT((P$3:P$38&lt;&gt;"")*(Q$3:Q$38="")*(H$3:H$38=H3)*(K$3:K$38&gt;K3))+SUMPRODUCT((Q$3:Q$38&lt;&gt;"")*(H$3:H$38=H3))+1,IF(O3&lt;&gt;"",SUMPRODUCT((O$3:O$38&lt;&gt;"")*(H$3:H$38=H3)*(K$3:K$38&gt;K3))+1,IF(N3="P",SUMPRODUCT((P$3:P$38&lt;&gt;"")*(Q$3:Q$38="")*(H$3:H$38=H3))+SUMPRODUCT((Q$3:Q$38&lt;&gt;"")*(H$3:H$38=H3))+SUMPRODUCT((O$3:O$38&lt;&gt;"")*(H$3:H$38=H3))+SUMPRODUCT((Q$3:Q$38="")*(P$3:P$38="")*(O$3:O$38="")*(N$3:N$38="P")*(H$3:H$38=H3)*(K$3:K$38&gt;K3))+IF(I3="L5",SUMPRODUCT((Q$3:Q$38="")*(P$3:P$38="")*(O$3:O$38="")*(N$3:N$38="P")*(H$3:H$38=H3)*(K$3:K$38&lt;K3)*(I$3:I$38&lt;&gt;I3)),-1*SUMPRODUCT((Q$3:Q$38="")*(P$3:P$38="")*(O$3:O$38="")*(N$3:N$38="P")*(H$3:H$38=H3)*(K$3:K$38&gt;K3)*(I$3:I$38="L5")))+1,""))))</f>
        <v>1</v>
      </c>
      <c r="C3" s="36" t="s">
        <v>507</v>
      </c>
      <c r="D3" s="36" t="str">
        <f>IF(E3="","",VLOOKUP(E3,'Coaching Points'!A:B,2,0)&amp;"/"&amp;VLOOKUP(F3,'Coaching Points'!A:B,2,0))</f>
        <v>ON/ON</v>
      </c>
      <c r="E3" s="36" t="s">
        <v>38</v>
      </c>
      <c r="F3" s="36" t="s">
        <v>38</v>
      </c>
      <c r="G3" s="35">
        <v>2001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43.900204389999999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49">
        <f>IF(A3&lt;5,IF(_xlfn.MAXIFS(A:A,H:H,H3)&gt;3,5-A3,_xlfn.MAXIFS(A:A,H:H,H3)+1-A3),"")</f>
        <v>2</v>
      </c>
      <c r="S3" s="4">
        <f>IF(H3="Not Age Eligible",0,MAX(IF(OR(AND(H3="17-21",V3&gt;='Qualifying Scores'!E$13),AND(H3="15-16",V3&gt;='Qualifying Scores'!E$12),AND(H3="13-14",V3&gt;='Qualifying Scores'!E$11),AND(H3="11-12",V3&gt;='Qualifying Scores'!E$10)),U3,0),IF(OR(AND(H3="17-21",X3&gt;='Qualifying Scores'!E$13),AND(H3="15-16",X3&gt;='Qualifying Scores'!E$12),AND(H3="13-14",X3&gt;='Qualifying Scores'!E$11),AND(H3="11-12",X3&gt;='Qualifying Scores'!E$10)),W3,0),IF(OR(AND(H3="17-21",AA3&gt;='Qualifying Scores'!E$13),AND(H3="15-16",AA3&gt;='Qualifying Scores'!E$12),AND(H3="13-14",AA3&gt;='Qualifying Scores'!E$11),AND(H3="11-12",AA3&gt;='Qualifying Scores'!E$10)),Z3,0),IF(OR(AND(H3="17-21",AC3&gt;='Qualifying Scores'!E$13),AND(H3="15-16",AC3&gt;='Qualifying Scores'!E$12),AND(H3="13-14",AC3&gt;='Qualifying Scores'!E$11),AND(H3="11-12",AC3&gt;='Qualifying Scores'!E$10)),AB3,0),IF(OR(AND(H3="17-21",AE3&gt;='Qualifying Scores'!E$13),AND(H3="15-16",AE3&gt;='Qualifying Scores'!E$12),AND(H3="13-14",AE3&gt;='Qualifying Scores'!E$11),AND(H3="11-12",AE3&gt;='Qualifying Scores'!E$10)),AD3,0),IF(OR(AND(H3="17-21",AH3&gt;='Qualifying Scores'!E$13),AND(H3="15-16",AH3&gt;='Qualifying Scores'!E$12),AND(H3="13-14",AH3&gt;='Qualifying Scores'!E$11),AND(H3="11-12",AH3&gt;='Qualifying Scores'!E$10)),AG3,0)))</f>
        <v>43.9</v>
      </c>
      <c r="T3" s="4">
        <f>MAX(U3,W3,Z3,AB3,AD3,AG3)</f>
        <v>43.9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43.36</v>
      </c>
      <c r="AC3" s="40">
        <v>10.5</v>
      </c>
      <c r="AD3" s="34">
        <v>43.59</v>
      </c>
      <c r="AE3" s="40">
        <v>10.5</v>
      </c>
      <c r="AF3" s="4">
        <f>IF(I3="Senior",MAX(AB3,AD3),AB3+AD3)</f>
        <v>43.59</v>
      </c>
      <c r="AG3" s="34">
        <v>43.9</v>
      </c>
      <c r="AH3" s="37">
        <v>10.5</v>
      </c>
    </row>
    <row r="4" spans="1:34" x14ac:dyDescent="0.2">
      <c r="A4" s="1" cm="1">
        <f t="array" ref="A4">IF(J4="","",IF(Q4&lt;&gt;"",SUMPRODUCT((Q$3:Q$38&lt;&gt;"")*(H$3:H$38=H4)*(K$3:K$38&gt;K4)*(J$3:J$38="P"))+1,IF(P4&lt;&gt;"",SUMPRODUCT((P$3:P$38&lt;&gt;"")*(Q$3:Q$38="")*(H$3:H$38=H4)*(K$3:K$38&gt;K4)*(J$3:J$38="P"))+SUMPRODUCT((Q$3:Q$38&lt;&gt;"")*(H$3:H$38=H4)*(J$3:J$38="P"))+1,IF(O4&lt;&gt;"",SUMPRODUCT((O$3:O$38&lt;&gt;"")*(H$3:H$38=H4)*(K$3:K$38&gt;K4)*(J$3:J$38="P"))+1,IF(N4="P",SUMPRODUCT((P$3:P$38&lt;&gt;"")*(Q$3:Q$38="")*(H$3:H$38=H4)*(J$3:J$38="P"))+SUMPRODUCT((Q$3:Q$38&lt;&gt;"")*(H$3:H$38=H4)*(J$3:J$38="P"))+SUMPRODUCT((O$3:O$38&lt;&gt;"")*(H$3:H$38=H4)*(J$3:J$38="P"))+SUMPRODUCT((Q$3:Q$38="")*(P$3:P$38="")*(O$3:O$38="")*(N$3:N$38="P")*(H$3:H$38=H4)*(K$3:K$38&gt;K4)*(J$3:J$38="P"))+IF(I4="L5",SUMPRODUCT((Q$3:Q$38="")*(P$3:P$38="")*(O$3:O$38="")*(N$3:N$38="P")*(H$3:H$38=H4)*(K$3:K$38&lt;K4)*(I$3:I$38&lt;&gt;I4)*(J$3:J$38="P")),-1*SUMPRODUCT((Q$3:Q$38="")*(P$3:P$38="")*(O$3:O$38="")*(N$3:N$38="P")*(H$3:H$38=H4)*(K$3:K$38&gt;K4)*(I$3:I$38="L5")*(J$3:J$38="P")))+1,"")))))</f>
        <v>2</v>
      </c>
      <c r="B4" s="1" cm="1">
        <f t="array" ref="B4">IF(Q4&lt;&gt;"",SUMPRODUCT((Q$3:Q$38&lt;&gt;"")*(H$3:H$38=H4)*(K$3:K$38&gt;K4))+1,IF(P4&lt;&gt;"",SUMPRODUCT((P$3:P$38&lt;&gt;"")*(Q$3:Q$38="")*(H$3:H$38=H4)*(K$3:K$38&gt;K4))+SUMPRODUCT((Q$3:Q$38&lt;&gt;"")*(H$3:H$38=H4))+1,IF(O4&lt;&gt;"",SUMPRODUCT((O$3:O$38&lt;&gt;"")*(H$3:H$38=H4)*(K$3:K$38&gt;K4))+1,IF(N4="P",SUMPRODUCT((P$3:P$38&lt;&gt;"")*(Q$3:Q$38="")*(H$3:H$38=H4))+SUMPRODUCT((Q$3:Q$38&lt;&gt;"")*(H$3:H$38=H4))+SUMPRODUCT((O$3:O$38&lt;&gt;"")*(H$3:H$38=H4))+SUMPRODUCT((Q$3:Q$38="")*(P$3:P$38="")*(O$3:O$38="")*(N$3:N$38="P")*(H$3:H$38=H4)*(K$3:K$38&gt;K4))+IF(I4="L5",SUMPRODUCT((Q$3:Q$38="")*(P$3:P$38="")*(O$3:O$38="")*(N$3:N$38="P")*(H$3:H$38=H4)*(K$3:K$38&lt;K4)*(I$3:I$38&lt;&gt;I4)),-1*SUMPRODUCT((Q$3:Q$38="")*(P$3:P$38="")*(O$3:O$38="")*(N$3:N$38="P")*(H$3:H$38=H4)*(K$3:K$38&gt;K4)*(I$3:I$38="L5")))+1,""))))</f>
        <v>2</v>
      </c>
      <c r="C4" s="36" t="s">
        <v>508</v>
      </c>
      <c r="D4" s="36" t="str">
        <f>IF(E4="","",VLOOKUP(E4,'Coaching Points'!A:B,2,0)&amp;"/"&amp;VLOOKUP(F4,'Coaching Points'!A:B,2,0))</f>
        <v>ON/ON</v>
      </c>
      <c r="E4" s="36" t="s">
        <v>224</v>
      </c>
      <c r="F4" s="36" t="s">
        <v>38</v>
      </c>
      <c r="G4" s="35">
        <v>2002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 t="s">
        <v>604</v>
      </c>
      <c r="K4" s="4">
        <f>S4+IF(OR(I4="Junior",I4="Senior"),0.0002,IF(OR(I4="L7",I4="L6"),0.0001,0))+MAX(AB4,AD4,AG4)*0.0000001</f>
        <v>42.620204261999994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49">
        <f>IF(A4&lt;5,IF(_xlfn.MAXIFS(A:A,H:H,H4)&gt;3,5-A4,_xlfn.MAXIFS(A:A,H:H,H4)+1-A4),"")</f>
        <v>1</v>
      </c>
      <c r="S4" s="4">
        <f>IF(H4="Not Age Eligible",0,MAX(IF(OR(AND(H4="17-21",V4&gt;='Qualifying Scores'!E$13),AND(H4="15-16",V4&gt;='Qualifying Scores'!E$12),AND(H4="13-14",V4&gt;='Qualifying Scores'!E$11),AND(H4="11-12",V4&gt;='Qualifying Scores'!E$10)),U4,0),IF(OR(AND(H4="17-21",X4&gt;='Qualifying Scores'!E$13),AND(H4="15-16",X4&gt;='Qualifying Scores'!E$12),AND(H4="13-14",X4&gt;='Qualifying Scores'!E$11),AND(H4="11-12",X4&gt;='Qualifying Scores'!E$10)),W4,0),IF(OR(AND(H4="17-21",AA4&gt;='Qualifying Scores'!E$13),AND(H4="15-16",AA4&gt;='Qualifying Scores'!E$12),AND(H4="13-14",AA4&gt;='Qualifying Scores'!E$11),AND(H4="11-12",AA4&gt;='Qualifying Scores'!E$10)),Z4,0),IF(OR(AND(H4="17-21",AC4&gt;='Qualifying Scores'!E$13),AND(H4="15-16",AC4&gt;='Qualifying Scores'!E$12),AND(H4="13-14",AC4&gt;='Qualifying Scores'!E$11),AND(H4="11-12",AC4&gt;='Qualifying Scores'!E$10)),AB4,0),IF(OR(AND(H4="17-21",AE4&gt;='Qualifying Scores'!E$13),AND(H4="15-16",AE4&gt;='Qualifying Scores'!E$12),AND(H4="13-14",AE4&gt;='Qualifying Scores'!E$11),AND(H4="11-12",AE4&gt;='Qualifying Scores'!E$10)),AD4,0),IF(OR(AND(H4="17-21",AH4&gt;='Qualifying Scores'!E$13),AND(H4="15-16",AH4&gt;='Qualifying Scores'!E$12),AND(H4="13-14",AH4&gt;='Qualifying Scores'!E$11),AND(H4="11-12",AH4&gt;='Qualifying Scores'!E$10)),AG4,0)))</f>
        <v>42.62</v>
      </c>
      <c r="T4" s="4">
        <f>MAX(U4,W4,Z4,AB4,AD4,AG4)</f>
        <v>42.62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42.62</v>
      </c>
      <c r="AC4" s="40">
        <v>10.5</v>
      </c>
      <c r="AD4" s="34">
        <v>41.28</v>
      </c>
      <c r="AE4" s="40">
        <v>10.5</v>
      </c>
      <c r="AF4" s="4">
        <f>IF(I4="Senior",MAX(AB4,AD4),AB4+AD4)</f>
        <v>42.62</v>
      </c>
      <c r="AG4" s="34">
        <v>4.9800000000000004</v>
      </c>
      <c r="AH4" s="37">
        <v>1.5</v>
      </c>
    </row>
    <row r="5" spans="1:34" x14ac:dyDescent="0.2">
      <c r="A5" s="1" t="str" cm="1">
        <f t="array" ref="A5">IF(J5="","",IF(Q5&lt;&gt;"",SUMPRODUCT((Q$3:Q$38&lt;&gt;"")*(H$3:H$38=H5)*(K$3:K$38&gt;K5)*(J$3:J$38="P"))+1,IF(P5&lt;&gt;"",SUMPRODUCT((P$3:P$38&lt;&gt;"")*(Q$3:Q$38="")*(H$3:H$38=H5)*(K$3:K$38&gt;K5)*(J$3:J$38="P"))+SUMPRODUCT((Q$3:Q$38&lt;&gt;"")*(H$3:H$38=H5)*(J$3:J$38="P"))+1,IF(O5&lt;&gt;"",SUMPRODUCT((O$3:O$38&lt;&gt;"")*(H$3:H$38=H5)*(K$3:K$38&gt;K5)*(J$3:J$38="P"))+1,IF(N5="P",SUMPRODUCT((P$3:P$38&lt;&gt;"")*(Q$3:Q$38="")*(H$3:H$38=H5)*(J$3:J$38="P"))+SUMPRODUCT((Q$3:Q$38&lt;&gt;"")*(H$3:H$38=H5)*(J$3:J$38="P"))+SUMPRODUCT((O$3:O$38&lt;&gt;"")*(H$3:H$38=H5)*(J$3:J$38="P"))+SUMPRODUCT((Q$3:Q$38="")*(P$3:P$38="")*(O$3:O$38="")*(N$3:N$38="P")*(H$3:H$38=H5)*(K$3:K$38&gt;K5)*(J$3:J$38="P"))+IF(I5="L5",SUMPRODUCT((Q$3:Q$38="")*(P$3:P$38="")*(O$3:O$38="")*(N$3:N$38="P")*(H$3:H$38=H5)*(K$3:K$38&lt;K5)*(I$3:I$38&lt;&gt;I5)*(J$3:J$38="P")),-1*SUMPRODUCT((Q$3:Q$38="")*(P$3:P$38="")*(O$3:O$38="")*(N$3:N$38="P")*(H$3:H$38=H5)*(K$3:K$38&gt;K5)*(I$3:I$38="L5")*(J$3:J$38="P")))+1,"")))))</f>
        <v/>
      </c>
      <c r="B5" s="1" t="str" cm="1">
        <f t="array" ref="B5">IF(Q5&lt;&gt;"",SUMPRODUCT((Q$3:Q$38&lt;&gt;"")*(H$3:H$38=H5)*(K$3:K$38&gt;K5))+1,IF(P5&lt;&gt;"",SUMPRODUCT((P$3:P$38&lt;&gt;"")*(Q$3:Q$38="")*(H$3:H$38=H5)*(K$3:K$38&gt;K5))+SUMPRODUCT((Q$3:Q$38&lt;&gt;"")*(H$3:H$38=H5))+1,IF(O5&lt;&gt;"",SUMPRODUCT((O$3:O$38&lt;&gt;"")*(H$3:H$38=H5)*(K$3:K$38&gt;K5))+1,IF(N5="P",SUMPRODUCT((P$3:P$38&lt;&gt;"")*(Q$3:Q$38="")*(H$3:H$38=H5))+SUMPRODUCT((Q$3:Q$38&lt;&gt;"")*(H$3:H$38=H5))+SUMPRODUCT((O$3:O$38&lt;&gt;"")*(H$3:H$38=H5))+SUMPRODUCT((Q$3:Q$38="")*(P$3:P$38="")*(O$3:O$38="")*(N$3:N$38="P")*(H$3:H$38=H5)*(K$3:K$38&gt;K5))+IF(I5="L5",SUMPRODUCT((Q$3:Q$38="")*(P$3:P$38="")*(O$3:O$38="")*(N$3:N$38="P")*(H$3:H$38=H5)*(K$3:K$38&lt;K5)*(I$3:I$38&lt;&gt;I5)),-1*SUMPRODUCT((Q$3:Q$38="")*(P$3:P$38="")*(O$3:O$38="")*(N$3:N$38="P")*(H$3:H$38=H5)*(K$3:K$38&gt;K5)*(I$3:I$38="L5")))+1,""))))</f>
        <v/>
      </c>
      <c r="C5" s="36" t="s">
        <v>506</v>
      </c>
      <c r="D5" s="36" t="str">
        <f>IF(E5="","",VLOOKUP(E5,'Coaching Points'!A:B,2,0)&amp;"/"&amp;VLOOKUP(F5,'Coaching Points'!A:B,2,0))</f>
        <v>BC/BC</v>
      </c>
      <c r="E5" s="36" t="s">
        <v>37</v>
      </c>
      <c r="F5" s="36" t="s">
        <v>37</v>
      </c>
      <c r="G5" s="35">
        <v>2001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168</v>
      </c>
      <c r="J5" s="45" t="s">
        <v>604</v>
      </c>
      <c r="K5" s="4">
        <f>S5+IF(OR(I5="Junior",I5="Senior"),0.0002,IF(OR(I5="L7",I5="L6"),0.0001,0))+MAX(AB5,AD5,AG5)*0.0000001</f>
        <v>42.080204207999998</v>
      </c>
      <c r="L5" s="3" t="str">
        <f>IF(H5="Not Age Eligible","",IF(MAX(U5,W5,Z5,AB5,AD5,AG5)&gt;=LOOKUP(H5,'Qualifying Scores'!$A$4:$A$7,'Qualifying Scores'!$E$4:$E$7),"P",""))</f>
        <v/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Scores'!E$13),AND(H5="15-16",V5&gt;='Qualifying Scores'!E$12),AND(H5="13-14",V5&gt;='Qualifying Scores'!E$11),AND(H5="11-12",V5&gt;='Qualifying Scores'!E$10)),U5,0),IF(OR(AND(H5="17-21",X5&gt;='Qualifying Scores'!E$13),AND(H5="15-16",X5&gt;='Qualifying Scores'!E$12),AND(H5="13-14",X5&gt;='Qualifying Scores'!E$11),AND(H5="11-12",X5&gt;='Qualifying Scores'!E$10)),W5,0),IF(OR(AND(H5="17-21",AA5&gt;='Qualifying Scores'!E$13),AND(H5="15-16",AA5&gt;='Qualifying Scores'!E$12),AND(H5="13-14",AA5&gt;='Qualifying Scores'!E$11),AND(H5="11-12",AA5&gt;='Qualifying Scores'!E$10)),Z5,0),IF(OR(AND(H5="17-21",AC5&gt;='Qualifying Scores'!E$13),AND(H5="15-16",AC5&gt;='Qualifying Scores'!E$12),AND(H5="13-14",AC5&gt;='Qualifying Scores'!E$11),AND(H5="11-12",AC5&gt;='Qualifying Scores'!E$10)),AB5,0),IF(OR(AND(H5="17-21",AE5&gt;='Qualifying Scores'!E$13),AND(H5="15-16",AE5&gt;='Qualifying Scores'!E$12),AND(H5="13-14",AE5&gt;='Qualifying Scores'!E$11),AND(H5="11-12",AE5&gt;='Qualifying Scores'!E$10)),AD5,0),IF(OR(AND(H5="17-21",AH5&gt;='Qualifying Scores'!E$13),AND(H5="15-16",AH5&gt;='Qualifying Scores'!E$12),AND(H5="13-14",AH5&gt;='Qualifying Scores'!E$11),AND(H5="11-12",AH5&gt;='Qualifying Scores'!E$10)),AG5,0)))</f>
        <v>42.08</v>
      </c>
      <c r="T5" s="4">
        <f>MAX(U5,W5,Z5,AB5,AD5,AG5)</f>
        <v>42.08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42.08</v>
      </c>
      <c r="AC5" s="40">
        <v>11.3</v>
      </c>
      <c r="AD5" s="34">
        <v>14.14</v>
      </c>
      <c r="AE5" s="40">
        <v>0.6</v>
      </c>
      <c r="AF5" s="4">
        <f>IF(I5="Senior",MAX(AB5,AD5),AB5+AD5)</f>
        <v>42.08</v>
      </c>
      <c r="AG5" s="34">
        <v>27.17</v>
      </c>
      <c r="AH5" s="37">
        <v>7.2</v>
      </c>
    </row>
    <row r="6" spans="1:34" x14ac:dyDescent="0.2">
      <c r="A6" s="1" t="str" cm="1">
        <f t="array" ref="A6">IF(J6="","",IF(Q6&lt;&gt;"",SUMPRODUCT((Q$3:Q$38&lt;&gt;"")*(H$3:H$38=H6)*(K$3:K$38&gt;K6)*(J$3:J$38="P"))+1,IF(P6&lt;&gt;"",SUMPRODUCT((P$3:P$38&lt;&gt;"")*(Q$3:Q$38="")*(H$3:H$38=H6)*(K$3:K$38&gt;K6)*(J$3:J$38="P"))+SUMPRODUCT((Q$3:Q$38&lt;&gt;"")*(H$3:H$38=H6)*(J$3:J$38="P"))+1,IF(O6&lt;&gt;"",SUMPRODUCT((O$3:O$38&lt;&gt;"")*(H$3:H$38=H6)*(K$3:K$38&gt;K6)*(J$3:J$38="P"))+1,IF(N6="P",SUMPRODUCT((P$3:P$38&lt;&gt;"")*(Q$3:Q$38="")*(H$3:H$38=H6)*(J$3:J$38="P"))+SUMPRODUCT((Q$3:Q$38&lt;&gt;"")*(H$3:H$38=H6)*(J$3:J$38="P"))+SUMPRODUCT((O$3:O$38&lt;&gt;"")*(H$3:H$38=H6)*(J$3:J$38="P"))+SUMPRODUCT((Q$3:Q$38="")*(P$3:P$38="")*(O$3:O$38="")*(N$3:N$38="P")*(H$3:H$38=H6)*(K$3:K$38&gt;K6)*(J$3:J$38="P"))+IF(I6="L5",SUMPRODUCT((Q$3:Q$38="")*(P$3:P$38="")*(O$3:O$38="")*(N$3:N$38="P")*(H$3:H$38=H6)*(K$3:K$38&lt;K6)*(I$3:I$38&lt;&gt;I6)*(J$3:J$38="P")),-1*SUMPRODUCT((Q$3:Q$38="")*(P$3:P$38="")*(O$3:O$38="")*(N$3:N$38="P")*(H$3:H$38=H6)*(K$3:K$38&gt;K6)*(I$3:I$38="L5")*(J$3:J$38="P")))+1,"")))))</f>
        <v/>
      </c>
      <c r="B6" s="1" t="str" cm="1">
        <f t="array" ref="B6">IF(Q6&lt;&gt;"",SUMPRODUCT((Q$3:Q$38&lt;&gt;"")*(H$3:H$38=H6)*(K$3:K$38&gt;K6))+1,IF(P6&lt;&gt;"",SUMPRODUCT((P$3:P$38&lt;&gt;"")*(Q$3:Q$38="")*(H$3:H$38=H6)*(K$3:K$38&gt;K6))+SUMPRODUCT((Q$3:Q$38&lt;&gt;"")*(H$3:H$38=H6))+1,IF(O6&lt;&gt;"",SUMPRODUCT((O$3:O$38&lt;&gt;"")*(H$3:H$38=H6)*(K$3:K$38&gt;K6))+1,IF(N6="P",SUMPRODUCT((P$3:P$38&lt;&gt;"")*(Q$3:Q$38="")*(H$3:H$38=H6))+SUMPRODUCT((Q$3:Q$38&lt;&gt;"")*(H$3:H$38=H6))+SUMPRODUCT((O$3:O$38&lt;&gt;"")*(H$3:H$38=H6))+SUMPRODUCT((Q$3:Q$38="")*(P$3:P$38="")*(O$3:O$38="")*(N$3:N$38="P")*(H$3:H$38=H6)*(K$3:K$38&gt;K6))+IF(I6="L5",SUMPRODUCT((Q$3:Q$38="")*(P$3:P$38="")*(O$3:O$38="")*(N$3:N$38="P")*(H$3:H$38=H6)*(K$3:K$38&lt;K6)*(I$3:I$38&lt;&gt;I6)),-1*SUMPRODUCT((Q$3:Q$38="")*(P$3:P$38="")*(O$3:O$38="")*(N$3:N$38="P")*(H$3:H$38=H6)*(K$3:K$38&gt;K6)*(I$3:I$38="L5")))+1,""))))</f>
        <v/>
      </c>
      <c r="C6" s="36" t="s">
        <v>496</v>
      </c>
      <c r="D6" s="36" t="str">
        <f>IF(E6="","",VLOOKUP(E6,'Coaching Points'!A:B,2,0)&amp;"/"&amp;VLOOKUP(F6,'Coaching Points'!A:B,2,0))</f>
        <v>BC/BC</v>
      </c>
      <c r="E6" s="36" t="s">
        <v>37</v>
      </c>
      <c r="F6" s="36" t="s">
        <v>42</v>
      </c>
      <c r="G6" s="35">
        <v>2001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 t="s">
        <v>604</v>
      </c>
      <c r="K6" s="4">
        <f>S6+IF(OR(I6="Junior",I6="Senior"),0.0002,IF(OR(I6="L7",I6="L6"),0.0001,0))+MAX(AB6,AD6,AG6)*0.0000001</f>
        <v>39.220103922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>P</v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Scores'!E$13),AND(H6="15-16",V6&gt;='Qualifying Scores'!E$12),AND(H6="13-14",V6&gt;='Qualifying Scores'!E$11),AND(H6="11-12",V6&gt;='Qualifying Scores'!E$10)),U6,0),IF(OR(AND(H6="17-21",X6&gt;='Qualifying Scores'!E$13),AND(H6="15-16",X6&gt;='Qualifying Scores'!E$12),AND(H6="13-14",X6&gt;='Qualifying Scores'!E$11),AND(H6="11-12",X6&gt;='Qualifying Scores'!E$10)),W6,0),IF(OR(AND(H6="17-21",AA6&gt;='Qualifying Scores'!E$13),AND(H6="15-16",AA6&gt;='Qualifying Scores'!E$12),AND(H6="13-14",AA6&gt;='Qualifying Scores'!E$11),AND(H6="11-12",AA6&gt;='Qualifying Scores'!E$10)),Z6,0),IF(OR(AND(H6="17-21",AC6&gt;='Qualifying Scores'!E$13),AND(H6="15-16",AC6&gt;='Qualifying Scores'!E$12),AND(H6="13-14",AC6&gt;='Qualifying Scores'!E$11),AND(H6="11-12",AC6&gt;='Qualifying Scores'!E$10)),AB6,0),IF(OR(AND(H6="17-21",AE6&gt;='Qualifying Scores'!E$13),AND(H6="15-16",AE6&gt;='Qualifying Scores'!E$12),AND(H6="13-14",AE6&gt;='Qualifying Scores'!E$11),AND(H6="11-12",AE6&gt;='Qualifying Scores'!E$10)),AD6,0),IF(OR(AND(H6="17-21",AH6&gt;='Qualifying Scores'!E$13),AND(H6="15-16",AH6&gt;='Qualifying Scores'!E$12),AND(H6="13-14",AH6&gt;='Qualifying Scores'!E$11),AND(H6="11-12",AH6&gt;='Qualifying Scores'!E$10)),AG6,0)))</f>
        <v>39.22</v>
      </c>
      <c r="T6" s="4">
        <f>MAX(U6,W6,Z6,AB6,AD6,AG6)</f>
        <v>39.22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39.22</v>
      </c>
      <c r="AC6" s="40">
        <v>8.9</v>
      </c>
      <c r="AD6" s="34"/>
      <c r="AE6" s="40"/>
      <c r="AF6" s="4">
        <f>IF(I6="Senior",MAX(AB6,AD6),AB6+AD6)</f>
        <v>39.22</v>
      </c>
      <c r="AG6" s="34">
        <v>13.52</v>
      </c>
      <c r="AH6" s="37">
        <v>2.4</v>
      </c>
    </row>
    <row r="7" spans="1:34" x14ac:dyDescent="0.2">
      <c r="A7" s="1" t="str" cm="1">
        <f t="array" ref="A7">IF(J7="","",IF(Q7&lt;&gt;"",SUMPRODUCT((Q$3:Q$38&lt;&gt;"")*(H$3:H$38=H7)*(K$3:K$38&gt;K7)*(J$3:J$38="P"))+1,IF(P7&lt;&gt;"",SUMPRODUCT((P$3:P$38&lt;&gt;"")*(Q$3:Q$38="")*(H$3:H$38=H7)*(K$3:K$38&gt;K7)*(J$3:J$38="P"))+SUMPRODUCT((Q$3:Q$38&lt;&gt;"")*(H$3:H$38=H7)*(J$3:J$38="P"))+1,IF(O7&lt;&gt;"",SUMPRODUCT((O$3:O$38&lt;&gt;"")*(H$3:H$38=H7)*(K$3:K$38&gt;K7)*(J$3:J$38="P"))+1,IF(N7="P",SUMPRODUCT((P$3:P$38&lt;&gt;"")*(Q$3:Q$38="")*(H$3:H$38=H7)*(J$3:J$38="P"))+SUMPRODUCT((Q$3:Q$38&lt;&gt;"")*(H$3:H$38=H7)*(J$3:J$38="P"))+SUMPRODUCT((O$3:O$38&lt;&gt;"")*(H$3:H$38=H7)*(J$3:J$38="P"))+SUMPRODUCT((Q$3:Q$38="")*(P$3:P$38="")*(O$3:O$38="")*(N$3:N$38="P")*(H$3:H$38=H7)*(K$3:K$38&gt;K7)*(J$3:J$38="P"))+IF(I7="L5",SUMPRODUCT((Q$3:Q$38="")*(P$3:P$38="")*(O$3:O$38="")*(N$3:N$38="P")*(H$3:H$38=H7)*(K$3:K$38&lt;K7)*(I$3:I$38&lt;&gt;I7)*(J$3:J$38="P")),-1*SUMPRODUCT((Q$3:Q$38="")*(P$3:P$38="")*(O$3:O$38="")*(N$3:N$38="P")*(H$3:H$38=H7)*(K$3:K$38&gt;K7)*(I$3:I$38="L5")*(J$3:J$38="P")))+1,"")))))</f>
        <v/>
      </c>
      <c r="B7" s="1" t="str" cm="1">
        <f t="array" ref="B7">IF(Q7&lt;&gt;"",SUMPRODUCT((Q$3:Q$38&lt;&gt;"")*(H$3:H$38=H7)*(K$3:K$38&gt;K7))+1,IF(P7&lt;&gt;"",SUMPRODUCT((P$3:P$38&lt;&gt;"")*(Q$3:Q$38="")*(H$3:H$38=H7)*(K$3:K$38&gt;K7))+SUMPRODUCT((Q$3:Q$38&lt;&gt;"")*(H$3:H$38=H7))+1,IF(O7&lt;&gt;"",SUMPRODUCT((O$3:O$38&lt;&gt;"")*(H$3:H$38=H7)*(K$3:K$38&gt;K7))+1,IF(N7="P",SUMPRODUCT((P$3:P$38&lt;&gt;"")*(Q$3:Q$38="")*(H$3:H$38=H7))+SUMPRODUCT((Q$3:Q$38&lt;&gt;"")*(H$3:H$38=H7))+SUMPRODUCT((O$3:O$38&lt;&gt;"")*(H$3:H$38=H7))+SUMPRODUCT((Q$3:Q$38="")*(P$3:P$38="")*(O$3:O$38="")*(N$3:N$38="P")*(H$3:H$38=H7)*(K$3:K$38&gt;K7))+IF(I7="L5",SUMPRODUCT((Q$3:Q$38="")*(P$3:P$38="")*(O$3:O$38="")*(N$3:N$38="P")*(H$3:H$38=H7)*(K$3:K$38&lt;K7)*(I$3:I$38&lt;&gt;I7)),-1*SUMPRODUCT((Q$3:Q$38="")*(P$3:P$38="")*(O$3:O$38="")*(N$3:N$38="P")*(H$3:H$38=H7)*(K$3:K$38&gt;K7)*(I$3:I$38="L5")))+1,""))))</f>
        <v/>
      </c>
      <c r="C7" s="36" t="s">
        <v>500</v>
      </c>
      <c r="D7" s="36" t="str">
        <f>IF(E7="","",VLOOKUP(E7,'Coaching Points'!A:B,2,0)&amp;"/"&amp;VLOOKUP(F7,'Coaching Points'!A:B,2,0))</f>
        <v>QC/QC</v>
      </c>
      <c r="E7" s="36" t="s">
        <v>587</v>
      </c>
      <c r="F7" s="36" t="s">
        <v>587</v>
      </c>
      <c r="G7" s="35">
        <v>2003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1.0443E-4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Scores'!E$13),AND(H7="15-16",V7&gt;='Qualifying Scores'!E$12),AND(H7="13-14",V7&gt;='Qualifying Scores'!E$11),AND(H7="11-12",V7&gt;='Qualifying Scores'!E$10)),U7,0),IF(OR(AND(H7="17-21",X7&gt;='Qualifying Scores'!E$13),AND(H7="15-16",X7&gt;='Qualifying Scores'!E$12),AND(H7="13-14",X7&gt;='Qualifying Scores'!E$11),AND(H7="11-12",X7&gt;='Qualifying Scores'!E$10)),W7,0),IF(OR(AND(H7="17-21",AA7&gt;='Qualifying Scores'!E$13),AND(H7="15-16",AA7&gt;='Qualifying Scores'!E$12),AND(H7="13-14",AA7&gt;='Qualifying Scores'!E$11),AND(H7="11-12",AA7&gt;='Qualifying Scores'!E$10)),Z7,0),IF(OR(AND(H7="17-21",AC7&gt;='Qualifying Scores'!E$13),AND(H7="15-16",AC7&gt;='Qualifying Scores'!E$12),AND(H7="13-14",AC7&gt;='Qualifying Scores'!E$11),AND(H7="11-12",AC7&gt;='Qualifying Scores'!E$10)),AB7,0),IF(OR(AND(H7="17-21",AE7&gt;='Qualifying Scores'!E$13),AND(H7="15-16",AE7&gt;='Qualifying Scores'!E$12),AND(H7="13-14",AE7&gt;='Qualifying Scores'!E$11),AND(H7="11-12",AE7&gt;='Qualifying Scores'!E$10)),AD7,0),IF(OR(AND(H7="17-21",AH7&gt;='Qualifying Scores'!E$13),AND(H7="15-16",AH7&gt;='Qualifying Scores'!E$12),AND(H7="13-14",AH7&gt;='Qualifying Scores'!E$11),AND(H7="11-12",AH7&gt;='Qualifying Scores'!E$10)),AG7,0)))</f>
        <v>0</v>
      </c>
      <c r="T7" s="4">
        <f>MAX(U7,W7,Z7,AB7,AD7,AG7)</f>
        <v>44.3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44.3</v>
      </c>
      <c r="AC7" s="40">
        <v>8.1</v>
      </c>
      <c r="AD7" s="34"/>
      <c r="AE7" s="40"/>
      <c r="AF7" s="4">
        <f>IF(I7="Senior",MAX(AB7,AD7),AB7+AD7)</f>
        <v>44.3</v>
      </c>
      <c r="AG7" s="34">
        <v>18</v>
      </c>
      <c r="AH7" s="37">
        <v>3.9</v>
      </c>
    </row>
    <row r="8" spans="1:34" x14ac:dyDescent="0.2">
      <c r="A8" s="1" t="str" cm="1">
        <f t="array" ref="A8">IF(J8="","",IF(Q8&lt;&gt;"",SUMPRODUCT((Q$3:Q$38&lt;&gt;"")*(H$3:H$38=H8)*(K$3:K$38&gt;K8)*(J$3:J$38="P"))+1,IF(P8&lt;&gt;"",SUMPRODUCT((P$3:P$38&lt;&gt;"")*(Q$3:Q$38="")*(H$3:H$38=H8)*(K$3:K$38&gt;K8)*(J$3:J$38="P"))+SUMPRODUCT((Q$3:Q$38&lt;&gt;"")*(H$3:H$38=H8)*(J$3:J$38="P"))+1,IF(O8&lt;&gt;"",SUMPRODUCT((O$3:O$38&lt;&gt;"")*(H$3:H$38=H8)*(K$3:K$38&gt;K8)*(J$3:J$38="P"))+1,IF(N8="P",SUMPRODUCT((P$3:P$38&lt;&gt;"")*(Q$3:Q$38="")*(H$3:H$38=H8)*(J$3:J$38="P"))+SUMPRODUCT((Q$3:Q$38&lt;&gt;"")*(H$3:H$38=H8)*(J$3:J$38="P"))+SUMPRODUCT((O$3:O$38&lt;&gt;"")*(H$3:H$38=H8)*(J$3:J$38="P"))+SUMPRODUCT((Q$3:Q$38="")*(P$3:P$38="")*(O$3:O$38="")*(N$3:N$38="P")*(H$3:H$38=H8)*(K$3:K$38&gt;K8)*(J$3:J$38="P"))+IF(I8="L5",SUMPRODUCT((Q$3:Q$38="")*(P$3:P$38="")*(O$3:O$38="")*(N$3:N$38="P")*(H$3:H$38=H8)*(K$3:K$38&lt;K8)*(I$3:I$38&lt;&gt;I8)*(J$3:J$38="P")),-1*SUMPRODUCT((Q$3:Q$38="")*(P$3:P$38="")*(O$3:O$38="")*(N$3:N$38="P")*(H$3:H$38=H8)*(K$3:K$38&gt;K8)*(I$3:I$38="L5")*(J$3:J$38="P")))+1,"")))))</f>
        <v/>
      </c>
      <c r="B8" s="1" t="str" cm="1">
        <f t="array" ref="B8">IF(Q8&lt;&gt;"",SUMPRODUCT((Q$3:Q$38&lt;&gt;"")*(H$3:H$38=H8)*(K$3:K$38&gt;K8))+1,IF(P8&lt;&gt;"",SUMPRODUCT((P$3:P$38&lt;&gt;"")*(Q$3:Q$38="")*(H$3:H$38=H8)*(K$3:K$38&gt;K8))+SUMPRODUCT((Q$3:Q$38&lt;&gt;"")*(H$3:H$38=H8))+1,IF(O8&lt;&gt;"",SUMPRODUCT((O$3:O$38&lt;&gt;"")*(H$3:H$38=H8)*(K$3:K$38&gt;K8))+1,IF(N8="P",SUMPRODUCT((P$3:P$38&lt;&gt;"")*(Q$3:Q$38="")*(H$3:H$38=H8))+SUMPRODUCT((Q$3:Q$38&lt;&gt;"")*(H$3:H$38=H8))+SUMPRODUCT((O$3:O$38&lt;&gt;"")*(H$3:H$38=H8))+SUMPRODUCT((Q$3:Q$38="")*(P$3:P$38="")*(O$3:O$38="")*(N$3:N$38="P")*(H$3:H$38=H8)*(K$3:K$38&gt;K8))+IF(I8="L5",SUMPRODUCT((Q$3:Q$38="")*(P$3:P$38="")*(O$3:O$38="")*(N$3:N$38="P")*(H$3:H$38=H8)*(K$3:K$38&lt;K8)*(I$3:I$38&lt;&gt;I8)),-1*SUMPRODUCT((Q$3:Q$38="")*(P$3:P$38="")*(O$3:O$38="")*(N$3:N$38="P")*(H$3:H$38=H8)*(K$3:K$38&gt;K8)*(I$3:I$38="L5")))+1,""))))</f>
        <v/>
      </c>
      <c r="C8" s="36" t="s">
        <v>498</v>
      </c>
      <c r="D8" s="36" t="str">
        <f>IF(E8="","",VLOOKUP(E8,'Coaching Points'!A:B,2,0)&amp;"/"&amp;VLOOKUP(F8,'Coaching Points'!A:B,2,0))</f>
        <v>QC/QC</v>
      </c>
      <c r="E8" s="36" t="s">
        <v>587</v>
      </c>
      <c r="F8" s="36" t="s">
        <v>587</v>
      </c>
      <c r="G8" s="35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1.04363E-4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Scores'!E$13),AND(H8="15-16",V8&gt;='Qualifying Scores'!E$12),AND(H8="13-14",V8&gt;='Qualifying Scores'!E$11),AND(H8="11-12",V8&gt;='Qualifying Scores'!E$10)),U8,0),IF(OR(AND(H8="17-21",X8&gt;='Qualifying Scores'!E$13),AND(H8="15-16",X8&gt;='Qualifying Scores'!E$12),AND(H8="13-14",X8&gt;='Qualifying Scores'!E$11),AND(H8="11-12",X8&gt;='Qualifying Scores'!E$10)),W8,0),IF(OR(AND(H8="17-21",AA8&gt;='Qualifying Scores'!E$13),AND(H8="15-16",AA8&gt;='Qualifying Scores'!E$12),AND(H8="13-14",AA8&gt;='Qualifying Scores'!E$11),AND(H8="11-12",AA8&gt;='Qualifying Scores'!E$10)),Z8,0),IF(OR(AND(H8="17-21",AC8&gt;='Qualifying Scores'!E$13),AND(H8="15-16",AC8&gt;='Qualifying Scores'!E$12),AND(H8="13-14",AC8&gt;='Qualifying Scores'!E$11),AND(H8="11-12",AC8&gt;='Qualifying Scores'!E$10)),AB8,0),IF(OR(AND(H8="17-21",AE8&gt;='Qualifying Scores'!E$13),AND(H8="15-16",AE8&gt;='Qualifying Scores'!E$12),AND(H8="13-14",AE8&gt;='Qualifying Scores'!E$11),AND(H8="11-12",AE8&gt;='Qualifying Scores'!E$10)),AD8,0),IF(OR(AND(H8="17-21",AH8&gt;='Qualifying Scores'!E$13),AND(H8="15-16",AH8&gt;='Qualifying Scores'!E$12),AND(H8="13-14",AH8&gt;='Qualifying Scores'!E$11),AND(H8="11-12",AH8&gt;='Qualifying Scores'!E$10)),AG8,0)))</f>
        <v>0</v>
      </c>
      <c r="T8" s="4">
        <f>MAX(U8,W8,Z8,AB8,AD8,AG8)</f>
        <v>43.63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42.92</v>
      </c>
      <c r="AC8" s="40">
        <v>8.5</v>
      </c>
      <c r="AD8" s="34"/>
      <c r="AE8" s="40"/>
      <c r="AF8" s="4">
        <f>IF(I8="Senior",MAX(AB8,AD8),AB8+AD8)</f>
        <v>42.92</v>
      </c>
      <c r="AG8" s="34">
        <v>43.63</v>
      </c>
      <c r="AH8" s="37">
        <v>8.5</v>
      </c>
    </row>
    <row r="9" spans="1:34" x14ac:dyDescent="0.2">
      <c r="A9" s="1" t="str" cm="1">
        <f t="array" ref="A9">IF(J9="","",IF(Q9&lt;&gt;"",SUMPRODUCT((Q$3:Q$38&lt;&gt;"")*(H$3:H$38=H9)*(K$3:K$38&gt;K9)*(J$3:J$38="P"))+1,IF(P9&lt;&gt;"",SUMPRODUCT((P$3:P$38&lt;&gt;"")*(Q$3:Q$38="")*(H$3:H$38=H9)*(K$3:K$38&gt;K9)*(J$3:J$38="P"))+SUMPRODUCT((Q$3:Q$38&lt;&gt;"")*(H$3:H$38=H9)*(J$3:J$38="P"))+1,IF(O9&lt;&gt;"",SUMPRODUCT((O$3:O$38&lt;&gt;"")*(H$3:H$38=H9)*(K$3:K$38&gt;K9)*(J$3:J$38="P"))+1,IF(N9="P",SUMPRODUCT((P$3:P$38&lt;&gt;"")*(Q$3:Q$38="")*(H$3:H$38=H9)*(J$3:J$38="P"))+SUMPRODUCT((Q$3:Q$38&lt;&gt;"")*(H$3:H$38=H9)*(J$3:J$38="P"))+SUMPRODUCT((O$3:O$38&lt;&gt;"")*(H$3:H$38=H9)*(J$3:J$38="P"))+SUMPRODUCT((Q$3:Q$38="")*(P$3:P$38="")*(O$3:O$38="")*(N$3:N$38="P")*(H$3:H$38=H9)*(K$3:K$38&gt;K9)*(J$3:J$38="P"))+IF(I9="L5",SUMPRODUCT((Q$3:Q$38="")*(P$3:P$38="")*(O$3:O$38="")*(N$3:N$38="P")*(H$3:H$38=H9)*(K$3:K$38&lt;K9)*(I$3:I$38&lt;&gt;I9)*(J$3:J$38="P")),-1*SUMPRODUCT((Q$3:Q$38="")*(P$3:P$38="")*(O$3:O$38="")*(N$3:N$38="P")*(H$3:H$38=H9)*(K$3:K$38&gt;K9)*(I$3:I$38="L5")*(J$3:J$38="P")))+1,"")))))</f>
        <v/>
      </c>
      <c r="B9" s="1" t="str" cm="1">
        <f t="array" ref="B9">IF(Q9&lt;&gt;"",SUMPRODUCT((Q$3:Q$38&lt;&gt;"")*(H$3:H$38=H9)*(K$3:K$38&gt;K9))+1,IF(P9&lt;&gt;"",SUMPRODUCT((P$3:P$38&lt;&gt;"")*(Q$3:Q$38="")*(H$3:H$38=H9)*(K$3:K$38&gt;K9))+SUMPRODUCT((Q$3:Q$38&lt;&gt;"")*(H$3:H$38=H9))+1,IF(O9&lt;&gt;"",SUMPRODUCT((O$3:O$38&lt;&gt;"")*(H$3:H$38=H9)*(K$3:K$38&gt;K9))+1,IF(N9="P",SUMPRODUCT((P$3:P$38&lt;&gt;"")*(Q$3:Q$38="")*(H$3:H$38=H9))+SUMPRODUCT((Q$3:Q$38&lt;&gt;"")*(H$3:H$38=H9))+SUMPRODUCT((O$3:O$38&lt;&gt;"")*(H$3:H$38=H9))+SUMPRODUCT((Q$3:Q$38="")*(P$3:P$38="")*(O$3:O$38="")*(N$3:N$38="P")*(H$3:H$38=H9)*(K$3:K$38&gt;K9))+IF(I9="L5",SUMPRODUCT((Q$3:Q$38="")*(P$3:P$38="")*(O$3:O$38="")*(N$3:N$38="P")*(H$3:H$38=H9)*(K$3:K$38&lt;K9)*(I$3:I$38&lt;&gt;I9)),-1*SUMPRODUCT((Q$3:Q$38="")*(P$3:P$38="")*(O$3:O$38="")*(N$3:N$38="P")*(H$3:H$38=H9)*(K$3:K$38&gt;K9)*(I$3:I$38="L5")))+1,""))))</f>
        <v/>
      </c>
      <c r="C9" s="36" t="s">
        <v>497</v>
      </c>
      <c r="D9" s="36" t="str">
        <f>IF(E9="","",VLOOKUP(E9,'Coaching Points'!A:B,2,0)&amp;"/"&amp;VLOOKUP(F9,'Coaching Points'!A:B,2,0))</f>
        <v>SK/SK</v>
      </c>
      <c r="E9" s="36" t="s">
        <v>46</v>
      </c>
      <c r="F9" s="36" t="s">
        <v>46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1.0413800000000001E-4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Scores'!E$13),AND(H9="15-16",V9&gt;='Qualifying Scores'!E$12),AND(H9="13-14",V9&gt;='Qualifying Scores'!E$11),AND(H9="11-12",V9&gt;='Qualifying Scores'!E$10)),U9,0),IF(OR(AND(H9="17-21",X9&gt;='Qualifying Scores'!E$13),AND(H9="15-16",X9&gt;='Qualifying Scores'!E$12),AND(H9="13-14",X9&gt;='Qualifying Scores'!E$11),AND(H9="11-12",X9&gt;='Qualifying Scores'!E$10)),W9,0),IF(OR(AND(H9="17-21",AA9&gt;='Qualifying Scores'!E$13),AND(H9="15-16",AA9&gt;='Qualifying Scores'!E$12),AND(H9="13-14",AA9&gt;='Qualifying Scores'!E$11),AND(H9="11-12",AA9&gt;='Qualifying Scores'!E$10)),Z9,0),IF(OR(AND(H9="17-21",AC9&gt;='Qualifying Scores'!E$13),AND(H9="15-16",AC9&gt;='Qualifying Scores'!E$12),AND(H9="13-14",AC9&gt;='Qualifying Scores'!E$11),AND(H9="11-12",AC9&gt;='Qualifying Scores'!E$10)),AB9,0),IF(OR(AND(H9="17-21",AE9&gt;='Qualifying Scores'!E$13),AND(H9="15-16",AE9&gt;='Qualifying Scores'!E$12),AND(H9="13-14",AE9&gt;='Qualifying Scores'!E$11),AND(H9="11-12",AE9&gt;='Qualifying Scores'!E$10)),AD9,0),IF(OR(AND(H9="17-21",AH9&gt;='Qualifying Scores'!E$13),AND(H9="15-16",AH9&gt;='Qualifying Scores'!E$12),AND(H9="13-14",AH9&gt;='Qualifying Scores'!E$11),AND(H9="11-12",AH9&gt;='Qualifying Scores'!E$10)),AG9,0)))</f>
        <v>0</v>
      </c>
      <c r="T9" s="4">
        <f>MAX(U9,W9,Z9,AB9,AD9,AG9)</f>
        <v>41.38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41.38</v>
      </c>
      <c r="AC9" s="40">
        <v>8.1</v>
      </c>
      <c r="AD9" s="34"/>
      <c r="AE9" s="40"/>
      <c r="AF9" s="4">
        <f>IF(I9="Senior",MAX(AB9,AD9),AB9+AD9)</f>
        <v>41.38</v>
      </c>
      <c r="AG9" s="34"/>
      <c r="AH9" s="37"/>
    </row>
    <row r="10" spans="1:34" x14ac:dyDescent="0.2">
      <c r="A10" s="1" t="str" cm="1">
        <f t="array" ref="A10">IF(J10="","",IF(Q10&lt;&gt;"",SUMPRODUCT((Q$3:Q$38&lt;&gt;"")*(H$3:H$38=H10)*(K$3:K$38&gt;K10)*(J$3:J$38="P"))+1,IF(P10&lt;&gt;"",SUMPRODUCT((P$3:P$38&lt;&gt;"")*(Q$3:Q$38="")*(H$3:H$38=H10)*(K$3:K$38&gt;K10)*(J$3:J$38="P"))+SUMPRODUCT((Q$3:Q$38&lt;&gt;"")*(H$3:H$38=H10)*(J$3:J$38="P"))+1,IF(O10&lt;&gt;"",SUMPRODUCT((O$3:O$38&lt;&gt;"")*(H$3:H$38=H10)*(K$3:K$38&gt;K10)*(J$3:J$38="P"))+1,IF(N10="P",SUMPRODUCT((P$3:P$38&lt;&gt;"")*(Q$3:Q$38="")*(H$3:H$38=H10)*(J$3:J$38="P"))+SUMPRODUCT((Q$3:Q$38&lt;&gt;"")*(H$3:H$38=H10)*(J$3:J$38="P"))+SUMPRODUCT((O$3:O$38&lt;&gt;"")*(H$3:H$38=H10)*(J$3:J$38="P"))+SUMPRODUCT((Q$3:Q$38="")*(P$3:P$38="")*(O$3:O$38="")*(N$3:N$38="P")*(H$3:H$38=H10)*(K$3:K$38&gt;K10)*(J$3:J$38="P"))+IF(I10="L5",SUMPRODUCT((Q$3:Q$38="")*(P$3:P$38="")*(O$3:O$38="")*(N$3:N$38="P")*(H$3:H$38=H10)*(K$3:K$38&lt;K10)*(I$3:I$38&lt;&gt;I10)*(J$3:J$38="P")),-1*SUMPRODUCT((Q$3:Q$38="")*(P$3:P$38="")*(O$3:O$38="")*(N$3:N$38="P")*(H$3:H$38=H10)*(K$3:K$38&gt;K10)*(I$3:I$38="L5")*(J$3:J$38="P")))+1,"")))))</f>
        <v/>
      </c>
      <c r="B10" s="1" t="str" cm="1">
        <f t="array" ref="B10">IF(Q10&lt;&gt;"",SUMPRODUCT((Q$3:Q$38&lt;&gt;"")*(H$3:H$38=H10)*(K$3:K$38&gt;K10))+1,IF(P10&lt;&gt;"",SUMPRODUCT((P$3:P$38&lt;&gt;"")*(Q$3:Q$38="")*(H$3:H$38=H10)*(K$3:K$38&gt;K10))+SUMPRODUCT((Q$3:Q$38&lt;&gt;"")*(H$3:H$38=H10))+1,IF(O10&lt;&gt;"",SUMPRODUCT((O$3:O$38&lt;&gt;"")*(H$3:H$38=H10)*(K$3:K$38&gt;K10))+1,IF(N10="P",SUMPRODUCT((P$3:P$38&lt;&gt;"")*(Q$3:Q$38="")*(H$3:H$38=H10))+SUMPRODUCT((Q$3:Q$38&lt;&gt;"")*(H$3:H$38=H10))+SUMPRODUCT((O$3:O$38&lt;&gt;"")*(H$3:H$38=H10))+SUMPRODUCT((Q$3:Q$38="")*(P$3:P$38="")*(O$3:O$38="")*(N$3:N$38="P")*(H$3:H$38=H10)*(K$3:K$38&gt;K10))+IF(I10="L5",SUMPRODUCT((Q$3:Q$38="")*(P$3:P$38="")*(O$3:O$38="")*(N$3:N$38="P")*(H$3:H$38=H10)*(K$3:K$38&lt;K10)*(I$3:I$38&lt;&gt;I10)),-1*SUMPRODUCT((Q$3:Q$38="")*(P$3:P$38="")*(O$3:O$38="")*(N$3:N$38="P")*(H$3:H$38=H10)*(K$3:K$38&gt;K10)*(I$3:I$38="L5")))+1,""))))</f>
        <v/>
      </c>
      <c r="C10" s="36" t="s">
        <v>501</v>
      </c>
      <c r="D10" s="36" t="str">
        <f>IF(E10="","",VLOOKUP(E10,'Coaching Points'!A:B,2,0)&amp;"/"&amp;VLOOKUP(F10,'Coaching Points'!A:B,2,0))</f>
        <v>QC/QC</v>
      </c>
      <c r="E10" s="36" t="s">
        <v>586</v>
      </c>
      <c r="F10" s="36" t="s">
        <v>586</v>
      </c>
      <c r="G10" s="35">
        <v>2002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116</v>
      </c>
      <c r="J10" s="45"/>
      <c r="K10" s="4">
        <f>S10+IF(OR(I10="Junior",I10="Senior"),0.0002,IF(OR(I10="L7",I10="L6"),0.0001,0))+MAX(AB10,AD10,AG10)*0.0000001</f>
        <v>1.0413600000000001E-4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Scores'!E$13),AND(H10="15-16",V10&gt;='Qualifying Scores'!E$12),AND(H10="13-14",V10&gt;='Qualifying Scores'!E$11),AND(H10="11-12",V10&gt;='Qualifying Scores'!E$10)),U10,0),IF(OR(AND(H10="17-21",X10&gt;='Qualifying Scores'!E$13),AND(H10="15-16",X10&gt;='Qualifying Scores'!E$12),AND(H10="13-14",X10&gt;='Qualifying Scores'!E$11),AND(H10="11-12",X10&gt;='Qualifying Scores'!E$10)),W10,0),IF(OR(AND(H10="17-21",AA10&gt;='Qualifying Scores'!E$13),AND(H10="15-16",AA10&gt;='Qualifying Scores'!E$12),AND(H10="13-14",AA10&gt;='Qualifying Scores'!E$11),AND(H10="11-12",AA10&gt;='Qualifying Scores'!E$10)),Z10,0),IF(OR(AND(H10="17-21",AC10&gt;='Qualifying Scores'!E$13),AND(H10="15-16",AC10&gt;='Qualifying Scores'!E$12),AND(H10="13-14",AC10&gt;='Qualifying Scores'!E$11),AND(H10="11-12",AC10&gt;='Qualifying Scores'!E$10)),AB10,0),IF(OR(AND(H10="17-21",AE10&gt;='Qualifying Scores'!E$13),AND(H10="15-16",AE10&gt;='Qualifying Scores'!E$12),AND(H10="13-14",AE10&gt;='Qualifying Scores'!E$11),AND(H10="11-12",AE10&gt;='Qualifying Scores'!E$10)),AD10,0),IF(OR(AND(H10="17-21",AH10&gt;='Qualifying Scores'!E$13),AND(H10="15-16",AH10&gt;='Qualifying Scores'!E$12),AND(H10="13-14",AH10&gt;='Qualifying Scores'!E$11),AND(H10="11-12",AH10&gt;='Qualifying Scores'!E$10)),AG10,0)))</f>
        <v>0</v>
      </c>
      <c r="T10" s="4">
        <f>MAX(U10,W10,Z10,AB10,AD10,AG10)</f>
        <v>41.36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38.1</v>
      </c>
      <c r="AC10" s="40">
        <v>7.6</v>
      </c>
      <c r="AD10" s="34"/>
      <c r="AE10" s="40"/>
      <c r="AF10" s="4">
        <f>IF(I10="Senior",MAX(AB10,AD10),AB10+AD10)</f>
        <v>38.1</v>
      </c>
      <c r="AG10" s="34">
        <v>41.36</v>
      </c>
      <c r="AH10" s="37">
        <v>7.6</v>
      </c>
    </row>
    <row r="11" spans="1:34" x14ac:dyDescent="0.2">
      <c r="A11" s="1" t="str" cm="1">
        <f t="array" ref="A11">IF(J11="","",IF(Q11&lt;&gt;"",SUMPRODUCT((Q$3:Q$38&lt;&gt;"")*(H$3:H$38=H11)*(K$3:K$38&gt;K11)*(J$3:J$38="P"))+1,IF(P11&lt;&gt;"",SUMPRODUCT((P$3:P$38&lt;&gt;"")*(Q$3:Q$38="")*(H$3:H$38=H11)*(K$3:K$38&gt;K11)*(J$3:J$38="P"))+SUMPRODUCT((Q$3:Q$38&lt;&gt;"")*(H$3:H$38=H11)*(J$3:J$38="P"))+1,IF(O11&lt;&gt;"",SUMPRODUCT((O$3:O$38&lt;&gt;"")*(H$3:H$38=H11)*(K$3:K$38&gt;K11)*(J$3:J$38="P"))+1,IF(N11="P",SUMPRODUCT((P$3:P$38&lt;&gt;"")*(Q$3:Q$38="")*(H$3:H$38=H11)*(J$3:J$38="P"))+SUMPRODUCT((Q$3:Q$38&lt;&gt;"")*(H$3:H$38=H11)*(J$3:J$38="P"))+SUMPRODUCT((O$3:O$38&lt;&gt;"")*(H$3:H$38=H11)*(J$3:J$38="P"))+SUMPRODUCT((Q$3:Q$38="")*(P$3:P$38="")*(O$3:O$38="")*(N$3:N$38="P")*(H$3:H$38=H11)*(K$3:K$38&gt;K11)*(J$3:J$38="P"))+IF(I11="L5",SUMPRODUCT((Q$3:Q$38="")*(P$3:P$38="")*(O$3:O$38="")*(N$3:N$38="P")*(H$3:H$38=H11)*(K$3:K$38&lt;K11)*(I$3:I$38&lt;&gt;I11)*(J$3:J$38="P")),-1*SUMPRODUCT((Q$3:Q$38="")*(P$3:P$38="")*(O$3:O$38="")*(N$3:N$38="P")*(H$3:H$38=H11)*(K$3:K$38&gt;K11)*(I$3:I$38="L5")*(J$3:J$38="P")))+1,"")))))</f>
        <v/>
      </c>
      <c r="B11" s="1" t="str" cm="1">
        <f t="array" ref="B11">IF(Q11&lt;&gt;"",SUMPRODUCT((Q$3:Q$38&lt;&gt;"")*(H$3:H$38=H11)*(K$3:K$38&gt;K11))+1,IF(P11&lt;&gt;"",SUMPRODUCT((P$3:P$38&lt;&gt;"")*(Q$3:Q$38="")*(H$3:H$38=H11)*(K$3:K$38&gt;K11))+SUMPRODUCT((Q$3:Q$38&lt;&gt;"")*(H$3:H$38=H11))+1,IF(O11&lt;&gt;"",SUMPRODUCT((O$3:O$38&lt;&gt;"")*(H$3:H$38=H11)*(K$3:K$38&gt;K11))+1,IF(N11="P",SUMPRODUCT((P$3:P$38&lt;&gt;"")*(Q$3:Q$38="")*(H$3:H$38=H11))+SUMPRODUCT((Q$3:Q$38&lt;&gt;"")*(H$3:H$38=H11))+SUMPRODUCT((O$3:O$38&lt;&gt;"")*(H$3:H$38=H11))+SUMPRODUCT((Q$3:Q$38="")*(P$3:P$38="")*(O$3:O$38="")*(N$3:N$38="P")*(H$3:H$38=H11)*(K$3:K$38&gt;K11))+IF(I11="L5",SUMPRODUCT((Q$3:Q$38="")*(P$3:P$38="")*(O$3:O$38="")*(N$3:N$38="P")*(H$3:H$38=H11)*(K$3:K$38&lt;K11)*(I$3:I$38&lt;&gt;I11)),-1*SUMPRODUCT((Q$3:Q$38="")*(P$3:P$38="")*(O$3:O$38="")*(N$3:N$38="P")*(H$3:H$38=H11)*(K$3:K$38&gt;K11)*(I$3:I$38="L5")))+1,""))))</f>
        <v/>
      </c>
      <c r="C11" s="36" t="s">
        <v>597</v>
      </c>
      <c r="D11" s="36" t="str">
        <f>IF(E11="","",VLOOKUP(E11,'Coaching Points'!A:B,2,0)&amp;"/"&amp;VLOOKUP(F11,'Coaching Points'!A:B,2,0))</f>
        <v>BC/BC</v>
      </c>
      <c r="E11" s="36" t="s">
        <v>37</v>
      </c>
      <c r="F11" s="36" t="s">
        <v>37</v>
      </c>
      <c r="G11" s="35">
        <v>2001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116</v>
      </c>
      <c r="J11" s="45"/>
      <c r="K11" s="4">
        <f>S11+IF(OR(I11="Junior",I11="Senior"),0.0002,IF(OR(I11="L7",I11="L6"),0.0001,0))+MAX(AB11,AD11,AG11)*0.0000001</f>
        <v>1.03974E-4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Scores'!E$13),AND(H11="15-16",V11&gt;='Qualifying Scores'!E$12),AND(H11="13-14",V11&gt;='Qualifying Scores'!E$11),AND(H11="11-12",V11&gt;='Qualifying Scores'!E$10)),U11,0),IF(OR(AND(H11="17-21",X11&gt;='Qualifying Scores'!E$13),AND(H11="15-16",X11&gt;='Qualifying Scores'!E$12),AND(H11="13-14",X11&gt;='Qualifying Scores'!E$11),AND(H11="11-12",X11&gt;='Qualifying Scores'!E$10)),W11,0),IF(OR(AND(H11="17-21",AA11&gt;='Qualifying Scores'!E$13),AND(H11="15-16",AA11&gt;='Qualifying Scores'!E$12),AND(H11="13-14",AA11&gt;='Qualifying Scores'!E$11),AND(H11="11-12",AA11&gt;='Qualifying Scores'!E$10)),Z11,0),IF(OR(AND(H11="17-21",AC11&gt;='Qualifying Scores'!E$13),AND(H11="15-16",AC11&gt;='Qualifying Scores'!E$12),AND(H11="13-14",AC11&gt;='Qualifying Scores'!E$11),AND(H11="11-12",AC11&gt;='Qualifying Scores'!E$10)),AB11,0),IF(OR(AND(H11="17-21",AE11&gt;='Qualifying Scores'!E$13),AND(H11="15-16",AE11&gt;='Qualifying Scores'!E$12),AND(H11="13-14",AE11&gt;='Qualifying Scores'!E$11),AND(H11="11-12",AE11&gt;='Qualifying Scores'!E$10)),AD11,0),IF(OR(AND(H11="17-21",AH11&gt;='Qualifying Scores'!E$13),AND(H11="15-16",AH11&gt;='Qualifying Scores'!E$12),AND(H11="13-14",AH11&gt;='Qualifying Scores'!E$11),AND(H11="11-12",AH11&gt;='Qualifying Scores'!E$10)),AG11,0)))</f>
        <v>0</v>
      </c>
      <c r="T11" s="4">
        <f>MAX(U11,W11,Z11,AB11,AD11,AG11)</f>
        <v>39.74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34.32</v>
      </c>
      <c r="AC11" s="40">
        <v>6</v>
      </c>
      <c r="AD11" s="34"/>
      <c r="AE11" s="40"/>
      <c r="AF11" s="4">
        <f>IF(I11="Senior",MAX(AB11,AD11),AB11+AD11)</f>
        <v>34.32</v>
      </c>
      <c r="AG11" s="34">
        <v>39.74</v>
      </c>
      <c r="AH11" s="37">
        <v>6.6</v>
      </c>
    </row>
    <row r="12" spans="1:34" x14ac:dyDescent="0.2">
      <c r="A12" s="1" t="str" cm="1">
        <f t="array" ref="A12">IF(J12="","",IF(Q12&lt;&gt;"",SUMPRODUCT((Q$3:Q$38&lt;&gt;"")*(H$3:H$38=H12)*(K$3:K$38&gt;K12)*(J$3:J$38="P"))+1,IF(P12&lt;&gt;"",SUMPRODUCT((P$3:P$38&lt;&gt;"")*(Q$3:Q$38="")*(H$3:H$38=H12)*(K$3:K$38&gt;K12)*(J$3:J$38="P"))+SUMPRODUCT((Q$3:Q$38&lt;&gt;"")*(H$3:H$38=H12)*(J$3:J$38="P"))+1,IF(O12&lt;&gt;"",SUMPRODUCT((O$3:O$38&lt;&gt;"")*(H$3:H$38=H12)*(K$3:K$38&gt;K12)*(J$3:J$38="P"))+1,IF(N12="P",SUMPRODUCT((P$3:P$38&lt;&gt;"")*(Q$3:Q$38="")*(H$3:H$38=H12)*(J$3:J$38="P"))+SUMPRODUCT((Q$3:Q$38&lt;&gt;"")*(H$3:H$38=H12)*(J$3:J$38="P"))+SUMPRODUCT((O$3:O$38&lt;&gt;"")*(H$3:H$38=H12)*(J$3:J$38="P"))+SUMPRODUCT((Q$3:Q$38="")*(P$3:P$38="")*(O$3:O$38="")*(N$3:N$38="P")*(H$3:H$38=H12)*(K$3:K$38&gt;K12)*(J$3:J$38="P"))+IF(I12="L5",SUMPRODUCT((Q$3:Q$38="")*(P$3:P$38="")*(O$3:O$38="")*(N$3:N$38="P")*(H$3:H$38=H12)*(K$3:K$38&lt;K12)*(I$3:I$38&lt;&gt;I12)*(J$3:J$38="P")),-1*SUMPRODUCT((Q$3:Q$38="")*(P$3:P$38="")*(O$3:O$38="")*(N$3:N$38="P")*(H$3:H$38=H12)*(K$3:K$38&gt;K12)*(I$3:I$38="L5")*(J$3:J$38="P")))+1,"")))))</f>
        <v/>
      </c>
      <c r="B12" s="1" t="str" cm="1">
        <f t="array" ref="B12">IF(Q12&lt;&gt;"",SUMPRODUCT((Q$3:Q$38&lt;&gt;"")*(H$3:H$38=H12)*(K$3:K$38&gt;K12))+1,IF(P12&lt;&gt;"",SUMPRODUCT((P$3:P$38&lt;&gt;"")*(Q$3:Q$38="")*(H$3:H$38=H12)*(K$3:K$38&gt;K12))+SUMPRODUCT((Q$3:Q$38&lt;&gt;"")*(H$3:H$38=H12))+1,IF(O12&lt;&gt;"",SUMPRODUCT((O$3:O$38&lt;&gt;"")*(H$3:H$38=H12)*(K$3:K$38&gt;K12))+1,IF(N12="P",SUMPRODUCT((P$3:P$38&lt;&gt;"")*(Q$3:Q$38="")*(H$3:H$38=H12))+SUMPRODUCT((Q$3:Q$38&lt;&gt;"")*(H$3:H$38=H12))+SUMPRODUCT((O$3:O$38&lt;&gt;"")*(H$3:H$38=H12))+SUMPRODUCT((Q$3:Q$38="")*(P$3:P$38="")*(O$3:O$38="")*(N$3:N$38="P")*(H$3:H$38=H12)*(K$3:K$38&gt;K12))+IF(I12="L5",SUMPRODUCT((Q$3:Q$38="")*(P$3:P$38="")*(O$3:O$38="")*(N$3:N$38="P")*(H$3:H$38=H12)*(K$3:K$38&lt;K12)*(I$3:I$38&lt;&gt;I12)),-1*SUMPRODUCT((Q$3:Q$38="")*(P$3:P$38="")*(O$3:O$38="")*(N$3:N$38="P")*(H$3:H$38=H12)*(K$3:K$38&gt;K12)*(I$3:I$38="L5")))+1,""))))</f>
        <v/>
      </c>
      <c r="C12" s="36" t="s">
        <v>502</v>
      </c>
      <c r="D12" s="36" t="str">
        <f>IF(E12="","",VLOOKUP(E12,'Coaching Points'!A:B,2,0)&amp;"/"&amp;VLOOKUP(F12,'Coaching Points'!A:B,2,0))</f>
        <v>BC/BC</v>
      </c>
      <c r="E12" s="36" t="s">
        <v>42</v>
      </c>
      <c r="F12" s="36" t="s">
        <v>42</v>
      </c>
      <c r="G12" s="35">
        <v>2001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116</v>
      </c>
      <c r="J12" s="45"/>
      <c r="K12" s="4">
        <f>S12+IF(OR(I12="Junior",I12="Senior"),0.0002,IF(OR(I12="L7",I12="L6"),0.0001,0))+MAX(AB12,AD12,AG12)*0.0000001</f>
        <v>1.0165800000000001E-4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Scores'!E$13),AND(H12="15-16",V12&gt;='Qualifying Scores'!E$12),AND(H12="13-14",V12&gt;='Qualifying Scores'!E$11),AND(H12="11-12",V12&gt;='Qualifying Scores'!E$10)),U12,0),IF(OR(AND(H12="17-21",X12&gt;='Qualifying Scores'!E$13),AND(H12="15-16",X12&gt;='Qualifying Scores'!E$12),AND(H12="13-14",X12&gt;='Qualifying Scores'!E$11),AND(H12="11-12",X12&gt;='Qualifying Scores'!E$10)),W12,0),IF(OR(AND(H12="17-21",AA12&gt;='Qualifying Scores'!E$13),AND(H12="15-16",AA12&gt;='Qualifying Scores'!E$12),AND(H12="13-14",AA12&gt;='Qualifying Scores'!E$11),AND(H12="11-12",AA12&gt;='Qualifying Scores'!E$10)),Z12,0),IF(OR(AND(H12="17-21",AC12&gt;='Qualifying Scores'!E$13),AND(H12="15-16",AC12&gt;='Qualifying Scores'!E$12),AND(H12="13-14",AC12&gt;='Qualifying Scores'!E$11),AND(H12="11-12",AC12&gt;='Qualifying Scores'!E$10)),AB12,0),IF(OR(AND(H12="17-21",AE12&gt;='Qualifying Scores'!E$13),AND(H12="15-16",AE12&gt;='Qualifying Scores'!E$12),AND(H12="13-14",AE12&gt;='Qualifying Scores'!E$11),AND(H12="11-12",AE12&gt;='Qualifying Scores'!E$10)),AD12,0),IF(OR(AND(H12="17-21",AH12&gt;='Qualifying Scores'!E$13),AND(H12="15-16",AH12&gt;='Qualifying Scores'!E$12),AND(H12="13-14",AH12&gt;='Qualifying Scores'!E$11),AND(H12="11-12",AH12&gt;='Qualifying Scores'!E$10)),AG12,0)))</f>
        <v>0</v>
      </c>
      <c r="T12" s="4">
        <f>MAX(U12,W12,Z12,AB12,AD12,AG12)</f>
        <v>16.579999999999998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16.579999999999998</v>
      </c>
      <c r="AC12" s="40">
        <v>3.6</v>
      </c>
      <c r="AD12" s="34"/>
      <c r="AE12" s="40"/>
      <c r="AF12" s="4">
        <f>IF(I12="Senior",MAX(AB12,AD12),AB12+AD12)</f>
        <v>16.579999999999998</v>
      </c>
      <c r="AG12" s="34"/>
      <c r="AH12" s="37"/>
    </row>
    <row r="13" spans="1:34" x14ac:dyDescent="0.2">
      <c r="A13" s="1" t="str" cm="1">
        <f t="array" ref="A13">IF(J13="","",IF(Q13&lt;&gt;"",SUMPRODUCT((Q$3:Q$38&lt;&gt;"")*(H$3:H$38=H13)*(K$3:K$38&gt;K13)*(J$3:J$38="P"))+1,IF(P13&lt;&gt;"",SUMPRODUCT((P$3:P$38&lt;&gt;"")*(Q$3:Q$38="")*(H$3:H$38=H13)*(K$3:K$38&gt;K13)*(J$3:J$38="P"))+SUMPRODUCT((Q$3:Q$38&lt;&gt;"")*(H$3:H$38=H13)*(J$3:J$38="P"))+1,IF(O13&lt;&gt;"",SUMPRODUCT((O$3:O$38&lt;&gt;"")*(H$3:H$38=H13)*(K$3:K$38&gt;K13)*(J$3:J$38="P"))+1,IF(N13="P",SUMPRODUCT((P$3:P$38&lt;&gt;"")*(Q$3:Q$38="")*(H$3:H$38=H13)*(J$3:J$38="P"))+SUMPRODUCT((Q$3:Q$38&lt;&gt;"")*(H$3:H$38=H13)*(J$3:J$38="P"))+SUMPRODUCT((O$3:O$38&lt;&gt;"")*(H$3:H$38=H13)*(J$3:J$38="P"))+SUMPRODUCT((Q$3:Q$38="")*(P$3:P$38="")*(O$3:O$38="")*(N$3:N$38="P")*(H$3:H$38=H13)*(K$3:K$38&gt;K13)*(J$3:J$38="P"))+IF(I13="L5",SUMPRODUCT((Q$3:Q$38="")*(P$3:P$38="")*(O$3:O$38="")*(N$3:N$38="P")*(H$3:H$38=H13)*(K$3:K$38&lt;K13)*(I$3:I$38&lt;&gt;I13)*(J$3:J$38="P")),-1*SUMPRODUCT((Q$3:Q$38="")*(P$3:P$38="")*(O$3:O$38="")*(N$3:N$38="P")*(H$3:H$38=H13)*(K$3:K$38&gt;K13)*(I$3:I$38="L5")*(J$3:J$38="P")))+1,"")))))</f>
        <v/>
      </c>
      <c r="B13" s="1" t="str" cm="1">
        <f t="array" ref="B13">IF(Q13&lt;&gt;"",SUMPRODUCT((Q$3:Q$38&lt;&gt;"")*(H$3:H$38=H13)*(K$3:K$38&gt;K13))+1,IF(P13&lt;&gt;"",SUMPRODUCT((P$3:P$38&lt;&gt;"")*(Q$3:Q$38="")*(H$3:H$38=H13)*(K$3:K$38&gt;K13))+SUMPRODUCT((Q$3:Q$38&lt;&gt;"")*(H$3:H$38=H13))+1,IF(O13&lt;&gt;"",SUMPRODUCT((O$3:O$38&lt;&gt;"")*(H$3:H$38=H13)*(K$3:K$38&gt;K13))+1,IF(N13="P",SUMPRODUCT((P$3:P$38&lt;&gt;"")*(Q$3:Q$38="")*(H$3:H$38=H13))+SUMPRODUCT((Q$3:Q$38&lt;&gt;"")*(H$3:H$38=H13))+SUMPRODUCT((O$3:O$38&lt;&gt;"")*(H$3:H$38=H13))+SUMPRODUCT((Q$3:Q$38="")*(P$3:P$38="")*(O$3:O$38="")*(N$3:N$38="P")*(H$3:H$38=H13)*(K$3:K$38&gt;K13))+IF(I13="L5",SUMPRODUCT((Q$3:Q$38="")*(P$3:P$38="")*(O$3:O$38="")*(N$3:N$38="P")*(H$3:H$38=H13)*(K$3:K$38&lt;K13)*(I$3:I$38&lt;&gt;I13)),-1*SUMPRODUCT((Q$3:Q$38="")*(P$3:P$38="")*(O$3:O$38="")*(N$3:N$38="P")*(H$3:H$38=H13)*(K$3:K$38&gt;K13)*(I$3:I$38="L5")))+1,""))))</f>
        <v/>
      </c>
      <c r="C13" s="36" t="s">
        <v>504</v>
      </c>
      <c r="D13" s="36" t="str">
        <f>IF(E13="","",VLOOKUP(E13,'Coaching Points'!A:B,2,0)&amp;"/"&amp;VLOOKUP(F13,'Coaching Points'!A:B,2,0))</f>
        <v>AB/AB</v>
      </c>
      <c r="E13" s="36" t="s">
        <v>29</v>
      </c>
      <c r="F13" s="36" t="s">
        <v>29</v>
      </c>
      <c r="G13" s="35">
        <v>2004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116</v>
      </c>
      <c r="J13" s="45"/>
      <c r="K13" s="4">
        <f>S13+IF(OR(I13="Junior",I13="Senior"),0.0002,IF(OR(I13="L7",I13="L6"),0.0001,0))+MAX(AB13,AD13,AG13)*0.0000001</f>
        <v>1.00834E-4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Scores'!E$13),AND(H13="15-16",V13&gt;='Qualifying Scores'!E$12),AND(H13="13-14",V13&gt;='Qualifying Scores'!E$11),AND(H13="11-12",V13&gt;='Qualifying Scores'!E$10)),U13,0),IF(OR(AND(H13="17-21",X13&gt;='Qualifying Scores'!E$13),AND(H13="15-16",X13&gt;='Qualifying Scores'!E$12),AND(H13="13-14",X13&gt;='Qualifying Scores'!E$11),AND(H13="11-12",X13&gt;='Qualifying Scores'!E$10)),W13,0),IF(OR(AND(H13="17-21",AA13&gt;='Qualifying Scores'!E$13),AND(H13="15-16",AA13&gt;='Qualifying Scores'!E$12),AND(H13="13-14",AA13&gt;='Qualifying Scores'!E$11),AND(H13="11-12",AA13&gt;='Qualifying Scores'!E$10)),Z13,0),IF(OR(AND(H13="17-21",AC13&gt;='Qualifying Scores'!E$13),AND(H13="15-16",AC13&gt;='Qualifying Scores'!E$12),AND(H13="13-14",AC13&gt;='Qualifying Scores'!E$11),AND(H13="11-12",AC13&gt;='Qualifying Scores'!E$10)),AB13,0),IF(OR(AND(H13="17-21",AE13&gt;='Qualifying Scores'!E$13),AND(H13="15-16",AE13&gt;='Qualifying Scores'!E$12),AND(H13="13-14",AE13&gt;='Qualifying Scores'!E$11),AND(H13="11-12",AE13&gt;='Qualifying Scores'!E$10)),AD13,0),IF(OR(AND(H13="17-21",AH13&gt;='Qualifying Scores'!E$13),AND(H13="15-16",AH13&gt;='Qualifying Scores'!E$12),AND(H13="13-14",AH13&gt;='Qualifying Scores'!E$11),AND(H13="11-12",AH13&gt;='Qualifying Scores'!E$10)),AG13,0)))</f>
        <v>0</v>
      </c>
      <c r="T13" s="4">
        <f>MAX(U13,W13,Z13,AB13,AD13,AG13)</f>
        <v>8.34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8.34</v>
      </c>
      <c r="AC13" s="40">
        <v>1.9</v>
      </c>
      <c r="AD13" s="34"/>
      <c r="AE13" s="40"/>
      <c r="AF13" s="4">
        <f>IF(I13="Senior",MAX(AB13,AD13),AB13+AD13)</f>
        <v>8.34</v>
      </c>
      <c r="AG13" s="34"/>
      <c r="AH13" s="37"/>
    </row>
    <row r="14" spans="1:34" x14ac:dyDescent="0.2">
      <c r="A14" s="1" t="str" cm="1">
        <f t="array" ref="A14">IF(J14="","",IF(Q14&lt;&gt;"",SUMPRODUCT((Q$3:Q$38&lt;&gt;"")*(H$3:H$38=H14)*(K$3:K$38&gt;K14)*(J$3:J$38="P"))+1,IF(P14&lt;&gt;"",SUMPRODUCT((P$3:P$38&lt;&gt;"")*(Q$3:Q$38="")*(H$3:H$38=H14)*(K$3:K$38&gt;K14)*(J$3:J$38="P"))+SUMPRODUCT((Q$3:Q$38&lt;&gt;"")*(H$3:H$38=H14)*(J$3:J$38="P"))+1,IF(O14&lt;&gt;"",SUMPRODUCT((O$3:O$38&lt;&gt;"")*(H$3:H$38=H14)*(K$3:K$38&gt;K14)*(J$3:J$38="P"))+1,IF(N14="P",SUMPRODUCT((P$3:P$38&lt;&gt;"")*(Q$3:Q$38="")*(H$3:H$38=H14)*(J$3:J$38="P"))+SUMPRODUCT((Q$3:Q$38&lt;&gt;"")*(H$3:H$38=H14)*(J$3:J$38="P"))+SUMPRODUCT((O$3:O$38&lt;&gt;"")*(H$3:H$38=H14)*(J$3:J$38="P"))+SUMPRODUCT((Q$3:Q$38="")*(P$3:P$38="")*(O$3:O$38="")*(N$3:N$38="P")*(H$3:H$38=H14)*(K$3:K$38&gt;K14)*(J$3:J$38="P"))+IF(I14="L5",SUMPRODUCT((Q$3:Q$38="")*(P$3:P$38="")*(O$3:O$38="")*(N$3:N$38="P")*(H$3:H$38=H14)*(K$3:K$38&lt;K14)*(I$3:I$38&lt;&gt;I14)*(J$3:J$38="P")),-1*SUMPRODUCT((Q$3:Q$38="")*(P$3:P$38="")*(O$3:O$38="")*(N$3:N$38="P")*(H$3:H$38=H14)*(K$3:K$38&gt;K14)*(I$3:I$38="L5")*(J$3:J$38="P")))+1,"")))))</f>
        <v/>
      </c>
      <c r="B14" s="1" t="str" cm="1">
        <f t="array" ref="B14">IF(Q14&lt;&gt;"",SUMPRODUCT((Q$3:Q$38&lt;&gt;"")*(H$3:H$38=H14)*(K$3:K$38&gt;K14))+1,IF(P14&lt;&gt;"",SUMPRODUCT((P$3:P$38&lt;&gt;"")*(Q$3:Q$38="")*(H$3:H$38=H14)*(K$3:K$38&gt;K14))+SUMPRODUCT((Q$3:Q$38&lt;&gt;"")*(H$3:H$38=H14))+1,IF(O14&lt;&gt;"",SUMPRODUCT((O$3:O$38&lt;&gt;"")*(H$3:H$38=H14)*(K$3:K$38&gt;K14))+1,IF(N14="P",SUMPRODUCT((P$3:P$38&lt;&gt;"")*(Q$3:Q$38="")*(H$3:H$38=H14))+SUMPRODUCT((Q$3:Q$38&lt;&gt;"")*(H$3:H$38=H14))+SUMPRODUCT((O$3:O$38&lt;&gt;"")*(H$3:H$38=H14))+SUMPRODUCT((Q$3:Q$38="")*(P$3:P$38="")*(O$3:O$38="")*(N$3:N$38="P")*(H$3:H$38=H14)*(K$3:K$38&gt;K14))+IF(I14="L5",SUMPRODUCT((Q$3:Q$38="")*(P$3:P$38="")*(O$3:O$38="")*(N$3:N$38="P")*(H$3:H$38=H14)*(K$3:K$38&lt;K14)*(I$3:I$38&lt;&gt;I14)),-1*SUMPRODUCT((Q$3:Q$38="")*(P$3:P$38="")*(O$3:O$38="")*(N$3:N$38="P")*(H$3:H$38=H14)*(K$3:K$38&gt;K14)*(I$3:I$38="L5")))+1,""))))</f>
        <v/>
      </c>
      <c r="C14" s="36" t="s">
        <v>503</v>
      </c>
      <c r="D14" s="36" t="str">
        <f>IF(E14="","",VLOOKUP(E14,'Coaching Points'!A:B,2,0)&amp;"/"&amp;VLOOKUP(F14,'Coaching Points'!A:B,2,0))</f>
        <v>AB/AB</v>
      </c>
      <c r="E14" s="36" t="s">
        <v>29</v>
      </c>
      <c r="F14" s="36" t="s">
        <v>29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116</v>
      </c>
      <c r="J14" s="45"/>
      <c r="K14" s="4">
        <f>S14+IF(OR(I14="Junior",I14="Senior"),0.0002,IF(OR(I14="L7",I14="L6"),0.0001,0))+MAX(AB14,AD14,AG14)*0.0000001</f>
        <v>1.00504E-4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Scores'!E$13),AND(H14="15-16",V14&gt;='Qualifying Scores'!E$12),AND(H14="13-14",V14&gt;='Qualifying Scores'!E$11),AND(H14="11-12",V14&gt;='Qualifying Scores'!E$10)),U14,0),IF(OR(AND(H14="17-21",X14&gt;='Qualifying Scores'!E$13),AND(H14="15-16",X14&gt;='Qualifying Scores'!E$12),AND(H14="13-14",X14&gt;='Qualifying Scores'!E$11),AND(H14="11-12",X14&gt;='Qualifying Scores'!E$10)),W14,0),IF(OR(AND(H14="17-21",AA14&gt;='Qualifying Scores'!E$13),AND(H14="15-16",AA14&gt;='Qualifying Scores'!E$12),AND(H14="13-14",AA14&gt;='Qualifying Scores'!E$11),AND(H14="11-12",AA14&gt;='Qualifying Scores'!E$10)),Z14,0),IF(OR(AND(H14="17-21",AC14&gt;='Qualifying Scores'!E$13),AND(H14="15-16",AC14&gt;='Qualifying Scores'!E$12),AND(H14="13-14",AC14&gt;='Qualifying Scores'!E$11),AND(H14="11-12",AC14&gt;='Qualifying Scores'!E$10)),AB14,0),IF(OR(AND(H14="17-21",AE14&gt;='Qualifying Scores'!E$13),AND(H14="15-16",AE14&gt;='Qualifying Scores'!E$12),AND(H14="13-14",AE14&gt;='Qualifying Scores'!E$11),AND(H14="11-12",AE14&gt;='Qualifying Scores'!E$10)),AD14,0),IF(OR(AND(H14="17-21",AH14&gt;='Qualifying Scores'!E$13),AND(H14="15-16",AH14&gt;='Qualifying Scores'!E$12),AND(H14="13-14",AH14&gt;='Qualifying Scores'!E$11),AND(H14="11-12",AH14&gt;='Qualifying Scores'!E$10)),AG14,0)))</f>
        <v>0</v>
      </c>
      <c r="T14" s="4">
        <f>MAX(U14,W14,Z14,AB14,AD14,AG14)</f>
        <v>5.04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5.04</v>
      </c>
      <c r="AC14" s="40">
        <v>1.5</v>
      </c>
      <c r="AD14" s="34"/>
      <c r="AE14" s="40"/>
      <c r="AF14" s="4">
        <f>IF(I14="Senior",MAX(AB14,AD14),AB14+AD14)</f>
        <v>5.04</v>
      </c>
      <c r="AG14" s="34"/>
      <c r="AH14" s="37"/>
    </row>
    <row r="15" spans="1:34" x14ac:dyDescent="0.2">
      <c r="A15" s="1" t="str" cm="1">
        <f t="array" ref="A15">IF(J15="","",IF(Q15&lt;&gt;"",SUMPRODUCT((Q$3:Q$38&lt;&gt;"")*(H$3:H$38=H15)*(K$3:K$38&gt;K15)*(J$3:J$38="P"))+1,IF(P15&lt;&gt;"",SUMPRODUCT((P$3:P$38&lt;&gt;"")*(Q$3:Q$38="")*(H$3:H$38=H15)*(K$3:K$38&gt;K15)*(J$3:J$38="P"))+SUMPRODUCT((Q$3:Q$38&lt;&gt;"")*(H$3:H$38=H15)*(J$3:J$38="P"))+1,IF(O15&lt;&gt;"",SUMPRODUCT((O$3:O$38&lt;&gt;"")*(H$3:H$38=H15)*(K$3:K$38&gt;K15)*(J$3:J$38="P"))+1,IF(N15="P",SUMPRODUCT((P$3:P$38&lt;&gt;"")*(Q$3:Q$38="")*(H$3:H$38=H15)*(J$3:J$38="P"))+SUMPRODUCT((Q$3:Q$38&lt;&gt;"")*(H$3:H$38=H15)*(J$3:J$38="P"))+SUMPRODUCT((O$3:O$38&lt;&gt;"")*(H$3:H$38=H15)*(J$3:J$38="P"))+SUMPRODUCT((Q$3:Q$38="")*(P$3:P$38="")*(O$3:O$38="")*(N$3:N$38="P")*(H$3:H$38=H15)*(K$3:K$38&gt;K15)*(J$3:J$38="P"))+IF(I15="L5",SUMPRODUCT((Q$3:Q$38="")*(P$3:P$38="")*(O$3:O$38="")*(N$3:N$38="P")*(H$3:H$38=H15)*(K$3:K$38&lt;K15)*(I$3:I$38&lt;&gt;I15)*(J$3:J$38="P")),-1*SUMPRODUCT((Q$3:Q$38="")*(P$3:P$38="")*(O$3:O$38="")*(N$3:N$38="P")*(H$3:H$38=H15)*(K$3:K$38&gt;K15)*(I$3:I$38="L5")*(J$3:J$38="P")))+1,"")))))</f>
        <v/>
      </c>
      <c r="B15" s="1" t="str" cm="1">
        <f t="array" ref="B15">IF(Q15&lt;&gt;"",SUMPRODUCT((Q$3:Q$38&lt;&gt;"")*(H$3:H$38=H15)*(K$3:K$38&gt;K15))+1,IF(P15&lt;&gt;"",SUMPRODUCT((P$3:P$38&lt;&gt;"")*(Q$3:Q$38="")*(H$3:H$38=H15)*(K$3:K$38&gt;K15))+SUMPRODUCT((Q$3:Q$38&lt;&gt;"")*(H$3:H$38=H15))+1,IF(O15&lt;&gt;"",SUMPRODUCT((O$3:O$38&lt;&gt;"")*(H$3:H$38=H15)*(K$3:K$38&gt;K15))+1,IF(N15="P",SUMPRODUCT((P$3:P$38&lt;&gt;"")*(Q$3:Q$38="")*(H$3:H$38=H15))+SUMPRODUCT((Q$3:Q$38&lt;&gt;"")*(H$3:H$38=H15))+SUMPRODUCT((O$3:O$38&lt;&gt;"")*(H$3:H$38=H15))+SUMPRODUCT((Q$3:Q$38="")*(P$3:P$38="")*(O$3:O$38="")*(N$3:N$38="P")*(H$3:H$38=H15)*(K$3:K$38&gt;K15))+IF(I15="L5",SUMPRODUCT((Q$3:Q$38="")*(P$3:P$38="")*(O$3:O$38="")*(N$3:N$38="P")*(H$3:H$38=H15)*(K$3:K$38&lt;K15)*(I$3:I$38&lt;&gt;I15)),-1*SUMPRODUCT((Q$3:Q$38="")*(P$3:P$38="")*(O$3:O$38="")*(N$3:N$38="P")*(H$3:H$38=H15)*(K$3:K$38&gt;K15)*(I$3:I$38="L5")))+1,""))))</f>
        <v/>
      </c>
      <c r="C15" s="36" t="s">
        <v>481</v>
      </c>
      <c r="D15" s="36" t="str">
        <f>IF(E15="","",VLOOKUP(E15,'Coaching Points'!A:B,2,0)&amp;"/"&amp;VLOOKUP(F15,'Coaching Points'!A:B,2,0))</f>
        <v>QC/QC</v>
      </c>
      <c r="E15" s="36" t="s">
        <v>3</v>
      </c>
      <c r="F15" s="36" t="s">
        <v>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115</v>
      </c>
      <c r="J15" s="45"/>
      <c r="K15" s="4">
        <f>S15+IF(OR(I15="Junior",I15="Senior"),0.0002,IF(OR(I15="L7",I15="L6"),0.0001,0))+MAX(AB15,AD15,AG15)*0.0000001</f>
        <v>4.3259999999999997E-6</v>
      </c>
      <c r="L15" s="3" t="str">
        <f>IF(H15="Not Age Eligible","",IF(MAX(U15,W15,Z15,AB15,AD15,AG15)&gt;=LOOKUP(H15,'Qualifying Scores'!$A$4:$A$7,'Qualifying Scores'!$E$4:$E$7),"P",""))</f>
        <v>P</v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Scores'!E$13),AND(H15="15-16",V15&gt;='Qualifying Scores'!E$12),AND(H15="13-14",V15&gt;='Qualifying Scores'!E$11),AND(H15="11-12",V15&gt;='Qualifying Scores'!E$10)),U15,0),IF(OR(AND(H15="17-21",X15&gt;='Qualifying Scores'!E$13),AND(H15="15-16",X15&gt;='Qualifying Scores'!E$12),AND(H15="13-14",X15&gt;='Qualifying Scores'!E$11),AND(H15="11-12",X15&gt;='Qualifying Scores'!E$10)),W15,0),IF(OR(AND(H15="17-21",AA15&gt;='Qualifying Scores'!E$13),AND(H15="15-16",AA15&gt;='Qualifying Scores'!E$12),AND(H15="13-14",AA15&gt;='Qualifying Scores'!E$11),AND(H15="11-12",AA15&gt;='Qualifying Scores'!E$10)),Z15,0),IF(OR(AND(H15="17-21",AC15&gt;='Qualifying Scores'!E$13),AND(H15="15-16",AC15&gt;='Qualifying Scores'!E$12),AND(H15="13-14",AC15&gt;='Qualifying Scores'!E$11),AND(H15="11-12",AC15&gt;='Qualifying Scores'!E$10)),AB15,0),IF(OR(AND(H15="17-21",AE15&gt;='Qualifying Scores'!E$13),AND(H15="15-16",AE15&gt;='Qualifying Scores'!E$12),AND(H15="13-14",AE15&gt;='Qualifying Scores'!E$11),AND(H15="11-12",AE15&gt;='Qualifying Scores'!E$10)),AD15,0),IF(OR(AND(H15="17-21",AH15&gt;='Qualifying Scores'!E$13),AND(H15="15-16",AH15&gt;='Qualifying Scores'!E$12),AND(H15="13-14",AH15&gt;='Qualifying Scores'!E$11),AND(H15="11-12",AH15&gt;='Qualifying Scores'!E$10)),AG15,0)))</f>
        <v>0</v>
      </c>
      <c r="T15" s="4">
        <f>MAX(U15,W15,Z15,AB15,AD15,AG15)</f>
        <v>43.26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43.26</v>
      </c>
      <c r="AC15" s="40">
        <v>7.7</v>
      </c>
      <c r="AD15" s="34"/>
      <c r="AE15" s="40"/>
      <c r="AF15" s="4">
        <f>IF(I15="Senior",MAX(AB15,AD15),AB15+AD15)</f>
        <v>43.26</v>
      </c>
      <c r="AG15" s="34">
        <v>43.23</v>
      </c>
      <c r="AH15" s="37">
        <v>7.7</v>
      </c>
    </row>
    <row r="16" spans="1:34" x14ac:dyDescent="0.2">
      <c r="A16" s="1" t="str" cm="1">
        <f t="array" ref="A16">IF(J16="","",IF(Q16&lt;&gt;"",SUMPRODUCT((Q$3:Q$38&lt;&gt;"")*(H$3:H$38=H16)*(K$3:K$38&gt;K16)*(J$3:J$38="P"))+1,IF(P16&lt;&gt;"",SUMPRODUCT((P$3:P$38&lt;&gt;"")*(Q$3:Q$38="")*(H$3:H$38=H16)*(K$3:K$38&gt;K16)*(J$3:J$38="P"))+SUMPRODUCT((Q$3:Q$38&lt;&gt;"")*(H$3:H$38=H16)*(J$3:J$38="P"))+1,IF(O16&lt;&gt;"",SUMPRODUCT((O$3:O$38&lt;&gt;"")*(H$3:H$38=H16)*(K$3:K$38&gt;K16)*(J$3:J$38="P"))+1,IF(N16="P",SUMPRODUCT((P$3:P$38&lt;&gt;"")*(Q$3:Q$38="")*(H$3:H$38=H16)*(J$3:J$38="P"))+SUMPRODUCT((Q$3:Q$38&lt;&gt;"")*(H$3:H$38=H16)*(J$3:J$38="P"))+SUMPRODUCT((O$3:O$38&lt;&gt;"")*(H$3:H$38=H16)*(J$3:J$38="P"))+SUMPRODUCT((Q$3:Q$38="")*(P$3:P$38="")*(O$3:O$38="")*(N$3:N$38="P")*(H$3:H$38=H16)*(K$3:K$38&gt;K16)*(J$3:J$38="P"))+IF(I16="L5",SUMPRODUCT((Q$3:Q$38="")*(P$3:P$38="")*(O$3:O$38="")*(N$3:N$38="P")*(H$3:H$38=H16)*(K$3:K$38&lt;K16)*(I$3:I$38&lt;&gt;I16)*(J$3:J$38="P")),-1*SUMPRODUCT((Q$3:Q$38="")*(P$3:P$38="")*(O$3:O$38="")*(N$3:N$38="P")*(H$3:H$38=H16)*(K$3:K$38&gt;K16)*(I$3:I$38="L5")*(J$3:J$38="P")))+1,"")))))</f>
        <v/>
      </c>
      <c r="B16" s="1" t="str" cm="1">
        <f t="array" ref="B16">IF(Q16&lt;&gt;"",SUMPRODUCT((Q$3:Q$38&lt;&gt;"")*(H$3:H$38=H16)*(K$3:K$38&gt;K16))+1,IF(P16&lt;&gt;"",SUMPRODUCT((P$3:P$38&lt;&gt;"")*(Q$3:Q$38="")*(H$3:H$38=H16)*(K$3:K$38&gt;K16))+SUMPRODUCT((Q$3:Q$38&lt;&gt;"")*(H$3:H$38=H16))+1,IF(O16&lt;&gt;"",SUMPRODUCT((O$3:O$38&lt;&gt;"")*(H$3:H$38=H16)*(K$3:K$38&gt;K16))+1,IF(N16="P",SUMPRODUCT((P$3:P$38&lt;&gt;"")*(Q$3:Q$38="")*(H$3:H$38=H16))+SUMPRODUCT((Q$3:Q$38&lt;&gt;"")*(H$3:H$38=H16))+SUMPRODUCT((O$3:O$38&lt;&gt;"")*(H$3:H$38=H16))+SUMPRODUCT((Q$3:Q$38="")*(P$3:P$38="")*(O$3:O$38="")*(N$3:N$38="P")*(H$3:H$38=H16)*(K$3:K$38&gt;K16))+IF(I16="L5",SUMPRODUCT((Q$3:Q$38="")*(P$3:P$38="")*(O$3:O$38="")*(N$3:N$38="P")*(H$3:H$38=H16)*(K$3:K$38&lt;K16)*(I$3:I$38&lt;&gt;I16)),-1*SUMPRODUCT((Q$3:Q$38="")*(P$3:P$38="")*(O$3:O$38="")*(N$3:N$38="P")*(H$3:H$38=H16)*(K$3:K$38&gt;K16)*(I$3:I$38="L5")))+1,""))))</f>
        <v/>
      </c>
      <c r="C16" s="36" t="s">
        <v>484</v>
      </c>
      <c r="D16" s="36" t="str">
        <f>IF(E16="","",VLOOKUP(E16,'Coaching Points'!A:B,2,0)&amp;"/"&amp;VLOOKUP(F16,'Coaching Points'!A:B,2,0))</f>
        <v>QC/QC</v>
      </c>
      <c r="E16" s="36" t="s">
        <v>581</v>
      </c>
      <c r="F16" s="36" t="s">
        <v>581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115</v>
      </c>
      <c r="J16" s="45"/>
      <c r="K16" s="4">
        <f>S16+IF(OR(I16="Junior",I16="Senior"),0.0002,IF(OR(I16="L7",I16="L6"),0.0001,0))+MAX(AB16,AD16,AG16)*0.0000001</f>
        <v>4.2169999999999996E-6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Scores'!E$13),AND(H16="15-16",V16&gt;='Qualifying Scores'!E$12),AND(H16="13-14",V16&gt;='Qualifying Scores'!E$11),AND(H16="11-12",V16&gt;='Qualifying Scores'!E$10)),U16,0),IF(OR(AND(H16="17-21",X16&gt;='Qualifying Scores'!E$13),AND(H16="15-16",X16&gt;='Qualifying Scores'!E$12),AND(H16="13-14",X16&gt;='Qualifying Scores'!E$11),AND(H16="11-12",X16&gt;='Qualifying Scores'!E$10)),W16,0),IF(OR(AND(H16="17-21",AA16&gt;='Qualifying Scores'!E$13),AND(H16="15-16",AA16&gt;='Qualifying Scores'!E$12),AND(H16="13-14",AA16&gt;='Qualifying Scores'!E$11),AND(H16="11-12",AA16&gt;='Qualifying Scores'!E$10)),Z16,0),IF(OR(AND(H16="17-21",AC16&gt;='Qualifying Scores'!E$13),AND(H16="15-16",AC16&gt;='Qualifying Scores'!E$12),AND(H16="13-14",AC16&gt;='Qualifying Scores'!E$11),AND(H16="11-12",AC16&gt;='Qualifying Scores'!E$10)),AB16,0),IF(OR(AND(H16="17-21",AE16&gt;='Qualifying Scores'!E$13),AND(H16="15-16",AE16&gt;='Qualifying Scores'!E$12),AND(H16="13-14",AE16&gt;='Qualifying Scores'!E$11),AND(H16="11-12",AE16&gt;='Qualifying Scores'!E$10)),AD16,0),IF(OR(AND(H16="17-21",AH16&gt;='Qualifying Scores'!E$13),AND(H16="15-16",AH16&gt;='Qualifying Scores'!E$12),AND(H16="13-14",AH16&gt;='Qualifying Scores'!E$11),AND(H16="11-12",AH16&gt;='Qualifying Scores'!E$10)),AG16,0)))</f>
        <v>0</v>
      </c>
      <c r="T16" s="4">
        <f>MAX(U16,W16,Z16,AB16,AD16,AG16)</f>
        <v>42.17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34.67</v>
      </c>
      <c r="AC16" s="40">
        <v>5.3</v>
      </c>
      <c r="AD16" s="34"/>
      <c r="AE16" s="40"/>
      <c r="AF16" s="4">
        <f>IF(I16="Senior",MAX(AB16,AD16),AB16+AD16)</f>
        <v>34.67</v>
      </c>
      <c r="AG16" s="34">
        <v>42.17</v>
      </c>
      <c r="AH16" s="37">
        <v>6.8</v>
      </c>
    </row>
    <row r="17" spans="1:34" x14ac:dyDescent="0.2">
      <c r="A17" s="1" t="str" cm="1">
        <f t="array" ref="A17">IF(J17="","",IF(Q17&lt;&gt;"",SUMPRODUCT((Q$3:Q$38&lt;&gt;"")*(H$3:H$38=H17)*(K$3:K$38&gt;K17)*(J$3:J$38="P"))+1,IF(P17&lt;&gt;"",SUMPRODUCT((P$3:P$38&lt;&gt;"")*(Q$3:Q$38="")*(H$3:H$38=H17)*(K$3:K$38&gt;K17)*(J$3:J$38="P"))+SUMPRODUCT((Q$3:Q$38&lt;&gt;"")*(H$3:H$38=H17)*(J$3:J$38="P"))+1,IF(O17&lt;&gt;"",SUMPRODUCT((O$3:O$38&lt;&gt;"")*(H$3:H$38=H17)*(K$3:K$38&gt;K17)*(J$3:J$38="P"))+1,IF(N17="P",SUMPRODUCT((P$3:P$38&lt;&gt;"")*(Q$3:Q$38="")*(H$3:H$38=H17)*(J$3:J$38="P"))+SUMPRODUCT((Q$3:Q$38&lt;&gt;"")*(H$3:H$38=H17)*(J$3:J$38="P"))+SUMPRODUCT((O$3:O$38&lt;&gt;"")*(H$3:H$38=H17)*(J$3:J$38="P"))+SUMPRODUCT((Q$3:Q$38="")*(P$3:P$38="")*(O$3:O$38="")*(N$3:N$38="P")*(H$3:H$38=H17)*(K$3:K$38&gt;K17)*(J$3:J$38="P"))+IF(I17="L5",SUMPRODUCT((Q$3:Q$38="")*(P$3:P$38="")*(O$3:O$38="")*(N$3:N$38="P")*(H$3:H$38=H17)*(K$3:K$38&lt;K17)*(I$3:I$38&lt;&gt;I17)*(J$3:J$38="P")),-1*SUMPRODUCT((Q$3:Q$38="")*(P$3:P$38="")*(O$3:O$38="")*(N$3:N$38="P")*(H$3:H$38=H17)*(K$3:K$38&gt;K17)*(I$3:I$38="L5")*(J$3:J$38="P")))+1,"")))))</f>
        <v/>
      </c>
      <c r="B17" s="1" t="str" cm="1">
        <f t="array" ref="B17">IF(Q17&lt;&gt;"",SUMPRODUCT((Q$3:Q$38&lt;&gt;"")*(H$3:H$38=H17)*(K$3:K$38&gt;K17))+1,IF(P17&lt;&gt;"",SUMPRODUCT((P$3:P$38&lt;&gt;"")*(Q$3:Q$38="")*(H$3:H$38=H17)*(K$3:K$38&gt;K17))+SUMPRODUCT((Q$3:Q$38&lt;&gt;"")*(H$3:H$38=H17))+1,IF(O17&lt;&gt;"",SUMPRODUCT((O$3:O$38&lt;&gt;"")*(H$3:H$38=H17)*(K$3:K$38&gt;K17))+1,IF(N17="P",SUMPRODUCT((P$3:P$38&lt;&gt;"")*(Q$3:Q$38="")*(H$3:H$38=H17))+SUMPRODUCT((Q$3:Q$38&lt;&gt;"")*(H$3:H$38=H17))+SUMPRODUCT((O$3:O$38&lt;&gt;"")*(H$3:H$38=H17))+SUMPRODUCT((Q$3:Q$38="")*(P$3:P$38="")*(O$3:O$38="")*(N$3:N$38="P")*(H$3:H$38=H17)*(K$3:K$38&gt;K17))+IF(I17="L5",SUMPRODUCT((Q$3:Q$38="")*(P$3:P$38="")*(O$3:O$38="")*(N$3:N$38="P")*(H$3:H$38=H17)*(K$3:K$38&lt;K17)*(I$3:I$38&lt;&gt;I17)),-1*SUMPRODUCT((Q$3:Q$38="")*(P$3:P$38="")*(O$3:O$38="")*(N$3:N$38="P")*(H$3:H$38=H17)*(K$3:K$38&gt;K17)*(I$3:I$38="L5")))+1,""))))</f>
        <v/>
      </c>
      <c r="C17" s="36" t="s">
        <v>487</v>
      </c>
      <c r="D17" s="36" t="str">
        <f>IF(E17="","",VLOOKUP(E17,'Coaching Points'!A:B,2,0)&amp;"/"&amp;VLOOKUP(F17,'Coaching Points'!A:B,2,0))</f>
        <v>ON/ON</v>
      </c>
      <c r="E17" s="36" t="s">
        <v>575</v>
      </c>
      <c r="F17" s="36" t="s">
        <v>575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115</v>
      </c>
      <c r="J17" s="45"/>
      <c r="K17" s="4">
        <f>S17+IF(OR(I17="Junior",I17="Senior"),0.0002,IF(OR(I17="L7",I17="L6"),0.0001,0))+MAX(AB17,AD17,AG17)*0.0000001</f>
        <v>4.1859999999999994E-6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Scores'!E$13),AND(H17="15-16",V17&gt;='Qualifying Scores'!E$12),AND(H17="13-14",V17&gt;='Qualifying Scores'!E$11),AND(H17="11-12",V17&gt;='Qualifying Scores'!E$10)),U17,0),IF(OR(AND(H17="17-21",X17&gt;='Qualifying Scores'!E$13),AND(H17="15-16",X17&gt;='Qualifying Scores'!E$12),AND(H17="13-14",X17&gt;='Qualifying Scores'!E$11),AND(H17="11-12",X17&gt;='Qualifying Scores'!E$10)),W17,0),IF(OR(AND(H17="17-21",AA17&gt;='Qualifying Scores'!E$13),AND(H17="15-16",AA17&gt;='Qualifying Scores'!E$12),AND(H17="13-14",AA17&gt;='Qualifying Scores'!E$11),AND(H17="11-12",AA17&gt;='Qualifying Scores'!E$10)),Z17,0),IF(OR(AND(H17="17-21",AC17&gt;='Qualifying Scores'!E$13),AND(H17="15-16",AC17&gt;='Qualifying Scores'!E$12),AND(H17="13-14",AC17&gt;='Qualifying Scores'!E$11),AND(H17="11-12",AC17&gt;='Qualifying Scores'!E$10)),AB17,0),IF(OR(AND(H17="17-21",AE17&gt;='Qualifying Scores'!E$13),AND(H17="15-16",AE17&gt;='Qualifying Scores'!E$12),AND(H17="13-14",AE17&gt;='Qualifying Scores'!E$11),AND(H17="11-12",AE17&gt;='Qualifying Scores'!E$10)),AD17,0),IF(OR(AND(H17="17-21",AH17&gt;='Qualifying Scores'!E$13),AND(H17="15-16",AH17&gt;='Qualifying Scores'!E$12),AND(H17="13-14",AH17&gt;='Qualifying Scores'!E$11),AND(H17="11-12",AH17&gt;='Qualifying Scores'!E$10)),AG17,0)))</f>
        <v>0</v>
      </c>
      <c r="T17" s="4">
        <f>MAX(U17,W17,Z17,AB17,AD17,AG17)</f>
        <v>41.86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41.86</v>
      </c>
      <c r="AC17" s="40">
        <v>7.1</v>
      </c>
      <c r="AD17" s="34"/>
      <c r="AE17" s="40"/>
      <c r="AF17" s="4">
        <f>IF(I17="Senior",MAX(AB17,AD17),AB17+AD17)</f>
        <v>41.86</v>
      </c>
      <c r="AG17" s="34">
        <v>38.46</v>
      </c>
      <c r="AH17" s="37">
        <v>7.1</v>
      </c>
    </row>
    <row r="18" spans="1:34" x14ac:dyDescent="0.2">
      <c r="A18" s="1" t="str" cm="1">
        <f t="array" ref="A18">IF(J18="","",IF(Q18&lt;&gt;"",SUMPRODUCT((Q$3:Q$38&lt;&gt;"")*(H$3:H$38=H18)*(K$3:K$38&gt;K18)*(J$3:J$38="P"))+1,IF(P18&lt;&gt;"",SUMPRODUCT((P$3:P$38&lt;&gt;"")*(Q$3:Q$38="")*(H$3:H$38=H18)*(K$3:K$38&gt;K18)*(J$3:J$38="P"))+SUMPRODUCT((Q$3:Q$38&lt;&gt;"")*(H$3:H$38=H18)*(J$3:J$38="P"))+1,IF(O18&lt;&gt;"",SUMPRODUCT((O$3:O$38&lt;&gt;"")*(H$3:H$38=H18)*(K$3:K$38&gt;K18)*(J$3:J$38="P"))+1,IF(N18="P",SUMPRODUCT((P$3:P$38&lt;&gt;"")*(Q$3:Q$38="")*(H$3:H$38=H18)*(J$3:J$38="P"))+SUMPRODUCT((Q$3:Q$38&lt;&gt;"")*(H$3:H$38=H18)*(J$3:J$38="P"))+SUMPRODUCT((O$3:O$38&lt;&gt;"")*(H$3:H$38=H18)*(J$3:J$38="P"))+SUMPRODUCT((Q$3:Q$38="")*(P$3:P$38="")*(O$3:O$38="")*(N$3:N$38="P")*(H$3:H$38=H18)*(K$3:K$38&gt;K18)*(J$3:J$38="P"))+IF(I18="L5",SUMPRODUCT((Q$3:Q$38="")*(P$3:P$38="")*(O$3:O$38="")*(N$3:N$38="P")*(H$3:H$38=H18)*(K$3:K$38&lt;K18)*(I$3:I$38&lt;&gt;I18)*(J$3:J$38="P")),-1*SUMPRODUCT((Q$3:Q$38="")*(P$3:P$38="")*(O$3:O$38="")*(N$3:N$38="P")*(H$3:H$38=H18)*(K$3:K$38&gt;K18)*(I$3:I$38="L5")*(J$3:J$38="P")))+1,"")))))</f>
        <v/>
      </c>
      <c r="B18" s="1" t="str" cm="1">
        <f t="array" ref="B18">IF(Q18&lt;&gt;"",SUMPRODUCT((Q$3:Q$38&lt;&gt;"")*(H$3:H$38=H18)*(K$3:K$38&gt;K18))+1,IF(P18&lt;&gt;"",SUMPRODUCT((P$3:P$38&lt;&gt;"")*(Q$3:Q$38="")*(H$3:H$38=H18)*(K$3:K$38&gt;K18))+SUMPRODUCT((Q$3:Q$38&lt;&gt;"")*(H$3:H$38=H18))+1,IF(O18&lt;&gt;"",SUMPRODUCT((O$3:O$38&lt;&gt;"")*(H$3:H$38=H18)*(K$3:K$38&gt;K18))+1,IF(N18="P",SUMPRODUCT((P$3:P$38&lt;&gt;"")*(Q$3:Q$38="")*(H$3:H$38=H18))+SUMPRODUCT((Q$3:Q$38&lt;&gt;"")*(H$3:H$38=H18))+SUMPRODUCT((O$3:O$38&lt;&gt;"")*(H$3:H$38=H18))+SUMPRODUCT((Q$3:Q$38="")*(P$3:P$38="")*(O$3:O$38="")*(N$3:N$38="P")*(H$3:H$38=H18)*(K$3:K$38&gt;K18))+IF(I18="L5",SUMPRODUCT((Q$3:Q$38="")*(P$3:P$38="")*(O$3:O$38="")*(N$3:N$38="P")*(H$3:H$38=H18)*(K$3:K$38&lt;K18)*(I$3:I$38&lt;&gt;I18)),-1*SUMPRODUCT((Q$3:Q$38="")*(P$3:P$38="")*(O$3:O$38="")*(N$3:N$38="P")*(H$3:H$38=H18)*(K$3:K$38&gt;K18)*(I$3:I$38="L5")))+1,""))))</f>
        <v/>
      </c>
      <c r="C18" s="36" t="s">
        <v>490</v>
      </c>
      <c r="D18" s="36" t="str">
        <f>IF(E18="","",VLOOKUP(E18,'Coaching Points'!A:B,2,0)&amp;"/"&amp;VLOOKUP(F18,'Coaching Points'!A:B,2,0))</f>
        <v>QC/QC</v>
      </c>
      <c r="E18" s="36" t="s">
        <v>587</v>
      </c>
      <c r="F18" s="36" t="s">
        <v>587</v>
      </c>
      <c r="G18" s="35">
        <v>2003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115</v>
      </c>
      <c r="J18" s="45"/>
      <c r="K18" s="4">
        <f>S18+IF(OR(I18="Junior",I18="Senior"),0.0002,IF(OR(I18="L7",I18="L6"),0.0001,0))+MAX(AB18,AD18,AG18)*0.0000001</f>
        <v>4.1759999999999995E-6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Scores'!E$13),AND(H18="15-16",V18&gt;='Qualifying Scores'!E$12),AND(H18="13-14",V18&gt;='Qualifying Scores'!E$11),AND(H18="11-12",V18&gt;='Qualifying Scores'!E$10)),U18,0),IF(OR(AND(H18="17-21",X18&gt;='Qualifying Scores'!E$13),AND(H18="15-16",X18&gt;='Qualifying Scores'!E$12),AND(H18="13-14",X18&gt;='Qualifying Scores'!E$11),AND(H18="11-12",X18&gt;='Qualifying Scores'!E$10)),W18,0),IF(OR(AND(H18="17-21",AA18&gt;='Qualifying Scores'!E$13),AND(H18="15-16",AA18&gt;='Qualifying Scores'!E$12),AND(H18="13-14",AA18&gt;='Qualifying Scores'!E$11),AND(H18="11-12",AA18&gt;='Qualifying Scores'!E$10)),Z18,0),IF(OR(AND(H18="17-21",AC18&gt;='Qualifying Scores'!E$13),AND(H18="15-16",AC18&gt;='Qualifying Scores'!E$12),AND(H18="13-14",AC18&gt;='Qualifying Scores'!E$11),AND(H18="11-12",AC18&gt;='Qualifying Scores'!E$10)),AB18,0),IF(OR(AND(H18="17-21",AE18&gt;='Qualifying Scores'!E$13),AND(H18="15-16",AE18&gt;='Qualifying Scores'!E$12),AND(H18="13-14",AE18&gt;='Qualifying Scores'!E$11),AND(H18="11-12",AE18&gt;='Qualifying Scores'!E$10)),AD18,0),IF(OR(AND(H18="17-21",AH18&gt;='Qualifying Scores'!E$13),AND(H18="15-16",AH18&gt;='Qualifying Scores'!E$12),AND(H18="13-14",AH18&gt;='Qualifying Scores'!E$11),AND(H18="11-12",AH18&gt;='Qualifying Scores'!E$10)),AG18,0)))</f>
        <v>0</v>
      </c>
      <c r="T18" s="4">
        <f>MAX(U18,W18,Z18,AB18,AD18,AG18)</f>
        <v>41.76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35.909999999999997</v>
      </c>
      <c r="AC18" s="40">
        <v>6.1</v>
      </c>
      <c r="AD18" s="34"/>
      <c r="AE18" s="40"/>
      <c r="AF18" s="4">
        <f>IF(I18="Senior",MAX(AB18,AD18),AB18+AD18)</f>
        <v>35.909999999999997</v>
      </c>
      <c r="AG18" s="34">
        <v>41.76</v>
      </c>
      <c r="AH18" s="37">
        <v>6.9</v>
      </c>
    </row>
    <row r="19" spans="1:34" x14ac:dyDescent="0.2">
      <c r="A19" s="1" t="str" cm="1">
        <f t="array" ref="A19">IF(J19="","",IF(Q19&lt;&gt;"",SUMPRODUCT((Q$3:Q$38&lt;&gt;"")*(H$3:H$38=H19)*(K$3:K$38&gt;K19)*(J$3:J$38="P"))+1,IF(P19&lt;&gt;"",SUMPRODUCT((P$3:P$38&lt;&gt;"")*(Q$3:Q$38="")*(H$3:H$38=H19)*(K$3:K$38&gt;K19)*(J$3:J$38="P"))+SUMPRODUCT((Q$3:Q$38&lt;&gt;"")*(H$3:H$38=H19)*(J$3:J$38="P"))+1,IF(O19&lt;&gt;"",SUMPRODUCT((O$3:O$38&lt;&gt;"")*(H$3:H$38=H19)*(K$3:K$38&gt;K19)*(J$3:J$38="P"))+1,IF(N19="P",SUMPRODUCT((P$3:P$38&lt;&gt;"")*(Q$3:Q$38="")*(H$3:H$38=H19)*(J$3:J$38="P"))+SUMPRODUCT((Q$3:Q$38&lt;&gt;"")*(H$3:H$38=H19)*(J$3:J$38="P"))+SUMPRODUCT((O$3:O$38&lt;&gt;"")*(H$3:H$38=H19)*(J$3:J$38="P"))+SUMPRODUCT((Q$3:Q$38="")*(P$3:P$38="")*(O$3:O$38="")*(N$3:N$38="P")*(H$3:H$38=H19)*(K$3:K$38&gt;K19)*(J$3:J$38="P"))+IF(I19="L5",SUMPRODUCT((Q$3:Q$38="")*(P$3:P$38="")*(O$3:O$38="")*(N$3:N$38="P")*(H$3:H$38=H19)*(K$3:K$38&lt;K19)*(I$3:I$38&lt;&gt;I19)*(J$3:J$38="P")),-1*SUMPRODUCT((Q$3:Q$38="")*(P$3:P$38="")*(O$3:O$38="")*(N$3:N$38="P")*(H$3:H$38=H19)*(K$3:K$38&gt;K19)*(I$3:I$38="L5")*(J$3:J$38="P")))+1,"")))))</f>
        <v/>
      </c>
      <c r="B19" s="1" t="str" cm="1">
        <f t="array" ref="B19">IF(Q19&lt;&gt;"",SUMPRODUCT((Q$3:Q$38&lt;&gt;"")*(H$3:H$38=H19)*(K$3:K$38&gt;K19))+1,IF(P19&lt;&gt;"",SUMPRODUCT((P$3:P$38&lt;&gt;"")*(Q$3:Q$38="")*(H$3:H$38=H19)*(K$3:K$38&gt;K19))+SUMPRODUCT((Q$3:Q$38&lt;&gt;"")*(H$3:H$38=H19))+1,IF(O19&lt;&gt;"",SUMPRODUCT((O$3:O$38&lt;&gt;"")*(H$3:H$38=H19)*(K$3:K$38&gt;K19))+1,IF(N19="P",SUMPRODUCT((P$3:P$38&lt;&gt;"")*(Q$3:Q$38="")*(H$3:H$38=H19))+SUMPRODUCT((Q$3:Q$38&lt;&gt;"")*(H$3:H$38=H19))+SUMPRODUCT((O$3:O$38&lt;&gt;"")*(H$3:H$38=H19))+SUMPRODUCT((Q$3:Q$38="")*(P$3:P$38="")*(O$3:O$38="")*(N$3:N$38="P")*(H$3:H$38=H19)*(K$3:K$38&gt;K19))+IF(I19="L5",SUMPRODUCT((Q$3:Q$38="")*(P$3:P$38="")*(O$3:O$38="")*(N$3:N$38="P")*(H$3:H$38=H19)*(K$3:K$38&lt;K19)*(I$3:I$38&lt;&gt;I19)),-1*SUMPRODUCT((Q$3:Q$38="")*(P$3:P$38="")*(O$3:O$38="")*(N$3:N$38="P")*(H$3:H$38=H19)*(K$3:K$38&gt;K19)*(I$3:I$38="L5")))+1,""))))</f>
        <v/>
      </c>
      <c r="C19" s="36" t="s">
        <v>479</v>
      </c>
      <c r="D19" s="36" t="str">
        <f>IF(E19="","",VLOOKUP(E19,'Coaching Points'!A:B,2,0)&amp;"/"&amp;VLOOKUP(F19,'Coaching Points'!A:B,2,0))</f>
        <v>BC/BC</v>
      </c>
      <c r="E19" s="36" t="s">
        <v>47</v>
      </c>
      <c r="F19" s="36" t="s">
        <v>47</v>
      </c>
      <c r="G19" s="35">
        <v>2005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115</v>
      </c>
      <c r="J19" s="45"/>
      <c r="K19" s="4">
        <f>S19+IF(OR(I19="Junior",I19="Senior"),0.0002,IF(OR(I19="L7",I19="L6"),0.0001,0))+MAX(AB19,AD19,AG19)*0.0000001</f>
        <v>4.0810000000000004E-6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Scores'!E$13),AND(H19="15-16",V19&gt;='Qualifying Scores'!E$12),AND(H19="13-14",V19&gt;='Qualifying Scores'!E$11),AND(H19="11-12",V19&gt;='Qualifying Scores'!E$10)),U19,0),IF(OR(AND(H19="17-21",X19&gt;='Qualifying Scores'!E$13),AND(H19="15-16",X19&gt;='Qualifying Scores'!E$12),AND(H19="13-14",X19&gt;='Qualifying Scores'!E$11),AND(H19="11-12",X19&gt;='Qualifying Scores'!E$10)),W19,0),IF(OR(AND(H19="17-21",AA19&gt;='Qualifying Scores'!E$13),AND(H19="15-16",AA19&gt;='Qualifying Scores'!E$12),AND(H19="13-14",AA19&gt;='Qualifying Scores'!E$11),AND(H19="11-12",AA19&gt;='Qualifying Scores'!E$10)),Z19,0),IF(OR(AND(H19="17-21",AC19&gt;='Qualifying Scores'!E$13),AND(H19="15-16",AC19&gt;='Qualifying Scores'!E$12),AND(H19="13-14",AC19&gt;='Qualifying Scores'!E$11),AND(H19="11-12",AC19&gt;='Qualifying Scores'!E$10)),AB19,0),IF(OR(AND(H19="17-21",AE19&gt;='Qualifying Scores'!E$13),AND(H19="15-16",AE19&gt;='Qualifying Scores'!E$12),AND(H19="13-14",AE19&gt;='Qualifying Scores'!E$11),AND(H19="11-12",AE19&gt;='Qualifying Scores'!E$10)),AD19,0),IF(OR(AND(H19="17-21",AH19&gt;='Qualifying Scores'!E$13),AND(H19="15-16",AH19&gt;='Qualifying Scores'!E$12),AND(H19="13-14",AH19&gt;='Qualifying Scores'!E$11),AND(H19="11-12",AH19&gt;='Qualifying Scores'!E$10)),AG19,0)))</f>
        <v>0</v>
      </c>
      <c r="T19" s="4">
        <f>MAX(U19,W19,Z19,AB19,AD19,AG19)</f>
        <v>40.81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36.03</v>
      </c>
      <c r="AC19" s="40">
        <v>8.1</v>
      </c>
      <c r="AD19" s="34"/>
      <c r="AE19" s="40"/>
      <c r="AF19" s="4">
        <f>IF(I19="Senior",MAX(AB19,AD19),AB19+AD19)</f>
        <v>36.03</v>
      </c>
      <c r="AG19" s="34">
        <v>40.81</v>
      </c>
      <c r="AH19" s="37">
        <v>8.1</v>
      </c>
    </row>
    <row r="20" spans="1:34" x14ac:dyDescent="0.2">
      <c r="A20" s="1" t="str" cm="1">
        <f t="array" ref="A20">IF(J20="","",IF(Q20&lt;&gt;"",SUMPRODUCT((Q$3:Q$38&lt;&gt;"")*(H$3:H$38=H20)*(K$3:K$38&gt;K20)*(J$3:J$38="P"))+1,IF(P20&lt;&gt;"",SUMPRODUCT((P$3:P$38&lt;&gt;"")*(Q$3:Q$38="")*(H$3:H$38=H20)*(K$3:K$38&gt;K20)*(J$3:J$38="P"))+SUMPRODUCT((Q$3:Q$38&lt;&gt;"")*(H$3:H$38=H20)*(J$3:J$38="P"))+1,IF(O20&lt;&gt;"",SUMPRODUCT((O$3:O$38&lt;&gt;"")*(H$3:H$38=H20)*(K$3:K$38&gt;K20)*(J$3:J$38="P"))+1,IF(N20="P",SUMPRODUCT((P$3:P$38&lt;&gt;"")*(Q$3:Q$38="")*(H$3:H$38=H20)*(J$3:J$38="P"))+SUMPRODUCT((Q$3:Q$38&lt;&gt;"")*(H$3:H$38=H20)*(J$3:J$38="P"))+SUMPRODUCT((O$3:O$38&lt;&gt;"")*(H$3:H$38=H20)*(J$3:J$38="P"))+SUMPRODUCT((Q$3:Q$38="")*(P$3:P$38="")*(O$3:O$38="")*(N$3:N$38="P")*(H$3:H$38=H20)*(K$3:K$38&gt;K20)*(J$3:J$38="P"))+IF(I20="L5",SUMPRODUCT((Q$3:Q$38="")*(P$3:P$38="")*(O$3:O$38="")*(N$3:N$38="P")*(H$3:H$38=H20)*(K$3:K$38&lt;K20)*(I$3:I$38&lt;&gt;I20)*(J$3:J$38="P")),-1*SUMPRODUCT((Q$3:Q$38="")*(P$3:P$38="")*(O$3:O$38="")*(N$3:N$38="P")*(H$3:H$38=H20)*(K$3:K$38&gt;K20)*(I$3:I$38="L5")*(J$3:J$38="P")))+1,"")))))</f>
        <v/>
      </c>
      <c r="B20" s="1" t="str" cm="1">
        <f t="array" ref="B20">IF(Q20&lt;&gt;"",SUMPRODUCT((Q$3:Q$38&lt;&gt;"")*(H$3:H$38=H20)*(K$3:K$38&gt;K20))+1,IF(P20&lt;&gt;"",SUMPRODUCT((P$3:P$38&lt;&gt;"")*(Q$3:Q$38="")*(H$3:H$38=H20)*(K$3:K$38&gt;K20))+SUMPRODUCT((Q$3:Q$38&lt;&gt;"")*(H$3:H$38=H20))+1,IF(O20&lt;&gt;"",SUMPRODUCT((O$3:O$38&lt;&gt;"")*(H$3:H$38=H20)*(K$3:K$38&gt;K20))+1,IF(N20="P",SUMPRODUCT((P$3:P$38&lt;&gt;"")*(Q$3:Q$38="")*(H$3:H$38=H20))+SUMPRODUCT((Q$3:Q$38&lt;&gt;"")*(H$3:H$38=H20))+SUMPRODUCT((O$3:O$38&lt;&gt;"")*(H$3:H$38=H20))+SUMPRODUCT((Q$3:Q$38="")*(P$3:P$38="")*(O$3:O$38="")*(N$3:N$38="P")*(H$3:H$38=H20)*(K$3:K$38&gt;K20))+IF(I20="L5",SUMPRODUCT((Q$3:Q$38="")*(P$3:P$38="")*(O$3:O$38="")*(N$3:N$38="P")*(H$3:H$38=H20)*(K$3:K$38&lt;K20)*(I$3:I$38&lt;&gt;I20)),-1*SUMPRODUCT((Q$3:Q$38="")*(P$3:P$38="")*(O$3:O$38="")*(N$3:N$38="P")*(H$3:H$38=H20)*(K$3:K$38&gt;K20)*(I$3:I$38="L5")))+1,""))))</f>
        <v/>
      </c>
      <c r="C20" s="36" t="s">
        <v>492</v>
      </c>
      <c r="D20" s="36" t="str">
        <f>IF(E20="","",VLOOKUP(E20,'Coaching Points'!A:B,2,0)&amp;"/"&amp;VLOOKUP(F20,'Coaching Points'!A:B,2,0))</f>
        <v>NS/NS</v>
      </c>
      <c r="E20" s="36" t="s">
        <v>584</v>
      </c>
      <c r="F20" s="36" t="s">
        <v>584</v>
      </c>
      <c r="G20" s="35">
        <v>2001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115</v>
      </c>
      <c r="J20" s="45"/>
      <c r="K20" s="4">
        <f>S20+IF(OR(I20="Junior",I20="Senior"),0.0002,IF(OR(I20="L7",I20="L6"),0.0001,0))+MAX(AB20,AD20,AG20)*0.0000001</f>
        <v>4.0489999999999997E-6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Scores'!E$13),AND(H20="15-16",V20&gt;='Qualifying Scores'!E$12),AND(H20="13-14",V20&gt;='Qualifying Scores'!E$11),AND(H20="11-12",V20&gt;='Qualifying Scores'!E$10)),U20,0),IF(OR(AND(H20="17-21",X20&gt;='Qualifying Scores'!E$13),AND(H20="15-16",X20&gt;='Qualifying Scores'!E$12),AND(H20="13-14",X20&gt;='Qualifying Scores'!E$11),AND(H20="11-12",X20&gt;='Qualifying Scores'!E$10)),W20,0),IF(OR(AND(H20="17-21",AA20&gt;='Qualifying Scores'!E$13),AND(H20="15-16",AA20&gt;='Qualifying Scores'!E$12),AND(H20="13-14",AA20&gt;='Qualifying Scores'!E$11),AND(H20="11-12",AA20&gt;='Qualifying Scores'!E$10)),Z20,0),IF(OR(AND(H20="17-21",AC20&gt;='Qualifying Scores'!E$13),AND(H20="15-16",AC20&gt;='Qualifying Scores'!E$12),AND(H20="13-14",AC20&gt;='Qualifying Scores'!E$11),AND(H20="11-12",AC20&gt;='Qualifying Scores'!E$10)),AB20,0),IF(OR(AND(H20="17-21",AE20&gt;='Qualifying Scores'!E$13),AND(H20="15-16",AE20&gt;='Qualifying Scores'!E$12),AND(H20="13-14",AE20&gt;='Qualifying Scores'!E$11),AND(H20="11-12",AE20&gt;='Qualifying Scores'!E$10)),AD20,0),IF(OR(AND(H20="17-21",AH20&gt;='Qualifying Scores'!E$13),AND(H20="15-16",AH20&gt;='Qualifying Scores'!E$12),AND(H20="13-14",AH20&gt;='Qualifying Scores'!E$11),AND(H20="11-12",AH20&gt;='Qualifying Scores'!E$10)),AG20,0)))</f>
        <v>0</v>
      </c>
      <c r="T20" s="4">
        <f>MAX(U20,W20,Z20,AB20,AD20,AG20)</f>
        <v>40.49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40.49</v>
      </c>
      <c r="AC20" s="40">
        <v>6.5</v>
      </c>
      <c r="AD20" s="34"/>
      <c r="AE20" s="40"/>
      <c r="AF20" s="4">
        <f>IF(I20="Senior",MAX(AB20,AD20),AB20+AD20)</f>
        <v>40.49</v>
      </c>
      <c r="AG20" s="34"/>
      <c r="AH20" s="37"/>
    </row>
    <row r="21" spans="1:34" x14ac:dyDescent="0.2">
      <c r="A21" s="1" t="str" cm="1">
        <f t="array" ref="A21">IF(J21="","",IF(Q21&lt;&gt;"",SUMPRODUCT((Q$3:Q$38&lt;&gt;"")*(H$3:H$38=H21)*(K$3:K$38&gt;K21)*(J$3:J$38="P"))+1,IF(P21&lt;&gt;"",SUMPRODUCT((P$3:P$38&lt;&gt;"")*(Q$3:Q$38="")*(H$3:H$38=H21)*(K$3:K$38&gt;K21)*(J$3:J$38="P"))+SUMPRODUCT((Q$3:Q$38&lt;&gt;"")*(H$3:H$38=H21)*(J$3:J$38="P"))+1,IF(O21&lt;&gt;"",SUMPRODUCT((O$3:O$38&lt;&gt;"")*(H$3:H$38=H21)*(K$3:K$38&gt;K21)*(J$3:J$38="P"))+1,IF(N21="P",SUMPRODUCT((P$3:P$38&lt;&gt;"")*(Q$3:Q$38="")*(H$3:H$38=H21)*(J$3:J$38="P"))+SUMPRODUCT((Q$3:Q$38&lt;&gt;"")*(H$3:H$38=H21)*(J$3:J$38="P"))+SUMPRODUCT((O$3:O$38&lt;&gt;"")*(H$3:H$38=H21)*(J$3:J$38="P"))+SUMPRODUCT((Q$3:Q$38="")*(P$3:P$38="")*(O$3:O$38="")*(N$3:N$38="P")*(H$3:H$38=H21)*(K$3:K$38&gt;K21)*(J$3:J$38="P"))+IF(I21="L5",SUMPRODUCT((Q$3:Q$38="")*(P$3:P$38="")*(O$3:O$38="")*(N$3:N$38="P")*(H$3:H$38=H21)*(K$3:K$38&lt;K21)*(I$3:I$38&lt;&gt;I21)*(J$3:J$38="P")),-1*SUMPRODUCT((Q$3:Q$38="")*(P$3:P$38="")*(O$3:O$38="")*(N$3:N$38="P")*(H$3:H$38=H21)*(K$3:K$38&gt;K21)*(I$3:I$38="L5")*(J$3:J$38="P")))+1,"")))))</f>
        <v/>
      </c>
      <c r="B21" s="1" t="str" cm="1">
        <f t="array" ref="B21">IF(Q21&lt;&gt;"",SUMPRODUCT((Q$3:Q$38&lt;&gt;"")*(H$3:H$38=H21)*(K$3:K$38&gt;K21))+1,IF(P21&lt;&gt;"",SUMPRODUCT((P$3:P$38&lt;&gt;"")*(Q$3:Q$38="")*(H$3:H$38=H21)*(K$3:K$38&gt;K21))+SUMPRODUCT((Q$3:Q$38&lt;&gt;"")*(H$3:H$38=H21))+1,IF(O21&lt;&gt;"",SUMPRODUCT((O$3:O$38&lt;&gt;"")*(H$3:H$38=H21)*(K$3:K$38&gt;K21))+1,IF(N21="P",SUMPRODUCT((P$3:P$38&lt;&gt;"")*(Q$3:Q$38="")*(H$3:H$38=H21))+SUMPRODUCT((Q$3:Q$38&lt;&gt;"")*(H$3:H$38=H21))+SUMPRODUCT((O$3:O$38&lt;&gt;"")*(H$3:H$38=H21))+SUMPRODUCT((Q$3:Q$38="")*(P$3:P$38="")*(O$3:O$38="")*(N$3:N$38="P")*(H$3:H$38=H21)*(K$3:K$38&gt;K21))+IF(I21="L5",SUMPRODUCT((Q$3:Q$38="")*(P$3:P$38="")*(O$3:O$38="")*(N$3:N$38="P")*(H$3:H$38=H21)*(K$3:K$38&lt;K21)*(I$3:I$38&lt;&gt;I21)),-1*SUMPRODUCT((Q$3:Q$38="")*(P$3:P$38="")*(O$3:O$38="")*(N$3:N$38="P")*(H$3:H$38=H21)*(K$3:K$38&gt;K21)*(I$3:I$38="L5")))+1,""))))</f>
        <v/>
      </c>
      <c r="C21" s="36" t="s">
        <v>491</v>
      </c>
      <c r="D21" s="36" t="str">
        <f>IF(E21="","",VLOOKUP(E21,'Coaching Points'!A:B,2,0)&amp;"/"&amp;VLOOKUP(F21,'Coaching Points'!A:B,2,0))</f>
        <v>ON/ON</v>
      </c>
      <c r="E21" s="36" t="s">
        <v>141</v>
      </c>
      <c r="F21" s="36" t="s">
        <v>141</v>
      </c>
      <c r="G21" s="35">
        <v>2005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115</v>
      </c>
      <c r="J21" s="45"/>
      <c r="K21" s="4">
        <f>S21+IF(OR(I21="Junior",I21="Senior"),0.0002,IF(OR(I21="L7",I21="L6"),0.0001,0))+MAX(AB21,AD21,AG21)*0.0000001</f>
        <v>3.8020000000000002E-6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49" t="str">
        <f>IF(A21&lt;5,IF(_xlfn.MAXIFS(A:A,H:H,H21)&gt;3,5-A21,_xlfn.MAXIFS(A:A,H:H,H21)+1-A21),"")</f>
        <v/>
      </c>
      <c r="S21" s="4">
        <f>IF(H21="Not Age Eligible",0,MAX(IF(OR(AND(H21="17-21",V21&gt;='Qualifying Scores'!E$13),AND(H21="15-16",V21&gt;='Qualifying Scores'!E$12),AND(H21="13-14",V21&gt;='Qualifying Scores'!E$11),AND(H21="11-12",V21&gt;='Qualifying Scores'!E$10)),U21,0),IF(OR(AND(H21="17-21",X21&gt;='Qualifying Scores'!E$13),AND(H21="15-16",X21&gt;='Qualifying Scores'!E$12),AND(H21="13-14",X21&gt;='Qualifying Scores'!E$11),AND(H21="11-12",X21&gt;='Qualifying Scores'!E$10)),W21,0),IF(OR(AND(H21="17-21",AA21&gt;='Qualifying Scores'!E$13),AND(H21="15-16",AA21&gt;='Qualifying Scores'!E$12),AND(H21="13-14",AA21&gt;='Qualifying Scores'!E$11),AND(H21="11-12",AA21&gt;='Qualifying Scores'!E$10)),Z21,0),IF(OR(AND(H21="17-21",AC21&gt;='Qualifying Scores'!E$13),AND(H21="15-16",AC21&gt;='Qualifying Scores'!E$12),AND(H21="13-14",AC21&gt;='Qualifying Scores'!E$11),AND(H21="11-12",AC21&gt;='Qualifying Scores'!E$10)),AB21,0),IF(OR(AND(H21="17-21",AE21&gt;='Qualifying Scores'!E$13),AND(H21="15-16",AE21&gt;='Qualifying Scores'!E$12),AND(H21="13-14",AE21&gt;='Qualifying Scores'!E$11),AND(H21="11-12",AE21&gt;='Qualifying Scores'!E$10)),AD21,0),IF(OR(AND(H21="17-21",AH21&gt;='Qualifying Scores'!E$13),AND(H21="15-16",AH21&gt;='Qualifying Scores'!E$12),AND(H21="13-14",AH21&gt;='Qualifying Scores'!E$11),AND(H21="11-12",AH21&gt;='Qualifying Scores'!E$10)),AG21,0)))</f>
        <v>0</v>
      </c>
      <c r="T21" s="4">
        <f>MAX(U21,W21,Z21,AB21,AD21,AG21)</f>
        <v>38.020000000000003</v>
      </c>
      <c r="U21" s="33"/>
      <c r="V21" s="40"/>
      <c r="W21" s="34"/>
      <c r="X21" s="40"/>
      <c r="Y21" s="4">
        <f>IF(I21="Senior",MAX(U21,W21),U21+W21)</f>
        <v>0</v>
      </c>
      <c r="Z21" s="34"/>
      <c r="AA21" s="40"/>
      <c r="AB21" s="33">
        <v>38.020000000000003</v>
      </c>
      <c r="AC21" s="40">
        <v>7.7</v>
      </c>
      <c r="AD21" s="34"/>
      <c r="AE21" s="40"/>
      <c r="AF21" s="4">
        <f>IF(I21="Senior",MAX(AB21,AD21),AB21+AD21)</f>
        <v>38.020000000000003</v>
      </c>
      <c r="AG21" s="34">
        <v>4.53</v>
      </c>
      <c r="AH21" s="37">
        <v>1.3</v>
      </c>
    </row>
    <row r="22" spans="1:34" x14ac:dyDescent="0.2">
      <c r="A22" s="1" t="str" cm="1">
        <f t="array" ref="A22">IF(J22="","",IF(Q22&lt;&gt;"",SUMPRODUCT((Q$3:Q$38&lt;&gt;"")*(H$3:H$38=H22)*(K$3:K$38&gt;K22)*(J$3:J$38="P"))+1,IF(P22&lt;&gt;"",SUMPRODUCT((P$3:P$38&lt;&gt;"")*(Q$3:Q$38="")*(H$3:H$38=H22)*(K$3:K$38&gt;K22)*(J$3:J$38="P"))+SUMPRODUCT((Q$3:Q$38&lt;&gt;"")*(H$3:H$38=H22)*(J$3:J$38="P"))+1,IF(O22&lt;&gt;"",SUMPRODUCT((O$3:O$38&lt;&gt;"")*(H$3:H$38=H22)*(K$3:K$38&gt;K22)*(J$3:J$38="P"))+1,IF(N22="P",SUMPRODUCT((P$3:P$38&lt;&gt;"")*(Q$3:Q$38="")*(H$3:H$38=H22)*(J$3:J$38="P"))+SUMPRODUCT((Q$3:Q$38&lt;&gt;"")*(H$3:H$38=H22)*(J$3:J$38="P"))+SUMPRODUCT((O$3:O$38&lt;&gt;"")*(H$3:H$38=H22)*(J$3:J$38="P"))+SUMPRODUCT((Q$3:Q$38="")*(P$3:P$38="")*(O$3:O$38="")*(N$3:N$38="P")*(H$3:H$38=H22)*(K$3:K$38&gt;K22)*(J$3:J$38="P"))+IF(I22="L5",SUMPRODUCT((Q$3:Q$38="")*(P$3:P$38="")*(O$3:O$38="")*(N$3:N$38="P")*(H$3:H$38=H22)*(K$3:K$38&lt;K22)*(I$3:I$38&lt;&gt;I22)*(J$3:J$38="P")),-1*SUMPRODUCT((Q$3:Q$38="")*(P$3:P$38="")*(O$3:O$38="")*(N$3:N$38="P")*(H$3:H$38=H22)*(K$3:K$38&gt;K22)*(I$3:I$38="L5")*(J$3:J$38="P")))+1,"")))))</f>
        <v/>
      </c>
      <c r="B22" s="1" t="str" cm="1">
        <f t="array" ref="B22">IF(Q22&lt;&gt;"",SUMPRODUCT((Q$3:Q$38&lt;&gt;"")*(H$3:H$38=H22)*(K$3:K$38&gt;K22))+1,IF(P22&lt;&gt;"",SUMPRODUCT((P$3:P$38&lt;&gt;"")*(Q$3:Q$38="")*(H$3:H$38=H22)*(K$3:K$38&gt;K22))+SUMPRODUCT((Q$3:Q$38&lt;&gt;"")*(H$3:H$38=H22))+1,IF(O22&lt;&gt;"",SUMPRODUCT((O$3:O$38&lt;&gt;"")*(H$3:H$38=H22)*(K$3:K$38&gt;K22))+1,IF(N22="P",SUMPRODUCT((P$3:P$38&lt;&gt;"")*(Q$3:Q$38="")*(H$3:H$38=H22))+SUMPRODUCT((Q$3:Q$38&lt;&gt;"")*(H$3:H$38=H22))+SUMPRODUCT((O$3:O$38&lt;&gt;"")*(H$3:H$38=H22))+SUMPRODUCT((Q$3:Q$38="")*(P$3:P$38="")*(O$3:O$38="")*(N$3:N$38="P")*(H$3:H$38=H22)*(K$3:K$38&gt;K22))+IF(I22="L5",SUMPRODUCT((Q$3:Q$38="")*(P$3:P$38="")*(O$3:O$38="")*(N$3:N$38="P")*(H$3:H$38=H22)*(K$3:K$38&lt;K22)*(I$3:I$38&lt;&gt;I22)),-1*SUMPRODUCT((Q$3:Q$38="")*(P$3:P$38="")*(O$3:O$38="")*(N$3:N$38="P")*(H$3:H$38=H22)*(K$3:K$38&gt;K22)*(I$3:I$38="L5")))+1,""))))</f>
        <v/>
      </c>
      <c r="C22" s="36" t="s">
        <v>478</v>
      </c>
      <c r="D22" s="36" t="str">
        <f>IF(E22="","",VLOOKUP(E22,'Coaching Points'!A:B,2,0)&amp;"/"&amp;VLOOKUP(F22,'Coaching Points'!A:B,2,0))</f>
        <v>QC/QC</v>
      </c>
      <c r="E22" s="36" t="s">
        <v>3</v>
      </c>
      <c r="F22" s="36" t="s">
        <v>3</v>
      </c>
      <c r="G22" s="35">
        <v>2002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115</v>
      </c>
      <c r="J22" s="45"/>
      <c r="K22" s="4">
        <f>S22+IF(OR(I22="Junior",I22="Senior"),0.0002,IF(OR(I22="L7",I22="L6"),0.0001,0))+MAX(AB22,AD22,AG22)*0.0000001</f>
        <v>2.1550000000000001E-6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49" t="str">
        <f>IF(A22&lt;5,IF(_xlfn.MAXIFS(A:A,H:H,H22)&gt;3,5-A22,_xlfn.MAXIFS(A:A,H:H,H22)+1-A22),"")</f>
        <v/>
      </c>
      <c r="S22" s="4">
        <f>IF(H22="Not Age Eligible",0,MAX(IF(OR(AND(H22="17-21",V22&gt;='Qualifying Scores'!E$13),AND(H22="15-16",V22&gt;='Qualifying Scores'!E$12),AND(H22="13-14",V22&gt;='Qualifying Scores'!E$11),AND(H22="11-12",V22&gt;='Qualifying Scores'!E$10)),U22,0),IF(OR(AND(H22="17-21",X22&gt;='Qualifying Scores'!E$13),AND(H22="15-16",X22&gt;='Qualifying Scores'!E$12),AND(H22="13-14",X22&gt;='Qualifying Scores'!E$11),AND(H22="11-12",X22&gt;='Qualifying Scores'!E$10)),W22,0),IF(OR(AND(H22="17-21",AA22&gt;='Qualifying Scores'!E$13),AND(H22="15-16",AA22&gt;='Qualifying Scores'!E$12),AND(H22="13-14",AA22&gt;='Qualifying Scores'!E$11),AND(H22="11-12",AA22&gt;='Qualifying Scores'!E$10)),Z22,0),IF(OR(AND(H22="17-21",AC22&gt;='Qualifying Scores'!E$13),AND(H22="15-16",AC22&gt;='Qualifying Scores'!E$12),AND(H22="13-14",AC22&gt;='Qualifying Scores'!E$11),AND(H22="11-12",AC22&gt;='Qualifying Scores'!E$10)),AB22,0),IF(OR(AND(H22="17-21",AE22&gt;='Qualifying Scores'!E$13),AND(H22="15-16",AE22&gt;='Qualifying Scores'!E$12),AND(H22="13-14",AE22&gt;='Qualifying Scores'!E$11),AND(H22="11-12",AE22&gt;='Qualifying Scores'!E$10)),AD22,0),IF(OR(AND(H22="17-21",AH22&gt;='Qualifying Scores'!E$13),AND(H22="15-16",AH22&gt;='Qualifying Scores'!E$12),AND(H22="13-14",AH22&gt;='Qualifying Scores'!E$11),AND(H22="11-12",AH22&gt;='Qualifying Scores'!E$10)),AG22,0)))</f>
        <v>0</v>
      </c>
      <c r="T22" s="4">
        <f>MAX(U22,W22,Z22,AB22,AD22,AG22)</f>
        <v>21.55</v>
      </c>
      <c r="U22" s="33"/>
      <c r="V22" s="40"/>
      <c r="W22" s="34"/>
      <c r="X22" s="40"/>
      <c r="Y22" s="4">
        <f>IF(I22="Senior",MAX(U22,W22),U22+W22)</f>
        <v>0</v>
      </c>
      <c r="Z22" s="34"/>
      <c r="AA22" s="40"/>
      <c r="AB22" s="33">
        <v>21.55</v>
      </c>
      <c r="AC22" s="40">
        <v>4.0999999999999996</v>
      </c>
      <c r="AD22" s="34"/>
      <c r="AE22" s="40"/>
      <c r="AF22" s="4">
        <f>IF(I22="Senior",MAX(AB22,AD22),AB22+AD22)</f>
        <v>21.55</v>
      </c>
      <c r="AG22" s="34"/>
      <c r="AH22" s="37"/>
    </row>
    <row r="23" spans="1:34" x14ac:dyDescent="0.2">
      <c r="A23" s="1" t="str" cm="1">
        <f t="array" ref="A23">IF(J23="","",IF(Q23&lt;&gt;"",SUMPRODUCT((Q$3:Q$38&lt;&gt;"")*(H$3:H$38=H23)*(K$3:K$38&gt;K23)*(J$3:J$38="P"))+1,IF(P23&lt;&gt;"",SUMPRODUCT((P$3:P$38&lt;&gt;"")*(Q$3:Q$38="")*(H$3:H$38=H23)*(K$3:K$38&gt;K23)*(J$3:J$38="P"))+SUMPRODUCT((Q$3:Q$38&lt;&gt;"")*(H$3:H$38=H23)*(J$3:J$38="P"))+1,IF(O23&lt;&gt;"",SUMPRODUCT((O$3:O$38&lt;&gt;"")*(H$3:H$38=H23)*(K$3:K$38&gt;K23)*(J$3:J$38="P"))+1,IF(N23="P",SUMPRODUCT((P$3:P$38&lt;&gt;"")*(Q$3:Q$38="")*(H$3:H$38=H23)*(J$3:J$38="P"))+SUMPRODUCT((Q$3:Q$38&lt;&gt;"")*(H$3:H$38=H23)*(J$3:J$38="P"))+SUMPRODUCT((O$3:O$38&lt;&gt;"")*(H$3:H$38=H23)*(J$3:J$38="P"))+SUMPRODUCT((Q$3:Q$38="")*(P$3:P$38="")*(O$3:O$38="")*(N$3:N$38="P")*(H$3:H$38=H23)*(K$3:K$38&gt;K23)*(J$3:J$38="P"))+IF(I23="L5",SUMPRODUCT((Q$3:Q$38="")*(P$3:P$38="")*(O$3:O$38="")*(N$3:N$38="P")*(H$3:H$38=H23)*(K$3:K$38&lt;K23)*(I$3:I$38&lt;&gt;I23)*(J$3:J$38="P")),-1*SUMPRODUCT((Q$3:Q$38="")*(P$3:P$38="")*(O$3:O$38="")*(N$3:N$38="P")*(H$3:H$38=H23)*(K$3:K$38&gt;K23)*(I$3:I$38="L5")*(J$3:J$38="P")))+1,"")))))</f>
        <v/>
      </c>
      <c r="B23" s="1" t="str" cm="1">
        <f t="array" ref="B23">IF(Q23&lt;&gt;"",SUMPRODUCT((Q$3:Q$38&lt;&gt;"")*(H$3:H$38=H23)*(K$3:K$38&gt;K23))+1,IF(P23&lt;&gt;"",SUMPRODUCT((P$3:P$38&lt;&gt;"")*(Q$3:Q$38="")*(H$3:H$38=H23)*(K$3:K$38&gt;K23))+SUMPRODUCT((Q$3:Q$38&lt;&gt;"")*(H$3:H$38=H23))+1,IF(O23&lt;&gt;"",SUMPRODUCT((O$3:O$38&lt;&gt;"")*(H$3:H$38=H23)*(K$3:K$38&gt;K23))+1,IF(N23="P",SUMPRODUCT((P$3:P$38&lt;&gt;"")*(Q$3:Q$38="")*(H$3:H$38=H23))+SUMPRODUCT((Q$3:Q$38&lt;&gt;"")*(H$3:H$38=H23))+SUMPRODUCT((O$3:O$38&lt;&gt;"")*(H$3:H$38=H23))+SUMPRODUCT((Q$3:Q$38="")*(P$3:P$38="")*(O$3:O$38="")*(N$3:N$38="P")*(H$3:H$38=H23)*(K$3:K$38&gt;K23))+IF(I23="L5",SUMPRODUCT((Q$3:Q$38="")*(P$3:P$38="")*(O$3:O$38="")*(N$3:N$38="P")*(H$3:H$38=H23)*(K$3:K$38&lt;K23)*(I$3:I$38&lt;&gt;I23)),-1*SUMPRODUCT((Q$3:Q$38="")*(P$3:P$38="")*(O$3:O$38="")*(N$3:N$38="P")*(H$3:H$38=H23)*(K$3:K$38&gt;K23)*(I$3:I$38="L5")))+1,""))))</f>
        <v/>
      </c>
      <c r="C23" s="36" t="s">
        <v>596</v>
      </c>
      <c r="D23" s="36" t="str">
        <f>IF(E23="","",VLOOKUP(E23,'Coaching Points'!A:B,2,0)&amp;"/"&amp;VLOOKUP(F23,'Coaching Points'!A:B,2,0))</f>
        <v>BC/BC</v>
      </c>
      <c r="E23" s="36" t="s">
        <v>37</v>
      </c>
      <c r="F23" s="36" t="s">
        <v>37</v>
      </c>
      <c r="G23" s="35">
        <v>2004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115</v>
      </c>
      <c r="J23" s="45"/>
      <c r="K23" s="4">
        <f>S23+IF(OR(I23="Junior",I23="Senior"),0.0002,IF(OR(I23="L7",I23="L6"),0.0001,0))+MAX(AB23,AD23,AG23)*0.0000001</f>
        <v>1.55E-6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49" t="str">
        <f>IF(A23&lt;5,IF(_xlfn.MAXIFS(A:A,H:H,H23)&gt;3,5-A23,_xlfn.MAXIFS(A:A,H:H,H23)+1-A23),"")</f>
        <v/>
      </c>
      <c r="S23" s="4">
        <f>IF(H23="Not Age Eligible",0,MAX(IF(OR(AND(H23="17-21",V23&gt;='Qualifying Scores'!E$13),AND(H23="15-16",V23&gt;='Qualifying Scores'!E$12),AND(H23="13-14",V23&gt;='Qualifying Scores'!E$11),AND(H23="11-12",V23&gt;='Qualifying Scores'!E$10)),U23,0),IF(OR(AND(H23="17-21",X23&gt;='Qualifying Scores'!E$13),AND(H23="15-16",X23&gt;='Qualifying Scores'!E$12),AND(H23="13-14",X23&gt;='Qualifying Scores'!E$11),AND(H23="11-12",X23&gt;='Qualifying Scores'!E$10)),W23,0),IF(OR(AND(H23="17-21",AA23&gt;='Qualifying Scores'!E$13),AND(H23="15-16",AA23&gt;='Qualifying Scores'!E$12),AND(H23="13-14",AA23&gt;='Qualifying Scores'!E$11),AND(H23="11-12",AA23&gt;='Qualifying Scores'!E$10)),Z23,0),IF(OR(AND(H23="17-21",AC23&gt;='Qualifying Scores'!E$13),AND(H23="15-16",AC23&gt;='Qualifying Scores'!E$12),AND(H23="13-14",AC23&gt;='Qualifying Scores'!E$11),AND(H23="11-12",AC23&gt;='Qualifying Scores'!E$10)),AB23,0),IF(OR(AND(H23="17-21",AE23&gt;='Qualifying Scores'!E$13),AND(H23="15-16",AE23&gt;='Qualifying Scores'!E$12),AND(H23="13-14",AE23&gt;='Qualifying Scores'!E$11),AND(H23="11-12",AE23&gt;='Qualifying Scores'!E$10)),AD23,0),IF(OR(AND(H23="17-21",AH23&gt;='Qualifying Scores'!E$13),AND(H23="15-16",AH23&gt;='Qualifying Scores'!E$12),AND(H23="13-14",AH23&gt;='Qualifying Scores'!E$11),AND(H23="11-12",AH23&gt;='Qualifying Scores'!E$10)),AG23,0)))</f>
        <v>0</v>
      </c>
      <c r="T23" s="4">
        <f>MAX(U23,W23,Z23,AB23,AD23,AG23)</f>
        <v>15.5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15.5</v>
      </c>
      <c r="AC23" s="40">
        <v>2.8</v>
      </c>
      <c r="AD23" s="34"/>
      <c r="AE23" s="40"/>
      <c r="AF23" s="4">
        <f>IF(I23="Senior",MAX(AB23,AD23),AB23+AD23)</f>
        <v>15.5</v>
      </c>
      <c r="AG23" s="34"/>
      <c r="AH23" s="37"/>
    </row>
    <row r="24" spans="1:34" x14ac:dyDescent="0.2">
      <c r="A24" s="1" t="str" cm="1">
        <f t="array" ref="A24">IF(J24="","",IF(Q24&lt;&gt;"",SUMPRODUCT((Q$3:Q$38&lt;&gt;"")*(H$3:H$38=H24)*(K$3:K$38&gt;K24)*(J$3:J$38="P"))+1,IF(P24&lt;&gt;"",SUMPRODUCT((P$3:P$38&lt;&gt;"")*(Q$3:Q$38="")*(H$3:H$38=H24)*(K$3:K$38&gt;K24)*(J$3:J$38="P"))+SUMPRODUCT((Q$3:Q$38&lt;&gt;"")*(H$3:H$38=H24)*(J$3:J$38="P"))+1,IF(O24&lt;&gt;"",SUMPRODUCT((O$3:O$38&lt;&gt;"")*(H$3:H$38=H24)*(K$3:K$38&gt;K24)*(J$3:J$38="P"))+1,IF(N24="P",SUMPRODUCT((P$3:P$38&lt;&gt;"")*(Q$3:Q$38="")*(H$3:H$38=H24)*(J$3:J$38="P"))+SUMPRODUCT((Q$3:Q$38&lt;&gt;"")*(H$3:H$38=H24)*(J$3:J$38="P"))+SUMPRODUCT((O$3:O$38&lt;&gt;"")*(H$3:H$38=H24)*(J$3:J$38="P"))+SUMPRODUCT((Q$3:Q$38="")*(P$3:P$38="")*(O$3:O$38="")*(N$3:N$38="P")*(H$3:H$38=H24)*(K$3:K$38&gt;K24)*(J$3:J$38="P"))+IF(I24="L5",SUMPRODUCT((Q$3:Q$38="")*(P$3:P$38="")*(O$3:O$38="")*(N$3:N$38="P")*(H$3:H$38=H24)*(K$3:K$38&lt;K24)*(I$3:I$38&lt;&gt;I24)*(J$3:J$38="P")),-1*SUMPRODUCT((Q$3:Q$38="")*(P$3:P$38="")*(O$3:O$38="")*(N$3:N$38="P")*(H$3:H$38=H24)*(K$3:K$38&gt;K24)*(I$3:I$38="L5")*(J$3:J$38="P")))+1,"")))))</f>
        <v/>
      </c>
      <c r="B24" s="1" t="str" cm="1">
        <f t="array" ref="B24">IF(Q24&lt;&gt;"",SUMPRODUCT((Q$3:Q$38&lt;&gt;"")*(H$3:H$38=H24)*(K$3:K$38&gt;K24))+1,IF(P24&lt;&gt;"",SUMPRODUCT((P$3:P$38&lt;&gt;"")*(Q$3:Q$38="")*(H$3:H$38=H24)*(K$3:K$38&gt;K24))+SUMPRODUCT((Q$3:Q$38&lt;&gt;"")*(H$3:H$38=H24))+1,IF(O24&lt;&gt;"",SUMPRODUCT((O$3:O$38&lt;&gt;"")*(H$3:H$38=H24)*(K$3:K$38&gt;K24))+1,IF(N24="P",SUMPRODUCT((P$3:P$38&lt;&gt;"")*(Q$3:Q$38="")*(H$3:H$38=H24))+SUMPRODUCT((Q$3:Q$38&lt;&gt;"")*(H$3:H$38=H24))+SUMPRODUCT((O$3:O$38&lt;&gt;"")*(H$3:H$38=H24))+SUMPRODUCT((Q$3:Q$38="")*(P$3:P$38="")*(O$3:O$38="")*(N$3:N$38="P")*(H$3:H$38=H24)*(K$3:K$38&gt;K24))+IF(I24="L5",SUMPRODUCT((Q$3:Q$38="")*(P$3:P$38="")*(O$3:O$38="")*(N$3:N$38="P")*(H$3:H$38=H24)*(K$3:K$38&lt;K24)*(I$3:I$38&lt;&gt;I24)),-1*SUMPRODUCT((Q$3:Q$38="")*(P$3:P$38="")*(O$3:O$38="")*(N$3:N$38="P")*(H$3:H$38=H24)*(K$3:K$38&gt;K24)*(I$3:I$38="L5")))+1,""))))</f>
        <v/>
      </c>
      <c r="C24" s="36" t="s">
        <v>494</v>
      </c>
      <c r="D24" s="36" t="str">
        <f>IF(E24="","",VLOOKUP(E24,'Coaching Points'!A:B,2,0)&amp;"/"&amp;VLOOKUP(F24,'Coaching Points'!A:B,2,0))</f>
        <v>ON/ON</v>
      </c>
      <c r="E24" s="36" t="s">
        <v>38</v>
      </c>
      <c r="F24" s="36" t="s">
        <v>38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115</v>
      </c>
      <c r="J24" s="45"/>
      <c r="K24" s="4">
        <f>S24+IF(OR(I24="Junior",I24="Senior"),0.0002,IF(OR(I24="L7",I24="L6"),0.0001,0))+MAX(AB24,AD24,AG24)*0.0000001</f>
        <v>8.8100000000000001E-7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49" t="str">
        <f>IF(A24&lt;5,IF(_xlfn.MAXIFS(A:A,H:H,H24)&gt;3,5-A24,_xlfn.MAXIFS(A:A,H:H,H24)+1-A24),"")</f>
        <v/>
      </c>
      <c r="S24" s="4">
        <f>IF(H24="Not Age Eligible",0,MAX(IF(OR(AND(H24="17-21",V24&gt;='Qualifying Scores'!E$13),AND(H24="15-16",V24&gt;='Qualifying Scores'!E$12),AND(H24="13-14",V24&gt;='Qualifying Scores'!E$11),AND(H24="11-12",V24&gt;='Qualifying Scores'!E$10)),U24,0),IF(OR(AND(H24="17-21",X24&gt;='Qualifying Scores'!E$13),AND(H24="15-16",X24&gt;='Qualifying Scores'!E$12),AND(H24="13-14",X24&gt;='Qualifying Scores'!E$11),AND(H24="11-12",X24&gt;='Qualifying Scores'!E$10)),W24,0),IF(OR(AND(H24="17-21",AA24&gt;='Qualifying Scores'!E$13),AND(H24="15-16",AA24&gt;='Qualifying Scores'!E$12),AND(H24="13-14",AA24&gt;='Qualifying Scores'!E$11),AND(H24="11-12",AA24&gt;='Qualifying Scores'!E$10)),Z24,0),IF(OR(AND(H24="17-21",AC24&gt;='Qualifying Scores'!E$13),AND(H24="15-16",AC24&gt;='Qualifying Scores'!E$12),AND(H24="13-14",AC24&gt;='Qualifying Scores'!E$11),AND(H24="11-12",AC24&gt;='Qualifying Scores'!E$10)),AB24,0),IF(OR(AND(H24="17-21",AE24&gt;='Qualifying Scores'!E$13),AND(H24="15-16",AE24&gt;='Qualifying Scores'!E$12),AND(H24="13-14",AE24&gt;='Qualifying Scores'!E$11),AND(H24="11-12",AE24&gt;='Qualifying Scores'!E$10)),AD24,0),IF(OR(AND(H24="17-21",AH24&gt;='Qualifying Scores'!E$13),AND(H24="15-16",AH24&gt;='Qualifying Scores'!E$12),AND(H24="13-14",AH24&gt;='Qualifying Scores'!E$11),AND(H24="11-12",AH24&gt;='Qualifying Scores'!E$10)),AG24,0)))</f>
        <v>0</v>
      </c>
      <c r="T24" s="4">
        <f>MAX(U24,W24,Z24,AB24,AD24,AG24)</f>
        <v>8.81</v>
      </c>
      <c r="U24" s="33"/>
      <c r="V24" s="40"/>
      <c r="W24" s="34"/>
      <c r="X24" s="40"/>
      <c r="Y24" s="4">
        <f>IF(I24="Senior",MAX(U24,W24),U24+W24)</f>
        <v>0</v>
      </c>
      <c r="Z24" s="34"/>
      <c r="AA24" s="40"/>
      <c r="AB24" s="33">
        <v>8.81</v>
      </c>
      <c r="AC24" s="40">
        <v>1.8</v>
      </c>
      <c r="AD24" s="34"/>
      <c r="AE24" s="40"/>
      <c r="AF24" s="4">
        <f>IF(I24="Senior",MAX(AB24,AD24),AB24+AD24)</f>
        <v>8.81</v>
      </c>
      <c r="AG24" s="34"/>
      <c r="AH24" s="37"/>
    </row>
    <row r="25" spans="1:34" x14ac:dyDescent="0.2">
      <c r="A25" s="1" t="str" cm="1">
        <f t="array" ref="A25">IF(J25="","",IF(Q25&lt;&gt;"",SUMPRODUCT((Q$3:Q$38&lt;&gt;"")*(H$3:H$38=H25)*(K$3:K$38&gt;K25)*(J$3:J$38="P"))+1,IF(P25&lt;&gt;"",SUMPRODUCT((P$3:P$38&lt;&gt;"")*(Q$3:Q$38="")*(H$3:H$38=H25)*(K$3:K$38&gt;K25)*(J$3:J$38="P"))+SUMPRODUCT((Q$3:Q$38&lt;&gt;"")*(H$3:H$38=H25)*(J$3:J$38="P"))+1,IF(O25&lt;&gt;"",SUMPRODUCT((O$3:O$38&lt;&gt;"")*(H$3:H$38=H25)*(K$3:K$38&gt;K25)*(J$3:J$38="P"))+1,IF(N25="P",SUMPRODUCT((P$3:P$38&lt;&gt;"")*(Q$3:Q$38="")*(H$3:H$38=H25)*(J$3:J$38="P"))+SUMPRODUCT((Q$3:Q$38&lt;&gt;"")*(H$3:H$38=H25)*(J$3:J$38="P"))+SUMPRODUCT((O$3:O$38&lt;&gt;"")*(H$3:H$38=H25)*(J$3:J$38="P"))+SUMPRODUCT((Q$3:Q$38="")*(P$3:P$38="")*(O$3:O$38="")*(N$3:N$38="P")*(H$3:H$38=H25)*(K$3:K$38&gt;K25)*(J$3:J$38="P"))+IF(I25="L5",SUMPRODUCT((Q$3:Q$38="")*(P$3:P$38="")*(O$3:O$38="")*(N$3:N$38="P")*(H$3:H$38=H25)*(K$3:K$38&lt;K25)*(I$3:I$38&lt;&gt;I25)*(J$3:J$38="P")),-1*SUMPRODUCT((Q$3:Q$38="")*(P$3:P$38="")*(O$3:O$38="")*(N$3:N$38="P")*(H$3:H$38=H25)*(K$3:K$38&gt;K25)*(I$3:I$38="L5")*(J$3:J$38="P")))+1,"")))))</f>
        <v/>
      </c>
      <c r="B25" s="1" t="str" cm="1">
        <f t="array" ref="B25">IF(Q25&lt;&gt;"",SUMPRODUCT((Q$3:Q$38&lt;&gt;"")*(H$3:H$38=H25)*(K$3:K$38&gt;K25))+1,IF(P25&lt;&gt;"",SUMPRODUCT((P$3:P$38&lt;&gt;"")*(Q$3:Q$38="")*(H$3:H$38=H25)*(K$3:K$38&gt;K25))+SUMPRODUCT((Q$3:Q$38&lt;&gt;"")*(H$3:H$38=H25))+1,IF(O25&lt;&gt;"",SUMPRODUCT((O$3:O$38&lt;&gt;"")*(H$3:H$38=H25)*(K$3:K$38&gt;K25))+1,IF(N25="P",SUMPRODUCT((P$3:P$38&lt;&gt;"")*(Q$3:Q$38="")*(H$3:H$38=H25))+SUMPRODUCT((Q$3:Q$38&lt;&gt;"")*(H$3:H$38=H25))+SUMPRODUCT((O$3:O$38&lt;&gt;"")*(H$3:H$38=H25))+SUMPRODUCT((Q$3:Q$38="")*(P$3:P$38="")*(O$3:O$38="")*(N$3:N$38="P")*(H$3:H$38=H25)*(K$3:K$38&gt;K25))+IF(I25="L5",SUMPRODUCT((Q$3:Q$38="")*(P$3:P$38="")*(O$3:O$38="")*(N$3:N$38="P")*(H$3:H$38=H25)*(K$3:K$38&lt;K25)*(I$3:I$38&lt;&gt;I25)),-1*SUMPRODUCT((Q$3:Q$38="")*(P$3:P$38="")*(O$3:O$38="")*(N$3:N$38="P")*(H$3:H$38=H25)*(K$3:K$38&gt;K25)*(I$3:I$38="L5")))+1,""))))</f>
        <v/>
      </c>
      <c r="C25" s="36" t="s">
        <v>476</v>
      </c>
      <c r="D25" s="36" t="str">
        <f>IF(E25="","",VLOOKUP(E25,'Coaching Points'!A:B,2,0)&amp;"/"&amp;VLOOKUP(F25,'Coaching Points'!A:B,2,0))</f>
        <v>BC/BC</v>
      </c>
      <c r="E25" s="36" t="s">
        <v>47</v>
      </c>
      <c r="F25" s="36" t="s">
        <v>47</v>
      </c>
      <c r="G25" s="35">
        <v>2004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115</v>
      </c>
      <c r="J25" s="45"/>
      <c r="K25" s="4">
        <f>S25+IF(OR(I25="Junior",I25="Senior"),0.0002,IF(OR(I25="L7",I25="L6"),0.0001,0))+MAX(AB25,AD25,AG25)*0.0000001</f>
        <v>8.2100000000000006E-7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49" t="str">
        <f>IF(A25&lt;5,IF(_xlfn.MAXIFS(A:A,H:H,H25)&gt;3,5-A25,_xlfn.MAXIFS(A:A,H:H,H25)+1-A25),"")</f>
        <v/>
      </c>
      <c r="S25" s="4">
        <f>IF(H25="Not Age Eligible",0,MAX(IF(OR(AND(H25="17-21",V25&gt;='Qualifying Scores'!E$13),AND(H25="15-16",V25&gt;='Qualifying Scores'!E$12),AND(H25="13-14",V25&gt;='Qualifying Scores'!E$11),AND(H25="11-12",V25&gt;='Qualifying Scores'!E$10)),U25,0),IF(OR(AND(H25="17-21",X25&gt;='Qualifying Scores'!E$13),AND(H25="15-16",X25&gt;='Qualifying Scores'!E$12),AND(H25="13-14",X25&gt;='Qualifying Scores'!E$11),AND(H25="11-12",X25&gt;='Qualifying Scores'!E$10)),W25,0),IF(OR(AND(H25="17-21",AA25&gt;='Qualifying Scores'!E$13),AND(H25="15-16",AA25&gt;='Qualifying Scores'!E$12),AND(H25="13-14",AA25&gt;='Qualifying Scores'!E$11),AND(H25="11-12",AA25&gt;='Qualifying Scores'!E$10)),Z25,0),IF(OR(AND(H25="17-21",AC25&gt;='Qualifying Scores'!E$13),AND(H25="15-16",AC25&gt;='Qualifying Scores'!E$12),AND(H25="13-14",AC25&gt;='Qualifying Scores'!E$11),AND(H25="11-12",AC25&gt;='Qualifying Scores'!E$10)),AB25,0),IF(OR(AND(H25="17-21",AE25&gt;='Qualifying Scores'!E$13),AND(H25="15-16",AE25&gt;='Qualifying Scores'!E$12),AND(H25="13-14",AE25&gt;='Qualifying Scores'!E$11),AND(H25="11-12",AE25&gt;='Qualifying Scores'!E$10)),AD25,0),IF(OR(AND(H25="17-21",AH25&gt;='Qualifying Scores'!E$13),AND(H25="15-16",AH25&gt;='Qualifying Scores'!E$12),AND(H25="13-14",AH25&gt;='Qualifying Scores'!E$11),AND(H25="11-12",AH25&gt;='Qualifying Scores'!E$10)),AG25,0)))</f>
        <v>0</v>
      </c>
      <c r="T25" s="4">
        <f>MAX(U25,W25,Z25,AB25,AD25,AG25)</f>
        <v>8.2100000000000009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8.2100000000000009</v>
      </c>
      <c r="AC25" s="40">
        <v>1.8</v>
      </c>
      <c r="AD25" s="34"/>
      <c r="AE25" s="40"/>
      <c r="AF25" s="4">
        <f>IF(I25="Senior",MAX(AB25,AD25),AB25+AD25)</f>
        <v>8.2100000000000009</v>
      </c>
      <c r="AG25" s="34"/>
      <c r="AH25" s="37"/>
    </row>
    <row r="26" spans="1:34" x14ac:dyDescent="0.2">
      <c r="A26" s="1" t="str" cm="1">
        <f t="array" ref="A26">IF(J26="","",IF(Q26&lt;&gt;"",SUMPRODUCT((Q$3:Q$38&lt;&gt;"")*(H$3:H$38=H26)*(K$3:K$38&gt;K26)*(J$3:J$38="P"))+1,IF(P26&lt;&gt;"",SUMPRODUCT((P$3:P$38&lt;&gt;"")*(Q$3:Q$38="")*(H$3:H$38=H26)*(K$3:K$38&gt;K26)*(J$3:J$38="P"))+SUMPRODUCT((Q$3:Q$38&lt;&gt;"")*(H$3:H$38=H26)*(J$3:J$38="P"))+1,IF(O26&lt;&gt;"",SUMPRODUCT((O$3:O$38&lt;&gt;"")*(H$3:H$38=H26)*(K$3:K$38&gt;K26)*(J$3:J$38="P"))+1,IF(N26="P",SUMPRODUCT((P$3:P$38&lt;&gt;"")*(Q$3:Q$38="")*(H$3:H$38=H26)*(J$3:J$38="P"))+SUMPRODUCT((Q$3:Q$38&lt;&gt;"")*(H$3:H$38=H26)*(J$3:J$38="P"))+SUMPRODUCT((O$3:O$38&lt;&gt;"")*(H$3:H$38=H26)*(J$3:J$38="P"))+SUMPRODUCT((Q$3:Q$38="")*(P$3:P$38="")*(O$3:O$38="")*(N$3:N$38="P")*(H$3:H$38=H26)*(K$3:K$38&gt;K26)*(J$3:J$38="P"))+IF(I26="L5",SUMPRODUCT((Q$3:Q$38="")*(P$3:P$38="")*(O$3:O$38="")*(N$3:N$38="P")*(H$3:H$38=H26)*(K$3:K$38&lt;K26)*(I$3:I$38&lt;&gt;I26)*(J$3:J$38="P")),-1*SUMPRODUCT((Q$3:Q$38="")*(P$3:P$38="")*(O$3:O$38="")*(N$3:N$38="P")*(H$3:H$38=H26)*(K$3:K$38&gt;K26)*(I$3:I$38="L5")*(J$3:J$38="P")))+1,"")))))</f>
        <v/>
      </c>
      <c r="B26" s="1" t="str" cm="1">
        <f t="array" ref="B26">IF(Q26&lt;&gt;"",SUMPRODUCT((Q$3:Q$38&lt;&gt;"")*(H$3:H$38=H26)*(K$3:K$38&gt;K26))+1,IF(P26&lt;&gt;"",SUMPRODUCT((P$3:P$38&lt;&gt;"")*(Q$3:Q$38="")*(H$3:H$38=H26)*(K$3:K$38&gt;K26))+SUMPRODUCT((Q$3:Q$38&lt;&gt;"")*(H$3:H$38=H26))+1,IF(O26&lt;&gt;"",SUMPRODUCT((O$3:O$38&lt;&gt;"")*(H$3:H$38=H26)*(K$3:K$38&gt;K26))+1,IF(N26="P",SUMPRODUCT((P$3:P$38&lt;&gt;"")*(Q$3:Q$38="")*(H$3:H$38=H26))+SUMPRODUCT((Q$3:Q$38&lt;&gt;"")*(H$3:H$38=H26))+SUMPRODUCT((O$3:O$38&lt;&gt;"")*(H$3:H$38=H26))+SUMPRODUCT((Q$3:Q$38="")*(P$3:P$38="")*(O$3:O$38="")*(N$3:N$38="P")*(H$3:H$38=H26)*(K$3:K$38&gt;K26))+IF(I26="L5",SUMPRODUCT((Q$3:Q$38="")*(P$3:P$38="")*(O$3:O$38="")*(N$3:N$38="P")*(H$3:H$38=H26)*(K$3:K$38&lt;K26)*(I$3:I$38&lt;&gt;I26)),-1*SUMPRODUCT((Q$3:Q$38="")*(P$3:P$38="")*(O$3:O$38="")*(N$3:N$38="P")*(H$3:H$38=H26)*(K$3:K$38&gt;K26)*(I$3:I$38="L5")))+1,""))))</f>
        <v/>
      </c>
      <c r="C26" s="36" t="s">
        <v>483</v>
      </c>
      <c r="D26" s="36" t="str">
        <f>IF(E26="","",VLOOKUP(E26,'Coaching Points'!A:B,2,0)&amp;"/"&amp;VLOOKUP(F26,'Coaching Points'!A:B,2,0))</f>
        <v>QC/QC</v>
      </c>
      <c r="E26" s="36" t="s">
        <v>179</v>
      </c>
      <c r="F26" s="36" t="s">
        <v>179</v>
      </c>
      <c r="G26" s="35">
        <v>2005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115</v>
      </c>
      <c r="J26" s="45"/>
      <c r="K26" s="4">
        <f>S26+IF(OR(I26="Junior",I26="Senior"),0.0002,IF(OR(I26="L7",I26="L6"),0.0001,0))+MAX(AB26,AD26,AG26)*0.0000001</f>
        <v>8.1500000000000003E-7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49" t="str">
        <f>IF(A26&lt;5,IF(_xlfn.MAXIFS(A:A,H:H,H26)&gt;3,5-A26,_xlfn.MAXIFS(A:A,H:H,H26)+1-A26),"")</f>
        <v/>
      </c>
      <c r="S26" s="4">
        <f>IF(H26="Not Age Eligible",0,MAX(IF(OR(AND(H26="17-21",V26&gt;='Qualifying Scores'!E$13),AND(H26="15-16",V26&gt;='Qualifying Scores'!E$12),AND(H26="13-14",V26&gt;='Qualifying Scores'!E$11),AND(H26="11-12",V26&gt;='Qualifying Scores'!E$10)),U26,0),IF(OR(AND(H26="17-21",X26&gt;='Qualifying Scores'!E$13),AND(H26="15-16",X26&gt;='Qualifying Scores'!E$12),AND(H26="13-14",X26&gt;='Qualifying Scores'!E$11),AND(H26="11-12",X26&gt;='Qualifying Scores'!E$10)),W26,0),IF(OR(AND(H26="17-21",AA26&gt;='Qualifying Scores'!E$13),AND(H26="15-16",AA26&gt;='Qualifying Scores'!E$12),AND(H26="13-14",AA26&gt;='Qualifying Scores'!E$11),AND(H26="11-12",AA26&gt;='Qualifying Scores'!E$10)),Z26,0),IF(OR(AND(H26="17-21",AC26&gt;='Qualifying Scores'!E$13),AND(H26="15-16",AC26&gt;='Qualifying Scores'!E$12),AND(H26="13-14",AC26&gt;='Qualifying Scores'!E$11),AND(H26="11-12",AC26&gt;='Qualifying Scores'!E$10)),AB26,0),IF(OR(AND(H26="17-21",AE26&gt;='Qualifying Scores'!E$13),AND(H26="15-16",AE26&gt;='Qualifying Scores'!E$12),AND(H26="13-14",AE26&gt;='Qualifying Scores'!E$11),AND(H26="11-12",AE26&gt;='Qualifying Scores'!E$10)),AD26,0),IF(OR(AND(H26="17-21",AH26&gt;='Qualifying Scores'!E$13),AND(H26="15-16",AH26&gt;='Qualifying Scores'!E$12),AND(H26="13-14",AH26&gt;='Qualifying Scores'!E$11),AND(H26="11-12",AH26&gt;='Qualifying Scores'!E$10)),AG26,0)))</f>
        <v>0</v>
      </c>
      <c r="T26" s="4">
        <f>MAX(U26,W26,Z26,AB26,AD26,AG26)</f>
        <v>8.15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8.15</v>
      </c>
      <c r="AC26" s="40">
        <v>1.8</v>
      </c>
      <c r="AD26" s="34"/>
      <c r="AE26" s="40"/>
      <c r="AF26" s="4">
        <f>IF(I26="Senior",MAX(AB26,AD26),AB26+AD26)</f>
        <v>8.15</v>
      </c>
      <c r="AG26" s="34"/>
      <c r="AH26" s="37"/>
    </row>
    <row r="27" spans="1:34" x14ac:dyDescent="0.2">
      <c r="A27" s="1" t="str" cm="1">
        <f t="array" ref="A27">IF(J27="","",IF(Q27&lt;&gt;"",SUMPRODUCT((Q$3:Q$38&lt;&gt;"")*(H$3:H$38=H27)*(K$3:K$38&gt;K27)*(J$3:J$38="P"))+1,IF(P27&lt;&gt;"",SUMPRODUCT((P$3:P$38&lt;&gt;"")*(Q$3:Q$38="")*(H$3:H$38=H27)*(K$3:K$38&gt;K27)*(J$3:J$38="P"))+SUMPRODUCT((Q$3:Q$38&lt;&gt;"")*(H$3:H$38=H27)*(J$3:J$38="P"))+1,IF(O27&lt;&gt;"",SUMPRODUCT((O$3:O$38&lt;&gt;"")*(H$3:H$38=H27)*(K$3:K$38&gt;K27)*(J$3:J$38="P"))+1,IF(N27="P",SUMPRODUCT((P$3:P$38&lt;&gt;"")*(Q$3:Q$38="")*(H$3:H$38=H27)*(J$3:J$38="P"))+SUMPRODUCT((Q$3:Q$38&lt;&gt;"")*(H$3:H$38=H27)*(J$3:J$38="P"))+SUMPRODUCT((O$3:O$38&lt;&gt;"")*(H$3:H$38=H27)*(J$3:J$38="P"))+SUMPRODUCT((Q$3:Q$38="")*(P$3:P$38="")*(O$3:O$38="")*(N$3:N$38="P")*(H$3:H$38=H27)*(K$3:K$38&gt;K27)*(J$3:J$38="P"))+IF(I27="L5",SUMPRODUCT((Q$3:Q$38="")*(P$3:P$38="")*(O$3:O$38="")*(N$3:N$38="P")*(H$3:H$38=H27)*(K$3:K$38&lt;K27)*(I$3:I$38&lt;&gt;I27)*(J$3:J$38="P")),-1*SUMPRODUCT((Q$3:Q$38="")*(P$3:P$38="")*(O$3:O$38="")*(N$3:N$38="P")*(H$3:H$38=H27)*(K$3:K$38&gt;K27)*(I$3:I$38="L5")*(J$3:J$38="P")))+1,"")))))</f>
        <v/>
      </c>
      <c r="B27" s="1" t="str" cm="1">
        <f t="array" ref="B27">IF(Q27&lt;&gt;"",SUMPRODUCT((Q$3:Q$38&lt;&gt;"")*(H$3:H$38=H27)*(K$3:K$38&gt;K27))+1,IF(P27&lt;&gt;"",SUMPRODUCT((P$3:P$38&lt;&gt;"")*(Q$3:Q$38="")*(H$3:H$38=H27)*(K$3:K$38&gt;K27))+SUMPRODUCT((Q$3:Q$38&lt;&gt;"")*(H$3:H$38=H27))+1,IF(O27&lt;&gt;"",SUMPRODUCT((O$3:O$38&lt;&gt;"")*(H$3:H$38=H27)*(K$3:K$38&gt;K27))+1,IF(N27="P",SUMPRODUCT((P$3:P$38&lt;&gt;"")*(Q$3:Q$38="")*(H$3:H$38=H27))+SUMPRODUCT((Q$3:Q$38&lt;&gt;"")*(H$3:H$38=H27))+SUMPRODUCT((O$3:O$38&lt;&gt;"")*(H$3:H$38=H27))+SUMPRODUCT((Q$3:Q$38="")*(P$3:P$38="")*(O$3:O$38="")*(N$3:N$38="P")*(H$3:H$38=H27)*(K$3:K$38&gt;K27))+IF(I27="L5",SUMPRODUCT((Q$3:Q$38="")*(P$3:P$38="")*(O$3:O$38="")*(N$3:N$38="P")*(H$3:H$38=H27)*(K$3:K$38&lt;K27)*(I$3:I$38&lt;&gt;I27)),-1*SUMPRODUCT((Q$3:Q$38="")*(P$3:P$38="")*(O$3:O$38="")*(N$3:N$38="P")*(H$3:H$38=H27)*(K$3:K$38&gt;K27)*(I$3:I$38="L5")))+1,""))))</f>
        <v/>
      </c>
      <c r="C27" s="36" t="s">
        <v>477</v>
      </c>
      <c r="D27" s="36" t="str">
        <f>IF(E27="","",VLOOKUP(E27,'Coaching Points'!A:B,2,0)&amp;"/"&amp;VLOOKUP(F27,'Coaching Points'!A:B,2,0))</f>
        <v>NS/NS</v>
      </c>
      <c r="E27" s="36" t="s">
        <v>257</v>
      </c>
      <c r="F27" s="36" t="s">
        <v>257</v>
      </c>
      <c r="G27" s="35">
        <v>2003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115</v>
      </c>
      <c r="J27" s="45"/>
      <c r="K27" s="4">
        <f>S27+IF(OR(I27="Junior",I27="Senior"),0.0002,IF(OR(I27="L7",I27="L6"),0.0001,0))+MAX(AB27,AD27,AG27)*0.0000001</f>
        <v>8.089999999999999E-7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49" t="str">
        <f>IF(A27&lt;5,IF(_xlfn.MAXIFS(A:A,H:H,H27)&gt;3,5-A27,_xlfn.MAXIFS(A:A,H:H,H27)+1-A27),"")</f>
        <v/>
      </c>
      <c r="S27" s="4">
        <f>IF(H27="Not Age Eligible",0,MAX(IF(OR(AND(H27="17-21",V27&gt;='Qualifying Scores'!E$13),AND(H27="15-16",V27&gt;='Qualifying Scores'!E$12),AND(H27="13-14",V27&gt;='Qualifying Scores'!E$11),AND(H27="11-12",V27&gt;='Qualifying Scores'!E$10)),U27,0),IF(OR(AND(H27="17-21",X27&gt;='Qualifying Scores'!E$13),AND(H27="15-16",X27&gt;='Qualifying Scores'!E$12),AND(H27="13-14",X27&gt;='Qualifying Scores'!E$11),AND(H27="11-12",X27&gt;='Qualifying Scores'!E$10)),W27,0),IF(OR(AND(H27="17-21",AA27&gt;='Qualifying Scores'!E$13),AND(H27="15-16",AA27&gt;='Qualifying Scores'!E$12),AND(H27="13-14",AA27&gt;='Qualifying Scores'!E$11),AND(H27="11-12",AA27&gt;='Qualifying Scores'!E$10)),Z27,0),IF(OR(AND(H27="17-21",AC27&gt;='Qualifying Scores'!E$13),AND(H27="15-16",AC27&gt;='Qualifying Scores'!E$12),AND(H27="13-14",AC27&gt;='Qualifying Scores'!E$11),AND(H27="11-12",AC27&gt;='Qualifying Scores'!E$10)),AB27,0),IF(OR(AND(H27="17-21",AE27&gt;='Qualifying Scores'!E$13),AND(H27="15-16",AE27&gt;='Qualifying Scores'!E$12),AND(H27="13-14",AE27&gt;='Qualifying Scores'!E$11),AND(H27="11-12",AE27&gt;='Qualifying Scores'!E$10)),AD27,0),IF(OR(AND(H27="17-21",AH27&gt;='Qualifying Scores'!E$13),AND(H27="15-16",AH27&gt;='Qualifying Scores'!E$12),AND(H27="13-14",AH27&gt;='Qualifying Scores'!E$11),AND(H27="11-12",AH27&gt;='Qualifying Scores'!E$10)),AG27,0)))</f>
        <v>0</v>
      </c>
      <c r="T27" s="4">
        <f>MAX(U27,W27,Z27,AB27,AD27,AG27)</f>
        <v>8.09</v>
      </c>
      <c r="U27" s="33"/>
      <c r="V27" s="40"/>
      <c r="W27" s="34"/>
      <c r="X27" s="40"/>
      <c r="Y27" s="4">
        <f>IF(I27="Senior",MAX(U27,W27),U27+W27)</f>
        <v>0</v>
      </c>
      <c r="Z27" s="34"/>
      <c r="AA27" s="40"/>
      <c r="AB27" s="33">
        <v>8.09</v>
      </c>
      <c r="AC27" s="40">
        <v>1.9</v>
      </c>
      <c r="AD27" s="34"/>
      <c r="AE27" s="40"/>
      <c r="AF27" s="4">
        <f>IF(I27="Senior",MAX(AB27,AD27),AB27+AD27)</f>
        <v>8.09</v>
      </c>
      <c r="AG27" s="34"/>
      <c r="AH27" s="37"/>
    </row>
    <row r="28" spans="1:34" x14ac:dyDescent="0.2">
      <c r="A28" s="1" t="str" cm="1">
        <f t="array" ref="A28">IF(J28="","",IF(Q28&lt;&gt;"",SUMPRODUCT((Q$3:Q$38&lt;&gt;"")*(H$3:H$38=H28)*(K$3:K$38&gt;K28)*(J$3:J$38="P"))+1,IF(P28&lt;&gt;"",SUMPRODUCT((P$3:P$38&lt;&gt;"")*(Q$3:Q$38="")*(H$3:H$38=H28)*(K$3:K$38&gt;K28)*(J$3:J$38="P"))+SUMPRODUCT((Q$3:Q$38&lt;&gt;"")*(H$3:H$38=H28)*(J$3:J$38="P"))+1,IF(O28&lt;&gt;"",SUMPRODUCT((O$3:O$38&lt;&gt;"")*(H$3:H$38=H28)*(K$3:K$38&gt;K28)*(J$3:J$38="P"))+1,IF(N28="P",SUMPRODUCT((P$3:P$38&lt;&gt;"")*(Q$3:Q$38="")*(H$3:H$38=H28)*(J$3:J$38="P"))+SUMPRODUCT((Q$3:Q$38&lt;&gt;"")*(H$3:H$38=H28)*(J$3:J$38="P"))+SUMPRODUCT((O$3:O$38&lt;&gt;"")*(H$3:H$38=H28)*(J$3:J$38="P"))+SUMPRODUCT((Q$3:Q$38="")*(P$3:P$38="")*(O$3:O$38="")*(N$3:N$38="P")*(H$3:H$38=H28)*(K$3:K$38&gt;K28)*(J$3:J$38="P"))+IF(I28="L5",SUMPRODUCT((Q$3:Q$38="")*(P$3:P$38="")*(O$3:O$38="")*(N$3:N$38="P")*(H$3:H$38=H28)*(K$3:K$38&lt;K28)*(I$3:I$38&lt;&gt;I28)*(J$3:J$38="P")),-1*SUMPRODUCT((Q$3:Q$38="")*(P$3:P$38="")*(O$3:O$38="")*(N$3:N$38="P")*(H$3:H$38=H28)*(K$3:K$38&gt;K28)*(I$3:I$38="L5")*(J$3:J$38="P")))+1,"")))))</f>
        <v/>
      </c>
      <c r="B28" s="1" t="str" cm="1">
        <f t="array" ref="B28">IF(Q28&lt;&gt;"",SUMPRODUCT((Q$3:Q$38&lt;&gt;"")*(H$3:H$38=H28)*(K$3:K$38&gt;K28))+1,IF(P28&lt;&gt;"",SUMPRODUCT((P$3:P$38&lt;&gt;"")*(Q$3:Q$38="")*(H$3:H$38=H28)*(K$3:K$38&gt;K28))+SUMPRODUCT((Q$3:Q$38&lt;&gt;"")*(H$3:H$38=H28))+1,IF(O28&lt;&gt;"",SUMPRODUCT((O$3:O$38&lt;&gt;"")*(H$3:H$38=H28)*(K$3:K$38&gt;K28))+1,IF(N28="P",SUMPRODUCT((P$3:P$38&lt;&gt;"")*(Q$3:Q$38="")*(H$3:H$38=H28))+SUMPRODUCT((Q$3:Q$38&lt;&gt;"")*(H$3:H$38=H28))+SUMPRODUCT((O$3:O$38&lt;&gt;"")*(H$3:H$38=H28))+SUMPRODUCT((Q$3:Q$38="")*(P$3:P$38="")*(O$3:O$38="")*(N$3:N$38="P")*(H$3:H$38=H28)*(K$3:K$38&gt;K28))+IF(I28="L5",SUMPRODUCT((Q$3:Q$38="")*(P$3:P$38="")*(O$3:O$38="")*(N$3:N$38="P")*(H$3:H$38=H28)*(K$3:K$38&lt;K28)*(I$3:I$38&lt;&gt;I28)),-1*SUMPRODUCT((Q$3:Q$38="")*(P$3:P$38="")*(O$3:O$38="")*(N$3:N$38="P")*(H$3:H$38=H28)*(K$3:K$38&gt;K28)*(I$3:I$38="L5")))+1,""))))</f>
        <v/>
      </c>
      <c r="C28" s="36" t="s">
        <v>482</v>
      </c>
      <c r="D28" s="36" t="str">
        <f>IF(E28="","",VLOOKUP(E28,'Coaching Points'!A:B,2,0)&amp;"/"&amp;VLOOKUP(F28,'Coaching Points'!A:B,2,0))</f>
        <v>BC/BC</v>
      </c>
      <c r="E28" s="36" t="s">
        <v>42</v>
      </c>
      <c r="F28" s="36" t="s">
        <v>42</v>
      </c>
      <c r="G28" s="35">
        <v>2003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115</v>
      </c>
      <c r="J28" s="45"/>
      <c r="K28" s="4">
        <f>S28+IF(OR(I28="Junior",I28="Senior"),0.0002,IF(OR(I28="L7",I28="L6"),0.0001,0))+MAX(AB28,AD28,AG28)*0.0000001</f>
        <v>7.2699999999999988E-7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49" t="str">
        <f>IF(A28&lt;5,IF(_xlfn.MAXIFS(A:A,H:H,H28)&gt;3,5-A28,_xlfn.MAXIFS(A:A,H:H,H28)+1-A28),"")</f>
        <v/>
      </c>
      <c r="S28" s="4">
        <f>IF(H28="Not Age Eligible",0,MAX(IF(OR(AND(H28="17-21",V28&gt;='Qualifying Scores'!E$13),AND(H28="15-16",V28&gt;='Qualifying Scores'!E$12),AND(H28="13-14",V28&gt;='Qualifying Scores'!E$11),AND(H28="11-12",V28&gt;='Qualifying Scores'!E$10)),U28,0),IF(OR(AND(H28="17-21",X28&gt;='Qualifying Scores'!E$13),AND(H28="15-16",X28&gt;='Qualifying Scores'!E$12),AND(H28="13-14",X28&gt;='Qualifying Scores'!E$11),AND(H28="11-12",X28&gt;='Qualifying Scores'!E$10)),W28,0),IF(OR(AND(H28="17-21",AA28&gt;='Qualifying Scores'!E$13),AND(H28="15-16",AA28&gt;='Qualifying Scores'!E$12),AND(H28="13-14",AA28&gt;='Qualifying Scores'!E$11),AND(H28="11-12",AA28&gt;='Qualifying Scores'!E$10)),Z28,0),IF(OR(AND(H28="17-21",AC28&gt;='Qualifying Scores'!E$13),AND(H28="15-16",AC28&gt;='Qualifying Scores'!E$12),AND(H28="13-14",AC28&gt;='Qualifying Scores'!E$11),AND(H28="11-12",AC28&gt;='Qualifying Scores'!E$10)),AB28,0),IF(OR(AND(H28="17-21",AE28&gt;='Qualifying Scores'!E$13),AND(H28="15-16",AE28&gt;='Qualifying Scores'!E$12),AND(H28="13-14",AE28&gt;='Qualifying Scores'!E$11),AND(H28="11-12",AE28&gt;='Qualifying Scores'!E$10)),AD28,0),IF(OR(AND(H28="17-21",AH28&gt;='Qualifying Scores'!E$13),AND(H28="15-16",AH28&gt;='Qualifying Scores'!E$12),AND(H28="13-14",AH28&gt;='Qualifying Scores'!E$11),AND(H28="11-12",AH28&gt;='Qualifying Scores'!E$10)),AG28,0)))</f>
        <v>0</v>
      </c>
      <c r="T28" s="4">
        <f>MAX(U28,W28,Z28,AB28,AD28,AG28)</f>
        <v>7.27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7.27</v>
      </c>
      <c r="AC28" s="40">
        <v>1.6</v>
      </c>
      <c r="AD28" s="34"/>
      <c r="AE28" s="40"/>
      <c r="AF28" s="4">
        <f>IF(I28="Senior",MAX(AB28,AD28),AB28+AD28)</f>
        <v>7.27</v>
      </c>
      <c r="AG28" s="34"/>
      <c r="AH28" s="37"/>
    </row>
    <row r="29" spans="1:34" x14ac:dyDescent="0.2">
      <c r="A29" s="1" t="str" cm="1">
        <f t="array" ref="A29">IF(J29="","",IF(Q29&lt;&gt;"",SUMPRODUCT((Q$3:Q$38&lt;&gt;"")*(H$3:H$38=H29)*(K$3:K$38&gt;K29)*(J$3:J$38="P"))+1,IF(P29&lt;&gt;"",SUMPRODUCT((P$3:P$38&lt;&gt;"")*(Q$3:Q$38="")*(H$3:H$38=H29)*(K$3:K$38&gt;K29)*(J$3:J$38="P"))+SUMPRODUCT((Q$3:Q$38&lt;&gt;"")*(H$3:H$38=H29)*(J$3:J$38="P"))+1,IF(O29&lt;&gt;"",SUMPRODUCT((O$3:O$38&lt;&gt;"")*(H$3:H$38=H29)*(K$3:K$38&gt;K29)*(J$3:J$38="P"))+1,IF(N29="P",SUMPRODUCT((P$3:P$38&lt;&gt;"")*(Q$3:Q$38="")*(H$3:H$38=H29)*(J$3:J$38="P"))+SUMPRODUCT((Q$3:Q$38&lt;&gt;"")*(H$3:H$38=H29)*(J$3:J$38="P"))+SUMPRODUCT((O$3:O$38&lt;&gt;"")*(H$3:H$38=H29)*(J$3:J$38="P"))+SUMPRODUCT((Q$3:Q$38="")*(P$3:P$38="")*(O$3:O$38="")*(N$3:N$38="P")*(H$3:H$38=H29)*(K$3:K$38&gt;K29)*(J$3:J$38="P"))+IF(I29="L5",SUMPRODUCT((Q$3:Q$38="")*(P$3:P$38="")*(O$3:O$38="")*(N$3:N$38="P")*(H$3:H$38=H29)*(K$3:K$38&lt;K29)*(I$3:I$38&lt;&gt;I29)*(J$3:J$38="P")),-1*SUMPRODUCT((Q$3:Q$38="")*(P$3:P$38="")*(O$3:O$38="")*(N$3:N$38="P")*(H$3:H$38=H29)*(K$3:K$38&gt;K29)*(I$3:I$38="L5")*(J$3:J$38="P")))+1,"")))))</f>
        <v/>
      </c>
      <c r="B29" s="1" t="str" cm="1">
        <f t="array" ref="B29">IF(Q29&lt;&gt;"",SUMPRODUCT((Q$3:Q$38&lt;&gt;"")*(H$3:H$38=H29)*(K$3:K$38&gt;K29))+1,IF(P29&lt;&gt;"",SUMPRODUCT((P$3:P$38&lt;&gt;"")*(Q$3:Q$38="")*(H$3:H$38=H29)*(K$3:K$38&gt;K29))+SUMPRODUCT((Q$3:Q$38&lt;&gt;"")*(H$3:H$38=H29))+1,IF(O29&lt;&gt;"",SUMPRODUCT((O$3:O$38&lt;&gt;"")*(H$3:H$38=H29)*(K$3:K$38&gt;K29))+1,IF(N29="P",SUMPRODUCT((P$3:P$38&lt;&gt;"")*(Q$3:Q$38="")*(H$3:H$38=H29))+SUMPRODUCT((Q$3:Q$38&lt;&gt;"")*(H$3:H$38=H29))+SUMPRODUCT((O$3:O$38&lt;&gt;"")*(H$3:H$38=H29))+SUMPRODUCT((Q$3:Q$38="")*(P$3:P$38="")*(O$3:O$38="")*(N$3:N$38="P")*(H$3:H$38=H29)*(K$3:K$38&gt;K29))+IF(I29="L5",SUMPRODUCT((Q$3:Q$38="")*(P$3:P$38="")*(O$3:O$38="")*(N$3:N$38="P")*(H$3:H$38=H29)*(K$3:K$38&lt;K29)*(I$3:I$38&lt;&gt;I29)),-1*SUMPRODUCT((Q$3:Q$38="")*(P$3:P$38="")*(O$3:O$38="")*(N$3:N$38="P")*(H$3:H$38=H29)*(K$3:K$38&gt;K29)*(I$3:I$38="L5")))+1,""))))</f>
        <v/>
      </c>
      <c r="C29" s="36" t="s">
        <v>485</v>
      </c>
      <c r="D29" s="36" t="str">
        <f>IF(E29="","",VLOOKUP(E29,'Coaching Points'!A:B,2,0)&amp;"/"&amp;VLOOKUP(F29,'Coaching Points'!A:B,2,0))</f>
        <v>BC/BC</v>
      </c>
      <c r="E29" s="36" t="s">
        <v>59</v>
      </c>
      <c r="F29" s="36" t="s">
        <v>80</v>
      </c>
      <c r="G29" s="35">
        <v>2003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115</v>
      </c>
      <c r="J29" s="45"/>
      <c r="K29" s="4">
        <f>S29+IF(OR(I29="Junior",I29="Senior"),0.0002,IF(OR(I29="L7",I29="L6"),0.0001,0))+MAX(AB29,AD29,AG29)*0.0000001</f>
        <v>6.4099999999999998E-7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49" t="str">
        <f>IF(A29&lt;5,IF(_xlfn.MAXIFS(A:A,H:H,H29)&gt;3,5-A29,_xlfn.MAXIFS(A:A,H:H,H29)+1-A29),"")</f>
        <v/>
      </c>
      <c r="S29" s="4">
        <f>IF(H29="Not Age Eligible",0,MAX(IF(OR(AND(H29="17-21",V29&gt;='Qualifying Scores'!E$13),AND(H29="15-16",V29&gt;='Qualifying Scores'!E$12),AND(H29="13-14",V29&gt;='Qualifying Scores'!E$11),AND(H29="11-12",V29&gt;='Qualifying Scores'!E$10)),U29,0),IF(OR(AND(H29="17-21",X29&gt;='Qualifying Scores'!E$13),AND(H29="15-16",X29&gt;='Qualifying Scores'!E$12),AND(H29="13-14",X29&gt;='Qualifying Scores'!E$11),AND(H29="11-12",X29&gt;='Qualifying Scores'!E$10)),W29,0),IF(OR(AND(H29="17-21",AA29&gt;='Qualifying Scores'!E$13),AND(H29="15-16",AA29&gt;='Qualifying Scores'!E$12),AND(H29="13-14",AA29&gt;='Qualifying Scores'!E$11),AND(H29="11-12",AA29&gt;='Qualifying Scores'!E$10)),Z29,0),IF(OR(AND(H29="17-21",AC29&gt;='Qualifying Scores'!E$13),AND(H29="15-16",AC29&gt;='Qualifying Scores'!E$12),AND(H29="13-14",AC29&gt;='Qualifying Scores'!E$11),AND(H29="11-12",AC29&gt;='Qualifying Scores'!E$10)),AB29,0),IF(OR(AND(H29="17-21",AE29&gt;='Qualifying Scores'!E$13),AND(H29="15-16",AE29&gt;='Qualifying Scores'!E$12),AND(H29="13-14",AE29&gt;='Qualifying Scores'!E$11),AND(H29="11-12",AE29&gt;='Qualifying Scores'!E$10)),AD29,0),IF(OR(AND(H29="17-21",AH29&gt;='Qualifying Scores'!E$13),AND(H29="15-16",AH29&gt;='Qualifying Scores'!E$12),AND(H29="13-14",AH29&gt;='Qualifying Scores'!E$11),AND(H29="11-12",AH29&gt;='Qualifying Scores'!E$10)),AG29,0)))</f>
        <v>0</v>
      </c>
      <c r="T29" s="4">
        <f>MAX(U29,W29,Z29,AB29,AD29,AG29)</f>
        <v>6.41</v>
      </c>
      <c r="U29" s="33"/>
      <c r="V29" s="40"/>
      <c r="W29" s="34"/>
      <c r="X29" s="40"/>
      <c r="Y29" s="4">
        <f>IF(I29="Senior",MAX(U29,W29),U29+W29)</f>
        <v>0</v>
      </c>
      <c r="Z29" s="34"/>
      <c r="AA29" s="40"/>
      <c r="AB29" s="33">
        <v>6.41</v>
      </c>
      <c r="AC29" s="40">
        <v>2.1</v>
      </c>
      <c r="AD29" s="34"/>
      <c r="AE29" s="40"/>
      <c r="AF29" s="4">
        <f>IF(I29="Senior",MAX(AB29,AD29),AB29+AD29)</f>
        <v>6.41</v>
      </c>
      <c r="AG29" s="34"/>
      <c r="AH29" s="37"/>
    </row>
    <row r="30" spans="1:34" x14ac:dyDescent="0.2">
      <c r="A30" s="1" t="str" cm="1">
        <f t="array" ref="A30">IF(J30="","",IF(Q30&lt;&gt;"",SUMPRODUCT((Q$3:Q$38&lt;&gt;"")*(H$3:H$38=H30)*(K$3:K$38&gt;K30)*(J$3:J$38="P"))+1,IF(P30&lt;&gt;"",SUMPRODUCT((P$3:P$38&lt;&gt;"")*(Q$3:Q$38="")*(H$3:H$38=H30)*(K$3:K$38&gt;K30)*(J$3:J$38="P"))+SUMPRODUCT((Q$3:Q$38&lt;&gt;"")*(H$3:H$38=H30)*(J$3:J$38="P"))+1,IF(O30&lt;&gt;"",SUMPRODUCT((O$3:O$38&lt;&gt;"")*(H$3:H$38=H30)*(K$3:K$38&gt;K30)*(J$3:J$38="P"))+1,IF(N30="P",SUMPRODUCT((P$3:P$38&lt;&gt;"")*(Q$3:Q$38="")*(H$3:H$38=H30)*(J$3:J$38="P"))+SUMPRODUCT((Q$3:Q$38&lt;&gt;"")*(H$3:H$38=H30)*(J$3:J$38="P"))+SUMPRODUCT((O$3:O$38&lt;&gt;"")*(H$3:H$38=H30)*(J$3:J$38="P"))+SUMPRODUCT((Q$3:Q$38="")*(P$3:P$38="")*(O$3:O$38="")*(N$3:N$38="P")*(H$3:H$38=H30)*(K$3:K$38&gt;K30)*(J$3:J$38="P"))+IF(I30="L5",SUMPRODUCT((Q$3:Q$38="")*(P$3:P$38="")*(O$3:O$38="")*(N$3:N$38="P")*(H$3:H$38=H30)*(K$3:K$38&lt;K30)*(I$3:I$38&lt;&gt;I30)*(J$3:J$38="P")),-1*SUMPRODUCT((Q$3:Q$38="")*(P$3:P$38="")*(O$3:O$38="")*(N$3:N$38="P")*(H$3:H$38=H30)*(K$3:K$38&gt;K30)*(I$3:I$38="L5")*(J$3:J$38="P")))+1,"")))))</f>
        <v/>
      </c>
      <c r="B30" s="1" t="str" cm="1">
        <f t="array" ref="B30">IF(Q30&lt;&gt;"",SUMPRODUCT((Q$3:Q$38&lt;&gt;"")*(H$3:H$38=H30)*(K$3:K$38&gt;K30))+1,IF(P30&lt;&gt;"",SUMPRODUCT((P$3:P$38&lt;&gt;"")*(Q$3:Q$38="")*(H$3:H$38=H30)*(K$3:K$38&gt;K30))+SUMPRODUCT((Q$3:Q$38&lt;&gt;"")*(H$3:H$38=H30))+1,IF(O30&lt;&gt;"",SUMPRODUCT((O$3:O$38&lt;&gt;"")*(H$3:H$38=H30)*(K$3:K$38&gt;K30))+1,IF(N30="P",SUMPRODUCT((P$3:P$38&lt;&gt;"")*(Q$3:Q$38="")*(H$3:H$38=H30))+SUMPRODUCT((Q$3:Q$38&lt;&gt;"")*(H$3:H$38=H30))+SUMPRODUCT((O$3:O$38&lt;&gt;"")*(H$3:H$38=H30))+SUMPRODUCT((Q$3:Q$38="")*(P$3:P$38="")*(O$3:O$38="")*(N$3:N$38="P")*(H$3:H$38=H30)*(K$3:K$38&gt;K30))+IF(I30="L5",SUMPRODUCT((Q$3:Q$38="")*(P$3:P$38="")*(O$3:O$38="")*(N$3:N$38="P")*(H$3:H$38=H30)*(K$3:K$38&lt;K30)*(I$3:I$38&lt;&gt;I30)),-1*SUMPRODUCT((Q$3:Q$38="")*(P$3:P$38="")*(O$3:O$38="")*(N$3:N$38="P")*(H$3:H$38=H30)*(K$3:K$38&gt;K30)*(I$3:I$38="L5")))+1,""))))</f>
        <v/>
      </c>
      <c r="C30" s="36" t="s">
        <v>495</v>
      </c>
      <c r="D30" s="36" t="str">
        <f>IF(E30="","",VLOOKUP(E30,'Coaching Points'!A:B,2,0)&amp;"/"&amp;VLOOKUP(F30,'Coaching Points'!A:B,2,0))</f>
        <v>QC/QC</v>
      </c>
      <c r="E30" s="36" t="s">
        <v>179</v>
      </c>
      <c r="F30" s="36" t="s">
        <v>179</v>
      </c>
      <c r="G30" s="35">
        <v>2004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115</v>
      </c>
      <c r="J30" s="45"/>
      <c r="K30" s="4">
        <f>S30+IF(OR(I30="Junior",I30="Senior"),0.0002,IF(OR(I30="L7",I30="L6"),0.0001,0))+MAX(AB30,AD30,AG30)*0.0000001</f>
        <v>4.8999999999999997E-7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49" t="str">
        <f>IF(A30&lt;5,IF(_xlfn.MAXIFS(A:A,H:H,H30)&gt;3,5-A30,_xlfn.MAXIFS(A:A,H:H,H30)+1-A30),"")</f>
        <v/>
      </c>
      <c r="S30" s="4">
        <f>IF(H30="Not Age Eligible",0,MAX(IF(OR(AND(H30="17-21",V30&gt;='Qualifying Scores'!E$13),AND(H30="15-16",V30&gt;='Qualifying Scores'!E$12),AND(H30="13-14",V30&gt;='Qualifying Scores'!E$11),AND(H30="11-12",V30&gt;='Qualifying Scores'!E$10)),U30,0),IF(OR(AND(H30="17-21",X30&gt;='Qualifying Scores'!E$13),AND(H30="15-16",X30&gt;='Qualifying Scores'!E$12),AND(H30="13-14",X30&gt;='Qualifying Scores'!E$11),AND(H30="11-12",X30&gt;='Qualifying Scores'!E$10)),W30,0),IF(OR(AND(H30="17-21",AA30&gt;='Qualifying Scores'!E$13),AND(H30="15-16",AA30&gt;='Qualifying Scores'!E$12),AND(H30="13-14",AA30&gt;='Qualifying Scores'!E$11),AND(H30="11-12",AA30&gt;='Qualifying Scores'!E$10)),Z30,0),IF(OR(AND(H30="17-21",AC30&gt;='Qualifying Scores'!E$13),AND(H30="15-16",AC30&gt;='Qualifying Scores'!E$12),AND(H30="13-14",AC30&gt;='Qualifying Scores'!E$11),AND(H30="11-12",AC30&gt;='Qualifying Scores'!E$10)),AB30,0),IF(OR(AND(H30="17-21",AE30&gt;='Qualifying Scores'!E$13),AND(H30="15-16",AE30&gt;='Qualifying Scores'!E$12),AND(H30="13-14",AE30&gt;='Qualifying Scores'!E$11),AND(H30="11-12",AE30&gt;='Qualifying Scores'!E$10)),AD30,0),IF(OR(AND(H30="17-21",AH30&gt;='Qualifying Scores'!E$13),AND(H30="15-16",AH30&gt;='Qualifying Scores'!E$12),AND(H30="13-14",AH30&gt;='Qualifying Scores'!E$11),AND(H30="11-12",AH30&gt;='Qualifying Scores'!E$10)),AG30,0)))</f>
        <v>0</v>
      </c>
      <c r="T30" s="4">
        <f>MAX(U30,W30,Z30,AB30,AD30,AG30)</f>
        <v>4.9000000000000004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4.9000000000000004</v>
      </c>
      <c r="AC30" s="40">
        <v>1.1000000000000001</v>
      </c>
      <c r="AD30" s="34"/>
      <c r="AE30" s="40"/>
      <c r="AF30" s="4">
        <f>IF(I30="Senior",MAX(AB30,AD30),AB30+AD30)</f>
        <v>4.9000000000000004</v>
      </c>
      <c r="AG30" s="34"/>
      <c r="AH30" s="37"/>
    </row>
    <row r="31" spans="1:34" x14ac:dyDescent="0.2">
      <c r="A31" s="1" t="str" cm="1">
        <f t="array" ref="A31">IF(J31="","",IF(Q31&lt;&gt;"",SUMPRODUCT((Q$3:Q$38&lt;&gt;"")*(H$3:H$38=H31)*(K$3:K$38&gt;K31)*(J$3:J$38="P"))+1,IF(P31&lt;&gt;"",SUMPRODUCT((P$3:P$38&lt;&gt;"")*(Q$3:Q$38="")*(H$3:H$38=H31)*(K$3:K$38&gt;K31)*(J$3:J$38="P"))+SUMPRODUCT((Q$3:Q$38&lt;&gt;"")*(H$3:H$38=H31)*(J$3:J$38="P"))+1,IF(O31&lt;&gt;"",SUMPRODUCT((O$3:O$38&lt;&gt;"")*(H$3:H$38=H31)*(K$3:K$38&gt;K31)*(J$3:J$38="P"))+1,IF(N31="P",SUMPRODUCT((P$3:P$38&lt;&gt;"")*(Q$3:Q$38="")*(H$3:H$38=H31)*(J$3:J$38="P"))+SUMPRODUCT((Q$3:Q$38&lt;&gt;"")*(H$3:H$38=H31)*(J$3:J$38="P"))+SUMPRODUCT((O$3:O$38&lt;&gt;"")*(H$3:H$38=H31)*(J$3:J$38="P"))+SUMPRODUCT((Q$3:Q$38="")*(P$3:P$38="")*(O$3:O$38="")*(N$3:N$38="P")*(H$3:H$38=H31)*(K$3:K$38&gt;K31)*(J$3:J$38="P"))+IF(I31="L5",SUMPRODUCT((Q$3:Q$38="")*(P$3:P$38="")*(O$3:O$38="")*(N$3:N$38="P")*(H$3:H$38=H31)*(K$3:K$38&lt;K31)*(I$3:I$38&lt;&gt;I31)*(J$3:J$38="P")),-1*SUMPRODUCT((Q$3:Q$38="")*(P$3:P$38="")*(O$3:O$38="")*(N$3:N$38="P")*(H$3:H$38=H31)*(K$3:K$38&gt;K31)*(I$3:I$38="L5")*(J$3:J$38="P")))+1,"")))))</f>
        <v/>
      </c>
      <c r="B31" s="1" t="str" cm="1">
        <f t="array" ref="B31">IF(Q31&lt;&gt;"",SUMPRODUCT((Q$3:Q$38&lt;&gt;"")*(H$3:H$38=H31)*(K$3:K$38&gt;K31))+1,IF(P31&lt;&gt;"",SUMPRODUCT((P$3:P$38&lt;&gt;"")*(Q$3:Q$38="")*(H$3:H$38=H31)*(K$3:K$38&gt;K31))+SUMPRODUCT((Q$3:Q$38&lt;&gt;"")*(H$3:H$38=H31))+1,IF(O31&lt;&gt;"",SUMPRODUCT((O$3:O$38&lt;&gt;"")*(H$3:H$38=H31)*(K$3:K$38&gt;K31))+1,IF(N31="P",SUMPRODUCT((P$3:P$38&lt;&gt;"")*(Q$3:Q$38="")*(H$3:H$38=H31))+SUMPRODUCT((Q$3:Q$38&lt;&gt;"")*(H$3:H$38=H31))+SUMPRODUCT((O$3:O$38&lt;&gt;"")*(H$3:H$38=H31))+SUMPRODUCT((Q$3:Q$38="")*(P$3:P$38="")*(O$3:O$38="")*(N$3:N$38="P")*(H$3:H$38=H31)*(K$3:K$38&gt;K31))+IF(I31="L5",SUMPRODUCT((Q$3:Q$38="")*(P$3:P$38="")*(O$3:O$38="")*(N$3:N$38="P")*(H$3:H$38=H31)*(K$3:K$38&lt;K31)*(I$3:I$38&lt;&gt;I31)),-1*SUMPRODUCT((Q$3:Q$38="")*(P$3:P$38="")*(O$3:O$38="")*(N$3:N$38="P")*(H$3:H$38=H31)*(K$3:K$38&gt;K31)*(I$3:I$38="L5")))+1,""))))</f>
        <v/>
      </c>
      <c r="C31" s="36" t="s">
        <v>505</v>
      </c>
      <c r="D31" s="36" t="str">
        <f>IF(E31="","",VLOOKUP(E31,'Coaching Points'!A:B,2,0)&amp;"/"&amp;VLOOKUP(F31,'Coaching Points'!A:B,2,0))</f>
        <v>SK/SK</v>
      </c>
      <c r="E31" s="36" t="s">
        <v>46</v>
      </c>
      <c r="F31" s="36" t="s">
        <v>46</v>
      </c>
      <c r="G31" s="35">
        <v>2006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15-16</v>
      </c>
      <c r="I31" s="39" t="s">
        <v>116</v>
      </c>
      <c r="J31" s="45"/>
      <c r="K31" s="4">
        <f>S31+IF(OR(I31="Junior",I31="Senior"),0.0002,IF(OR(I31="L7",I31="L6"),0.0001,0))+MAX(AB31,AD31,AG31)*0.0000001</f>
        <v>1.00881E-4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49" t="str">
        <f>IF(A31&lt;5,IF(_xlfn.MAXIFS(A:A,H:H,H31)&gt;3,5-A31,_xlfn.MAXIFS(A:A,H:H,H31)+1-A31),"")</f>
        <v/>
      </c>
      <c r="S31" s="4">
        <f>IF(H31="Not Age Eligible",0,MAX(IF(OR(AND(H31="17-21",V31&gt;='Qualifying Scores'!E$13),AND(H31="15-16",V31&gt;='Qualifying Scores'!E$12),AND(H31="13-14",V31&gt;='Qualifying Scores'!E$11),AND(H31="11-12",V31&gt;='Qualifying Scores'!E$10)),U31,0),IF(OR(AND(H31="17-21",X31&gt;='Qualifying Scores'!E$13),AND(H31="15-16",X31&gt;='Qualifying Scores'!E$12),AND(H31="13-14",X31&gt;='Qualifying Scores'!E$11),AND(H31="11-12",X31&gt;='Qualifying Scores'!E$10)),W31,0),IF(OR(AND(H31="17-21",AA31&gt;='Qualifying Scores'!E$13),AND(H31="15-16",AA31&gt;='Qualifying Scores'!E$12),AND(H31="13-14",AA31&gt;='Qualifying Scores'!E$11),AND(H31="11-12",AA31&gt;='Qualifying Scores'!E$10)),Z31,0),IF(OR(AND(H31="17-21",AC31&gt;='Qualifying Scores'!E$13),AND(H31="15-16",AC31&gt;='Qualifying Scores'!E$12),AND(H31="13-14",AC31&gt;='Qualifying Scores'!E$11),AND(H31="11-12",AC31&gt;='Qualifying Scores'!E$10)),AB31,0),IF(OR(AND(H31="17-21",AE31&gt;='Qualifying Scores'!E$13),AND(H31="15-16",AE31&gt;='Qualifying Scores'!E$12),AND(H31="13-14",AE31&gt;='Qualifying Scores'!E$11),AND(H31="11-12",AE31&gt;='Qualifying Scores'!E$10)),AD31,0),IF(OR(AND(H31="17-21",AH31&gt;='Qualifying Scores'!E$13),AND(H31="15-16",AH31&gt;='Qualifying Scores'!E$12),AND(H31="13-14",AH31&gt;='Qualifying Scores'!E$11),AND(H31="11-12",AH31&gt;='Qualifying Scores'!E$10)),AG31,0)))</f>
        <v>0</v>
      </c>
      <c r="T31" s="4">
        <f>MAX(U31,W31,Z31,AB31,AD31,AG31)</f>
        <v>8.81</v>
      </c>
      <c r="U31" s="33"/>
      <c r="V31" s="40"/>
      <c r="W31" s="34"/>
      <c r="X31" s="40"/>
      <c r="Y31" s="4">
        <f>IF(I31="Senior",MAX(U31,W31),U31+W31)</f>
        <v>0</v>
      </c>
      <c r="Z31" s="34"/>
      <c r="AA31" s="40"/>
      <c r="AB31" s="33">
        <v>8.81</v>
      </c>
      <c r="AC31" s="40">
        <v>1.9</v>
      </c>
      <c r="AD31" s="34"/>
      <c r="AE31" s="40"/>
      <c r="AF31" s="4">
        <f>IF(I31="Senior",MAX(AB31,AD31),AB31+AD31)</f>
        <v>8.81</v>
      </c>
      <c r="AG31" s="34"/>
      <c r="AH31" s="37"/>
    </row>
    <row r="32" spans="1:34" x14ac:dyDescent="0.2">
      <c r="A32" s="1" t="str" cm="1">
        <f t="array" ref="A32">IF(J32="","",IF(Q32&lt;&gt;"",SUMPRODUCT((Q$3:Q$38&lt;&gt;"")*(H$3:H$38=H32)*(K$3:K$38&gt;K32)*(J$3:J$38="P"))+1,IF(P32&lt;&gt;"",SUMPRODUCT((P$3:P$38&lt;&gt;"")*(Q$3:Q$38="")*(H$3:H$38=H32)*(K$3:K$38&gt;K32)*(J$3:J$38="P"))+SUMPRODUCT((Q$3:Q$38&lt;&gt;"")*(H$3:H$38=H32)*(J$3:J$38="P"))+1,IF(O32&lt;&gt;"",SUMPRODUCT((O$3:O$38&lt;&gt;"")*(H$3:H$38=H32)*(K$3:K$38&gt;K32)*(J$3:J$38="P"))+1,IF(N32="P",SUMPRODUCT((P$3:P$38&lt;&gt;"")*(Q$3:Q$38="")*(H$3:H$38=H32)*(J$3:J$38="P"))+SUMPRODUCT((Q$3:Q$38&lt;&gt;"")*(H$3:H$38=H32)*(J$3:J$38="P"))+SUMPRODUCT((O$3:O$38&lt;&gt;"")*(H$3:H$38=H32)*(J$3:J$38="P"))+SUMPRODUCT((Q$3:Q$38="")*(P$3:P$38="")*(O$3:O$38="")*(N$3:N$38="P")*(H$3:H$38=H32)*(K$3:K$38&gt;K32)*(J$3:J$38="P"))+IF(I32="L5",SUMPRODUCT((Q$3:Q$38="")*(P$3:P$38="")*(O$3:O$38="")*(N$3:N$38="P")*(H$3:H$38=H32)*(K$3:K$38&lt;K32)*(I$3:I$38&lt;&gt;I32)*(J$3:J$38="P")),-1*SUMPRODUCT((Q$3:Q$38="")*(P$3:P$38="")*(O$3:O$38="")*(N$3:N$38="P")*(H$3:H$38=H32)*(K$3:K$38&gt;K32)*(I$3:I$38="L5")*(J$3:J$38="P")))+1,"")))))</f>
        <v/>
      </c>
      <c r="B32" s="1" t="str" cm="1">
        <f t="array" ref="B32">IF(Q32&lt;&gt;"",SUMPRODUCT((Q$3:Q$38&lt;&gt;"")*(H$3:H$38=H32)*(K$3:K$38&gt;K32))+1,IF(P32&lt;&gt;"",SUMPRODUCT((P$3:P$38&lt;&gt;"")*(Q$3:Q$38="")*(H$3:H$38=H32)*(K$3:K$38&gt;K32))+SUMPRODUCT((Q$3:Q$38&lt;&gt;"")*(H$3:H$38=H32))+1,IF(O32&lt;&gt;"",SUMPRODUCT((O$3:O$38&lt;&gt;"")*(H$3:H$38=H32)*(K$3:K$38&gt;K32))+1,IF(N32="P",SUMPRODUCT((P$3:P$38&lt;&gt;"")*(Q$3:Q$38="")*(H$3:H$38=H32))+SUMPRODUCT((Q$3:Q$38&lt;&gt;"")*(H$3:H$38=H32))+SUMPRODUCT((O$3:O$38&lt;&gt;"")*(H$3:H$38=H32))+SUMPRODUCT((Q$3:Q$38="")*(P$3:P$38="")*(O$3:O$38="")*(N$3:N$38="P")*(H$3:H$38=H32)*(K$3:K$38&gt;K32))+IF(I32="L5",SUMPRODUCT((Q$3:Q$38="")*(P$3:P$38="")*(O$3:O$38="")*(N$3:N$38="P")*(H$3:H$38=H32)*(K$3:K$38&lt;K32)*(I$3:I$38&lt;&gt;I32)),-1*SUMPRODUCT((Q$3:Q$38="")*(P$3:P$38="")*(O$3:O$38="")*(N$3:N$38="P")*(H$3:H$38=H32)*(K$3:K$38&gt;K32)*(I$3:I$38="L5")))+1,""))))</f>
        <v/>
      </c>
      <c r="C32" s="36" t="s">
        <v>499</v>
      </c>
      <c r="D32" s="36" t="str">
        <f>IF(E32="","",VLOOKUP(E32,'Coaching Points'!A:B,2,0)&amp;"/"&amp;VLOOKUP(F32,'Coaching Points'!A:B,2,0))</f>
        <v>ON/ON</v>
      </c>
      <c r="E32" s="36" t="s">
        <v>573</v>
      </c>
      <c r="F32" s="36" t="s">
        <v>224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15-16</v>
      </c>
      <c r="I32" s="39" t="s">
        <v>116</v>
      </c>
      <c r="J32" s="45"/>
      <c r="K32" s="4">
        <f>S32+IF(OR(I32="Junior",I32="Senior"),0.0002,IF(OR(I32="L7",I32="L6"),0.0001,0))+MAX(AB32,AD32,AG32)*0.0000001</f>
        <v>1.0049100000000001E-4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49" t="str">
        <f>IF(A32&lt;5,IF(_xlfn.MAXIFS(A:A,H:H,H32)&gt;3,5-A32,_xlfn.MAXIFS(A:A,H:H,H32)+1-A32),"")</f>
        <v/>
      </c>
      <c r="S32" s="4">
        <f>IF(H32="Not Age Eligible",0,MAX(IF(OR(AND(H32="17-21",V32&gt;='Qualifying Scores'!E$13),AND(H32="15-16",V32&gt;='Qualifying Scores'!E$12),AND(H32="13-14",V32&gt;='Qualifying Scores'!E$11),AND(H32="11-12",V32&gt;='Qualifying Scores'!E$10)),U32,0),IF(OR(AND(H32="17-21",X32&gt;='Qualifying Scores'!E$13),AND(H32="15-16",X32&gt;='Qualifying Scores'!E$12),AND(H32="13-14",X32&gt;='Qualifying Scores'!E$11),AND(H32="11-12",X32&gt;='Qualifying Scores'!E$10)),W32,0),IF(OR(AND(H32="17-21",AA32&gt;='Qualifying Scores'!E$13),AND(H32="15-16",AA32&gt;='Qualifying Scores'!E$12),AND(H32="13-14",AA32&gt;='Qualifying Scores'!E$11),AND(H32="11-12",AA32&gt;='Qualifying Scores'!E$10)),Z32,0),IF(OR(AND(H32="17-21",AC32&gt;='Qualifying Scores'!E$13),AND(H32="15-16",AC32&gt;='Qualifying Scores'!E$12),AND(H32="13-14",AC32&gt;='Qualifying Scores'!E$11),AND(H32="11-12",AC32&gt;='Qualifying Scores'!E$10)),AB32,0),IF(OR(AND(H32="17-21",AE32&gt;='Qualifying Scores'!E$13),AND(H32="15-16",AE32&gt;='Qualifying Scores'!E$12),AND(H32="13-14",AE32&gt;='Qualifying Scores'!E$11),AND(H32="11-12",AE32&gt;='Qualifying Scores'!E$10)),AD32,0),IF(OR(AND(H32="17-21",AH32&gt;='Qualifying Scores'!E$13),AND(H32="15-16",AH32&gt;='Qualifying Scores'!E$12),AND(H32="13-14",AH32&gt;='Qualifying Scores'!E$11),AND(H32="11-12",AH32&gt;='Qualifying Scores'!E$10)),AG32,0)))</f>
        <v>0</v>
      </c>
      <c r="T32" s="4">
        <f>MAX(U32,W32,Z32,AB32,AD32,AG32)</f>
        <v>4.91</v>
      </c>
      <c r="U32" s="33"/>
      <c r="V32" s="40"/>
      <c r="W32" s="34"/>
      <c r="X32" s="40"/>
      <c r="Y32" s="4">
        <f>IF(I32="Senior",MAX(U32,W32),U32+W32)</f>
        <v>0</v>
      </c>
      <c r="Z32" s="34"/>
      <c r="AA32" s="40"/>
      <c r="AB32" s="33">
        <v>4.91</v>
      </c>
      <c r="AC32" s="40">
        <v>1.3</v>
      </c>
      <c r="AD32" s="34"/>
      <c r="AE32" s="40"/>
      <c r="AF32" s="4">
        <f>IF(I32="Senior",MAX(AB32,AD32),AB32+AD32)</f>
        <v>4.91</v>
      </c>
      <c r="AG32" s="34"/>
      <c r="AH32" s="37"/>
    </row>
    <row r="33" spans="1:34" x14ac:dyDescent="0.2">
      <c r="A33" s="1" t="str" cm="1">
        <f t="array" ref="A33">IF(J33="","",IF(Q33&lt;&gt;"",SUMPRODUCT((Q$3:Q$38&lt;&gt;"")*(H$3:H$38=H33)*(K$3:K$38&gt;K33)*(J$3:J$38="P"))+1,IF(P33&lt;&gt;"",SUMPRODUCT((P$3:P$38&lt;&gt;"")*(Q$3:Q$38="")*(H$3:H$38=H33)*(K$3:K$38&gt;K33)*(J$3:J$38="P"))+SUMPRODUCT((Q$3:Q$38&lt;&gt;"")*(H$3:H$38=H33)*(J$3:J$38="P"))+1,IF(O33&lt;&gt;"",SUMPRODUCT((O$3:O$38&lt;&gt;"")*(H$3:H$38=H33)*(K$3:K$38&gt;K33)*(J$3:J$38="P"))+1,IF(N33="P",SUMPRODUCT((P$3:P$38&lt;&gt;"")*(Q$3:Q$38="")*(H$3:H$38=H33)*(J$3:J$38="P"))+SUMPRODUCT((Q$3:Q$38&lt;&gt;"")*(H$3:H$38=H33)*(J$3:J$38="P"))+SUMPRODUCT((O$3:O$38&lt;&gt;"")*(H$3:H$38=H33)*(J$3:J$38="P"))+SUMPRODUCT((Q$3:Q$38="")*(P$3:P$38="")*(O$3:O$38="")*(N$3:N$38="P")*(H$3:H$38=H33)*(K$3:K$38&gt;K33)*(J$3:J$38="P"))+IF(I33="L5",SUMPRODUCT((Q$3:Q$38="")*(P$3:P$38="")*(O$3:O$38="")*(N$3:N$38="P")*(H$3:H$38=H33)*(K$3:K$38&lt;K33)*(I$3:I$38&lt;&gt;I33)*(J$3:J$38="P")),-1*SUMPRODUCT((Q$3:Q$38="")*(P$3:P$38="")*(O$3:O$38="")*(N$3:N$38="P")*(H$3:H$38=H33)*(K$3:K$38&gt;K33)*(I$3:I$38="L5")*(J$3:J$38="P")))+1,"")))))</f>
        <v/>
      </c>
      <c r="B33" s="1" t="str" cm="1">
        <f t="array" ref="B33">IF(Q33&lt;&gt;"",SUMPRODUCT((Q$3:Q$38&lt;&gt;"")*(H$3:H$38=H33)*(K$3:K$38&gt;K33))+1,IF(P33&lt;&gt;"",SUMPRODUCT((P$3:P$38&lt;&gt;"")*(Q$3:Q$38="")*(H$3:H$38=H33)*(K$3:K$38&gt;K33))+SUMPRODUCT((Q$3:Q$38&lt;&gt;"")*(H$3:H$38=H33))+1,IF(O33&lt;&gt;"",SUMPRODUCT((O$3:O$38&lt;&gt;"")*(H$3:H$38=H33)*(K$3:K$38&gt;K33))+1,IF(N33="P",SUMPRODUCT((P$3:P$38&lt;&gt;"")*(Q$3:Q$38="")*(H$3:H$38=H33))+SUMPRODUCT((Q$3:Q$38&lt;&gt;"")*(H$3:H$38=H33))+SUMPRODUCT((O$3:O$38&lt;&gt;"")*(H$3:H$38=H33))+SUMPRODUCT((Q$3:Q$38="")*(P$3:P$38="")*(O$3:O$38="")*(N$3:N$38="P")*(H$3:H$38=H33)*(K$3:K$38&gt;K33))+IF(I33="L5",SUMPRODUCT((Q$3:Q$38="")*(P$3:P$38="")*(O$3:O$38="")*(N$3:N$38="P")*(H$3:H$38=H33)*(K$3:K$38&lt;K33)*(I$3:I$38&lt;&gt;I33)),-1*SUMPRODUCT((Q$3:Q$38="")*(P$3:P$38="")*(O$3:O$38="")*(N$3:N$38="P")*(H$3:H$38=H33)*(K$3:K$38&gt;K33)*(I$3:I$38="L5")))+1,""))))</f>
        <v/>
      </c>
      <c r="C33" s="36" t="s">
        <v>595</v>
      </c>
      <c r="D33" s="36" t="str">
        <f>IF(E33="","",VLOOKUP(E33,'Coaching Points'!A:B,2,0)&amp;"/"&amp;VLOOKUP(F33,'Coaching Points'!A:B,2,0))</f>
        <v>AB/AB</v>
      </c>
      <c r="E33" s="36" t="s">
        <v>29</v>
      </c>
      <c r="F33" s="36" t="s">
        <v>29</v>
      </c>
      <c r="G33" s="35">
        <v>2006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15-16</v>
      </c>
      <c r="I33" s="39" t="s">
        <v>115</v>
      </c>
      <c r="J33" s="45"/>
      <c r="K33" s="4">
        <f>S33+IF(OR(I33="Junior",I33="Senior"),0.0002,IF(OR(I33="L7",I33="L6"),0.0001,0))+MAX(AB33,AD33,AG33)*0.0000001</f>
        <v>4.1200000000000004E-6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49" t="str">
        <f>IF(A33&lt;5,IF(_xlfn.MAXIFS(A:A,H:H,H33)&gt;3,5-A33,_xlfn.MAXIFS(A:A,H:H,H33)+1-A33),"")</f>
        <v/>
      </c>
      <c r="S33" s="4">
        <f>IF(H33="Not Age Eligible",0,MAX(IF(OR(AND(H33="17-21",V33&gt;='Qualifying Scores'!E$13),AND(H33="15-16",V33&gt;='Qualifying Scores'!E$12),AND(H33="13-14",V33&gt;='Qualifying Scores'!E$11),AND(H33="11-12",V33&gt;='Qualifying Scores'!E$10)),U33,0),IF(OR(AND(H33="17-21",X33&gt;='Qualifying Scores'!E$13),AND(H33="15-16",X33&gt;='Qualifying Scores'!E$12),AND(H33="13-14",X33&gt;='Qualifying Scores'!E$11),AND(H33="11-12",X33&gt;='Qualifying Scores'!E$10)),W33,0),IF(OR(AND(H33="17-21",AA33&gt;='Qualifying Scores'!E$13),AND(H33="15-16",AA33&gt;='Qualifying Scores'!E$12),AND(H33="13-14",AA33&gt;='Qualifying Scores'!E$11),AND(H33="11-12",AA33&gt;='Qualifying Scores'!E$10)),Z33,0),IF(OR(AND(H33="17-21",AC33&gt;='Qualifying Scores'!E$13),AND(H33="15-16",AC33&gt;='Qualifying Scores'!E$12),AND(H33="13-14",AC33&gt;='Qualifying Scores'!E$11),AND(H33="11-12",AC33&gt;='Qualifying Scores'!E$10)),AB33,0),IF(OR(AND(H33="17-21",AE33&gt;='Qualifying Scores'!E$13),AND(H33="15-16",AE33&gt;='Qualifying Scores'!E$12),AND(H33="13-14",AE33&gt;='Qualifying Scores'!E$11),AND(H33="11-12",AE33&gt;='Qualifying Scores'!E$10)),AD33,0),IF(OR(AND(H33="17-21",AH33&gt;='Qualifying Scores'!E$13),AND(H33="15-16",AH33&gt;='Qualifying Scores'!E$12),AND(H33="13-14",AH33&gt;='Qualifying Scores'!E$11),AND(H33="11-12",AH33&gt;='Qualifying Scores'!E$10)),AG33,0)))</f>
        <v>0</v>
      </c>
      <c r="T33" s="4">
        <f>MAX(U33,W33,Z33,AB33,AD33,AG33)</f>
        <v>41.2</v>
      </c>
      <c r="U33" s="33"/>
      <c r="V33" s="40"/>
      <c r="W33" s="34"/>
      <c r="X33" s="40"/>
      <c r="Y33" s="4">
        <f>IF(I33="Senior",MAX(U33,W33),U33+W33)</f>
        <v>0</v>
      </c>
      <c r="Z33" s="34"/>
      <c r="AA33" s="40"/>
      <c r="AB33" s="33">
        <v>25.44</v>
      </c>
      <c r="AC33" s="40">
        <v>4.9000000000000004</v>
      </c>
      <c r="AD33" s="34"/>
      <c r="AE33" s="40"/>
      <c r="AF33" s="4">
        <f>IF(I33="Senior",MAX(AB33,AD33),AB33+AD33)</f>
        <v>25.44</v>
      </c>
      <c r="AG33" s="34">
        <v>41.2</v>
      </c>
      <c r="AH33" s="37">
        <v>7.1</v>
      </c>
    </row>
    <row r="34" spans="1:34" x14ac:dyDescent="0.2">
      <c r="A34" s="1" t="str" cm="1">
        <f t="array" ref="A34">IF(J34="","",IF(Q34&lt;&gt;"",SUMPRODUCT((Q$3:Q$38&lt;&gt;"")*(H$3:H$38=H34)*(K$3:K$38&gt;K34)*(J$3:J$38="P"))+1,IF(P34&lt;&gt;"",SUMPRODUCT((P$3:P$38&lt;&gt;"")*(Q$3:Q$38="")*(H$3:H$38=H34)*(K$3:K$38&gt;K34)*(J$3:J$38="P"))+SUMPRODUCT((Q$3:Q$38&lt;&gt;"")*(H$3:H$38=H34)*(J$3:J$38="P"))+1,IF(O34&lt;&gt;"",SUMPRODUCT((O$3:O$38&lt;&gt;"")*(H$3:H$38=H34)*(K$3:K$38&gt;K34)*(J$3:J$38="P"))+1,IF(N34="P",SUMPRODUCT((P$3:P$38&lt;&gt;"")*(Q$3:Q$38="")*(H$3:H$38=H34)*(J$3:J$38="P"))+SUMPRODUCT((Q$3:Q$38&lt;&gt;"")*(H$3:H$38=H34)*(J$3:J$38="P"))+SUMPRODUCT((O$3:O$38&lt;&gt;"")*(H$3:H$38=H34)*(J$3:J$38="P"))+SUMPRODUCT((Q$3:Q$38="")*(P$3:P$38="")*(O$3:O$38="")*(N$3:N$38="P")*(H$3:H$38=H34)*(K$3:K$38&gt;K34)*(J$3:J$38="P"))+IF(I34="L5",SUMPRODUCT((Q$3:Q$38="")*(P$3:P$38="")*(O$3:O$38="")*(N$3:N$38="P")*(H$3:H$38=H34)*(K$3:K$38&lt;K34)*(I$3:I$38&lt;&gt;I34)*(J$3:J$38="P")),-1*SUMPRODUCT((Q$3:Q$38="")*(P$3:P$38="")*(O$3:O$38="")*(N$3:N$38="P")*(H$3:H$38=H34)*(K$3:K$38&gt;K34)*(I$3:I$38="L5")*(J$3:J$38="P")))+1,"")))))</f>
        <v/>
      </c>
      <c r="B34" s="1" t="str" cm="1">
        <f t="array" ref="B34">IF(Q34&lt;&gt;"",SUMPRODUCT((Q$3:Q$38&lt;&gt;"")*(H$3:H$38=H34)*(K$3:K$38&gt;K34))+1,IF(P34&lt;&gt;"",SUMPRODUCT((P$3:P$38&lt;&gt;"")*(Q$3:Q$38="")*(H$3:H$38=H34)*(K$3:K$38&gt;K34))+SUMPRODUCT((Q$3:Q$38&lt;&gt;"")*(H$3:H$38=H34))+1,IF(O34&lt;&gt;"",SUMPRODUCT((O$3:O$38&lt;&gt;"")*(H$3:H$38=H34)*(K$3:K$38&gt;K34))+1,IF(N34="P",SUMPRODUCT((P$3:P$38&lt;&gt;"")*(Q$3:Q$38="")*(H$3:H$38=H34))+SUMPRODUCT((Q$3:Q$38&lt;&gt;"")*(H$3:H$38=H34))+SUMPRODUCT((O$3:O$38&lt;&gt;"")*(H$3:H$38=H34))+SUMPRODUCT((Q$3:Q$38="")*(P$3:P$38="")*(O$3:O$38="")*(N$3:N$38="P")*(H$3:H$38=H34)*(K$3:K$38&gt;K34))+IF(I34="L5",SUMPRODUCT((Q$3:Q$38="")*(P$3:P$38="")*(O$3:O$38="")*(N$3:N$38="P")*(H$3:H$38=H34)*(K$3:K$38&lt;K34)*(I$3:I$38&lt;&gt;I34)),-1*SUMPRODUCT((Q$3:Q$38="")*(P$3:P$38="")*(O$3:O$38="")*(N$3:N$38="P")*(H$3:H$38=H34)*(K$3:K$38&gt;K34)*(I$3:I$38="L5")))+1,""))))</f>
        <v/>
      </c>
      <c r="C34" s="36" t="s">
        <v>480</v>
      </c>
      <c r="D34" s="36" t="str">
        <f>IF(E34="","",VLOOKUP(E34,'Coaching Points'!A:B,2,0)&amp;"/"&amp;VLOOKUP(F34,'Coaching Points'!A:B,2,0))</f>
        <v>BC/BC</v>
      </c>
      <c r="E34" s="36" t="s">
        <v>42</v>
      </c>
      <c r="F34" s="36" t="s">
        <v>585</v>
      </c>
      <c r="G34" s="35">
        <v>2007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15-16</v>
      </c>
      <c r="I34" s="39" t="s">
        <v>115</v>
      </c>
      <c r="J34" s="45"/>
      <c r="K34" s="4">
        <f>S34+IF(OR(I34="Junior",I34="Senior"),0.0002,IF(OR(I34="L7",I34="L6"),0.0001,0))+MAX(AB34,AD34,AG34)*0.0000001</f>
        <v>3.8099999999999999E-6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49" t="str">
        <f>IF(A34&lt;5,IF(_xlfn.MAXIFS(A:A,H:H,H34)&gt;3,5-A34,_xlfn.MAXIFS(A:A,H:H,H34)+1-A34),"")</f>
        <v/>
      </c>
      <c r="S34" s="4">
        <f>IF(H34="Not Age Eligible",0,MAX(IF(OR(AND(H34="17-21",V34&gt;='Qualifying Scores'!E$13),AND(H34="15-16",V34&gt;='Qualifying Scores'!E$12),AND(H34="13-14",V34&gt;='Qualifying Scores'!E$11),AND(H34="11-12",V34&gt;='Qualifying Scores'!E$10)),U34,0),IF(OR(AND(H34="17-21",X34&gt;='Qualifying Scores'!E$13),AND(H34="15-16",X34&gt;='Qualifying Scores'!E$12),AND(H34="13-14",X34&gt;='Qualifying Scores'!E$11),AND(H34="11-12",X34&gt;='Qualifying Scores'!E$10)),W34,0),IF(OR(AND(H34="17-21",AA34&gt;='Qualifying Scores'!E$13),AND(H34="15-16",AA34&gt;='Qualifying Scores'!E$12),AND(H34="13-14",AA34&gt;='Qualifying Scores'!E$11),AND(H34="11-12",AA34&gt;='Qualifying Scores'!E$10)),Z34,0),IF(OR(AND(H34="17-21",AC34&gt;='Qualifying Scores'!E$13),AND(H34="15-16",AC34&gt;='Qualifying Scores'!E$12),AND(H34="13-14",AC34&gt;='Qualifying Scores'!E$11),AND(H34="11-12",AC34&gt;='Qualifying Scores'!E$10)),AB34,0),IF(OR(AND(H34="17-21",AE34&gt;='Qualifying Scores'!E$13),AND(H34="15-16",AE34&gt;='Qualifying Scores'!E$12),AND(H34="13-14",AE34&gt;='Qualifying Scores'!E$11),AND(H34="11-12",AE34&gt;='Qualifying Scores'!E$10)),AD34,0),IF(OR(AND(H34="17-21",AH34&gt;='Qualifying Scores'!E$13),AND(H34="15-16",AH34&gt;='Qualifying Scores'!E$12),AND(H34="13-14",AH34&gt;='Qualifying Scores'!E$11),AND(H34="11-12",AH34&gt;='Qualifying Scores'!E$10)),AG34,0)))</f>
        <v>0</v>
      </c>
      <c r="T34" s="4">
        <f>MAX(U34,W34,Z34,AB34,AD34,AG34)</f>
        <v>38.1</v>
      </c>
      <c r="U34" s="33"/>
      <c r="V34" s="40"/>
      <c r="W34" s="34"/>
      <c r="X34" s="40"/>
      <c r="Y34" s="4">
        <f>IF(I34="Senior",MAX(U34,W34),U34+W34)</f>
        <v>0</v>
      </c>
      <c r="Z34" s="34"/>
      <c r="AA34" s="40"/>
      <c r="AB34" s="33">
        <v>38.1</v>
      </c>
      <c r="AC34" s="40">
        <v>7.3</v>
      </c>
      <c r="AD34" s="34"/>
      <c r="AE34" s="40"/>
      <c r="AF34" s="4">
        <f>IF(I34="Senior",MAX(AB34,AD34),AB34+AD34)</f>
        <v>38.1</v>
      </c>
      <c r="AG34" s="34">
        <v>8.4</v>
      </c>
      <c r="AH34" s="37">
        <v>1.6</v>
      </c>
    </row>
    <row r="35" spans="1:34" x14ac:dyDescent="0.2">
      <c r="A35" s="1" t="str" cm="1">
        <f t="array" ref="A35">IF(J35="","",IF(Q35&lt;&gt;"",SUMPRODUCT((Q$3:Q$38&lt;&gt;"")*(H$3:H$38=H35)*(K$3:K$38&gt;K35)*(J$3:J$38="P"))+1,IF(P35&lt;&gt;"",SUMPRODUCT((P$3:P$38&lt;&gt;"")*(Q$3:Q$38="")*(H$3:H$38=H35)*(K$3:K$38&gt;K35)*(J$3:J$38="P"))+SUMPRODUCT((Q$3:Q$38&lt;&gt;"")*(H$3:H$38=H35)*(J$3:J$38="P"))+1,IF(O35&lt;&gt;"",SUMPRODUCT((O$3:O$38&lt;&gt;"")*(H$3:H$38=H35)*(K$3:K$38&gt;K35)*(J$3:J$38="P"))+1,IF(N35="P",SUMPRODUCT((P$3:P$38&lt;&gt;"")*(Q$3:Q$38="")*(H$3:H$38=H35)*(J$3:J$38="P"))+SUMPRODUCT((Q$3:Q$38&lt;&gt;"")*(H$3:H$38=H35)*(J$3:J$38="P"))+SUMPRODUCT((O$3:O$38&lt;&gt;"")*(H$3:H$38=H35)*(J$3:J$38="P"))+SUMPRODUCT((Q$3:Q$38="")*(P$3:P$38="")*(O$3:O$38="")*(N$3:N$38="P")*(H$3:H$38=H35)*(K$3:K$38&gt;K35)*(J$3:J$38="P"))+IF(I35="L5",SUMPRODUCT((Q$3:Q$38="")*(P$3:P$38="")*(O$3:O$38="")*(N$3:N$38="P")*(H$3:H$38=H35)*(K$3:K$38&lt;K35)*(I$3:I$38&lt;&gt;I35)*(J$3:J$38="P")),-1*SUMPRODUCT((Q$3:Q$38="")*(P$3:P$38="")*(O$3:O$38="")*(N$3:N$38="P")*(H$3:H$38=H35)*(K$3:K$38&gt;K35)*(I$3:I$38="L5")*(J$3:J$38="P")))+1,"")))))</f>
        <v/>
      </c>
      <c r="B35" s="1" t="str" cm="1">
        <f t="array" ref="B35">IF(Q35&lt;&gt;"",SUMPRODUCT((Q$3:Q$38&lt;&gt;"")*(H$3:H$38=H35)*(K$3:K$38&gt;K35))+1,IF(P35&lt;&gt;"",SUMPRODUCT((P$3:P$38&lt;&gt;"")*(Q$3:Q$38="")*(H$3:H$38=H35)*(K$3:K$38&gt;K35))+SUMPRODUCT((Q$3:Q$38&lt;&gt;"")*(H$3:H$38=H35))+1,IF(O35&lt;&gt;"",SUMPRODUCT((O$3:O$38&lt;&gt;"")*(H$3:H$38=H35)*(K$3:K$38&gt;K35))+1,IF(N35="P",SUMPRODUCT((P$3:P$38&lt;&gt;"")*(Q$3:Q$38="")*(H$3:H$38=H35))+SUMPRODUCT((Q$3:Q$38&lt;&gt;"")*(H$3:H$38=H35))+SUMPRODUCT((O$3:O$38&lt;&gt;"")*(H$3:H$38=H35))+SUMPRODUCT((Q$3:Q$38="")*(P$3:P$38="")*(O$3:O$38="")*(N$3:N$38="P")*(H$3:H$38=H35)*(K$3:K$38&gt;K35))+IF(I35="L5",SUMPRODUCT((Q$3:Q$38="")*(P$3:P$38="")*(O$3:O$38="")*(N$3:N$38="P")*(H$3:H$38=H35)*(K$3:K$38&lt;K35)*(I$3:I$38&lt;&gt;I35)),-1*SUMPRODUCT((Q$3:Q$38="")*(P$3:P$38="")*(O$3:O$38="")*(N$3:N$38="P")*(H$3:H$38=H35)*(K$3:K$38&gt;K35)*(I$3:I$38="L5")))+1,""))))</f>
        <v/>
      </c>
      <c r="C35" s="36" t="s">
        <v>488</v>
      </c>
      <c r="D35" s="36" t="str">
        <f>IF(E35="","",VLOOKUP(E35,'Coaching Points'!A:B,2,0)&amp;"/"&amp;VLOOKUP(F35,'Coaching Points'!A:B,2,0))</f>
        <v>ON/ON</v>
      </c>
      <c r="E35" s="36" t="s">
        <v>38</v>
      </c>
      <c r="F35" s="36" t="s">
        <v>38</v>
      </c>
      <c r="G35" s="35">
        <v>2006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115</v>
      </c>
      <c r="J35" s="45"/>
      <c r="K35" s="4">
        <f>S35+IF(OR(I35="Junior",I35="Senior"),0.0002,IF(OR(I35="L7",I35="L6"),0.0001,0))+MAX(AB35,AD35,AG35)*0.0000001</f>
        <v>1.7670000000000002E-6</v>
      </c>
      <c r="L35" s="3" t="str">
        <f>IF(H35="Not Age Eligible","",IF(MAX(U35,W35,Z35,AB35,AD35,AG35)&gt;=LOOKUP(H35,'Qualifying Scores'!$A$4:$A$7,'Qualifying Scores'!$E$4:$E$7),"P",""))</f>
        <v/>
      </c>
      <c r="M35" s="3" t="str">
        <f>IF(H35="Not Age Eligible","",IF(MAX(V35,X35,AA35,AC35,AE35,AH35)&gt;=LOOKUP(H35,'Qualifying Scores'!$A$10:$A$13,'Qualifying Scores'!$E$10:$E$13),"P",""))</f>
        <v/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/>
      </c>
      <c r="R35" s="49" t="str">
        <f>IF(A35&lt;5,IF(_xlfn.MAXIFS(A:A,H:H,H35)&gt;3,5-A35,_xlfn.MAXIFS(A:A,H:H,H35)+1-A35),"")</f>
        <v/>
      </c>
      <c r="S35" s="4">
        <f>IF(H35="Not Age Eligible",0,MAX(IF(OR(AND(H35="17-21",V35&gt;='Qualifying Scores'!E$13),AND(H35="15-16",V35&gt;='Qualifying Scores'!E$12),AND(H35="13-14",V35&gt;='Qualifying Scores'!E$11),AND(H35="11-12",V35&gt;='Qualifying Scores'!E$10)),U35,0),IF(OR(AND(H35="17-21",X35&gt;='Qualifying Scores'!E$13),AND(H35="15-16",X35&gt;='Qualifying Scores'!E$12),AND(H35="13-14",X35&gt;='Qualifying Scores'!E$11),AND(H35="11-12",X35&gt;='Qualifying Scores'!E$10)),W35,0),IF(OR(AND(H35="17-21",AA35&gt;='Qualifying Scores'!E$13),AND(H35="15-16",AA35&gt;='Qualifying Scores'!E$12),AND(H35="13-14",AA35&gt;='Qualifying Scores'!E$11),AND(H35="11-12",AA35&gt;='Qualifying Scores'!E$10)),Z35,0),IF(OR(AND(H35="17-21",AC35&gt;='Qualifying Scores'!E$13),AND(H35="15-16",AC35&gt;='Qualifying Scores'!E$12),AND(H35="13-14",AC35&gt;='Qualifying Scores'!E$11),AND(H35="11-12",AC35&gt;='Qualifying Scores'!E$10)),AB35,0),IF(OR(AND(H35="17-21",AE35&gt;='Qualifying Scores'!E$13),AND(H35="15-16",AE35&gt;='Qualifying Scores'!E$12),AND(H35="13-14",AE35&gt;='Qualifying Scores'!E$11),AND(H35="11-12",AE35&gt;='Qualifying Scores'!E$10)),AD35,0),IF(OR(AND(H35="17-21",AH35&gt;='Qualifying Scores'!E$13),AND(H35="15-16",AH35&gt;='Qualifying Scores'!E$12),AND(H35="13-14",AH35&gt;='Qualifying Scores'!E$11),AND(H35="11-12",AH35&gt;='Qualifying Scores'!E$10)),AG35,0)))</f>
        <v>0</v>
      </c>
      <c r="T35" s="4">
        <f>MAX(U35,W35,Z35,AB35,AD35,AG35)</f>
        <v>17.670000000000002</v>
      </c>
      <c r="U35" s="33"/>
      <c r="V35" s="40"/>
      <c r="W35" s="34"/>
      <c r="X35" s="40"/>
      <c r="Y35" s="4">
        <f>IF(I35="Senior",MAX(U35,W35),U35+W35)</f>
        <v>0</v>
      </c>
      <c r="Z35" s="34"/>
      <c r="AA35" s="40"/>
      <c r="AB35" s="33">
        <v>17.670000000000002</v>
      </c>
      <c r="AC35" s="40">
        <v>4.0999999999999996</v>
      </c>
      <c r="AD35" s="34"/>
      <c r="AE35" s="40"/>
      <c r="AF35" s="4">
        <f>IF(I35="Senior",MAX(AB35,AD35),AB35+AD35)</f>
        <v>17.670000000000002</v>
      </c>
      <c r="AG35" s="34"/>
      <c r="AH35" s="37"/>
    </row>
    <row r="36" spans="1:34" x14ac:dyDescent="0.2">
      <c r="A36" s="1" t="str" cm="1">
        <f t="array" ref="A36">IF(J36="","",IF(Q36&lt;&gt;"",SUMPRODUCT((Q$3:Q$38&lt;&gt;"")*(H$3:H$38=H36)*(K$3:K$38&gt;K36)*(J$3:J$38="P"))+1,IF(P36&lt;&gt;"",SUMPRODUCT((P$3:P$38&lt;&gt;"")*(Q$3:Q$38="")*(H$3:H$38=H36)*(K$3:K$38&gt;K36)*(J$3:J$38="P"))+SUMPRODUCT((Q$3:Q$38&lt;&gt;"")*(H$3:H$38=H36)*(J$3:J$38="P"))+1,IF(O36&lt;&gt;"",SUMPRODUCT((O$3:O$38&lt;&gt;"")*(H$3:H$38=H36)*(K$3:K$38&gt;K36)*(J$3:J$38="P"))+1,IF(N36="P",SUMPRODUCT((P$3:P$38&lt;&gt;"")*(Q$3:Q$38="")*(H$3:H$38=H36)*(J$3:J$38="P"))+SUMPRODUCT((Q$3:Q$38&lt;&gt;"")*(H$3:H$38=H36)*(J$3:J$38="P"))+SUMPRODUCT((O$3:O$38&lt;&gt;"")*(H$3:H$38=H36)*(J$3:J$38="P"))+SUMPRODUCT((Q$3:Q$38="")*(P$3:P$38="")*(O$3:O$38="")*(N$3:N$38="P")*(H$3:H$38=H36)*(K$3:K$38&gt;K36)*(J$3:J$38="P"))+IF(I36="L5",SUMPRODUCT((Q$3:Q$38="")*(P$3:P$38="")*(O$3:O$38="")*(N$3:N$38="P")*(H$3:H$38=H36)*(K$3:K$38&lt;K36)*(I$3:I$38&lt;&gt;I36)*(J$3:J$38="P")),-1*SUMPRODUCT((Q$3:Q$38="")*(P$3:P$38="")*(O$3:O$38="")*(N$3:N$38="P")*(H$3:H$38=H36)*(K$3:K$38&gt;K36)*(I$3:I$38="L5")*(J$3:J$38="P")))+1,"")))))</f>
        <v/>
      </c>
      <c r="B36" s="1" t="str" cm="1">
        <f t="array" ref="B36">IF(Q36&lt;&gt;"",SUMPRODUCT((Q$3:Q$38&lt;&gt;"")*(H$3:H$38=H36)*(K$3:K$38&gt;K36))+1,IF(P36&lt;&gt;"",SUMPRODUCT((P$3:P$38&lt;&gt;"")*(Q$3:Q$38="")*(H$3:H$38=H36)*(K$3:K$38&gt;K36))+SUMPRODUCT((Q$3:Q$38&lt;&gt;"")*(H$3:H$38=H36))+1,IF(O36&lt;&gt;"",SUMPRODUCT((O$3:O$38&lt;&gt;"")*(H$3:H$38=H36)*(K$3:K$38&gt;K36))+1,IF(N36="P",SUMPRODUCT((P$3:P$38&lt;&gt;"")*(Q$3:Q$38="")*(H$3:H$38=H36))+SUMPRODUCT((Q$3:Q$38&lt;&gt;"")*(H$3:H$38=H36))+SUMPRODUCT((O$3:O$38&lt;&gt;"")*(H$3:H$38=H36))+SUMPRODUCT((Q$3:Q$38="")*(P$3:P$38="")*(O$3:O$38="")*(N$3:N$38="P")*(H$3:H$38=H36)*(K$3:K$38&gt;K36))+IF(I36="L5",SUMPRODUCT((Q$3:Q$38="")*(P$3:P$38="")*(O$3:O$38="")*(N$3:N$38="P")*(H$3:H$38=H36)*(K$3:K$38&lt;K36)*(I$3:I$38&lt;&gt;I36)),-1*SUMPRODUCT((Q$3:Q$38="")*(P$3:P$38="")*(O$3:O$38="")*(N$3:N$38="P")*(H$3:H$38=H36)*(K$3:K$38&gt;K36)*(I$3:I$38="L5")))+1,""))))</f>
        <v/>
      </c>
      <c r="C36" s="36" t="s">
        <v>489</v>
      </c>
      <c r="D36" s="36" t="str">
        <f>IF(E36="","",VLOOKUP(E36,'Coaching Points'!A:B,2,0)&amp;"/"&amp;VLOOKUP(F36,'Coaching Points'!A:B,2,0))</f>
        <v>ON/ON</v>
      </c>
      <c r="E36" s="36" t="s">
        <v>573</v>
      </c>
      <c r="F36" s="36" t="s">
        <v>38</v>
      </c>
      <c r="G36" s="35">
        <v>2006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115</v>
      </c>
      <c r="J36" s="45"/>
      <c r="K36" s="4">
        <f>S36+IF(OR(I36="Junior",I36="Senior"),0.0002,IF(OR(I36="L7",I36="L6"),0.0001,0))+MAX(AB36,AD36,AG36)*0.0000001</f>
        <v>1.3119999999999999E-6</v>
      </c>
      <c r="L36" s="3" t="str">
        <f>IF(H36="Not Age Eligible","",IF(MAX(U36,W36,Z36,AB36,AD36,AG36)&gt;=LOOKUP(H36,'Qualifying Scores'!$A$4:$A$7,'Qualifying Scores'!$E$4:$E$7),"P",""))</f>
        <v/>
      </c>
      <c r="M36" s="3" t="str">
        <f>IF(H36="Not Age Eligible","",IF(MAX(V36,X36,AA36,AC36,AE36,AH36)&gt;=LOOKUP(H36,'Qualifying Scores'!$A$10:$A$13,'Qualifying Scores'!$E$10:$E$13),"P",""))</f>
        <v/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/>
      </c>
      <c r="R36" s="49" t="str">
        <f>IF(A36&lt;5,IF(_xlfn.MAXIFS(A:A,H:H,H36)&gt;3,5-A36,_xlfn.MAXIFS(A:A,H:H,H36)+1-A36),"")</f>
        <v/>
      </c>
      <c r="S36" s="4">
        <f>IF(H36="Not Age Eligible",0,MAX(IF(OR(AND(H36="17-21",V36&gt;='Qualifying Scores'!E$13),AND(H36="15-16",V36&gt;='Qualifying Scores'!E$12),AND(H36="13-14",V36&gt;='Qualifying Scores'!E$11),AND(H36="11-12",V36&gt;='Qualifying Scores'!E$10)),U36,0),IF(OR(AND(H36="17-21",X36&gt;='Qualifying Scores'!E$13),AND(H36="15-16",X36&gt;='Qualifying Scores'!E$12),AND(H36="13-14",X36&gt;='Qualifying Scores'!E$11),AND(H36="11-12",X36&gt;='Qualifying Scores'!E$10)),W36,0),IF(OR(AND(H36="17-21",AA36&gt;='Qualifying Scores'!E$13),AND(H36="15-16",AA36&gt;='Qualifying Scores'!E$12),AND(H36="13-14",AA36&gt;='Qualifying Scores'!E$11),AND(H36="11-12",AA36&gt;='Qualifying Scores'!E$10)),Z36,0),IF(OR(AND(H36="17-21",AC36&gt;='Qualifying Scores'!E$13),AND(H36="15-16",AC36&gt;='Qualifying Scores'!E$12),AND(H36="13-14",AC36&gt;='Qualifying Scores'!E$11),AND(H36="11-12",AC36&gt;='Qualifying Scores'!E$10)),AB36,0),IF(OR(AND(H36="17-21",AE36&gt;='Qualifying Scores'!E$13),AND(H36="15-16",AE36&gt;='Qualifying Scores'!E$12),AND(H36="13-14",AE36&gt;='Qualifying Scores'!E$11),AND(H36="11-12",AE36&gt;='Qualifying Scores'!E$10)),AD36,0),IF(OR(AND(H36="17-21",AH36&gt;='Qualifying Scores'!E$13),AND(H36="15-16",AH36&gt;='Qualifying Scores'!E$12),AND(H36="13-14",AH36&gt;='Qualifying Scores'!E$11),AND(H36="11-12",AH36&gt;='Qualifying Scores'!E$10)),AG36,0)))</f>
        <v>0</v>
      </c>
      <c r="T36" s="4">
        <f>MAX(U36,W36,Z36,AB36,AD36,AG36)</f>
        <v>13.12</v>
      </c>
      <c r="U36" s="33"/>
      <c r="V36" s="40"/>
      <c r="W36" s="34"/>
      <c r="X36" s="40"/>
      <c r="Y36" s="4">
        <f>IF(I36="Senior",MAX(U36,W36),U36+W36)</f>
        <v>0</v>
      </c>
      <c r="Z36" s="34"/>
      <c r="AA36" s="40"/>
      <c r="AB36" s="33">
        <v>13.12</v>
      </c>
      <c r="AC36" s="40">
        <v>3</v>
      </c>
      <c r="AD36" s="34"/>
      <c r="AE36" s="40"/>
      <c r="AF36" s="4">
        <f>IF(I36="Senior",MAX(AB36,AD36),AB36+AD36)</f>
        <v>13.12</v>
      </c>
      <c r="AG36" s="34"/>
      <c r="AH36" s="37"/>
    </row>
    <row r="37" spans="1:34" x14ac:dyDescent="0.2">
      <c r="A37" s="1" t="str" cm="1">
        <f t="array" ref="A37">IF(J37="","",IF(Q37&lt;&gt;"",SUMPRODUCT((Q$3:Q$38&lt;&gt;"")*(H$3:H$38=H37)*(K$3:K$38&gt;K37)*(J$3:J$38="P"))+1,IF(P37&lt;&gt;"",SUMPRODUCT((P$3:P$38&lt;&gt;"")*(Q$3:Q$38="")*(H$3:H$38=H37)*(K$3:K$38&gt;K37)*(J$3:J$38="P"))+SUMPRODUCT((Q$3:Q$38&lt;&gt;"")*(H$3:H$38=H37)*(J$3:J$38="P"))+1,IF(O37&lt;&gt;"",SUMPRODUCT((O$3:O$38&lt;&gt;"")*(H$3:H$38=H37)*(K$3:K$38&gt;K37)*(J$3:J$38="P"))+1,IF(N37="P",SUMPRODUCT((P$3:P$38&lt;&gt;"")*(Q$3:Q$38="")*(H$3:H$38=H37)*(J$3:J$38="P"))+SUMPRODUCT((Q$3:Q$38&lt;&gt;"")*(H$3:H$38=H37)*(J$3:J$38="P"))+SUMPRODUCT((O$3:O$38&lt;&gt;"")*(H$3:H$38=H37)*(J$3:J$38="P"))+SUMPRODUCT((Q$3:Q$38="")*(P$3:P$38="")*(O$3:O$38="")*(N$3:N$38="P")*(H$3:H$38=H37)*(K$3:K$38&gt;K37)*(J$3:J$38="P"))+IF(I37="L5",SUMPRODUCT((Q$3:Q$38="")*(P$3:P$38="")*(O$3:O$38="")*(N$3:N$38="P")*(H$3:H$38=H37)*(K$3:K$38&lt;K37)*(I$3:I$38&lt;&gt;I37)*(J$3:J$38="P")),-1*SUMPRODUCT((Q$3:Q$38="")*(P$3:P$38="")*(O$3:O$38="")*(N$3:N$38="P")*(H$3:H$38=H37)*(K$3:K$38&gt;K37)*(I$3:I$38="L5")*(J$3:J$38="P")))+1,"")))))</f>
        <v/>
      </c>
      <c r="B37" s="1" t="str" cm="1">
        <f t="array" ref="B37">IF(Q37&lt;&gt;"",SUMPRODUCT((Q$3:Q$38&lt;&gt;"")*(H$3:H$38=H37)*(K$3:K$38&gt;K37))+1,IF(P37&lt;&gt;"",SUMPRODUCT((P$3:P$38&lt;&gt;"")*(Q$3:Q$38="")*(H$3:H$38=H37)*(K$3:K$38&gt;K37))+SUMPRODUCT((Q$3:Q$38&lt;&gt;"")*(H$3:H$38=H37))+1,IF(O37&lt;&gt;"",SUMPRODUCT((O$3:O$38&lt;&gt;"")*(H$3:H$38=H37)*(K$3:K$38&gt;K37))+1,IF(N37="P",SUMPRODUCT((P$3:P$38&lt;&gt;"")*(Q$3:Q$38="")*(H$3:H$38=H37))+SUMPRODUCT((Q$3:Q$38&lt;&gt;"")*(H$3:H$38=H37))+SUMPRODUCT((O$3:O$38&lt;&gt;"")*(H$3:H$38=H37))+SUMPRODUCT((Q$3:Q$38="")*(P$3:P$38="")*(O$3:O$38="")*(N$3:N$38="P")*(H$3:H$38=H37)*(K$3:K$38&gt;K37))+IF(I37="L5",SUMPRODUCT((Q$3:Q$38="")*(P$3:P$38="")*(O$3:O$38="")*(N$3:N$38="P")*(H$3:H$38=H37)*(K$3:K$38&lt;K37)*(I$3:I$38&lt;&gt;I37)),-1*SUMPRODUCT((Q$3:Q$38="")*(P$3:P$38="")*(O$3:O$38="")*(N$3:N$38="P")*(H$3:H$38=H37)*(K$3:K$38&gt;K37)*(I$3:I$38="L5")))+1,""))))</f>
        <v/>
      </c>
      <c r="C37" s="36" t="s">
        <v>486</v>
      </c>
      <c r="D37" s="36" t="str">
        <f>IF(E37="","",VLOOKUP(E37,'Coaching Points'!A:B,2,0)&amp;"/"&amp;VLOOKUP(F37,'Coaching Points'!A:B,2,0))</f>
        <v>QC/QC</v>
      </c>
      <c r="E37" s="36" t="s">
        <v>195</v>
      </c>
      <c r="F37" s="36" t="s">
        <v>195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115</v>
      </c>
      <c r="J37" s="45"/>
      <c r="K37" s="4">
        <f>S37+IF(OR(I37="Junior",I37="Senior"),0.0002,IF(OR(I37="L7",I37="L6"),0.0001,0))+MAX(AB37,AD37,AG37)*0.0000001</f>
        <v>9.189999999999999E-7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49" t="str">
        <f>IF(A37&lt;5,IF(_xlfn.MAXIFS(A:A,H:H,H37)&gt;3,5-A37,_xlfn.MAXIFS(A:A,H:H,H37)+1-A37),"")</f>
        <v/>
      </c>
      <c r="S37" s="4">
        <f>IF(H37="Not Age Eligible",0,MAX(IF(OR(AND(H37="17-21",V37&gt;='Qualifying Scores'!E$13),AND(H37="15-16",V37&gt;='Qualifying Scores'!E$12),AND(H37="13-14",V37&gt;='Qualifying Scores'!E$11),AND(H37="11-12",V37&gt;='Qualifying Scores'!E$10)),U37,0),IF(OR(AND(H37="17-21",X37&gt;='Qualifying Scores'!E$13),AND(H37="15-16",X37&gt;='Qualifying Scores'!E$12),AND(H37="13-14",X37&gt;='Qualifying Scores'!E$11),AND(H37="11-12",X37&gt;='Qualifying Scores'!E$10)),W37,0),IF(OR(AND(H37="17-21",AA37&gt;='Qualifying Scores'!E$13),AND(H37="15-16",AA37&gt;='Qualifying Scores'!E$12),AND(H37="13-14",AA37&gt;='Qualifying Scores'!E$11),AND(H37="11-12",AA37&gt;='Qualifying Scores'!E$10)),Z37,0),IF(OR(AND(H37="17-21",AC37&gt;='Qualifying Scores'!E$13),AND(H37="15-16",AC37&gt;='Qualifying Scores'!E$12),AND(H37="13-14",AC37&gt;='Qualifying Scores'!E$11),AND(H37="11-12",AC37&gt;='Qualifying Scores'!E$10)),AB37,0),IF(OR(AND(H37="17-21",AE37&gt;='Qualifying Scores'!E$13),AND(H37="15-16",AE37&gt;='Qualifying Scores'!E$12),AND(H37="13-14",AE37&gt;='Qualifying Scores'!E$11),AND(H37="11-12",AE37&gt;='Qualifying Scores'!E$10)),AD37,0),IF(OR(AND(H37="17-21",AH37&gt;='Qualifying Scores'!E$13),AND(H37="15-16",AH37&gt;='Qualifying Scores'!E$12),AND(H37="13-14",AH37&gt;='Qualifying Scores'!E$11),AND(H37="11-12",AH37&gt;='Qualifying Scores'!E$10)),AG37,0)))</f>
        <v>0</v>
      </c>
      <c r="T37" s="4">
        <f>MAX(U37,W37,Z37,AB37,AD37,AG37)</f>
        <v>9.19</v>
      </c>
      <c r="U37" s="33"/>
      <c r="V37" s="40"/>
      <c r="W37" s="34"/>
      <c r="X37" s="40"/>
      <c r="Y37" s="4">
        <f>IF(I37="Senior",MAX(U37,W37),U37+W37)</f>
        <v>0</v>
      </c>
      <c r="Z37" s="34"/>
      <c r="AA37" s="40"/>
      <c r="AB37" s="33">
        <v>9.19</v>
      </c>
      <c r="AC37" s="40">
        <v>2.1</v>
      </c>
      <c r="AD37" s="34"/>
      <c r="AE37" s="40"/>
      <c r="AF37" s="4">
        <f>IF(I37="Senior",MAX(AB37,AD37),AB37+AD37)</f>
        <v>9.19</v>
      </c>
      <c r="AG37" s="34"/>
      <c r="AH37" s="37"/>
    </row>
    <row r="38" spans="1:34" x14ac:dyDescent="0.2">
      <c r="A38" s="1" cm="1">
        <f t="array" ref="A38">IF(J38="","",IF(Q38&lt;&gt;"",SUMPRODUCT((Q$3:Q$38&lt;&gt;"")*(H$3:H$38=H38)*(K$3:K$38&gt;K38)*(J$3:J$38="P"))+1,IF(P38&lt;&gt;"",SUMPRODUCT((P$3:P$38&lt;&gt;"")*(Q$3:Q$38="")*(H$3:H$38=H38)*(K$3:K$38&gt;K38)*(J$3:J$38="P"))+SUMPRODUCT((Q$3:Q$38&lt;&gt;"")*(H$3:H$38=H38)*(J$3:J$38="P"))+1,IF(O38&lt;&gt;"",SUMPRODUCT((O$3:O$38&lt;&gt;"")*(H$3:H$38=H38)*(K$3:K$38&gt;K38)*(J$3:J$38="P"))+1,IF(N38="P",SUMPRODUCT((P$3:P$38&lt;&gt;"")*(Q$3:Q$38="")*(H$3:H$38=H38)*(J$3:J$38="P"))+SUMPRODUCT((Q$3:Q$38&lt;&gt;"")*(H$3:H$38=H38)*(J$3:J$38="P"))+SUMPRODUCT((O$3:O$38&lt;&gt;"")*(H$3:H$38=H38)*(J$3:J$38="P"))+SUMPRODUCT((Q$3:Q$38="")*(P$3:P$38="")*(O$3:O$38="")*(N$3:N$38="P")*(H$3:H$38=H38)*(K$3:K$38&gt;K38)*(J$3:J$38="P"))+IF(I38="L5",SUMPRODUCT((Q$3:Q$38="")*(P$3:P$38="")*(O$3:O$38="")*(N$3:N$38="P")*(H$3:H$38=H38)*(K$3:K$38&lt;K38)*(I$3:I$38&lt;&gt;I38)*(J$3:J$38="P")),-1*SUMPRODUCT((Q$3:Q$38="")*(P$3:P$38="")*(O$3:O$38="")*(N$3:N$38="P")*(H$3:H$38=H38)*(K$3:K$38&gt;K38)*(I$3:I$38="L5")*(J$3:J$38="P")))+1,"")))))</f>
        <v>1</v>
      </c>
      <c r="B38" s="1" cm="1">
        <f t="array" ref="B38">IF(Q38&lt;&gt;"",SUMPRODUCT((Q$3:Q$38&lt;&gt;"")*(H$3:H$38=H38)*(K$3:K$38&gt;K38))+1,IF(P38&lt;&gt;"",SUMPRODUCT((P$3:P$38&lt;&gt;"")*(Q$3:Q$38="")*(H$3:H$38=H38)*(K$3:K$38&gt;K38))+SUMPRODUCT((Q$3:Q$38&lt;&gt;"")*(H$3:H$38=H38))+1,IF(O38&lt;&gt;"",SUMPRODUCT((O$3:O$38&lt;&gt;"")*(H$3:H$38=H38)*(K$3:K$38&gt;K38))+1,IF(N38="P",SUMPRODUCT((P$3:P$38&lt;&gt;"")*(Q$3:Q$38="")*(H$3:H$38=H38))+SUMPRODUCT((Q$3:Q$38&lt;&gt;"")*(H$3:H$38=H38))+SUMPRODUCT((O$3:O$38&lt;&gt;"")*(H$3:H$38=H38))+SUMPRODUCT((Q$3:Q$38="")*(P$3:P$38="")*(O$3:O$38="")*(N$3:N$38="P")*(H$3:H$38=H38)*(K$3:K$38&gt;K38))+IF(I38="L5",SUMPRODUCT((Q$3:Q$38="")*(P$3:P$38="")*(O$3:O$38="")*(N$3:N$38="P")*(H$3:H$38=H38)*(K$3:K$38&lt;K38)*(I$3:I$38&lt;&gt;I38)),-1*SUMPRODUCT((Q$3:Q$38="")*(P$3:P$38="")*(O$3:O$38="")*(N$3:N$38="P")*(H$3:H$38=H38)*(K$3:K$38&gt;K38)*(I$3:I$38="L5")))+1,""))))</f>
        <v>1</v>
      </c>
      <c r="C38" s="36" t="s">
        <v>493</v>
      </c>
      <c r="D38" s="36" t="str">
        <f>IF(E38="","",VLOOKUP(E38,'Coaching Points'!A:B,2,0)&amp;"/"&amp;VLOOKUP(F38,'Coaching Points'!A:B,2,0))</f>
        <v>BC/BC</v>
      </c>
      <c r="E38" s="36" t="s">
        <v>59</v>
      </c>
      <c r="F38" s="36" t="s">
        <v>59</v>
      </c>
      <c r="G38" s="35">
        <v>2009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13-14</v>
      </c>
      <c r="I38" s="39" t="s">
        <v>116</v>
      </c>
      <c r="J38" s="45" t="s">
        <v>604</v>
      </c>
      <c r="K38" s="4">
        <f>S38+IF(OR(I38="Junior",I38="Senior"),0.0002,IF(OR(I38="L7",I38="L6"),0.0001,0))+MAX(AB38,AD38,AG38)*0.0000001</f>
        <v>43.250104325000002</v>
      </c>
      <c r="L38" s="3" t="str">
        <f>IF(H38="Not Age Eligible","",IF(MAX(U38,W38,Z38,AB38,AD38,AG38)&gt;=LOOKUP(H38,'Qualifying Scores'!$A$4:$A$7,'Qualifying Scores'!$E$4:$E$7),"P",""))</f>
        <v>P</v>
      </c>
      <c r="M38" s="3" t="str">
        <f>IF(H38="Not Age Eligible","",IF(MAX(V38,X38,AA38,AC38,AE38,AH38)&gt;=LOOKUP(H38,'Qualifying Scores'!$A$10:$A$13,'Qualifying Scores'!$E$10:$E$13),"P",""))</f>
        <v>P</v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>P</v>
      </c>
      <c r="R38" s="49">
        <f>IF(A38&lt;5,IF(_xlfn.MAXIFS(A:A,H:H,H38)&gt;3,5-A38,_xlfn.MAXIFS(A:A,H:H,H38)+1-A38),"")</f>
        <v>1</v>
      </c>
      <c r="S38" s="4">
        <f>IF(H38="Not Age Eligible",0,MAX(IF(OR(AND(H38="17-21",V38&gt;='Qualifying Scores'!E$13),AND(H38="15-16",V38&gt;='Qualifying Scores'!E$12),AND(H38="13-14",V38&gt;='Qualifying Scores'!E$11),AND(H38="11-12",V38&gt;='Qualifying Scores'!E$10)),U38,0),IF(OR(AND(H38="17-21",X38&gt;='Qualifying Scores'!E$13),AND(H38="15-16",X38&gt;='Qualifying Scores'!E$12),AND(H38="13-14",X38&gt;='Qualifying Scores'!E$11),AND(H38="11-12",X38&gt;='Qualifying Scores'!E$10)),W38,0),IF(OR(AND(H38="17-21",AA38&gt;='Qualifying Scores'!E$13),AND(H38="15-16",AA38&gt;='Qualifying Scores'!E$12),AND(H38="13-14",AA38&gt;='Qualifying Scores'!E$11),AND(H38="11-12",AA38&gt;='Qualifying Scores'!E$10)),Z38,0),IF(OR(AND(H38="17-21",AC38&gt;='Qualifying Scores'!E$13),AND(H38="15-16",AC38&gt;='Qualifying Scores'!E$12),AND(H38="13-14",AC38&gt;='Qualifying Scores'!E$11),AND(H38="11-12",AC38&gt;='Qualifying Scores'!E$10)),AB38,0),IF(OR(AND(H38="17-21",AE38&gt;='Qualifying Scores'!E$13),AND(H38="15-16",AE38&gt;='Qualifying Scores'!E$12),AND(H38="13-14",AE38&gt;='Qualifying Scores'!E$11),AND(H38="11-12",AE38&gt;='Qualifying Scores'!E$10)),AD38,0),IF(OR(AND(H38="17-21",AH38&gt;='Qualifying Scores'!E$13),AND(H38="15-16",AH38&gt;='Qualifying Scores'!E$12),AND(H38="13-14",AH38&gt;='Qualifying Scores'!E$11),AND(H38="11-12",AH38&gt;='Qualifying Scores'!E$10)),AG38,0)))</f>
        <v>43.25</v>
      </c>
      <c r="T38" s="4">
        <f>MAX(U38,W38,Z38,AB38,AD38,AG38)</f>
        <v>43.25</v>
      </c>
      <c r="U38" s="33"/>
      <c r="V38" s="40"/>
      <c r="W38" s="34"/>
      <c r="X38" s="40"/>
      <c r="Y38" s="4">
        <f>IF(I38="Senior",MAX(U38,W38),U38+W38)</f>
        <v>0</v>
      </c>
      <c r="Z38" s="34"/>
      <c r="AA38" s="40"/>
      <c r="AB38" s="33">
        <v>42.87</v>
      </c>
      <c r="AC38" s="40">
        <v>8.9</v>
      </c>
      <c r="AD38" s="34"/>
      <c r="AE38" s="40"/>
      <c r="AF38" s="4">
        <f>IF(I38="Senior",MAX(AB38,AD38),AB38+AD38)</f>
        <v>42.87</v>
      </c>
      <c r="AG38" s="34">
        <v>43.25</v>
      </c>
      <c r="AH38" s="37">
        <v>8.9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38">
      <sortCondition descending="1" ref="H1:H39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19" priority="5">
      <formula>IF($H1="17-21",1,0)</formula>
    </cfRule>
    <cfRule type="expression" dxfId="18" priority="6">
      <formula>IF($H1="15-16",1,0)</formula>
    </cfRule>
    <cfRule type="expression" dxfId="17" priority="7">
      <formula>IF($H1="13-14",1,0)</formula>
    </cfRule>
    <cfRule type="expression" dxfId="16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9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$78&lt;&gt;"")*(G$3:G$78=G3)*(J$3:J$78&gt;J3)*(I$3:I$78="P"))+1,IF(O3&lt;&gt;"",SUMPRODUCT((O$3:O$78&lt;&gt;"")*(P$3:P$78="")*(G$3:G$78=G3)*(J$3:J$78&gt;J3)*(I$3:I$78="P"))+SUMPRODUCT((P$3:P$78&lt;&gt;"")*(G$3:G$78=G3)*(I$3:I$78="P"))+1,IF(N3&lt;&gt;"",SUMPRODUCT((N$3:N$78&lt;&gt;"")*(G$3:G$78=G3)*(J$3:J$78&gt;J3)*(I$3:I$78="P"))+1,IF(M3="P",SUMPRODUCT((O$3:O$78&lt;&gt;"")*(P$3:P$78="")*(G$3:G$78=G3)*(I$3:I$78="P"))+SUMPRODUCT((P$3:P$78&lt;&gt;"")*(G$3:G$78=G3)*(I$3:I$78="P"))+SUMPRODUCT((N$3:N$78&lt;&gt;"")*(G$3:G$78=G3)*(I$3:I$78="P"))+SUMPRODUCT((P$3:P$78="")*(O$3:O$78="")*(N$3:N$78="")*(M$3:M$78="P")*(G$3:G$78=G3)*(J$3:J$78&gt;J3)*(I$3:I$78="P"))+IF(H3="L5",SUMPRODUCT((P$3:P$78="")*(O$3:O$78="")*(N$3:N$78="")*(M$3:M$78="P")*(G$3:G$78=G3)*(J$3:J$78&lt;J3)*(H$3:H$78&lt;&gt;H3)*(I$3:I$78="P")),-1*SUMPRODUCT((P$3:P$78="")*(O$3:O$78="")*(N$3:N$78="")*(M$3:M$78="P")*(G$3:G$78=G3)*(J$3:J$78&gt;J3)*(H$3:H$78="L5")*(I$3:I$78="P")))+1,"")))))</f>
        <v>1</v>
      </c>
      <c r="B3" s="1" cm="1">
        <f t="array" ref="B3">IF(P3&lt;&gt;"",SUMPRODUCT((P$3:P$78&lt;&gt;"")*(G$3:G$78=G3)*(J$3:J$78&gt;J3))+1,IF(O3&lt;&gt;"",SUMPRODUCT((O$3:O$78&lt;&gt;"")*(P$3:P$78="")*(G$3:G$78=G3)*(J$3:J$78&gt;J3))+SUMPRODUCT((P$3:P$78&lt;&gt;"")*(G$3:G$78=G3))+1,IF(N3&lt;&gt;"",SUMPRODUCT((N$3:N$78&lt;&gt;"")*(G$3:G$78=G3)*(J$3:J$78&gt;J3))+1,IF(M3="P",SUMPRODUCT((O$3:O$78&lt;&gt;"")*(P$3:P$78="")*(G$3:G$78=G3))+SUMPRODUCT((P$3:P$78&lt;&gt;"")*(G$3:G$78=G3))+SUMPRODUCT((N$3:N$78&lt;&gt;"")*(G$3:G$78=G3))+SUMPRODUCT((P$3:P$78="")*(O$3:O$78="")*(N$3:N$78="")*(M$3:M$78="P")*(G$3:G$78=G3)*(J$3:J$78&gt;J3))+IF(H3="L5",SUMPRODUCT((P$3:P$78="")*(O$3:O$78="")*(N$3:N$78="")*(M$3:M$78="P")*(G$3:G$78=G3)*(J$3:J$78&lt;J3)*(H$3:H$78&lt;&gt;H3)),-1*SUMPRODUCT((P$3:P$78="")*(O$3:O$78="")*(N$3:N$78="")*(M$3:M$78="P")*(G$3:G$78=G3)*(J$3:J$78&gt;J3)*(H$3:H$78="L5")))+1,""))))</f>
        <v>4</v>
      </c>
      <c r="C3" s="36" t="s">
        <v>148</v>
      </c>
      <c r="D3" s="36" t="str">
        <f>IF(E3="","",VLOOKUP(E3,'Coaching Points'!A:B,2,0))</f>
        <v>AB</v>
      </c>
      <c r="E3" s="36" t="s">
        <v>29</v>
      </c>
      <c r="F3" s="35">
        <v>2004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51.300205130000002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3</v>
      </c>
      <c r="P3" s="39">
        <v>4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Scores'!F$13),AND(G3="15-16",U3&gt;='Qualifying Scores'!F$12),AND(G3="13-14",U3&gt;='Qualifying Scores'!F$11),AND(G3="11-12",U3&gt;='Qualifying Scores'!F$10)),T3,0),IF(OR(AND(G3="17-21",W3&gt;='Qualifying Scores'!F$13),AND(G3="15-16",W3&gt;='Qualifying Scores'!F$12),AND(G3="13-14",W3&gt;='Qualifying Scores'!F$11),AND(G3="11-12",W3&gt;='Qualifying Scores'!F$10)),V3,0),IF(OR(AND(G3="17-21",Y3&gt;='Qualifying Scores'!F$13),AND(G3="15-16",Y3&gt;='Qualifying Scores'!F$12),AND(G3="13-14",Y3&gt;='Qualifying Scores'!F$11),AND(G3="11-12",Y3&gt;='Qualifying Scores'!F$10)),X3,0),IF(OR(AND(G3="17-21",AA3&gt;='Qualifying Scores'!F$13),AND(G3="15-16",AA3&gt;='Qualifying Scores'!F$12),AND(G3="13-14",AA3&gt;='Qualifying Scores'!F$11),AND(G3="11-12",AA3&gt;='Qualifying Scores'!F$10)),Z3,0)))</f>
        <v>51.300000000000004</v>
      </c>
      <c r="S3" s="4">
        <f>MAX(T3,V3,X3,Z3)</f>
        <v>51.300000000000004</v>
      </c>
      <c r="T3" s="33">
        <v>48.8</v>
      </c>
      <c r="U3" s="40">
        <v>12.4</v>
      </c>
      <c r="V3" s="34">
        <v>49.8</v>
      </c>
      <c r="W3" s="40">
        <v>13.200000000000001</v>
      </c>
      <c r="X3" s="33">
        <v>50.8</v>
      </c>
      <c r="Y3" s="40">
        <v>13.2</v>
      </c>
      <c r="Z3" s="34">
        <v>51.300000000000004</v>
      </c>
      <c r="AA3" s="37">
        <v>14.4</v>
      </c>
    </row>
    <row r="4" spans="1:27" x14ac:dyDescent="0.2">
      <c r="A4" s="1" cm="1">
        <f t="array" ref="A4">IF(I4="","",IF(P4&lt;&gt;"",SUMPRODUCT((P$3:P$78&lt;&gt;"")*(G$3:G$78=G4)*(J$3:J$78&gt;J4)*(I$3:I$78="P"))+1,IF(O4&lt;&gt;"",SUMPRODUCT((O$3:O$78&lt;&gt;"")*(P$3:P$78="")*(G$3:G$78=G4)*(J$3:J$78&gt;J4)*(I$3:I$78="P"))+SUMPRODUCT((P$3:P$78&lt;&gt;"")*(G$3:G$78=G4)*(I$3:I$78="P"))+1,IF(N4&lt;&gt;"",SUMPRODUCT((N$3:N$78&lt;&gt;"")*(G$3:G$78=G4)*(J$3:J$78&gt;J4)*(I$3:I$78="P"))+1,IF(M4="P",SUMPRODUCT((O$3:O$78&lt;&gt;"")*(P$3:P$78="")*(G$3:G$78=G4)*(I$3:I$78="P"))+SUMPRODUCT((P$3:P$78&lt;&gt;"")*(G$3:G$78=G4)*(I$3:I$78="P"))+SUMPRODUCT((N$3:N$78&lt;&gt;"")*(G$3:G$78=G4)*(I$3:I$78="P"))+SUMPRODUCT((P$3:P$78="")*(O$3:O$78="")*(N$3:N$78="")*(M$3:M$78="P")*(G$3:G$78=G4)*(J$3:J$78&gt;J4)*(I$3:I$78="P"))+IF(H4="L5",SUMPRODUCT((P$3:P$78="")*(O$3:O$78="")*(N$3:N$78="")*(M$3:M$78="P")*(G$3:G$78=G4)*(J$3:J$78&lt;J4)*(H$3:H$78&lt;&gt;H4)*(I$3:I$78="P")),-1*SUMPRODUCT((P$3:P$78="")*(O$3:O$78="")*(N$3:N$78="")*(M$3:M$78="P")*(G$3:G$78=G4)*(J$3:J$78&gt;J4)*(H$3:H$78="L5")*(I$3:I$78="P")))+1,"")))))</f>
        <v>2</v>
      </c>
      <c r="B4" s="1" cm="1">
        <f t="array" ref="B4">IF(P4&lt;&gt;"",SUMPRODUCT((P$3:P$78&lt;&gt;"")*(G$3:G$78=G4)*(J$3:J$78&gt;J4))+1,IF(O4&lt;&gt;"",SUMPRODUCT((O$3:O$78&lt;&gt;"")*(P$3:P$78="")*(G$3:G$78=G4)*(J$3:J$78&gt;J4))+SUMPRODUCT((P$3:P$78&lt;&gt;"")*(G$3:G$78=G4))+1,IF(N4&lt;&gt;"",SUMPRODUCT((N$3:N$78&lt;&gt;"")*(G$3:G$78=G4)*(J$3:J$78&gt;J4))+1,IF(M4="P",SUMPRODUCT((O$3:O$78&lt;&gt;"")*(P$3:P$78="")*(G$3:G$78=G4))+SUMPRODUCT((P$3:P$78&lt;&gt;"")*(G$3:G$78=G4))+SUMPRODUCT((N$3:N$78&lt;&gt;"")*(G$3:G$78=G4))+SUMPRODUCT((P$3:P$78="")*(O$3:O$78="")*(N$3:N$78="")*(M$3:M$78="P")*(G$3:G$78=G4)*(J$3:J$78&gt;J4))+IF(H4="L5",SUMPRODUCT((P$3:P$78="")*(O$3:O$78="")*(N$3:N$78="")*(M$3:M$78="P")*(G$3:G$78=G4)*(J$3:J$78&lt;J4)*(H$3:H$78&lt;&gt;H4)),-1*SUMPRODUCT((P$3:P$78="")*(O$3:O$78="")*(N$3:N$78="")*(M$3:M$78="P")*(G$3:G$78=G4)*(J$3:J$78&gt;J4)*(H$3:H$78="L5")))+1,""))))</f>
        <v>6</v>
      </c>
      <c r="C4" s="36" t="s">
        <v>407</v>
      </c>
      <c r="D4" s="36" t="str">
        <f>IF(E4="","",VLOOKUP(E4,'Coaching Points'!A:B,2,0))</f>
        <v>BC</v>
      </c>
      <c r="E4" s="36" t="s">
        <v>143</v>
      </c>
      <c r="F4" s="35">
        <v>2001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47.500204749999995</v>
      </c>
      <c r="K4" s="3" t="str">
        <f>IF(G4="Not Age Eligible","",IF(MAX(T4,V4,X4,Z4)&gt;=LOOKUP(G4,'Qualifying Scores'!$A$4:$A$7,'Qualifying Scores'!$F$4:$F$7),"P",""))</f>
        <v/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/>
      </c>
      <c r="P4" s="39">
        <v>7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Scores'!F$13),AND(G4="15-16",U4&gt;='Qualifying Scores'!F$12),AND(G4="13-14",U4&gt;='Qualifying Scores'!F$11),AND(G4="11-12",U4&gt;='Qualifying Scores'!F$10)),T4,0),IF(OR(AND(G4="17-21",W4&gt;='Qualifying Scores'!F$13),AND(G4="15-16",W4&gt;='Qualifying Scores'!F$12),AND(G4="13-14",W4&gt;='Qualifying Scores'!F$11),AND(G4="11-12",W4&gt;='Qualifying Scores'!F$10)),V4,0),IF(OR(AND(G4="17-21",Y4&gt;='Qualifying Scores'!F$13),AND(G4="15-16",Y4&gt;='Qualifying Scores'!F$12),AND(G4="13-14",Y4&gt;='Qualifying Scores'!F$11),AND(G4="11-12",Y4&gt;='Qualifying Scores'!F$10)),X4,0),IF(OR(AND(G4="17-21",AA4&gt;='Qualifying Scores'!F$13),AND(G4="15-16",AA4&gt;='Qualifying Scores'!F$12),AND(G4="13-14",AA4&gt;='Qualifying Scores'!F$11),AND(G4="11-12",AA4&gt;='Qualifying Scores'!F$10)),Z4,0)))</f>
        <v>47.499999999999993</v>
      </c>
      <c r="S4" s="4">
        <f>MAX(T4,V4,X4,Z4)</f>
        <v>47.499999999999993</v>
      </c>
      <c r="T4" s="33"/>
      <c r="U4" s="40"/>
      <c r="V4" s="34"/>
      <c r="W4" s="40"/>
      <c r="X4" s="33">
        <v>47.499999999999993</v>
      </c>
      <c r="Y4" s="40">
        <v>12.100000000000001</v>
      </c>
      <c r="Z4" s="34">
        <v>39.500000000000007</v>
      </c>
      <c r="AA4" s="37">
        <v>7.1999999999999993</v>
      </c>
    </row>
    <row r="5" spans="1:27" x14ac:dyDescent="0.2">
      <c r="A5" s="1" cm="1">
        <f t="array" ref="A5">IF(I5="","",IF(P5&lt;&gt;"",SUMPRODUCT((P$3:P$78&lt;&gt;"")*(G$3:G$78=G5)*(J$3:J$78&gt;J5)*(I$3:I$78="P"))+1,IF(O5&lt;&gt;"",SUMPRODUCT((O$3:O$78&lt;&gt;"")*(P$3:P$78="")*(G$3:G$78=G5)*(J$3:J$78&gt;J5)*(I$3:I$78="P"))+SUMPRODUCT((P$3:P$78&lt;&gt;"")*(G$3:G$78=G5)*(I$3:I$78="P"))+1,IF(N5&lt;&gt;"",SUMPRODUCT((N$3:N$78&lt;&gt;"")*(G$3:G$78=G5)*(J$3:J$78&gt;J5)*(I$3:I$78="P"))+1,IF(M5="P",SUMPRODUCT((O$3:O$78&lt;&gt;"")*(P$3:P$78="")*(G$3:G$78=G5)*(I$3:I$78="P"))+SUMPRODUCT((P$3:P$78&lt;&gt;"")*(G$3:G$78=G5)*(I$3:I$78="P"))+SUMPRODUCT((N$3:N$78&lt;&gt;"")*(G$3:G$78=G5)*(I$3:I$78="P"))+SUMPRODUCT((P$3:P$78="")*(O$3:O$78="")*(N$3:N$78="")*(M$3:M$78="P")*(G$3:G$78=G5)*(J$3:J$78&gt;J5)*(I$3:I$78="P"))+IF(H5="L5",SUMPRODUCT((P$3:P$78="")*(O$3:O$78="")*(N$3:N$78="")*(M$3:M$78="P")*(G$3:G$78=G5)*(J$3:J$78&lt;J5)*(H$3:H$78&lt;&gt;H5)*(I$3:I$78="P")),-1*SUMPRODUCT((P$3:P$78="")*(O$3:O$78="")*(N$3:N$78="")*(M$3:M$78="P")*(G$3:G$78=G5)*(J$3:J$78&gt;J5)*(H$3:H$78="L5")*(I$3:I$78="P")))+1,"")))))</f>
        <v>3</v>
      </c>
      <c r="B5" s="1" cm="1">
        <f t="array" ref="B5">IF(P5&lt;&gt;"",SUMPRODUCT((P$3:P$78&lt;&gt;"")*(G$3:G$78=G5)*(J$3:J$78&gt;J5))+1,IF(O5&lt;&gt;"",SUMPRODUCT((O$3:O$78&lt;&gt;"")*(P$3:P$78="")*(G$3:G$78=G5)*(J$3:J$78&gt;J5))+SUMPRODUCT((P$3:P$78&lt;&gt;"")*(G$3:G$78=G5))+1,IF(N5&lt;&gt;"",SUMPRODUCT((N$3:N$78&lt;&gt;"")*(G$3:G$78=G5)*(J$3:J$78&gt;J5))+1,IF(M5="P",SUMPRODUCT((O$3:O$78&lt;&gt;"")*(P$3:P$78="")*(G$3:G$78=G5))+SUMPRODUCT((P$3:P$78&lt;&gt;"")*(G$3:G$78=G5))+SUMPRODUCT((N$3:N$78&lt;&gt;"")*(G$3:G$78=G5))+SUMPRODUCT((P$3:P$78="")*(O$3:O$78="")*(N$3:N$78="")*(M$3:M$78="P")*(G$3:G$78=G5)*(J$3:J$78&gt;J5))+IF(H5="L5",SUMPRODUCT((P$3:P$78="")*(O$3:O$78="")*(N$3:N$78="")*(M$3:M$78="P")*(G$3:G$78=G5)*(J$3:J$78&lt;J5)*(H$3:H$78&lt;&gt;H5)),-1*SUMPRODUCT((P$3:P$78="")*(O$3:O$78="")*(N$3:N$78="")*(M$3:M$78="P")*(G$3:G$78=G5)*(J$3:J$78&gt;J5)*(H$3:H$78="L5")))+1,""))))</f>
        <v>8</v>
      </c>
      <c r="C5" s="36" t="s">
        <v>165</v>
      </c>
      <c r="D5" s="36" t="str">
        <f>IF(E5="","",VLOOKUP(E5,'Coaching Points'!A:B,2,0))</f>
        <v>AB</v>
      </c>
      <c r="E5" s="36" t="s">
        <v>91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50.900205060000005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Scores'!F$13),AND(G5="15-16",U5&gt;='Qualifying Scores'!F$12),AND(G5="13-14",U5&gt;='Qualifying Scores'!F$11),AND(G5="11-12",U5&gt;='Qualifying Scores'!F$10)),T5,0),IF(OR(AND(G5="17-21",W5&gt;='Qualifying Scores'!F$13),AND(G5="15-16",W5&gt;='Qualifying Scores'!F$12),AND(G5="13-14",W5&gt;='Qualifying Scores'!F$11),AND(G5="11-12",W5&gt;='Qualifying Scores'!F$10)),V5,0),IF(OR(AND(G5="17-21",Y5&gt;='Qualifying Scores'!F$13),AND(G5="15-16",Y5&gt;='Qualifying Scores'!F$12),AND(G5="13-14",Y5&gt;='Qualifying Scores'!F$11),AND(G5="11-12",Y5&gt;='Qualifying Scores'!F$10)),X5,0),IF(OR(AND(G5="17-21",AA5&gt;='Qualifying Scores'!F$13),AND(G5="15-16",AA5&gt;='Qualifying Scores'!F$12),AND(G5="13-14",AA5&gt;='Qualifying Scores'!F$11),AND(G5="11-12",AA5&gt;='Qualifying Scores'!F$10)),Z5,0)))</f>
        <v>50.900000000000006</v>
      </c>
      <c r="S5" s="4">
        <f>MAX(T5,V5,X5,Z5)</f>
        <v>50.900000000000006</v>
      </c>
      <c r="T5" s="33">
        <v>50.900000000000006</v>
      </c>
      <c r="U5" s="40">
        <v>14</v>
      </c>
      <c r="V5" s="34">
        <v>25</v>
      </c>
      <c r="W5" s="40">
        <v>6.8000000000000007</v>
      </c>
      <c r="X5" s="33">
        <v>50.599999999999994</v>
      </c>
      <c r="Y5" s="40">
        <v>14.5</v>
      </c>
      <c r="Z5" s="34"/>
      <c r="AA5" s="37"/>
    </row>
    <row r="6" spans="1:27" x14ac:dyDescent="0.2">
      <c r="A6" s="1" cm="1">
        <f t="array" ref="A6">IF(I6="","",IF(P6&lt;&gt;"",SUMPRODUCT((P$3:P$78&lt;&gt;"")*(G$3:G$78=G6)*(J$3:J$78&gt;J6)*(I$3:I$78="P"))+1,IF(O6&lt;&gt;"",SUMPRODUCT((O$3:O$78&lt;&gt;"")*(P$3:P$78="")*(G$3:G$78=G6)*(J$3:J$78&gt;J6)*(I$3:I$78="P"))+SUMPRODUCT((P$3:P$78&lt;&gt;"")*(G$3:G$78=G6)*(I$3:I$78="P"))+1,IF(N6&lt;&gt;"",SUMPRODUCT((N$3:N$78&lt;&gt;"")*(G$3:G$78=G6)*(J$3:J$78&gt;J6)*(I$3:I$78="P"))+1,IF(M6="P",SUMPRODUCT((O$3:O$78&lt;&gt;"")*(P$3:P$78="")*(G$3:G$78=G6)*(I$3:I$78="P"))+SUMPRODUCT((P$3:P$78&lt;&gt;"")*(G$3:G$78=G6)*(I$3:I$78="P"))+SUMPRODUCT((N$3:N$78&lt;&gt;"")*(G$3:G$78=G6)*(I$3:I$78="P"))+SUMPRODUCT((P$3:P$78="")*(O$3:O$78="")*(N$3:N$78="")*(M$3:M$78="P")*(G$3:G$78=G6)*(J$3:J$78&gt;J6)*(I$3:I$78="P"))+IF(H6="L5",SUMPRODUCT((P$3:P$78="")*(O$3:O$78="")*(N$3:N$78="")*(M$3:M$78="P")*(G$3:G$78=G6)*(J$3:J$78&lt;J6)*(H$3:H$78&lt;&gt;H6)*(I$3:I$78="P")),-1*SUMPRODUCT((P$3:P$78="")*(O$3:O$78="")*(N$3:N$78="")*(M$3:M$78="P")*(G$3:G$78=G6)*(J$3:J$78&gt;J6)*(H$3:H$78="L5")*(I$3:I$78="P")))+1,"")))))</f>
        <v>4</v>
      </c>
      <c r="B6" s="1" cm="1">
        <f t="array" ref="B6">IF(P6&lt;&gt;"",SUMPRODUCT((P$3:P$78&lt;&gt;"")*(G$3:G$78=G6)*(J$3:J$78&gt;J6))+1,IF(O6&lt;&gt;"",SUMPRODUCT((O$3:O$78&lt;&gt;"")*(P$3:P$78="")*(G$3:G$78=G6)*(J$3:J$78&gt;J6))+SUMPRODUCT((P$3:P$78&lt;&gt;"")*(G$3:G$78=G6))+1,IF(N6&lt;&gt;"",SUMPRODUCT((N$3:N$78&lt;&gt;"")*(G$3:G$78=G6)*(J$3:J$78&gt;J6))+1,IF(M6="P",SUMPRODUCT((O$3:O$78&lt;&gt;"")*(P$3:P$78="")*(G$3:G$78=G6))+SUMPRODUCT((P$3:P$78&lt;&gt;"")*(G$3:G$78=G6))+SUMPRODUCT((N$3:N$78&lt;&gt;"")*(G$3:G$78=G6))+SUMPRODUCT((P$3:P$78="")*(O$3:O$78="")*(N$3:N$78="")*(M$3:M$78="P")*(G$3:G$78=G6)*(J$3:J$78&gt;J6))+IF(H6="L5",SUMPRODUCT((P$3:P$78="")*(O$3:O$78="")*(N$3:N$78="")*(M$3:M$78="P")*(G$3:G$78=G6)*(J$3:J$78&lt;J6)*(H$3:H$78&lt;&gt;H6)),-1*SUMPRODUCT((P$3:P$78="")*(O$3:O$78="")*(N$3:N$78="")*(M$3:M$78="P")*(G$3:G$78=G6)*(J$3:J$78&gt;J6)*(H$3:H$78="L5")))+1,""))))</f>
        <v>9</v>
      </c>
      <c r="C6" s="36" t="s">
        <v>151</v>
      </c>
      <c r="D6" s="36" t="str">
        <f>IF(E6="","",VLOOKUP(E6,'Coaching Points'!A:B,2,0))</f>
        <v>NB</v>
      </c>
      <c r="E6" s="36" t="s">
        <v>49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50.700205070000003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Scores'!F$13),AND(G6="15-16",U6&gt;='Qualifying Scores'!F$12),AND(G6="13-14",U6&gt;='Qualifying Scores'!F$11),AND(G6="11-12",U6&gt;='Qualifying Scores'!F$10)),T6,0),IF(OR(AND(G6="17-21",W6&gt;='Qualifying Scores'!F$13),AND(G6="15-16",W6&gt;='Qualifying Scores'!F$12),AND(G6="13-14",W6&gt;='Qualifying Scores'!F$11),AND(G6="11-12",W6&gt;='Qualifying Scores'!F$10)),V6,0),IF(OR(AND(G6="17-21",Y6&gt;='Qualifying Scores'!F$13),AND(G6="15-16",Y6&gt;='Qualifying Scores'!F$12),AND(G6="13-14",Y6&gt;='Qualifying Scores'!F$11),AND(G6="11-12",Y6&gt;='Qualifying Scores'!F$10)),X6,0),IF(OR(AND(G6="17-21",AA6&gt;='Qualifying Scores'!F$13),AND(G6="15-16",AA6&gt;='Qualifying Scores'!F$12),AND(G6="13-14",AA6&gt;='Qualifying Scores'!F$11),AND(G6="11-12",AA6&gt;='Qualifying Scores'!F$10)),Z6,0)))</f>
        <v>50.7</v>
      </c>
      <c r="S6" s="4">
        <f>MAX(T6,V6,X6,Z6)</f>
        <v>50.7</v>
      </c>
      <c r="T6" s="33">
        <v>43</v>
      </c>
      <c r="U6" s="40">
        <v>8</v>
      </c>
      <c r="V6" s="34">
        <v>48.7</v>
      </c>
      <c r="W6" s="40">
        <v>12.8</v>
      </c>
      <c r="X6" s="33">
        <v>50.7</v>
      </c>
      <c r="Y6" s="40">
        <v>13.2</v>
      </c>
      <c r="Z6" s="34">
        <v>21.5</v>
      </c>
      <c r="AA6" s="37">
        <v>6</v>
      </c>
    </row>
    <row r="7" spans="1:27" x14ac:dyDescent="0.2">
      <c r="A7" s="1" cm="1">
        <f t="array" ref="A7">IF(I7="","",IF(P7&lt;&gt;"",SUMPRODUCT((P$3:P$78&lt;&gt;"")*(G$3:G$78=G7)*(J$3:J$78&gt;J7)*(I$3:I$78="P"))+1,IF(O7&lt;&gt;"",SUMPRODUCT((O$3:O$78&lt;&gt;"")*(P$3:P$78="")*(G$3:G$78=G7)*(J$3:J$78&gt;J7)*(I$3:I$78="P"))+SUMPRODUCT((P$3:P$78&lt;&gt;"")*(G$3:G$78=G7)*(I$3:I$78="P"))+1,IF(N7&lt;&gt;"",SUMPRODUCT((N$3:N$78&lt;&gt;"")*(G$3:G$78=G7)*(J$3:J$78&gt;J7)*(I$3:I$78="P"))+1,IF(M7="P",SUMPRODUCT((O$3:O$78&lt;&gt;"")*(P$3:P$78="")*(G$3:G$78=G7)*(I$3:I$78="P"))+SUMPRODUCT((P$3:P$78&lt;&gt;"")*(G$3:G$78=G7)*(I$3:I$78="P"))+SUMPRODUCT((N$3:N$78&lt;&gt;"")*(G$3:G$78=G7)*(I$3:I$78="P"))+SUMPRODUCT((P$3:P$78="")*(O$3:O$78="")*(N$3:N$78="")*(M$3:M$78="P")*(G$3:G$78=G7)*(J$3:J$78&gt;J7)*(I$3:I$78="P"))+IF(H7="L5",SUMPRODUCT((P$3:P$78="")*(O$3:O$78="")*(N$3:N$78="")*(M$3:M$78="P")*(G$3:G$78=G7)*(J$3:J$78&lt;J7)*(H$3:H$78&lt;&gt;H7)*(I$3:I$78="P")),-1*SUMPRODUCT((P$3:P$78="")*(O$3:O$78="")*(N$3:N$78="")*(M$3:M$78="P")*(G$3:G$78=G7)*(J$3:J$78&gt;J7)*(H$3:H$78="L5")*(I$3:I$78="P")))+1,"")))))</f>
        <v>5</v>
      </c>
      <c r="B7" s="1" cm="1">
        <f t="array" ref="B7">IF(P7&lt;&gt;"",SUMPRODUCT((P$3:P$78&lt;&gt;"")*(G$3:G$78=G7)*(J$3:J$78&gt;J7))+1,IF(O7&lt;&gt;"",SUMPRODUCT((O$3:O$78&lt;&gt;"")*(P$3:P$78="")*(G$3:G$78=G7)*(J$3:J$78&gt;J7))+SUMPRODUCT((P$3:P$78&lt;&gt;"")*(G$3:G$78=G7))+1,IF(N7&lt;&gt;"",SUMPRODUCT((N$3:N$78&lt;&gt;"")*(G$3:G$78=G7)*(J$3:J$78&gt;J7))+1,IF(M7="P",SUMPRODUCT((O$3:O$78&lt;&gt;"")*(P$3:P$78="")*(G$3:G$78=G7))+SUMPRODUCT((P$3:P$78&lt;&gt;"")*(G$3:G$78=G7))+SUMPRODUCT((N$3:N$78&lt;&gt;"")*(G$3:G$78=G7))+SUMPRODUCT((P$3:P$78="")*(O$3:O$78="")*(N$3:N$78="")*(M$3:M$78="P")*(G$3:G$78=G7)*(J$3:J$78&gt;J7))+IF(H7="L5",SUMPRODUCT((P$3:P$78="")*(O$3:O$78="")*(N$3:N$78="")*(M$3:M$78="P")*(G$3:G$78=G7)*(J$3:J$78&lt;J7)*(H$3:H$78&lt;&gt;H7)),-1*SUMPRODUCT((P$3:P$78="")*(O$3:O$78="")*(N$3:N$78="")*(M$3:M$78="P")*(G$3:G$78=G7)*(J$3:J$78&gt;J7)*(H$3:H$78="L5")))+1,""))))</f>
        <v>10</v>
      </c>
      <c r="C7" s="36" t="s">
        <v>147</v>
      </c>
      <c r="D7" s="36" t="str">
        <f>IF(E7="","",VLOOKUP(E7,'Coaching Points'!A:B,2,0))</f>
        <v>MB</v>
      </c>
      <c r="E7" s="36" t="s">
        <v>129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R7+IF(OR(H7="Junior",H7="Senior"),0.0002,IF(OR(H7="L7",H7="L6"),0.0001,0))+MAX(X7,Z7)*0.0000001</f>
        <v>50.30020502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Scores'!F$13),AND(G7="15-16",U7&gt;='Qualifying Scores'!F$12),AND(G7="13-14",U7&gt;='Qualifying Scores'!F$11),AND(G7="11-12",U7&gt;='Qualifying Scores'!F$10)),T7,0),IF(OR(AND(G7="17-21",W7&gt;='Qualifying Scores'!F$13),AND(G7="15-16",W7&gt;='Qualifying Scores'!F$12),AND(G7="13-14",W7&gt;='Qualifying Scores'!F$11),AND(G7="11-12",W7&gt;='Qualifying Scores'!F$10)),V7,0),IF(OR(AND(G7="17-21",Y7&gt;='Qualifying Scores'!F$13),AND(G7="15-16",Y7&gt;='Qualifying Scores'!F$12),AND(G7="13-14",Y7&gt;='Qualifying Scores'!F$11),AND(G7="11-12",Y7&gt;='Qualifying Scores'!F$10)),X7,0),IF(OR(AND(G7="17-21",AA7&gt;='Qualifying Scores'!F$13),AND(G7="15-16",AA7&gt;='Qualifying Scores'!F$12),AND(G7="13-14",AA7&gt;='Qualifying Scores'!F$11),AND(G7="11-12",AA7&gt;='Qualifying Scores'!F$10)),Z7,0)))</f>
        <v>50.3</v>
      </c>
      <c r="S7" s="4">
        <f>MAX(T7,V7,X7,Z7)</f>
        <v>50.3</v>
      </c>
      <c r="T7" s="33">
        <v>49.400000000000006</v>
      </c>
      <c r="U7" s="40">
        <v>12.4</v>
      </c>
      <c r="V7" s="34">
        <v>50.3</v>
      </c>
      <c r="W7" s="40">
        <v>12.4</v>
      </c>
      <c r="X7" s="33">
        <v>50.2</v>
      </c>
      <c r="Y7" s="40">
        <v>14</v>
      </c>
      <c r="Z7" s="34"/>
      <c r="AA7" s="37"/>
    </row>
    <row r="8" spans="1:27" x14ac:dyDescent="0.2">
      <c r="A8" s="1" cm="1">
        <f t="array" ref="A8">IF(I8="","",IF(P8&lt;&gt;"",SUMPRODUCT((P$3:P$78&lt;&gt;"")*(G$3:G$78=G8)*(J$3:J$78&gt;J8)*(I$3:I$78="P"))+1,IF(O8&lt;&gt;"",SUMPRODUCT((O$3:O$78&lt;&gt;"")*(P$3:P$78="")*(G$3:G$78=G8)*(J$3:J$78&gt;J8)*(I$3:I$78="P"))+SUMPRODUCT((P$3:P$78&lt;&gt;"")*(G$3:G$78=G8)*(I$3:I$78="P"))+1,IF(N8&lt;&gt;"",SUMPRODUCT((N$3:N$78&lt;&gt;"")*(G$3:G$78=G8)*(J$3:J$78&gt;J8)*(I$3:I$78="P"))+1,IF(M8="P",SUMPRODUCT((O$3:O$78&lt;&gt;"")*(P$3:P$78="")*(G$3:G$78=G8)*(I$3:I$78="P"))+SUMPRODUCT((P$3:P$78&lt;&gt;"")*(G$3:G$78=G8)*(I$3:I$78="P"))+SUMPRODUCT((N$3:N$78&lt;&gt;"")*(G$3:G$78=G8)*(I$3:I$78="P"))+SUMPRODUCT((P$3:P$78="")*(O$3:O$78="")*(N$3:N$78="")*(M$3:M$78="P")*(G$3:G$78=G8)*(J$3:J$78&gt;J8)*(I$3:I$78="P"))+IF(H8="L5",SUMPRODUCT((P$3:P$78="")*(O$3:O$78="")*(N$3:N$78="")*(M$3:M$78="P")*(G$3:G$78=G8)*(J$3:J$78&lt;J8)*(H$3:H$78&lt;&gt;H8)*(I$3:I$78="P")),-1*SUMPRODUCT((P$3:P$78="")*(O$3:O$78="")*(N$3:N$78="")*(M$3:M$78="P")*(G$3:G$78=G8)*(J$3:J$78&gt;J8)*(H$3:H$78="L5")*(I$3:I$78="P")))+1,"")))))</f>
        <v>6</v>
      </c>
      <c r="B8" s="1" cm="1">
        <f t="array" ref="B8">IF(P8&lt;&gt;"",SUMPRODUCT((P$3:P$78&lt;&gt;"")*(G$3:G$78=G8)*(J$3:J$78&gt;J8))+1,IF(O8&lt;&gt;"",SUMPRODUCT((O$3:O$78&lt;&gt;"")*(P$3:P$78="")*(G$3:G$78=G8)*(J$3:J$78&gt;J8))+SUMPRODUCT((P$3:P$78&lt;&gt;"")*(G$3:G$78=G8))+1,IF(N8&lt;&gt;"",SUMPRODUCT((N$3:N$78&lt;&gt;"")*(G$3:G$78=G8)*(J$3:J$78&gt;J8))+1,IF(M8="P",SUMPRODUCT((O$3:O$78&lt;&gt;"")*(P$3:P$78="")*(G$3:G$78=G8))+SUMPRODUCT((P$3:P$78&lt;&gt;"")*(G$3:G$78=G8))+SUMPRODUCT((N$3:N$78&lt;&gt;"")*(G$3:G$78=G8))+SUMPRODUCT((P$3:P$78="")*(O$3:O$78="")*(N$3:N$78="")*(M$3:M$78="P")*(G$3:G$78=G8)*(J$3:J$78&gt;J8))+IF(H8="L5",SUMPRODUCT((P$3:P$78="")*(O$3:O$78="")*(N$3:N$78="")*(M$3:M$78="P")*(G$3:G$78=G8)*(J$3:J$78&lt;J8)*(H$3:H$78&lt;&gt;H8)),-1*SUMPRODUCT((P$3:P$78="")*(O$3:O$78="")*(N$3:N$78="")*(M$3:M$78="P")*(G$3:G$78=G8)*(J$3:J$78&gt;J8)*(H$3:H$78="L5")))+1,""))))</f>
        <v>15</v>
      </c>
      <c r="C8" s="36" t="s">
        <v>156</v>
      </c>
      <c r="D8" s="36" t="str">
        <f>IF(E8="","",VLOOKUP(E8,'Coaching Points'!A:B,2,0))</f>
        <v>BC</v>
      </c>
      <c r="E8" s="36" t="s">
        <v>42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117</v>
      </c>
      <c r="I8" s="45" t="s">
        <v>604</v>
      </c>
      <c r="J8" s="4">
        <f>R8+IF(OR(H8="Junior",H8="Senior"),0.0002,IF(OR(H8="L7",H8="L6"),0.0001,0))+MAX(X8,Z8)*0.0000001</f>
        <v>49.000104900000004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Scores'!F$13),AND(G8="15-16",U8&gt;='Qualifying Scores'!F$12),AND(G8="13-14",U8&gt;='Qualifying Scores'!F$11),AND(G8="11-12",U8&gt;='Qualifying Scores'!F$10)),T8,0),IF(OR(AND(G8="17-21",W8&gt;='Qualifying Scores'!F$13),AND(G8="15-16",W8&gt;='Qualifying Scores'!F$12),AND(G8="13-14",W8&gt;='Qualifying Scores'!F$11),AND(G8="11-12",W8&gt;='Qualifying Scores'!F$10)),V8,0),IF(OR(AND(G8="17-21",Y8&gt;='Qualifying Scores'!F$13),AND(G8="15-16",Y8&gt;='Qualifying Scores'!F$12),AND(G8="13-14",Y8&gt;='Qualifying Scores'!F$11),AND(G8="11-12",Y8&gt;='Qualifying Scores'!F$10)),X8,0),IF(OR(AND(G8="17-21",AA8&gt;='Qualifying Scores'!F$13),AND(G8="15-16",AA8&gt;='Qualifying Scores'!F$12),AND(G8="13-14",AA8&gt;='Qualifying Scores'!F$11),AND(G8="11-12",AA8&gt;='Qualifying Scores'!F$10)),Z8,0)))</f>
        <v>49</v>
      </c>
      <c r="S8" s="4">
        <f>MAX(T8,V8,X8,Z8)</f>
        <v>49</v>
      </c>
      <c r="T8" s="33">
        <v>38.6</v>
      </c>
      <c r="U8" s="40">
        <v>4.4000000000000004</v>
      </c>
      <c r="V8" s="34">
        <v>0</v>
      </c>
      <c r="W8" s="40">
        <v>0</v>
      </c>
      <c r="X8" s="33">
        <v>49</v>
      </c>
      <c r="Y8" s="40">
        <v>11.6</v>
      </c>
      <c r="Z8" s="34">
        <v>46.7</v>
      </c>
      <c r="AA8" s="37">
        <v>11.2</v>
      </c>
    </row>
    <row r="9" spans="1:27" x14ac:dyDescent="0.2">
      <c r="A9" s="1" cm="1">
        <f t="array" ref="A9">IF(I9="","",IF(P9&lt;&gt;"",SUMPRODUCT((P$3:P$78&lt;&gt;"")*(G$3:G$78=G9)*(J$3:J$78&gt;J9)*(I$3:I$78="P"))+1,IF(O9&lt;&gt;"",SUMPRODUCT((O$3:O$78&lt;&gt;"")*(P$3:P$78="")*(G$3:G$78=G9)*(J$3:J$78&gt;J9)*(I$3:I$78="P"))+SUMPRODUCT((P$3:P$78&lt;&gt;"")*(G$3:G$78=G9)*(I$3:I$78="P"))+1,IF(N9&lt;&gt;"",SUMPRODUCT((N$3:N$78&lt;&gt;"")*(G$3:G$78=G9)*(J$3:J$78&gt;J9)*(I$3:I$78="P"))+1,IF(M9="P",SUMPRODUCT((O$3:O$78&lt;&gt;"")*(P$3:P$78="")*(G$3:G$78=G9)*(I$3:I$78="P"))+SUMPRODUCT((P$3:P$78&lt;&gt;"")*(G$3:G$78=G9)*(I$3:I$78="P"))+SUMPRODUCT((N$3:N$78&lt;&gt;"")*(G$3:G$78=G9)*(I$3:I$78="P"))+SUMPRODUCT((P$3:P$78="")*(O$3:O$78="")*(N$3:N$78="")*(M$3:M$78="P")*(G$3:G$78=G9)*(J$3:J$78&gt;J9)*(I$3:I$78="P"))+IF(H9="L5",SUMPRODUCT((P$3:P$78="")*(O$3:O$78="")*(N$3:N$78="")*(M$3:M$78="P")*(G$3:G$78=G9)*(J$3:J$78&lt;J9)*(H$3:H$78&lt;&gt;H9)*(I$3:I$78="P")),-1*SUMPRODUCT((P$3:P$78="")*(O$3:O$78="")*(N$3:N$78="")*(M$3:M$78="P")*(G$3:G$78=G9)*(J$3:J$78&gt;J9)*(H$3:H$78="L5")*(I$3:I$78="P")))+1,"")))))</f>
        <v>7</v>
      </c>
      <c r="B9" s="1" cm="1">
        <f t="array" ref="B9">IF(P9&lt;&gt;"",SUMPRODUCT((P$3:P$78&lt;&gt;"")*(G$3:G$78=G9)*(J$3:J$78&gt;J9))+1,IF(O9&lt;&gt;"",SUMPRODUCT((O$3:O$78&lt;&gt;"")*(P$3:P$78="")*(G$3:G$78=G9)*(J$3:J$78&gt;J9))+SUMPRODUCT((P$3:P$78&lt;&gt;"")*(G$3:G$78=G9))+1,IF(N9&lt;&gt;"",SUMPRODUCT((N$3:N$78&lt;&gt;"")*(G$3:G$78=G9)*(J$3:J$78&gt;J9))+1,IF(M9="P",SUMPRODUCT((O$3:O$78&lt;&gt;"")*(P$3:P$78="")*(G$3:G$78=G9))+SUMPRODUCT((P$3:P$78&lt;&gt;"")*(G$3:G$78=G9))+SUMPRODUCT((N$3:N$78&lt;&gt;"")*(G$3:G$78=G9))+SUMPRODUCT((P$3:P$78="")*(O$3:O$78="")*(N$3:N$78="")*(M$3:M$78="P")*(G$3:G$78=G9)*(J$3:J$78&gt;J9))+IF(H9="L5",SUMPRODUCT((P$3:P$78="")*(O$3:O$78="")*(N$3:N$78="")*(M$3:M$78="P")*(G$3:G$78=G9)*(J$3:J$78&lt;J9)*(H$3:H$78&lt;&gt;H9)),-1*SUMPRODUCT((P$3:P$78="")*(O$3:O$78="")*(N$3:N$78="")*(M$3:M$78="P")*(G$3:G$78=G9)*(J$3:J$78&gt;J9)*(H$3:H$78="L5")))+1,""))))</f>
        <v>20</v>
      </c>
      <c r="C9" s="36" t="s">
        <v>128</v>
      </c>
      <c r="D9" s="36" t="str">
        <f>IF(E9="","",VLOOKUP(E9,'Coaching Points'!A:B,2,0))</f>
        <v>MB</v>
      </c>
      <c r="E9" s="36" t="s">
        <v>129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R9+IF(OR(H9="Junior",H9="Senior"),0.0002,IF(OR(H9="L7",H9="L6"),0.0001,0))+MAX(X9,Z9)*0.0000001</f>
        <v>48.000104800000003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Scores'!F$13),AND(G9="15-16",U9&gt;='Qualifying Scores'!F$12),AND(G9="13-14",U9&gt;='Qualifying Scores'!F$11),AND(G9="11-12",U9&gt;='Qualifying Scores'!F$10)),T9,0),IF(OR(AND(G9="17-21",W9&gt;='Qualifying Scores'!F$13),AND(G9="15-16",W9&gt;='Qualifying Scores'!F$12),AND(G9="13-14",W9&gt;='Qualifying Scores'!F$11),AND(G9="11-12",W9&gt;='Qualifying Scores'!F$10)),V9,0),IF(OR(AND(G9="17-21",Y9&gt;='Qualifying Scores'!F$13),AND(G9="15-16",Y9&gt;='Qualifying Scores'!F$12),AND(G9="13-14",Y9&gt;='Qualifying Scores'!F$11),AND(G9="11-12",Y9&gt;='Qualifying Scores'!F$10)),X9,0),IF(OR(AND(G9="17-21",AA9&gt;='Qualifying Scores'!F$13),AND(G9="15-16",AA9&gt;='Qualifying Scores'!F$12),AND(G9="13-14",AA9&gt;='Qualifying Scores'!F$11),AND(G9="11-12",AA9&gt;='Qualifying Scores'!F$10)),Z9,0)))</f>
        <v>48</v>
      </c>
      <c r="S9" s="4">
        <f>MAX(T9,V9,X9,Z9)</f>
        <v>48</v>
      </c>
      <c r="T9" s="33">
        <v>44.2</v>
      </c>
      <c r="U9" s="40">
        <v>7.1</v>
      </c>
      <c r="V9" s="34">
        <v>44.599999999999994</v>
      </c>
      <c r="W9" s="40">
        <v>7.9</v>
      </c>
      <c r="X9" s="33">
        <v>48</v>
      </c>
      <c r="Y9" s="40">
        <v>11.6</v>
      </c>
      <c r="Z9" s="34">
        <v>47.7</v>
      </c>
      <c r="AA9" s="37">
        <v>11.6</v>
      </c>
    </row>
    <row r="10" spans="1:27" x14ac:dyDescent="0.2">
      <c r="A10" s="1" t="str" cm="1">
        <f t="array" ref="A10">IF(I10="","",IF(P10&lt;&gt;"",SUMPRODUCT((P$3:P$78&lt;&gt;"")*(G$3:G$78=G10)*(J$3:J$78&gt;J10)*(I$3:I$78="P"))+1,IF(O10&lt;&gt;"",SUMPRODUCT((O$3:O$78&lt;&gt;"")*(P$3:P$78="")*(G$3:G$78=G10)*(J$3:J$78&gt;J10)*(I$3:I$78="P"))+SUMPRODUCT((P$3:P$78&lt;&gt;"")*(G$3:G$78=G10)*(I$3:I$78="P"))+1,IF(N10&lt;&gt;"",SUMPRODUCT((N$3:N$78&lt;&gt;"")*(G$3:G$78=G10)*(J$3:J$78&gt;J10)*(I$3:I$78="P"))+1,IF(M10="P",SUMPRODUCT((O$3:O$78&lt;&gt;"")*(P$3:P$78="")*(G$3:G$78=G10)*(I$3:I$78="P"))+SUMPRODUCT((P$3:P$78&lt;&gt;"")*(G$3:G$78=G10)*(I$3:I$78="P"))+SUMPRODUCT((N$3:N$78&lt;&gt;"")*(G$3:G$78=G10)*(I$3:I$78="P"))+SUMPRODUCT((P$3:P$78="")*(O$3:O$78="")*(N$3:N$78="")*(M$3:M$78="P")*(G$3:G$78=G10)*(J$3:J$78&gt;J10)*(I$3:I$78="P"))+IF(H10="L5",SUMPRODUCT((P$3:P$78="")*(O$3:O$78="")*(N$3:N$78="")*(M$3:M$78="P")*(G$3:G$78=G10)*(J$3:J$78&lt;J10)*(H$3:H$78&lt;&gt;H10)*(I$3:I$78="P")),-1*SUMPRODUCT((P$3:P$78="")*(O$3:O$78="")*(N$3:N$78="")*(M$3:M$78="P")*(G$3:G$78=G10)*(J$3:J$78&gt;J10)*(H$3:H$78="L5")*(I$3:I$78="P")))+1,"")))))</f>
        <v/>
      </c>
      <c r="B10" s="1" cm="1">
        <f t="array" ref="B10">IF(P10&lt;&gt;"",SUMPRODUCT((P$3:P$78&lt;&gt;"")*(G$3:G$78=G10)*(J$3:J$78&gt;J10))+1,IF(O10&lt;&gt;"",SUMPRODUCT((O$3:O$78&lt;&gt;"")*(P$3:P$78="")*(G$3:G$78=G10)*(J$3:J$78&gt;J10))+SUMPRODUCT((P$3:P$78&lt;&gt;"")*(G$3:G$78=G10))+1,IF(N10&lt;&gt;"",SUMPRODUCT((N$3:N$78&lt;&gt;"")*(G$3:G$78=G10)*(J$3:J$78&gt;J10))+1,IF(M10="P",SUMPRODUCT((O$3:O$78&lt;&gt;"")*(P$3:P$78="")*(G$3:G$78=G10))+SUMPRODUCT((P$3:P$78&lt;&gt;"")*(G$3:G$78=G10))+SUMPRODUCT((N$3:N$78&lt;&gt;"")*(G$3:G$78=G10))+SUMPRODUCT((P$3:P$78="")*(O$3:O$78="")*(N$3:N$78="")*(M$3:M$78="P")*(G$3:G$78=G10)*(J$3:J$78&gt;J10))+IF(H10="L5",SUMPRODUCT((P$3:P$78="")*(O$3:O$78="")*(N$3:N$78="")*(M$3:M$78="P")*(G$3:G$78=G10)*(J$3:J$78&lt;J10)*(H$3:H$78&lt;&gt;H10)),-1*SUMPRODUCT((P$3:P$78="")*(O$3:O$78="")*(N$3:N$78="")*(M$3:M$78="P")*(G$3:G$78=G10)*(J$3:J$78&gt;J10)*(H$3:H$78="L5")))+1,""))))</f>
        <v>1</v>
      </c>
      <c r="C10" s="36" t="s">
        <v>161</v>
      </c>
      <c r="D10" s="36" t="str">
        <f>IF(E10="","",VLOOKUP(E10,'Coaching Points'!A:B,2,0))</f>
        <v>BC</v>
      </c>
      <c r="E10" s="36" t="s">
        <v>80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>R10+IF(OR(H10="Junior",H10="Senior"),0.0002,IF(OR(H10="L7",H10="L6"),0.0001,0))+MAX(X10,Z10)*0.0000001</f>
        <v>58.700205869999998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O10" s="39">
        <v>1</v>
      </c>
      <c r="P10" s="39">
        <v>1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Scores'!F$13),AND(G10="15-16",U10&gt;='Qualifying Scores'!F$12),AND(G10="13-14",U10&gt;='Qualifying Scores'!F$11),AND(G10="11-12",U10&gt;='Qualifying Scores'!F$10)),T10,0),IF(OR(AND(G10="17-21",W10&gt;='Qualifying Scores'!F$13),AND(G10="15-16",W10&gt;='Qualifying Scores'!F$12),AND(G10="13-14",W10&gt;='Qualifying Scores'!F$11),AND(G10="11-12",W10&gt;='Qualifying Scores'!F$10)),V10,0),IF(OR(AND(G10="17-21",Y10&gt;='Qualifying Scores'!F$13),AND(G10="15-16",Y10&gt;='Qualifying Scores'!F$12),AND(G10="13-14",Y10&gt;='Qualifying Scores'!F$11),AND(G10="11-12",Y10&gt;='Qualifying Scores'!F$10)),X10,0),IF(OR(AND(G10="17-21",AA10&gt;='Qualifying Scores'!F$13),AND(G10="15-16",AA10&gt;='Qualifying Scores'!F$12),AND(G10="13-14",AA10&gt;='Qualifying Scores'!F$11),AND(G10="11-12",AA10&gt;='Qualifying Scores'!F$10)),Z10,0)))</f>
        <v>58.699999999999996</v>
      </c>
      <c r="S10" s="4">
        <f>MAX(T10,V10,X10,Z10)</f>
        <v>58.699999999999996</v>
      </c>
      <c r="T10" s="33">
        <v>53.24</v>
      </c>
      <c r="U10" s="40">
        <v>16</v>
      </c>
      <c r="V10" s="34">
        <v>52</v>
      </c>
      <c r="W10" s="40">
        <v>15.200000000000001</v>
      </c>
      <c r="X10" s="33">
        <v>54.9</v>
      </c>
      <c r="Y10" s="40">
        <v>18.799999999999997</v>
      </c>
      <c r="Z10" s="34">
        <v>58.699999999999996</v>
      </c>
      <c r="AA10" s="37">
        <v>20.8</v>
      </c>
    </row>
    <row r="11" spans="1:27" x14ac:dyDescent="0.2">
      <c r="A11" s="1" t="str" cm="1">
        <f t="array" ref="A11">IF(I11="","",IF(P11&lt;&gt;"",SUMPRODUCT((P$3:P$78&lt;&gt;"")*(G$3:G$78=G11)*(J$3:J$78&gt;J11)*(I$3:I$78="P"))+1,IF(O11&lt;&gt;"",SUMPRODUCT((O$3:O$78&lt;&gt;"")*(P$3:P$78="")*(G$3:G$78=G11)*(J$3:J$78&gt;J11)*(I$3:I$78="P"))+SUMPRODUCT((P$3:P$78&lt;&gt;"")*(G$3:G$78=G11)*(I$3:I$78="P"))+1,IF(N11&lt;&gt;"",SUMPRODUCT((N$3:N$78&lt;&gt;"")*(G$3:G$78=G11)*(J$3:J$78&gt;J11)*(I$3:I$78="P"))+1,IF(M11="P",SUMPRODUCT((O$3:O$78&lt;&gt;"")*(P$3:P$78="")*(G$3:G$78=G11)*(I$3:I$78="P"))+SUMPRODUCT((P$3:P$78&lt;&gt;"")*(G$3:G$78=G11)*(I$3:I$78="P"))+SUMPRODUCT((N$3:N$78&lt;&gt;"")*(G$3:G$78=G11)*(I$3:I$78="P"))+SUMPRODUCT((P$3:P$78="")*(O$3:O$78="")*(N$3:N$78="")*(M$3:M$78="P")*(G$3:G$78=G11)*(J$3:J$78&gt;J11)*(I$3:I$78="P"))+IF(H11="L5",SUMPRODUCT((P$3:P$78="")*(O$3:O$78="")*(N$3:N$78="")*(M$3:M$78="P")*(G$3:G$78=G11)*(J$3:J$78&lt;J11)*(H$3:H$78&lt;&gt;H11)*(I$3:I$78="P")),-1*SUMPRODUCT((P$3:P$78="")*(O$3:O$78="")*(N$3:N$78="")*(M$3:M$78="P")*(G$3:G$78=G11)*(J$3:J$78&gt;J11)*(H$3:H$78="L5")*(I$3:I$78="P")))+1,"")))))</f>
        <v/>
      </c>
      <c r="B11" s="1" cm="1">
        <f t="array" ref="B11">IF(P11&lt;&gt;"",SUMPRODUCT((P$3:P$78&lt;&gt;"")*(G$3:G$78=G11)*(J$3:J$78&gt;J11))+1,IF(O11&lt;&gt;"",SUMPRODUCT((O$3:O$78&lt;&gt;"")*(P$3:P$78="")*(G$3:G$78=G11)*(J$3:J$78&gt;J11))+SUMPRODUCT((P$3:P$78&lt;&gt;"")*(G$3:G$78=G11))+1,IF(N11&lt;&gt;"",SUMPRODUCT((N$3:N$78&lt;&gt;"")*(G$3:G$78=G11)*(J$3:J$78&gt;J11))+1,IF(M11="P",SUMPRODUCT((O$3:O$78&lt;&gt;"")*(P$3:P$78="")*(G$3:G$78=G11))+SUMPRODUCT((P$3:P$78&lt;&gt;"")*(G$3:G$78=G11))+SUMPRODUCT((N$3:N$78&lt;&gt;"")*(G$3:G$78=G11))+SUMPRODUCT((P$3:P$78="")*(O$3:O$78="")*(N$3:N$78="")*(M$3:M$78="P")*(G$3:G$78=G11)*(J$3:J$78&gt;J11))+IF(H11="L5",SUMPRODUCT((P$3:P$78="")*(O$3:O$78="")*(N$3:N$78="")*(M$3:M$78="P")*(G$3:G$78=G11)*(J$3:J$78&lt;J11)*(H$3:H$78&lt;&gt;H11)),-1*SUMPRODUCT((P$3:P$78="")*(O$3:O$78="")*(N$3:N$78="")*(M$3:M$78="P")*(G$3:G$78=G11)*(J$3:J$78&gt;J11)*(H$3:H$78="L5")))+1,""))))</f>
        <v>2</v>
      </c>
      <c r="C11" s="36" t="s">
        <v>160</v>
      </c>
      <c r="D11" s="36" t="str">
        <f>IF(E11="","",VLOOKUP(E11,'Coaching Points'!A:B,2,0))</f>
        <v>ON</v>
      </c>
      <c r="E11" s="36" t="s">
        <v>48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/>
      <c r="J11" s="4">
        <f>R11+IF(OR(H11="Junior",H11="Senior"),0.0002,IF(OR(H11="L7",H11="L6"),0.0001,0))+MAX(X11,Z11)*0.0000001</f>
        <v>58.200205820000001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O11" s="39">
        <v>2</v>
      </c>
      <c r="P11" s="39">
        <v>2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Scores'!F$13),AND(G11="15-16",U11&gt;='Qualifying Scores'!F$12),AND(G11="13-14",U11&gt;='Qualifying Scores'!F$11),AND(G11="11-12",U11&gt;='Qualifying Scores'!F$10)),T11,0),IF(OR(AND(G11="17-21",W11&gt;='Qualifying Scores'!F$13),AND(G11="15-16",W11&gt;='Qualifying Scores'!F$12),AND(G11="13-14",W11&gt;='Qualifying Scores'!F$11),AND(G11="11-12",W11&gt;='Qualifying Scores'!F$10)),V11,0),IF(OR(AND(G11="17-21",Y11&gt;='Qualifying Scores'!F$13),AND(G11="15-16",Y11&gt;='Qualifying Scores'!F$12),AND(G11="13-14",Y11&gt;='Qualifying Scores'!F$11),AND(G11="11-12",Y11&gt;='Qualifying Scores'!F$10)),X11,0),IF(OR(AND(G11="17-21",AA11&gt;='Qualifying Scores'!F$13),AND(G11="15-16",AA11&gt;='Qualifying Scores'!F$12),AND(G11="13-14",AA11&gt;='Qualifying Scores'!F$11),AND(G11="11-12",AA11&gt;='Qualifying Scores'!F$10)),Z11,0)))</f>
        <v>58.2</v>
      </c>
      <c r="S11" s="4">
        <f>MAX(T11,V11,X11,Z11)</f>
        <v>58.2</v>
      </c>
      <c r="T11" s="33">
        <v>56</v>
      </c>
      <c r="U11" s="40">
        <v>18.399999999999999</v>
      </c>
      <c r="V11" s="34">
        <v>54.6</v>
      </c>
      <c r="W11" s="40">
        <v>16.899999999999999</v>
      </c>
      <c r="X11" s="33">
        <v>54.4</v>
      </c>
      <c r="Y11" s="40">
        <v>18.799999999999997</v>
      </c>
      <c r="Z11" s="34">
        <v>58.2</v>
      </c>
      <c r="AA11" s="37">
        <v>20.399999999999999</v>
      </c>
    </row>
    <row r="12" spans="1:27" x14ac:dyDescent="0.2">
      <c r="A12" s="1" t="str" cm="1">
        <f t="array" ref="A12">IF(I12="","",IF(P12&lt;&gt;"",SUMPRODUCT((P$3:P$78&lt;&gt;"")*(G$3:G$78=G12)*(J$3:J$78&gt;J12)*(I$3:I$78="P"))+1,IF(O12&lt;&gt;"",SUMPRODUCT((O$3:O$78&lt;&gt;"")*(P$3:P$78="")*(G$3:G$78=G12)*(J$3:J$78&gt;J12)*(I$3:I$78="P"))+SUMPRODUCT((P$3:P$78&lt;&gt;"")*(G$3:G$78=G12)*(I$3:I$78="P"))+1,IF(N12&lt;&gt;"",SUMPRODUCT((N$3:N$78&lt;&gt;"")*(G$3:G$78=G12)*(J$3:J$78&gt;J12)*(I$3:I$78="P"))+1,IF(M12="P",SUMPRODUCT((O$3:O$78&lt;&gt;"")*(P$3:P$78="")*(G$3:G$78=G12)*(I$3:I$78="P"))+SUMPRODUCT((P$3:P$78&lt;&gt;"")*(G$3:G$78=G12)*(I$3:I$78="P"))+SUMPRODUCT((N$3:N$78&lt;&gt;"")*(G$3:G$78=G12)*(I$3:I$78="P"))+SUMPRODUCT((P$3:P$78="")*(O$3:O$78="")*(N$3:N$78="")*(M$3:M$78="P")*(G$3:G$78=G12)*(J$3:J$78&gt;J12)*(I$3:I$78="P"))+IF(H12="L5",SUMPRODUCT((P$3:P$78="")*(O$3:O$78="")*(N$3:N$78="")*(M$3:M$78="P")*(G$3:G$78=G12)*(J$3:J$78&lt;J12)*(H$3:H$78&lt;&gt;H12)*(I$3:I$78="P")),-1*SUMPRODUCT((P$3:P$78="")*(O$3:O$78="")*(N$3:N$78="")*(M$3:M$78="P")*(G$3:G$78=G12)*(J$3:J$78&gt;J12)*(H$3:H$78="L5")*(I$3:I$78="P")))+1,"")))))</f>
        <v/>
      </c>
      <c r="B12" s="1" cm="1">
        <f t="array" ref="B12">IF(P12&lt;&gt;"",SUMPRODUCT((P$3:P$78&lt;&gt;"")*(G$3:G$78=G12)*(J$3:J$78&gt;J12))+1,IF(O12&lt;&gt;"",SUMPRODUCT((O$3:O$78&lt;&gt;"")*(P$3:P$78="")*(G$3:G$78=G12)*(J$3:J$78&gt;J12))+SUMPRODUCT((P$3:P$78&lt;&gt;"")*(G$3:G$78=G12))+1,IF(N12&lt;&gt;"",SUMPRODUCT((N$3:N$78&lt;&gt;"")*(G$3:G$78=G12)*(J$3:J$78&gt;J12))+1,IF(M12="P",SUMPRODUCT((O$3:O$78&lt;&gt;"")*(P$3:P$78="")*(G$3:G$78=G12))+SUMPRODUCT((P$3:P$78&lt;&gt;"")*(G$3:G$78=G12))+SUMPRODUCT((N$3:N$78&lt;&gt;"")*(G$3:G$78=G12))+SUMPRODUCT((P$3:P$78="")*(O$3:O$78="")*(N$3:N$78="")*(M$3:M$78="P")*(G$3:G$78=G12)*(J$3:J$78&gt;J12))+IF(H12="L5",SUMPRODUCT((P$3:P$78="")*(O$3:O$78="")*(N$3:N$78="")*(M$3:M$78="P")*(G$3:G$78=G12)*(J$3:J$78&lt;J12)*(H$3:H$78&lt;&gt;H12)),-1*SUMPRODUCT((P$3:P$78="")*(O$3:O$78="")*(N$3:N$78="")*(M$3:M$78="P")*(G$3:G$78=G12)*(J$3:J$78&gt;J12)*(H$3:H$78="L5")))+1,""))))</f>
        <v>3</v>
      </c>
      <c r="C12" s="36" t="s">
        <v>162</v>
      </c>
      <c r="D12" s="36" t="str">
        <f>IF(E12="","",VLOOKUP(E12,'Coaching Points'!A:B,2,0))</f>
        <v>AB</v>
      </c>
      <c r="E12" s="36" t="s">
        <v>91</v>
      </c>
      <c r="F12" s="35">
        <v>2003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/>
      <c r="J12" s="4">
        <f>R12+IF(OR(H12="Junior",H12="Senior"),0.0002,IF(OR(H12="L7",H12="L6"),0.0001,0))+MAX(X12,Z12)*0.0000001</f>
        <v>52.80020528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O12" s="39">
        <v>4</v>
      </c>
      <c r="P12" s="39">
        <v>5</v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Scores'!F$13),AND(G12="15-16",U12&gt;='Qualifying Scores'!F$12),AND(G12="13-14",U12&gt;='Qualifying Scores'!F$11),AND(G12="11-12",U12&gt;='Qualifying Scores'!F$10)),T12,0),IF(OR(AND(G12="17-21",W12&gt;='Qualifying Scores'!F$13),AND(G12="15-16",W12&gt;='Qualifying Scores'!F$12),AND(G12="13-14",W12&gt;='Qualifying Scores'!F$11),AND(G12="11-12",W12&gt;='Qualifying Scores'!F$10)),V12,0),IF(OR(AND(G12="17-21",Y12&gt;='Qualifying Scores'!F$13),AND(G12="15-16",Y12&gt;='Qualifying Scores'!F$12),AND(G12="13-14",Y12&gt;='Qualifying Scores'!F$11),AND(G12="11-12",Y12&gt;='Qualifying Scores'!F$10)),X12,0),IF(OR(AND(G12="17-21",AA12&gt;='Qualifying Scores'!F$13),AND(G12="15-16",AA12&gt;='Qualifying Scores'!F$12),AND(G12="13-14",AA12&gt;='Qualifying Scores'!F$11),AND(G12="11-12",AA12&gt;='Qualifying Scores'!F$10)),Z12,0)))</f>
        <v>52.8</v>
      </c>
      <c r="S12" s="4">
        <f>MAX(T12,V12,X12,Z12)</f>
        <v>52.8</v>
      </c>
      <c r="T12" s="33">
        <v>49.900000000000006</v>
      </c>
      <c r="U12" s="40">
        <v>14.8</v>
      </c>
      <c r="V12" s="34">
        <v>43</v>
      </c>
      <c r="W12" s="40">
        <v>9.6000000000000014</v>
      </c>
      <c r="X12" s="33">
        <v>48.1</v>
      </c>
      <c r="Y12" s="40">
        <v>12</v>
      </c>
      <c r="Z12" s="34">
        <v>52.8</v>
      </c>
      <c r="AA12" s="37">
        <v>16.399999999999999</v>
      </c>
    </row>
    <row r="13" spans="1:27" x14ac:dyDescent="0.2">
      <c r="A13" s="1" t="str" cm="1">
        <f t="array" ref="A13">IF(I13="","",IF(P13&lt;&gt;"",SUMPRODUCT((P$3:P$78&lt;&gt;"")*(G$3:G$78=G13)*(J$3:J$78&gt;J13)*(I$3:I$78="P"))+1,IF(O13&lt;&gt;"",SUMPRODUCT((O$3:O$78&lt;&gt;"")*(P$3:P$78="")*(G$3:G$78=G13)*(J$3:J$78&gt;J13)*(I$3:I$78="P"))+SUMPRODUCT((P$3:P$78&lt;&gt;"")*(G$3:G$78=G13)*(I$3:I$78="P"))+1,IF(N13&lt;&gt;"",SUMPRODUCT((N$3:N$78&lt;&gt;"")*(G$3:G$78=G13)*(J$3:J$78&gt;J13)*(I$3:I$78="P"))+1,IF(M13="P",SUMPRODUCT((O$3:O$78&lt;&gt;"")*(P$3:P$78="")*(G$3:G$78=G13)*(I$3:I$78="P"))+SUMPRODUCT((P$3:P$78&lt;&gt;"")*(G$3:G$78=G13)*(I$3:I$78="P"))+SUMPRODUCT((N$3:N$78&lt;&gt;"")*(G$3:G$78=G13)*(I$3:I$78="P"))+SUMPRODUCT((P$3:P$78="")*(O$3:O$78="")*(N$3:N$78="")*(M$3:M$78="P")*(G$3:G$78=G13)*(J$3:J$78&gt;J13)*(I$3:I$78="P"))+IF(H13="L5",SUMPRODUCT((P$3:P$78="")*(O$3:O$78="")*(N$3:N$78="")*(M$3:M$78="P")*(G$3:G$78=G13)*(J$3:J$78&lt;J13)*(H$3:H$78&lt;&gt;H13)*(I$3:I$78="P")),-1*SUMPRODUCT((P$3:P$78="")*(O$3:O$78="")*(N$3:N$78="")*(M$3:M$78="P")*(G$3:G$78=G13)*(J$3:J$78&gt;J13)*(H$3:H$78="L5")*(I$3:I$78="P")))+1,"")))))</f>
        <v/>
      </c>
      <c r="B13" s="1" cm="1">
        <f t="array" ref="B13">IF(P13&lt;&gt;"",SUMPRODUCT((P$3:P$78&lt;&gt;"")*(G$3:G$78=G13)*(J$3:J$78&gt;J13))+1,IF(O13&lt;&gt;"",SUMPRODUCT((O$3:O$78&lt;&gt;"")*(P$3:P$78="")*(G$3:G$78=G13)*(J$3:J$78&gt;J13))+SUMPRODUCT((P$3:P$78&lt;&gt;"")*(G$3:G$78=G13))+1,IF(N13&lt;&gt;"",SUMPRODUCT((N$3:N$78&lt;&gt;"")*(G$3:G$78=G13)*(J$3:J$78&gt;J13))+1,IF(M13="P",SUMPRODUCT((O$3:O$78&lt;&gt;"")*(P$3:P$78="")*(G$3:G$78=G13))+SUMPRODUCT((P$3:P$78&lt;&gt;"")*(G$3:G$78=G13))+SUMPRODUCT((N$3:N$78&lt;&gt;"")*(G$3:G$78=G13))+SUMPRODUCT((P$3:P$78="")*(O$3:O$78="")*(N$3:N$78="")*(M$3:M$78="P")*(G$3:G$78=G13)*(J$3:J$78&gt;J13))+IF(H13="L5",SUMPRODUCT((P$3:P$78="")*(O$3:O$78="")*(N$3:N$78="")*(M$3:M$78="P")*(G$3:G$78=G13)*(J$3:J$78&lt;J13)*(H$3:H$78&lt;&gt;H13)),-1*SUMPRODUCT((P$3:P$78="")*(O$3:O$78="")*(N$3:N$78="")*(M$3:M$78="P")*(G$3:G$78=G13)*(J$3:J$78&gt;J13)*(H$3:H$78="L5")))+1,""))))</f>
        <v>5</v>
      </c>
      <c r="C13" s="36" t="s">
        <v>164</v>
      </c>
      <c r="D13" s="36" t="str">
        <f>IF(E13="","",VLOOKUP(E13,'Coaching Points'!A:B,2,0))</f>
        <v>AB</v>
      </c>
      <c r="E13" s="36" t="s">
        <v>29</v>
      </c>
      <c r="F13" s="35">
        <v>2002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168</v>
      </c>
      <c r="I13" s="45"/>
      <c r="J13" s="4">
        <f>R13+IF(OR(H13="Junior",H13="Senior"),0.0002,IF(OR(H13="L7",H13="L6"),0.0001,0))+MAX(X13,Z13)*0.0000001</f>
        <v>48.800202539999994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P13" s="39">
        <v>6</v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Scores'!F$13),AND(G13="15-16",U13&gt;='Qualifying Scores'!F$12),AND(G13="13-14",U13&gt;='Qualifying Scores'!F$11),AND(G13="11-12",U13&gt;='Qualifying Scores'!F$10)),T13,0),IF(OR(AND(G13="17-21",W13&gt;='Qualifying Scores'!F$13),AND(G13="15-16",W13&gt;='Qualifying Scores'!F$12),AND(G13="13-14",W13&gt;='Qualifying Scores'!F$11),AND(G13="11-12",W13&gt;='Qualifying Scores'!F$10)),V13,0),IF(OR(AND(G13="17-21",Y13&gt;='Qualifying Scores'!F$13),AND(G13="15-16",Y13&gt;='Qualifying Scores'!F$12),AND(G13="13-14",Y13&gt;='Qualifying Scores'!F$11),AND(G13="11-12",Y13&gt;='Qualifying Scores'!F$10)),X13,0),IF(OR(AND(G13="17-21",AA13&gt;='Qualifying Scores'!F$13),AND(G13="15-16",AA13&gt;='Qualifying Scores'!F$12),AND(G13="13-14",AA13&gt;='Qualifying Scores'!F$11),AND(G13="11-12",AA13&gt;='Qualifying Scores'!F$10)),Z13,0)))</f>
        <v>48.8</v>
      </c>
      <c r="S13" s="4">
        <f>MAX(T13,V13,X13,Z13)</f>
        <v>48.8</v>
      </c>
      <c r="T13" s="33">
        <v>48.8</v>
      </c>
      <c r="U13" s="40">
        <v>13.7</v>
      </c>
      <c r="V13" s="34">
        <v>26.7</v>
      </c>
      <c r="W13" s="40">
        <v>8.1</v>
      </c>
      <c r="X13" s="33">
        <v>25.400000000000002</v>
      </c>
      <c r="Y13" s="40">
        <v>6.8</v>
      </c>
      <c r="Z13" s="34"/>
      <c r="AA13" s="37"/>
    </row>
    <row r="14" spans="1:27" x14ac:dyDescent="0.2">
      <c r="A14" s="1" t="str" cm="1">
        <f t="array" ref="A14">IF(I14="","",IF(P14&lt;&gt;"",SUMPRODUCT((P$3:P$78&lt;&gt;"")*(G$3:G$78=G14)*(J$3:J$78&gt;J14)*(I$3:I$78="P"))+1,IF(O14&lt;&gt;"",SUMPRODUCT((O$3:O$78&lt;&gt;"")*(P$3:P$78="")*(G$3:G$78=G14)*(J$3:J$78&gt;J14)*(I$3:I$78="P"))+SUMPRODUCT((P$3:P$78&lt;&gt;"")*(G$3:G$78=G14)*(I$3:I$78="P"))+1,IF(N14&lt;&gt;"",SUMPRODUCT((N$3:N$78&lt;&gt;"")*(G$3:G$78=G14)*(J$3:J$78&gt;J14)*(I$3:I$78="P"))+1,IF(M14="P",SUMPRODUCT((O$3:O$78&lt;&gt;"")*(P$3:P$78="")*(G$3:G$78=G14)*(I$3:I$78="P"))+SUMPRODUCT((P$3:P$78&lt;&gt;"")*(G$3:G$78=G14)*(I$3:I$78="P"))+SUMPRODUCT((N$3:N$78&lt;&gt;"")*(G$3:G$78=G14)*(I$3:I$78="P"))+SUMPRODUCT((P$3:P$78="")*(O$3:O$78="")*(N$3:N$78="")*(M$3:M$78="P")*(G$3:G$78=G14)*(J$3:J$78&gt;J14)*(I$3:I$78="P"))+IF(H14="L5",SUMPRODUCT((P$3:P$78="")*(O$3:O$78="")*(N$3:N$78="")*(M$3:M$78="P")*(G$3:G$78=G14)*(J$3:J$78&lt;J14)*(H$3:H$78&lt;&gt;H14)*(I$3:I$78="P")),-1*SUMPRODUCT((P$3:P$78="")*(O$3:O$78="")*(N$3:N$78="")*(M$3:M$78="P")*(G$3:G$78=G14)*(J$3:J$78&gt;J14)*(H$3:H$78="L5")*(I$3:I$78="P")))+1,"")))))</f>
        <v/>
      </c>
      <c r="B14" s="1" cm="1">
        <f t="array" ref="B14">IF(P14&lt;&gt;"",SUMPRODUCT((P$3:P$78&lt;&gt;"")*(G$3:G$78=G14)*(J$3:J$78&gt;J14))+1,IF(O14&lt;&gt;"",SUMPRODUCT((O$3:O$78&lt;&gt;"")*(P$3:P$78="")*(G$3:G$78=G14)*(J$3:J$78&gt;J14))+SUMPRODUCT((P$3:P$78&lt;&gt;"")*(G$3:G$78=G14))+1,IF(N14&lt;&gt;"",SUMPRODUCT((N$3:N$78&lt;&gt;"")*(G$3:G$78=G14)*(J$3:J$78&gt;J14))+1,IF(M14="P",SUMPRODUCT((O$3:O$78&lt;&gt;"")*(P$3:P$78="")*(G$3:G$78=G14))+SUMPRODUCT((P$3:P$78&lt;&gt;"")*(G$3:G$78=G14))+SUMPRODUCT((N$3:N$78&lt;&gt;"")*(G$3:G$78=G14))+SUMPRODUCT((P$3:P$78="")*(O$3:O$78="")*(N$3:N$78="")*(M$3:M$78="P")*(G$3:G$78=G14)*(J$3:J$78&gt;J14))+IF(H14="L5",SUMPRODUCT((P$3:P$78="")*(O$3:O$78="")*(N$3:N$78="")*(M$3:M$78="P")*(G$3:G$78=G14)*(J$3:J$78&lt;J14)*(H$3:H$78&lt;&gt;H14)),-1*SUMPRODUCT((P$3:P$78="")*(O$3:O$78="")*(N$3:N$78="")*(M$3:M$78="P")*(G$3:G$78=G14)*(J$3:J$78&gt;J14)*(H$3:H$78="L5")))+1,""))))</f>
        <v>7</v>
      </c>
      <c r="C14" s="36" t="s">
        <v>408</v>
      </c>
      <c r="D14" s="36" t="str">
        <f>IF(E14="","",VLOOKUP(E14,'Coaching Points'!A:B,2,0))</f>
        <v>ON</v>
      </c>
      <c r="E14" s="36" t="s">
        <v>199</v>
      </c>
      <c r="F14" s="35">
        <v>2002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52.000105199999993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Scores'!F$13),AND(G14="15-16",U14&gt;='Qualifying Scores'!F$12),AND(G14="13-14",U14&gt;='Qualifying Scores'!F$11),AND(G14="11-12",U14&gt;='Qualifying Scores'!F$10)),T14,0),IF(OR(AND(G14="17-21",W14&gt;='Qualifying Scores'!F$13),AND(G14="15-16",W14&gt;='Qualifying Scores'!F$12),AND(G14="13-14",W14&gt;='Qualifying Scores'!F$11),AND(G14="11-12",W14&gt;='Qualifying Scores'!F$10)),V14,0),IF(OR(AND(G14="17-21",Y14&gt;='Qualifying Scores'!F$13),AND(G14="15-16",Y14&gt;='Qualifying Scores'!F$12),AND(G14="13-14",Y14&gt;='Qualifying Scores'!F$11),AND(G14="11-12",Y14&gt;='Qualifying Scores'!F$10)),X14,0),IF(OR(AND(G14="17-21",AA14&gt;='Qualifying Scores'!F$13),AND(G14="15-16",AA14&gt;='Qualifying Scores'!F$12),AND(G14="13-14",AA14&gt;='Qualifying Scores'!F$11),AND(G14="11-12",AA14&gt;='Qualifying Scores'!F$10)),Z14,0)))</f>
        <v>51.999999999999993</v>
      </c>
      <c r="S14" s="4">
        <f>MAX(T14,V14,X14,Z14)</f>
        <v>51.999999999999993</v>
      </c>
      <c r="T14" s="33"/>
      <c r="U14" s="40"/>
      <c r="V14" s="34"/>
      <c r="W14" s="40"/>
      <c r="X14" s="33">
        <v>51.8</v>
      </c>
      <c r="Y14" s="40">
        <v>15.2</v>
      </c>
      <c r="Z14" s="34">
        <v>51.999999999999993</v>
      </c>
      <c r="AA14" s="37">
        <v>15.2</v>
      </c>
    </row>
    <row r="15" spans="1:27" x14ac:dyDescent="0.2">
      <c r="A15" s="1" t="str" cm="1">
        <f t="array" ref="A15">IF(I15="","",IF(P15&lt;&gt;"",SUMPRODUCT((P$3:P$78&lt;&gt;"")*(G$3:G$78=G15)*(J$3:J$78&gt;J15)*(I$3:I$78="P"))+1,IF(O15&lt;&gt;"",SUMPRODUCT((O$3:O$78&lt;&gt;"")*(P$3:P$78="")*(G$3:G$78=G15)*(J$3:J$78&gt;J15)*(I$3:I$78="P"))+SUMPRODUCT((P$3:P$78&lt;&gt;"")*(G$3:G$78=G15)*(I$3:I$78="P"))+1,IF(N15&lt;&gt;"",SUMPRODUCT((N$3:N$78&lt;&gt;"")*(G$3:G$78=G15)*(J$3:J$78&gt;J15)*(I$3:I$78="P"))+1,IF(M15="P",SUMPRODUCT((O$3:O$78&lt;&gt;"")*(P$3:P$78="")*(G$3:G$78=G15)*(I$3:I$78="P"))+SUMPRODUCT((P$3:P$78&lt;&gt;"")*(G$3:G$78=G15)*(I$3:I$78="P"))+SUMPRODUCT((N$3:N$78&lt;&gt;"")*(G$3:G$78=G15)*(I$3:I$78="P"))+SUMPRODUCT((P$3:P$78="")*(O$3:O$78="")*(N$3:N$78="")*(M$3:M$78="P")*(G$3:G$78=G15)*(J$3:J$78&gt;J15)*(I$3:I$78="P"))+IF(H15="L5",SUMPRODUCT((P$3:P$78="")*(O$3:O$78="")*(N$3:N$78="")*(M$3:M$78="P")*(G$3:G$78=G15)*(J$3:J$78&lt;J15)*(H$3:H$78&lt;&gt;H15)*(I$3:I$78="P")),-1*SUMPRODUCT((P$3:P$78="")*(O$3:O$78="")*(N$3:N$78="")*(M$3:M$78="P")*(G$3:G$78=G15)*(J$3:J$78&gt;J15)*(H$3:H$78="L5")*(I$3:I$78="P")))+1,"")))))</f>
        <v/>
      </c>
      <c r="B15" s="1" cm="1">
        <f t="array" ref="B15">IF(P15&lt;&gt;"",SUMPRODUCT((P$3:P$78&lt;&gt;"")*(G$3:G$78=G15)*(J$3:J$78&gt;J15))+1,IF(O15&lt;&gt;"",SUMPRODUCT((O$3:O$78&lt;&gt;"")*(P$3:P$78="")*(G$3:G$78=G15)*(J$3:J$78&gt;J15))+SUMPRODUCT((P$3:P$78&lt;&gt;"")*(G$3:G$78=G15))+1,IF(N15&lt;&gt;"",SUMPRODUCT((N$3:N$78&lt;&gt;"")*(G$3:G$78=G15)*(J$3:J$78&gt;J15))+1,IF(M15="P",SUMPRODUCT((O$3:O$78&lt;&gt;"")*(P$3:P$78="")*(G$3:G$78=G15))+SUMPRODUCT((P$3:P$78&lt;&gt;"")*(G$3:G$78=G15))+SUMPRODUCT((N$3:N$78&lt;&gt;"")*(G$3:G$78=G15))+SUMPRODUCT((P$3:P$78="")*(O$3:O$78="")*(N$3:N$78="")*(M$3:M$78="P")*(G$3:G$78=G15)*(J$3:J$78&gt;J15))+IF(H15="L5",SUMPRODUCT((P$3:P$78="")*(O$3:O$78="")*(N$3:N$78="")*(M$3:M$78="P")*(G$3:G$78=G15)*(J$3:J$78&lt;J15)*(H$3:H$78&lt;&gt;H15)),-1*SUMPRODUCT((P$3:P$78="")*(O$3:O$78="")*(N$3:N$78="")*(M$3:M$78="P")*(G$3:G$78=G15)*(J$3:J$78&gt;J15)*(H$3:H$78="L5")))+1,""))))</f>
        <v>11</v>
      </c>
      <c r="C15" s="36" t="s">
        <v>149</v>
      </c>
      <c r="D15" s="36" t="str">
        <f>IF(E15="","",VLOOKUP(E15,'Coaching Points'!A:B,2,0))</f>
        <v>ON</v>
      </c>
      <c r="E15" s="36" t="s">
        <v>141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R15+IF(OR(H15="Junior",H15="Senior"),0.0002,IF(OR(H15="L7",H15="L6"),0.0001,0))+MAX(X15,Z15)*0.0000001</f>
        <v>50.000100000000003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Scores'!F$13),AND(G15="15-16",U15&gt;='Qualifying Scores'!F$12),AND(G15="13-14",U15&gt;='Qualifying Scores'!F$11),AND(G15="11-12",U15&gt;='Qualifying Scores'!F$10)),T15,0),IF(OR(AND(G15="17-21",W15&gt;='Qualifying Scores'!F$13),AND(G15="15-16",W15&gt;='Qualifying Scores'!F$12),AND(G15="13-14",W15&gt;='Qualifying Scores'!F$11),AND(G15="11-12",W15&gt;='Qualifying Scores'!F$10)),V15,0),IF(OR(AND(G15="17-21",Y15&gt;='Qualifying Scores'!F$13),AND(G15="15-16",Y15&gt;='Qualifying Scores'!F$12),AND(G15="13-14",Y15&gt;='Qualifying Scores'!F$11),AND(G15="11-12",Y15&gt;='Qualifying Scores'!F$10)),X15,0),IF(OR(AND(G15="17-21",AA15&gt;='Qualifying Scores'!F$13),AND(G15="15-16",AA15&gt;='Qualifying Scores'!F$12),AND(G15="13-14",AA15&gt;='Qualifying Scores'!F$11),AND(G15="11-12",AA15&gt;='Qualifying Scores'!F$10)),Z15,0)))</f>
        <v>50</v>
      </c>
      <c r="S15" s="4">
        <f>MAX(T15,V15,X15,Z15)</f>
        <v>50</v>
      </c>
      <c r="T15" s="33">
        <v>50</v>
      </c>
      <c r="U15" s="40">
        <v>11.6</v>
      </c>
      <c r="V15" s="34">
        <v>49.1</v>
      </c>
      <c r="W15" s="40">
        <v>11.6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$78&lt;&gt;"")*(G$3:G$78=G16)*(J$3:J$78&gt;J16)*(I$3:I$78="P"))+1,IF(O16&lt;&gt;"",SUMPRODUCT((O$3:O$78&lt;&gt;"")*(P$3:P$78="")*(G$3:G$78=G16)*(J$3:J$78&gt;J16)*(I$3:I$78="P"))+SUMPRODUCT((P$3:P$78&lt;&gt;"")*(G$3:G$78=G16)*(I$3:I$78="P"))+1,IF(N16&lt;&gt;"",SUMPRODUCT((N$3:N$78&lt;&gt;"")*(G$3:G$78=G16)*(J$3:J$78&gt;J16)*(I$3:I$78="P"))+1,IF(M16="P",SUMPRODUCT((O$3:O$78&lt;&gt;"")*(P$3:P$78="")*(G$3:G$78=G16)*(I$3:I$78="P"))+SUMPRODUCT((P$3:P$78&lt;&gt;"")*(G$3:G$78=G16)*(I$3:I$78="P"))+SUMPRODUCT((N$3:N$78&lt;&gt;"")*(G$3:G$78=G16)*(I$3:I$78="P"))+SUMPRODUCT((P$3:P$78="")*(O$3:O$78="")*(N$3:N$78="")*(M$3:M$78="P")*(G$3:G$78=G16)*(J$3:J$78&gt;J16)*(I$3:I$78="P"))+IF(H16="L5",SUMPRODUCT((P$3:P$78="")*(O$3:O$78="")*(N$3:N$78="")*(M$3:M$78="P")*(G$3:G$78=G16)*(J$3:J$78&lt;J16)*(H$3:H$78&lt;&gt;H16)*(I$3:I$78="P")),-1*SUMPRODUCT((P$3:P$78="")*(O$3:O$78="")*(N$3:N$78="")*(M$3:M$78="P")*(G$3:G$78=G16)*(J$3:J$78&gt;J16)*(H$3:H$78="L5")*(I$3:I$78="P")))+1,"")))))</f>
        <v/>
      </c>
      <c r="B16" s="1" cm="1">
        <f t="array" ref="B16">IF(P16&lt;&gt;"",SUMPRODUCT((P$3:P$78&lt;&gt;"")*(G$3:G$78=G16)*(J$3:J$78&gt;J16))+1,IF(O16&lt;&gt;"",SUMPRODUCT((O$3:O$78&lt;&gt;"")*(P$3:P$78="")*(G$3:G$78=G16)*(J$3:J$78&gt;J16))+SUMPRODUCT((P$3:P$78&lt;&gt;"")*(G$3:G$78=G16))+1,IF(N16&lt;&gt;"",SUMPRODUCT((N$3:N$78&lt;&gt;"")*(G$3:G$78=G16)*(J$3:J$78&gt;J16))+1,IF(M16="P",SUMPRODUCT((O$3:O$78&lt;&gt;"")*(P$3:P$78="")*(G$3:G$78=G16))+SUMPRODUCT((P$3:P$78&lt;&gt;"")*(G$3:G$78=G16))+SUMPRODUCT((N$3:N$78&lt;&gt;"")*(G$3:G$78=G16))+SUMPRODUCT((P$3:P$78="")*(O$3:O$78="")*(N$3:N$78="")*(M$3:M$78="P")*(G$3:G$78=G16)*(J$3:J$78&gt;J16))+IF(H16="L5",SUMPRODUCT((P$3:P$78="")*(O$3:O$78="")*(N$3:N$78="")*(M$3:M$78="P")*(G$3:G$78=G16)*(J$3:J$78&lt;J16)*(H$3:H$78&lt;&gt;H16)),-1*SUMPRODUCT((P$3:P$78="")*(O$3:O$78="")*(N$3:N$78="")*(M$3:M$78="P")*(G$3:G$78=G16)*(J$3:J$78&gt;J16)*(H$3:H$78="L5")))+1,""))))</f>
        <v>12</v>
      </c>
      <c r="C16" s="36" t="s">
        <v>153</v>
      </c>
      <c r="D16" s="36" t="str">
        <f>IF(E16="","",VLOOKUP(E16,'Coaching Points'!A:B,2,0))</f>
        <v>QC</v>
      </c>
      <c r="E16" s="36" t="s">
        <v>3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R16+IF(OR(H16="Junior",H16="Senior"),0.0002,IF(OR(H16="L7",H16="L6"),0.0001,0))+MAX(X16,Z16)*0.0000001</f>
        <v>49.600104960000003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Scores'!F$13),AND(G16="15-16",U16&gt;='Qualifying Scores'!F$12),AND(G16="13-14",U16&gt;='Qualifying Scores'!F$11),AND(G16="11-12",U16&gt;='Qualifying Scores'!F$10)),T16,0),IF(OR(AND(G16="17-21",W16&gt;='Qualifying Scores'!F$13),AND(G16="15-16",W16&gt;='Qualifying Scores'!F$12),AND(G16="13-14",W16&gt;='Qualifying Scores'!F$11),AND(G16="11-12",W16&gt;='Qualifying Scores'!F$10)),V16,0),IF(OR(AND(G16="17-21",Y16&gt;='Qualifying Scores'!F$13),AND(G16="15-16",Y16&gt;='Qualifying Scores'!F$12),AND(G16="13-14",Y16&gt;='Qualifying Scores'!F$11),AND(G16="11-12",Y16&gt;='Qualifying Scores'!F$10)),X16,0),IF(OR(AND(G16="17-21",AA16&gt;='Qualifying Scores'!F$13),AND(G16="15-16",AA16&gt;='Qualifying Scores'!F$12),AND(G16="13-14",AA16&gt;='Qualifying Scores'!F$11),AND(G16="11-12",AA16&gt;='Qualifying Scores'!F$10)),Z16,0)))</f>
        <v>49.6</v>
      </c>
      <c r="S16" s="4">
        <f>MAX(T16,V16,X16,Z16)</f>
        <v>49.6</v>
      </c>
      <c r="T16" s="33">
        <v>47.3</v>
      </c>
      <c r="U16" s="40">
        <v>10.399999999999999</v>
      </c>
      <c r="V16" s="34">
        <v>47.7</v>
      </c>
      <c r="W16" s="40">
        <v>10.399999999999999</v>
      </c>
      <c r="X16" s="33">
        <v>48.8</v>
      </c>
      <c r="Y16" s="40">
        <v>10.4</v>
      </c>
      <c r="Z16" s="34">
        <v>49.6</v>
      </c>
      <c r="AA16" s="37">
        <v>11.6</v>
      </c>
    </row>
    <row r="17" spans="1:27" x14ac:dyDescent="0.2">
      <c r="A17" s="1" t="str" cm="1">
        <f t="array" ref="A17">IF(I17="","",IF(P17&lt;&gt;"",SUMPRODUCT((P$3:P$78&lt;&gt;"")*(G$3:G$78=G17)*(J$3:J$78&gt;J17)*(I$3:I$78="P"))+1,IF(O17&lt;&gt;"",SUMPRODUCT((O$3:O$78&lt;&gt;"")*(P$3:P$78="")*(G$3:G$78=G17)*(J$3:J$78&gt;J17)*(I$3:I$78="P"))+SUMPRODUCT((P$3:P$78&lt;&gt;"")*(G$3:G$78=G17)*(I$3:I$78="P"))+1,IF(N17&lt;&gt;"",SUMPRODUCT((N$3:N$78&lt;&gt;"")*(G$3:G$78=G17)*(J$3:J$78&gt;J17)*(I$3:I$78="P"))+1,IF(M17="P",SUMPRODUCT((O$3:O$78&lt;&gt;"")*(P$3:P$78="")*(G$3:G$78=G17)*(I$3:I$78="P"))+SUMPRODUCT((P$3:P$78&lt;&gt;"")*(G$3:G$78=G17)*(I$3:I$78="P"))+SUMPRODUCT((N$3:N$78&lt;&gt;"")*(G$3:G$78=G17)*(I$3:I$78="P"))+SUMPRODUCT((P$3:P$78="")*(O$3:O$78="")*(N$3:N$78="")*(M$3:M$78="P")*(G$3:G$78=G17)*(J$3:J$78&gt;J17)*(I$3:I$78="P"))+IF(H17="L5",SUMPRODUCT((P$3:P$78="")*(O$3:O$78="")*(N$3:N$78="")*(M$3:M$78="P")*(G$3:G$78=G17)*(J$3:J$78&lt;J17)*(H$3:H$78&lt;&gt;H17)*(I$3:I$78="P")),-1*SUMPRODUCT((P$3:P$78="")*(O$3:O$78="")*(N$3:N$78="")*(M$3:M$78="P")*(G$3:G$78=G17)*(J$3:J$78&gt;J17)*(H$3:H$78="L5")*(I$3:I$78="P")))+1,"")))))</f>
        <v/>
      </c>
      <c r="B17" s="1" cm="1">
        <f t="array" ref="B17">IF(P17&lt;&gt;"",SUMPRODUCT((P$3:P$78&lt;&gt;"")*(G$3:G$78=G17)*(J$3:J$78&gt;J17))+1,IF(O17&lt;&gt;"",SUMPRODUCT((O$3:O$78&lt;&gt;"")*(P$3:P$78="")*(G$3:G$78=G17)*(J$3:J$78&gt;J17))+SUMPRODUCT((P$3:P$78&lt;&gt;"")*(G$3:G$78=G17))+1,IF(N17&lt;&gt;"",SUMPRODUCT((N$3:N$78&lt;&gt;"")*(G$3:G$78=G17)*(J$3:J$78&gt;J17))+1,IF(M17="P",SUMPRODUCT((O$3:O$78&lt;&gt;"")*(P$3:P$78="")*(G$3:G$78=G17))+SUMPRODUCT((P$3:P$78&lt;&gt;"")*(G$3:G$78=G17))+SUMPRODUCT((N$3:N$78&lt;&gt;"")*(G$3:G$78=G17))+SUMPRODUCT((P$3:P$78="")*(O$3:O$78="")*(N$3:N$78="")*(M$3:M$78="P")*(G$3:G$78=G17)*(J$3:J$78&gt;J17))+IF(H17="L5",SUMPRODUCT((P$3:P$78="")*(O$3:O$78="")*(N$3:N$78="")*(M$3:M$78="P")*(G$3:G$78=G17)*(J$3:J$78&lt;J17)*(H$3:H$78&lt;&gt;H17)),-1*SUMPRODUCT((P$3:P$78="")*(O$3:O$78="")*(N$3:N$78="")*(M$3:M$78="P")*(G$3:G$78=G17)*(J$3:J$78&gt;J17)*(H$3:H$78="L5")))+1,""))))</f>
        <v>13</v>
      </c>
      <c r="C17" s="36" t="s">
        <v>517</v>
      </c>
      <c r="D17" s="36" t="str">
        <f>IF(E17="","",VLOOKUP(E17,'Coaching Points'!A:B,2,0))</f>
        <v>BC</v>
      </c>
      <c r="E17" s="36" t="s">
        <v>42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168</v>
      </c>
      <c r="I17" s="45"/>
      <c r="J17" s="4">
        <f>R17+IF(OR(H17="Junior",H17="Senior"),0.0002,IF(OR(H17="L7",H17="L6"),0.0001,0))+MAX(X17,Z17)*0.0000001</f>
        <v>49.500204429999997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Scores'!F$13),AND(G17="15-16",U17&gt;='Qualifying Scores'!F$12),AND(G17="13-14",U17&gt;='Qualifying Scores'!F$11),AND(G17="11-12",U17&gt;='Qualifying Scores'!F$10)),T17,0),IF(OR(AND(G17="17-21",W17&gt;='Qualifying Scores'!F$13),AND(G17="15-16",W17&gt;='Qualifying Scores'!F$12),AND(G17="13-14",W17&gt;='Qualifying Scores'!F$11),AND(G17="11-12",W17&gt;='Qualifying Scores'!F$10)),V17,0),IF(OR(AND(G17="17-21",Y17&gt;='Qualifying Scores'!F$13),AND(G17="15-16",Y17&gt;='Qualifying Scores'!F$12),AND(G17="13-14",Y17&gt;='Qualifying Scores'!F$11),AND(G17="11-12",Y17&gt;='Qualifying Scores'!F$10)),X17,0),IF(OR(AND(G17="17-21",AA17&gt;='Qualifying Scores'!F$13),AND(G17="15-16",AA17&gt;='Qualifying Scores'!F$12),AND(G17="13-14",AA17&gt;='Qualifying Scores'!F$11),AND(G17="11-12",AA17&gt;='Qualifying Scores'!F$10)),Z17,0)))</f>
        <v>49.5</v>
      </c>
      <c r="S17" s="4">
        <f>MAX(T17,V17,X17,Z17)</f>
        <v>49.5</v>
      </c>
      <c r="T17" s="33">
        <v>49.5</v>
      </c>
      <c r="U17" s="40">
        <v>14.100000000000001</v>
      </c>
      <c r="V17" s="34">
        <v>45.1</v>
      </c>
      <c r="W17" s="40">
        <v>9.6000000000000014</v>
      </c>
      <c r="X17" s="33">
        <v>44.300000000000011</v>
      </c>
      <c r="Y17" s="40">
        <v>12.5</v>
      </c>
      <c r="Z17" s="34"/>
      <c r="AA17" s="37"/>
    </row>
    <row r="18" spans="1:27" x14ac:dyDescent="0.2">
      <c r="A18" s="1" t="str" cm="1">
        <f t="array" ref="A18">IF(I18="","",IF(P18&lt;&gt;"",SUMPRODUCT((P$3:P$78&lt;&gt;"")*(G$3:G$78=G18)*(J$3:J$78&gt;J18)*(I$3:I$78="P"))+1,IF(O18&lt;&gt;"",SUMPRODUCT((O$3:O$78&lt;&gt;"")*(P$3:P$78="")*(G$3:G$78=G18)*(J$3:J$78&gt;J18)*(I$3:I$78="P"))+SUMPRODUCT((P$3:P$78&lt;&gt;"")*(G$3:G$78=G18)*(I$3:I$78="P"))+1,IF(N18&lt;&gt;"",SUMPRODUCT((N$3:N$78&lt;&gt;"")*(G$3:G$78=G18)*(J$3:J$78&gt;J18)*(I$3:I$78="P"))+1,IF(M18="P",SUMPRODUCT((O$3:O$78&lt;&gt;"")*(P$3:P$78="")*(G$3:G$78=G18)*(I$3:I$78="P"))+SUMPRODUCT((P$3:P$78&lt;&gt;"")*(G$3:G$78=G18)*(I$3:I$78="P"))+SUMPRODUCT((N$3:N$78&lt;&gt;"")*(G$3:G$78=G18)*(I$3:I$78="P"))+SUMPRODUCT((P$3:P$78="")*(O$3:O$78="")*(N$3:N$78="")*(M$3:M$78="P")*(G$3:G$78=G18)*(J$3:J$78&gt;J18)*(I$3:I$78="P"))+IF(H18="L5",SUMPRODUCT((P$3:P$78="")*(O$3:O$78="")*(N$3:N$78="")*(M$3:M$78="P")*(G$3:G$78=G18)*(J$3:J$78&lt;J18)*(H$3:H$78&lt;&gt;H18)*(I$3:I$78="P")),-1*SUMPRODUCT((P$3:P$78="")*(O$3:O$78="")*(N$3:N$78="")*(M$3:M$78="P")*(G$3:G$78=G18)*(J$3:J$78&gt;J18)*(H$3:H$78="L5")*(I$3:I$78="P")))+1,"")))))</f>
        <v/>
      </c>
      <c r="B18" s="1" cm="1">
        <f t="array" ref="B18">IF(P18&lt;&gt;"",SUMPRODUCT((P$3:P$78&lt;&gt;"")*(G$3:G$78=G18)*(J$3:J$78&gt;J18))+1,IF(O18&lt;&gt;"",SUMPRODUCT((O$3:O$78&lt;&gt;"")*(P$3:P$78="")*(G$3:G$78=G18)*(J$3:J$78&gt;J18))+SUMPRODUCT((P$3:P$78&lt;&gt;"")*(G$3:G$78=G18))+1,IF(N18&lt;&gt;"",SUMPRODUCT((N$3:N$78&lt;&gt;"")*(G$3:G$78=G18)*(J$3:J$78&gt;J18))+1,IF(M18="P",SUMPRODUCT((O$3:O$78&lt;&gt;"")*(P$3:P$78="")*(G$3:G$78=G18))+SUMPRODUCT((P$3:P$78&lt;&gt;"")*(G$3:G$78=G18))+SUMPRODUCT((N$3:N$78&lt;&gt;"")*(G$3:G$78=G18))+SUMPRODUCT((P$3:P$78="")*(O$3:O$78="")*(N$3:N$78="")*(M$3:M$78="P")*(G$3:G$78=G18)*(J$3:J$78&gt;J18))+IF(H18="L5",SUMPRODUCT((P$3:P$78="")*(O$3:O$78="")*(N$3:N$78="")*(M$3:M$78="P")*(G$3:G$78=G18)*(J$3:J$78&lt;J18)*(H$3:H$78&lt;&gt;H18)),-1*SUMPRODUCT((P$3:P$78="")*(O$3:O$78="")*(N$3:N$78="")*(M$3:M$78="P")*(G$3:G$78=G18)*(J$3:J$78&gt;J18)*(H$3:H$78="L5")))+1,""))))</f>
        <v>14</v>
      </c>
      <c r="C18" s="36" t="s">
        <v>154</v>
      </c>
      <c r="D18" s="36" t="str">
        <f>IF(E18="","",VLOOKUP(E18,'Coaching Points'!A:B,2,0))</f>
        <v>AB</v>
      </c>
      <c r="E18" s="36" t="s">
        <v>89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49.200104920000008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Scores'!F$13),AND(G18="15-16",U18&gt;='Qualifying Scores'!F$12),AND(G18="13-14",U18&gt;='Qualifying Scores'!F$11),AND(G18="11-12",U18&gt;='Qualifying Scores'!F$10)),T18,0),IF(OR(AND(G18="17-21",W18&gt;='Qualifying Scores'!F$13),AND(G18="15-16",W18&gt;='Qualifying Scores'!F$12),AND(G18="13-14",W18&gt;='Qualifying Scores'!F$11),AND(G18="11-12",W18&gt;='Qualifying Scores'!F$10)),V18,0),IF(OR(AND(G18="17-21",Y18&gt;='Qualifying Scores'!F$13),AND(G18="15-16",Y18&gt;='Qualifying Scores'!F$12),AND(G18="13-14",Y18&gt;='Qualifying Scores'!F$11),AND(G18="11-12",Y18&gt;='Qualifying Scores'!F$10)),X18,0),IF(OR(AND(G18="17-21",AA18&gt;='Qualifying Scores'!F$13),AND(G18="15-16",AA18&gt;='Qualifying Scores'!F$12),AND(G18="13-14",AA18&gt;='Qualifying Scores'!F$11),AND(G18="11-12",AA18&gt;='Qualifying Scores'!F$10)),Z18,0)))</f>
        <v>49.2</v>
      </c>
      <c r="S18" s="4">
        <f>MAX(T18,V18,X18,Z18)</f>
        <v>49.2</v>
      </c>
      <c r="T18" s="33">
        <v>47.399999999999991</v>
      </c>
      <c r="U18" s="40">
        <v>11.6</v>
      </c>
      <c r="V18" s="34">
        <v>44.1</v>
      </c>
      <c r="W18" s="40">
        <v>8.4</v>
      </c>
      <c r="X18" s="33">
        <v>49.2</v>
      </c>
      <c r="Y18" s="40">
        <v>12.4</v>
      </c>
      <c r="Z18" s="34">
        <v>48.499999999999993</v>
      </c>
      <c r="AA18" s="37">
        <v>12.4</v>
      </c>
    </row>
    <row r="19" spans="1:27" x14ac:dyDescent="0.2">
      <c r="A19" s="1" t="str" cm="1">
        <f t="array" ref="A19">IF(I19="","",IF(P19&lt;&gt;"",SUMPRODUCT((P$3:P$78&lt;&gt;"")*(G$3:G$78=G19)*(J$3:J$78&gt;J19)*(I$3:I$78="P"))+1,IF(O19&lt;&gt;"",SUMPRODUCT((O$3:O$78&lt;&gt;"")*(P$3:P$78="")*(G$3:G$78=G19)*(J$3:J$78&gt;J19)*(I$3:I$78="P"))+SUMPRODUCT((P$3:P$78&lt;&gt;"")*(G$3:G$78=G19)*(I$3:I$78="P"))+1,IF(N19&lt;&gt;"",SUMPRODUCT((N$3:N$78&lt;&gt;"")*(G$3:G$78=G19)*(J$3:J$78&gt;J19)*(I$3:I$78="P"))+1,IF(M19="P",SUMPRODUCT((O$3:O$78&lt;&gt;"")*(P$3:P$78="")*(G$3:G$78=G19)*(I$3:I$78="P"))+SUMPRODUCT((P$3:P$78&lt;&gt;"")*(G$3:G$78=G19)*(I$3:I$78="P"))+SUMPRODUCT((N$3:N$78&lt;&gt;"")*(G$3:G$78=G19)*(I$3:I$78="P"))+SUMPRODUCT((P$3:P$78="")*(O$3:O$78="")*(N$3:N$78="")*(M$3:M$78="P")*(G$3:G$78=G19)*(J$3:J$78&gt;J19)*(I$3:I$78="P"))+IF(H19="L5",SUMPRODUCT((P$3:P$78="")*(O$3:O$78="")*(N$3:N$78="")*(M$3:M$78="P")*(G$3:G$78=G19)*(J$3:J$78&lt;J19)*(H$3:H$78&lt;&gt;H19)*(I$3:I$78="P")),-1*SUMPRODUCT((P$3:P$78="")*(O$3:O$78="")*(N$3:N$78="")*(M$3:M$78="P")*(G$3:G$78=G19)*(J$3:J$78&gt;J19)*(H$3:H$78="L5")*(I$3:I$78="P")))+1,"")))))</f>
        <v/>
      </c>
      <c r="B19" s="1" cm="1">
        <f t="array" ref="B19">IF(P19&lt;&gt;"",SUMPRODUCT((P$3:P$78&lt;&gt;"")*(G$3:G$78=G19)*(J$3:J$78&gt;J19))+1,IF(O19&lt;&gt;"",SUMPRODUCT((O$3:O$78&lt;&gt;"")*(P$3:P$78="")*(G$3:G$78=G19)*(J$3:J$78&gt;J19))+SUMPRODUCT((P$3:P$78&lt;&gt;"")*(G$3:G$78=G19))+1,IF(N19&lt;&gt;"",SUMPRODUCT((N$3:N$78&lt;&gt;"")*(G$3:G$78=G19)*(J$3:J$78&gt;J19))+1,IF(M19="P",SUMPRODUCT((O$3:O$78&lt;&gt;"")*(P$3:P$78="")*(G$3:G$78=G19))+SUMPRODUCT((P$3:P$78&lt;&gt;"")*(G$3:G$78=G19))+SUMPRODUCT((N$3:N$78&lt;&gt;"")*(G$3:G$78=G19))+SUMPRODUCT((P$3:P$78="")*(O$3:O$78="")*(N$3:N$78="")*(M$3:M$78="P")*(G$3:G$78=G19)*(J$3:J$78&gt;J19))+IF(H19="L5",SUMPRODUCT((P$3:P$78="")*(O$3:O$78="")*(N$3:N$78="")*(M$3:M$78="P")*(G$3:G$78=G19)*(J$3:J$78&lt;J19)*(H$3:H$78&lt;&gt;H19)),-1*SUMPRODUCT((P$3:P$78="")*(O$3:O$78="")*(N$3:N$78="")*(M$3:M$78="P")*(G$3:G$78=G19)*(J$3:J$78&gt;J19)*(H$3:H$78="L5")))+1,""))))</f>
        <v>16</v>
      </c>
      <c r="C19" s="36" t="s">
        <v>588</v>
      </c>
      <c r="D19" s="36" t="str">
        <f>IF(E19="","",VLOOKUP(E19,'Coaching Points'!A:B,2,0))</f>
        <v>AB</v>
      </c>
      <c r="E19" s="36" t="s">
        <v>91</v>
      </c>
      <c r="F19" s="35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R19+IF(OR(H19="Junior",H19="Senior"),0.0002,IF(OR(H19="L7",H19="L6"),0.0001,0))+MAX(X19,Z19)*0.0000001</f>
        <v>48.900104889999994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Scores'!F$13),AND(G19="15-16",U19&gt;='Qualifying Scores'!F$12),AND(G19="13-14",U19&gt;='Qualifying Scores'!F$11),AND(G19="11-12",U19&gt;='Qualifying Scores'!F$10)),T19,0),IF(OR(AND(G19="17-21",W19&gt;='Qualifying Scores'!F$13),AND(G19="15-16",W19&gt;='Qualifying Scores'!F$12),AND(G19="13-14",W19&gt;='Qualifying Scores'!F$11),AND(G19="11-12",W19&gt;='Qualifying Scores'!F$10)),V19,0),IF(OR(AND(G19="17-21",Y19&gt;='Qualifying Scores'!F$13),AND(G19="15-16",Y19&gt;='Qualifying Scores'!F$12),AND(G19="13-14",Y19&gt;='Qualifying Scores'!F$11),AND(G19="11-12",Y19&gt;='Qualifying Scores'!F$10)),X19,0),IF(OR(AND(G19="17-21",AA19&gt;='Qualifying Scores'!F$13),AND(G19="15-16",AA19&gt;='Qualifying Scores'!F$12),AND(G19="13-14",AA19&gt;='Qualifying Scores'!F$11),AND(G19="11-12",AA19&gt;='Qualifying Scores'!F$10)),Z19,0)))</f>
        <v>48.899999999999991</v>
      </c>
      <c r="S19" s="4">
        <f>MAX(T19,V19,X19,Z19)</f>
        <v>48.899999999999991</v>
      </c>
      <c r="T19" s="33">
        <v>47.900000000000006</v>
      </c>
      <c r="U19" s="40">
        <v>12</v>
      </c>
      <c r="V19" s="34">
        <v>47</v>
      </c>
      <c r="W19" s="40">
        <v>11.6</v>
      </c>
      <c r="X19" s="33">
        <v>48.899999999999991</v>
      </c>
      <c r="Y19" s="40">
        <v>12</v>
      </c>
      <c r="Z19" s="34"/>
      <c r="AA19" s="37"/>
    </row>
    <row r="20" spans="1:27" x14ac:dyDescent="0.2">
      <c r="A20" s="1" t="str" cm="1">
        <f t="array" ref="A20">IF(I20="","",IF(P20&lt;&gt;"",SUMPRODUCT((P$3:P$78&lt;&gt;"")*(G$3:G$78=G20)*(J$3:J$78&gt;J20)*(I$3:I$78="P"))+1,IF(O20&lt;&gt;"",SUMPRODUCT((O$3:O$78&lt;&gt;"")*(P$3:P$78="")*(G$3:G$78=G20)*(J$3:J$78&gt;J20)*(I$3:I$78="P"))+SUMPRODUCT((P$3:P$78&lt;&gt;"")*(G$3:G$78=G20)*(I$3:I$78="P"))+1,IF(N20&lt;&gt;"",SUMPRODUCT((N$3:N$78&lt;&gt;"")*(G$3:G$78=G20)*(J$3:J$78&gt;J20)*(I$3:I$78="P"))+1,IF(M20="P",SUMPRODUCT((O$3:O$78&lt;&gt;"")*(P$3:P$78="")*(G$3:G$78=G20)*(I$3:I$78="P"))+SUMPRODUCT((P$3:P$78&lt;&gt;"")*(G$3:G$78=G20)*(I$3:I$78="P"))+SUMPRODUCT((N$3:N$78&lt;&gt;"")*(G$3:G$78=G20)*(I$3:I$78="P"))+SUMPRODUCT((P$3:P$78="")*(O$3:O$78="")*(N$3:N$78="")*(M$3:M$78="P")*(G$3:G$78=G20)*(J$3:J$78&gt;J20)*(I$3:I$78="P"))+IF(H20="L5",SUMPRODUCT((P$3:P$78="")*(O$3:O$78="")*(N$3:N$78="")*(M$3:M$78="P")*(G$3:G$78=G20)*(J$3:J$78&lt;J20)*(H$3:H$78&lt;&gt;H20)*(I$3:I$78="P")),-1*SUMPRODUCT((P$3:P$78="")*(O$3:O$78="")*(N$3:N$78="")*(M$3:M$78="P")*(G$3:G$78=G20)*(J$3:J$78&gt;J20)*(H$3:H$78="L5")*(I$3:I$78="P")))+1,"")))))</f>
        <v/>
      </c>
      <c r="B20" s="1" cm="1">
        <f t="array" ref="B20">IF(P20&lt;&gt;"",SUMPRODUCT((P$3:P$78&lt;&gt;"")*(G$3:G$78=G20)*(J$3:J$78&gt;J20))+1,IF(O20&lt;&gt;"",SUMPRODUCT((O$3:O$78&lt;&gt;"")*(P$3:P$78="")*(G$3:G$78=G20)*(J$3:J$78&gt;J20))+SUMPRODUCT((P$3:P$78&lt;&gt;"")*(G$3:G$78=G20))+1,IF(N20&lt;&gt;"",SUMPRODUCT((N$3:N$78&lt;&gt;"")*(G$3:G$78=G20)*(J$3:J$78&gt;J20))+1,IF(M20="P",SUMPRODUCT((O$3:O$78&lt;&gt;"")*(P$3:P$78="")*(G$3:G$78=G20))+SUMPRODUCT((P$3:P$78&lt;&gt;"")*(G$3:G$78=G20))+SUMPRODUCT((N$3:N$78&lt;&gt;"")*(G$3:G$78=G20))+SUMPRODUCT((P$3:P$78="")*(O$3:O$78="")*(N$3:N$78="")*(M$3:M$78="P")*(G$3:G$78=G20)*(J$3:J$78&gt;J20))+IF(H20="L5",SUMPRODUCT((P$3:P$78="")*(O$3:O$78="")*(N$3:N$78="")*(M$3:M$78="P")*(G$3:G$78=G20)*(J$3:J$78&lt;J20)*(H$3:H$78&lt;&gt;H20)),-1*SUMPRODUCT((P$3:P$78="")*(O$3:O$78="")*(N$3:N$78="")*(M$3:M$78="P")*(G$3:G$78=G20)*(J$3:J$78&gt;J20)*(H$3:H$78="L5")))+1,""))))</f>
        <v>17</v>
      </c>
      <c r="C20" s="36" t="s">
        <v>150</v>
      </c>
      <c r="D20" s="36" t="str">
        <f>IF(E20="","",VLOOKUP(E20,'Coaching Points'!A:B,2,0))</f>
        <v>BC</v>
      </c>
      <c r="E20" s="36" t="s">
        <v>47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48.800104859999998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Scores'!F$13),AND(G20="15-16",U20&gt;='Qualifying Scores'!F$12),AND(G20="13-14",U20&gt;='Qualifying Scores'!F$11),AND(G20="11-12",U20&gt;='Qualifying Scores'!F$10)),T20,0),IF(OR(AND(G20="17-21",W20&gt;='Qualifying Scores'!F$13),AND(G20="15-16",W20&gt;='Qualifying Scores'!F$12),AND(G20="13-14",W20&gt;='Qualifying Scores'!F$11),AND(G20="11-12",W20&gt;='Qualifying Scores'!F$10)),V20,0),IF(OR(AND(G20="17-21",Y20&gt;='Qualifying Scores'!F$13),AND(G20="15-16",Y20&gt;='Qualifying Scores'!F$12),AND(G20="13-14",Y20&gt;='Qualifying Scores'!F$11),AND(G20="11-12",Y20&gt;='Qualifying Scores'!F$10)),X20,0),IF(OR(AND(G20="17-21",AA20&gt;='Qualifying Scores'!F$13),AND(G20="15-16",AA20&gt;='Qualifying Scores'!F$12),AND(G20="13-14",AA20&gt;='Qualifying Scores'!F$11),AND(G20="11-12",AA20&gt;='Qualifying Scores'!F$10)),Z20,0)))</f>
        <v>48.8</v>
      </c>
      <c r="S20" s="4">
        <f>MAX(T20,V20,X20,Z20)</f>
        <v>48.8</v>
      </c>
      <c r="T20" s="33">
        <v>48.099999999999994</v>
      </c>
      <c r="U20" s="40">
        <v>12</v>
      </c>
      <c r="V20" s="34">
        <v>48.8</v>
      </c>
      <c r="W20" s="40">
        <v>12</v>
      </c>
      <c r="X20" s="33">
        <v>48.599999999999994</v>
      </c>
      <c r="Y20" s="40">
        <v>12.4</v>
      </c>
      <c r="Z20" s="34">
        <v>48.199999999999996</v>
      </c>
      <c r="AA20" s="37">
        <v>12.4</v>
      </c>
    </row>
    <row r="21" spans="1:27" x14ac:dyDescent="0.2">
      <c r="A21" s="1" t="str" cm="1">
        <f t="array" ref="A21">IF(I21="","",IF(P21&lt;&gt;"",SUMPRODUCT((P$3:P$78&lt;&gt;"")*(G$3:G$78=G21)*(J$3:J$78&gt;J21)*(I$3:I$78="P"))+1,IF(O21&lt;&gt;"",SUMPRODUCT((O$3:O$78&lt;&gt;"")*(P$3:P$78="")*(G$3:G$78=G21)*(J$3:J$78&gt;J21)*(I$3:I$78="P"))+SUMPRODUCT((P$3:P$78&lt;&gt;"")*(G$3:G$78=G21)*(I$3:I$78="P"))+1,IF(N21&lt;&gt;"",SUMPRODUCT((N$3:N$78&lt;&gt;"")*(G$3:G$78=G21)*(J$3:J$78&gt;J21)*(I$3:I$78="P"))+1,IF(M21="P",SUMPRODUCT((O$3:O$78&lt;&gt;"")*(P$3:P$78="")*(G$3:G$78=G21)*(I$3:I$78="P"))+SUMPRODUCT((P$3:P$78&lt;&gt;"")*(G$3:G$78=G21)*(I$3:I$78="P"))+SUMPRODUCT((N$3:N$78&lt;&gt;"")*(G$3:G$78=G21)*(I$3:I$78="P"))+SUMPRODUCT((P$3:P$78="")*(O$3:O$78="")*(N$3:N$78="")*(M$3:M$78="P")*(G$3:G$78=G21)*(J$3:J$78&gt;J21)*(I$3:I$78="P"))+IF(H21="L5",SUMPRODUCT((P$3:P$78="")*(O$3:O$78="")*(N$3:N$78="")*(M$3:M$78="P")*(G$3:G$78=G21)*(J$3:J$78&lt;J21)*(H$3:H$78&lt;&gt;H21)*(I$3:I$78="P")),-1*SUMPRODUCT((P$3:P$78="")*(O$3:O$78="")*(N$3:N$78="")*(M$3:M$78="P")*(G$3:G$78=G21)*(J$3:J$78&gt;J21)*(H$3:H$78="L5")*(I$3:I$78="P")))+1,"")))))</f>
        <v/>
      </c>
      <c r="B21" s="1" cm="1">
        <f t="array" ref="B21">IF(P21&lt;&gt;"",SUMPRODUCT((P$3:P$78&lt;&gt;"")*(G$3:G$78=G21)*(J$3:J$78&gt;J21))+1,IF(O21&lt;&gt;"",SUMPRODUCT((O$3:O$78&lt;&gt;"")*(P$3:P$78="")*(G$3:G$78=G21)*(J$3:J$78&gt;J21))+SUMPRODUCT((P$3:P$78&lt;&gt;"")*(G$3:G$78=G21))+1,IF(N21&lt;&gt;"",SUMPRODUCT((N$3:N$78&lt;&gt;"")*(G$3:G$78=G21)*(J$3:J$78&gt;J21))+1,IF(M21="P",SUMPRODUCT((O$3:O$78&lt;&gt;"")*(P$3:P$78="")*(G$3:G$78=G21))+SUMPRODUCT((P$3:P$78&lt;&gt;"")*(G$3:G$78=G21))+SUMPRODUCT((N$3:N$78&lt;&gt;"")*(G$3:G$78=G21))+SUMPRODUCT((P$3:P$78="")*(O$3:O$78="")*(N$3:N$78="")*(M$3:M$78="P")*(G$3:G$78=G21)*(J$3:J$78&gt;J21))+IF(H21="L5",SUMPRODUCT((P$3:P$78="")*(O$3:O$78="")*(N$3:N$78="")*(M$3:M$78="P")*(G$3:G$78=G21)*(J$3:J$78&lt;J21)*(H$3:H$78&lt;&gt;H21)),-1*SUMPRODUCT((P$3:P$78="")*(O$3:O$78="")*(N$3:N$78="")*(M$3:M$78="P")*(G$3:G$78=G21)*(J$3:J$78&gt;J21)*(H$3:H$78="L5")))+1,""))))</f>
        <v>18</v>
      </c>
      <c r="C21" s="36" t="s">
        <v>159</v>
      </c>
      <c r="D21" s="36" t="str">
        <f>IF(E21="","",VLOOKUP(E21,'Coaching Points'!A:B,2,0))</f>
        <v>QC</v>
      </c>
      <c r="E21" s="36" t="s">
        <v>361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48.300104830000009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Scores'!F$13),AND(G21="15-16",U21&gt;='Qualifying Scores'!F$12),AND(G21="13-14",U21&gt;='Qualifying Scores'!F$11),AND(G21="11-12",U21&gt;='Qualifying Scores'!F$10)),T21,0),IF(OR(AND(G21="17-21",W21&gt;='Qualifying Scores'!F$13),AND(G21="15-16",W21&gt;='Qualifying Scores'!F$12),AND(G21="13-14",W21&gt;='Qualifying Scores'!F$11),AND(G21="11-12",W21&gt;='Qualifying Scores'!F$10)),V21,0),IF(OR(AND(G21="17-21",Y21&gt;='Qualifying Scores'!F$13),AND(G21="15-16",Y21&gt;='Qualifying Scores'!F$12),AND(G21="13-14",Y21&gt;='Qualifying Scores'!F$11),AND(G21="11-12",Y21&gt;='Qualifying Scores'!F$10)),X21,0),IF(OR(AND(G21="17-21",AA21&gt;='Qualifying Scores'!F$13),AND(G21="15-16",AA21&gt;='Qualifying Scores'!F$12),AND(G21="13-14",AA21&gt;='Qualifying Scores'!F$11),AND(G21="11-12",AA21&gt;='Qualifying Scores'!F$10)),Z21,0)))</f>
        <v>48.300000000000004</v>
      </c>
      <c r="S21" s="4">
        <f>MAX(T21,V21,X21,Z21)</f>
        <v>48.300000000000004</v>
      </c>
      <c r="T21" s="33">
        <v>23.5</v>
      </c>
      <c r="U21" s="40">
        <v>4.8</v>
      </c>
      <c r="V21" s="34">
        <v>0</v>
      </c>
      <c r="W21" s="40">
        <v>0</v>
      </c>
      <c r="X21" s="33">
        <v>48.300000000000004</v>
      </c>
      <c r="Y21" s="40">
        <v>10.4</v>
      </c>
      <c r="Z21" s="34">
        <v>45.2</v>
      </c>
      <c r="AA21" s="37">
        <v>8</v>
      </c>
    </row>
    <row r="22" spans="1:27" x14ac:dyDescent="0.2">
      <c r="A22" s="1" t="str" cm="1">
        <f t="array" ref="A22">IF(I22="","",IF(P22&lt;&gt;"",SUMPRODUCT((P$3:P$78&lt;&gt;"")*(G$3:G$78=G22)*(J$3:J$78&gt;J22)*(I$3:I$78="P"))+1,IF(O22&lt;&gt;"",SUMPRODUCT((O$3:O$78&lt;&gt;"")*(P$3:P$78="")*(G$3:G$78=G22)*(J$3:J$78&gt;J22)*(I$3:I$78="P"))+SUMPRODUCT((P$3:P$78&lt;&gt;"")*(G$3:G$78=G22)*(I$3:I$78="P"))+1,IF(N22&lt;&gt;"",SUMPRODUCT((N$3:N$78&lt;&gt;"")*(G$3:G$78=G22)*(J$3:J$78&gt;J22)*(I$3:I$78="P"))+1,IF(M22="P",SUMPRODUCT((O$3:O$78&lt;&gt;"")*(P$3:P$78="")*(G$3:G$78=G22)*(I$3:I$78="P"))+SUMPRODUCT((P$3:P$78&lt;&gt;"")*(G$3:G$78=G22)*(I$3:I$78="P"))+SUMPRODUCT((N$3:N$78&lt;&gt;"")*(G$3:G$78=G22)*(I$3:I$78="P"))+SUMPRODUCT((P$3:P$78="")*(O$3:O$78="")*(N$3:N$78="")*(M$3:M$78="P")*(G$3:G$78=G22)*(J$3:J$78&gt;J22)*(I$3:I$78="P"))+IF(H22="L5",SUMPRODUCT((P$3:P$78="")*(O$3:O$78="")*(N$3:N$78="")*(M$3:M$78="P")*(G$3:G$78=G22)*(J$3:J$78&lt;J22)*(H$3:H$78&lt;&gt;H22)*(I$3:I$78="P")),-1*SUMPRODUCT((P$3:P$78="")*(O$3:O$78="")*(N$3:N$78="")*(M$3:M$78="P")*(G$3:G$78=G22)*(J$3:J$78&gt;J22)*(H$3:H$78="L5")*(I$3:I$78="P")))+1,"")))))</f>
        <v/>
      </c>
      <c r="B22" s="1" cm="1">
        <f t="array" ref="B22">IF(P22&lt;&gt;"",SUMPRODUCT((P$3:P$78&lt;&gt;"")*(G$3:G$78=G22)*(J$3:J$78&gt;J22))+1,IF(O22&lt;&gt;"",SUMPRODUCT((O$3:O$78&lt;&gt;"")*(P$3:P$78="")*(G$3:G$78=G22)*(J$3:J$78&gt;J22))+SUMPRODUCT((P$3:P$78&lt;&gt;"")*(G$3:G$78=G22))+1,IF(N22&lt;&gt;"",SUMPRODUCT((N$3:N$78&lt;&gt;"")*(G$3:G$78=G22)*(J$3:J$78&gt;J22))+1,IF(M22="P",SUMPRODUCT((O$3:O$78&lt;&gt;"")*(P$3:P$78="")*(G$3:G$78=G22))+SUMPRODUCT((P$3:P$78&lt;&gt;"")*(G$3:G$78=G22))+SUMPRODUCT((N$3:N$78&lt;&gt;"")*(G$3:G$78=G22))+SUMPRODUCT((P$3:P$78="")*(O$3:O$78="")*(N$3:N$78="")*(M$3:M$78="P")*(G$3:G$78=G22)*(J$3:J$78&gt;J22))+IF(H22="L5",SUMPRODUCT((P$3:P$78="")*(O$3:O$78="")*(N$3:N$78="")*(M$3:M$78="P")*(G$3:G$78=G22)*(J$3:J$78&lt;J22)*(H$3:H$78&lt;&gt;H22)),-1*SUMPRODUCT((P$3:P$78="")*(O$3:O$78="")*(N$3:N$78="")*(M$3:M$78="P")*(G$3:G$78=G22)*(J$3:J$78&gt;J22)*(H$3:H$78="L5")))+1,""))))</f>
        <v>19</v>
      </c>
      <c r="C22" s="36" t="s">
        <v>166</v>
      </c>
      <c r="D22" s="36" t="str">
        <f>IF(E22="","",VLOOKUP(E22,'Coaching Points'!A:B,2,0))</f>
        <v>BC</v>
      </c>
      <c r="E22" s="36" t="s">
        <v>37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168</v>
      </c>
      <c r="I22" s="45"/>
      <c r="J22" s="4">
        <f>R22+IF(OR(H22="Junior",H22="Senior"),0.0002,IF(OR(H22="L7",H22="L6"),0.0001,0))+MAX(X22,Z22)*0.0000001</f>
        <v>48.200204210000003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Scores'!F$13),AND(G22="15-16",U22&gt;='Qualifying Scores'!F$12),AND(G22="13-14",U22&gt;='Qualifying Scores'!F$11),AND(G22="11-12",U22&gt;='Qualifying Scores'!F$10)),T22,0),IF(OR(AND(G22="17-21",W22&gt;='Qualifying Scores'!F$13),AND(G22="15-16",W22&gt;='Qualifying Scores'!F$12),AND(G22="13-14",W22&gt;='Qualifying Scores'!F$11),AND(G22="11-12",W22&gt;='Qualifying Scores'!F$10)),V22,0),IF(OR(AND(G22="17-21",Y22&gt;='Qualifying Scores'!F$13),AND(G22="15-16",Y22&gt;='Qualifying Scores'!F$12),AND(G22="13-14",Y22&gt;='Qualifying Scores'!F$11),AND(G22="11-12",Y22&gt;='Qualifying Scores'!F$10)),X22,0),IF(OR(AND(G22="17-21",AA22&gt;='Qualifying Scores'!F$13),AND(G22="15-16",AA22&gt;='Qualifying Scores'!F$12),AND(G22="13-14",AA22&gt;='Qualifying Scores'!F$11),AND(G22="11-12",AA22&gt;='Qualifying Scores'!F$10)),Z22,0)))</f>
        <v>48.2</v>
      </c>
      <c r="S22" s="4">
        <f>MAX(T22,V22,X22,Z22)</f>
        <v>48.2</v>
      </c>
      <c r="T22" s="33">
        <v>48.2</v>
      </c>
      <c r="U22" s="40">
        <v>12.4</v>
      </c>
      <c r="V22" s="34">
        <v>0</v>
      </c>
      <c r="W22" s="40">
        <v>0</v>
      </c>
      <c r="X22" s="33">
        <v>42.1</v>
      </c>
      <c r="Y22" s="40">
        <v>9.3999999999999986</v>
      </c>
      <c r="Z22" s="34"/>
      <c r="AA22" s="37"/>
    </row>
    <row r="23" spans="1:27" x14ac:dyDescent="0.2">
      <c r="A23" s="1" t="str" cm="1">
        <f t="array" ref="A23">IF(I23="","",IF(P23&lt;&gt;"",SUMPRODUCT((P$3:P$78&lt;&gt;"")*(G$3:G$78=G23)*(J$3:J$78&gt;J23)*(I$3:I$78="P"))+1,IF(O23&lt;&gt;"",SUMPRODUCT((O$3:O$78&lt;&gt;"")*(P$3:P$78="")*(G$3:G$78=G23)*(J$3:J$78&gt;J23)*(I$3:I$78="P"))+SUMPRODUCT((P$3:P$78&lt;&gt;"")*(G$3:G$78=G23)*(I$3:I$78="P"))+1,IF(N23&lt;&gt;"",SUMPRODUCT((N$3:N$78&lt;&gt;"")*(G$3:G$78=G23)*(J$3:J$78&gt;J23)*(I$3:I$78="P"))+1,IF(M23="P",SUMPRODUCT((O$3:O$78&lt;&gt;"")*(P$3:P$78="")*(G$3:G$78=G23)*(I$3:I$78="P"))+SUMPRODUCT((P$3:P$78&lt;&gt;"")*(G$3:G$78=G23)*(I$3:I$78="P"))+SUMPRODUCT((N$3:N$78&lt;&gt;"")*(G$3:G$78=G23)*(I$3:I$78="P"))+SUMPRODUCT((P$3:P$78="")*(O$3:O$78="")*(N$3:N$78="")*(M$3:M$78="P")*(G$3:G$78=G23)*(J$3:J$78&gt;J23)*(I$3:I$78="P"))+IF(H23="L5",SUMPRODUCT((P$3:P$78="")*(O$3:O$78="")*(N$3:N$78="")*(M$3:M$78="P")*(G$3:G$78=G23)*(J$3:J$78&lt;J23)*(H$3:H$78&lt;&gt;H23)*(I$3:I$78="P")),-1*SUMPRODUCT((P$3:P$78="")*(O$3:O$78="")*(N$3:N$78="")*(M$3:M$78="P")*(G$3:G$78=G23)*(J$3:J$78&gt;J23)*(H$3:H$78="L5")*(I$3:I$78="P")))+1,"")))))</f>
        <v/>
      </c>
      <c r="B23" s="1" cm="1">
        <f t="array" ref="B23">IF(P23&lt;&gt;"",SUMPRODUCT((P$3:P$78&lt;&gt;"")*(G$3:G$78=G23)*(J$3:J$78&gt;J23))+1,IF(O23&lt;&gt;"",SUMPRODUCT((O$3:O$78&lt;&gt;"")*(P$3:P$78="")*(G$3:G$78=G23)*(J$3:J$78&gt;J23))+SUMPRODUCT((P$3:P$78&lt;&gt;"")*(G$3:G$78=G23))+1,IF(N23&lt;&gt;"",SUMPRODUCT((N$3:N$78&lt;&gt;"")*(G$3:G$78=G23)*(J$3:J$78&gt;J23))+1,IF(M23="P",SUMPRODUCT((O$3:O$78&lt;&gt;"")*(P$3:P$78="")*(G$3:G$78=G23))+SUMPRODUCT((P$3:P$78&lt;&gt;"")*(G$3:G$78=G23))+SUMPRODUCT((N$3:N$78&lt;&gt;"")*(G$3:G$78=G23))+SUMPRODUCT((P$3:P$78="")*(O$3:O$78="")*(N$3:N$78="")*(M$3:M$78="P")*(G$3:G$78=G23)*(J$3:J$78&gt;J23))+IF(H23="L5",SUMPRODUCT((P$3:P$78="")*(O$3:O$78="")*(N$3:N$78="")*(M$3:M$78="P")*(G$3:G$78=G23)*(J$3:J$78&lt;J23)*(H$3:H$78&lt;&gt;H23)),-1*SUMPRODUCT((P$3:P$78="")*(O$3:O$78="")*(N$3:N$78="")*(M$3:M$78="P")*(G$3:G$78=G23)*(J$3:J$78&gt;J23)*(H$3:H$78="L5")))+1,""))))</f>
        <v>21</v>
      </c>
      <c r="C23" s="36" t="s">
        <v>152</v>
      </c>
      <c r="D23" s="36" t="str">
        <f>IF(E23="","",VLOOKUP(E23,'Coaching Points'!A:B,2,0))</f>
        <v>BC</v>
      </c>
      <c r="E23" s="36" t="s">
        <v>42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48.000100000000003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Scores'!F$13),AND(G23="15-16",U23&gt;='Qualifying Scores'!F$12),AND(G23="13-14",U23&gt;='Qualifying Scores'!F$11),AND(G23="11-12",U23&gt;='Qualifying Scores'!F$10)),T23,0),IF(OR(AND(G23="17-21",W23&gt;='Qualifying Scores'!F$13),AND(G23="15-16",W23&gt;='Qualifying Scores'!F$12),AND(G23="13-14",W23&gt;='Qualifying Scores'!F$11),AND(G23="11-12",W23&gt;='Qualifying Scores'!F$10)),V23,0),IF(OR(AND(G23="17-21",Y23&gt;='Qualifying Scores'!F$13),AND(G23="15-16",Y23&gt;='Qualifying Scores'!F$12),AND(G23="13-14",Y23&gt;='Qualifying Scores'!F$11),AND(G23="11-12",Y23&gt;='Qualifying Scores'!F$10)),X23,0),IF(OR(AND(G23="17-21",AA23&gt;='Qualifying Scores'!F$13),AND(G23="15-16",AA23&gt;='Qualifying Scores'!F$12),AND(G23="13-14",AA23&gt;='Qualifying Scores'!F$11),AND(G23="11-12",AA23&gt;='Qualifying Scores'!F$10)),Z23,0)))</f>
        <v>48</v>
      </c>
      <c r="S23" s="4">
        <f>MAX(T23,V23,X23,Z23)</f>
        <v>48</v>
      </c>
      <c r="T23" s="33">
        <v>48</v>
      </c>
      <c r="U23" s="40">
        <v>12.4</v>
      </c>
      <c r="V23" s="34">
        <v>47.8</v>
      </c>
      <c r="W23" s="40">
        <v>14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$78&lt;&gt;"")*(G$3:G$78=G24)*(J$3:J$78&gt;J24)*(I$3:I$78="P"))+1,IF(O24&lt;&gt;"",SUMPRODUCT((O$3:O$78&lt;&gt;"")*(P$3:P$78="")*(G$3:G$78=G24)*(J$3:J$78&gt;J24)*(I$3:I$78="P"))+SUMPRODUCT((P$3:P$78&lt;&gt;"")*(G$3:G$78=G24)*(I$3:I$78="P"))+1,IF(N24&lt;&gt;"",SUMPRODUCT((N$3:N$78&lt;&gt;"")*(G$3:G$78=G24)*(J$3:J$78&gt;J24)*(I$3:I$78="P"))+1,IF(M24="P",SUMPRODUCT((O$3:O$78&lt;&gt;"")*(P$3:P$78="")*(G$3:G$78=G24)*(I$3:I$78="P"))+SUMPRODUCT((P$3:P$78&lt;&gt;"")*(G$3:G$78=G24)*(I$3:I$78="P"))+SUMPRODUCT((N$3:N$78&lt;&gt;"")*(G$3:G$78=G24)*(I$3:I$78="P"))+SUMPRODUCT((P$3:P$78="")*(O$3:O$78="")*(N$3:N$78="")*(M$3:M$78="P")*(G$3:G$78=G24)*(J$3:J$78&gt;J24)*(I$3:I$78="P"))+IF(H24="L5",SUMPRODUCT((P$3:P$78="")*(O$3:O$78="")*(N$3:N$78="")*(M$3:M$78="P")*(G$3:G$78=G24)*(J$3:J$78&lt;J24)*(H$3:H$78&lt;&gt;H24)*(I$3:I$78="P")),-1*SUMPRODUCT((P$3:P$78="")*(O$3:O$78="")*(N$3:N$78="")*(M$3:M$78="P")*(G$3:G$78=G24)*(J$3:J$78&gt;J24)*(H$3:H$78="L5")*(I$3:I$78="P")))+1,"")))))</f>
        <v/>
      </c>
      <c r="B24" s="1" t="str" cm="1">
        <f t="array" ref="B24">IF(P24&lt;&gt;"",SUMPRODUCT((P$3:P$78&lt;&gt;"")*(G$3:G$78=G24)*(J$3:J$78&gt;J24))+1,IF(O24&lt;&gt;"",SUMPRODUCT((O$3:O$78&lt;&gt;"")*(P$3:P$78="")*(G$3:G$78=G24)*(J$3:J$78&gt;J24))+SUMPRODUCT((P$3:P$78&lt;&gt;"")*(G$3:G$78=G24))+1,IF(N24&lt;&gt;"",SUMPRODUCT((N$3:N$78&lt;&gt;"")*(G$3:G$78=G24)*(J$3:J$78&gt;J24))+1,IF(M24="P",SUMPRODUCT((O$3:O$78&lt;&gt;"")*(P$3:P$78="")*(G$3:G$78=G24))+SUMPRODUCT((P$3:P$78&lt;&gt;"")*(G$3:G$78=G24))+SUMPRODUCT((N$3:N$78&lt;&gt;"")*(G$3:G$78=G24))+SUMPRODUCT((P$3:P$78="")*(O$3:O$78="")*(N$3:N$78="")*(M$3:M$78="P")*(G$3:G$78=G24)*(J$3:J$78&gt;J24))+IF(H24="L5",SUMPRODUCT((P$3:P$78="")*(O$3:O$78="")*(N$3:N$78="")*(M$3:M$78="P")*(G$3:G$78=G24)*(J$3:J$78&lt;J24)*(H$3:H$78&lt;&gt;H24)),-1*SUMPRODUCT((P$3:P$78="")*(O$3:O$78="")*(N$3:N$78="")*(M$3:M$78="P")*(G$3:G$78=G24)*(J$3:J$78&gt;J24)*(H$3:H$78="L5")))+1,""))))</f>
        <v/>
      </c>
      <c r="C24" s="36" t="s">
        <v>157</v>
      </c>
      <c r="D24" s="36" t="str">
        <f>IF(E24="","",VLOOKUP(E24,'Coaching Points'!A:B,2,0))</f>
        <v>ON</v>
      </c>
      <c r="E24" s="36" t="s">
        <v>158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47.300104739999995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>P</v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Scores'!F$13),AND(G24="15-16",U24&gt;='Qualifying Scores'!F$12),AND(G24="13-14",U24&gt;='Qualifying Scores'!F$11),AND(G24="11-12",U24&gt;='Qualifying Scores'!F$10)),T24,0),IF(OR(AND(G24="17-21",W24&gt;='Qualifying Scores'!F$13),AND(G24="15-16",W24&gt;='Qualifying Scores'!F$12),AND(G24="13-14",W24&gt;='Qualifying Scores'!F$11),AND(G24="11-12",W24&gt;='Qualifying Scores'!F$10)),V24,0),IF(OR(AND(G24="17-21",Y24&gt;='Qualifying Scores'!F$13),AND(G24="15-16",Y24&gt;='Qualifying Scores'!F$12),AND(G24="13-14",Y24&gt;='Qualifying Scores'!F$11),AND(G24="11-12",Y24&gt;='Qualifying Scores'!F$10)),X24,0),IF(OR(AND(G24="17-21",AA24&gt;='Qualifying Scores'!F$13),AND(G24="15-16",AA24&gt;='Qualifying Scores'!F$12),AND(G24="13-14",AA24&gt;='Qualifying Scores'!F$11),AND(G24="11-12",AA24&gt;='Qualifying Scores'!F$10)),Z24,0)))</f>
        <v>47.29999999999999</v>
      </c>
      <c r="S24" s="4">
        <f>MAX(T24,V24,X24,Z24)</f>
        <v>47.4</v>
      </c>
      <c r="T24" s="33">
        <v>44.900000000000006</v>
      </c>
      <c r="U24" s="40">
        <v>8</v>
      </c>
      <c r="V24" s="34">
        <v>0</v>
      </c>
      <c r="W24" s="40">
        <v>0</v>
      </c>
      <c r="X24" s="33">
        <v>47.4</v>
      </c>
      <c r="Y24" s="40">
        <v>9.1</v>
      </c>
      <c r="Z24" s="34">
        <v>47.29999999999999</v>
      </c>
      <c r="AA24" s="37">
        <v>10.5</v>
      </c>
    </row>
    <row r="25" spans="1:27" x14ac:dyDescent="0.2">
      <c r="A25" s="1" t="str" cm="1">
        <f t="array" ref="A25">IF(I25="","",IF(P25&lt;&gt;"",SUMPRODUCT((P$3:P$78&lt;&gt;"")*(G$3:G$78=G25)*(J$3:J$78&gt;J25)*(I$3:I$78="P"))+1,IF(O25&lt;&gt;"",SUMPRODUCT((O$3:O$78&lt;&gt;"")*(P$3:P$78="")*(G$3:G$78=G25)*(J$3:J$78&gt;J25)*(I$3:I$78="P"))+SUMPRODUCT((P$3:P$78&lt;&gt;"")*(G$3:G$78=G25)*(I$3:I$78="P"))+1,IF(N25&lt;&gt;"",SUMPRODUCT((N$3:N$78&lt;&gt;"")*(G$3:G$78=G25)*(J$3:J$78&gt;J25)*(I$3:I$78="P"))+1,IF(M25="P",SUMPRODUCT((O$3:O$78&lt;&gt;"")*(P$3:P$78="")*(G$3:G$78=G25)*(I$3:I$78="P"))+SUMPRODUCT((P$3:P$78&lt;&gt;"")*(G$3:G$78=G25)*(I$3:I$78="P"))+SUMPRODUCT((N$3:N$78&lt;&gt;"")*(G$3:G$78=G25)*(I$3:I$78="P"))+SUMPRODUCT((P$3:P$78="")*(O$3:O$78="")*(N$3:N$78="")*(M$3:M$78="P")*(G$3:G$78=G25)*(J$3:J$78&gt;J25)*(I$3:I$78="P"))+IF(H25="L5",SUMPRODUCT((P$3:P$78="")*(O$3:O$78="")*(N$3:N$78="")*(M$3:M$78="P")*(G$3:G$78=G25)*(J$3:J$78&lt;J25)*(H$3:H$78&lt;&gt;H25)*(I$3:I$78="P")),-1*SUMPRODUCT((P$3:P$78="")*(O$3:O$78="")*(N$3:N$78="")*(M$3:M$78="P")*(G$3:G$78=G25)*(J$3:J$78&gt;J25)*(H$3:H$78="L5")*(I$3:I$78="P")))+1,"")))))</f>
        <v/>
      </c>
      <c r="B25" s="1" t="str" cm="1">
        <f t="array" ref="B25">IF(P25&lt;&gt;"",SUMPRODUCT((P$3:P$78&lt;&gt;"")*(G$3:G$78=G25)*(J$3:J$78&gt;J25))+1,IF(O25&lt;&gt;"",SUMPRODUCT((O$3:O$78&lt;&gt;"")*(P$3:P$78="")*(G$3:G$78=G25)*(J$3:J$78&gt;J25))+SUMPRODUCT((P$3:P$78&lt;&gt;"")*(G$3:G$78=G25))+1,IF(N25&lt;&gt;"",SUMPRODUCT((N$3:N$78&lt;&gt;"")*(G$3:G$78=G25)*(J$3:J$78&gt;J25))+1,IF(M25="P",SUMPRODUCT((O$3:O$78&lt;&gt;"")*(P$3:P$78="")*(G$3:G$78=G25))+SUMPRODUCT((P$3:P$78&lt;&gt;"")*(G$3:G$78=G25))+SUMPRODUCT((N$3:N$78&lt;&gt;"")*(G$3:G$78=G25))+SUMPRODUCT((P$3:P$78="")*(O$3:O$78="")*(N$3:N$78="")*(M$3:M$78="P")*(G$3:G$78=G25)*(J$3:J$78&gt;J25))+IF(H25="L5",SUMPRODUCT((P$3:P$78="")*(O$3:O$78="")*(N$3:N$78="")*(M$3:M$78="P")*(G$3:G$78=G25)*(J$3:J$78&lt;J25)*(H$3:H$78&lt;&gt;H25)),-1*SUMPRODUCT((P$3:P$78="")*(O$3:O$78="")*(N$3:N$78="")*(M$3:M$78="P")*(G$3:G$78=G25)*(J$3:J$78&gt;J25)*(H$3:H$78="L5")))+1,""))))</f>
        <v/>
      </c>
      <c r="C25" s="36" t="s">
        <v>163</v>
      </c>
      <c r="D25" s="36" t="str">
        <f>IF(E25="","",VLOOKUP(E25,'Coaching Points'!A:B,2,0))</f>
        <v>BC</v>
      </c>
      <c r="E25" s="36" t="s">
        <v>37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168</v>
      </c>
      <c r="I25" s="45"/>
      <c r="J25" s="4">
        <f>R25+IF(OR(H25="Junior",H25="Senior"),0.0002,IF(OR(H25="L7",H25="L6"),0.0001,0))+MAX(X25,Z25)*0.0000001</f>
        <v>47.100202459999991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>P</v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Scores'!F$13),AND(G25="15-16",U25&gt;='Qualifying Scores'!F$12),AND(G25="13-14",U25&gt;='Qualifying Scores'!F$11),AND(G25="11-12",U25&gt;='Qualifying Scores'!F$10)),T25,0),IF(OR(AND(G25="17-21",W25&gt;='Qualifying Scores'!F$13),AND(G25="15-16",W25&gt;='Qualifying Scores'!F$12),AND(G25="13-14",W25&gt;='Qualifying Scores'!F$11),AND(G25="11-12",W25&gt;='Qualifying Scores'!F$10)),V25,0),IF(OR(AND(G25="17-21",Y25&gt;='Qualifying Scores'!F$13),AND(G25="15-16",Y25&gt;='Qualifying Scores'!F$12),AND(G25="13-14",Y25&gt;='Qualifying Scores'!F$11),AND(G25="11-12",Y25&gt;='Qualifying Scores'!F$10)),X25,0),IF(OR(AND(G25="17-21",AA25&gt;='Qualifying Scores'!F$13),AND(G25="15-16",AA25&gt;='Qualifying Scores'!F$12),AND(G25="13-14",AA25&gt;='Qualifying Scores'!F$11),AND(G25="11-12",AA25&gt;='Qualifying Scores'!F$10)),Z25,0)))</f>
        <v>47.099999999999994</v>
      </c>
      <c r="S25" s="4">
        <f>MAX(T25,V25,X25,Z25)</f>
        <v>47.099999999999994</v>
      </c>
      <c r="T25" s="33">
        <v>47.099999999999994</v>
      </c>
      <c r="U25" s="40">
        <v>10.8</v>
      </c>
      <c r="V25" s="34">
        <v>40</v>
      </c>
      <c r="W25" s="40">
        <v>5.1999999999999993</v>
      </c>
      <c r="X25" s="33">
        <v>24.6</v>
      </c>
      <c r="Y25" s="40">
        <v>6</v>
      </c>
      <c r="Z25" s="34"/>
      <c r="AA25" s="37"/>
    </row>
    <row r="26" spans="1:27" x14ac:dyDescent="0.2">
      <c r="A26" s="1" t="str" cm="1">
        <f t="array" ref="A26">IF(I26="","",IF(P26&lt;&gt;"",SUMPRODUCT((P$3:P$78&lt;&gt;"")*(G$3:G$78=G26)*(J$3:J$78&gt;J26)*(I$3:I$78="P"))+1,IF(O26&lt;&gt;"",SUMPRODUCT((O$3:O$78&lt;&gt;"")*(P$3:P$78="")*(G$3:G$78=G26)*(J$3:J$78&gt;J26)*(I$3:I$78="P"))+SUMPRODUCT((P$3:P$78&lt;&gt;"")*(G$3:G$78=G26)*(I$3:I$78="P"))+1,IF(N26&lt;&gt;"",SUMPRODUCT((N$3:N$78&lt;&gt;"")*(G$3:G$78=G26)*(J$3:J$78&gt;J26)*(I$3:I$78="P"))+1,IF(M26="P",SUMPRODUCT((O$3:O$78&lt;&gt;"")*(P$3:P$78="")*(G$3:G$78=G26)*(I$3:I$78="P"))+SUMPRODUCT((P$3:P$78&lt;&gt;"")*(G$3:G$78=G26)*(I$3:I$78="P"))+SUMPRODUCT((N$3:N$78&lt;&gt;"")*(G$3:G$78=G26)*(I$3:I$78="P"))+SUMPRODUCT((P$3:P$78="")*(O$3:O$78="")*(N$3:N$78="")*(M$3:M$78="P")*(G$3:G$78=G26)*(J$3:J$78&gt;J26)*(I$3:I$78="P"))+IF(H26="L5",SUMPRODUCT((P$3:P$78="")*(O$3:O$78="")*(N$3:N$78="")*(M$3:M$78="P")*(G$3:G$78=G26)*(J$3:J$78&lt;J26)*(H$3:H$78&lt;&gt;H26)*(I$3:I$78="P")),-1*SUMPRODUCT((P$3:P$78="")*(O$3:O$78="")*(N$3:N$78="")*(M$3:M$78="P")*(G$3:G$78=G26)*(J$3:J$78&gt;J26)*(H$3:H$78="L5")*(I$3:I$78="P")))+1,"")))))</f>
        <v/>
      </c>
      <c r="B26" s="1" t="str" cm="1">
        <f t="array" ref="B26">IF(P26&lt;&gt;"",SUMPRODUCT((P$3:P$78&lt;&gt;"")*(G$3:G$78=G26)*(J$3:J$78&gt;J26))+1,IF(O26&lt;&gt;"",SUMPRODUCT((O$3:O$78&lt;&gt;"")*(P$3:P$78="")*(G$3:G$78=G26)*(J$3:J$78&gt;J26))+SUMPRODUCT((P$3:P$78&lt;&gt;"")*(G$3:G$78=G26))+1,IF(N26&lt;&gt;"",SUMPRODUCT((N$3:N$78&lt;&gt;"")*(G$3:G$78=G26)*(J$3:J$78&gt;J26))+1,IF(M26="P",SUMPRODUCT((O$3:O$78&lt;&gt;"")*(P$3:P$78="")*(G$3:G$78=G26))+SUMPRODUCT((P$3:P$78&lt;&gt;"")*(G$3:G$78=G26))+SUMPRODUCT((N$3:N$78&lt;&gt;"")*(G$3:G$78=G26))+SUMPRODUCT((P$3:P$78="")*(O$3:O$78="")*(N$3:N$78="")*(M$3:M$78="P")*(G$3:G$78=G26)*(J$3:J$78&gt;J26))+IF(H26="L5",SUMPRODUCT((P$3:P$78="")*(O$3:O$78="")*(N$3:N$78="")*(M$3:M$78="P")*(G$3:G$78=G26)*(J$3:J$78&lt;J26)*(H$3:H$78&lt;&gt;H26)),-1*SUMPRODUCT((P$3:P$78="")*(O$3:O$78="")*(N$3:N$78="")*(M$3:M$78="P")*(G$3:G$78=G26)*(J$3:J$78&gt;J26)*(H$3:H$78="L5")))+1,""))))</f>
        <v/>
      </c>
      <c r="C26" s="36" t="s">
        <v>131</v>
      </c>
      <c r="D26" s="36" t="str">
        <f>IF(E26="","",VLOOKUP(E26,'Coaching Points'!A:B,2,0))</f>
        <v>NB</v>
      </c>
      <c r="E26" s="36" t="s">
        <v>49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42.300104380000008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>P</v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Scores'!F$13),AND(G26="15-16",U26&gt;='Qualifying Scores'!F$12),AND(G26="13-14",U26&gt;='Qualifying Scores'!F$11),AND(G26="11-12",U26&gt;='Qualifying Scores'!F$10)),T26,0),IF(OR(AND(G26="17-21",W26&gt;='Qualifying Scores'!F$13),AND(G26="15-16",W26&gt;='Qualifying Scores'!F$12),AND(G26="13-14",W26&gt;='Qualifying Scores'!F$11),AND(G26="11-12",W26&gt;='Qualifying Scores'!F$10)),V26,0),IF(OR(AND(G26="17-21",Y26&gt;='Qualifying Scores'!F$13),AND(G26="15-16",Y26&gt;='Qualifying Scores'!F$12),AND(G26="13-14",Y26&gt;='Qualifying Scores'!F$11),AND(G26="11-12",Y26&gt;='Qualifying Scores'!F$10)),X26,0),IF(OR(AND(G26="17-21",AA26&gt;='Qualifying Scores'!F$13),AND(G26="15-16",AA26&gt;='Qualifying Scores'!F$12),AND(G26="13-14",AA26&gt;='Qualifying Scores'!F$11),AND(G26="11-12",AA26&gt;='Qualifying Scores'!F$10)),Z26,0)))</f>
        <v>42.300000000000004</v>
      </c>
      <c r="S26" s="4">
        <f>MAX(T26,V26,X26,Z26)</f>
        <v>43.800000000000004</v>
      </c>
      <c r="T26" s="33">
        <v>43.599999999999994</v>
      </c>
      <c r="U26" s="40">
        <v>7.3</v>
      </c>
      <c r="V26" s="34">
        <v>43.399999999999991</v>
      </c>
      <c r="W26" s="40">
        <v>6.3000000000000007</v>
      </c>
      <c r="X26" s="33">
        <v>43.800000000000004</v>
      </c>
      <c r="Y26" s="40">
        <v>7</v>
      </c>
      <c r="Z26" s="34">
        <v>42.300000000000004</v>
      </c>
      <c r="AA26" s="37">
        <v>9.6000000000000014</v>
      </c>
    </row>
    <row r="27" spans="1:27" x14ac:dyDescent="0.2">
      <c r="A27" s="1" t="str" cm="1">
        <f t="array" ref="A27">IF(I27="","",IF(P27&lt;&gt;"",SUMPRODUCT((P$3:P$78&lt;&gt;"")*(G$3:G$78=G27)*(J$3:J$78&gt;J27)*(I$3:I$78="P"))+1,IF(O27&lt;&gt;"",SUMPRODUCT((O$3:O$78&lt;&gt;"")*(P$3:P$78="")*(G$3:G$78=G27)*(J$3:J$78&gt;J27)*(I$3:I$78="P"))+SUMPRODUCT((P$3:P$78&lt;&gt;"")*(G$3:G$78=G27)*(I$3:I$78="P"))+1,IF(N27&lt;&gt;"",SUMPRODUCT((N$3:N$78&lt;&gt;"")*(G$3:G$78=G27)*(J$3:J$78&gt;J27)*(I$3:I$78="P"))+1,IF(M27="P",SUMPRODUCT((O$3:O$78&lt;&gt;"")*(P$3:P$78="")*(G$3:G$78=G27)*(I$3:I$78="P"))+SUMPRODUCT((P$3:P$78&lt;&gt;"")*(G$3:G$78=G27)*(I$3:I$78="P"))+SUMPRODUCT((N$3:N$78&lt;&gt;"")*(G$3:G$78=G27)*(I$3:I$78="P"))+SUMPRODUCT((P$3:P$78="")*(O$3:O$78="")*(N$3:N$78="")*(M$3:M$78="P")*(G$3:G$78=G27)*(J$3:J$78&gt;J27)*(I$3:I$78="P"))+IF(H27="L5",SUMPRODUCT((P$3:P$78="")*(O$3:O$78="")*(N$3:N$78="")*(M$3:M$78="P")*(G$3:G$78=G27)*(J$3:J$78&lt;J27)*(H$3:H$78&lt;&gt;H27)*(I$3:I$78="P")),-1*SUMPRODUCT((P$3:P$78="")*(O$3:O$78="")*(N$3:N$78="")*(M$3:M$78="P")*(G$3:G$78=G27)*(J$3:J$78&gt;J27)*(H$3:H$78="L5")*(I$3:I$78="P")))+1,"")))))</f>
        <v/>
      </c>
      <c r="B27" s="1" t="str" cm="1">
        <f t="array" ref="B27">IF(P27&lt;&gt;"",SUMPRODUCT((P$3:P$78&lt;&gt;"")*(G$3:G$78=G27)*(J$3:J$78&gt;J27))+1,IF(O27&lt;&gt;"",SUMPRODUCT((O$3:O$78&lt;&gt;"")*(P$3:P$78="")*(G$3:G$78=G27)*(J$3:J$78&gt;J27))+SUMPRODUCT((P$3:P$78&lt;&gt;"")*(G$3:G$78=G27))+1,IF(N27&lt;&gt;"",SUMPRODUCT((N$3:N$78&lt;&gt;"")*(G$3:G$78=G27)*(J$3:J$78&gt;J27))+1,IF(M27="P",SUMPRODUCT((O$3:O$78&lt;&gt;"")*(P$3:P$78="")*(G$3:G$78=G27))+SUMPRODUCT((P$3:P$78&lt;&gt;"")*(G$3:G$78=G27))+SUMPRODUCT((N$3:N$78&lt;&gt;"")*(G$3:G$78=G27))+SUMPRODUCT((P$3:P$78="")*(O$3:O$78="")*(N$3:N$78="")*(M$3:M$78="P")*(G$3:G$78=G27)*(J$3:J$78&gt;J27))+IF(H27="L5",SUMPRODUCT((P$3:P$78="")*(O$3:O$78="")*(N$3:N$78="")*(M$3:M$78="P")*(G$3:G$78=G27)*(J$3:J$78&lt;J27)*(H$3:H$78&lt;&gt;H27)),-1*SUMPRODUCT((P$3:P$78="")*(O$3:O$78="")*(N$3:N$78="")*(M$3:M$78="P")*(G$3:G$78=G27)*(J$3:J$78&gt;J27)*(H$3:H$78="L5")))+1,""))))</f>
        <v/>
      </c>
      <c r="C27" s="36" t="s">
        <v>167</v>
      </c>
      <c r="D27" s="36" t="str">
        <f>IF(E27="","",VLOOKUP(E27,'Coaching Points'!A:B,2,0))</f>
        <v>QC</v>
      </c>
      <c r="E27" s="36" t="s">
        <v>3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168</v>
      </c>
      <c r="I27" s="45"/>
      <c r="J27" s="4">
        <f>R27+IF(OR(H27="Junior",H27="Senior"),0.0002,IF(OR(H27="L7",H27="L6"),0.0001,0))+MAX(X27,Z27)*0.0000001</f>
        <v>2.0431E-4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Scores'!F$13),AND(G27="15-16",U27&gt;='Qualifying Scores'!F$12),AND(G27="13-14",U27&gt;='Qualifying Scores'!F$11),AND(G27="11-12",U27&gt;='Qualifying Scores'!F$10)),T27,0),IF(OR(AND(G27="17-21",W27&gt;='Qualifying Scores'!F$13),AND(G27="15-16",W27&gt;='Qualifying Scores'!F$12),AND(G27="13-14",W27&gt;='Qualifying Scores'!F$11),AND(G27="11-12",W27&gt;='Qualifying Scores'!F$10)),V27,0),IF(OR(AND(G27="17-21",Y27&gt;='Qualifying Scores'!F$13),AND(G27="15-16",Y27&gt;='Qualifying Scores'!F$12),AND(G27="13-14",Y27&gt;='Qualifying Scores'!F$11),AND(G27="11-12",Y27&gt;='Qualifying Scores'!F$10)),X27,0),IF(OR(AND(G27="17-21",AA27&gt;='Qualifying Scores'!F$13),AND(G27="15-16",AA27&gt;='Qualifying Scores'!F$12),AND(G27="13-14",AA27&gt;='Qualifying Scores'!F$11),AND(G27="11-12",AA27&gt;='Qualifying Scores'!F$10)),Z27,0)))</f>
        <v>0</v>
      </c>
      <c r="S27" s="4">
        <f>MAX(T27,V27,X27,Z27)</f>
        <v>43.099999999999994</v>
      </c>
      <c r="T27" s="33">
        <v>20</v>
      </c>
      <c r="U27" s="40">
        <v>2.4</v>
      </c>
      <c r="V27" s="34">
        <v>0</v>
      </c>
      <c r="W27" s="40">
        <v>0</v>
      </c>
      <c r="X27" s="33">
        <v>43.099999999999994</v>
      </c>
      <c r="Y27" s="40">
        <v>6.8</v>
      </c>
      <c r="Z27" s="34"/>
      <c r="AA27" s="37"/>
    </row>
    <row r="28" spans="1:27" x14ac:dyDescent="0.2">
      <c r="A28" s="1" t="str" cm="1">
        <f t="array" ref="A28">IF(I28="","",IF(P28&lt;&gt;"",SUMPRODUCT((P$3:P$78&lt;&gt;"")*(G$3:G$78=G28)*(J$3:J$78&gt;J28)*(I$3:I$78="P"))+1,IF(O28&lt;&gt;"",SUMPRODUCT((O$3:O$78&lt;&gt;"")*(P$3:P$78="")*(G$3:G$78=G28)*(J$3:J$78&gt;J28)*(I$3:I$78="P"))+SUMPRODUCT((P$3:P$78&lt;&gt;"")*(G$3:G$78=G28)*(I$3:I$78="P"))+1,IF(N28&lt;&gt;"",SUMPRODUCT((N$3:N$78&lt;&gt;"")*(G$3:G$78=G28)*(J$3:J$78&gt;J28)*(I$3:I$78="P"))+1,IF(M28="P",SUMPRODUCT((O$3:O$78&lt;&gt;"")*(P$3:P$78="")*(G$3:G$78=G28)*(I$3:I$78="P"))+SUMPRODUCT((P$3:P$78&lt;&gt;"")*(G$3:G$78=G28)*(I$3:I$78="P"))+SUMPRODUCT((N$3:N$78&lt;&gt;"")*(G$3:G$78=G28)*(I$3:I$78="P"))+SUMPRODUCT((P$3:P$78="")*(O$3:O$78="")*(N$3:N$78="")*(M$3:M$78="P")*(G$3:G$78=G28)*(J$3:J$78&gt;J28)*(I$3:I$78="P"))+IF(H28="L5",SUMPRODUCT((P$3:P$78="")*(O$3:O$78="")*(N$3:N$78="")*(M$3:M$78="P")*(G$3:G$78=G28)*(J$3:J$78&lt;J28)*(H$3:H$78&lt;&gt;H28)*(I$3:I$78="P")),-1*SUMPRODUCT((P$3:P$78="")*(O$3:O$78="")*(N$3:N$78="")*(M$3:M$78="P")*(G$3:G$78=G28)*(J$3:J$78&gt;J28)*(H$3:H$78="L5")*(I$3:I$78="P")))+1,"")))))</f>
        <v/>
      </c>
      <c r="B28" s="1" t="str" cm="1">
        <f t="array" ref="B28">IF(P28&lt;&gt;"",SUMPRODUCT((P$3:P$78&lt;&gt;"")*(G$3:G$78=G28)*(J$3:J$78&gt;J28))+1,IF(O28&lt;&gt;"",SUMPRODUCT((O$3:O$78&lt;&gt;"")*(P$3:P$78="")*(G$3:G$78=G28)*(J$3:J$78&gt;J28))+SUMPRODUCT((P$3:P$78&lt;&gt;"")*(G$3:G$78=G28))+1,IF(N28&lt;&gt;"",SUMPRODUCT((N$3:N$78&lt;&gt;"")*(G$3:G$78=G28)*(J$3:J$78&gt;J28))+1,IF(M28="P",SUMPRODUCT((O$3:O$78&lt;&gt;"")*(P$3:P$78="")*(G$3:G$78=G28))+SUMPRODUCT((P$3:P$78&lt;&gt;"")*(G$3:G$78=G28))+SUMPRODUCT((N$3:N$78&lt;&gt;"")*(G$3:G$78=G28))+SUMPRODUCT((P$3:P$78="")*(O$3:O$78="")*(N$3:N$78="")*(M$3:M$78="P")*(G$3:G$78=G28)*(J$3:J$78&gt;J28))+IF(H28="L5",SUMPRODUCT((P$3:P$78="")*(O$3:O$78="")*(N$3:N$78="")*(M$3:M$78="P")*(G$3:G$78=G28)*(J$3:J$78&lt;J28)*(H$3:H$78&lt;&gt;H28)),-1*SUMPRODUCT((P$3:P$78="")*(O$3:O$78="")*(N$3:N$78="")*(M$3:M$78="P")*(G$3:G$78=G28)*(J$3:J$78&gt;J28)*(H$3:H$78="L5")))+1,""))))</f>
        <v/>
      </c>
      <c r="C28" s="36" t="s">
        <v>396</v>
      </c>
      <c r="D28" s="36" t="str">
        <f>IF(E28="","",VLOOKUP(E28,'Coaching Points'!A:B,2,0))</f>
        <v>BC</v>
      </c>
      <c r="E28" s="36" t="s">
        <v>37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R28+IF(OR(H28="Junior",H28="Senior"),0.0002,IF(OR(H28="L7",H28="L6"),0.0001,0))+MAX(X28,Z28)*0.0000001</f>
        <v>1.043E-4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Scores'!F$13),AND(G28="15-16",U28&gt;='Qualifying Scores'!F$12),AND(G28="13-14",U28&gt;='Qualifying Scores'!F$11),AND(G28="11-12",U28&gt;='Qualifying Scores'!F$10)),T28,0),IF(OR(AND(G28="17-21",W28&gt;='Qualifying Scores'!F$13),AND(G28="15-16",W28&gt;='Qualifying Scores'!F$12),AND(G28="13-14",W28&gt;='Qualifying Scores'!F$11),AND(G28="11-12",W28&gt;='Qualifying Scores'!F$10)),V28,0),IF(OR(AND(G28="17-21",Y28&gt;='Qualifying Scores'!F$13),AND(G28="15-16",Y28&gt;='Qualifying Scores'!F$12),AND(G28="13-14",Y28&gt;='Qualifying Scores'!F$11),AND(G28="11-12",Y28&gt;='Qualifying Scores'!F$10)),X28,0),IF(OR(AND(G28="17-21",AA28&gt;='Qualifying Scores'!F$13),AND(G28="15-16",AA28&gt;='Qualifying Scores'!F$12),AND(G28="13-14",AA28&gt;='Qualifying Scores'!F$11),AND(G28="11-12",AA28&gt;='Qualifying Scores'!F$10)),Z28,0)))</f>
        <v>0</v>
      </c>
      <c r="S28" s="4">
        <f>MAX(T28,V28,X28,Z28)</f>
        <v>42.999999999999993</v>
      </c>
      <c r="T28" s="33"/>
      <c r="U28" s="40"/>
      <c r="V28" s="34"/>
      <c r="W28" s="40"/>
      <c r="X28" s="33">
        <v>42.999999999999993</v>
      </c>
      <c r="Y28" s="40">
        <v>7.8</v>
      </c>
      <c r="Z28" s="34"/>
      <c r="AA28" s="37"/>
    </row>
    <row r="29" spans="1:27" x14ac:dyDescent="0.2">
      <c r="A29" s="1" t="str" cm="1">
        <f t="array" ref="A29">IF(I29="","",IF(P29&lt;&gt;"",SUMPRODUCT((P$3:P$78&lt;&gt;"")*(G$3:G$78=G29)*(J$3:J$78&gt;J29)*(I$3:I$78="P"))+1,IF(O29&lt;&gt;"",SUMPRODUCT((O$3:O$78&lt;&gt;"")*(P$3:P$78="")*(G$3:G$78=G29)*(J$3:J$78&gt;J29)*(I$3:I$78="P"))+SUMPRODUCT((P$3:P$78&lt;&gt;"")*(G$3:G$78=G29)*(I$3:I$78="P"))+1,IF(N29&lt;&gt;"",SUMPRODUCT((N$3:N$78&lt;&gt;"")*(G$3:G$78=G29)*(J$3:J$78&gt;J29)*(I$3:I$78="P"))+1,IF(M29="P",SUMPRODUCT((O$3:O$78&lt;&gt;"")*(P$3:P$78="")*(G$3:G$78=G29)*(I$3:I$78="P"))+SUMPRODUCT((P$3:P$78&lt;&gt;"")*(G$3:G$78=G29)*(I$3:I$78="P"))+SUMPRODUCT((N$3:N$78&lt;&gt;"")*(G$3:G$78=G29)*(I$3:I$78="P"))+SUMPRODUCT((P$3:P$78="")*(O$3:O$78="")*(N$3:N$78="")*(M$3:M$78="P")*(G$3:G$78=G29)*(J$3:J$78&gt;J29)*(I$3:I$78="P"))+IF(H29="L5",SUMPRODUCT((P$3:P$78="")*(O$3:O$78="")*(N$3:N$78="")*(M$3:M$78="P")*(G$3:G$78=G29)*(J$3:J$78&lt;J29)*(H$3:H$78&lt;&gt;H29)*(I$3:I$78="P")),-1*SUMPRODUCT((P$3:P$78="")*(O$3:O$78="")*(N$3:N$78="")*(M$3:M$78="P")*(G$3:G$78=G29)*(J$3:J$78&gt;J29)*(H$3:H$78="L5")*(I$3:I$78="P")))+1,"")))))</f>
        <v/>
      </c>
      <c r="B29" s="1" t="str" cm="1">
        <f t="array" ref="B29">IF(P29&lt;&gt;"",SUMPRODUCT((P$3:P$78&lt;&gt;"")*(G$3:G$78=G29)*(J$3:J$78&gt;J29))+1,IF(O29&lt;&gt;"",SUMPRODUCT((O$3:O$78&lt;&gt;"")*(P$3:P$78="")*(G$3:G$78=G29)*(J$3:J$78&gt;J29))+SUMPRODUCT((P$3:P$78&lt;&gt;"")*(G$3:G$78=G29))+1,IF(N29&lt;&gt;"",SUMPRODUCT((N$3:N$78&lt;&gt;"")*(G$3:G$78=G29)*(J$3:J$78&gt;J29))+1,IF(M29="P",SUMPRODUCT((O$3:O$78&lt;&gt;"")*(P$3:P$78="")*(G$3:G$78=G29))+SUMPRODUCT((P$3:P$78&lt;&gt;"")*(G$3:G$78=G29))+SUMPRODUCT((N$3:N$78&lt;&gt;"")*(G$3:G$78=G29))+SUMPRODUCT((P$3:P$78="")*(O$3:O$78="")*(N$3:N$78="")*(M$3:M$78="P")*(G$3:G$78=G29)*(J$3:J$78&gt;J29))+IF(H29="L5",SUMPRODUCT((P$3:P$78="")*(O$3:O$78="")*(N$3:N$78="")*(M$3:M$78="P")*(G$3:G$78=G29)*(J$3:J$78&lt;J29)*(H$3:H$78&lt;&gt;H29)),-1*SUMPRODUCT((P$3:P$78="")*(O$3:O$78="")*(N$3:N$78="")*(M$3:M$78="P")*(G$3:G$78=G29)*(J$3:J$78&gt;J29)*(H$3:H$78="L5")))+1,""))))</f>
        <v/>
      </c>
      <c r="C29" s="36" t="s">
        <v>155</v>
      </c>
      <c r="D29" s="36" t="str">
        <f>IF(E29="","",VLOOKUP(E29,'Coaching Points'!A:B,2,0))</f>
        <v>AB</v>
      </c>
      <c r="E29" s="36" t="s">
        <v>29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R29+IF(OR(H29="Junior",H29="Senior"),0.0002,IF(OR(H29="L7",H29="L6"),0.0001,0))+MAX(X29,Z29)*0.0000001</f>
        <v>1.0357E-4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Scores'!F$13),AND(G29="15-16",U29&gt;='Qualifying Scores'!F$12),AND(G29="13-14",U29&gt;='Qualifying Scores'!F$11),AND(G29="11-12",U29&gt;='Qualifying Scores'!F$10)),T29,0),IF(OR(AND(G29="17-21",W29&gt;='Qualifying Scores'!F$13),AND(G29="15-16",W29&gt;='Qualifying Scores'!F$12),AND(G29="13-14",W29&gt;='Qualifying Scores'!F$11),AND(G29="11-12",W29&gt;='Qualifying Scores'!F$10)),V29,0),IF(OR(AND(G29="17-21",Y29&gt;='Qualifying Scores'!F$13),AND(G29="15-16",Y29&gt;='Qualifying Scores'!F$12),AND(G29="13-14",Y29&gt;='Qualifying Scores'!F$11),AND(G29="11-12",Y29&gt;='Qualifying Scores'!F$10)),X29,0),IF(OR(AND(G29="17-21",AA29&gt;='Qualifying Scores'!F$13),AND(G29="15-16",AA29&gt;='Qualifying Scores'!F$12),AND(G29="13-14",AA29&gt;='Qualifying Scores'!F$11),AND(G29="11-12",AA29&gt;='Qualifying Scores'!F$10)),Z29,0)))</f>
        <v>0</v>
      </c>
      <c r="S29" s="4">
        <f>MAX(T29,V29,X29,Z29)</f>
        <v>40.799999999999997</v>
      </c>
      <c r="T29" s="33">
        <v>40.799999999999997</v>
      </c>
      <c r="U29" s="40">
        <v>6.8000000000000007</v>
      </c>
      <c r="V29" s="34">
        <v>0</v>
      </c>
      <c r="W29" s="40">
        <v>0</v>
      </c>
      <c r="X29" s="33">
        <v>35.699999999999996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$78&lt;&gt;"")*(G$3:G$78=G30)*(J$3:J$78&gt;J30)*(I$3:I$78="P"))+1,IF(O30&lt;&gt;"",SUMPRODUCT((O$3:O$78&lt;&gt;"")*(P$3:P$78="")*(G$3:G$78=G30)*(J$3:J$78&gt;J30)*(I$3:I$78="P"))+SUMPRODUCT((P$3:P$78&lt;&gt;"")*(G$3:G$78=G30)*(I$3:I$78="P"))+1,IF(N30&lt;&gt;"",SUMPRODUCT((N$3:N$78&lt;&gt;"")*(G$3:G$78=G30)*(J$3:J$78&gt;J30)*(I$3:I$78="P"))+1,IF(M30="P",SUMPRODUCT((O$3:O$78&lt;&gt;"")*(P$3:P$78="")*(G$3:G$78=G30)*(I$3:I$78="P"))+SUMPRODUCT((P$3:P$78&lt;&gt;"")*(G$3:G$78=G30)*(I$3:I$78="P"))+SUMPRODUCT((N$3:N$78&lt;&gt;"")*(G$3:G$78=G30)*(I$3:I$78="P"))+SUMPRODUCT((P$3:P$78="")*(O$3:O$78="")*(N$3:N$78="")*(M$3:M$78="P")*(G$3:G$78=G30)*(J$3:J$78&gt;J30)*(I$3:I$78="P"))+IF(H30="L5",SUMPRODUCT((P$3:P$78="")*(O$3:O$78="")*(N$3:N$78="")*(M$3:M$78="P")*(G$3:G$78=G30)*(J$3:J$78&lt;J30)*(H$3:H$78&lt;&gt;H30)*(I$3:I$78="P")),-1*SUMPRODUCT((P$3:P$78="")*(O$3:O$78="")*(N$3:N$78="")*(M$3:M$78="P")*(G$3:G$78=G30)*(J$3:J$78&gt;J30)*(H$3:H$78="L5")*(I$3:I$78="P")))+1,"")))))</f>
        <v/>
      </c>
      <c r="B30" s="1" t="str" cm="1">
        <f t="array" ref="B30">IF(P30&lt;&gt;"",SUMPRODUCT((P$3:P$78&lt;&gt;"")*(G$3:G$78=G30)*(J$3:J$78&gt;J30))+1,IF(O30&lt;&gt;"",SUMPRODUCT((O$3:O$78&lt;&gt;"")*(P$3:P$78="")*(G$3:G$78=G30)*(J$3:J$78&gt;J30))+SUMPRODUCT((P$3:P$78&lt;&gt;"")*(G$3:G$78=G30))+1,IF(N30&lt;&gt;"",SUMPRODUCT((N$3:N$78&lt;&gt;"")*(G$3:G$78=G30)*(J$3:J$78&gt;J30))+1,IF(M30="P",SUMPRODUCT((O$3:O$78&lt;&gt;"")*(P$3:P$78="")*(G$3:G$78=G30))+SUMPRODUCT((P$3:P$78&lt;&gt;"")*(G$3:G$78=G30))+SUMPRODUCT((N$3:N$78&lt;&gt;"")*(G$3:G$78=G30))+SUMPRODUCT((P$3:P$78="")*(O$3:O$78="")*(N$3:N$78="")*(M$3:M$78="P")*(G$3:G$78=G30)*(J$3:J$78&gt;J30))+IF(H30="L5",SUMPRODUCT((P$3:P$78="")*(O$3:O$78="")*(N$3:N$78="")*(M$3:M$78="P")*(G$3:G$78=G30)*(J$3:J$78&lt;J30)*(H$3:H$78&lt;&gt;H30)),-1*SUMPRODUCT((P$3:P$78="")*(O$3:O$78="")*(N$3:N$78="")*(M$3:M$78="P")*(G$3:G$78=G30)*(J$3:J$78&gt;J30)*(H$3:H$78="L5")))+1,""))))</f>
        <v/>
      </c>
      <c r="C30" s="36" t="s">
        <v>130</v>
      </c>
      <c r="D30" s="36" t="str">
        <f>IF(E30="","",VLOOKUP(E30,'Coaching Points'!A:B,2,0))</f>
        <v>BC</v>
      </c>
      <c r="E30" s="36" t="s">
        <v>84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/>
      <c r="J30" s="4">
        <f>R30+IF(OR(H30="Junior",H30="Senior"),0.0002,IF(OR(H30="L7",H30="L6"),0.0001,0))+MAX(X30,Z30)*0.0000001</f>
        <v>1.022E-4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Scores'!F$13),AND(G30="15-16",U30&gt;='Qualifying Scores'!F$12),AND(G30="13-14",U30&gt;='Qualifying Scores'!F$11),AND(G30="11-12",U30&gt;='Qualifying Scores'!F$10)),T30,0),IF(OR(AND(G30="17-21",W30&gt;='Qualifying Scores'!F$13),AND(G30="15-16",W30&gt;='Qualifying Scores'!F$12),AND(G30="13-14",W30&gt;='Qualifying Scores'!F$11),AND(G30="11-12",W30&gt;='Qualifying Scores'!F$10)),V30,0),IF(OR(AND(G30="17-21",Y30&gt;='Qualifying Scores'!F$13),AND(G30="15-16",Y30&gt;='Qualifying Scores'!F$12),AND(G30="13-14",Y30&gt;='Qualifying Scores'!F$11),AND(G30="11-12",Y30&gt;='Qualifying Scores'!F$10)),X30,0),IF(OR(AND(G30="17-21",AA30&gt;='Qualifying Scores'!F$13),AND(G30="15-16",AA30&gt;='Qualifying Scores'!F$12),AND(G30="13-14",AA30&gt;='Qualifying Scores'!F$11),AND(G30="11-12",AA30&gt;='Qualifying Scores'!F$10)),Z30,0)))</f>
        <v>0</v>
      </c>
      <c r="S30" s="4">
        <f>MAX(T30,V30,X30,Z30)</f>
        <v>43.599999999999994</v>
      </c>
      <c r="T30" s="33">
        <v>41</v>
      </c>
      <c r="U30" s="40">
        <v>4.4000000000000004</v>
      </c>
      <c r="V30" s="34">
        <v>43.599999999999994</v>
      </c>
      <c r="W30" s="40">
        <v>6.5</v>
      </c>
      <c r="X30" s="33">
        <v>22</v>
      </c>
      <c r="Y30" s="40">
        <v>4.4000000000000004</v>
      </c>
      <c r="Z30" s="34"/>
      <c r="AA30" s="37"/>
    </row>
    <row r="31" spans="1:27" x14ac:dyDescent="0.2">
      <c r="A31" s="1" t="str" cm="1">
        <f t="array" ref="A31">IF(I31="","",IF(P31&lt;&gt;"",SUMPRODUCT((P$3:P$78&lt;&gt;"")*(G$3:G$78=G31)*(J$3:J$78&gt;J31)*(I$3:I$78="P"))+1,IF(O31&lt;&gt;"",SUMPRODUCT((O$3:O$78&lt;&gt;"")*(P$3:P$78="")*(G$3:G$78=G31)*(J$3:J$78&gt;J31)*(I$3:I$78="P"))+SUMPRODUCT((P$3:P$78&lt;&gt;"")*(G$3:G$78=G31)*(I$3:I$78="P"))+1,IF(N31&lt;&gt;"",SUMPRODUCT((N$3:N$78&lt;&gt;"")*(G$3:G$78=G31)*(J$3:J$78&gt;J31)*(I$3:I$78="P"))+1,IF(M31="P",SUMPRODUCT((O$3:O$78&lt;&gt;"")*(P$3:P$78="")*(G$3:G$78=G31)*(I$3:I$78="P"))+SUMPRODUCT((P$3:P$78&lt;&gt;"")*(G$3:G$78=G31)*(I$3:I$78="P"))+SUMPRODUCT((N$3:N$78&lt;&gt;"")*(G$3:G$78=G31)*(I$3:I$78="P"))+SUMPRODUCT((P$3:P$78="")*(O$3:O$78="")*(N$3:N$78="")*(M$3:M$78="P")*(G$3:G$78=G31)*(J$3:J$78&gt;J31)*(I$3:I$78="P"))+IF(H31="L5",SUMPRODUCT((P$3:P$78="")*(O$3:O$78="")*(N$3:N$78="")*(M$3:M$78="P")*(G$3:G$78=G31)*(J$3:J$78&lt;J31)*(H$3:H$78&lt;&gt;H31)*(I$3:I$78="P")),-1*SUMPRODUCT((P$3:P$78="")*(O$3:O$78="")*(N$3:N$78="")*(M$3:M$78="P")*(G$3:G$78=G31)*(J$3:J$78&gt;J31)*(H$3:H$78="L5")*(I$3:I$78="P")))+1,"")))))</f>
        <v/>
      </c>
      <c r="B31" s="1" t="str" cm="1">
        <f t="array" ref="B31">IF(P31&lt;&gt;"",SUMPRODUCT((P$3:P$78&lt;&gt;"")*(G$3:G$78=G31)*(J$3:J$78&gt;J31))+1,IF(O31&lt;&gt;"",SUMPRODUCT((O$3:O$78&lt;&gt;"")*(P$3:P$78="")*(G$3:G$78=G31)*(J$3:J$78&gt;J31))+SUMPRODUCT((P$3:P$78&lt;&gt;"")*(G$3:G$78=G31))+1,IF(N31&lt;&gt;"",SUMPRODUCT((N$3:N$78&lt;&gt;"")*(G$3:G$78=G31)*(J$3:J$78&gt;J31))+1,IF(M31="P",SUMPRODUCT((O$3:O$78&lt;&gt;"")*(P$3:P$78="")*(G$3:G$78=G31))+SUMPRODUCT((P$3:P$78&lt;&gt;"")*(G$3:G$78=G31))+SUMPRODUCT((N$3:N$78&lt;&gt;"")*(G$3:G$78=G31))+SUMPRODUCT((P$3:P$78="")*(O$3:O$78="")*(N$3:N$78="")*(M$3:M$78="P")*(G$3:G$78=G31)*(J$3:J$78&gt;J31))+IF(H31="L5",SUMPRODUCT((P$3:P$78="")*(O$3:O$78="")*(N$3:N$78="")*(M$3:M$78="P")*(G$3:G$78=G31)*(J$3:J$78&lt;J31)*(H$3:H$78&lt;&gt;H31)),-1*SUMPRODUCT((P$3:P$78="")*(O$3:O$78="")*(N$3:N$78="")*(M$3:M$78="P")*(G$3:G$78=G31)*(J$3:J$78&gt;J31)*(H$3:H$78="L5")))+1,""))))</f>
        <v/>
      </c>
      <c r="C31" s="36" t="s">
        <v>135</v>
      </c>
      <c r="D31" s="36" t="str">
        <f>IF(E31="","",VLOOKUP(E31,'Coaching Points'!A:B,2,0))</f>
        <v>NB</v>
      </c>
      <c r="E31" s="36" t="s">
        <v>49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 t="s">
        <v>604</v>
      </c>
      <c r="J31" s="4">
        <f>R31+IF(OR(H31="Junior",H31="Senior"),0.0002,IF(OR(H31="L7",H31="L6"),0.0001,0))+MAX(X31,Z31)*0.0000001</f>
        <v>1E-4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Scores'!F$13),AND(G31="15-16",U31&gt;='Qualifying Scores'!F$12),AND(G31="13-14",U31&gt;='Qualifying Scores'!F$11),AND(G31="11-12",U31&gt;='Qualifying Scores'!F$10)),T31,0),IF(OR(AND(G31="17-21",W31&gt;='Qualifying Scores'!F$13),AND(G31="15-16",W31&gt;='Qualifying Scores'!F$12),AND(G31="13-14",W31&gt;='Qualifying Scores'!F$11),AND(G31="11-12",W31&gt;='Qualifying Scores'!F$10)),V31,0),IF(OR(AND(G31="17-21",Y31&gt;='Qualifying Scores'!F$13),AND(G31="15-16",Y31&gt;='Qualifying Scores'!F$12),AND(G31="13-14",Y31&gt;='Qualifying Scores'!F$11),AND(G31="11-12",Y31&gt;='Qualifying Scores'!F$10)),X31,0),IF(OR(AND(G31="17-21",AA31&gt;='Qualifying Scores'!F$13),AND(G31="15-16",AA31&gt;='Qualifying Scores'!F$12),AND(G31="13-14",AA31&gt;='Qualifying Scores'!F$11),AND(G31="11-12",AA31&gt;='Qualifying Scores'!F$10)),Z31,0)))</f>
        <v>0</v>
      </c>
      <c r="S31" s="4">
        <f>MAX(T31,V31,X31,Z31)</f>
        <v>45.34</v>
      </c>
      <c r="T31" s="33">
        <v>45.34</v>
      </c>
      <c r="U31" s="40">
        <v>7.5</v>
      </c>
      <c r="V31" s="34">
        <v>21.900000000000002</v>
      </c>
      <c r="W31" s="40">
        <v>3.3</v>
      </c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$78&lt;&gt;"")*(G$3:G$78=G32)*(J$3:J$78&gt;J32)*(I$3:I$78="P"))+1,IF(O32&lt;&gt;"",SUMPRODUCT((O$3:O$78&lt;&gt;"")*(P$3:P$78="")*(G$3:G$78=G32)*(J$3:J$78&gt;J32)*(I$3:I$78="P"))+SUMPRODUCT((P$3:P$78&lt;&gt;"")*(G$3:G$78=G32)*(I$3:I$78="P"))+1,IF(N32&lt;&gt;"",SUMPRODUCT((N$3:N$78&lt;&gt;"")*(G$3:G$78=G32)*(J$3:J$78&gt;J32)*(I$3:I$78="P"))+1,IF(M32="P",SUMPRODUCT((O$3:O$78&lt;&gt;"")*(P$3:P$78="")*(G$3:G$78=G32)*(I$3:I$78="P"))+SUMPRODUCT((P$3:P$78&lt;&gt;"")*(G$3:G$78=G32)*(I$3:I$78="P"))+SUMPRODUCT((N$3:N$78&lt;&gt;"")*(G$3:G$78=G32)*(I$3:I$78="P"))+SUMPRODUCT((P$3:P$78="")*(O$3:O$78="")*(N$3:N$78="")*(M$3:M$78="P")*(G$3:G$78=G32)*(J$3:J$78&gt;J32)*(I$3:I$78="P"))+IF(H32="L5",SUMPRODUCT((P$3:P$78="")*(O$3:O$78="")*(N$3:N$78="")*(M$3:M$78="P")*(G$3:G$78=G32)*(J$3:J$78&lt;J32)*(H$3:H$78&lt;&gt;H32)*(I$3:I$78="P")),-1*SUMPRODUCT((P$3:P$78="")*(O$3:O$78="")*(N$3:N$78="")*(M$3:M$78="P")*(G$3:G$78=G32)*(J$3:J$78&gt;J32)*(H$3:H$78="L5")*(I$3:I$78="P")))+1,"")))))</f>
        <v/>
      </c>
      <c r="B32" s="1" t="str" cm="1">
        <f t="array" ref="B32">IF(P32&lt;&gt;"",SUMPRODUCT((P$3:P$78&lt;&gt;"")*(G$3:G$78=G32)*(J$3:J$78&gt;J32))+1,IF(O32&lt;&gt;"",SUMPRODUCT((O$3:O$78&lt;&gt;"")*(P$3:P$78="")*(G$3:G$78=G32)*(J$3:J$78&gt;J32))+SUMPRODUCT((P$3:P$78&lt;&gt;"")*(G$3:G$78=G32))+1,IF(N32&lt;&gt;"",SUMPRODUCT((N$3:N$78&lt;&gt;"")*(G$3:G$78=G32)*(J$3:J$78&gt;J32))+1,IF(M32="P",SUMPRODUCT((O$3:O$78&lt;&gt;"")*(P$3:P$78="")*(G$3:G$78=G32))+SUMPRODUCT((P$3:P$78&lt;&gt;"")*(G$3:G$78=G32))+SUMPRODUCT((N$3:N$78&lt;&gt;"")*(G$3:G$78=G32))+SUMPRODUCT((P$3:P$78="")*(O$3:O$78="")*(N$3:N$78="")*(M$3:M$78="P")*(G$3:G$78=G32)*(J$3:J$78&gt;J32))+IF(H32="L5",SUMPRODUCT((P$3:P$78="")*(O$3:O$78="")*(N$3:N$78="")*(M$3:M$78="P")*(G$3:G$78=G32)*(J$3:J$78&lt;J32)*(H$3:H$78&lt;&gt;H32)),-1*SUMPRODUCT((P$3:P$78="")*(O$3:O$78="")*(N$3:N$78="")*(M$3:M$78="P")*(G$3:G$78=G32)*(J$3:J$78&gt;J32)*(H$3:H$78="L5")))+1,""))))</f>
        <v/>
      </c>
      <c r="C32" s="36" t="s">
        <v>394</v>
      </c>
      <c r="D32" s="36" t="str">
        <f>IF(E32="","",VLOOKUP(E32,'Coaching Points'!A:B,2,0))</f>
        <v>QC</v>
      </c>
      <c r="E32" s="36" t="s">
        <v>361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4.6400000000000005E-6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Scores'!F$13),AND(G32="15-16",U32&gt;='Qualifying Scores'!F$12),AND(G32="13-14",U32&gt;='Qualifying Scores'!F$11),AND(G32="11-12",U32&gt;='Qualifying Scores'!F$10)),T32,0),IF(OR(AND(G32="17-21",W32&gt;='Qualifying Scores'!F$13),AND(G32="15-16",W32&gt;='Qualifying Scores'!F$12),AND(G32="13-14",W32&gt;='Qualifying Scores'!F$11),AND(G32="11-12",W32&gt;='Qualifying Scores'!F$10)),V32,0),IF(OR(AND(G32="17-21",Y32&gt;='Qualifying Scores'!F$13),AND(G32="15-16",Y32&gt;='Qualifying Scores'!F$12),AND(G32="13-14",Y32&gt;='Qualifying Scores'!F$11),AND(G32="11-12",Y32&gt;='Qualifying Scores'!F$10)),X32,0),IF(OR(AND(G32="17-21",AA32&gt;='Qualifying Scores'!F$13),AND(G32="15-16",AA32&gt;='Qualifying Scores'!F$12),AND(G32="13-14",AA32&gt;='Qualifying Scores'!F$11),AND(G32="11-12",AA32&gt;='Qualifying Scores'!F$10)),Z32,0)))</f>
        <v>0</v>
      </c>
      <c r="S32" s="4">
        <f>MAX(T32,V32,X32,Z32)</f>
        <v>46.400000000000006</v>
      </c>
      <c r="T32" s="33"/>
      <c r="U32" s="40"/>
      <c r="V32" s="34"/>
      <c r="W32" s="40"/>
      <c r="X32" s="33">
        <v>43.8</v>
      </c>
      <c r="Y32" s="40">
        <v>6</v>
      </c>
      <c r="Z32" s="34">
        <v>46.400000000000006</v>
      </c>
      <c r="AA32" s="37">
        <v>7.8000000000000007</v>
      </c>
    </row>
    <row r="33" spans="1:27" x14ac:dyDescent="0.2">
      <c r="A33" s="1" t="str" cm="1">
        <f t="array" ref="A33">IF(I33="","",IF(P33&lt;&gt;"",SUMPRODUCT((P$3:P$78&lt;&gt;"")*(G$3:G$78=G33)*(J$3:J$78&gt;J33)*(I$3:I$78="P"))+1,IF(O33&lt;&gt;"",SUMPRODUCT((O$3:O$78&lt;&gt;"")*(P$3:P$78="")*(G$3:G$78=G33)*(J$3:J$78&gt;J33)*(I$3:I$78="P"))+SUMPRODUCT((P$3:P$78&lt;&gt;"")*(G$3:G$78=G33)*(I$3:I$78="P"))+1,IF(N33&lt;&gt;"",SUMPRODUCT((N$3:N$78&lt;&gt;"")*(G$3:G$78=G33)*(J$3:J$78&gt;J33)*(I$3:I$78="P"))+1,IF(M33="P",SUMPRODUCT((O$3:O$78&lt;&gt;"")*(P$3:P$78="")*(G$3:G$78=G33)*(I$3:I$78="P"))+SUMPRODUCT((P$3:P$78&lt;&gt;"")*(G$3:G$78=G33)*(I$3:I$78="P"))+SUMPRODUCT((N$3:N$78&lt;&gt;"")*(G$3:G$78=G33)*(I$3:I$78="P"))+SUMPRODUCT((P$3:P$78="")*(O$3:O$78="")*(N$3:N$78="")*(M$3:M$78="P")*(G$3:G$78=G33)*(J$3:J$78&gt;J33)*(I$3:I$78="P"))+IF(H33="L5",SUMPRODUCT((P$3:P$78="")*(O$3:O$78="")*(N$3:N$78="")*(M$3:M$78="P")*(G$3:G$78=G33)*(J$3:J$78&lt;J33)*(H$3:H$78&lt;&gt;H33)*(I$3:I$78="P")),-1*SUMPRODUCT((P$3:P$78="")*(O$3:O$78="")*(N$3:N$78="")*(M$3:M$78="P")*(G$3:G$78=G33)*(J$3:J$78&gt;J33)*(H$3:H$78="L5")*(I$3:I$78="P")))+1,"")))))</f>
        <v/>
      </c>
      <c r="B33" s="1" t="str" cm="1">
        <f t="array" ref="B33">IF(P33&lt;&gt;"",SUMPRODUCT((P$3:P$78&lt;&gt;"")*(G$3:G$78=G33)*(J$3:J$78&gt;J33))+1,IF(O33&lt;&gt;"",SUMPRODUCT((O$3:O$78&lt;&gt;"")*(P$3:P$78="")*(G$3:G$78=G33)*(J$3:J$78&gt;J33))+SUMPRODUCT((P$3:P$78&lt;&gt;"")*(G$3:G$78=G33))+1,IF(N33&lt;&gt;"",SUMPRODUCT((N$3:N$78&lt;&gt;"")*(G$3:G$78=G33)*(J$3:J$78&gt;J33))+1,IF(M33="P",SUMPRODUCT((O$3:O$78&lt;&gt;"")*(P$3:P$78="")*(G$3:G$78=G33))+SUMPRODUCT((P$3:P$78&lt;&gt;"")*(G$3:G$78=G33))+SUMPRODUCT((N$3:N$78&lt;&gt;"")*(G$3:G$78=G33))+SUMPRODUCT((P$3:P$78="")*(O$3:O$78="")*(N$3:N$78="")*(M$3:M$78="P")*(G$3:G$78=G33)*(J$3:J$78&gt;J33))+IF(H33="L5",SUMPRODUCT((P$3:P$78="")*(O$3:O$78="")*(N$3:N$78="")*(M$3:M$78="P")*(G$3:G$78=G33)*(J$3:J$78&lt;J33)*(H$3:H$78&lt;&gt;H33)),-1*SUMPRODUCT((P$3:P$78="")*(O$3:O$78="")*(N$3:N$78="")*(M$3:M$78="P")*(G$3:G$78=G33)*(J$3:J$78&gt;J33)*(H$3:H$78="L5")))+1,""))))</f>
        <v/>
      </c>
      <c r="C33" s="36" t="s">
        <v>404</v>
      </c>
      <c r="D33" s="36" t="str">
        <f>IF(E33="","",VLOOKUP(E33,'Coaching Points'!A:B,2,0))</f>
        <v>ON</v>
      </c>
      <c r="E33" s="36" t="s">
        <v>158</v>
      </c>
      <c r="F33" s="35">
        <v>2002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4.4700000000000004E-6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Scores'!F$13),AND(G33="15-16",U33&gt;='Qualifying Scores'!F$12),AND(G33="13-14",U33&gt;='Qualifying Scores'!F$11),AND(G33="11-12",U33&gt;='Qualifying Scores'!F$10)),T33,0),IF(OR(AND(G33="17-21",W33&gt;='Qualifying Scores'!F$13),AND(G33="15-16",W33&gt;='Qualifying Scores'!F$12),AND(G33="13-14",W33&gt;='Qualifying Scores'!F$11),AND(G33="11-12",W33&gt;='Qualifying Scores'!F$10)),V33,0),IF(OR(AND(G33="17-21",Y33&gt;='Qualifying Scores'!F$13),AND(G33="15-16",Y33&gt;='Qualifying Scores'!F$12),AND(G33="13-14",Y33&gt;='Qualifying Scores'!F$11),AND(G33="11-12",Y33&gt;='Qualifying Scores'!F$10)),X33,0),IF(OR(AND(G33="17-21",AA33&gt;='Qualifying Scores'!F$13),AND(G33="15-16",AA33&gt;='Qualifying Scores'!F$12),AND(G33="13-14",AA33&gt;='Qualifying Scores'!F$11),AND(G33="11-12",AA33&gt;='Qualifying Scores'!F$10)),Z33,0)))</f>
        <v>0</v>
      </c>
      <c r="S33" s="4">
        <f>MAX(T33,V33,X33,Z33)</f>
        <v>44.7</v>
      </c>
      <c r="T33" s="33"/>
      <c r="U33" s="40"/>
      <c r="V33" s="34"/>
      <c r="W33" s="40"/>
      <c r="X33" s="33">
        <v>44.7</v>
      </c>
      <c r="Y33" s="40">
        <v>7.7</v>
      </c>
      <c r="Z33" s="34">
        <v>22.1</v>
      </c>
      <c r="AA33" s="37">
        <v>3.1</v>
      </c>
    </row>
    <row r="34" spans="1:27" x14ac:dyDescent="0.2">
      <c r="A34" s="1" t="str" cm="1">
        <f t="array" ref="A34">IF(I34="","",IF(P34&lt;&gt;"",SUMPRODUCT((P$3:P$78&lt;&gt;"")*(G$3:G$78=G34)*(J$3:J$78&gt;J34)*(I$3:I$78="P"))+1,IF(O34&lt;&gt;"",SUMPRODUCT((O$3:O$78&lt;&gt;"")*(P$3:P$78="")*(G$3:G$78=G34)*(J$3:J$78&gt;J34)*(I$3:I$78="P"))+SUMPRODUCT((P$3:P$78&lt;&gt;"")*(G$3:G$78=G34)*(I$3:I$78="P"))+1,IF(N34&lt;&gt;"",SUMPRODUCT((N$3:N$78&lt;&gt;"")*(G$3:G$78=G34)*(J$3:J$78&gt;J34)*(I$3:I$78="P"))+1,IF(M34="P",SUMPRODUCT((O$3:O$78&lt;&gt;"")*(P$3:P$78="")*(G$3:G$78=G34)*(I$3:I$78="P"))+SUMPRODUCT((P$3:P$78&lt;&gt;"")*(G$3:G$78=G34)*(I$3:I$78="P"))+SUMPRODUCT((N$3:N$78&lt;&gt;"")*(G$3:G$78=G34)*(I$3:I$78="P"))+SUMPRODUCT((P$3:P$78="")*(O$3:O$78="")*(N$3:N$78="")*(M$3:M$78="P")*(G$3:G$78=G34)*(J$3:J$78&gt;J34)*(I$3:I$78="P"))+IF(H34="L5",SUMPRODUCT((P$3:P$78="")*(O$3:O$78="")*(N$3:N$78="")*(M$3:M$78="P")*(G$3:G$78=G34)*(J$3:J$78&lt;J34)*(H$3:H$78&lt;&gt;H34)*(I$3:I$78="P")),-1*SUMPRODUCT((P$3:P$78="")*(O$3:O$78="")*(N$3:N$78="")*(M$3:M$78="P")*(G$3:G$78=G34)*(J$3:J$78&gt;J34)*(H$3:H$78="L5")*(I$3:I$78="P")))+1,"")))))</f>
        <v/>
      </c>
      <c r="B34" s="1" t="str" cm="1">
        <f t="array" ref="B34">IF(P34&lt;&gt;"",SUMPRODUCT((P$3:P$78&lt;&gt;"")*(G$3:G$78=G34)*(J$3:J$78&gt;J34))+1,IF(O34&lt;&gt;"",SUMPRODUCT((O$3:O$78&lt;&gt;"")*(P$3:P$78="")*(G$3:G$78=G34)*(J$3:J$78&gt;J34))+SUMPRODUCT((P$3:P$78&lt;&gt;"")*(G$3:G$78=G34))+1,IF(N34&lt;&gt;"",SUMPRODUCT((N$3:N$78&lt;&gt;"")*(G$3:G$78=G34)*(J$3:J$78&gt;J34))+1,IF(M34="P",SUMPRODUCT((O$3:O$78&lt;&gt;"")*(P$3:P$78="")*(G$3:G$78=G34))+SUMPRODUCT((P$3:P$78&lt;&gt;"")*(G$3:G$78=G34))+SUMPRODUCT((N$3:N$78&lt;&gt;"")*(G$3:G$78=G34))+SUMPRODUCT((P$3:P$78="")*(O$3:O$78="")*(N$3:N$78="")*(M$3:M$78="P")*(G$3:G$78=G34)*(J$3:J$78&gt;J34))+IF(H34="L5",SUMPRODUCT((P$3:P$78="")*(O$3:O$78="")*(N$3:N$78="")*(M$3:M$78="P")*(G$3:G$78=G34)*(J$3:J$78&lt;J34)*(H$3:H$78&lt;&gt;H34)),-1*SUMPRODUCT((P$3:P$78="")*(O$3:O$78="")*(N$3:N$78="")*(M$3:M$78="P")*(G$3:G$78=G34)*(J$3:J$78&gt;J34)*(H$3:H$78="L5")))+1,""))))</f>
        <v/>
      </c>
      <c r="C34" s="36" t="s">
        <v>136</v>
      </c>
      <c r="D34" s="36" t="str">
        <f>IF(E34="","",VLOOKUP(E34,'Coaching Points'!A:B,2,0))</f>
        <v>AB</v>
      </c>
      <c r="E34" s="36" t="s">
        <v>137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4.4700000000000004E-6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Scores'!F$13),AND(G34="15-16",U34&gt;='Qualifying Scores'!F$12),AND(G34="13-14",U34&gt;='Qualifying Scores'!F$11),AND(G34="11-12",U34&gt;='Qualifying Scores'!F$10)),T34,0),IF(OR(AND(G34="17-21",W34&gt;='Qualifying Scores'!F$13),AND(G34="15-16",W34&gt;='Qualifying Scores'!F$12),AND(G34="13-14",W34&gt;='Qualifying Scores'!F$11),AND(G34="11-12",W34&gt;='Qualifying Scores'!F$10)),V34,0),IF(OR(AND(G34="17-21",Y34&gt;='Qualifying Scores'!F$13),AND(G34="15-16",Y34&gt;='Qualifying Scores'!F$12),AND(G34="13-14",Y34&gt;='Qualifying Scores'!F$11),AND(G34="11-12",Y34&gt;='Qualifying Scores'!F$10)),X34,0),IF(OR(AND(G34="17-21",AA34&gt;='Qualifying Scores'!F$13),AND(G34="15-16",AA34&gt;='Qualifying Scores'!F$12),AND(G34="13-14",AA34&gt;='Qualifying Scores'!F$11),AND(G34="11-12",AA34&gt;='Qualifying Scores'!F$10)),Z34,0)))</f>
        <v>0</v>
      </c>
      <c r="S34" s="4">
        <f>MAX(T34,V34,X34,Z34)</f>
        <v>44.7</v>
      </c>
      <c r="T34" s="33">
        <v>43.6</v>
      </c>
      <c r="U34" s="40">
        <v>6.8999999999999995</v>
      </c>
      <c r="V34" s="34">
        <v>21.5</v>
      </c>
      <c r="W34" s="40">
        <v>4.4000000000000004</v>
      </c>
      <c r="X34" s="33">
        <v>43.8</v>
      </c>
      <c r="Y34" s="40">
        <v>8.8000000000000007</v>
      </c>
      <c r="Z34" s="34">
        <v>44.7</v>
      </c>
      <c r="AA34" s="37">
        <v>7.7</v>
      </c>
    </row>
    <row r="35" spans="1:27" x14ac:dyDescent="0.2">
      <c r="A35" s="1" t="str" cm="1">
        <f t="array" ref="A35">IF(I35="","",IF(P35&lt;&gt;"",SUMPRODUCT((P$3:P$78&lt;&gt;"")*(G$3:G$78=G35)*(J$3:J$78&gt;J35)*(I$3:I$78="P"))+1,IF(O35&lt;&gt;"",SUMPRODUCT((O$3:O$78&lt;&gt;"")*(P$3:P$78="")*(G$3:G$78=G35)*(J$3:J$78&gt;J35)*(I$3:I$78="P"))+SUMPRODUCT((P$3:P$78&lt;&gt;"")*(G$3:G$78=G35)*(I$3:I$78="P"))+1,IF(N35&lt;&gt;"",SUMPRODUCT((N$3:N$78&lt;&gt;"")*(G$3:G$78=G35)*(J$3:J$78&gt;J35)*(I$3:I$78="P"))+1,IF(M35="P",SUMPRODUCT((O$3:O$78&lt;&gt;"")*(P$3:P$78="")*(G$3:G$78=G35)*(I$3:I$78="P"))+SUMPRODUCT((P$3:P$78&lt;&gt;"")*(G$3:G$78=G35)*(I$3:I$78="P"))+SUMPRODUCT((N$3:N$78&lt;&gt;"")*(G$3:G$78=G35)*(I$3:I$78="P"))+SUMPRODUCT((P$3:P$78="")*(O$3:O$78="")*(N$3:N$78="")*(M$3:M$78="P")*(G$3:G$78=G35)*(J$3:J$78&gt;J35)*(I$3:I$78="P"))+IF(H35="L5",SUMPRODUCT((P$3:P$78="")*(O$3:O$78="")*(N$3:N$78="")*(M$3:M$78="P")*(G$3:G$78=G35)*(J$3:J$78&lt;J35)*(H$3:H$78&lt;&gt;H35)*(I$3:I$78="P")),-1*SUMPRODUCT((P$3:P$78="")*(O$3:O$78="")*(N$3:N$78="")*(M$3:M$78="P")*(G$3:G$78=G35)*(J$3:J$78&gt;J35)*(H$3:H$78="L5")*(I$3:I$78="P")))+1,"")))))</f>
        <v/>
      </c>
      <c r="B35" s="1" t="str" cm="1">
        <f t="array" ref="B35">IF(P35&lt;&gt;"",SUMPRODUCT((P$3:P$78&lt;&gt;"")*(G$3:G$78=G35)*(J$3:J$78&gt;J35))+1,IF(O35&lt;&gt;"",SUMPRODUCT((O$3:O$78&lt;&gt;"")*(P$3:P$78="")*(G$3:G$78=G35)*(J$3:J$78&gt;J35))+SUMPRODUCT((P$3:P$78&lt;&gt;"")*(G$3:G$78=G35))+1,IF(N35&lt;&gt;"",SUMPRODUCT((N$3:N$78&lt;&gt;"")*(G$3:G$78=G35)*(J$3:J$78&gt;J35))+1,IF(M35="P",SUMPRODUCT((O$3:O$78&lt;&gt;"")*(P$3:P$78="")*(G$3:G$78=G35))+SUMPRODUCT((P$3:P$78&lt;&gt;"")*(G$3:G$78=G35))+SUMPRODUCT((N$3:N$78&lt;&gt;"")*(G$3:G$78=G35))+SUMPRODUCT((P$3:P$78="")*(O$3:O$78="")*(N$3:N$78="")*(M$3:M$78="P")*(G$3:G$78=G35)*(J$3:J$78&gt;J35))+IF(H35="L5",SUMPRODUCT((P$3:P$78="")*(O$3:O$78="")*(N$3:N$78="")*(M$3:M$78="P")*(G$3:G$78=G35)*(J$3:J$78&lt;J35)*(H$3:H$78&lt;&gt;H35)),-1*SUMPRODUCT((P$3:P$78="")*(O$3:O$78="")*(N$3:N$78="")*(M$3:M$78="P")*(G$3:G$78=G35)*(J$3:J$78&gt;J35)*(H$3:H$78="L5")))+1,""))))</f>
        <v/>
      </c>
      <c r="C35" s="36" t="s">
        <v>133</v>
      </c>
      <c r="D35" s="36" t="str">
        <f>IF(E35="","",VLOOKUP(E35,'Coaching Points'!A:B,2,0))</f>
        <v>AB</v>
      </c>
      <c r="E35" s="36" t="s">
        <v>134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4.42E-6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Scores'!F$13),AND(G35="15-16",U35&gt;='Qualifying Scores'!F$12),AND(G35="13-14",U35&gt;='Qualifying Scores'!F$11),AND(G35="11-12",U35&gt;='Qualifying Scores'!F$10)),T35,0),IF(OR(AND(G35="17-21",W35&gt;='Qualifying Scores'!F$13),AND(G35="15-16",W35&gt;='Qualifying Scores'!F$12),AND(G35="13-14",W35&gt;='Qualifying Scores'!F$11),AND(G35="11-12",W35&gt;='Qualifying Scores'!F$10)),V35,0),IF(OR(AND(G35="17-21",Y35&gt;='Qualifying Scores'!F$13),AND(G35="15-16",Y35&gt;='Qualifying Scores'!F$12),AND(G35="13-14",Y35&gt;='Qualifying Scores'!F$11),AND(G35="11-12",Y35&gt;='Qualifying Scores'!F$10)),X35,0),IF(OR(AND(G35="17-21",AA35&gt;='Qualifying Scores'!F$13),AND(G35="15-16",AA35&gt;='Qualifying Scores'!F$12),AND(G35="13-14",AA35&gt;='Qualifying Scores'!F$11),AND(G35="11-12",AA35&gt;='Qualifying Scores'!F$10)),Z35,0)))</f>
        <v>0</v>
      </c>
      <c r="S35" s="4">
        <f>MAX(T35,V35,X35,Z35)</f>
        <v>44.2</v>
      </c>
      <c r="T35" s="33">
        <v>42.6</v>
      </c>
      <c r="U35" s="40">
        <v>6.6</v>
      </c>
      <c r="V35" s="34">
        <v>42.79</v>
      </c>
      <c r="W35" s="40">
        <v>6.53</v>
      </c>
      <c r="X35" s="33">
        <v>44.2</v>
      </c>
      <c r="Y35" s="40">
        <v>7</v>
      </c>
      <c r="Z35" s="34">
        <v>42.5</v>
      </c>
      <c r="AA35" s="37">
        <v>6.9</v>
      </c>
    </row>
    <row r="36" spans="1:27" x14ac:dyDescent="0.2">
      <c r="A36" s="1" t="str" cm="1">
        <f t="array" ref="A36">IF(I36="","",IF(P36&lt;&gt;"",SUMPRODUCT((P$3:P$78&lt;&gt;"")*(G$3:G$78=G36)*(J$3:J$78&gt;J36)*(I$3:I$78="P"))+1,IF(O36&lt;&gt;"",SUMPRODUCT((O$3:O$78&lt;&gt;"")*(P$3:P$78="")*(G$3:G$78=G36)*(J$3:J$78&gt;J36)*(I$3:I$78="P"))+SUMPRODUCT((P$3:P$78&lt;&gt;"")*(G$3:G$78=G36)*(I$3:I$78="P"))+1,IF(N36&lt;&gt;"",SUMPRODUCT((N$3:N$78&lt;&gt;"")*(G$3:G$78=G36)*(J$3:J$78&gt;J36)*(I$3:I$78="P"))+1,IF(M36="P",SUMPRODUCT((O$3:O$78&lt;&gt;"")*(P$3:P$78="")*(G$3:G$78=G36)*(I$3:I$78="P"))+SUMPRODUCT((P$3:P$78&lt;&gt;"")*(G$3:G$78=G36)*(I$3:I$78="P"))+SUMPRODUCT((N$3:N$78&lt;&gt;"")*(G$3:G$78=G36)*(I$3:I$78="P"))+SUMPRODUCT((P$3:P$78="")*(O$3:O$78="")*(N$3:N$78="")*(M$3:M$78="P")*(G$3:G$78=G36)*(J$3:J$78&gt;J36)*(I$3:I$78="P"))+IF(H36="L5",SUMPRODUCT((P$3:P$78="")*(O$3:O$78="")*(N$3:N$78="")*(M$3:M$78="P")*(G$3:G$78=G36)*(J$3:J$78&lt;J36)*(H$3:H$78&lt;&gt;H36)*(I$3:I$78="P")),-1*SUMPRODUCT((P$3:P$78="")*(O$3:O$78="")*(N$3:N$78="")*(M$3:M$78="P")*(G$3:G$78=G36)*(J$3:J$78&gt;J36)*(H$3:H$78="L5")*(I$3:I$78="P")))+1,"")))))</f>
        <v/>
      </c>
      <c r="B36" s="1" t="str" cm="1">
        <f t="array" ref="B36">IF(P36&lt;&gt;"",SUMPRODUCT((P$3:P$78&lt;&gt;"")*(G$3:G$78=G36)*(J$3:J$78&gt;J36))+1,IF(O36&lt;&gt;"",SUMPRODUCT((O$3:O$78&lt;&gt;"")*(P$3:P$78="")*(G$3:G$78=G36)*(J$3:J$78&gt;J36))+SUMPRODUCT((P$3:P$78&lt;&gt;"")*(G$3:G$78=G36))+1,IF(N36&lt;&gt;"",SUMPRODUCT((N$3:N$78&lt;&gt;"")*(G$3:G$78=G36)*(J$3:J$78&gt;J36))+1,IF(M36="P",SUMPRODUCT((O$3:O$78&lt;&gt;"")*(P$3:P$78="")*(G$3:G$78=G36))+SUMPRODUCT((P$3:P$78&lt;&gt;"")*(G$3:G$78=G36))+SUMPRODUCT((N$3:N$78&lt;&gt;"")*(G$3:G$78=G36))+SUMPRODUCT((P$3:P$78="")*(O$3:O$78="")*(N$3:N$78="")*(M$3:M$78="P")*(G$3:G$78=G36)*(J$3:J$78&gt;J36))+IF(H36="L5",SUMPRODUCT((P$3:P$78="")*(O$3:O$78="")*(N$3:N$78="")*(M$3:M$78="P")*(G$3:G$78=G36)*(J$3:J$78&lt;J36)*(H$3:H$78&lt;&gt;H36)),-1*SUMPRODUCT((P$3:P$78="")*(O$3:O$78="")*(N$3:N$78="")*(M$3:M$78="P")*(G$3:G$78=G36)*(J$3:J$78&gt;J36)*(H$3:H$78="L5")))+1,""))))</f>
        <v/>
      </c>
      <c r="C36" s="36" t="s">
        <v>194</v>
      </c>
      <c r="D36" s="36" t="str">
        <f>IF(E36="","",VLOOKUP(E36,'Coaching Points'!A:B,2,0))</f>
        <v>QC</v>
      </c>
      <c r="E36" s="36" t="s">
        <v>195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4.4100000000000001E-6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Scores'!F$13),AND(G36="15-16",U36&gt;='Qualifying Scores'!F$12),AND(G36="13-14",U36&gt;='Qualifying Scores'!F$11),AND(G36="11-12",U36&gt;='Qualifying Scores'!F$10)),T36,0),IF(OR(AND(G36="17-21",W36&gt;='Qualifying Scores'!F$13),AND(G36="15-16",W36&gt;='Qualifying Scores'!F$12),AND(G36="13-14",W36&gt;='Qualifying Scores'!F$11),AND(G36="11-12",W36&gt;='Qualifying Scores'!F$10)),V36,0),IF(OR(AND(G36="17-21",Y36&gt;='Qualifying Scores'!F$13),AND(G36="15-16",Y36&gt;='Qualifying Scores'!F$12),AND(G36="13-14",Y36&gt;='Qualifying Scores'!F$11),AND(G36="11-12",Y36&gt;='Qualifying Scores'!F$10)),X36,0),IF(OR(AND(G36="17-21",AA36&gt;='Qualifying Scores'!F$13),AND(G36="15-16",AA36&gt;='Qualifying Scores'!F$12),AND(G36="13-14",AA36&gt;='Qualifying Scores'!F$11),AND(G36="11-12",AA36&gt;='Qualifying Scores'!F$10)),Z36,0)))</f>
        <v>0</v>
      </c>
      <c r="S36" s="4">
        <f>MAX(T36,V36,X36,Z36)</f>
        <v>44.1</v>
      </c>
      <c r="T36" s="33"/>
      <c r="U36" s="40"/>
      <c r="V36" s="34"/>
      <c r="W36" s="40"/>
      <c r="X36" s="33">
        <v>41.2</v>
      </c>
      <c r="Y36" s="40">
        <v>5.7</v>
      </c>
      <c r="Z36" s="34">
        <v>44.1</v>
      </c>
      <c r="AA36" s="37">
        <v>6.5</v>
      </c>
    </row>
    <row r="37" spans="1:27" x14ac:dyDescent="0.2">
      <c r="A37" s="1" t="str" cm="1">
        <f t="array" ref="A37">IF(I37="","",IF(P37&lt;&gt;"",SUMPRODUCT((P$3:P$78&lt;&gt;"")*(G$3:G$78=G37)*(J$3:J$78&gt;J37)*(I$3:I$78="P"))+1,IF(O37&lt;&gt;"",SUMPRODUCT((O$3:O$78&lt;&gt;"")*(P$3:P$78="")*(G$3:G$78=G37)*(J$3:J$78&gt;J37)*(I$3:I$78="P"))+SUMPRODUCT((P$3:P$78&lt;&gt;"")*(G$3:G$78=G37)*(I$3:I$78="P"))+1,IF(N37&lt;&gt;"",SUMPRODUCT((N$3:N$78&lt;&gt;"")*(G$3:G$78=G37)*(J$3:J$78&gt;J37)*(I$3:I$78="P"))+1,IF(M37="P",SUMPRODUCT((O$3:O$78&lt;&gt;"")*(P$3:P$78="")*(G$3:G$78=G37)*(I$3:I$78="P"))+SUMPRODUCT((P$3:P$78&lt;&gt;"")*(G$3:G$78=G37)*(I$3:I$78="P"))+SUMPRODUCT((N$3:N$78&lt;&gt;"")*(G$3:G$78=G37)*(I$3:I$78="P"))+SUMPRODUCT((P$3:P$78="")*(O$3:O$78="")*(N$3:N$78="")*(M$3:M$78="P")*(G$3:G$78=G37)*(J$3:J$78&gt;J37)*(I$3:I$78="P"))+IF(H37="L5",SUMPRODUCT((P$3:P$78="")*(O$3:O$78="")*(N$3:N$78="")*(M$3:M$78="P")*(G$3:G$78=G37)*(J$3:J$78&lt;J37)*(H$3:H$78&lt;&gt;H37)*(I$3:I$78="P")),-1*SUMPRODUCT((P$3:P$78="")*(O$3:O$78="")*(N$3:N$78="")*(M$3:M$78="P")*(G$3:G$78=G37)*(J$3:J$78&gt;J37)*(H$3:H$78="L5")*(I$3:I$78="P")))+1,"")))))</f>
        <v/>
      </c>
      <c r="B37" s="1" t="str" cm="1">
        <f t="array" ref="B37">IF(P37&lt;&gt;"",SUMPRODUCT((P$3:P$78&lt;&gt;"")*(G$3:G$78=G37)*(J$3:J$78&gt;J37))+1,IF(O37&lt;&gt;"",SUMPRODUCT((O$3:O$78&lt;&gt;"")*(P$3:P$78="")*(G$3:G$78=G37)*(J$3:J$78&gt;J37))+SUMPRODUCT((P$3:P$78&lt;&gt;"")*(G$3:G$78=G37))+1,IF(N37&lt;&gt;"",SUMPRODUCT((N$3:N$78&lt;&gt;"")*(G$3:G$78=G37)*(J$3:J$78&gt;J37))+1,IF(M37="P",SUMPRODUCT((O$3:O$78&lt;&gt;"")*(P$3:P$78="")*(G$3:G$78=G37))+SUMPRODUCT((P$3:P$78&lt;&gt;"")*(G$3:G$78=G37))+SUMPRODUCT((N$3:N$78&lt;&gt;"")*(G$3:G$78=G37))+SUMPRODUCT((P$3:P$78="")*(O$3:O$78="")*(N$3:N$78="")*(M$3:M$78="P")*(G$3:G$78=G37)*(J$3:J$78&gt;J37))+IF(H37="L5",SUMPRODUCT((P$3:P$78="")*(O$3:O$78="")*(N$3:N$78="")*(M$3:M$78="P")*(G$3:G$78=G37)*(J$3:J$78&lt;J37)*(H$3:H$78&lt;&gt;H37)),-1*SUMPRODUCT((P$3:P$78="")*(O$3:O$78="")*(N$3:N$78="")*(M$3:M$78="P")*(G$3:G$78=G37)*(J$3:J$78&gt;J37)*(H$3:H$78="L5")))+1,""))))</f>
        <v/>
      </c>
      <c r="C37" s="36" t="s">
        <v>401</v>
      </c>
      <c r="D37" s="36" t="str">
        <f>IF(E37="","",VLOOKUP(E37,'Coaching Points'!A:B,2,0))</f>
        <v>QC</v>
      </c>
      <c r="E37" s="36" t="s">
        <v>195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4.4000000000000002E-6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Scores'!F$13),AND(G37="15-16",U37&gt;='Qualifying Scores'!F$12),AND(G37="13-14",U37&gt;='Qualifying Scores'!F$11),AND(G37="11-12",U37&gt;='Qualifying Scores'!F$10)),T37,0),IF(OR(AND(G37="17-21",W37&gt;='Qualifying Scores'!F$13),AND(G37="15-16",W37&gt;='Qualifying Scores'!F$12),AND(G37="13-14",W37&gt;='Qualifying Scores'!F$11),AND(G37="11-12",W37&gt;='Qualifying Scores'!F$10)),V37,0),IF(OR(AND(G37="17-21",Y37&gt;='Qualifying Scores'!F$13),AND(G37="15-16",Y37&gt;='Qualifying Scores'!F$12),AND(G37="13-14",Y37&gt;='Qualifying Scores'!F$11),AND(G37="11-12",Y37&gt;='Qualifying Scores'!F$10)),X37,0),IF(OR(AND(G37="17-21",AA37&gt;='Qualifying Scores'!F$13),AND(G37="15-16",AA37&gt;='Qualifying Scores'!F$12),AND(G37="13-14",AA37&gt;='Qualifying Scores'!F$11),AND(G37="11-12",AA37&gt;='Qualifying Scores'!F$10)),Z37,0)))</f>
        <v>0</v>
      </c>
      <c r="S37" s="4">
        <f>MAX(T37,V37,X37,Z37)</f>
        <v>44</v>
      </c>
      <c r="T37" s="33"/>
      <c r="U37" s="40"/>
      <c r="V37" s="34"/>
      <c r="W37" s="40"/>
      <c r="X37" s="33">
        <v>40.700000000000003</v>
      </c>
      <c r="Y37" s="40">
        <v>4.8000000000000007</v>
      </c>
      <c r="Z37" s="34">
        <v>44</v>
      </c>
      <c r="AA37" s="37">
        <v>6.3</v>
      </c>
    </row>
    <row r="38" spans="1:27" x14ac:dyDescent="0.2">
      <c r="A38" s="1" t="str" cm="1">
        <f t="array" ref="A38">IF(I38="","",IF(P38&lt;&gt;"",SUMPRODUCT((P$3:P$78&lt;&gt;"")*(G$3:G$78=G38)*(J$3:J$78&gt;J38)*(I$3:I$78="P"))+1,IF(O38&lt;&gt;"",SUMPRODUCT((O$3:O$78&lt;&gt;"")*(P$3:P$78="")*(G$3:G$78=G38)*(J$3:J$78&gt;J38)*(I$3:I$78="P"))+SUMPRODUCT((P$3:P$78&lt;&gt;"")*(G$3:G$78=G38)*(I$3:I$78="P"))+1,IF(N38&lt;&gt;"",SUMPRODUCT((N$3:N$78&lt;&gt;"")*(G$3:G$78=G38)*(J$3:J$78&gt;J38)*(I$3:I$78="P"))+1,IF(M38="P",SUMPRODUCT((O$3:O$78&lt;&gt;"")*(P$3:P$78="")*(G$3:G$78=G38)*(I$3:I$78="P"))+SUMPRODUCT((P$3:P$78&lt;&gt;"")*(G$3:G$78=G38)*(I$3:I$78="P"))+SUMPRODUCT((N$3:N$78&lt;&gt;"")*(G$3:G$78=G38)*(I$3:I$78="P"))+SUMPRODUCT((P$3:P$78="")*(O$3:O$78="")*(N$3:N$78="")*(M$3:M$78="P")*(G$3:G$78=G38)*(J$3:J$78&gt;J38)*(I$3:I$78="P"))+IF(H38="L5",SUMPRODUCT((P$3:P$78="")*(O$3:O$78="")*(N$3:N$78="")*(M$3:M$78="P")*(G$3:G$78=G38)*(J$3:J$78&lt;J38)*(H$3:H$78&lt;&gt;H38)*(I$3:I$78="P")),-1*SUMPRODUCT((P$3:P$78="")*(O$3:O$78="")*(N$3:N$78="")*(M$3:M$78="P")*(G$3:G$78=G38)*(J$3:J$78&gt;J38)*(H$3:H$78="L5")*(I$3:I$78="P")))+1,"")))))</f>
        <v/>
      </c>
      <c r="B38" s="1" t="str" cm="1">
        <f t="array" ref="B38">IF(P38&lt;&gt;"",SUMPRODUCT((P$3:P$78&lt;&gt;"")*(G$3:G$78=G38)*(J$3:J$78&gt;J38))+1,IF(O38&lt;&gt;"",SUMPRODUCT((O$3:O$78&lt;&gt;"")*(P$3:P$78="")*(G$3:G$78=G38)*(J$3:J$78&gt;J38))+SUMPRODUCT((P$3:P$78&lt;&gt;"")*(G$3:G$78=G38))+1,IF(N38&lt;&gt;"",SUMPRODUCT((N$3:N$78&lt;&gt;"")*(G$3:G$78=G38)*(J$3:J$78&gt;J38))+1,IF(M38="P",SUMPRODUCT((O$3:O$78&lt;&gt;"")*(P$3:P$78="")*(G$3:G$78=G38))+SUMPRODUCT((P$3:P$78&lt;&gt;"")*(G$3:G$78=G38))+SUMPRODUCT((N$3:N$78&lt;&gt;"")*(G$3:G$78=G38))+SUMPRODUCT((P$3:P$78="")*(O$3:O$78="")*(N$3:N$78="")*(M$3:M$78="P")*(G$3:G$78=G38)*(J$3:J$78&gt;J38))+IF(H38="L5",SUMPRODUCT((P$3:P$78="")*(O$3:O$78="")*(N$3:N$78="")*(M$3:M$78="P")*(G$3:G$78=G38)*(J$3:J$78&lt;J38)*(H$3:H$78&lt;&gt;H38)),-1*SUMPRODUCT((P$3:P$78="")*(O$3:O$78="")*(N$3:N$78="")*(M$3:M$78="P")*(G$3:G$78=G38)*(J$3:J$78&gt;J38)*(H$3:H$78="L5")))+1,""))))</f>
        <v/>
      </c>
      <c r="C38" s="36" t="s">
        <v>132</v>
      </c>
      <c r="D38" s="36" t="str">
        <f>IF(E38="","",VLOOKUP(E38,'Coaching Points'!A:B,2,0))</f>
        <v>BC</v>
      </c>
      <c r="E38" s="36" t="s">
        <v>47</v>
      </c>
      <c r="F38" s="35">
        <v>2003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4.3799999999999996E-6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Scores'!F$13),AND(G38="15-16",U38&gt;='Qualifying Scores'!F$12),AND(G38="13-14",U38&gt;='Qualifying Scores'!F$11),AND(G38="11-12",U38&gt;='Qualifying Scores'!F$10)),T38,0),IF(OR(AND(G38="17-21",W38&gt;='Qualifying Scores'!F$13),AND(G38="15-16",W38&gt;='Qualifying Scores'!F$12),AND(G38="13-14",W38&gt;='Qualifying Scores'!F$11),AND(G38="11-12",W38&gt;='Qualifying Scores'!F$10)),V38,0),IF(OR(AND(G38="17-21",Y38&gt;='Qualifying Scores'!F$13),AND(G38="15-16",Y38&gt;='Qualifying Scores'!F$12),AND(G38="13-14",Y38&gt;='Qualifying Scores'!F$11),AND(G38="11-12",Y38&gt;='Qualifying Scores'!F$10)),X38,0),IF(OR(AND(G38="17-21",AA38&gt;='Qualifying Scores'!F$13),AND(G38="15-16",AA38&gt;='Qualifying Scores'!F$12),AND(G38="13-14",AA38&gt;='Qualifying Scores'!F$11),AND(G38="11-12",AA38&gt;='Qualifying Scores'!F$10)),Z38,0)))</f>
        <v>0</v>
      </c>
      <c r="S38" s="4">
        <f>MAX(T38,V38,X38,Z38)</f>
        <v>44.46</v>
      </c>
      <c r="T38" s="33">
        <v>44.46</v>
      </c>
      <c r="U38" s="40">
        <v>8</v>
      </c>
      <c r="V38" s="34">
        <v>42.900000000000006</v>
      </c>
      <c r="W38" s="40">
        <v>7.8</v>
      </c>
      <c r="X38" s="33">
        <v>43.8</v>
      </c>
      <c r="Y38" s="40">
        <v>8</v>
      </c>
      <c r="Z38" s="34">
        <v>43.2</v>
      </c>
      <c r="AA38" s="37">
        <v>7</v>
      </c>
    </row>
    <row r="39" spans="1:27" x14ac:dyDescent="0.2">
      <c r="A39" s="1" t="str" cm="1">
        <f t="array" ref="A39">IF(I39="","",IF(P39&lt;&gt;"",SUMPRODUCT((P$3:P$78&lt;&gt;"")*(G$3:G$78=G39)*(J$3:J$78&gt;J39)*(I$3:I$78="P"))+1,IF(O39&lt;&gt;"",SUMPRODUCT((O$3:O$78&lt;&gt;"")*(P$3:P$78="")*(G$3:G$78=G39)*(J$3:J$78&gt;J39)*(I$3:I$78="P"))+SUMPRODUCT((P$3:P$78&lt;&gt;"")*(G$3:G$78=G39)*(I$3:I$78="P"))+1,IF(N39&lt;&gt;"",SUMPRODUCT((N$3:N$78&lt;&gt;"")*(G$3:G$78=G39)*(J$3:J$78&gt;J39)*(I$3:I$78="P"))+1,IF(M39="P",SUMPRODUCT((O$3:O$78&lt;&gt;"")*(P$3:P$78="")*(G$3:G$78=G39)*(I$3:I$78="P"))+SUMPRODUCT((P$3:P$78&lt;&gt;"")*(G$3:G$78=G39)*(I$3:I$78="P"))+SUMPRODUCT((N$3:N$78&lt;&gt;"")*(G$3:G$78=G39)*(I$3:I$78="P"))+SUMPRODUCT((P$3:P$78="")*(O$3:O$78="")*(N$3:N$78="")*(M$3:M$78="P")*(G$3:G$78=G39)*(J$3:J$78&gt;J39)*(I$3:I$78="P"))+IF(H39="L5",SUMPRODUCT((P$3:P$78="")*(O$3:O$78="")*(N$3:N$78="")*(M$3:M$78="P")*(G$3:G$78=G39)*(J$3:J$78&lt;J39)*(H$3:H$78&lt;&gt;H39)*(I$3:I$78="P")),-1*SUMPRODUCT((P$3:P$78="")*(O$3:O$78="")*(N$3:N$78="")*(M$3:M$78="P")*(G$3:G$78=G39)*(J$3:J$78&gt;J39)*(H$3:H$78="L5")*(I$3:I$78="P")))+1,"")))))</f>
        <v/>
      </c>
      <c r="B39" s="1" t="str" cm="1">
        <f t="array" ref="B39">IF(P39&lt;&gt;"",SUMPRODUCT((P$3:P$78&lt;&gt;"")*(G$3:G$78=G39)*(J$3:J$78&gt;J39))+1,IF(O39&lt;&gt;"",SUMPRODUCT((O$3:O$78&lt;&gt;"")*(P$3:P$78="")*(G$3:G$78=G39)*(J$3:J$78&gt;J39))+SUMPRODUCT((P$3:P$78&lt;&gt;"")*(G$3:G$78=G39))+1,IF(N39&lt;&gt;"",SUMPRODUCT((N$3:N$78&lt;&gt;"")*(G$3:G$78=G39)*(J$3:J$78&gt;J39))+1,IF(M39="P",SUMPRODUCT((O$3:O$78&lt;&gt;"")*(P$3:P$78="")*(G$3:G$78=G39))+SUMPRODUCT((P$3:P$78&lt;&gt;"")*(G$3:G$78=G39))+SUMPRODUCT((N$3:N$78&lt;&gt;"")*(G$3:G$78=G39))+SUMPRODUCT((P$3:P$78="")*(O$3:O$78="")*(N$3:N$78="")*(M$3:M$78="P")*(G$3:G$78=G39)*(J$3:J$78&gt;J39))+IF(H39="L5",SUMPRODUCT((P$3:P$78="")*(O$3:O$78="")*(N$3:N$78="")*(M$3:M$78="P")*(G$3:G$78=G39)*(J$3:J$78&lt;J39)*(H$3:H$78&lt;&gt;H39)),-1*SUMPRODUCT((P$3:P$78="")*(O$3:O$78="")*(N$3:N$78="")*(M$3:M$78="P")*(G$3:G$78=G39)*(J$3:J$78&gt;J39)*(H$3:H$78="L5")))+1,""))))</f>
        <v/>
      </c>
      <c r="C39" s="36" t="s">
        <v>403</v>
      </c>
      <c r="D39" s="36" t="str">
        <f>IF(E39="","",VLOOKUP(E39,'Coaching Points'!A:B,2,0))</f>
        <v>BC</v>
      </c>
      <c r="E39" s="36" t="s">
        <v>572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4.34E-6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Scores'!F$13),AND(G39="15-16",U39&gt;='Qualifying Scores'!F$12),AND(G39="13-14",U39&gt;='Qualifying Scores'!F$11),AND(G39="11-12",U39&gt;='Qualifying Scores'!F$10)),T39,0),IF(OR(AND(G39="17-21",W39&gt;='Qualifying Scores'!F$13),AND(G39="15-16",W39&gt;='Qualifying Scores'!F$12),AND(G39="13-14",W39&gt;='Qualifying Scores'!F$11),AND(G39="11-12",W39&gt;='Qualifying Scores'!F$10)),V39,0),IF(OR(AND(G39="17-21",Y39&gt;='Qualifying Scores'!F$13),AND(G39="15-16",Y39&gt;='Qualifying Scores'!F$12),AND(G39="13-14",Y39&gt;='Qualifying Scores'!F$11),AND(G39="11-12",Y39&gt;='Qualifying Scores'!F$10)),X39,0),IF(OR(AND(G39="17-21",AA39&gt;='Qualifying Scores'!F$13),AND(G39="15-16",AA39&gt;='Qualifying Scores'!F$12),AND(G39="13-14",AA39&gt;='Qualifying Scores'!F$11),AND(G39="11-12",AA39&gt;='Qualifying Scores'!F$10)),Z39,0)))</f>
        <v>0</v>
      </c>
      <c r="S39" s="4">
        <f>MAX(T39,V39,X39,Z39)</f>
        <v>43.4</v>
      </c>
      <c r="T39" s="33"/>
      <c r="U39" s="40"/>
      <c r="V39" s="34"/>
      <c r="W39" s="40"/>
      <c r="X39" s="33">
        <v>42.5</v>
      </c>
      <c r="Y39" s="40">
        <v>5.6</v>
      </c>
      <c r="Z39" s="34">
        <v>43.4</v>
      </c>
      <c r="AA39" s="37">
        <v>5.6</v>
      </c>
    </row>
    <row r="40" spans="1:27" x14ac:dyDescent="0.2">
      <c r="A40" s="1" t="str" cm="1">
        <f t="array" ref="A40">IF(I40="","",IF(P40&lt;&gt;"",SUMPRODUCT((P$3:P$78&lt;&gt;"")*(G$3:G$78=G40)*(J$3:J$78&gt;J40)*(I$3:I$78="P"))+1,IF(O40&lt;&gt;"",SUMPRODUCT((O$3:O$78&lt;&gt;"")*(P$3:P$78="")*(G$3:G$78=G40)*(J$3:J$78&gt;J40)*(I$3:I$78="P"))+SUMPRODUCT((P$3:P$78&lt;&gt;"")*(G$3:G$78=G40)*(I$3:I$78="P"))+1,IF(N40&lt;&gt;"",SUMPRODUCT((N$3:N$78&lt;&gt;"")*(G$3:G$78=G40)*(J$3:J$78&gt;J40)*(I$3:I$78="P"))+1,IF(M40="P",SUMPRODUCT((O$3:O$78&lt;&gt;"")*(P$3:P$78="")*(G$3:G$78=G40)*(I$3:I$78="P"))+SUMPRODUCT((P$3:P$78&lt;&gt;"")*(G$3:G$78=G40)*(I$3:I$78="P"))+SUMPRODUCT((N$3:N$78&lt;&gt;"")*(G$3:G$78=G40)*(I$3:I$78="P"))+SUMPRODUCT((P$3:P$78="")*(O$3:O$78="")*(N$3:N$78="")*(M$3:M$78="P")*(G$3:G$78=G40)*(J$3:J$78&gt;J40)*(I$3:I$78="P"))+IF(H40="L5",SUMPRODUCT((P$3:P$78="")*(O$3:O$78="")*(N$3:N$78="")*(M$3:M$78="P")*(G$3:G$78=G40)*(J$3:J$78&lt;J40)*(H$3:H$78&lt;&gt;H40)*(I$3:I$78="P")),-1*SUMPRODUCT((P$3:P$78="")*(O$3:O$78="")*(N$3:N$78="")*(M$3:M$78="P")*(G$3:G$78=G40)*(J$3:J$78&gt;J40)*(H$3:H$78="L5")*(I$3:I$78="P")))+1,"")))))</f>
        <v/>
      </c>
      <c r="B40" s="1" t="str" cm="1">
        <f t="array" ref="B40">IF(P40&lt;&gt;"",SUMPRODUCT((P$3:P$78&lt;&gt;"")*(G$3:G$78=G40)*(J$3:J$78&gt;J40))+1,IF(O40&lt;&gt;"",SUMPRODUCT((O$3:O$78&lt;&gt;"")*(P$3:P$78="")*(G$3:G$78=G40)*(J$3:J$78&gt;J40))+SUMPRODUCT((P$3:P$78&lt;&gt;"")*(G$3:G$78=G40))+1,IF(N40&lt;&gt;"",SUMPRODUCT((N$3:N$78&lt;&gt;"")*(G$3:G$78=G40)*(J$3:J$78&gt;J40))+1,IF(M40="P",SUMPRODUCT((O$3:O$78&lt;&gt;"")*(P$3:P$78="")*(G$3:G$78=G40))+SUMPRODUCT((P$3:P$78&lt;&gt;"")*(G$3:G$78=G40))+SUMPRODUCT((N$3:N$78&lt;&gt;"")*(G$3:G$78=G40))+SUMPRODUCT((P$3:P$78="")*(O$3:O$78="")*(N$3:N$78="")*(M$3:M$78="P")*(G$3:G$78=G40)*(J$3:J$78&gt;J40))+IF(H40="L5",SUMPRODUCT((P$3:P$78="")*(O$3:O$78="")*(N$3:N$78="")*(M$3:M$78="P")*(G$3:G$78=G40)*(J$3:J$78&lt;J40)*(H$3:H$78&lt;&gt;H40)),-1*SUMPRODUCT((P$3:P$78="")*(O$3:O$78="")*(N$3:N$78="")*(M$3:M$78="P")*(G$3:G$78=G40)*(J$3:J$78&gt;J40)*(H$3:H$78="L5")))+1,""))))</f>
        <v/>
      </c>
      <c r="C40" s="36" t="s">
        <v>393</v>
      </c>
      <c r="D40" s="36" t="str">
        <f>IF(E40="","",VLOOKUP(E40,'Coaching Points'!A:B,2,0))</f>
        <v>QC</v>
      </c>
      <c r="E40" s="36" t="s">
        <v>577</v>
      </c>
      <c r="F40" s="35">
        <v>2004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4.25E-6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Scores'!F$13),AND(G40="15-16",U40&gt;='Qualifying Scores'!F$12),AND(G40="13-14",U40&gt;='Qualifying Scores'!F$11),AND(G40="11-12",U40&gt;='Qualifying Scores'!F$10)),T40,0),IF(OR(AND(G40="17-21",W40&gt;='Qualifying Scores'!F$13),AND(G40="15-16",W40&gt;='Qualifying Scores'!F$12),AND(G40="13-14",W40&gt;='Qualifying Scores'!F$11),AND(G40="11-12",W40&gt;='Qualifying Scores'!F$10)),V40,0),IF(OR(AND(G40="17-21",Y40&gt;='Qualifying Scores'!F$13),AND(G40="15-16",Y40&gt;='Qualifying Scores'!F$12),AND(G40="13-14",Y40&gt;='Qualifying Scores'!F$11),AND(G40="11-12",Y40&gt;='Qualifying Scores'!F$10)),X40,0),IF(OR(AND(G40="17-21",AA40&gt;='Qualifying Scores'!F$13),AND(G40="15-16",AA40&gt;='Qualifying Scores'!F$12),AND(G40="13-14",AA40&gt;='Qualifying Scores'!F$11),AND(G40="11-12",AA40&gt;='Qualifying Scores'!F$10)),Z40,0)))</f>
        <v>0</v>
      </c>
      <c r="S40" s="4">
        <f>MAX(T40,V40,X40,Z40)</f>
        <v>42.5</v>
      </c>
      <c r="T40" s="33"/>
      <c r="U40" s="40"/>
      <c r="V40" s="34"/>
      <c r="W40" s="40"/>
      <c r="X40" s="33">
        <v>39.9</v>
      </c>
      <c r="Y40" s="40">
        <v>4.2</v>
      </c>
      <c r="Z40" s="34">
        <v>42.5</v>
      </c>
      <c r="AA40" s="37">
        <v>6</v>
      </c>
    </row>
    <row r="41" spans="1:27" x14ac:dyDescent="0.2">
      <c r="A41" s="1" t="str" cm="1">
        <f t="array" ref="A41">IF(I41="","",IF(P41&lt;&gt;"",SUMPRODUCT((P$3:P$78&lt;&gt;"")*(G$3:G$78=G41)*(J$3:J$78&gt;J41)*(I$3:I$78="P"))+1,IF(O41&lt;&gt;"",SUMPRODUCT((O$3:O$78&lt;&gt;"")*(P$3:P$78="")*(G$3:G$78=G41)*(J$3:J$78&gt;J41)*(I$3:I$78="P"))+SUMPRODUCT((P$3:P$78&lt;&gt;"")*(G$3:G$78=G41)*(I$3:I$78="P"))+1,IF(N41&lt;&gt;"",SUMPRODUCT((N$3:N$78&lt;&gt;"")*(G$3:G$78=G41)*(J$3:J$78&gt;J41)*(I$3:I$78="P"))+1,IF(M41="P",SUMPRODUCT((O$3:O$78&lt;&gt;"")*(P$3:P$78="")*(G$3:G$78=G41)*(I$3:I$78="P"))+SUMPRODUCT((P$3:P$78&lt;&gt;"")*(G$3:G$78=G41)*(I$3:I$78="P"))+SUMPRODUCT((N$3:N$78&lt;&gt;"")*(G$3:G$78=G41)*(I$3:I$78="P"))+SUMPRODUCT((P$3:P$78="")*(O$3:O$78="")*(N$3:N$78="")*(M$3:M$78="P")*(G$3:G$78=G41)*(J$3:J$78&gt;J41)*(I$3:I$78="P"))+IF(H41="L5",SUMPRODUCT((P$3:P$78="")*(O$3:O$78="")*(N$3:N$78="")*(M$3:M$78="P")*(G$3:G$78=G41)*(J$3:J$78&lt;J41)*(H$3:H$78&lt;&gt;H41)*(I$3:I$78="P")),-1*SUMPRODUCT((P$3:P$78="")*(O$3:O$78="")*(N$3:N$78="")*(M$3:M$78="P")*(G$3:G$78=G41)*(J$3:J$78&gt;J41)*(H$3:H$78="L5")*(I$3:I$78="P")))+1,"")))))</f>
        <v/>
      </c>
      <c r="B41" s="1" t="str" cm="1">
        <f t="array" ref="B41">IF(P41&lt;&gt;"",SUMPRODUCT((P$3:P$78&lt;&gt;"")*(G$3:G$78=G41)*(J$3:J$78&gt;J41))+1,IF(O41&lt;&gt;"",SUMPRODUCT((O$3:O$78&lt;&gt;"")*(P$3:P$78="")*(G$3:G$78=G41)*(J$3:J$78&gt;J41))+SUMPRODUCT((P$3:P$78&lt;&gt;"")*(G$3:G$78=G41))+1,IF(N41&lt;&gt;"",SUMPRODUCT((N$3:N$78&lt;&gt;"")*(G$3:G$78=G41)*(J$3:J$78&gt;J41))+1,IF(M41="P",SUMPRODUCT((O$3:O$78&lt;&gt;"")*(P$3:P$78="")*(G$3:G$78=G41))+SUMPRODUCT((P$3:P$78&lt;&gt;"")*(G$3:G$78=G41))+SUMPRODUCT((N$3:N$78&lt;&gt;"")*(G$3:G$78=G41))+SUMPRODUCT((P$3:P$78="")*(O$3:O$78="")*(N$3:N$78="")*(M$3:M$78="P")*(G$3:G$78=G41)*(J$3:J$78&gt;J41))+IF(H41="L5",SUMPRODUCT((P$3:P$78="")*(O$3:O$78="")*(N$3:N$78="")*(M$3:M$78="P")*(G$3:G$78=G41)*(J$3:J$78&lt;J41)*(H$3:H$78&lt;&gt;H41)),-1*SUMPRODUCT((P$3:P$78="")*(O$3:O$78="")*(N$3:N$78="")*(M$3:M$78="P")*(G$3:G$78=G41)*(J$3:J$78&gt;J41)*(H$3:H$78="L5")))+1,""))))</f>
        <v/>
      </c>
      <c r="C41" s="36" t="s">
        <v>311</v>
      </c>
      <c r="D41" s="36" t="str">
        <f>IF(E41="","",VLOOKUP(E41,'Coaching Points'!A:B,2,0))</f>
        <v>AB</v>
      </c>
      <c r="E41" s="36" t="s">
        <v>91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3.8999999999999999E-6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Scores'!F$13),AND(G41="15-16",U41&gt;='Qualifying Scores'!F$12),AND(G41="13-14",U41&gt;='Qualifying Scores'!F$11),AND(G41="11-12",U41&gt;='Qualifying Scores'!F$10)),T41,0),IF(OR(AND(G41="17-21",W41&gt;='Qualifying Scores'!F$13),AND(G41="15-16",W41&gt;='Qualifying Scores'!F$12),AND(G41="13-14",W41&gt;='Qualifying Scores'!F$11),AND(G41="11-12",W41&gt;='Qualifying Scores'!F$10)),V41,0),IF(OR(AND(G41="17-21",Y41&gt;='Qualifying Scores'!F$13),AND(G41="15-16",Y41&gt;='Qualifying Scores'!F$12),AND(G41="13-14",Y41&gt;='Qualifying Scores'!F$11),AND(G41="11-12",Y41&gt;='Qualifying Scores'!F$10)),X41,0),IF(OR(AND(G41="17-21",AA41&gt;='Qualifying Scores'!F$13),AND(G41="15-16",AA41&gt;='Qualifying Scores'!F$12),AND(G41="13-14",AA41&gt;='Qualifying Scores'!F$11),AND(G41="11-12",AA41&gt;='Qualifying Scores'!F$10)),Z41,0)))</f>
        <v>0</v>
      </c>
      <c r="S41" s="4">
        <f>MAX(T41,V41,X41,Z41)</f>
        <v>39</v>
      </c>
      <c r="T41" s="33"/>
      <c r="U41" s="40"/>
      <c r="V41" s="34"/>
      <c r="W41" s="40"/>
      <c r="X41" s="33">
        <v>39</v>
      </c>
      <c r="Y41" s="40">
        <v>3.2</v>
      </c>
      <c r="Z41" s="34">
        <v>38.599999999999994</v>
      </c>
      <c r="AA41" s="37">
        <v>4.0999999999999996</v>
      </c>
    </row>
    <row r="42" spans="1:27" x14ac:dyDescent="0.2">
      <c r="A42" s="1" t="str" cm="1">
        <f t="array" ref="A42">IF(I42="","",IF(P42&lt;&gt;"",SUMPRODUCT((P$3:P$78&lt;&gt;"")*(G$3:G$78=G42)*(J$3:J$78&gt;J42)*(I$3:I$78="P"))+1,IF(O42&lt;&gt;"",SUMPRODUCT((O$3:O$78&lt;&gt;"")*(P$3:P$78="")*(G$3:G$78=G42)*(J$3:J$78&gt;J42)*(I$3:I$78="P"))+SUMPRODUCT((P$3:P$78&lt;&gt;"")*(G$3:G$78=G42)*(I$3:I$78="P"))+1,IF(N42&lt;&gt;"",SUMPRODUCT((N$3:N$78&lt;&gt;"")*(G$3:G$78=G42)*(J$3:J$78&gt;J42)*(I$3:I$78="P"))+1,IF(M42="P",SUMPRODUCT((O$3:O$78&lt;&gt;"")*(P$3:P$78="")*(G$3:G$78=G42)*(I$3:I$78="P"))+SUMPRODUCT((P$3:P$78&lt;&gt;"")*(G$3:G$78=G42)*(I$3:I$78="P"))+SUMPRODUCT((N$3:N$78&lt;&gt;"")*(G$3:G$78=G42)*(I$3:I$78="P"))+SUMPRODUCT((P$3:P$78="")*(O$3:O$78="")*(N$3:N$78="")*(M$3:M$78="P")*(G$3:G$78=G42)*(J$3:J$78&gt;J42)*(I$3:I$78="P"))+IF(H42="L5",SUMPRODUCT((P$3:P$78="")*(O$3:O$78="")*(N$3:N$78="")*(M$3:M$78="P")*(G$3:G$78=G42)*(J$3:J$78&lt;J42)*(H$3:H$78&lt;&gt;H42)*(I$3:I$78="P")),-1*SUMPRODUCT((P$3:P$78="")*(O$3:O$78="")*(N$3:N$78="")*(M$3:M$78="P")*(G$3:G$78=G42)*(J$3:J$78&gt;J42)*(H$3:H$78="L5")*(I$3:I$78="P")))+1,"")))))</f>
        <v/>
      </c>
      <c r="B42" s="1" t="str" cm="1">
        <f t="array" ref="B42">IF(P42&lt;&gt;"",SUMPRODUCT((P$3:P$78&lt;&gt;"")*(G$3:G$78=G42)*(J$3:J$78&gt;J42))+1,IF(O42&lt;&gt;"",SUMPRODUCT((O$3:O$78&lt;&gt;"")*(P$3:P$78="")*(G$3:G$78=G42)*(J$3:J$78&gt;J42))+SUMPRODUCT((P$3:P$78&lt;&gt;"")*(G$3:G$78=G42))+1,IF(N42&lt;&gt;"",SUMPRODUCT((N$3:N$78&lt;&gt;"")*(G$3:G$78=G42)*(J$3:J$78&gt;J42))+1,IF(M42="P",SUMPRODUCT((O$3:O$78&lt;&gt;"")*(P$3:P$78="")*(G$3:G$78=G42))+SUMPRODUCT((P$3:P$78&lt;&gt;"")*(G$3:G$78=G42))+SUMPRODUCT((N$3:N$78&lt;&gt;"")*(G$3:G$78=G42))+SUMPRODUCT((P$3:P$78="")*(O$3:O$78="")*(N$3:N$78="")*(M$3:M$78="P")*(G$3:G$78=G42)*(J$3:J$78&gt;J42))+IF(H42="L5",SUMPRODUCT((P$3:P$78="")*(O$3:O$78="")*(N$3:N$78="")*(M$3:M$78="P")*(G$3:G$78=G42)*(J$3:J$78&lt;J42)*(H$3:H$78&lt;&gt;H42)),-1*SUMPRODUCT((P$3:P$78="")*(O$3:O$78="")*(N$3:N$78="")*(M$3:M$78="P")*(G$3:G$78=G42)*(J$3:J$78&gt;J42)*(H$3:H$78="L5")))+1,""))))</f>
        <v/>
      </c>
      <c r="C42" s="36" t="s">
        <v>516</v>
      </c>
      <c r="D42" s="36" t="str">
        <f>IF(E42="","",VLOOKUP(E42,'Coaching Points'!A:B,2,0))</f>
        <v>AB</v>
      </c>
      <c r="E42" s="36" t="s">
        <v>89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0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Scores'!F$13),AND(G42="15-16",U42&gt;='Qualifying Scores'!F$12),AND(G42="13-14",U42&gt;='Qualifying Scores'!F$11),AND(G42="11-12",U42&gt;='Qualifying Scores'!F$10)),T42,0),IF(OR(AND(G42="17-21",W42&gt;='Qualifying Scores'!F$13),AND(G42="15-16",W42&gt;='Qualifying Scores'!F$12),AND(G42="13-14",W42&gt;='Qualifying Scores'!F$11),AND(G42="11-12",W42&gt;='Qualifying Scores'!F$10)),V42,0),IF(OR(AND(G42="17-21",Y42&gt;='Qualifying Scores'!F$13),AND(G42="15-16",Y42&gt;='Qualifying Scores'!F$12),AND(G42="13-14",Y42&gt;='Qualifying Scores'!F$11),AND(G42="11-12",Y42&gt;='Qualifying Scores'!F$10)),X42,0),IF(OR(AND(G42="17-21",AA42&gt;='Qualifying Scores'!F$13),AND(G42="15-16",AA42&gt;='Qualifying Scores'!F$12),AND(G42="13-14",AA42&gt;='Qualifying Scores'!F$11),AND(G42="11-12",AA42&gt;='Qualifying Scores'!F$10)),Z42,0)))</f>
        <v>0</v>
      </c>
      <c r="S42" s="4">
        <f>MAX(T42,V42,X42,Z42)</f>
        <v>0</v>
      </c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A43" s="1" cm="1">
        <f t="array" ref="A43">IF(I43="","",IF(P43&lt;&gt;"",SUMPRODUCT((P$3:P$78&lt;&gt;"")*(G$3:G$78=G43)*(J$3:J$78&gt;J43)*(I$3:I$78="P"))+1,IF(O43&lt;&gt;"",SUMPRODUCT((O$3:O$78&lt;&gt;"")*(P$3:P$78="")*(G$3:G$78=G43)*(J$3:J$78&gt;J43)*(I$3:I$78="P"))+SUMPRODUCT((P$3:P$78&lt;&gt;"")*(G$3:G$78=G43)*(I$3:I$78="P"))+1,IF(N43&lt;&gt;"",SUMPRODUCT((N$3:N$78&lt;&gt;"")*(G$3:G$78=G43)*(J$3:J$78&gt;J43)*(I$3:I$78="P"))+1,IF(M43="P",SUMPRODUCT((O$3:O$78&lt;&gt;"")*(P$3:P$78="")*(G$3:G$78=G43)*(I$3:I$78="P"))+SUMPRODUCT((P$3:P$78&lt;&gt;"")*(G$3:G$78=G43)*(I$3:I$78="P"))+SUMPRODUCT((N$3:N$78&lt;&gt;"")*(G$3:G$78=G43)*(I$3:I$78="P"))+SUMPRODUCT((P$3:P$78="")*(O$3:O$78="")*(N$3:N$78="")*(M$3:M$78="P")*(G$3:G$78=G43)*(J$3:J$78&gt;J43)*(I$3:I$78="P"))+IF(H43="L5",SUMPRODUCT((P$3:P$78="")*(O$3:O$78="")*(N$3:N$78="")*(M$3:M$78="P")*(G$3:G$78=G43)*(J$3:J$78&lt;J43)*(H$3:H$78&lt;&gt;H43)*(I$3:I$78="P")),-1*SUMPRODUCT((P$3:P$78="")*(O$3:O$78="")*(N$3:N$78="")*(M$3:M$78="P")*(G$3:G$78=G43)*(J$3:J$78&gt;J43)*(H$3:H$78="L5")*(I$3:I$78="P")))+1,"")))))</f>
        <v>1</v>
      </c>
      <c r="B43" s="1" cm="1">
        <f t="array" ref="B43">IF(P43&lt;&gt;"",SUMPRODUCT((P$3:P$78&lt;&gt;"")*(G$3:G$78=G43)*(J$3:J$78&gt;J43))+1,IF(O43&lt;&gt;"",SUMPRODUCT((O$3:O$78&lt;&gt;"")*(P$3:P$78="")*(G$3:G$78=G43)*(J$3:J$78&gt;J43))+SUMPRODUCT((P$3:P$78&lt;&gt;"")*(G$3:G$78=G43))+1,IF(N43&lt;&gt;"",SUMPRODUCT((N$3:N$78&lt;&gt;"")*(G$3:G$78=G43)*(J$3:J$78&gt;J43))+1,IF(M43="P",SUMPRODUCT((O$3:O$78&lt;&gt;"")*(P$3:P$78="")*(G$3:G$78=G43))+SUMPRODUCT((P$3:P$78&lt;&gt;"")*(G$3:G$78=G43))+SUMPRODUCT((N$3:N$78&lt;&gt;"")*(G$3:G$78=G43))+SUMPRODUCT((P$3:P$78="")*(O$3:O$78="")*(N$3:N$78="")*(M$3:M$78="P")*(G$3:G$78=G43)*(J$3:J$78&gt;J43))+IF(H43="L5",SUMPRODUCT((P$3:P$78="")*(O$3:O$78="")*(N$3:N$78="")*(M$3:M$78="P")*(G$3:G$78=G43)*(J$3:J$78&lt;J43)*(H$3:H$78&lt;&gt;H43)),-1*SUMPRODUCT((P$3:P$78="")*(O$3:O$78="")*(N$3:N$78="")*(M$3:M$78="P")*(G$3:G$78=G43)*(J$3:J$78&gt;J43)*(H$3:H$78="L5")))+1,""))))</f>
        <v>1</v>
      </c>
      <c r="C43" s="36" t="s">
        <v>142</v>
      </c>
      <c r="D43" s="36" t="str">
        <f>IF(E43="","",VLOOKUP(E43,'Coaching Points'!A:B,2,0))</f>
        <v>BC</v>
      </c>
      <c r="E43" s="36" t="s">
        <v>143</v>
      </c>
      <c r="F43" s="35">
        <v>2007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114</v>
      </c>
      <c r="I43" s="45" t="s">
        <v>604</v>
      </c>
      <c r="J43" s="4">
        <f>R43+IF(OR(H43="Junior",H43="Senior"),0.0002,IF(OR(H43="L7",H43="L6"),0.0001,0))+MAX(X43,Z43)*0.0000001</f>
        <v>49.100204909999995</v>
      </c>
      <c r="K43" s="3" t="str">
        <f>IF(G43="Not Age Eligible","",IF(MAX(T43,V43,X43,Z43)&gt;=LOOKUP(G43,'Qualifying Scores'!$A$4:$A$7,'Qualifying Scores'!$F$4:$F$7),"P",""))</f>
        <v>P</v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>P</v>
      </c>
      <c r="N43" s="39">
        <v>1</v>
      </c>
      <c r="Q43" s="49">
        <f>IF(A43&lt;5,IF(_xlfn.MAXIFS(A:A,G:G,G43)&gt;3,5-A43,_xlfn.MAXIFS(A:A,G:G,G43)+1-A43),"")</f>
        <v>4</v>
      </c>
      <c r="R43" s="4">
        <f>IF(G43="Not Age Eligible",0,MAX(IF(OR(AND(G43="17-21",U43&gt;='Qualifying Scores'!F$13),AND(G43="15-16",U43&gt;='Qualifying Scores'!F$12),AND(G43="13-14",U43&gt;='Qualifying Scores'!F$11),AND(G43="11-12",U43&gt;='Qualifying Scores'!F$10)),T43,0),IF(OR(AND(G43="17-21",W43&gt;='Qualifying Scores'!F$13),AND(G43="15-16",W43&gt;='Qualifying Scores'!F$12),AND(G43="13-14",W43&gt;='Qualifying Scores'!F$11),AND(G43="11-12",W43&gt;='Qualifying Scores'!F$10)),V43,0),IF(OR(AND(G43="17-21",Y43&gt;='Qualifying Scores'!F$13),AND(G43="15-16",Y43&gt;='Qualifying Scores'!F$12),AND(G43="13-14",Y43&gt;='Qualifying Scores'!F$11),AND(G43="11-12",Y43&gt;='Qualifying Scores'!F$10)),X43,0),IF(OR(AND(G43="17-21",AA43&gt;='Qualifying Scores'!F$13),AND(G43="15-16",AA43&gt;='Qualifying Scores'!F$12),AND(G43="13-14",AA43&gt;='Qualifying Scores'!F$11),AND(G43="11-12",AA43&gt;='Qualifying Scores'!F$10)),Z43,0)))</f>
        <v>49.099999999999994</v>
      </c>
      <c r="S43" s="4">
        <f>MAX(T43,V43,X43,Z43)</f>
        <v>49.099999999999994</v>
      </c>
      <c r="T43" s="33">
        <v>46.4</v>
      </c>
      <c r="U43" s="40">
        <v>9.1</v>
      </c>
      <c r="V43" s="34">
        <v>45.5</v>
      </c>
      <c r="W43" s="40">
        <v>8.6999999999999993</v>
      </c>
      <c r="X43" s="33">
        <v>43.79999999999999</v>
      </c>
      <c r="Y43" s="40">
        <v>8.3999999999999986</v>
      </c>
      <c r="Z43" s="34">
        <v>49.099999999999994</v>
      </c>
      <c r="AA43" s="37">
        <v>12</v>
      </c>
    </row>
    <row r="44" spans="1:27" x14ac:dyDescent="0.2">
      <c r="A44" s="1" cm="1">
        <f t="array" ref="A44">IF(I44="","",IF(P44&lt;&gt;"",SUMPRODUCT((P$3:P$78&lt;&gt;"")*(G$3:G$78=G44)*(J$3:J$78&gt;J44)*(I$3:I$78="P"))+1,IF(O44&lt;&gt;"",SUMPRODUCT((O$3:O$78&lt;&gt;"")*(P$3:P$78="")*(G$3:G$78=G44)*(J$3:J$78&gt;J44)*(I$3:I$78="P"))+SUMPRODUCT((P$3:P$78&lt;&gt;"")*(G$3:G$78=G44)*(I$3:I$78="P"))+1,IF(N44&lt;&gt;"",SUMPRODUCT((N$3:N$78&lt;&gt;"")*(G$3:G$78=G44)*(J$3:J$78&gt;J44)*(I$3:I$78="P"))+1,IF(M44="P",SUMPRODUCT((O$3:O$78&lt;&gt;"")*(P$3:P$78="")*(G$3:G$78=G44)*(I$3:I$78="P"))+SUMPRODUCT((P$3:P$78&lt;&gt;"")*(G$3:G$78=G44)*(I$3:I$78="P"))+SUMPRODUCT((N$3:N$78&lt;&gt;"")*(G$3:G$78=G44)*(I$3:I$78="P"))+SUMPRODUCT((P$3:P$78="")*(O$3:O$78="")*(N$3:N$78="")*(M$3:M$78="P")*(G$3:G$78=G44)*(J$3:J$78&gt;J44)*(I$3:I$78="P"))+IF(H44="L5",SUMPRODUCT((P$3:P$78="")*(O$3:O$78="")*(N$3:N$78="")*(M$3:M$78="P")*(G$3:G$78=G44)*(J$3:J$78&lt;J44)*(H$3:H$78&lt;&gt;H44)*(I$3:I$78="P")),-1*SUMPRODUCT((P$3:P$78="")*(O$3:O$78="")*(N$3:N$78="")*(M$3:M$78="P")*(G$3:G$78=G44)*(J$3:J$78&gt;J44)*(H$3:H$78="L5")*(I$3:I$78="P")))+1,"")))))</f>
        <v>2</v>
      </c>
      <c r="B44" s="1" cm="1">
        <f t="array" ref="B44">IF(P44&lt;&gt;"",SUMPRODUCT((P$3:P$78&lt;&gt;"")*(G$3:G$78=G44)*(J$3:J$78&gt;J44))+1,IF(O44&lt;&gt;"",SUMPRODUCT((O$3:O$78&lt;&gt;"")*(P$3:P$78="")*(G$3:G$78=G44)*(J$3:J$78&gt;J44))+SUMPRODUCT((P$3:P$78&lt;&gt;"")*(G$3:G$78=G44))+1,IF(N44&lt;&gt;"",SUMPRODUCT((N$3:N$78&lt;&gt;"")*(G$3:G$78=G44)*(J$3:J$78&gt;J44))+1,IF(M44="P",SUMPRODUCT((O$3:O$78&lt;&gt;"")*(P$3:P$78="")*(G$3:G$78=G44))+SUMPRODUCT((P$3:P$78&lt;&gt;"")*(G$3:G$78=G44))+SUMPRODUCT((N$3:N$78&lt;&gt;"")*(G$3:G$78=G44))+SUMPRODUCT((P$3:P$78="")*(O$3:O$78="")*(N$3:N$78="")*(M$3:M$78="P")*(G$3:G$78=G44)*(J$3:J$78&gt;J44))+IF(H44="L5",SUMPRODUCT((P$3:P$78="")*(O$3:O$78="")*(N$3:N$78="")*(M$3:M$78="P")*(G$3:G$78=G44)*(J$3:J$78&lt;J44)*(H$3:H$78&lt;&gt;H44)),-1*SUMPRODUCT((P$3:P$78="")*(O$3:O$78="")*(N$3:N$78="")*(M$3:M$78="P")*(G$3:G$78=G44)*(J$3:J$78&gt;J44)*(H$3:H$78="L5")))+1,""))))</f>
        <v>3</v>
      </c>
      <c r="C44" s="36" t="s">
        <v>140</v>
      </c>
      <c r="D44" s="36" t="str">
        <f>IF(E44="","",VLOOKUP(E44,'Coaching Points'!A:B,2,0))</f>
        <v>ON</v>
      </c>
      <c r="E44" s="36" t="s">
        <v>141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116</v>
      </c>
      <c r="I44" s="45" t="s">
        <v>604</v>
      </c>
      <c r="J44" s="4">
        <f>R44+IF(OR(H44="Junior",H44="Senior"),0.0002,IF(OR(H44="L7",H44="L6"),0.0001,0))+MAX(X44,Z44)*0.0000001</f>
        <v>47.300104730000001</v>
      </c>
      <c r="K44" s="3" t="str">
        <f>IF(G44="Not Age Eligible","",IF(MAX(T44,V44,X44,Z44)&gt;=LOOKUP(G44,'Qualifying Scores'!$A$4:$A$7,'Qualifying Scores'!$F$4:$F$7),"P",""))</f>
        <v>P</v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>P</v>
      </c>
      <c r="Q44" s="49">
        <f>IF(A44&lt;5,IF(_xlfn.MAXIFS(A:A,G:G,G44)&gt;3,5-A44,_xlfn.MAXIFS(A:A,G:G,G44)+1-A44),"")</f>
        <v>3</v>
      </c>
      <c r="R44" s="4">
        <f>IF(G44="Not Age Eligible",0,MAX(IF(OR(AND(G44="17-21",U44&gt;='Qualifying Scores'!F$13),AND(G44="15-16",U44&gt;='Qualifying Scores'!F$12),AND(G44="13-14",U44&gt;='Qualifying Scores'!F$11),AND(G44="11-12",U44&gt;='Qualifying Scores'!F$10)),T44,0),IF(OR(AND(G44="17-21",W44&gt;='Qualifying Scores'!F$13),AND(G44="15-16",W44&gt;='Qualifying Scores'!F$12),AND(G44="13-14",W44&gt;='Qualifying Scores'!F$11),AND(G44="11-12",W44&gt;='Qualifying Scores'!F$10)),V44,0),IF(OR(AND(G44="17-21",Y44&gt;='Qualifying Scores'!F$13),AND(G44="15-16",Y44&gt;='Qualifying Scores'!F$12),AND(G44="13-14",Y44&gt;='Qualifying Scores'!F$11),AND(G44="11-12",Y44&gt;='Qualifying Scores'!F$10)),X44,0),IF(OR(AND(G44="17-21",AA44&gt;='Qualifying Scores'!F$13),AND(G44="15-16",AA44&gt;='Qualifying Scores'!F$12),AND(G44="13-14",AA44&gt;='Qualifying Scores'!F$11),AND(G44="11-12",AA44&gt;='Qualifying Scores'!F$10)),Z44,0)))</f>
        <v>47.3</v>
      </c>
      <c r="S44" s="4">
        <f>MAX(T44,V44,X44,Z44)</f>
        <v>47.3</v>
      </c>
      <c r="T44" s="33">
        <v>45.2</v>
      </c>
      <c r="U44" s="40">
        <v>8</v>
      </c>
      <c r="V44" s="34">
        <v>45.7</v>
      </c>
      <c r="W44" s="40">
        <v>7.8</v>
      </c>
      <c r="X44" s="33">
        <v>46.3</v>
      </c>
      <c r="Y44" s="40">
        <v>8.8000000000000007</v>
      </c>
      <c r="Z44" s="34">
        <v>47.3</v>
      </c>
      <c r="AA44" s="37">
        <v>9.1</v>
      </c>
    </row>
    <row r="45" spans="1:27" x14ac:dyDescent="0.2">
      <c r="A45" s="1" cm="1">
        <f t="array" ref="A45">IF(I45="","",IF(P45&lt;&gt;"",SUMPRODUCT((P$3:P$78&lt;&gt;"")*(G$3:G$78=G45)*(J$3:J$78&gt;J45)*(I$3:I$78="P"))+1,IF(O45&lt;&gt;"",SUMPRODUCT((O$3:O$78&lt;&gt;"")*(P$3:P$78="")*(G$3:G$78=G45)*(J$3:J$78&gt;J45)*(I$3:I$78="P"))+SUMPRODUCT((P$3:P$78&lt;&gt;"")*(G$3:G$78=G45)*(I$3:I$78="P"))+1,IF(N45&lt;&gt;"",SUMPRODUCT((N$3:N$78&lt;&gt;"")*(G$3:G$78=G45)*(J$3:J$78&gt;J45)*(I$3:I$78="P"))+1,IF(M45="P",SUMPRODUCT((O$3:O$78&lt;&gt;"")*(P$3:P$78="")*(G$3:G$78=G45)*(I$3:I$78="P"))+SUMPRODUCT((P$3:P$78&lt;&gt;"")*(G$3:G$78=G45)*(I$3:I$78="P"))+SUMPRODUCT((N$3:N$78&lt;&gt;"")*(G$3:G$78=G45)*(I$3:I$78="P"))+SUMPRODUCT((P$3:P$78="")*(O$3:O$78="")*(N$3:N$78="")*(M$3:M$78="P")*(G$3:G$78=G45)*(J$3:J$78&gt;J45)*(I$3:I$78="P"))+IF(H45="L5",SUMPRODUCT((P$3:P$78="")*(O$3:O$78="")*(N$3:N$78="")*(M$3:M$78="P")*(G$3:G$78=G45)*(J$3:J$78&lt;J45)*(H$3:H$78&lt;&gt;H45)*(I$3:I$78="P")),-1*SUMPRODUCT((P$3:P$78="")*(O$3:O$78="")*(N$3:N$78="")*(M$3:M$78="P")*(G$3:G$78=G45)*(J$3:J$78&gt;J45)*(H$3:H$78="L5")*(I$3:I$78="P")))+1,"")))))</f>
        <v>3</v>
      </c>
      <c r="B45" s="1" cm="1">
        <f t="array" ref="B45">IF(P45&lt;&gt;"",SUMPRODUCT((P$3:P$78&lt;&gt;"")*(G$3:G$78=G45)*(J$3:J$78&gt;J45))+1,IF(O45&lt;&gt;"",SUMPRODUCT((O$3:O$78&lt;&gt;"")*(P$3:P$78="")*(G$3:G$78=G45)*(J$3:J$78&gt;J45))+SUMPRODUCT((P$3:P$78&lt;&gt;"")*(G$3:G$78=G45))+1,IF(N45&lt;&gt;"",SUMPRODUCT((N$3:N$78&lt;&gt;"")*(G$3:G$78=G45)*(J$3:J$78&gt;J45))+1,IF(M45="P",SUMPRODUCT((O$3:O$78&lt;&gt;"")*(P$3:P$78="")*(G$3:G$78=G45))+SUMPRODUCT((P$3:P$78&lt;&gt;"")*(G$3:G$78=G45))+SUMPRODUCT((N$3:N$78&lt;&gt;"")*(G$3:G$78=G45))+SUMPRODUCT((P$3:P$78="")*(O$3:O$78="")*(N$3:N$78="")*(M$3:M$78="P")*(G$3:G$78=G45)*(J$3:J$78&gt;J45))+IF(H45="L5",SUMPRODUCT((P$3:P$78="")*(O$3:O$78="")*(N$3:N$78="")*(M$3:M$78="P")*(G$3:G$78=G45)*(J$3:J$78&lt;J45)*(H$3:H$78&lt;&gt;H45)),-1*SUMPRODUCT((P$3:P$78="")*(O$3:O$78="")*(N$3:N$78="")*(M$3:M$78="P")*(G$3:G$78=G45)*(J$3:J$78&gt;J45)*(H$3:H$78="L5")))+1,""))))</f>
        <v>4</v>
      </c>
      <c r="C45" s="36" t="s">
        <v>146</v>
      </c>
      <c r="D45" s="36" t="str">
        <f>IF(E45="","",VLOOKUP(E45,'Coaching Points'!A:B,2,0))</f>
        <v>ON</v>
      </c>
      <c r="E45" s="36" t="s">
        <v>48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9" t="s">
        <v>116</v>
      </c>
      <c r="I45" s="45" t="s">
        <v>604</v>
      </c>
      <c r="J45" s="4">
        <f>R45+IF(OR(H45="Junior",H45="Senior"),0.0002,IF(OR(H45="L7",H45="L6"),0.0001,0))+MAX(X45,Z45)*0.0000001</f>
        <v>47.300104709999999</v>
      </c>
      <c r="K45" s="3" t="str">
        <f>IF(G45="Not Age Eligible","",IF(MAX(T45,V45,X45,Z45)&gt;=LOOKUP(G45,'Qualifying Scores'!$A$4:$A$7,'Qualifying Scores'!$F$4:$F$7),"P",""))</f>
        <v>P</v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>P</v>
      </c>
      <c r="Q45" s="49">
        <f>IF(A45&lt;5,IF(_xlfn.MAXIFS(A:A,G:G,G45)&gt;3,5-A45,_xlfn.MAXIFS(A:A,G:G,G45)+1-A45),"")</f>
        <v>2</v>
      </c>
      <c r="R45" s="4">
        <f>IF(G45="Not Age Eligible",0,MAX(IF(OR(AND(G45="17-21",U45&gt;='Qualifying Scores'!F$13),AND(G45="15-16",U45&gt;='Qualifying Scores'!F$12),AND(G45="13-14",U45&gt;='Qualifying Scores'!F$11),AND(G45="11-12",U45&gt;='Qualifying Scores'!F$10)),T45,0),IF(OR(AND(G45="17-21",W45&gt;='Qualifying Scores'!F$13),AND(G45="15-16",W45&gt;='Qualifying Scores'!F$12),AND(G45="13-14",W45&gt;='Qualifying Scores'!F$11),AND(G45="11-12",W45&gt;='Qualifying Scores'!F$10)),V45,0),IF(OR(AND(G45="17-21",Y45&gt;='Qualifying Scores'!F$13),AND(G45="15-16",Y45&gt;='Qualifying Scores'!F$12),AND(G45="13-14",Y45&gt;='Qualifying Scores'!F$11),AND(G45="11-12",Y45&gt;='Qualifying Scores'!F$10)),X45,0),IF(OR(AND(G45="17-21",AA45&gt;='Qualifying Scores'!F$13),AND(G45="15-16",AA45&gt;='Qualifying Scores'!F$12),AND(G45="13-14",AA45&gt;='Qualifying Scores'!F$11),AND(G45="11-12",AA45&gt;='Qualifying Scores'!F$10)),Z45,0)))</f>
        <v>47.3</v>
      </c>
      <c r="S45" s="4">
        <f>MAX(T45,V45,X45,Z45)</f>
        <v>47.3</v>
      </c>
      <c r="T45" s="33">
        <v>47.3</v>
      </c>
      <c r="U45" s="40">
        <v>9.6</v>
      </c>
      <c r="V45" s="34">
        <v>36.400000000000006</v>
      </c>
      <c r="W45" s="40">
        <v>4.6999999999999993</v>
      </c>
      <c r="X45" s="33">
        <v>47.099999999999994</v>
      </c>
      <c r="Y45" s="40">
        <v>10.4</v>
      </c>
      <c r="Z45" s="34">
        <v>45.1</v>
      </c>
      <c r="AA45" s="37">
        <v>7.6999999999999993</v>
      </c>
    </row>
    <row r="46" spans="1:27" x14ac:dyDescent="0.2">
      <c r="A46" s="1" cm="1">
        <f t="array" ref="A46">IF(I46="","",IF(P46&lt;&gt;"",SUMPRODUCT((P$3:P$78&lt;&gt;"")*(G$3:G$78=G46)*(J$3:J$78&gt;J46)*(I$3:I$78="P"))+1,IF(O46&lt;&gt;"",SUMPRODUCT((O$3:O$78&lt;&gt;"")*(P$3:P$78="")*(G$3:G$78=G46)*(J$3:J$78&gt;J46)*(I$3:I$78="P"))+SUMPRODUCT((P$3:P$78&lt;&gt;"")*(G$3:G$78=G46)*(I$3:I$78="P"))+1,IF(N46&lt;&gt;"",SUMPRODUCT((N$3:N$78&lt;&gt;"")*(G$3:G$78=G46)*(J$3:J$78&gt;J46)*(I$3:I$78="P"))+1,IF(M46="P",SUMPRODUCT((O$3:O$78&lt;&gt;"")*(P$3:P$78="")*(G$3:G$78=G46)*(I$3:I$78="P"))+SUMPRODUCT((P$3:P$78&lt;&gt;"")*(G$3:G$78=G46)*(I$3:I$78="P"))+SUMPRODUCT((N$3:N$78&lt;&gt;"")*(G$3:G$78=G46)*(I$3:I$78="P"))+SUMPRODUCT((P$3:P$78="")*(O$3:O$78="")*(N$3:N$78="")*(M$3:M$78="P")*(G$3:G$78=G46)*(J$3:J$78&gt;J46)*(I$3:I$78="P"))+IF(H46="L5",SUMPRODUCT((P$3:P$78="")*(O$3:O$78="")*(N$3:N$78="")*(M$3:M$78="P")*(G$3:G$78=G46)*(J$3:J$78&lt;J46)*(H$3:H$78&lt;&gt;H46)*(I$3:I$78="P")),-1*SUMPRODUCT((P$3:P$78="")*(O$3:O$78="")*(N$3:N$78="")*(M$3:M$78="P")*(G$3:G$78=G46)*(J$3:J$78&gt;J46)*(H$3:H$78="L5")*(I$3:I$78="P")))+1,"")))))</f>
        <v>4</v>
      </c>
      <c r="B46" s="1" cm="1">
        <f t="array" ref="B46">IF(P46&lt;&gt;"",SUMPRODUCT((P$3:P$78&lt;&gt;"")*(G$3:G$78=G46)*(J$3:J$78&gt;J46))+1,IF(O46&lt;&gt;"",SUMPRODUCT((O$3:O$78&lt;&gt;"")*(P$3:P$78="")*(G$3:G$78=G46)*(J$3:J$78&gt;J46))+SUMPRODUCT((P$3:P$78&lt;&gt;"")*(G$3:G$78=G46))+1,IF(N46&lt;&gt;"",SUMPRODUCT((N$3:N$78&lt;&gt;"")*(G$3:G$78=G46)*(J$3:J$78&gt;J46))+1,IF(M46="P",SUMPRODUCT((O$3:O$78&lt;&gt;"")*(P$3:P$78="")*(G$3:G$78=G46))+SUMPRODUCT((P$3:P$78&lt;&gt;"")*(G$3:G$78=G46))+SUMPRODUCT((N$3:N$78&lt;&gt;"")*(G$3:G$78=G46))+SUMPRODUCT((P$3:P$78="")*(O$3:O$78="")*(N$3:N$78="")*(M$3:M$78="P")*(G$3:G$78=G46)*(J$3:J$78&gt;J46))+IF(H46="L5",SUMPRODUCT((P$3:P$78="")*(O$3:O$78="")*(N$3:N$78="")*(M$3:M$78="P")*(G$3:G$78=G46)*(J$3:J$78&lt;J46)*(H$3:H$78&lt;&gt;H46)),-1*SUMPRODUCT((P$3:P$78="")*(O$3:O$78="")*(N$3:N$78="")*(M$3:M$78="P")*(G$3:G$78=G46)*(J$3:J$78&gt;J46)*(H$3:H$78="L5")))+1,""))))</f>
        <v>5</v>
      </c>
      <c r="C46" s="36" t="s">
        <v>144</v>
      </c>
      <c r="D46" s="36" t="str">
        <f>IF(E46="","",VLOOKUP(E46,'Coaching Points'!A:B,2,0))</f>
        <v>AB</v>
      </c>
      <c r="E46" s="36" t="s">
        <v>29</v>
      </c>
      <c r="F46" s="35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116</v>
      </c>
      <c r="I46" s="45" t="s">
        <v>604</v>
      </c>
      <c r="J46" s="4">
        <f>R46+IF(OR(H46="Junior",H46="Senior"),0.0002,IF(OR(H46="L7",H46="L6"),0.0001,0))+MAX(X46,Z46)*0.0000001</f>
        <v>46.800104680000004</v>
      </c>
      <c r="K46" s="3" t="str">
        <f>IF(G46="Not Age Eligible","",IF(MAX(T46,V46,X46,Z46)&gt;=LOOKUP(G46,'Qualifying Scores'!$A$4:$A$7,'Qualifying Scores'!$F$4:$F$7),"P",""))</f>
        <v>P</v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>P</v>
      </c>
      <c r="Q46" s="49">
        <f>IF(A46&lt;5,IF(_xlfn.MAXIFS(A:A,G:G,G46)&gt;3,5-A46,_xlfn.MAXIFS(A:A,G:G,G46)+1-A46),"")</f>
        <v>1</v>
      </c>
      <c r="R46" s="4">
        <f>IF(G46="Not Age Eligible",0,MAX(IF(OR(AND(G46="17-21",U46&gt;='Qualifying Scores'!F$13),AND(G46="15-16",U46&gt;='Qualifying Scores'!F$12),AND(G46="13-14",U46&gt;='Qualifying Scores'!F$11),AND(G46="11-12",U46&gt;='Qualifying Scores'!F$10)),T46,0),IF(OR(AND(G46="17-21",W46&gt;='Qualifying Scores'!F$13),AND(G46="15-16",W46&gt;='Qualifying Scores'!F$12),AND(G46="13-14",W46&gt;='Qualifying Scores'!F$11),AND(G46="11-12",W46&gt;='Qualifying Scores'!F$10)),V46,0),IF(OR(AND(G46="17-21",Y46&gt;='Qualifying Scores'!F$13),AND(G46="15-16",Y46&gt;='Qualifying Scores'!F$12),AND(G46="13-14",Y46&gt;='Qualifying Scores'!F$11),AND(G46="11-12",Y46&gt;='Qualifying Scores'!F$10)),X46,0),IF(OR(AND(G46="17-21",AA46&gt;='Qualifying Scores'!F$13),AND(G46="15-16",AA46&gt;='Qualifying Scores'!F$12),AND(G46="13-14",AA46&gt;='Qualifying Scores'!F$11),AND(G46="11-12",AA46&gt;='Qualifying Scores'!F$10)),Z46,0)))</f>
        <v>46.8</v>
      </c>
      <c r="S46" s="4">
        <f>MAX(T46,V46,X46,Z46)</f>
        <v>46.8</v>
      </c>
      <c r="T46" s="33">
        <v>45.099999999999994</v>
      </c>
      <c r="U46" s="40">
        <v>8.8000000000000007</v>
      </c>
      <c r="V46" s="34">
        <v>45.2</v>
      </c>
      <c r="W46" s="40">
        <v>8.6999999999999993</v>
      </c>
      <c r="X46" s="33">
        <v>46.8</v>
      </c>
      <c r="Y46" s="40">
        <v>11.6</v>
      </c>
      <c r="Z46" s="34">
        <v>24.299999999999997</v>
      </c>
      <c r="AA46" s="37">
        <v>5.0999999999999996</v>
      </c>
    </row>
    <row r="47" spans="1:27" x14ac:dyDescent="0.2">
      <c r="A47" s="1" cm="1">
        <f t="array" ref="A47">IF(I47="","",IF(P47&lt;&gt;"",SUMPRODUCT((P$3:P$78&lt;&gt;"")*(G$3:G$78=G47)*(J$3:J$78&gt;J47)*(I$3:I$78="P"))+1,IF(O47&lt;&gt;"",SUMPRODUCT((O$3:O$78&lt;&gt;"")*(P$3:P$78="")*(G$3:G$78=G47)*(J$3:J$78&gt;J47)*(I$3:I$78="P"))+SUMPRODUCT((P$3:P$78&lt;&gt;"")*(G$3:G$78=G47)*(I$3:I$78="P"))+1,IF(N47&lt;&gt;"",SUMPRODUCT((N$3:N$78&lt;&gt;"")*(G$3:G$78=G47)*(J$3:J$78&gt;J47)*(I$3:I$78="P"))+1,IF(M47="P",SUMPRODUCT((O$3:O$78&lt;&gt;"")*(P$3:P$78="")*(G$3:G$78=G47)*(I$3:I$78="P"))+SUMPRODUCT((P$3:P$78&lt;&gt;"")*(G$3:G$78=G47)*(I$3:I$78="P"))+SUMPRODUCT((N$3:N$78&lt;&gt;"")*(G$3:G$78=G47)*(I$3:I$78="P"))+SUMPRODUCT((P$3:P$78="")*(O$3:O$78="")*(N$3:N$78="")*(M$3:M$78="P")*(G$3:G$78=G47)*(J$3:J$78&gt;J47)*(I$3:I$78="P"))+IF(H47="L5",SUMPRODUCT((P$3:P$78="")*(O$3:O$78="")*(N$3:N$78="")*(M$3:M$78="P")*(G$3:G$78=G47)*(J$3:J$78&lt;J47)*(H$3:H$78&lt;&gt;H47)*(I$3:I$78="P")),-1*SUMPRODUCT((P$3:P$78="")*(O$3:O$78="")*(N$3:N$78="")*(M$3:M$78="P")*(G$3:G$78=G47)*(J$3:J$78&gt;J47)*(H$3:H$78="L5")*(I$3:I$78="P")))+1,"")))))</f>
        <v>5</v>
      </c>
      <c r="B47" s="1" cm="1">
        <f t="array" ref="B47">IF(P47&lt;&gt;"",SUMPRODUCT((P$3:P$78&lt;&gt;"")*(G$3:G$78=G47)*(J$3:J$78&gt;J47))+1,IF(O47&lt;&gt;"",SUMPRODUCT((O$3:O$78&lt;&gt;"")*(P$3:P$78="")*(G$3:G$78=G47)*(J$3:J$78&gt;J47))+SUMPRODUCT((P$3:P$78&lt;&gt;"")*(G$3:G$78=G47))+1,IF(N47&lt;&gt;"",SUMPRODUCT((N$3:N$78&lt;&gt;"")*(G$3:G$78=G47)*(J$3:J$78&gt;J47))+1,IF(M47="P",SUMPRODUCT((O$3:O$78&lt;&gt;"")*(P$3:P$78="")*(G$3:G$78=G47))+SUMPRODUCT((P$3:P$78&lt;&gt;"")*(G$3:G$78=G47))+SUMPRODUCT((N$3:N$78&lt;&gt;"")*(G$3:G$78=G47))+SUMPRODUCT((P$3:P$78="")*(O$3:O$78="")*(N$3:N$78="")*(M$3:M$78="P")*(G$3:G$78=G47)*(J$3:J$78&gt;J47))+IF(H47="L5",SUMPRODUCT((P$3:P$78="")*(O$3:O$78="")*(N$3:N$78="")*(M$3:M$78="P")*(G$3:G$78=G47)*(J$3:J$78&lt;J47)*(H$3:H$78&lt;&gt;H47)),-1*SUMPRODUCT((P$3:P$78="")*(O$3:O$78="")*(N$3:N$78="")*(M$3:M$78="P")*(G$3:G$78=G47)*(J$3:J$78&gt;J47)*(H$3:H$78="L5")))+1,""))))</f>
        <v>6</v>
      </c>
      <c r="C47" s="36" t="s">
        <v>374</v>
      </c>
      <c r="D47" s="36" t="str">
        <f>IF(E47="","",VLOOKUP(E47,'Coaching Points'!A:B,2,0))</f>
        <v>AB</v>
      </c>
      <c r="E47" s="36" t="s">
        <v>41</v>
      </c>
      <c r="F47" s="35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114</v>
      </c>
      <c r="I47" s="45" t="s">
        <v>604</v>
      </c>
      <c r="J47" s="4">
        <f>R47+IF(OR(H47="Junior",H47="Senior"),0.0002,IF(OR(H47="L7",H47="L6"),0.0001,0))+MAX(X47,Z47)*0.0000001</f>
        <v>46.100204609999992</v>
      </c>
      <c r="K47" s="3" t="str">
        <f>IF(G47="Not Age Eligible","",IF(MAX(T47,V47,X47,Z47)&gt;=LOOKUP(G47,'Qualifying Scores'!$A$4:$A$7,'Qualifying Scores'!$F$4:$F$7),"P",""))</f>
        <v>P</v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>P</v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Scores'!F$13),AND(G47="15-16",U47&gt;='Qualifying Scores'!F$12),AND(G47="13-14",U47&gt;='Qualifying Scores'!F$11),AND(G47="11-12",U47&gt;='Qualifying Scores'!F$10)),T47,0),IF(OR(AND(G47="17-21",W47&gt;='Qualifying Scores'!F$13),AND(G47="15-16",W47&gt;='Qualifying Scores'!F$12),AND(G47="13-14",W47&gt;='Qualifying Scores'!F$11),AND(G47="11-12",W47&gt;='Qualifying Scores'!F$10)),V47,0),IF(OR(AND(G47="17-21",Y47&gt;='Qualifying Scores'!F$13),AND(G47="15-16",Y47&gt;='Qualifying Scores'!F$12),AND(G47="13-14",Y47&gt;='Qualifying Scores'!F$11),AND(G47="11-12",Y47&gt;='Qualifying Scores'!F$10)),X47,0),IF(OR(AND(G47="17-21",AA47&gt;='Qualifying Scores'!F$13),AND(G47="15-16",AA47&gt;='Qualifying Scores'!F$12),AND(G47="13-14",AA47&gt;='Qualifying Scores'!F$11),AND(G47="11-12",AA47&gt;='Qualifying Scores'!F$10)),Z47,0)))</f>
        <v>46.099999999999994</v>
      </c>
      <c r="S47" s="4">
        <f>MAX(T47,V47,X47,Z47)</f>
        <v>46.099999999999994</v>
      </c>
      <c r="T47" s="33"/>
      <c r="U47" s="40"/>
      <c r="V47" s="34"/>
      <c r="W47" s="40"/>
      <c r="X47" s="33">
        <v>46.099999999999994</v>
      </c>
      <c r="Y47" s="40">
        <v>10.399999999999999</v>
      </c>
      <c r="Z47" s="34">
        <v>44.6</v>
      </c>
      <c r="AA47" s="37">
        <v>10.4</v>
      </c>
    </row>
    <row r="48" spans="1:27" x14ac:dyDescent="0.2">
      <c r="A48" s="1" t="str" cm="1">
        <f t="array" ref="A48">IF(I48="","",IF(P48&lt;&gt;"",SUMPRODUCT((P$3:P$78&lt;&gt;"")*(G$3:G$78=G48)*(J$3:J$78&gt;J48)*(I$3:I$78="P"))+1,IF(O48&lt;&gt;"",SUMPRODUCT((O$3:O$78&lt;&gt;"")*(P$3:P$78="")*(G$3:G$78=G48)*(J$3:J$78&gt;J48)*(I$3:I$78="P"))+SUMPRODUCT((P$3:P$78&lt;&gt;"")*(G$3:G$78=G48)*(I$3:I$78="P"))+1,IF(N48&lt;&gt;"",SUMPRODUCT((N$3:N$78&lt;&gt;"")*(G$3:G$78=G48)*(J$3:J$78&gt;J48)*(I$3:I$78="P"))+1,IF(M48="P",SUMPRODUCT((O$3:O$78&lt;&gt;"")*(P$3:P$78="")*(G$3:G$78=G48)*(I$3:I$78="P"))+SUMPRODUCT((P$3:P$78&lt;&gt;"")*(G$3:G$78=G48)*(I$3:I$78="P"))+SUMPRODUCT((N$3:N$78&lt;&gt;"")*(G$3:G$78=G48)*(I$3:I$78="P"))+SUMPRODUCT((P$3:P$78="")*(O$3:O$78="")*(N$3:N$78="")*(M$3:M$78="P")*(G$3:G$78=G48)*(J$3:J$78&gt;J48)*(I$3:I$78="P"))+IF(H48="L5",SUMPRODUCT((P$3:P$78="")*(O$3:O$78="")*(N$3:N$78="")*(M$3:M$78="P")*(G$3:G$78=G48)*(J$3:J$78&lt;J48)*(H$3:H$78&lt;&gt;H48)*(I$3:I$78="P")),-1*SUMPRODUCT((P$3:P$78="")*(O$3:O$78="")*(N$3:N$78="")*(M$3:M$78="P")*(G$3:G$78=G48)*(J$3:J$78&gt;J48)*(H$3:H$78="L5")*(I$3:I$78="P")))+1,"")))))</f>
        <v/>
      </c>
      <c r="B48" s="1" cm="1">
        <f t="array" ref="B48">IF(P48&lt;&gt;"",SUMPRODUCT((P$3:P$78&lt;&gt;"")*(G$3:G$78=G48)*(J$3:J$78&gt;J48))+1,IF(O48&lt;&gt;"",SUMPRODUCT((O$3:O$78&lt;&gt;"")*(P$3:P$78="")*(G$3:G$78=G48)*(J$3:J$78&gt;J48))+SUMPRODUCT((P$3:P$78&lt;&gt;"")*(G$3:G$78=G48))+1,IF(N48&lt;&gt;"",SUMPRODUCT((N$3:N$78&lt;&gt;"")*(G$3:G$78=G48)*(J$3:J$78&gt;J48))+1,IF(M48="P",SUMPRODUCT((O$3:O$78&lt;&gt;"")*(P$3:P$78="")*(G$3:G$78=G48))+SUMPRODUCT((P$3:P$78&lt;&gt;"")*(G$3:G$78=G48))+SUMPRODUCT((N$3:N$78&lt;&gt;"")*(G$3:G$78=G48))+SUMPRODUCT((P$3:P$78="")*(O$3:O$78="")*(N$3:N$78="")*(M$3:M$78="P")*(G$3:G$78=G48)*(J$3:J$78&gt;J48))+IF(H48="L5",SUMPRODUCT((P$3:P$78="")*(O$3:O$78="")*(N$3:N$78="")*(M$3:M$78="P")*(G$3:G$78=G48)*(J$3:J$78&lt;J48)*(H$3:H$78&lt;&gt;H48)),-1*SUMPRODUCT((P$3:P$78="")*(O$3:O$78="")*(N$3:N$78="")*(M$3:M$78="P")*(G$3:G$78=G48)*(J$3:J$78&gt;J48)*(H$3:H$78="L5")))+1,""))))</f>
        <v>2</v>
      </c>
      <c r="C48" s="36" t="s">
        <v>124</v>
      </c>
      <c r="D48" s="36" t="str">
        <f>IF(E48="","",VLOOKUP(E48,'Coaching Points'!A:B,2,0))</f>
        <v>BC</v>
      </c>
      <c r="E48" s="36" t="s">
        <v>80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116</v>
      </c>
      <c r="I48" s="45"/>
      <c r="J48" s="4">
        <f>R48+IF(OR(H48="Junior",H48="Senior"),0.0002,IF(OR(H48="L7",H48="L6"),0.0001,0))+MAX(X48,Z48)*0.0000001</f>
        <v>48.000104800000003</v>
      </c>
      <c r="K48" s="3" t="str">
        <f>IF(G48="Not Age Eligible","",IF(MAX(T48,V48,X48,Z48)&gt;=LOOKUP(G48,'Qualifying Scores'!$A$4:$A$7,'Qualifying Scores'!$F$4:$F$7),"P",""))</f>
        <v>P</v>
      </c>
      <c r="L48" s="3" t="str">
        <f>IF(G48="Not Age Eligible","",IF(MAX(U48,W48,Y48,AA48)&gt;=LOOKUP(G48,'Qualifying Scores'!$A$10:$A$13,'Qualifying Scores'!$F$10:$F$13),"P",""))</f>
        <v>P</v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>P</v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Scores'!F$13),AND(G48="15-16",U48&gt;='Qualifying Scores'!F$12),AND(G48="13-14",U48&gt;='Qualifying Scores'!F$11),AND(G48="11-12",U48&gt;='Qualifying Scores'!F$10)),T48,0),IF(OR(AND(G48="17-21",W48&gt;='Qualifying Scores'!F$13),AND(G48="15-16",W48&gt;='Qualifying Scores'!F$12),AND(G48="13-14",W48&gt;='Qualifying Scores'!F$11),AND(G48="11-12",W48&gt;='Qualifying Scores'!F$10)),V48,0),IF(OR(AND(G48="17-21",Y48&gt;='Qualifying Scores'!F$13),AND(G48="15-16",Y48&gt;='Qualifying Scores'!F$12),AND(G48="13-14",Y48&gt;='Qualifying Scores'!F$11),AND(G48="11-12",Y48&gt;='Qualifying Scores'!F$10)),X48,0),IF(OR(AND(G48="17-21",AA48&gt;='Qualifying Scores'!F$13),AND(G48="15-16",AA48&gt;='Qualifying Scores'!F$12),AND(G48="13-14",AA48&gt;='Qualifying Scores'!F$11),AND(G48="11-12",AA48&gt;='Qualifying Scores'!F$10)),Z48,0)))</f>
        <v>48</v>
      </c>
      <c r="S48" s="4">
        <f>MAX(T48,V48,X48,Z48)</f>
        <v>48</v>
      </c>
      <c r="T48" s="33">
        <v>45.4</v>
      </c>
      <c r="U48" s="40">
        <v>7.9</v>
      </c>
      <c r="V48" s="34">
        <v>43.900000000000006</v>
      </c>
      <c r="W48" s="40">
        <v>6.8</v>
      </c>
      <c r="X48" s="33">
        <v>48</v>
      </c>
      <c r="Y48" s="40">
        <v>12.4</v>
      </c>
      <c r="Z48" s="34">
        <v>43.8</v>
      </c>
      <c r="AA48" s="37">
        <v>6.6</v>
      </c>
    </row>
    <row r="49" spans="1:27" x14ac:dyDescent="0.2">
      <c r="A49" s="1" t="str" cm="1">
        <f t="array" ref="A49">IF(I49="","",IF(P49&lt;&gt;"",SUMPRODUCT((P$3:P$78&lt;&gt;"")*(G$3:G$78=G49)*(J$3:J$78&gt;J49)*(I$3:I$78="P"))+1,IF(O49&lt;&gt;"",SUMPRODUCT((O$3:O$78&lt;&gt;"")*(P$3:P$78="")*(G$3:G$78=G49)*(J$3:J$78&gt;J49)*(I$3:I$78="P"))+SUMPRODUCT((P$3:P$78&lt;&gt;"")*(G$3:G$78=G49)*(I$3:I$78="P"))+1,IF(N49&lt;&gt;"",SUMPRODUCT((N$3:N$78&lt;&gt;"")*(G$3:G$78=G49)*(J$3:J$78&gt;J49)*(I$3:I$78="P"))+1,IF(M49="P",SUMPRODUCT((O$3:O$78&lt;&gt;"")*(P$3:P$78="")*(G$3:G$78=G49)*(I$3:I$78="P"))+SUMPRODUCT((P$3:P$78&lt;&gt;"")*(G$3:G$78=G49)*(I$3:I$78="P"))+SUMPRODUCT((N$3:N$78&lt;&gt;"")*(G$3:G$78=G49)*(I$3:I$78="P"))+SUMPRODUCT((P$3:P$78="")*(O$3:O$78="")*(N$3:N$78="")*(M$3:M$78="P")*(G$3:G$78=G49)*(J$3:J$78&gt;J49)*(I$3:I$78="P"))+IF(H49="L5",SUMPRODUCT((P$3:P$78="")*(O$3:O$78="")*(N$3:N$78="")*(M$3:M$78="P")*(G$3:G$78=G49)*(J$3:J$78&lt;J49)*(H$3:H$78&lt;&gt;H49)*(I$3:I$78="P")),-1*SUMPRODUCT((P$3:P$78="")*(O$3:O$78="")*(N$3:N$78="")*(M$3:M$78="P")*(G$3:G$78=G49)*(J$3:J$78&gt;J49)*(H$3:H$78="L5")*(I$3:I$78="P")))+1,"")))))</f>
        <v/>
      </c>
      <c r="B49" s="1" t="str" cm="1">
        <f t="array" ref="B49">IF(P49&lt;&gt;"",SUMPRODUCT((P$3:P$78&lt;&gt;"")*(G$3:G$78=G49)*(J$3:J$78&gt;J49))+1,IF(O49&lt;&gt;"",SUMPRODUCT((O$3:O$78&lt;&gt;"")*(P$3:P$78="")*(G$3:G$78=G49)*(J$3:J$78&gt;J49))+SUMPRODUCT((P$3:P$78&lt;&gt;"")*(G$3:G$78=G49))+1,IF(N49&lt;&gt;"",SUMPRODUCT((N$3:N$78&lt;&gt;"")*(G$3:G$78=G49)*(J$3:J$78&gt;J49))+1,IF(M49="P",SUMPRODUCT((O$3:O$78&lt;&gt;"")*(P$3:P$78="")*(G$3:G$78=G49))+SUMPRODUCT((P$3:P$78&lt;&gt;"")*(G$3:G$78=G49))+SUMPRODUCT((N$3:N$78&lt;&gt;"")*(G$3:G$78=G49))+SUMPRODUCT((P$3:P$78="")*(O$3:O$78="")*(N$3:N$78="")*(M$3:M$78="P")*(G$3:G$78=G49)*(J$3:J$78&gt;J49))+IF(H49="L5",SUMPRODUCT((P$3:P$78="")*(O$3:O$78="")*(N$3:N$78="")*(M$3:M$78="P")*(G$3:G$78=G49)*(J$3:J$78&lt;J49)*(H$3:H$78&lt;&gt;H49)),-1*SUMPRODUCT((P$3:P$78="")*(O$3:O$78="")*(N$3:N$78="")*(M$3:M$78="P")*(G$3:G$78=G49)*(J$3:J$78&gt;J49)*(H$3:H$78="L5")))+1,""))))</f>
        <v/>
      </c>
      <c r="C49" s="36" t="s">
        <v>145</v>
      </c>
      <c r="D49" s="36" t="str">
        <f>IF(E49="","",VLOOKUP(E49,'Coaching Points'!A:B,2,0))</f>
        <v>BC</v>
      </c>
      <c r="E49" s="36" t="s">
        <v>84</v>
      </c>
      <c r="F49" s="35">
        <v>2007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116</v>
      </c>
      <c r="I49" s="45"/>
      <c r="J49" s="4">
        <f>R49+IF(OR(H49="Junior",H49="Senior"),0.0002,IF(OR(H49="L7",H49="L6"),0.0001,0))+MAX(X49,Z49)*0.0000001</f>
        <v>45.600104559999998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Scores'!F$13),AND(G49="15-16",U49&gt;='Qualifying Scores'!F$12),AND(G49="13-14",U49&gt;='Qualifying Scores'!F$11),AND(G49="11-12",U49&gt;='Qualifying Scores'!F$10)),T49,0),IF(OR(AND(G49="17-21",W49&gt;='Qualifying Scores'!F$13),AND(G49="15-16",W49&gt;='Qualifying Scores'!F$12),AND(G49="13-14",W49&gt;='Qualifying Scores'!F$11),AND(G49="11-12",W49&gt;='Qualifying Scores'!F$10)),V49,0),IF(OR(AND(G49="17-21",Y49&gt;='Qualifying Scores'!F$13),AND(G49="15-16",Y49&gt;='Qualifying Scores'!F$12),AND(G49="13-14",Y49&gt;='Qualifying Scores'!F$11),AND(G49="11-12",Y49&gt;='Qualifying Scores'!F$10)),X49,0),IF(OR(AND(G49="17-21",AA49&gt;='Qualifying Scores'!F$13),AND(G49="15-16",AA49&gt;='Qualifying Scores'!F$12),AND(G49="13-14",AA49&gt;='Qualifying Scores'!F$11),AND(G49="11-12",AA49&gt;='Qualifying Scores'!F$10)),Z49,0)))</f>
        <v>45.599999999999994</v>
      </c>
      <c r="S49" s="4">
        <f>MAX(T49,V49,X49,Z49)</f>
        <v>45.599999999999994</v>
      </c>
      <c r="T49" s="33">
        <v>44.8</v>
      </c>
      <c r="U49" s="40">
        <v>9.5</v>
      </c>
      <c r="V49" s="34">
        <v>44.5</v>
      </c>
      <c r="W49" s="40">
        <v>9.1000000000000014</v>
      </c>
      <c r="X49" s="33">
        <v>44.7</v>
      </c>
      <c r="Y49" s="40">
        <v>9.5</v>
      </c>
      <c r="Z49" s="34">
        <v>45.599999999999994</v>
      </c>
      <c r="AA49" s="37">
        <v>9.8999999999999986</v>
      </c>
    </row>
    <row r="50" spans="1:27" x14ac:dyDescent="0.2">
      <c r="A50" s="1" t="str" cm="1">
        <f t="array" ref="A50">IF(I50="","",IF(P50&lt;&gt;"",SUMPRODUCT((P$3:P$78&lt;&gt;"")*(G$3:G$78=G50)*(J$3:J$78&gt;J50)*(I$3:I$78="P"))+1,IF(O50&lt;&gt;"",SUMPRODUCT((O$3:O$78&lt;&gt;"")*(P$3:P$78="")*(G$3:G$78=G50)*(J$3:J$78&gt;J50)*(I$3:I$78="P"))+SUMPRODUCT((P$3:P$78&lt;&gt;"")*(G$3:G$78=G50)*(I$3:I$78="P"))+1,IF(N50&lt;&gt;"",SUMPRODUCT((N$3:N$78&lt;&gt;"")*(G$3:G$78=G50)*(J$3:J$78&gt;J50)*(I$3:I$78="P"))+1,IF(M50="P",SUMPRODUCT((O$3:O$78&lt;&gt;"")*(P$3:P$78="")*(G$3:G$78=G50)*(I$3:I$78="P"))+SUMPRODUCT((P$3:P$78&lt;&gt;"")*(G$3:G$78=G50)*(I$3:I$78="P"))+SUMPRODUCT((N$3:N$78&lt;&gt;"")*(G$3:G$78=G50)*(I$3:I$78="P"))+SUMPRODUCT((P$3:P$78="")*(O$3:O$78="")*(N$3:N$78="")*(M$3:M$78="P")*(G$3:G$78=G50)*(J$3:J$78&gt;J50)*(I$3:I$78="P"))+IF(H50="L5",SUMPRODUCT((P$3:P$78="")*(O$3:O$78="")*(N$3:N$78="")*(M$3:M$78="P")*(G$3:G$78=G50)*(J$3:J$78&lt;J50)*(H$3:H$78&lt;&gt;H50)*(I$3:I$78="P")),-1*SUMPRODUCT((P$3:P$78="")*(O$3:O$78="")*(N$3:N$78="")*(M$3:M$78="P")*(G$3:G$78=G50)*(J$3:J$78&gt;J50)*(H$3:H$78="L5")*(I$3:I$78="P")))+1,"")))))</f>
        <v/>
      </c>
      <c r="B50" s="1" t="str" cm="1">
        <f t="array" ref="B50">IF(P50&lt;&gt;"",SUMPRODUCT((P$3:P$78&lt;&gt;"")*(G$3:G$78=G50)*(J$3:J$78&gt;J50))+1,IF(O50&lt;&gt;"",SUMPRODUCT((O$3:O$78&lt;&gt;"")*(P$3:P$78="")*(G$3:G$78=G50)*(J$3:J$78&gt;J50))+SUMPRODUCT((P$3:P$78&lt;&gt;"")*(G$3:G$78=G50))+1,IF(N50&lt;&gt;"",SUMPRODUCT((N$3:N$78&lt;&gt;"")*(G$3:G$78=G50)*(J$3:J$78&gt;J50))+1,IF(M50="P",SUMPRODUCT((O$3:O$78&lt;&gt;"")*(P$3:P$78="")*(G$3:G$78=G50))+SUMPRODUCT((P$3:P$78&lt;&gt;"")*(G$3:G$78=G50))+SUMPRODUCT((N$3:N$78&lt;&gt;"")*(G$3:G$78=G50))+SUMPRODUCT((P$3:P$78="")*(O$3:O$78="")*(N$3:N$78="")*(M$3:M$78="P")*(G$3:G$78=G50)*(J$3:J$78&gt;J50))+IF(H50="L5",SUMPRODUCT((P$3:P$78="")*(O$3:O$78="")*(N$3:N$78="")*(M$3:M$78="P")*(G$3:G$78=G50)*(J$3:J$78&lt;J50)*(H$3:H$78&lt;&gt;H50)),-1*SUMPRODUCT((P$3:P$78="")*(O$3:O$78="")*(N$3:N$78="")*(M$3:M$78="P")*(G$3:G$78=G50)*(J$3:J$78&gt;J50)*(H$3:H$78="L5")))+1,""))))</f>
        <v/>
      </c>
      <c r="C50" s="36" t="s">
        <v>127</v>
      </c>
      <c r="D50" s="36" t="str">
        <f>IF(E50="","",VLOOKUP(E50,'Coaching Points'!A:B,2,0))</f>
        <v>AB</v>
      </c>
      <c r="E50" s="36" t="s">
        <v>91</v>
      </c>
      <c r="F50" s="35">
        <v>2007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116</v>
      </c>
      <c r="I50" s="45" t="s">
        <v>604</v>
      </c>
      <c r="J50" s="4">
        <f>R50+IF(OR(H50="Junior",H50="Senior"),0.0002,IF(OR(H50="L7",H50="L6"),0.0001,0))+MAX(X50,Z50)*0.0000001</f>
        <v>45.400104540000008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Scores'!F$13),AND(G50="15-16",U50&gt;='Qualifying Scores'!F$12),AND(G50="13-14",U50&gt;='Qualifying Scores'!F$11),AND(G50="11-12",U50&gt;='Qualifying Scores'!F$10)),T50,0),IF(OR(AND(G50="17-21",W50&gt;='Qualifying Scores'!F$13),AND(G50="15-16",W50&gt;='Qualifying Scores'!F$12),AND(G50="13-14",W50&gt;='Qualifying Scores'!F$11),AND(G50="11-12",W50&gt;='Qualifying Scores'!F$10)),V50,0),IF(OR(AND(G50="17-21",Y50&gt;='Qualifying Scores'!F$13),AND(G50="15-16",Y50&gt;='Qualifying Scores'!F$12),AND(G50="13-14",Y50&gt;='Qualifying Scores'!F$11),AND(G50="11-12",Y50&gt;='Qualifying Scores'!F$10)),X50,0),IF(OR(AND(G50="17-21",AA50&gt;='Qualifying Scores'!F$13),AND(G50="15-16",AA50&gt;='Qualifying Scores'!F$12),AND(G50="13-14",AA50&gt;='Qualifying Scores'!F$11),AND(G50="11-12",AA50&gt;='Qualifying Scores'!F$10)),Z50,0)))</f>
        <v>45.400000000000006</v>
      </c>
      <c r="S50" s="4">
        <f>MAX(T50,V50,X50,Z50)</f>
        <v>45.400000000000006</v>
      </c>
      <c r="T50" s="33">
        <v>42.819999999999993</v>
      </c>
      <c r="U50" s="40">
        <v>6</v>
      </c>
      <c r="V50" s="34">
        <v>37.180000000000007</v>
      </c>
      <c r="W50" s="40">
        <v>3.7</v>
      </c>
      <c r="X50" s="33">
        <v>45.400000000000006</v>
      </c>
      <c r="Y50" s="40">
        <v>10.4</v>
      </c>
      <c r="Z50" s="34">
        <v>42.4</v>
      </c>
      <c r="AA50" s="37">
        <v>7.1999999999999993</v>
      </c>
    </row>
    <row r="51" spans="1:27" x14ac:dyDescent="0.2">
      <c r="A51" s="1" t="str" cm="1">
        <f t="array" ref="A51">IF(I51="","",IF(P51&lt;&gt;"",SUMPRODUCT((P$3:P$78&lt;&gt;"")*(G$3:G$78=G51)*(J$3:J$78&gt;J51)*(I$3:I$78="P"))+1,IF(O51&lt;&gt;"",SUMPRODUCT((O$3:O$78&lt;&gt;"")*(P$3:P$78="")*(G$3:G$78=G51)*(J$3:J$78&gt;J51)*(I$3:I$78="P"))+SUMPRODUCT((P$3:P$78&lt;&gt;"")*(G$3:G$78=G51)*(I$3:I$78="P"))+1,IF(N51&lt;&gt;"",SUMPRODUCT((N$3:N$78&lt;&gt;"")*(G$3:G$78=G51)*(J$3:J$78&gt;J51)*(I$3:I$78="P"))+1,IF(M51="P",SUMPRODUCT((O$3:O$78&lt;&gt;"")*(P$3:P$78="")*(G$3:G$78=G51)*(I$3:I$78="P"))+SUMPRODUCT((P$3:P$78&lt;&gt;"")*(G$3:G$78=G51)*(I$3:I$78="P"))+SUMPRODUCT((N$3:N$78&lt;&gt;"")*(G$3:G$78=G51)*(I$3:I$78="P"))+SUMPRODUCT((P$3:P$78="")*(O$3:O$78="")*(N$3:N$78="")*(M$3:M$78="P")*(G$3:G$78=G51)*(J$3:J$78&gt;J51)*(I$3:I$78="P"))+IF(H51="L5",SUMPRODUCT((P$3:P$78="")*(O$3:O$78="")*(N$3:N$78="")*(M$3:M$78="P")*(G$3:G$78=G51)*(J$3:J$78&lt;J51)*(H$3:H$78&lt;&gt;H51)*(I$3:I$78="P")),-1*SUMPRODUCT((P$3:P$78="")*(O$3:O$78="")*(N$3:N$78="")*(M$3:M$78="P")*(G$3:G$78=G51)*(J$3:J$78&gt;J51)*(H$3:H$78="L5")*(I$3:I$78="P")))+1,"")))))</f>
        <v/>
      </c>
      <c r="B51" s="1" t="str" cm="1">
        <f t="array" ref="B51">IF(P51&lt;&gt;"",SUMPRODUCT((P$3:P$78&lt;&gt;"")*(G$3:G$78=G51)*(J$3:J$78&gt;J51))+1,IF(O51&lt;&gt;"",SUMPRODUCT((O$3:O$78&lt;&gt;"")*(P$3:P$78="")*(G$3:G$78=G51)*(J$3:J$78&gt;J51))+SUMPRODUCT((P$3:P$78&lt;&gt;"")*(G$3:G$78=G51))+1,IF(N51&lt;&gt;"",SUMPRODUCT((N$3:N$78&lt;&gt;"")*(G$3:G$78=G51)*(J$3:J$78&gt;J51))+1,IF(M51="P",SUMPRODUCT((O$3:O$78&lt;&gt;"")*(P$3:P$78="")*(G$3:G$78=G51))+SUMPRODUCT((P$3:P$78&lt;&gt;"")*(G$3:G$78=G51))+SUMPRODUCT((N$3:N$78&lt;&gt;"")*(G$3:G$78=G51))+SUMPRODUCT((P$3:P$78="")*(O$3:O$78="")*(N$3:N$78="")*(M$3:M$78="P")*(G$3:G$78=G51)*(J$3:J$78&gt;J51))+IF(H51="L5",SUMPRODUCT((P$3:P$78="")*(O$3:O$78="")*(N$3:N$78="")*(M$3:M$78="P")*(G$3:G$78=G51)*(J$3:J$78&lt;J51)*(H$3:H$78&lt;&gt;H51)),-1*SUMPRODUCT((P$3:P$78="")*(O$3:O$78="")*(N$3:N$78="")*(M$3:M$78="P")*(G$3:G$78=G51)*(J$3:J$78&gt;J51)*(H$3:H$78="L5")))+1,""))))</f>
        <v/>
      </c>
      <c r="C51" s="36" t="s">
        <v>387</v>
      </c>
      <c r="D51" s="36" t="str">
        <f>IF(E51="","",VLOOKUP(E51,'Coaching Points'!A:B,2,0))</f>
        <v>AB</v>
      </c>
      <c r="E51" s="36" t="s">
        <v>29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115</v>
      </c>
      <c r="I51" s="45" t="s">
        <v>604</v>
      </c>
      <c r="J51" s="4">
        <f>R51+IF(OR(H51="Junior",H51="Senior"),0.0002,IF(OR(H51="L7",H51="L6"),0.0001,0))+MAX(X51,Z51)*0.0000001</f>
        <v>45.20000452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Scores'!F$13),AND(G51="15-16",U51&gt;='Qualifying Scores'!F$12),AND(G51="13-14",U51&gt;='Qualifying Scores'!F$11),AND(G51="11-12",U51&gt;='Qualifying Scores'!F$10)),T51,0),IF(OR(AND(G51="17-21",W51&gt;='Qualifying Scores'!F$13),AND(G51="15-16",W51&gt;='Qualifying Scores'!F$12),AND(G51="13-14",W51&gt;='Qualifying Scores'!F$11),AND(G51="11-12",W51&gt;='Qualifying Scores'!F$10)),V51,0),IF(OR(AND(G51="17-21",Y51&gt;='Qualifying Scores'!F$13),AND(G51="15-16",Y51&gt;='Qualifying Scores'!F$12),AND(G51="13-14",Y51&gt;='Qualifying Scores'!F$11),AND(G51="11-12",Y51&gt;='Qualifying Scores'!F$10)),X51,0),IF(OR(AND(G51="17-21",AA51&gt;='Qualifying Scores'!F$13),AND(G51="15-16",AA51&gt;='Qualifying Scores'!F$12),AND(G51="13-14",AA51&gt;='Qualifying Scores'!F$11),AND(G51="11-12",AA51&gt;='Qualifying Scores'!F$10)),Z51,0)))</f>
        <v>45.2</v>
      </c>
      <c r="S51" s="4">
        <f>MAX(T51,V51,X51,Z51)</f>
        <v>45.2</v>
      </c>
      <c r="T51" s="33"/>
      <c r="U51" s="40"/>
      <c r="V51" s="34"/>
      <c r="W51" s="40"/>
      <c r="X51" s="33">
        <v>45.2</v>
      </c>
      <c r="Y51" s="40">
        <v>8.8000000000000007</v>
      </c>
      <c r="Z51" s="34">
        <v>42.3</v>
      </c>
      <c r="AA51" s="37">
        <v>6.8</v>
      </c>
    </row>
    <row r="52" spans="1:27" x14ac:dyDescent="0.2">
      <c r="A52" s="1" t="str" cm="1">
        <f t="array" ref="A52">IF(I52="","",IF(P52&lt;&gt;"",SUMPRODUCT((P$3:P$78&lt;&gt;"")*(G$3:G$78=G52)*(J$3:J$78&gt;J52)*(I$3:I$78="P"))+1,IF(O52&lt;&gt;"",SUMPRODUCT((O$3:O$78&lt;&gt;"")*(P$3:P$78="")*(G$3:G$78=G52)*(J$3:J$78&gt;J52)*(I$3:I$78="P"))+SUMPRODUCT((P$3:P$78&lt;&gt;"")*(G$3:G$78=G52)*(I$3:I$78="P"))+1,IF(N52&lt;&gt;"",SUMPRODUCT((N$3:N$78&lt;&gt;"")*(G$3:G$78=G52)*(J$3:J$78&gt;J52)*(I$3:I$78="P"))+1,IF(M52="P",SUMPRODUCT((O$3:O$78&lt;&gt;"")*(P$3:P$78="")*(G$3:G$78=G52)*(I$3:I$78="P"))+SUMPRODUCT((P$3:P$78&lt;&gt;"")*(G$3:G$78=G52)*(I$3:I$78="P"))+SUMPRODUCT((N$3:N$78&lt;&gt;"")*(G$3:G$78=G52)*(I$3:I$78="P"))+SUMPRODUCT((P$3:P$78="")*(O$3:O$78="")*(N$3:N$78="")*(M$3:M$78="P")*(G$3:G$78=G52)*(J$3:J$78&gt;J52)*(I$3:I$78="P"))+IF(H52="L5",SUMPRODUCT((P$3:P$78="")*(O$3:O$78="")*(N$3:N$78="")*(M$3:M$78="P")*(G$3:G$78=G52)*(J$3:J$78&lt;J52)*(H$3:H$78&lt;&gt;H52)*(I$3:I$78="P")),-1*SUMPRODUCT((P$3:P$78="")*(O$3:O$78="")*(N$3:N$78="")*(M$3:M$78="P")*(G$3:G$78=G52)*(J$3:J$78&gt;J52)*(H$3:H$78="L5")*(I$3:I$78="P")))+1,"")))))</f>
        <v/>
      </c>
      <c r="B52" s="1" t="str" cm="1">
        <f t="array" ref="B52">IF(P52&lt;&gt;"",SUMPRODUCT((P$3:P$78&lt;&gt;"")*(G$3:G$78=G52)*(J$3:J$78&gt;J52))+1,IF(O52&lt;&gt;"",SUMPRODUCT((O$3:O$78&lt;&gt;"")*(P$3:P$78="")*(G$3:G$78=G52)*(J$3:J$78&gt;J52))+SUMPRODUCT((P$3:P$78&lt;&gt;"")*(G$3:G$78=G52))+1,IF(N52&lt;&gt;"",SUMPRODUCT((N$3:N$78&lt;&gt;"")*(G$3:G$78=G52)*(J$3:J$78&gt;J52))+1,IF(M52="P",SUMPRODUCT((O$3:O$78&lt;&gt;"")*(P$3:P$78="")*(G$3:G$78=G52))+SUMPRODUCT((P$3:P$78&lt;&gt;"")*(G$3:G$78=G52))+SUMPRODUCT((N$3:N$78&lt;&gt;"")*(G$3:G$78=G52))+SUMPRODUCT((P$3:P$78="")*(O$3:O$78="")*(N$3:N$78="")*(M$3:M$78="P")*(G$3:G$78=G52)*(J$3:J$78&gt;J52))+IF(H52="L5",SUMPRODUCT((P$3:P$78="")*(O$3:O$78="")*(N$3:N$78="")*(M$3:M$78="P")*(G$3:G$78=G52)*(J$3:J$78&lt;J52)*(H$3:H$78&lt;&gt;H52)),-1*SUMPRODUCT((P$3:P$78="")*(O$3:O$78="")*(N$3:N$78="")*(M$3:M$78="P")*(G$3:G$78=G52)*(J$3:J$78&gt;J52)*(H$3:H$78="L5")))+1,""))))</f>
        <v/>
      </c>
      <c r="C52" s="36" t="s">
        <v>125</v>
      </c>
      <c r="D52" s="36" t="str">
        <f>IF(E52="","",VLOOKUP(E52,'Coaching Points'!A:B,2,0))</f>
        <v>SK</v>
      </c>
      <c r="E52" s="36" t="s">
        <v>70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/>
      <c r="J52" s="4">
        <f>R52+IF(OR(H52="Junior",H52="Senior"),0.0002,IF(OR(H52="L7",H52="L6"),0.0001,0))+MAX(X52,Z52)*0.0000001</f>
        <v>1.0445E-4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Scores'!F$13),AND(G52="15-16",U52&gt;='Qualifying Scores'!F$12),AND(G52="13-14",U52&gt;='Qualifying Scores'!F$11),AND(G52="11-12",U52&gt;='Qualifying Scores'!F$10)),T52,0),IF(OR(AND(G52="17-21",W52&gt;='Qualifying Scores'!F$13),AND(G52="15-16",W52&gt;='Qualifying Scores'!F$12),AND(G52="13-14",W52&gt;='Qualifying Scores'!F$11),AND(G52="11-12",W52&gt;='Qualifying Scores'!F$10)),V52,0),IF(OR(AND(G52="17-21",Y52&gt;='Qualifying Scores'!F$13),AND(G52="15-16",Y52&gt;='Qualifying Scores'!F$12),AND(G52="13-14",Y52&gt;='Qualifying Scores'!F$11),AND(G52="11-12",Y52&gt;='Qualifying Scores'!F$10)),X52,0),IF(OR(AND(G52="17-21",AA52&gt;='Qualifying Scores'!F$13),AND(G52="15-16",AA52&gt;='Qualifying Scores'!F$12),AND(G52="13-14",AA52&gt;='Qualifying Scores'!F$11),AND(G52="11-12",AA52&gt;='Qualifying Scores'!F$10)),Z52,0)))</f>
        <v>0</v>
      </c>
      <c r="S52" s="4">
        <f>MAX(T52,V52,X52,Z52)</f>
        <v>44.5</v>
      </c>
      <c r="T52" s="33">
        <v>42.8</v>
      </c>
      <c r="U52" s="40">
        <v>6.7</v>
      </c>
      <c r="V52" s="34">
        <v>43.900000000000006</v>
      </c>
      <c r="W52" s="40">
        <v>6.3</v>
      </c>
      <c r="X52" s="33">
        <v>43.9</v>
      </c>
      <c r="Y52" s="40">
        <v>7.1</v>
      </c>
      <c r="Z52" s="34">
        <v>44.5</v>
      </c>
      <c r="AA52" s="37">
        <v>6.6999999999999993</v>
      </c>
    </row>
    <row r="53" spans="1:27" x14ac:dyDescent="0.2">
      <c r="A53" s="1" t="str" cm="1">
        <f t="array" ref="A53">IF(I53="","",IF(P53&lt;&gt;"",SUMPRODUCT((P$3:P$78&lt;&gt;"")*(G$3:G$78=G53)*(J$3:J$78&gt;J53)*(I$3:I$78="P"))+1,IF(O53&lt;&gt;"",SUMPRODUCT((O$3:O$78&lt;&gt;"")*(P$3:P$78="")*(G$3:G$78=G53)*(J$3:J$78&gt;J53)*(I$3:I$78="P"))+SUMPRODUCT((P$3:P$78&lt;&gt;"")*(G$3:G$78=G53)*(I$3:I$78="P"))+1,IF(N53&lt;&gt;"",SUMPRODUCT((N$3:N$78&lt;&gt;"")*(G$3:G$78=G53)*(J$3:J$78&gt;J53)*(I$3:I$78="P"))+1,IF(M53="P",SUMPRODUCT((O$3:O$78&lt;&gt;"")*(P$3:P$78="")*(G$3:G$78=G53)*(I$3:I$78="P"))+SUMPRODUCT((P$3:P$78&lt;&gt;"")*(G$3:G$78=G53)*(I$3:I$78="P"))+SUMPRODUCT((N$3:N$78&lt;&gt;"")*(G$3:G$78=G53)*(I$3:I$78="P"))+SUMPRODUCT((P$3:P$78="")*(O$3:O$78="")*(N$3:N$78="")*(M$3:M$78="P")*(G$3:G$78=G53)*(J$3:J$78&gt;J53)*(I$3:I$78="P"))+IF(H53="L5",SUMPRODUCT((P$3:P$78="")*(O$3:O$78="")*(N$3:N$78="")*(M$3:M$78="P")*(G$3:G$78=G53)*(J$3:J$78&lt;J53)*(H$3:H$78&lt;&gt;H53)*(I$3:I$78="P")),-1*SUMPRODUCT((P$3:P$78="")*(O$3:O$78="")*(N$3:N$78="")*(M$3:M$78="P")*(G$3:G$78=G53)*(J$3:J$78&gt;J53)*(H$3:H$78="L5")*(I$3:I$78="P")))+1,"")))))</f>
        <v/>
      </c>
      <c r="B53" s="1" t="str" cm="1">
        <f t="array" ref="B53">IF(P53&lt;&gt;"",SUMPRODUCT((P$3:P$78&lt;&gt;"")*(G$3:G$78=G53)*(J$3:J$78&gt;J53))+1,IF(O53&lt;&gt;"",SUMPRODUCT((O$3:O$78&lt;&gt;"")*(P$3:P$78="")*(G$3:G$78=G53)*(J$3:J$78&gt;J53))+SUMPRODUCT((P$3:P$78&lt;&gt;"")*(G$3:G$78=G53))+1,IF(N53&lt;&gt;"",SUMPRODUCT((N$3:N$78&lt;&gt;"")*(G$3:G$78=G53)*(J$3:J$78&gt;J53))+1,IF(M53="P",SUMPRODUCT((O$3:O$78&lt;&gt;"")*(P$3:P$78="")*(G$3:G$78=G53))+SUMPRODUCT((P$3:P$78&lt;&gt;"")*(G$3:G$78=G53))+SUMPRODUCT((N$3:N$78&lt;&gt;"")*(G$3:G$78=G53))+SUMPRODUCT((P$3:P$78="")*(O$3:O$78="")*(N$3:N$78="")*(M$3:M$78="P")*(G$3:G$78=G53)*(J$3:J$78&gt;J53))+IF(H53="L5",SUMPRODUCT((P$3:P$78="")*(O$3:O$78="")*(N$3:N$78="")*(M$3:M$78="P")*(G$3:G$78=G53)*(J$3:J$78&lt;J53)*(H$3:H$78&lt;&gt;H53)),-1*SUMPRODUCT((P$3:P$78="")*(O$3:O$78="")*(N$3:N$78="")*(M$3:M$78="P")*(G$3:G$78=G53)*(J$3:J$78&gt;J53)*(H$3:H$78="L5")))+1,""))))</f>
        <v/>
      </c>
      <c r="C53" s="36" t="s">
        <v>381</v>
      </c>
      <c r="D53" s="36" t="str">
        <f>IF(E53="","",VLOOKUP(E53,'Coaching Points'!A:B,2,0))</f>
        <v>BC</v>
      </c>
      <c r="E53" s="36" t="s">
        <v>571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116</v>
      </c>
      <c r="I53" s="45"/>
      <c r="J53" s="4">
        <f>R53+IF(OR(H53="Junior",H53="Senior"),0.0002,IF(OR(H53="L7",H53="L6"),0.0001,0))+MAX(X53,Z53)*0.0000001</f>
        <v>1.0404E-4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Scores'!F$13),AND(G53="15-16",U53&gt;='Qualifying Scores'!F$12),AND(G53="13-14",U53&gt;='Qualifying Scores'!F$11),AND(G53="11-12",U53&gt;='Qualifying Scores'!F$10)),T53,0),IF(OR(AND(G53="17-21",W53&gt;='Qualifying Scores'!F$13),AND(G53="15-16",W53&gt;='Qualifying Scores'!F$12),AND(G53="13-14",W53&gt;='Qualifying Scores'!F$11),AND(G53="11-12",W53&gt;='Qualifying Scores'!F$10)),V53,0),IF(OR(AND(G53="17-21",Y53&gt;='Qualifying Scores'!F$13),AND(G53="15-16",Y53&gt;='Qualifying Scores'!F$12),AND(G53="13-14",Y53&gt;='Qualifying Scores'!F$11),AND(G53="11-12",Y53&gt;='Qualifying Scores'!F$10)),X53,0),IF(OR(AND(G53="17-21",AA53&gt;='Qualifying Scores'!F$13),AND(G53="15-16",AA53&gt;='Qualifying Scores'!F$12),AND(G53="13-14",AA53&gt;='Qualifying Scores'!F$11),AND(G53="11-12",AA53&gt;='Qualifying Scores'!F$10)),Z53,0)))</f>
        <v>0</v>
      </c>
      <c r="S53" s="4">
        <f>MAX(T53,V53,X53,Z53)</f>
        <v>40.4</v>
      </c>
      <c r="T53" s="33"/>
      <c r="U53" s="40"/>
      <c r="V53" s="34"/>
      <c r="W53" s="40"/>
      <c r="X53" s="33">
        <v>40.4</v>
      </c>
      <c r="Y53" s="40">
        <v>5.9</v>
      </c>
      <c r="Z53" s="34">
        <v>20.399999999999999</v>
      </c>
      <c r="AA53" s="37">
        <v>2.9</v>
      </c>
    </row>
    <row r="54" spans="1:27" x14ac:dyDescent="0.2">
      <c r="A54" s="1" t="str" cm="1">
        <f t="array" ref="A54">IF(I54="","",IF(P54&lt;&gt;"",SUMPRODUCT((P$3:P$78&lt;&gt;"")*(G$3:G$78=G54)*(J$3:J$78&gt;J54)*(I$3:I$78="P"))+1,IF(O54&lt;&gt;"",SUMPRODUCT((O$3:O$78&lt;&gt;"")*(P$3:P$78="")*(G$3:G$78=G54)*(J$3:J$78&gt;J54)*(I$3:I$78="P"))+SUMPRODUCT((P$3:P$78&lt;&gt;"")*(G$3:G$78=G54)*(I$3:I$78="P"))+1,IF(N54&lt;&gt;"",SUMPRODUCT((N$3:N$78&lt;&gt;"")*(G$3:G$78=G54)*(J$3:J$78&gt;J54)*(I$3:I$78="P"))+1,IF(M54="P",SUMPRODUCT((O$3:O$78&lt;&gt;"")*(P$3:P$78="")*(G$3:G$78=G54)*(I$3:I$78="P"))+SUMPRODUCT((P$3:P$78&lt;&gt;"")*(G$3:G$78=G54)*(I$3:I$78="P"))+SUMPRODUCT((N$3:N$78&lt;&gt;"")*(G$3:G$78=G54)*(I$3:I$78="P"))+SUMPRODUCT((P$3:P$78="")*(O$3:O$78="")*(N$3:N$78="")*(M$3:M$78="P")*(G$3:G$78=G54)*(J$3:J$78&gt;J54)*(I$3:I$78="P"))+IF(H54="L5",SUMPRODUCT((P$3:P$78="")*(O$3:O$78="")*(N$3:N$78="")*(M$3:M$78="P")*(G$3:G$78=G54)*(J$3:J$78&lt;J54)*(H$3:H$78&lt;&gt;H54)*(I$3:I$78="P")),-1*SUMPRODUCT((P$3:P$78="")*(O$3:O$78="")*(N$3:N$78="")*(M$3:M$78="P")*(G$3:G$78=G54)*(J$3:J$78&gt;J54)*(H$3:H$78="L5")*(I$3:I$78="P")))+1,"")))))</f>
        <v/>
      </c>
      <c r="B54" s="1" t="str" cm="1">
        <f t="array" ref="B54">IF(P54&lt;&gt;"",SUMPRODUCT((P$3:P$78&lt;&gt;"")*(G$3:G$78=G54)*(J$3:J$78&gt;J54))+1,IF(O54&lt;&gt;"",SUMPRODUCT((O$3:O$78&lt;&gt;"")*(P$3:P$78="")*(G$3:G$78=G54)*(J$3:J$78&gt;J54))+SUMPRODUCT((P$3:P$78&lt;&gt;"")*(G$3:G$78=G54))+1,IF(N54&lt;&gt;"",SUMPRODUCT((N$3:N$78&lt;&gt;"")*(G$3:G$78=G54)*(J$3:J$78&gt;J54))+1,IF(M54="P",SUMPRODUCT((O$3:O$78&lt;&gt;"")*(P$3:P$78="")*(G$3:G$78=G54))+SUMPRODUCT((P$3:P$78&lt;&gt;"")*(G$3:G$78=G54))+SUMPRODUCT((N$3:N$78&lt;&gt;"")*(G$3:G$78=G54))+SUMPRODUCT((P$3:P$78="")*(O$3:O$78="")*(N$3:N$78="")*(M$3:M$78="P")*(G$3:G$78=G54)*(J$3:J$78&gt;J54))+IF(H54="L5",SUMPRODUCT((P$3:P$78="")*(O$3:O$78="")*(N$3:N$78="")*(M$3:M$78="P")*(G$3:G$78=G54)*(J$3:J$78&lt;J54)*(H$3:H$78&lt;&gt;H54)),-1*SUMPRODUCT((P$3:P$78="")*(O$3:O$78="")*(N$3:N$78="")*(M$3:M$78="P")*(G$3:G$78=G54)*(J$3:J$78&gt;J54)*(H$3:H$78="L5")))+1,""))))</f>
        <v/>
      </c>
      <c r="C54" s="36" t="s">
        <v>392</v>
      </c>
      <c r="D54" s="36" t="str">
        <f>IF(E54="","",VLOOKUP(E54,'Coaching Points'!A:B,2,0))</f>
        <v>QC</v>
      </c>
      <c r="E54" s="36" t="s">
        <v>579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115</v>
      </c>
      <c r="I54" s="45"/>
      <c r="J54" s="4">
        <f>R54+IF(OR(H54="Junior",H54="Senior"),0.0002,IF(OR(H54="L7",H54="L6"),0.0001,0))+MAX(X54,Z54)*0.0000001</f>
        <v>4.6999999999999999E-6</v>
      </c>
      <c r="K54" s="3" t="str">
        <f>IF(G54="Not Age Eligible","",IF(MAX(T54,V54,X54,Z54)&gt;=LOOKUP(G54,'Qualifying Scores'!$A$4:$A$7,'Qualifying Scores'!$F$4:$F$7),"P",""))</f>
        <v>P</v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Scores'!F$13),AND(G54="15-16",U54&gt;='Qualifying Scores'!F$12),AND(G54="13-14",U54&gt;='Qualifying Scores'!F$11),AND(G54="11-12",U54&gt;='Qualifying Scores'!F$10)),T54,0),IF(OR(AND(G54="17-21",W54&gt;='Qualifying Scores'!F$13),AND(G54="15-16",W54&gt;='Qualifying Scores'!F$12),AND(G54="13-14",W54&gt;='Qualifying Scores'!F$11),AND(G54="11-12",W54&gt;='Qualifying Scores'!F$10)),V54,0),IF(OR(AND(G54="17-21",Y54&gt;='Qualifying Scores'!F$13),AND(G54="15-16",Y54&gt;='Qualifying Scores'!F$12),AND(G54="13-14",Y54&gt;='Qualifying Scores'!F$11),AND(G54="11-12",Y54&gt;='Qualifying Scores'!F$10)),X54,0),IF(OR(AND(G54="17-21",AA54&gt;='Qualifying Scores'!F$13),AND(G54="15-16",AA54&gt;='Qualifying Scores'!F$12),AND(G54="13-14",AA54&gt;='Qualifying Scores'!F$11),AND(G54="11-12",AA54&gt;='Qualifying Scores'!F$10)),Z54,0)))</f>
        <v>0</v>
      </c>
      <c r="S54" s="4">
        <f>MAX(T54,V54,X54,Z54)</f>
        <v>47</v>
      </c>
      <c r="T54" s="33"/>
      <c r="U54" s="40"/>
      <c r="V54" s="34"/>
      <c r="W54" s="40"/>
      <c r="X54" s="33">
        <v>47</v>
      </c>
      <c r="Y54" s="40">
        <v>7.9</v>
      </c>
      <c r="Z54" s="34">
        <v>41.7</v>
      </c>
      <c r="AA54" s="37">
        <v>5.1000000000000005</v>
      </c>
    </row>
    <row r="55" spans="1:27" x14ac:dyDescent="0.2">
      <c r="A55" s="1" t="str" cm="1">
        <f t="array" ref="A55">IF(I55="","",IF(P55&lt;&gt;"",SUMPRODUCT((P$3:P$78&lt;&gt;"")*(G$3:G$78=G55)*(J$3:J$78&gt;J55)*(I$3:I$78="P"))+1,IF(O55&lt;&gt;"",SUMPRODUCT((O$3:O$78&lt;&gt;"")*(P$3:P$78="")*(G$3:G$78=G55)*(J$3:J$78&gt;J55)*(I$3:I$78="P"))+SUMPRODUCT((P$3:P$78&lt;&gt;"")*(G$3:G$78=G55)*(I$3:I$78="P"))+1,IF(N55&lt;&gt;"",SUMPRODUCT((N$3:N$78&lt;&gt;"")*(G$3:G$78=G55)*(J$3:J$78&gt;J55)*(I$3:I$78="P"))+1,IF(M55="P",SUMPRODUCT((O$3:O$78&lt;&gt;"")*(P$3:P$78="")*(G$3:G$78=G55)*(I$3:I$78="P"))+SUMPRODUCT((P$3:P$78&lt;&gt;"")*(G$3:G$78=G55)*(I$3:I$78="P"))+SUMPRODUCT((N$3:N$78&lt;&gt;"")*(G$3:G$78=G55)*(I$3:I$78="P"))+SUMPRODUCT((P$3:P$78="")*(O$3:O$78="")*(N$3:N$78="")*(M$3:M$78="P")*(G$3:G$78=G55)*(J$3:J$78&gt;J55)*(I$3:I$78="P"))+IF(H55="L5",SUMPRODUCT((P$3:P$78="")*(O$3:O$78="")*(N$3:N$78="")*(M$3:M$78="P")*(G$3:G$78=G55)*(J$3:J$78&lt;J55)*(H$3:H$78&lt;&gt;H55)*(I$3:I$78="P")),-1*SUMPRODUCT((P$3:P$78="")*(O$3:O$78="")*(N$3:N$78="")*(M$3:M$78="P")*(G$3:G$78=G55)*(J$3:J$78&gt;J55)*(H$3:H$78="L5")*(I$3:I$78="P")))+1,"")))))</f>
        <v/>
      </c>
      <c r="B55" s="1" t="str" cm="1">
        <f t="array" ref="B55">IF(P55&lt;&gt;"",SUMPRODUCT((P$3:P$78&lt;&gt;"")*(G$3:G$78=G55)*(J$3:J$78&gt;J55))+1,IF(O55&lt;&gt;"",SUMPRODUCT((O$3:O$78&lt;&gt;"")*(P$3:P$78="")*(G$3:G$78=G55)*(J$3:J$78&gt;J55))+SUMPRODUCT((P$3:P$78&lt;&gt;"")*(G$3:G$78=G55))+1,IF(N55&lt;&gt;"",SUMPRODUCT((N$3:N$78&lt;&gt;"")*(G$3:G$78=G55)*(J$3:J$78&gt;J55))+1,IF(M55="P",SUMPRODUCT((O$3:O$78&lt;&gt;"")*(P$3:P$78="")*(G$3:G$78=G55))+SUMPRODUCT((P$3:P$78&lt;&gt;"")*(G$3:G$78=G55))+SUMPRODUCT((N$3:N$78&lt;&gt;"")*(G$3:G$78=G55))+SUMPRODUCT((P$3:P$78="")*(O$3:O$78="")*(N$3:N$78="")*(M$3:M$78="P")*(G$3:G$78=G55)*(J$3:J$78&gt;J55))+IF(H55="L5",SUMPRODUCT((P$3:P$78="")*(O$3:O$78="")*(N$3:N$78="")*(M$3:M$78="P")*(G$3:G$78=G55)*(J$3:J$78&lt;J55)*(H$3:H$78&lt;&gt;H55)),-1*SUMPRODUCT((P$3:P$78="")*(O$3:O$78="")*(N$3:N$78="")*(M$3:M$78="P")*(G$3:G$78=G55)*(J$3:J$78&gt;J55)*(H$3:H$78="L5")))+1,""))))</f>
        <v/>
      </c>
      <c r="C55" s="36" t="s">
        <v>379</v>
      </c>
      <c r="D55" s="36" t="str">
        <f>IF(E55="","",VLOOKUP(E55,'Coaching Points'!A:B,2,0))</f>
        <v>BC</v>
      </c>
      <c r="E55" s="36" t="s">
        <v>571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115</v>
      </c>
      <c r="I55" s="45"/>
      <c r="J55" s="4">
        <f>R55+IF(OR(H55="Junior",H55="Senior"),0.0002,IF(OR(H55="L7",H55="L6"),0.0001,0))+MAX(X55,Z55)*0.0000001</f>
        <v>4.4599999999999996E-6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Scores'!F$13),AND(G55="15-16",U55&gt;='Qualifying Scores'!F$12),AND(G55="13-14",U55&gt;='Qualifying Scores'!F$11),AND(G55="11-12",U55&gt;='Qualifying Scores'!F$10)),T55,0),IF(OR(AND(G55="17-21",W55&gt;='Qualifying Scores'!F$13),AND(G55="15-16",W55&gt;='Qualifying Scores'!F$12),AND(G55="13-14",W55&gt;='Qualifying Scores'!F$11),AND(G55="11-12",W55&gt;='Qualifying Scores'!F$10)),V55,0),IF(OR(AND(G55="17-21",Y55&gt;='Qualifying Scores'!F$13),AND(G55="15-16",Y55&gt;='Qualifying Scores'!F$12),AND(G55="13-14",Y55&gt;='Qualifying Scores'!F$11),AND(G55="11-12",Y55&gt;='Qualifying Scores'!F$10)),X55,0),IF(OR(AND(G55="17-21",AA55&gt;='Qualifying Scores'!F$13),AND(G55="15-16",AA55&gt;='Qualifying Scores'!F$12),AND(G55="13-14",AA55&gt;='Qualifying Scores'!F$11),AND(G55="11-12",AA55&gt;='Qualifying Scores'!F$10)),Z55,0)))</f>
        <v>0</v>
      </c>
      <c r="S55" s="4">
        <f>MAX(T55,V55,X55,Z55)</f>
        <v>44.6</v>
      </c>
      <c r="T55" s="33"/>
      <c r="U55" s="40"/>
      <c r="V55" s="34"/>
      <c r="W55" s="40"/>
      <c r="X55" s="33">
        <v>44.6</v>
      </c>
      <c r="Y55" s="40">
        <v>6.7</v>
      </c>
      <c r="Z55" s="34">
        <v>43.5</v>
      </c>
      <c r="AA55" s="37">
        <v>6.5</v>
      </c>
    </row>
    <row r="56" spans="1:27" x14ac:dyDescent="0.2">
      <c r="A56" s="1" t="str" cm="1">
        <f t="array" ref="A56">IF(I56="","",IF(P56&lt;&gt;"",SUMPRODUCT((P$3:P$78&lt;&gt;"")*(G$3:G$78=G56)*(J$3:J$78&gt;J56)*(I$3:I$78="P"))+1,IF(O56&lt;&gt;"",SUMPRODUCT((O$3:O$78&lt;&gt;"")*(P$3:P$78="")*(G$3:G$78=G56)*(J$3:J$78&gt;J56)*(I$3:I$78="P"))+SUMPRODUCT((P$3:P$78&lt;&gt;"")*(G$3:G$78=G56)*(I$3:I$78="P"))+1,IF(N56&lt;&gt;"",SUMPRODUCT((N$3:N$78&lt;&gt;"")*(G$3:G$78=G56)*(J$3:J$78&gt;J56)*(I$3:I$78="P"))+1,IF(M56="P",SUMPRODUCT((O$3:O$78&lt;&gt;"")*(P$3:P$78="")*(G$3:G$78=G56)*(I$3:I$78="P"))+SUMPRODUCT((P$3:P$78&lt;&gt;"")*(G$3:G$78=G56)*(I$3:I$78="P"))+SUMPRODUCT((N$3:N$78&lt;&gt;"")*(G$3:G$78=G56)*(I$3:I$78="P"))+SUMPRODUCT((P$3:P$78="")*(O$3:O$78="")*(N$3:N$78="")*(M$3:M$78="P")*(G$3:G$78=G56)*(J$3:J$78&gt;J56)*(I$3:I$78="P"))+IF(H56="L5",SUMPRODUCT((P$3:P$78="")*(O$3:O$78="")*(N$3:N$78="")*(M$3:M$78="P")*(G$3:G$78=G56)*(J$3:J$78&lt;J56)*(H$3:H$78&lt;&gt;H56)*(I$3:I$78="P")),-1*SUMPRODUCT((P$3:P$78="")*(O$3:O$78="")*(N$3:N$78="")*(M$3:M$78="P")*(G$3:G$78=G56)*(J$3:J$78&gt;J56)*(H$3:H$78="L5")*(I$3:I$78="P")))+1,"")))))</f>
        <v/>
      </c>
      <c r="B56" s="1" t="str" cm="1">
        <f t="array" ref="B56">IF(P56&lt;&gt;"",SUMPRODUCT((P$3:P$78&lt;&gt;"")*(G$3:G$78=G56)*(J$3:J$78&gt;J56))+1,IF(O56&lt;&gt;"",SUMPRODUCT((O$3:O$78&lt;&gt;"")*(P$3:P$78="")*(G$3:G$78=G56)*(J$3:J$78&gt;J56))+SUMPRODUCT((P$3:P$78&lt;&gt;"")*(G$3:G$78=G56))+1,IF(N56&lt;&gt;"",SUMPRODUCT((N$3:N$78&lt;&gt;"")*(G$3:G$78=G56)*(J$3:J$78&gt;J56))+1,IF(M56="P",SUMPRODUCT((O$3:O$78&lt;&gt;"")*(P$3:P$78="")*(G$3:G$78=G56))+SUMPRODUCT((P$3:P$78&lt;&gt;"")*(G$3:G$78=G56))+SUMPRODUCT((N$3:N$78&lt;&gt;"")*(G$3:G$78=G56))+SUMPRODUCT((P$3:P$78="")*(O$3:O$78="")*(N$3:N$78="")*(M$3:M$78="P")*(G$3:G$78=G56)*(J$3:J$78&gt;J56))+IF(H56="L5",SUMPRODUCT((P$3:P$78="")*(O$3:O$78="")*(N$3:N$78="")*(M$3:M$78="P")*(G$3:G$78=G56)*(J$3:J$78&lt;J56)*(H$3:H$78&lt;&gt;H56)),-1*SUMPRODUCT((P$3:P$78="")*(O$3:O$78="")*(N$3:N$78="")*(M$3:M$78="P")*(G$3:G$78=G56)*(J$3:J$78&gt;J56)*(H$3:H$78="L5")))+1,""))))</f>
        <v/>
      </c>
      <c r="C56" s="36" t="s">
        <v>513</v>
      </c>
      <c r="D56" s="36" t="str">
        <f>IF(E56="","",VLOOKUP(E56,'Coaching Points'!A:B,2,0))</f>
        <v>MB</v>
      </c>
      <c r="E56" s="36" t="s">
        <v>129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115</v>
      </c>
      <c r="I56" s="45"/>
      <c r="J56" s="4">
        <f>R56+IF(OR(H56="Junior",H56="Senior"),0.0002,IF(OR(H56="L7",H56="L6"),0.0001,0))+MAX(X56,Z56)*0.0000001</f>
        <v>4.3099999999999994E-6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Scores'!F$13),AND(G56="15-16",U56&gt;='Qualifying Scores'!F$12),AND(G56="13-14",U56&gt;='Qualifying Scores'!F$11),AND(G56="11-12",U56&gt;='Qualifying Scores'!F$10)),T56,0),IF(OR(AND(G56="17-21",W56&gt;='Qualifying Scores'!F$13),AND(G56="15-16",W56&gt;='Qualifying Scores'!F$12),AND(G56="13-14",W56&gt;='Qualifying Scores'!F$11),AND(G56="11-12",W56&gt;='Qualifying Scores'!F$10)),V56,0),IF(OR(AND(G56="17-21",Y56&gt;='Qualifying Scores'!F$13),AND(G56="15-16",Y56&gt;='Qualifying Scores'!F$12),AND(G56="13-14",Y56&gt;='Qualifying Scores'!F$11),AND(G56="11-12",Y56&gt;='Qualifying Scores'!F$10)),X56,0),IF(OR(AND(G56="17-21",AA56&gt;='Qualifying Scores'!F$13),AND(G56="15-16",AA56&gt;='Qualifying Scores'!F$12),AND(G56="13-14",AA56&gt;='Qualifying Scores'!F$11),AND(G56="11-12",AA56&gt;='Qualifying Scores'!F$10)),Z56,0)))</f>
        <v>0</v>
      </c>
      <c r="S56" s="4">
        <f>MAX(T56,V56,X56,Z56)</f>
        <v>43.099999999999994</v>
      </c>
      <c r="T56" s="33"/>
      <c r="U56" s="40"/>
      <c r="V56" s="34"/>
      <c r="W56" s="40"/>
      <c r="X56" s="33">
        <v>42.9</v>
      </c>
      <c r="Y56" s="40">
        <v>6</v>
      </c>
      <c r="Z56" s="34">
        <v>43.099999999999994</v>
      </c>
      <c r="AA56" s="37">
        <v>6.1</v>
      </c>
    </row>
    <row r="57" spans="1:27" x14ac:dyDescent="0.2">
      <c r="A57" s="1" t="str" cm="1">
        <f t="array" ref="A57">IF(I57="","",IF(P57&lt;&gt;"",SUMPRODUCT((P$3:P$78&lt;&gt;"")*(G$3:G$78=G57)*(J$3:J$78&gt;J57)*(I$3:I$78="P"))+1,IF(O57&lt;&gt;"",SUMPRODUCT((O$3:O$78&lt;&gt;"")*(P$3:P$78="")*(G$3:G$78=G57)*(J$3:J$78&gt;J57)*(I$3:I$78="P"))+SUMPRODUCT((P$3:P$78&lt;&gt;"")*(G$3:G$78=G57)*(I$3:I$78="P"))+1,IF(N57&lt;&gt;"",SUMPRODUCT((N$3:N$78&lt;&gt;"")*(G$3:G$78=G57)*(J$3:J$78&gt;J57)*(I$3:I$78="P"))+1,IF(M57="P",SUMPRODUCT((O$3:O$78&lt;&gt;"")*(P$3:P$78="")*(G$3:G$78=G57)*(I$3:I$78="P"))+SUMPRODUCT((P$3:P$78&lt;&gt;"")*(G$3:G$78=G57)*(I$3:I$78="P"))+SUMPRODUCT((N$3:N$78&lt;&gt;"")*(G$3:G$78=G57)*(I$3:I$78="P"))+SUMPRODUCT((P$3:P$78="")*(O$3:O$78="")*(N$3:N$78="")*(M$3:M$78="P")*(G$3:G$78=G57)*(J$3:J$78&gt;J57)*(I$3:I$78="P"))+IF(H57="L5",SUMPRODUCT((P$3:P$78="")*(O$3:O$78="")*(N$3:N$78="")*(M$3:M$78="P")*(G$3:G$78=G57)*(J$3:J$78&lt;J57)*(H$3:H$78&lt;&gt;H57)*(I$3:I$78="P")),-1*SUMPRODUCT((P$3:P$78="")*(O$3:O$78="")*(N$3:N$78="")*(M$3:M$78="P")*(G$3:G$78=G57)*(J$3:J$78&gt;J57)*(H$3:H$78="L5")*(I$3:I$78="P")))+1,"")))))</f>
        <v/>
      </c>
      <c r="B57" s="1" t="str" cm="1">
        <f t="array" ref="B57">IF(P57&lt;&gt;"",SUMPRODUCT((P$3:P$78&lt;&gt;"")*(G$3:G$78=G57)*(J$3:J$78&gt;J57))+1,IF(O57&lt;&gt;"",SUMPRODUCT((O$3:O$78&lt;&gt;"")*(P$3:P$78="")*(G$3:G$78=G57)*(J$3:J$78&gt;J57))+SUMPRODUCT((P$3:P$78&lt;&gt;"")*(G$3:G$78=G57))+1,IF(N57&lt;&gt;"",SUMPRODUCT((N$3:N$78&lt;&gt;"")*(G$3:G$78=G57)*(J$3:J$78&gt;J57))+1,IF(M57="P",SUMPRODUCT((O$3:O$78&lt;&gt;"")*(P$3:P$78="")*(G$3:G$78=G57))+SUMPRODUCT((P$3:P$78&lt;&gt;"")*(G$3:G$78=G57))+SUMPRODUCT((N$3:N$78&lt;&gt;"")*(G$3:G$78=G57))+SUMPRODUCT((P$3:P$78="")*(O$3:O$78="")*(N$3:N$78="")*(M$3:M$78="P")*(G$3:G$78=G57)*(J$3:J$78&gt;J57))+IF(H57="L5",SUMPRODUCT((P$3:P$78="")*(O$3:O$78="")*(N$3:N$78="")*(M$3:M$78="P")*(G$3:G$78=G57)*(J$3:J$78&lt;J57)*(H$3:H$78&lt;&gt;H57)),-1*SUMPRODUCT((P$3:P$78="")*(O$3:O$78="")*(N$3:N$78="")*(M$3:M$78="P")*(G$3:G$78=G57)*(J$3:J$78&gt;J57)*(H$3:H$78="L5")))+1,""))))</f>
        <v/>
      </c>
      <c r="C57" s="36" t="s">
        <v>126</v>
      </c>
      <c r="D57" s="36" t="str">
        <f>IF(E57="","",VLOOKUP(E57,'Coaching Points'!A:B,2,0))</f>
        <v>BC</v>
      </c>
      <c r="E57" s="36" t="s">
        <v>84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4.259999999999999E-6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Scores'!F$13),AND(G57="15-16",U57&gt;='Qualifying Scores'!F$12),AND(G57="13-14",U57&gt;='Qualifying Scores'!F$11),AND(G57="11-12",U57&gt;='Qualifying Scores'!F$10)),T57,0),IF(OR(AND(G57="17-21",W57&gt;='Qualifying Scores'!F$13),AND(G57="15-16",W57&gt;='Qualifying Scores'!F$12),AND(G57="13-14",W57&gt;='Qualifying Scores'!F$11),AND(G57="11-12",W57&gt;='Qualifying Scores'!F$10)),V57,0),IF(OR(AND(G57="17-21",Y57&gt;='Qualifying Scores'!F$13),AND(G57="15-16",Y57&gt;='Qualifying Scores'!F$12),AND(G57="13-14",Y57&gt;='Qualifying Scores'!F$11),AND(G57="11-12",Y57&gt;='Qualifying Scores'!F$10)),X57,0),IF(OR(AND(G57="17-21",AA57&gt;='Qualifying Scores'!F$13),AND(G57="15-16",AA57&gt;='Qualifying Scores'!F$12),AND(G57="13-14",AA57&gt;='Qualifying Scores'!F$11),AND(G57="11-12",AA57&gt;='Qualifying Scores'!F$10)),Z57,0)))</f>
        <v>0</v>
      </c>
      <c r="S57" s="4">
        <f>MAX(T57,V57,X57,Z57)</f>
        <v>42.599999999999994</v>
      </c>
      <c r="T57" s="33">
        <v>38.799999999999997</v>
      </c>
      <c r="U57" s="40">
        <v>3.7</v>
      </c>
      <c r="V57" s="34">
        <v>42.399999999999991</v>
      </c>
      <c r="W57" s="40">
        <v>6.9</v>
      </c>
      <c r="X57" s="33">
        <v>42.599999999999994</v>
      </c>
      <c r="Y57" s="40">
        <v>7.5</v>
      </c>
      <c r="Z57" s="34">
        <v>39.099999999999994</v>
      </c>
      <c r="AA57" s="37">
        <v>4.2</v>
      </c>
    </row>
    <row r="58" spans="1:27" x14ac:dyDescent="0.2">
      <c r="A58" s="1" t="str" cm="1">
        <f t="array" ref="A58">IF(I58="","",IF(P58&lt;&gt;"",SUMPRODUCT((P$3:P$78&lt;&gt;"")*(G$3:G$78=G58)*(J$3:J$78&gt;J58)*(I$3:I$78="P"))+1,IF(O58&lt;&gt;"",SUMPRODUCT((O$3:O$78&lt;&gt;"")*(P$3:P$78="")*(G$3:G$78=G58)*(J$3:J$78&gt;J58)*(I$3:I$78="P"))+SUMPRODUCT((P$3:P$78&lt;&gt;"")*(G$3:G$78=G58)*(I$3:I$78="P"))+1,IF(N58&lt;&gt;"",SUMPRODUCT((N$3:N$78&lt;&gt;"")*(G$3:G$78=G58)*(J$3:J$78&gt;J58)*(I$3:I$78="P"))+1,IF(M58="P",SUMPRODUCT((O$3:O$78&lt;&gt;"")*(P$3:P$78="")*(G$3:G$78=G58)*(I$3:I$78="P"))+SUMPRODUCT((P$3:P$78&lt;&gt;"")*(G$3:G$78=G58)*(I$3:I$78="P"))+SUMPRODUCT((N$3:N$78&lt;&gt;"")*(G$3:G$78=G58)*(I$3:I$78="P"))+SUMPRODUCT((P$3:P$78="")*(O$3:O$78="")*(N$3:N$78="")*(M$3:M$78="P")*(G$3:G$78=G58)*(J$3:J$78&gt;J58)*(I$3:I$78="P"))+IF(H58="L5",SUMPRODUCT((P$3:P$78="")*(O$3:O$78="")*(N$3:N$78="")*(M$3:M$78="P")*(G$3:G$78=G58)*(J$3:J$78&lt;J58)*(H$3:H$78&lt;&gt;H58)*(I$3:I$78="P")),-1*SUMPRODUCT((P$3:P$78="")*(O$3:O$78="")*(N$3:N$78="")*(M$3:M$78="P")*(G$3:G$78=G58)*(J$3:J$78&gt;J58)*(H$3:H$78="L5")*(I$3:I$78="P")))+1,"")))))</f>
        <v/>
      </c>
      <c r="B58" s="1" t="str" cm="1">
        <f t="array" ref="B58">IF(P58&lt;&gt;"",SUMPRODUCT((P$3:P$78&lt;&gt;"")*(G$3:G$78=G58)*(J$3:J$78&gt;J58))+1,IF(O58&lt;&gt;"",SUMPRODUCT((O$3:O$78&lt;&gt;"")*(P$3:P$78="")*(G$3:G$78=G58)*(J$3:J$78&gt;J58))+SUMPRODUCT((P$3:P$78&lt;&gt;"")*(G$3:G$78=G58))+1,IF(N58&lt;&gt;"",SUMPRODUCT((N$3:N$78&lt;&gt;"")*(G$3:G$78=G58)*(J$3:J$78&gt;J58))+1,IF(M58="P",SUMPRODUCT((O$3:O$78&lt;&gt;"")*(P$3:P$78="")*(G$3:G$78=G58))+SUMPRODUCT((P$3:P$78&lt;&gt;"")*(G$3:G$78=G58))+SUMPRODUCT((N$3:N$78&lt;&gt;"")*(G$3:G$78=G58))+SUMPRODUCT((P$3:P$78="")*(O$3:O$78="")*(N$3:N$78="")*(M$3:M$78="P")*(G$3:G$78=G58)*(J$3:J$78&gt;J58))+IF(H58="L5",SUMPRODUCT((P$3:P$78="")*(O$3:O$78="")*(N$3:N$78="")*(M$3:M$78="P")*(G$3:G$78=G58)*(J$3:J$78&lt;J58)*(H$3:H$78&lt;&gt;H58)),-1*SUMPRODUCT((P$3:P$78="")*(O$3:O$78="")*(N$3:N$78="")*(M$3:M$78="P")*(G$3:G$78=G58)*(J$3:J$78&gt;J58)*(H$3:H$78="L5")))+1,""))))</f>
        <v/>
      </c>
      <c r="C58" s="36" t="s">
        <v>515</v>
      </c>
      <c r="D58" s="36" t="str">
        <f>IF(E58="","",VLOOKUP(E58,'Coaching Points'!A:B,2,0))</f>
        <v>AB</v>
      </c>
      <c r="E58" s="36" t="s">
        <v>91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/>
      <c r="J58" s="4">
        <f>R58+IF(OR(H58="Junior",H58="Senior"),0.0002,IF(OR(H58="L7",H58="L6"),0.0001,0))+MAX(X58,Z58)*0.0000001</f>
        <v>4.25E-6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Scores'!F$13),AND(G58="15-16",U58&gt;='Qualifying Scores'!F$12),AND(G58="13-14",U58&gt;='Qualifying Scores'!F$11),AND(G58="11-12",U58&gt;='Qualifying Scores'!F$10)),T58,0),IF(OR(AND(G58="17-21",W58&gt;='Qualifying Scores'!F$13),AND(G58="15-16",W58&gt;='Qualifying Scores'!F$12),AND(G58="13-14",W58&gt;='Qualifying Scores'!F$11),AND(G58="11-12",W58&gt;='Qualifying Scores'!F$10)),V58,0),IF(OR(AND(G58="17-21",Y58&gt;='Qualifying Scores'!F$13),AND(G58="15-16",Y58&gt;='Qualifying Scores'!F$12),AND(G58="13-14",Y58&gt;='Qualifying Scores'!F$11),AND(G58="11-12",Y58&gt;='Qualifying Scores'!F$10)),X58,0),IF(OR(AND(G58="17-21",AA58&gt;='Qualifying Scores'!F$13),AND(G58="15-16",AA58&gt;='Qualifying Scores'!F$12),AND(G58="13-14",AA58&gt;='Qualifying Scores'!F$11),AND(G58="11-12",AA58&gt;='Qualifying Scores'!F$10)),Z58,0)))</f>
        <v>0</v>
      </c>
      <c r="S58" s="4">
        <f>MAX(T58,V58,X58,Z58)</f>
        <v>42.5</v>
      </c>
      <c r="T58" s="33"/>
      <c r="U58" s="40"/>
      <c r="V58" s="34"/>
      <c r="W58" s="40"/>
      <c r="X58" s="33">
        <v>42.5</v>
      </c>
      <c r="Y58" s="40">
        <v>5.6</v>
      </c>
      <c r="Z58" s="34">
        <v>38.700000000000003</v>
      </c>
      <c r="AA58" s="37">
        <v>4.3000000000000007</v>
      </c>
    </row>
    <row r="59" spans="1:27" x14ac:dyDescent="0.2">
      <c r="A59" s="1" t="str" cm="1">
        <f t="array" ref="A59">IF(I59="","",IF(P59&lt;&gt;"",SUMPRODUCT((P$3:P$78&lt;&gt;"")*(G$3:G$78=G59)*(J$3:J$78&gt;J59)*(I$3:I$78="P"))+1,IF(O59&lt;&gt;"",SUMPRODUCT((O$3:O$78&lt;&gt;"")*(P$3:P$78="")*(G$3:G$78=G59)*(J$3:J$78&gt;J59)*(I$3:I$78="P"))+SUMPRODUCT((P$3:P$78&lt;&gt;"")*(G$3:G$78=G59)*(I$3:I$78="P"))+1,IF(N59&lt;&gt;"",SUMPRODUCT((N$3:N$78&lt;&gt;"")*(G$3:G$78=G59)*(J$3:J$78&gt;J59)*(I$3:I$78="P"))+1,IF(M59="P",SUMPRODUCT((O$3:O$78&lt;&gt;"")*(P$3:P$78="")*(G$3:G$78=G59)*(I$3:I$78="P"))+SUMPRODUCT((P$3:P$78&lt;&gt;"")*(G$3:G$78=G59)*(I$3:I$78="P"))+SUMPRODUCT((N$3:N$78&lt;&gt;"")*(G$3:G$78=G59)*(I$3:I$78="P"))+SUMPRODUCT((P$3:P$78="")*(O$3:O$78="")*(N$3:N$78="")*(M$3:M$78="P")*(G$3:G$78=G59)*(J$3:J$78&gt;J59)*(I$3:I$78="P"))+IF(H59="L5",SUMPRODUCT((P$3:P$78="")*(O$3:O$78="")*(N$3:N$78="")*(M$3:M$78="P")*(G$3:G$78=G59)*(J$3:J$78&lt;J59)*(H$3:H$78&lt;&gt;H59)*(I$3:I$78="P")),-1*SUMPRODUCT((P$3:P$78="")*(O$3:O$78="")*(N$3:N$78="")*(M$3:M$78="P")*(G$3:G$78=G59)*(J$3:J$78&gt;J59)*(H$3:H$78="L5")*(I$3:I$78="P")))+1,"")))))</f>
        <v/>
      </c>
      <c r="B59" s="1" t="str" cm="1">
        <f t="array" ref="B59">IF(P59&lt;&gt;"",SUMPRODUCT((P$3:P$78&lt;&gt;"")*(G$3:G$78=G59)*(J$3:J$78&gt;J59))+1,IF(O59&lt;&gt;"",SUMPRODUCT((O$3:O$78&lt;&gt;"")*(P$3:P$78="")*(G$3:G$78=G59)*(J$3:J$78&gt;J59))+SUMPRODUCT((P$3:P$78&lt;&gt;"")*(G$3:G$78=G59))+1,IF(N59&lt;&gt;"",SUMPRODUCT((N$3:N$78&lt;&gt;"")*(G$3:G$78=G59)*(J$3:J$78&gt;J59))+1,IF(M59="P",SUMPRODUCT((O$3:O$78&lt;&gt;"")*(P$3:P$78="")*(G$3:G$78=G59))+SUMPRODUCT((P$3:P$78&lt;&gt;"")*(G$3:G$78=G59))+SUMPRODUCT((N$3:N$78&lt;&gt;"")*(G$3:G$78=G59))+SUMPRODUCT((P$3:P$78="")*(O$3:O$78="")*(N$3:N$78="")*(M$3:M$78="P")*(G$3:G$78=G59)*(J$3:J$78&gt;J59))+IF(H59="L5",SUMPRODUCT((P$3:P$78="")*(O$3:O$78="")*(N$3:N$78="")*(M$3:M$78="P")*(G$3:G$78=G59)*(J$3:J$78&lt;J59)*(H$3:H$78&lt;&gt;H59)),-1*SUMPRODUCT((P$3:P$78="")*(O$3:O$78="")*(N$3:N$78="")*(M$3:M$78="P")*(G$3:G$78=G59)*(J$3:J$78&gt;J59)*(H$3:H$78="L5")))+1,""))))</f>
        <v/>
      </c>
      <c r="C59" s="36" t="s">
        <v>389</v>
      </c>
      <c r="D59" s="36" t="str">
        <f>IF(E59="","",VLOOKUP(E59,'Coaching Points'!A:B,2,0))</f>
        <v>ON</v>
      </c>
      <c r="E59" s="36" t="s">
        <v>158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4.2299999999999993E-6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Scores'!F$13),AND(G59="15-16",U59&gt;='Qualifying Scores'!F$12),AND(G59="13-14",U59&gt;='Qualifying Scores'!F$11),AND(G59="11-12",U59&gt;='Qualifying Scores'!F$10)),T59,0),IF(OR(AND(G59="17-21",W59&gt;='Qualifying Scores'!F$13),AND(G59="15-16",W59&gt;='Qualifying Scores'!F$12),AND(G59="13-14",W59&gt;='Qualifying Scores'!F$11),AND(G59="11-12",W59&gt;='Qualifying Scores'!F$10)),V59,0),IF(OR(AND(G59="17-21",Y59&gt;='Qualifying Scores'!F$13),AND(G59="15-16",Y59&gt;='Qualifying Scores'!F$12),AND(G59="13-14",Y59&gt;='Qualifying Scores'!F$11),AND(G59="11-12",Y59&gt;='Qualifying Scores'!F$10)),X59,0),IF(OR(AND(G59="17-21",AA59&gt;='Qualifying Scores'!F$13),AND(G59="15-16",AA59&gt;='Qualifying Scores'!F$12),AND(G59="13-14",AA59&gt;='Qualifying Scores'!F$11),AND(G59="11-12",AA59&gt;='Qualifying Scores'!F$10)),Z59,0)))</f>
        <v>0</v>
      </c>
      <c r="S59" s="4">
        <f>MAX(T59,V59,X59,Z59)</f>
        <v>42.3</v>
      </c>
      <c r="T59" s="33"/>
      <c r="U59" s="40"/>
      <c r="V59" s="34"/>
      <c r="W59" s="40"/>
      <c r="X59" s="33">
        <v>42.3</v>
      </c>
      <c r="Y59" s="40">
        <v>5.6</v>
      </c>
      <c r="Z59" s="34">
        <v>41.800000000000004</v>
      </c>
      <c r="AA59" s="37">
        <v>4.9000000000000004</v>
      </c>
    </row>
    <row r="60" spans="1:27" x14ac:dyDescent="0.2">
      <c r="A60" s="1" t="str" cm="1">
        <f t="array" ref="A60">IF(I60="","",IF(P60&lt;&gt;"",SUMPRODUCT((P$3:P$78&lt;&gt;"")*(G$3:G$78=G60)*(J$3:J$78&gt;J60)*(I$3:I$78="P"))+1,IF(O60&lt;&gt;"",SUMPRODUCT((O$3:O$78&lt;&gt;"")*(P$3:P$78="")*(G$3:G$78=G60)*(J$3:J$78&gt;J60)*(I$3:I$78="P"))+SUMPRODUCT((P$3:P$78&lt;&gt;"")*(G$3:G$78=G60)*(I$3:I$78="P"))+1,IF(N60&lt;&gt;"",SUMPRODUCT((N$3:N$78&lt;&gt;"")*(G$3:G$78=G60)*(J$3:J$78&gt;J60)*(I$3:I$78="P"))+1,IF(M60="P",SUMPRODUCT((O$3:O$78&lt;&gt;"")*(P$3:P$78="")*(G$3:G$78=G60)*(I$3:I$78="P"))+SUMPRODUCT((P$3:P$78&lt;&gt;"")*(G$3:G$78=G60)*(I$3:I$78="P"))+SUMPRODUCT((N$3:N$78&lt;&gt;"")*(G$3:G$78=G60)*(I$3:I$78="P"))+SUMPRODUCT((P$3:P$78="")*(O$3:O$78="")*(N$3:N$78="")*(M$3:M$78="P")*(G$3:G$78=G60)*(J$3:J$78&gt;J60)*(I$3:I$78="P"))+IF(H60="L5",SUMPRODUCT((P$3:P$78="")*(O$3:O$78="")*(N$3:N$78="")*(M$3:M$78="P")*(G$3:G$78=G60)*(J$3:J$78&lt;J60)*(H$3:H$78&lt;&gt;H60)*(I$3:I$78="P")),-1*SUMPRODUCT((P$3:P$78="")*(O$3:O$78="")*(N$3:N$78="")*(M$3:M$78="P")*(G$3:G$78=G60)*(J$3:J$78&gt;J60)*(H$3:H$78="L5")*(I$3:I$78="P")))+1,"")))))</f>
        <v/>
      </c>
      <c r="B60" s="1" t="str" cm="1">
        <f t="array" ref="B60">IF(P60&lt;&gt;"",SUMPRODUCT((P$3:P$78&lt;&gt;"")*(G$3:G$78=G60)*(J$3:J$78&gt;J60))+1,IF(O60&lt;&gt;"",SUMPRODUCT((O$3:O$78&lt;&gt;"")*(P$3:P$78="")*(G$3:G$78=G60)*(J$3:J$78&gt;J60))+SUMPRODUCT((P$3:P$78&lt;&gt;"")*(G$3:G$78=G60))+1,IF(N60&lt;&gt;"",SUMPRODUCT((N$3:N$78&lt;&gt;"")*(G$3:G$78=G60)*(J$3:J$78&gt;J60))+1,IF(M60="P",SUMPRODUCT((O$3:O$78&lt;&gt;"")*(P$3:P$78="")*(G$3:G$78=G60))+SUMPRODUCT((P$3:P$78&lt;&gt;"")*(G$3:G$78=G60))+SUMPRODUCT((N$3:N$78&lt;&gt;"")*(G$3:G$78=G60))+SUMPRODUCT((P$3:P$78="")*(O$3:O$78="")*(N$3:N$78="")*(M$3:M$78="P")*(G$3:G$78=G60)*(J$3:J$78&gt;J60))+IF(H60="L5",SUMPRODUCT((P$3:P$78="")*(O$3:O$78="")*(N$3:N$78="")*(M$3:M$78="P")*(G$3:G$78=G60)*(J$3:J$78&lt;J60)*(H$3:H$78&lt;&gt;H60)),-1*SUMPRODUCT((P$3:P$78="")*(O$3:O$78="")*(N$3:N$78="")*(M$3:M$78="P")*(G$3:G$78=G60)*(J$3:J$78&gt;J60)*(H$3:H$78="L5")))+1,""))))</f>
        <v/>
      </c>
      <c r="C60" s="36" t="s">
        <v>390</v>
      </c>
      <c r="D60" s="36" t="str">
        <f>IF(E60="","",VLOOKUP(E60,'Coaching Points'!A:B,2,0))</f>
        <v>ON</v>
      </c>
      <c r="E60" s="36" t="s">
        <v>573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4.1999999999999996E-6</v>
      </c>
      <c r="K60" s="3" t="str">
        <f>IF(G60="Not Age Eligible","",IF(MAX(T60,V60,X60,Z60)&gt;=LOOKUP(G60,'Qualifying Scores'!$A$4:$A$7,'Qualifying Scores'!$F$4:$F$7),"P",""))</f>
        <v/>
      </c>
      <c r="L60" s="3" t="str">
        <f>IF(G60="Not Age Eligible","",IF(MAX(U60,W60,Y60,AA60)&gt;=LOOKUP(G60,'Qualifying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Scores'!F$13),AND(G60="15-16",U60&gt;='Qualifying Scores'!F$12),AND(G60="13-14",U60&gt;='Qualifying Scores'!F$11),AND(G60="11-12",U60&gt;='Qualifying Scores'!F$10)),T60,0),IF(OR(AND(G60="17-21",W60&gt;='Qualifying Scores'!F$13),AND(G60="15-16",W60&gt;='Qualifying Scores'!F$12),AND(G60="13-14",W60&gt;='Qualifying Scores'!F$11),AND(G60="11-12",W60&gt;='Qualifying Scores'!F$10)),V60,0),IF(OR(AND(G60="17-21",Y60&gt;='Qualifying Scores'!F$13),AND(G60="15-16",Y60&gt;='Qualifying Scores'!F$12),AND(G60="13-14",Y60&gt;='Qualifying Scores'!F$11),AND(G60="11-12",Y60&gt;='Qualifying Scores'!F$10)),X60,0),IF(OR(AND(G60="17-21",AA60&gt;='Qualifying Scores'!F$13),AND(G60="15-16",AA60&gt;='Qualifying Scores'!F$12),AND(G60="13-14",AA60&gt;='Qualifying Scores'!F$11),AND(G60="11-12",AA60&gt;='Qualifying Scores'!F$10)),Z60,0)))</f>
        <v>0</v>
      </c>
      <c r="S60" s="4">
        <f>MAX(T60,V60,X60,Z60)</f>
        <v>42</v>
      </c>
      <c r="T60" s="33"/>
      <c r="U60" s="40"/>
      <c r="V60" s="34"/>
      <c r="W60" s="40"/>
      <c r="X60" s="33">
        <v>40.599999999999994</v>
      </c>
      <c r="Y60" s="40">
        <v>4.8</v>
      </c>
      <c r="Z60" s="34">
        <v>42</v>
      </c>
      <c r="AA60" s="37">
        <v>5.0999999999999996</v>
      </c>
    </row>
    <row r="61" spans="1:27" x14ac:dyDescent="0.2">
      <c r="A61" s="1" t="str" cm="1">
        <f t="array" ref="A61">IF(I61="","",IF(P61&lt;&gt;"",SUMPRODUCT((P$3:P$78&lt;&gt;"")*(G$3:G$78=G61)*(J$3:J$78&gt;J61)*(I$3:I$78="P"))+1,IF(O61&lt;&gt;"",SUMPRODUCT((O$3:O$78&lt;&gt;"")*(P$3:P$78="")*(G$3:G$78=G61)*(J$3:J$78&gt;J61)*(I$3:I$78="P"))+SUMPRODUCT((P$3:P$78&lt;&gt;"")*(G$3:G$78=G61)*(I$3:I$78="P"))+1,IF(N61&lt;&gt;"",SUMPRODUCT((N$3:N$78&lt;&gt;"")*(G$3:G$78=G61)*(J$3:J$78&gt;J61)*(I$3:I$78="P"))+1,IF(M61="P",SUMPRODUCT((O$3:O$78&lt;&gt;"")*(P$3:P$78="")*(G$3:G$78=G61)*(I$3:I$78="P"))+SUMPRODUCT((P$3:P$78&lt;&gt;"")*(G$3:G$78=G61)*(I$3:I$78="P"))+SUMPRODUCT((N$3:N$78&lt;&gt;"")*(G$3:G$78=G61)*(I$3:I$78="P"))+SUMPRODUCT((P$3:P$78="")*(O$3:O$78="")*(N$3:N$78="")*(M$3:M$78="P")*(G$3:G$78=G61)*(J$3:J$78&gt;J61)*(I$3:I$78="P"))+IF(H61="L5",SUMPRODUCT((P$3:P$78="")*(O$3:O$78="")*(N$3:N$78="")*(M$3:M$78="P")*(G$3:G$78=G61)*(J$3:J$78&lt;J61)*(H$3:H$78&lt;&gt;H61)*(I$3:I$78="P")),-1*SUMPRODUCT((P$3:P$78="")*(O$3:O$78="")*(N$3:N$78="")*(M$3:M$78="P")*(G$3:G$78=G61)*(J$3:J$78&gt;J61)*(H$3:H$78="L5")*(I$3:I$78="P")))+1,"")))))</f>
        <v/>
      </c>
      <c r="B61" s="1" t="str" cm="1">
        <f t="array" ref="B61">IF(P61&lt;&gt;"",SUMPRODUCT((P$3:P$78&lt;&gt;"")*(G$3:G$78=G61)*(J$3:J$78&gt;J61))+1,IF(O61&lt;&gt;"",SUMPRODUCT((O$3:O$78&lt;&gt;"")*(P$3:P$78="")*(G$3:G$78=G61)*(J$3:J$78&gt;J61))+SUMPRODUCT((P$3:P$78&lt;&gt;"")*(G$3:G$78=G61))+1,IF(N61&lt;&gt;"",SUMPRODUCT((N$3:N$78&lt;&gt;"")*(G$3:G$78=G61)*(J$3:J$78&gt;J61))+1,IF(M61="P",SUMPRODUCT((O$3:O$78&lt;&gt;"")*(P$3:P$78="")*(G$3:G$78=G61))+SUMPRODUCT((P$3:P$78&lt;&gt;"")*(G$3:G$78=G61))+SUMPRODUCT((N$3:N$78&lt;&gt;"")*(G$3:G$78=G61))+SUMPRODUCT((P$3:P$78="")*(O$3:O$78="")*(N$3:N$78="")*(M$3:M$78="P")*(G$3:G$78=G61)*(J$3:J$78&gt;J61))+IF(H61="L5",SUMPRODUCT((P$3:P$78="")*(O$3:O$78="")*(N$3:N$78="")*(M$3:M$78="P")*(G$3:G$78=G61)*(J$3:J$78&lt;J61)*(H$3:H$78&lt;&gt;H61)),-1*SUMPRODUCT((P$3:P$78="")*(O$3:O$78="")*(N$3:N$78="")*(M$3:M$78="P")*(G$3:G$78=G61)*(J$3:J$78&gt;J61)*(H$3:H$78="L5")))+1,""))))</f>
        <v/>
      </c>
      <c r="C61" s="36" t="s">
        <v>514</v>
      </c>
      <c r="D61" s="36" t="str">
        <f>IF(E61="","",VLOOKUP(E61,'Coaching Points'!A:B,2,0))</f>
        <v>ON</v>
      </c>
      <c r="E61" s="36" t="s">
        <v>48</v>
      </c>
      <c r="F61" s="35">
        <v>2006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 t="s">
        <v>604</v>
      </c>
      <c r="J61" s="4">
        <f>R61+IF(OR(H61="Junior",H61="Senior"),0.0002,IF(OR(H61="L7",H61="L6"),0.0001,0))+MAX(X61,Z61)*0.0000001</f>
        <v>4.1999999999999996E-6</v>
      </c>
      <c r="K61" s="3" t="str">
        <f>IF(G61="Not Age Eligible","",IF(MAX(T61,V61,X61,Z61)&gt;=LOOKUP(G61,'Qualifying Scores'!$A$4:$A$7,'Qualifying Scores'!$F$4:$F$7),"P",""))</f>
        <v/>
      </c>
      <c r="L61" s="3" t="str">
        <f>IF(G61="Not Age Eligible","",IF(MAX(U61,W61,Y61,AA61)&gt;=LOOKUP(G61,'Qualifying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Scores'!F$13),AND(G61="15-16",U61&gt;='Qualifying Scores'!F$12),AND(G61="13-14",U61&gt;='Qualifying Scores'!F$11),AND(G61="11-12",U61&gt;='Qualifying Scores'!F$10)),T61,0),IF(OR(AND(G61="17-21",W61&gt;='Qualifying Scores'!F$13),AND(G61="15-16",W61&gt;='Qualifying Scores'!F$12),AND(G61="13-14",W61&gt;='Qualifying Scores'!F$11),AND(G61="11-12",W61&gt;='Qualifying Scores'!F$10)),V61,0),IF(OR(AND(G61="17-21",Y61&gt;='Qualifying Scores'!F$13),AND(G61="15-16",Y61&gt;='Qualifying Scores'!F$12),AND(G61="13-14",Y61&gt;='Qualifying Scores'!F$11),AND(G61="11-12",Y61&gt;='Qualifying Scores'!F$10)),X61,0),IF(OR(AND(G61="17-21",AA61&gt;='Qualifying Scores'!F$13),AND(G61="15-16",AA61&gt;='Qualifying Scores'!F$12),AND(G61="13-14",AA61&gt;='Qualifying Scores'!F$11),AND(G61="11-12",AA61&gt;='Qualifying Scores'!F$10)),Z61,0)))</f>
        <v>0</v>
      </c>
      <c r="S61" s="4">
        <f>MAX(T61,V61,X61,Z61)</f>
        <v>42</v>
      </c>
      <c r="T61" s="33"/>
      <c r="U61" s="40"/>
      <c r="V61" s="34"/>
      <c r="W61" s="40"/>
      <c r="X61" s="33">
        <v>42</v>
      </c>
      <c r="Y61" s="40">
        <v>4.9000000000000004</v>
      </c>
      <c r="Z61" s="34">
        <v>39.400000000000006</v>
      </c>
      <c r="AA61" s="37">
        <v>2.8</v>
      </c>
    </row>
    <row r="62" spans="1:27" x14ac:dyDescent="0.2">
      <c r="A62" s="1" t="str" cm="1">
        <f t="array" ref="A62">IF(I62="","",IF(P62&lt;&gt;"",SUMPRODUCT((P$3:P$78&lt;&gt;"")*(G$3:G$78=G62)*(J$3:J$78&gt;J62)*(I$3:I$78="P"))+1,IF(O62&lt;&gt;"",SUMPRODUCT((O$3:O$78&lt;&gt;"")*(P$3:P$78="")*(G$3:G$78=G62)*(J$3:J$78&gt;J62)*(I$3:I$78="P"))+SUMPRODUCT((P$3:P$78&lt;&gt;"")*(G$3:G$78=G62)*(I$3:I$78="P"))+1,IF(N62&lt;&gt;"",SUMPRODUCT((N$3:N$78&lt;&gt;"")*(G$3:G$78=G62)*(J$3:J$78&gt;J62)*(I$3:I$78="P"))+1,IF(M62="P",SUMPRODUCT((O$3:O$78&lt;&gt;"")*(P$3:P$78="")*(G$3:G$78=G62)*(I$3:I$78="P"))+SUMPRODUCT((P$3:P$78&lt;&gt;"")*(G$3:G$78=G62)*(I$3:I$78="P"))+SUMPRODUCT((N$3:N$78&lt;&gt;"")*(G$3:G$78=G62)*(I$3:I$78="P"))+SUMPRODUCT((P$3:P$78="")*(O$3:O$78="")*(N$3:N$78="")*(M$3:M$78="P")*(G$3:G$78=G62)*(J$3:J$78&gt;J62)*(I$3:I$78="P"))+IF(H62="L5",SUMPRODUCT((P$3:P$78="")*(O$3:O$78="")*(N$3:N$78="")*(M$3:M$78="P")*(G$3:G$78=G62)*(J$3:J$78&lt;J62)*(H$3:H$78&lt;&gt;H62)*(I$3:I$78="P")),-1*SUMPRODUCT((P$3:P$78="")*(O$3:O$78="")*(N$3:N$78="")*(M$3:M$78="P")*(G$3:G$78=G62)*(J$3:J$78&gt;J62)*(H$3:H$78="L5")*(I$3:I$78="P")))+1,"")))))</f>
        <v/>
      </c>
      <c r="B62" s="1" t="str" cm="1">
        <f t="array" ref="B62">IF(P62&lt;&gt;"",SUMPRODUCT((P$3:P$78&lt;&gt;"")*(G$3:G$78=G62)*(J$3:J$78&gt;J62))+1,IF(O62&lt;&gt;"",SUMPRODUCT((O$3:O$78&lt;&gt;"")*(P$3:P$78="")*(G$3:G$78=G62)*(J$3:J$78&gt;J62))+SUMPRODUCT((P$3:P$78&lt;&gt;"")*(G$3:G$78=G62))+1,IF(N62&lt;&gt;"",SUMPRODUCT((N$3:N$78&lt;&gt;"")*(G$3:G$78=G62)*(J$3:J$78&gt;J62))+1,IF(M62="P",SUMPRODUCT((O$3:O$78&lt;&gt;"")*(P$3:P$78="")*(G$3:G$78=G62))+SUMPRODUCT((P$3:P$78&lt;&gt;"")*(G$3:G$78=G62))+SUMPRODUCT((N$3:N$78&lt;&gt;"")*(G$3:G$78=G62))+SUMPRODUCT((P$3:P$78="")*(O$3:O$78="")*(N$3:N$78="")*(M$3:M$78="P")*(G$3:G$78=G62)*(J$3:J$78&gt;J62))+IF(H62="L5",SUMPRODUCT((P$3:P$78="")*(O$3:O$78="")*(N$3:N$78="")*(M$3:M$78="P")*(G$3:G$78=G62)*(J$3:J$78&lt;J62)*(H$3:H$78&lt;&gt;H62)),-1*SUMPRODUCT((P$3:P$78="")*(O$3:O$78="")*(N$3:N$78="")*(M$3:M$78="P")*(G$3:G$78=G62)*(J$3:J$78&gt;J62)*(H$3:H$78="L5")))+1,""))))</f>
        <v/>
      </c>
      <c r="C62" s="36" t="s">
        <v>386</v>
      </c>
      <c r="D62" s="36" t="str">
        <f>IF(E62="","",VLOOKUP(E62,'Coaching Points'!A:B,2,0))</f>
        <v>NB</v>
      </c>
      <c r="E62" s="36" t="s">
        <v>49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4.1299999999999994E-6</v>
      </c>
      <c r="K62" s="3" t="str">
        <f>IF(G62="Not Age Eligible","",IF(MAX(T62,V62,X62,Z62)&gt;=LOOKUP(G62,'Qualifying Scores'!$A$4:$A$7,'Qualifying Scores'!$F$4:$F$7),"P",""))</f>
        <v/>
      </c>
      <c r="L62" s="3" t="str">
        <f>IF(G62="Not Age Eligible","",IF(MAX(U62,W62,Y62,AA62)&gt;=LOOKUP(G62,'Qualifying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Scores'!F$13),AND(G62="15-16",U62&gt;='Qualifying Scores'!F$12),AND(G62="13-14",U62&gt;='Qualifying Scores'!F$11),AND(G62="11-12",U62&gt;='Qualifying Scores'!F$10)),T62,0),IF(OR(AND(G62="17-21",W62&gt;='Qualifying Scores'!F$13),AND(G62="15-16",W62&gt;='Qualifying Scores'!F$12),AND(G62="13-14",W62&gt;='Qualifying Scores'!F$11),AND(G62="11-12",W62&gt;='Qualifying Scores'!F$10)),V62,0),IF(OR(AND(G62="17-21",Y62&gt;='Qualifying Scores'!F$13),AND(G62="15-16",Y62&gt;='Qualifying Scores'!F$12),AND(G62="13-14",Y62&gt;='Qualifying Scores'!F$11),AND(G62="11-12",Y62&gt;='Qualifying Scores'!F$10)),X62,0),IF(OR(AND(G62="17-21",AA62&gt;='Qualifying Scores'!F$13),AND(G62="15-16",AA62&gt;='Qualifying Scores'!F$12),AND(G62="13-14",AA62&gt;='Qualifying Scores'!F$11),AND(G62="11-12",AA62&gt;='Qualifying Scores'!F$10)),Z62,0)))</f>
        <v>0</v>
      </c>
      <c r="S62" s="4">
        <f>MAX(T62,V62,X62,Z62)</f>
        <v>41.3</v>
      </c>
      <c r="T62" s="33"/>
      <c r="U62" s="40"/>
      <c r="V62" s="34"/>
      <c r="W62" s="40"/>
      <c r="X62" s="33">
        <v>41.3</v>
      </c>
      <c r="Y62" s="40">
        <v>5.6999999999999993</v>
      </c>
      <c r="Z62" s="34">
        <v>38.5</v>
      </c>
      <c r="AA62" s="37">
        <v>5.0999999999999996</v>
      </c>
    </row>
    <row r="63" spans="1:27" x14ac:dyDescent="0.2">
      <c r="A63" s="1" t="str" cm="1">
        <f t="array" ref="A63">IF(I63="","",IF(P63&lt;&gt;"",SUMPRODUCT((P$3:P$78&lt;&gt;"")*(G$3:G$78=G63)*(J$3:J$78&gt;J63)*(I$3:I$78="P"))+1,IF(O63&lt;&gt;"",SUMPRODUCT((O$3:O$78&lt;&gt;"")*(P$3:P$78="")*(G$3:G$78=G63)*(J$3:J$78&gt;J63)*(I$3:I$78="P"))+SUMPRODUCT((P$3:P$78&lt;&gt;"")*(G$3:G$78=G63)*(I$3:I$78="P"))+1,IF(N63&lt;&gt;"",SUMPRODUCT((N$3:N$78&lt;&gt;"")*(G$3:G$78=G63)*(J$3:J$78&gt;J63)*(I$3:I$78="P"))+1,IF(M63="P",SUMPRODUCT((O$3:O$78&lt;&gt;"")*(P$3:P$78="")*(G$3:G$78=G63)*(I$3:I$78="P"))+SUMPRODUCT((P$3:P$78&lt;&gt;"")*(G$3:G$78=G63)*(I$3:I$78="P"))+SUMPRODUCT((N$3:N$78&lt;&gt;"")*(G$3:G$78=G63)*(I$3:I$78="P"))+SUMPRODUCT((P$3:P$78="")*(O$3:O$78="")*(N$3:N$78="")*(M$3:M$78="P")*(G$3:G$78=G63)*(J$3:J$78&gt;J63)*(I$3:I$78="P"))+IF(H63="L5",SUMPRODUCT((P$3:P$78="")*(O$3:O$78="")*(N$3:N$78="")*(M$3:M$78="P")*(G$3:G$78=G63)*(J$3:J$78&lt;J63)*(H$3:H$78&lt;&gt;H63)*(I$3:I$78="P")),-1*SUMPRODUCT((P$3:P$78="")*(O$3:O$78="")*(N$3:N$78="")*(M$3:M$78="P")*(G$3:G$78=G63)*(J$3:J$78&gt;J63)*(H$3:H$78="L5")*(I$3:I$78="P")))+1,"")))))</f>
        <v/>
      </c>
      <c r="B63" s="1" t="str" cm="1">
        <f t="array" ref="B63">IF(P63&lt;&gt;"",SUMPRODUCT((P$3:P$78&lt;&gt;"")*(G$3:G$78=G63)*(J$3:J$78&gt;J63))+1,IF(O63&lt;&gt;"",SUMPRODUCT((O$3:O$78&lt;&gt;"")*(P$3:P$78="")*(G$3:G$78=G63)*(J$3:J$78&gt;J63))+SUMPRODUCT((P$3:P$78&lt;&gt;"")*(G$3:G$78=G63))+1,IF(N63&lt;&gt;"",SUMPRODUCT((N$3:N$78&lt;&gt;"")*(G$3:G$78=G63)*(J$3:J$78&gt;J63))+1,IF(M63="P",SUMPRODUCT((O$3:O$78&lt;&gt;"")*(P$3:P$78="")*(G$3:G$78=G63))+SUMPRODUCT((P$3:P$78&lt;&gt;"")*(G$3:G$78=G63))+SUMPRODUCT((N$3:N$78&lt;&gt;"")*(G$3:G$78=G63))+SUMPRODUCT((P$3:P$78="")*(O$3:O$78="")*(N$3:N$78="")*(M$3:M$78="P")*(G$3:G$78=G63)*(J$3:J$78&gt;J63))+IF(H63="L5",SUMPRODUCT((P$3:P$78="")*(O$3:O$78="")*(N$3:N$78="")*(M$3:M$78="P")*(G$3:G$78=G63)*(J$3:J$78&lt;J63)*(H$3:H$78&lt;&gt;H63)),-1*SUMPRODUCT((P$3:P$78="")*(O$3:O$78="")*(N$3:N$78="")*(M$3:M$78="P")*(G$3:G$78=G63)*(J$3:J$78&gt;J63)*(H$3:H$78="L5")))+1,""))))</f>
        <v/>
      </c>
      <c r="C63" s="36" t="s">
        <v>382</v>
      </c>
      <c r="D63" s="36" t="str">
        <f>IF(E63="","",VLOOKUP(E63,'Coaching Points'!A:B,2,0))</f>
        <v>ON</v>
      </c>
      <c r="E63" s="36" t="s">
        <v>573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3.8499999999999996E-6</v>
      </c>
      <c r="K63" s="3" t="str">
        <f>IF(G63="Not Age Eligible","",IF(MAX(T63,V63,X63,Z63)&gt;=LOOKUP(G63,'Qualifying Scores'!$A$4:$A$7,'Qualifying Scores'!$F$4:$F$7),"P",""))</f>
        <v/>
      </c>
      <c r="L63" s="3" t="str">
        <f>IF(G63="Not Age Eligible","",IF(MAX(U63,W63,Y63,AA63)&gt;=LOOKUP(G63,'Qualifying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Scores'!F$13),AND(G63="15-16",U63&gt;='Qualifying Scores'!F$12),AND(G63="13-14",U63&gt;='Qualifying Scores'!F$11),AND(G63="11-12",U63&gt;='Qualifying Scores'!F$10)),T63,0),IF(OR(AND(G63="17-21",W63&gt;='Qualifying Scores'!F$13),AND(G63="15-16",W63&gt;='Qualifying Scores'!F$12),AND(G63="13-14",W63&gt;='Qualifying Scores'!F$11),AND(G63="11-12",W63&gt;='Qualifying Scores'!F$10)),V63,0),IF(OR(AND(G63="17-21",Y63&gt;='Qualifying Scores'!F$13),AND(G63="15-16",Y63&gt;='Qualifying Scores'!F$12),AND(G63="13-14",Y63&gt;='Qualifying Scores'!F$11),AND(G63="11-12",Y63&gt;='Qualifying Scores'!F$10)),X63,0),IF(OR(AND(G63="17-21",AA63&gt;='Qualifying Scores'!F$13),AND(G63="15-16",AA63&gt;='Qualifying Scores'!F$12),AND(G63="13-14",AA63&gt;='Qualifying Scores'!F$11),AND(G63="11-12",AA63&gt;='Qualifying Scores'!F$10)),Z63,0)))</f>
        <v>0</v>
      </c>
      <c r="S63" s="4">
        <f>MAX(T63,V63,X63,Z63)</f>
        <v>38.5</v>
      </c>
      <c r="T63" s="33"/>
      <c r="U63" s="40"/>
      <c r="V63" s="34"/>
      <c r="W63" s="40"/>
      <c r="X63" s="33">
        <v>38.5</v>
      </c>
      <c r="Y63" s="40">
        <v>4.0999999999999996</v>
      </c>
      <c r="Z63" s="34"/>
      <c r="AA63" s="37"/>
    </row>
    <row r="64" spans="1:27" x14ac:dyDescent="0.2">
      <c r="A64" s="1" t="str" cm="1">
        <f t="array" ref="A64">IF(I64="","",IF(P64&lt;&gt;"",SUMPRODUCT((P$3:P$78&lt;&gt;"")*(G$3:G$78=G64)*(J$3:J$78&gt;J64)*(I$3:I$78="P"))+1,IF(O64&lt;&gt;"",SUMPRODUCT((O$3:O$78&lt;&gt;"")*(P$3:P$78="")*(G$3:G$78=G64)*(J$3:J$78&gt;J64)*(I$3:I$78="P"))+SUMPRODUCT((P$3:P$78&lt;&gt;"")*(G$3:G$78=G64)*(I$3:I$78="P"))+1,IF(N64&lt;&gt;"",SUMPRODUCT((N$3:N$78&lt;&gt;"")*(G$3:G$78=G64)*(J$3:J$78&gt;J64)*(I$3:I$78="P"))+1,IF(M64="P",SUMPRODUCT((O$3:O$78&lt;&gt;"")*(P$3:P$78="")*(G$3:G$78=G64)*(I$3:I$78="P"))+SUMPRODUCT((P$3:P$78&lt;&gt;"")*(G$3:G$78=G64)*(I$3:I$78="P"))+SUMPRODUCT((N$3:N$78&lt;&gt;"")*(G$3:G$78=G64)*(I$3:I$78="P"))+SUMPRODUCT((P$3:P$78="")*(O$3:O$78="")*(N$3:N$78="")*(M$3:M$78="P")*(G$3:G$78=G64)*(J$3:J$78&gt;J64)*(I$3:I$78="P"))+IF(H64="L5",SUMPRODUCT((P$3:P$78="")*(O$3:O$78="")*(N$3:N$78="")*(M$3:M$78="P")*(G$3:G$78=G64)*(J$3:J$78&lt;J64)*(H$3:H$78&lt;&gt;H64)*(I$3:I$78="P")),-1*SUMPRODUCT((P$3:P$78="")*(O$3:O$78="")*(N$3:N$78="")*(M$3:M$78="P")*(G$3:G$78=G64)*(J$3:J$78&gt;J64)*(H$3:H$78="L5")*(I$3:I$78="P")))+1,"")))))</f>
        <v/>
      </c>
      <c r="B64" s="1" t="str" cm="1">
        <f t="array" ref="B64">IF(P64&lt;&gt;"",SUMPRODUCT((P$3:P$78&lt;&gt;"")*(G$3:G$78=G64)*(J$3:J$78&gt;J64))+1,IF(O64&lt;&gt;"",SUMPRODUCT((O$3:O$78&lt;&gt;"")*(P$3:P$78="")*(G$3:G$78=G64)*(J$3:J$78&gt;J64))+SUMPRODUCT((P$3:P$78&lt;&gt;"")*(G$3:G$78=G64))+1,IF(N64&lt;&gt;"",SUMPRODUCT((N$3:N$78&lt;&gt;"")*(G$3:G$78=G64)*(J$3:J$78&gt;J64))+1,IF(M64="P",SUMPRODUCT((O$3:O$78&lt;&gt;"")*(P$3:P$78="")*(G$3:G$78=G64))+SUMPRODUCT((P$3:P$78&lt;&gt;"")*(G$3:G$78=G64))+SUMPRODUCT((N$3:N$78&lt;&gt;"")*(G$3:G$78=G64))+SUMPRODUCT((P$3:P$78="")*(O$3:O$78="")*(N$3:N$78="")*(M$3:M$78="P")*(G$3:G$78=G64)*(J$3:J$78&gt;J64))+IF(H64="L5",SUMPRODUCT((P$3:P$78="")*(O$3:O$78="")*(N$3:N$78="")*(M$3:M$78="P")*(G$3:G$78=G64)*(J$3:J$78&lt;J64)*(H$3:H$78&lt;&gt;H64)),-1*SUMPRODUCT((P$3:P$78="")*(O$3:O$78="")*(N$3:N$78="")*(M$3:M$78="P")*(G$3:G$78=G64)*(J$3:J$78&gt;J64)*(H$3:H$78="L5")))+1,""))))</f>
        <v/>
      </c>
      <c r="C64" s="36" t="s">
        <v>123</v>
      </c>
      <c r="D64" s="36" t="str">
        <f>IF(E64="","",VLOOKUP(E64,'Coaching Points'!A:B,2,0))</f>
        <v>ON</v>
      </c>
      <c r="E64" s="36" t="s">
        <v>48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0</v>
      </c>
      <c r="K64" s="3" t="str">
        <f>IF(G64="Not Age Eligible","",IF(MAX(T64,V64,X64,Z64)&gt;=LOOKUP(G64,'Qualifying Scores'!$A$4:$A$7,'Qualifying Scores'!$F$4:$F$7),"P",""))</f>
        <v/>
      </c>
      <c r="L64" s="3" t="str">
        <f>IF(G64="Not Age Eligible","",IF(MAX(U64,W64,Y64,AA64)&gt;=LOOKUP(G64,'Qualifying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Scores'!F$13),AND(G64="15-16",U64&gt;='Qualifying Scores'!F$12),AND(G64="13-14",U64&gt;='Qualifying Scores'!F$11),AND(G64="11-12",U64&gt;='Qualifying Scores'!F$10)),T64,0),IF(OR(AND(G64="17-21",W64&gt;='Qualifying Scores'!F$13),AND(G64="15-16",W64&gt;='Qualifying Scores'!F$12),AND(G64="13-14",W64&gt;='Qualifying Scores'!F$11),AND(G64="11-12",W64&gt;='Qualifying Scores'!F$10)),V64,0),IF(OR(AND(G64="17-21",Y64&gt;='Qualifying Scores'!F$13),AND(G64="15-16",Y64&gt;='Qualifying Scores'!F$12),AND(G64="13-14",Y64&gt;='Qualifying Scores'!F$11),AND(G64="11-12",Y64&gt;='Qualifying Scores'!F$10)),X64,0),IF(OR(AND(G64="17-21",AA64&gt;='Qualifying Scores'!F$13),AND(G64="15-16",AA64&gt;='Qualifying Scores'!F$12),AND(G64="13-14",AA64&gt;='Qualifying Scores'!F$11),AND(G64="11-12",AA64&gt;='Qualifying Scores'!F$10)),Z64,0)))</f>
        <v>0</v>
      </c>
      <c r="S64" s="4">
        <f>MAX(T64,V64,X64,Z64)</f>
        <v>44.2</v>
      </c>
      <c r="T64" s="33">
        <v>42.14</v>
      </c>
      <c r="U64" s="40">
        <v>6.3</v>
      </c>
      <c r="V64" s="34">
        <v>44.2</v>
      </c>
      <c r="W64" s="40">
        <v>6.3</v>
      </c>
      <c r="X64" s="33"/>
      <c r="Y64" s="40"/>
      <c r="Z64" s="34"/>
      <c r="AA64" s="37"/>
    </row>
    <row r="65" spans="1:27" x14ac:dyDescent="0.2">
      <c r="A65" s="1" cm="1">
        <f t="array" ref="A65">IF(I65="","",IF(P65&lt;&gt;"",SUMPRODUCT((P$3:P$78&lt;&gt;"")*(G$3:G$78=G65)*(J$3:J$78&gt;J65)*(I$3:I$78="P"))+1,IF(O65&lt;&gt;"",SUMPRODUCT((O$3:O$78&lt;&gt;"")*(P$3:P$78="")*(G$3:G$78=G65)*(J$3:J$78&gt;J65)*(I$3:I$78="P"))+SUMPRODUCT((P$3:P$78&lt;&gt;"")*(G$3:G$78=G65)*(I$3:I$78="P"))+1,IF(N65&lt;&gt;"",SUMPRODUCT((N$3:N$78&lt;&gt;"")*(G$3:G$78=G65)*(J$3:J$78&gt;J65)*(I$3:I$78="P"))+1,IF(M65="P",SUMPRODUCT((O$3:O$78&lt;&gt;"")*(P$3:P$78="")*(G$3:G$78=G65)*(I$3:I$78="P"))+SUMPRODUCT((P$3:P$78&lt;&gt;"")*(G$3:G$78=G65)*(I$3:I$78="P"))+SUMPRODUCT((N$3:N$78&lt;&gt;"")*(G$3:G$78=G65)*(I$3:I$78="P"))+SUMPRODUCT((P$3:P$78="")*(O$3:O$78="")*(N$3:N$78="")*(M$3:M$78="P")*(G$3:G$78=G65)*(J$3:J$78&gt;J65)*(I$3:I$78="P"))+IF(H65="L5",SUMPRODUCT((P$3:P$78="")*(O$3:O$78="")*(N$3:N$78="")*(M$3:M$78="P")*(G$3:G$78=G65)*(J$3:J$78&lt;J65)*(H$3:H$78&lt;&gt;H65)*(I$3:I$78="P")),-1*SUMPRODUCT((P$3:P$78="")*(O$3:O$78="")*(N$3:N$78="")*(M$3:M$78="P")*(G$3:G$78=G65)*(J$3:J$78&gt;J65)*(H$3:H$78="L5")*(I$3:I$78="P")))+1,"")))))</f>
        <v>1</v>
      </c>
      <c r="B65" s="1" cm="1">
        <f t="array" ref="B65">IF(P65&lt;&gt;"",SUMPRODUCT((P$3:P$78&lt;&gt;"")*(G$3:G$78=G65)*(J$3:J$78&gt;J65))+1,IF(O65&lt;&gt;"",SUMPRODUCT((O$3:O$78&lt;&gt;"")*(P$3:P$78="")*(G$3:G$78=G65)*(J$3:J$78&gt;J65))+SUMPRODUCT((P$3:P$78&lt;&gt;"")*(G$3:G$78=G65))+1,IF(N65&lt;&gt;"",SUMPRODUCT((N$3:N$78&lt;&gt;"")*(G$3:G$78=G65)*(J$3:J$78&gt;J65))+1,IF(M65="P",SUMPRODUCT((O$3:O$78&lt;&gt;"")*(P$3:P$78="")*(G$3:G$78=G65))+SUMPRODUCT((P$3:P$78&lt;&gt;"")*(G$3:G$78=G65))+SUMPRODUCT((N$3:N$78&lt;&gt;"")*(G$3:G$78=G65))+SUMPRODUCT((P$3:P$78="")*(O$3:O$78="")*(N$3:N$78="")*(M$3:M$78="P")*(G$3:G$78=G65)*(J$3:J$78&gt;J65))+IF(H65="L5",SUMPRODUCT((P$3:P$78="")*(O$3:O$78="")*(N$3:N$78="")*(M$3:M$78="P")*(G$3:G$78=G65)*(J$3:J$78&lt;J65)*(H$3:H$78&lt;&gt;H65)),-1*SUMPRODUCT((P$3:P$78="")*(O$3:O$78="")*(N$3:N$78="")*(M$3:M$78="P")*(G$3:G$78=G65)*(J$3:J$78&gt;J65)*(H$3:H$78="L5")))+1,""))))</f>
        <v>1</v>
      </c>
      <c r="C65" s="36" t="s">
        <v>138</v>
      </c>
      <c r="D65" s="36" t="str">
        <f>IF(E65="","",VLOOKUP(E65,'Coaching Points'!A:B,2,0))</f>
        <v>AB</v>
      </c>
      <c r="E65" s="36" t="s">
        <v>91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9" t="s">
        <v>116</v>
      </c>
      <c r="I65" s="45" t="s">
        <v>604</v>
      </c>
      <c r="J65" s="4">
        <f>R65+IF(OR(H65="Junior",H65="Senior"),0.0002,IF(OR(H65="L7",H65="L6"),0.0001,0))+MAX(X65,Z65)*0.0000001</f>
        <v>46.800104680000004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49">
        <f>IF(A65&lt;5,IF(_xlfn.MAXIFS(A:A,G:G,G65)&gt;3,5-A65,_xlfn.MAXIFS(A:A,G:G,G65)+1-A65),"")</f>
        <v>2</v>
      </c>
      <c r="R65" s="4">
        <f>IF(G65="Not Age Eligible",0,MAX(IF(OR(AND(G65="17-21",U65&gt;='Qualifying Scores'!F$13),AND(G65="15-16",U65&gt;='Qualifying Scores'!F$12),AND(G65="13-14",U65&gt;='Qualifying Scores'!F$11),AND(G65="11-12",U65&gt;='Qualifying Scores'!F$10)),T65,0),IF(OR(AND(G65="17-21",W65&gt;='Qualifying Scores'!F$13),AND(G65="15-16",W65&gt;='Qualifying Scores'!F$12),AND(G65="13-14",W65&gt;='Qualifying Scores'!F$11),AND(G65="11-12",W65&gt;='Qualifying Scores'!F$10)),V65,0),IF(OR(AND(G65="17-21",Y65&gt;='Qualifying Scores'!F$13),AND(G65="15-16",Y65&gt;='Qualifying Scores'!F$12),AND(G65="13-14",Y65&gt;='Qualifying Scores'!F$11),AND(G65="11-12",Y65&gt;='Qualifying Scores'!F$10)),X65,0),IF(OR(AND(G65="17-21",AA65&gt;='Qualifying Scores'!F$13),AND(G65="15-16",AA65&gt;='Qualifying Scores'!F$12),AND(G65="13-14",AA65&gt;='Qualifying Scores'!F$11),AND(G65="11-12",AA65&gt;='Qualifying Scores'!F$10)),Z65,0)))</f>
        <v>46.8</v>
      </c>
      <c r="S65" s="4">
        <f>MAX(T65,V65,X65,Z65)</f>
        <v>46.8</v>
      </c>
      <c r="T65" s="33">
        <v>45.68</v>
      </c>
      <c r="U65" s="40">
        <v>9.1999999999999993</v>
      </c>
      <c r="V65" s="34">
        <v>44.5</v>
      </c>
      <c r="W65" s="40">
        <v>8.4</v>
      </c>
      <c r="X65" s="33">
        <v>45.9</v>
      </c>
      <c r="Y65" s="40">
        <v>10</v>
      </c>
      <c r="Z65" s="34">
        <v>46.8</v>
      </c>
      <c r="AA65" s="37">
        <v>10.4</v>
      </c>
    </row>
    <row r="66" spans="1:27" x14ac:dyDescent="0.2">
      <c r="A66" s="1" cm="1">
        <f t="array" ref="A66">IF(I66="","",IF(P66&lt;&gt;"",SUMPRODUCT((P$3:P$78&lt;&gt;"")*(G$3:G$78=G66)*(J$3:J$78&gt;J66)*(I$3:I$78="P"))+1,IF(O66&lt;&gt;"",SUMPRODUCT((O$3:O$78&lt;&gt;"")*(P$3:P$78="")*(G$3:G$78=G66)*(J$3:J$78&gt;J66)*(I$3:I$78="P"))+SUMPRODUCT((P$3:P$78&lt;&gt;"")*(G$3:G$78=G66)*(I$3:I$78="P"))+1,IF(N66&lt;&gt;"",SUMPRODUCT((N$3:N$78&lt;&gt;"")*(G$3:G$78=G66)*(J$3:J$78&gt;J66)*(I$3:I$78="P"))+1,IF(M66="P",SUMPRODUCT((O$3:O$78&lt;&gt;"")*(P$3:P$78="")*(G$3:G$78=G66)*(I$3:I$78="P"))+SUMPRODUCT((P$3:P$78&lt;&gt;"")*(G$3:G$78=G66)*(I$3:I$78="P"))+SUMPRODUCT((N$3:N$78&lt;&gt;"")*(G$3:G$78=G66)*(I$3:I$78="P"))+SUMPRODUCT((P$3:P$78="")*(O$3:O$78="")*(N$3:N$78="")*(M$3:M$78="P")*(G$3:G$78=G66)*(J$3:J$78&gt;J66)*(I$3:I$78="P"))+IF(H66="L5",SUMPRODUCT((P$3:P$78="")*(O$3:O$78="")*(N$3:N$78="")*(M$3:M$78="P")*(G$3:G$78=G66)*(J$3:J$78&lt;J66)*(H$3:H$78&lt;&gt;H66)*(I$3:I$78="P")),-1*SUMPRODUCT((P$3:P$78="")*(O$3:O$78="")*(N$3:N$78="")*(M$3:M$78="P")*(G$3:G$78=G66)*(J$3:J$78&gt;J66)*(H$3:H$78="L5")*(I$3:I$78="P")))+1,"")))))</f>
        <v>2</v>
      </c>
      <c r="B66" s="1" cm="1">
        <f t="array" ref="B66">IF(P66&lt;&gt;"",SUMPRODUCT((P$3:P$78&lt;&gt;"")*(G$3:G$78=G66)*(J$3:J$78&gt;J66))+1,IF(O66&lt;&gt;"",SUMPRODUCT((O$3:O$78&lt;&gt;"")*(P$3:P$78="")*(G$3:G$78=G66)*(J$3:J$78&gt;J66))+SUMPRODUCT((P$3:P$78&lt;&gt;"")*(G$3:G$78=G66))+1,IF(N66&lt;&gt;"",SUMPRODUCT((N$3:N$78&lt;&gt;"")*(G$3:G$78=G66)*(J$3:J$78&gt;J66))+1,IF(M66="P",SUMPRODUCT((O$3:O$78&lt;&gt;"")*(P$3:P$78="")*(G$3:G$78=G66))+SUMPRODUCT((P$3:P$78&lt;&gt;"")*(G$3:G$78=G66))+SUMPRODUCT((N$3:N$78&lt;&gt;"")*(G$3:G$78=G66))+SUMPRODUCT((P$3:P$78="")*(O$3:O$78="")*(N$3:N$78="")*(M$3:M$78="P")*(G$3:G$78=G66)*(J$3:J$78&gt;J66))+IF(H66="L5",SUMPRODUCT((P$3:P$78="")*(O$3:O$78="")*(N$3:N$78="")*(M$3:M$78="P")*(G$3:G$78=G66)*(J$3:J$78&lt;J66)*(H$3:H$78&lt;&gt;H66)),-1*SUMPRODUCT((P$3:P$78="")*(O$3:O$78="")*(N$3:N$78="")*(M$3:M$78="P")*(G$3:G$78=G66)*(J$3:J$78&gt;J66)*(H$3:H$78="L5")))+1,""))))</f>
        <v>3</v>
      </c>
      <c r="C66" s="36" t="s">
        <v>118</v>
      </c>
      <c r="D66" s="36" t="str">
        <f>IF(E66="","",VLOOKUP(E66,'Coaching Points'!A:B,2,0))</f>
        <v>AB</v>
      </c>
      <c r="E66" s="36" t="s">
        <v>91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116</v>
      </c>
      <c r="I66" s="45" t="s">
        <v>604</v>
      </c>
      <c r="J66" s="4">
        <f>R66+IF(OR(H66="Junior",H66="Senior"),0.0002,IF(OR(H66="L7",H66="L6"),0.0001,0))+MAX(X66,Z66)*0.0000001</f>
        <v>45.100104510000001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49">
        <f>IF(A66&lt;5,IF(_xlfn.MAXIFS(A:A,G:G,G66)&gt;3,5-A66,_xlfn.MAXIFS(A:A,G:G,G66)+1-A66),"")</f>
        <v>1</v>
      </c>
      <c r="R66" s="4">
        <f>IF(G66="Not Age Eligible",0,MAX(IF(OR(AND(G66="17-21",U66&gt;='Qualifying Scores'!F$13),AND(G66="15-16",U66&gt;='Qualifying Scores'!F$12),AND(G66="13-14",U66&gt;='Qualifying Scores'!F$11),AND(G66="11-12",U66&gt;='Qualifying Scores'!F$10)),T66,0),IF(OR(AND(G66="17-21",W66&gt;='Qualifying Scores'!F$13),AND(G66="15-16",W66&gt;='Qualifying Scores'!F$12),AND(G66="13-14",W66&gt;='Qualifying Scores'!F$11),AND(G66="11-12",W66&gt;='Qualifying Scores'!F$10)),V66,0),IF(OR(AND(G66="17-21",Y66&gt;='Qualifying Scores'!F$13),AND(G66="15-16",Y66&gt;='Qualifying Scores'!F$12),AND(G66="13-14",Y66&gt;='Qualifying Scores'!F$11),AND(G66="11-12",Y66&gt;='Qualifying Scores'!F$10)),X66,0),IF(OR(AND(G66="17-21",AA66&gt;='Qualifying Scores'!F$13),AND(G66="15-16",AA66&gt;='Qualifying Scores'!F$12),AND(G66="13-14",AA66&gt;='Qualifying Scores'!F$11),AND(G66="11-12",AA66&gt;='Qualifying Scores'!F$10)),Z66,0)))</f>
        <v>45.1</v>
      </c>
      <c r="S66" s="4">
        <f>MAX(T66,V66,X66,Z66)</f>
        <v>45.1</v>
      </c>
      <c r="T66" s="33">
        <v>42.900000000000006</v>
      </c>
      <c r="U66" s="40">
        <v>7.1</v>
      </c>
      <c r="V66" s="34">
        <v>43.4</v>
      </c>
      <c r="W66" s="40">
        <v>6.4</v>
      </c>
      <c r="X66" s="33">
        <v>45.1</v>
      </c>
      <c r="Y66" s="40">
        <v>7.9</v>
      </c>
      <c r="Z66" s="34">
        <v>43.7</v>
      </c>
      <c r="AA66" s="37">
        <v>7.9</v>
      </c>
    </row>
    <row r="67" spans="1:27" x14ac:dyDescent="0.2">
      <c r="A67" s="1" t="str" cm="1">
        <f t="array" ref="A67">IF(I67="","",IF(P67&lt;&gt;"",SUMPRODUCT((P$3:P$78&lt;&gt;"")*(G$3:G$78=G67)*(J$3:J$78&gt;J67)*(I$3:I$78="P"))+1,IF(O67&lt;&gt;"",SUMPRODUCT((O$3:O$78&lt;&gt;"")*(P$3:P$78="")*(G$3:G$78=G67)*(J$3:J$78&gt;J67)*(I$3:I$78="P"))+SUMPRODUCT((P$3:P$78&lt;&gt;"")*(G$3:G$78=G67)*(I$3:I$78="P"))+1,IF(N67&lt;&gt;"",SUMPRODUCT((N$3:N$78&lt;&gt;"")*(G$3:G$78=G67)*(J$3:J$78&gt;J67)*(I$3:I$78="P"))+1,IF(M67="P",SUMPRODUCT((O$3:O$78&lt;&gt;"")*(P$3:P$78="")*(G$3:G$78=G67)*(I$3:I$78="P"))+SUMPRODUCT((P$3:P$78&lt;&gt;"")*(G$3:G$78=G67)*(I$3:I$78="P"))+SUMPRODUCT((N$3:N$78&lt;&gt;"")*(G$3:G$78=G67)*(I$3:I$78="P"))+SUMPRODUCT((P$3:P$78="")*(O$3:O$78="")*(N$3:N$78="")*(M$3:M$78="P")*(G$3:G$78=G67)*(J$3:J$78&gt;J67)*(I$3:I$78="P"))+IF(H67="L5",SUMPRODUCT((P$3:P$78="")*(O$3:O$78="")*(N$3:N$78="")*(M$3:M$78="P")*(G$3:G$78=G67)*(J$3:J$78&lt;J67)*(H$3:H$78&lt;&gt;H67)*(I$3:I$78="P")),-1*SUMPRODUCT((P$3:P$78="")*(O$3:O$78="")*(N$3:N$78="")*(M$3:M$78="P")*(G$3:G$78=G67)*(J$3:J$78&gt;J67)*(H$3:H$78="L5")*(I$3:I$78="P")))+1,"")))))</f>
        <v/>
      </c>
      <c r="B67" s="1" cm="1">
        <f t="array" ref="B67">IF(P67&lt;&gt;"",SUMPRODUCT((P$3:P$78&lt;&gt;"")*(G$3:G$78=G67)*(J$3:J$78&gt;J67))+1,IF(O67&lt;&gt;"",SUMPRODUCT((O$3:O$78&lt;&gt;"")*(P$3:P$78="")*(G$3:G$78=G67)*(J$3:J$78&gt;J67))+SUMPRODUCT((P$3:P$78&lt;&gt;"")*(G$3:G$78=G67))+1,IF(N67&lt;&gt;"",SUMPRODUCT((N$3:N$78&lt;&gt;"")*(G$3:G$78=G67)*(J$3:J$78&gt;J67))+1,IF(M67="P",SUMPRODUCT((O$3:O$78&lt;&gt;"")*(P$3:P$78="")*(G$3:G$78=G67))+SUMPRODUCT((P$3:P$78&lt;&gt;"")*(G$3:G$78=G67))+SUMPRODUCT((N$3:N$78&lt;&gt;"")*(G$3:G$78=G67))+SUMPRODUCT((P$3:P$78="")*(O$3:O$78="")*(N$3:N$78="")*(M$3:M$78="P")*(G$3:G$78=G67)*(J$3:J$78&gt;J67))+IF(H67="L5",SUMPRODUCT((P$3:P$78="")*(O$3:O$78="")*(N$3:N$78="")*(M$3:M$78="P")*(G$3:G$78=G67)*(J$3:J$78&lt;J67)*(H$3:H$78&lt;&gt;H67)),-1*SUMPRODUCT((P$3:P$78="")*(O$3:O$78="")*(N$3:N$78="")*(M$3:M$78="P")*(G$3:G$78=G67)*(J$3:J$78&gt;J67)*(H$3:H$78="L5")))+1,""))))</f>
        <v>2</v>
      </c>
      <c r="C67" s="36" t="s">
        <v>139</v>
      </c>
      <c r="D67" s="36" t="str">
        <f>IF(E67="","",VLOOKUP(E67,'Coaching Points'!A:B,2,0))</f>
        <v>AB</v>
      </c>
      <c r="E67" s="36" t="s">
        <v>137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116</v>
      </c>
      <c r="I67" s="45"/>
      <c r="J67" s="4">
        <f>R67+IF(OR(H67="Junior",H67="Senior"),0.0002,IF(OR(H67="L7",H67="L6"),0.0001,0))+MAX(X67,Z67)*0.0000001</f>
        <v>45.600104560000005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Scores'!F$13),AND(G67="15-16",U67&gt;='Qualifying Scores'!F$12),AND(G67="13-14",U67&gt;='Qualifying Scores'!F$11),AND(G67="11-12",U67&gt;='Qualifying Scores'!F$10)),T67,0),IF(OR(AND(G67="17-21",W67&gt;='Qualifying Scores'!F$13),AND(G67="15-16",W67&gt;='Qualifying Scores'!F$12),AND(G67="13-14",W67&gt;='Qualifying Scores'!F$11),AND(G67="11-12",W67&gt;='Qualifying Scores'!F$10)),V67,0),IF(OR(AND(G67="17-21",Y67&gt;='Qualifying Scores'!F$13),AND(G67="15-16",Y67&gt;='Qualifying Scores'!F$12),AND(G67="13-14",Y67&gt;='Qualifying Scores'!F$11),AND(G67="11-12",Y67&gt;='Qualifying Scores'!F$10)),X67,0),IF(OR(AND(G67="17-21",AA67&gt;='Qualifying Scores'!F$13),AND(G67="15-16",AA67&gt;='Qualifying Scores'!F$12),AND(G67="13-14",AA67&gt;='Qualifying Scores'!F$11),AND(G67="11-12",AA67&gt;='Qualifying Scores'!F$10)),Z67,0)))</f>
        <v>45.6</v>
      </c>
      <c r="S67" s="4">
        <f>MAX(T67,V67,X67,Z67)</f>
        <v>45.6</v>
      </c>
      <c r="T67" s="33">
        <v>43.1</v>
      </c>
      <c r="U67" s="40">
        <v>7.2999999999999989</v>
      </c>
      <c r="V67" s="34">
        <v>40.4</v>
      </c>
      <c r="W67" s="40">
        <v>7</v>
      </c>
      <c r="X67" s="33">
        <v>43.6</v>
      </c>
      <c r="Y67" s="40">
        <v>8.8000000000000007</v>
      </c>
      <c r="Z67" s="34">
        <v>45.6</v>
      </c>
      <c r="AA67" s="37">
        <v>8.3000000000000007</v>
      </c>
    </row>
    <row r="68" spans="1:27" x14ac:dyDescent="0.2">
      <c r="A68" s="1" t="str" cm="1">
        <f t="array" ref="A68">IF(I68="","",IF(P68&lt;&gt;"",SUMPRODUCT((P$3:P$78&lt;&gt;"")*(G$3:G$78=G68)*(J$3:J$78&gt;J68)*(I$3:I$78="P"))+1,IF(O68&lt;&gt;"",SUMPRODUCT((O$3:O$78&lt;&gt;"")*(P$3:P$78="")*(G$3:G$78=G68)*(J$3:J$78&gt;J68)*(I$3:I$78="P"))+SUMPRODUCT((P$3:P$78&lt;&gt;"")*(G$3:G$78=G68)*(I$3:I$78="P"))+1,IF(N68&lt;&gt;"",SUMPRODUCT((N$3:N$78&lt;&gt;"")*(G$3:G$78=G68)*(J$3:J$78&gt;J68)*(I$3:I$78="P"))+1,IF(M68="P",SUMPRODUCT((O$3:O$78&lt;&gt;"")*(P$3:P$78="")*(G$3:G$78=G68)*(I$3:I$78="P"))+SUMPRODUCT((P$3:P$78&lt;&gt;"")*(G$3:G$78=G68)*(I$3:I$78="P"))+SUMPRODUCT((N$3:N$78&lt;&gt;"")*(G$3:G$78=G68)*(I$3:I$78="P"))+SUMPRODUCT((P$3:P$78="")*(O$3:O$78="")*(N$3:N$78="")*(M$3:M$78="P")*(G$3:G$78=G68)*(J$3:J$78&gt;J68)*(I$3:I$78="P"))+IF(H68="L5",SUMPRODUCT((P$3:P$78="")*(O$3:O$78="")*(N$3:N$78="")*(M$3:M$78="P")*(G$3:G$78=G68)*(J$3:J$78&lt;J68)*(H$3:H$78&lt;&gt;H68)*(I$3:I$78="P")),-1*SUMPRODUCT((P$3:P$78="")*(O$3:O$78="")*(N$3:N$78="")*(M$3:M$78="P")*(G$3:G$78=G68)*(J$3:J$78&gt;J68)*(H$3:H$78="L5")*(I$3:I$78="P")))+1,"")))))</f>
        <v/>
      </c>
      <c r="B68" s="1" t="str" cm="1">
        <f t="array" ref="B68">IF(P68&lt;&gt;"",SUMPRODUCT((P$3:P$78&lt;&gt;"")*(G$3:G$78=G68)*(J$3:J$78&gt;J68))+1,IF(O68&lt;&gt;"",SUMPRODUCT((O$3:O$78&lt;&gt;"")*(P$3:P$78="")*(G$3:G$78=G68)*(J$3:J$78&gt;J68))+SUMPRODUCT((P$3:P$78&lt;&gt;"")*(G$3:G$78=G68))+1,IF(N68&lt;&gt;"",SUMPRODUCT((N$3:N$78&lt;&gt;"")*(G$3:G$78=G68)*(J$3:J$78&gt;J68))+1,IF(M68="P",SUMPRODUCT((O$3:O$78&lt;&gt;"")*(P$3:P$78="")*(G$3:G$78=G68))+SUMPRODUCT((P$3:P$78&lt;&gt;"")*(G$3:G$78=G68))+SUMPRODUCT((N$3:N$78&lt;&gt;"")*(G$3:G$78=G68))+SUMPRODUCT((P$3:P$78="")*(O$3:O$78="")*(N$3:N$78="")*(M$3:M$78="P")*(G$3:G$78=G68)*(J$3:J$78&gt;J68))+IF(H68="L5",SUMPRODUCT((P$3:P$78="")*(O$3:O$78="")*(N$3:N$78="")*(M$3:M$78="P")*(G$3:G$78=G68)*(J$3:J$78&lt;J68)*(H$3:H$78&lt;&gt;H68)),-1*SUMPRODUCT((P$3:P$78="")*(O$3:O$78="")*(N$3:N$78="")*(M$3:M$78="P")*(G$3:G$78=G68)*(J$3:J$78&gt;J68)*(H$3:H$78="L5")))+1,""))))</f>
        <v/>
      </c>
      <c r="C68" s="36" t="s">
        <v>119</v>
      </c>
      <c r="D68" s="36" t="str">
        <f>IF(E68="","",VLOOKUP(E68,'Coaching Points'!A:B,2,0))</f>
        <v>SK</v>
      </c>
      <c r="E68" s="36" t="s">
        <v>70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115</v>
      </c>
      <c r="I68" s="45"/>
      <c r="J68" s="4">
        <f>R68+IF(OR(H68="Junior",H68="Senior"),0.0002,IF(OR(H68="L7",H68="L6"),0.0001,0))+MAX(X68,Z68)*0.0000001</f>
        <v>44.000004400000002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Scores'!F$13),AND(G68="15-16",U68&gt;='Qualifying Scores'!F$12),AND(G68="13-14",U68&gt;='Qualifying Scores'!F$11),AND(G68="11-12",U68&gt;='Qualifying Scores'!F$10)),T68,0),IF(OR(AND(G68="17-21",W68&gt;='Qualifying Scores'!F$13),AND(G68="15-16",W68&gt;='Qualifying Scores'!F$12),AND(G68="13-14",W68&gt;='Qualifying Scores'!F$11),AND(G68="11-12",W68&gt;='Qualifying Scores'!F$10)),V68,0),IF(OR(AND(G68="17-21",Y68&gt;='Qualifying Scores'!F$13),AND(G68="15-16",Y68&gt;='Qualifying Scores'!F$12),AND(G68="13-14",Y68&gt;='Qualifying Scores'!F$11),AND(G68="11-12",Y68&gt;='Qualifying Scores'!F$10)),X68,0),IF(OR(AND(G68="17-21",AA68&gt;='Qualifying Scores'!F$13),AND(G68="15-16",AA68&gt;='Qualifying Scores'!F$12),AND(G68="13-14",AA68&gt;='Qualifying Scores'!F$11),AND(G68="11-12",AA68&gt;='Qualifying Scores'!F$10)),Z68,0)))</f>
        <v>44</v>
      </c>
      <c r="S68" s="4">
        <f>MAX(T68,V68,X68,Z68)</f>
        <v>44</v>
      </c>
      <c r="T68" s="33">
        <v>44</v>
      </c>
      <c r="U68" s="40">
        <v>7.1</v>
      </c>
      <c r="V68" s="34">
        <v>42.9</v>
      </c>
      <c r="W68" s="40">
        <v>6.2</v>
      </c>
      <c r="X68" s="33">
        <v>43.4</v>
      </c>
      <c r="Y68" s="40">
        <v>7.3</v>
      </c>
      <c r="Z68" s="34">
        <v>44</v>
      </c>
      <c r="AA68" s="37">
        <v>7.1</v>
      </c>
    </row>
    <row r="69" spans="1:27" x14ac:dyDescent="0.2">
      <c r="A69" s="1" t="str" cm="1">
        <f t="array" ref="A69">IF(I69="","",IF(P69&lt;&gt;"",SUMPRODUCT((P$3:P$78&lt;&gt;"")*(G$3:G$78=G69)*(J$3:J$78&gt;J69)*(I$3:I$78="P"))+1,IF(O69&lt;&gt;"",SUMPRODUCT((O$3:O$78&lt;&gt;"")*(P$3:P$78="")*(G$3:G$78=G69)*(J$3:J$78&gt;J69)*(I$3:I$78="P"))+SUMPRODUCT((P$3:P$78&lt;&gt;"")*(G$3:G$78=G69)*(I$3:I$78="P"))+1,IF(N69&lt;&gt;"",SUMPRODUCT((N$3:N$78&lt;&gt;"")*(G$3:G$78=G69)*(J$3:J$78&gt;J69)*(I$3:I$78="P"))+1,IF(M69="P",SUMPRODUCT((O$3:O$78&lt;&gt;"")*(P$3:P$78="")*(G$3:G$78=G69)*(I$3:I$78="P"))+SUMPRODUCT((P$3:P$78&lt;&gt;"")*(G$3:G$78=G69)*(I$3:I$78="P"))+SUMPRODUCT((N$3:N$78&lt;&gt;"")*(G$3:G$78=G69)*(I$3:I$78="P"))+SUMPRODUCT((P$3:P$78="")*(O$3:O$78="")*(N$3:N$78="")*(M$3:M$78="P")*(G$3:G$78=G69)*(J$3:J$78&gt;J69)*(I$3:I$78="P"))+IF(H69="L5",SUMPRODUCT((P$3:P$78="")*(O$3:O$78="")*(N$3:N$78="")*(M$3:M$78="P")*(G$3:G$78=G69)*(J$3:J$78&lt;J69)*(H$3:H$78&lt;&gt;H69)*(I$3:I$78="P")),-1*SUMPRODUCT((P$3:P$78="")*(O$3:O$78="")*(N$3:N$78="")*(M$3:M$78="P")*(G$3:G$78=G69)*(J$3:J$78&gt;J69)*(H$3:H$78="L5")*(I$3:I$78="P")))+1,"")))))</f>
        <v/>
      </c>
      <c r="B69" s="1" t="str" cm="1">
        <f t="array" ref="B69">IF(P69&lt;&gt;"",SUMPRODUCT((P$3:P$78&lt;&gt;"")*(G$3:G$78=G69)*(J$3:J$78&gt;J69))+1,IF(O69&lt;&gt;"",SUMPRODUCT((O$3:O$78&lt;&gt;"")*(P$3:P$78="")*(G$3:G$78=G69)*(J$3:J$78&gt;J69))+SUMPRODUCT((P$3:P$78&lt;&gt;"")*(G$3:G$78=G69))+1,IF(N69&lt;&gt;"",SUMPRODUCT((N$3:N$78&lt;&gt;"")*(G$3:G$78=G69)*(J$3:J$78&gt;J69))+1,IF(M69="P",SUMPRODUCT((O$3:O$78&lt;&gt;"")*(P$3:P$78="")*(G$3:G$78=G69))+SUMPRODUCT((P$3:P$78&lt;&gt;"")*(G$3:G$78=G69))+SUMPRODUCT((N$3:N$78&lt;&gt;"")*(G$3:G$78=G69))+SUMPRODUCT((P$3:P$78="")*(O$3:O$78="")*(N$3:N$78="")*(M$3:M$78="P")*(G$3:G$78=G69)*(J$3:J$78&gt;J69))+IF(H69="L5",SUMPRODUCT((P$3:P$78="")*(O$3:O$78="")*(N$3:N$78="")*(M$3:M$78="P")*(G$3:G$78=G69)*(J$3:J$78&lt;J69)*(H$3:H$78&lt;&gt;H69)),-1*SUMPRODUCT((P$3:P$78="")*(O$3:O$78="")*(N$3:N$78="")*(M$3:M$78="P")*(G$3:G$78=G69)*(J$3:J$78&gt;J69)*(H$3:H$78="L5")))+1,""))))</f>
        <v/>
      </c>
      <c r="C69" s="36" t="s">
        <v>375</v>
      </c>
      <c r="D69" s="36" t="str">
        <f>IF(E69="","",VLOOKUP(E69,'Coaching Points'!A:B,2,0))</f>
        <v>NS</v>
      </c>
      <c r="E69" s="36" t="s">
        <v>257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115</v>
      </c>
      <c r="I69" s="45"/>
      <c r="J69" s="4">
        <f>R69+IF(OR(H69="Junior",H69="Senior"),0.0002,IF(OR(H69="L7",H69="L6"),0.0001,0))+MAX(X69,Z69)*0.0000001</f>
        <v>43.400004339999995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>P</v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Scores'!F$13),AND(G69="15-16",U69&gt;='Qualifying Scores'!F$12),AND(G69="13-14",U69&gt;='Qualifying Scores'!F$11),AND(G69="11-12",U69&gt;='Qualifying Scores'!F$10)),T69,0),IF(OR(AND(G69="17-21",W69&gt;='Qualifying Scores'!F$13),AND(G69="15-16",W69&gt;='Qualifying Scores'!F$12),AND(G69="13-14",W69&gt;='Qualifying Scores'!F$11),AND(G69="11-12",W69&gt;='Qualifying Scores'!F$10)),V69,0),IF(OR(AND(G69="17-21",Y69&gt;='Qualifying Scores'!F$13),AND(G69="15-16",Y69&gt;='Qualifying Scores'!F$12),AND(G69="13-14",Y69&gt;='Qualifying Scores'!F$11),AND(G69="11-12",Y69&gt;='Qualifying Scores'!F$10)),X69,0),IF(OR(AND(G69="17-21",AA69&gt;='Qualifying Scores'!F$13),AND(G69="15-16",AA69&gt;='Qualifying Scores'!F$12),AND(G69="13-14",AA69&gt;='Qualifying Scores'!F$11),AND(G69="11-12",AA69&gt;='Qualifying Scores'!F$10)),Z69,0)))</f>
        <v>43.4</v>
      </c>
      <c r="S69" s="4">
        <f>MAX(T69,V69,X69,Z69)</f>
        <v>43.4</v>
      </c>
      <c r="T69" s="33"/>
      <c r="U69" s="40"/>
      <c r="V69" s="34"/>
      <c r="W69" s="40"/>
      <c r="X69" s="33">
        <v>41.4</v>
      </c>
      <c r="Y69" s="40">
        <v>5.6</v>
      </c>
      <c r="Z69" s="34">
        <v>43.4</v>
      </c>
      <c r="AA69" s="37">
        <v>7.8000000000000007</v>
      </c>
    </row>
    <row r="70" spans="1:27" x14ac:dyDescent="0.2">
      <c r="A70" s="1" t="str" cm="1">
        <f t="array" ref="A70">IF(I70="","",IF(P70&lt;&gt;"",SUMPRODUCT((P$3:P$78&lt;&gt;"")*(G$3:G$78=G70)*(J$3:J$78&gt;J70)*(I$3:I$78="P"))+1,IF(O70&lt;&gt;"",SUMPRODUCT((O$3:O$78&lt;&gt;"")*(P$3:P$78="")*(G$3:G$78=G70)*(J$3:J$78&gt;J70)*(I$3:I$78="P"))+SUMPRODUCT((P$3:P$78&lt;&gt;"")*(G$3:G$78=G70)*(I$3:I$78="P"))+1,IF(N70&lt;&gt;"",SUMPRODUCT((N$3:N$78&lt;&gt;"")*(G$3:G$78=G70)*(J$3:J$78&gt;J70)*(I$3:I$78="P"))+1,IF(M70="P",SUMPRODUCT((O$3:O$78&lt;&gt;"")*(P$3:P$78="")*(G$3:G$78=G70)*(I$3:I$78="P"))+SUMPRODUCT((P$3:P$78&lt;&gt;"")*(G$3:G$78=G70)*(I$3:I$78="P"))+SUMPRODUCT((N$3:N$78&lt;&gt;"")*(G$3:G$78=G70)*(I$3:I$78="P"))+SUMPRODUCT((P$3:P$78="")*(O$3:O$78="")*(N$3:N$78="")*(M$3:M$78="P")*(G$3:G$78=G70)*(J$3:J$78&gt;J70)*(I$3:I$78="P"))+IF(H70="L5",SUMPRODUCT((P$3:P$78="")*(O$3:O$78="")*(N$3:N$78="")*(M$3:M$78="P")*(G$3:G$78=G70)*(J$3:J$78&lt;J70)*(H$3:H$78&lt;&gt;H70)*(I$3:I$78="P")),-1*SUMPRODUCT((P$3:P$78="")*(O$3:O$78="")*(N$3:N$78="")*(M$3:M$78="P")*(G$3:G$78=G70)*(J$3:J$78&gt;J70)*(H$3:H$78="L5")*(I$3:I$78="P")))+1,"")))))</f>
        <v/>
      </c>
      <c r="B70" s="1" t="str" cm="1">
        <f t="array" ref="B70">IF(P70&lt;&gt;"",SUMPRODUCT((P$3:P$78&lt;&gt;"")*(G$3:G$78=G70)*(J$3:J$78&gt;J70))+1,IF(O70&lt;&gt;"",SUMPRODUCT((O$3:O$78&lt;&gt;"")*(P$3:P$78="")*(G$3:G$78=G70)*(J$3:J$78&gt;J70))+SUMPRODUCT((P$3:P$78&lt;&gt;"")*(G$3:G$78=G70))+1,IF(N70&lt;&gt;"",SUMPRODUCT((N$3:N$78&lt;&gt;"")*(G$3:G$78=G70)*(J$3:J$78&gt;J70))+1,IF(M70="P",SUMPRODUCT((O$3:O$78&lt;&gt;"")*(P$3:P$78="")*(G$3:G$78=G70))+SUMPRODUCT((P$3:P$78&lt;&gt;"")*(G$3:G$78=G70))+SUMPRODUCT((N$3:N$78&lt;&gt;"")*(G$3:G$78=G70))+SUMPRODUCT((P$3:P$78="")*(O$3:O$78="")*(N$3:N$78="")*(M$3:M$78="P")*(G$3:G$78=G70)*(J$3:J$78&gt;J70))+IF(H70="L5",SUMPRODUCT((P$3:P$78="")*(O$3:O$78="")*(N$3:N$78="")*(M$3:M$78="P")*(G$3:G$78=G70)*(J$3:J$78&lt;J70)*(H$3:H$78&lt;&gt;H70)),-1*SUMPRODUCT((P$3:P$78="")*(O$3:O$78="")*(N$3:N$78="")*(M$3:M$78="P")*(G$3:G$78=G70)*(J$3:J$78&gt;J70)*(H$3:H$78="L5")))+1,""))))</f>
        <v/>
      </c>
      <c r="C70" s="36" t="s">
        <v>122</v>
      </c>
      <c r="D70" s="36" t="str">
        <f>IF(E70="","",VLOOKUP(E70,'Coaching Points'!A:B,2,0))</f>
        <v>ON</v>
      </c>
      <c r="E70" s="36" t="s">
        <v>48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115</v>
      </c>
      <c r="I70" s="45" t="s">
        <v>604</v>
      </c>
      <c r="J70" s="4">
        <f>R70+IF(OR(H70="Junior",H70="Senior"),0.0002,IF(OR(H70="L7",H70="L6"),0.0001,0))+MAX(X70,Z70)*0.0000001</f>
        <v>4.4000000000000002E-6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Scores'!F$13),AND(G70="15-16",U70&gt;='Qualifying Scores'!F$12),AND(G70="13-14",U70&gt;='Qualifying Scores'!F$11),AND(G70="11-12",U70&gt;='Qualifying Scores'!F$10)),T70,0),IF(OR(AND(G70="17-21",W70&gt;='Qualifying Scores'!F$13),AND(G70="15-16",W70&gt;='Qualifying Scores'!F$12),AND(G70="13-14",W70&gt;='Qualifying Scores'!F$11),AND(G70="11-12",W70&gt;='Qualifying Scores'!F$10)),V70,0),IF(OR(AND(G70="17-21",Y70&gt;='Qualifying Scores'!F$13),AND(G70="15-16",Y70&gt;='Qualifying Scores'!F$12),AND(G70="13-14",Y70&gt;='Qualifying Scores'!F$11),AND(G70="11-12",Y70&gt;='Qualifying Scores'!F$10)),X70,0),IF(OR(AND(G70="17-21",AA70&gt;='Qualifying Scores'!F$13),AND(G70="15-16",AA70&gt;='Qualifying Scores'!F$12),AND(G70="13-14",AA70&gt;='Qualifying Scores'!F$11),AND(G70="11-12",AA70&gt;='Qualifying Scores'!F$10)),Z70,0)))</f>
        <v>0</v>
      </c>
      <c r="S70" s="4">
        <f>MAX(T70,V70,X70,Z70)</f>
        <v>44</v>
      </c>
      <c r="T70" s="33">
        <v>43.1</v>
      </c>
      <c r="U70" s="40">
        <v>5.8</v>
      </c>
      <c r="V70" s="34">
        <v>0</v>
      </c>
      <c r="W70" s="40">
        <v>0</v>
      </c>
      <c r="X70" s="33">
        <v>44</v>
      </c>
      <c r="Y70" s="40">
        <v>6.3000000000000007</v>
      </c>
      <c r="Z70" s="34">
        <v>43.3</v>
      </c>
      <c r="AA70" s="37">
        <v>6.4</v>
      </c>
    </row>
    <row r="71" spans="1:27" x14ac:dyDescent="0.2">
      <c r="A71" s="1" t="str" cm="1">
        <f t="array" ref="A71">IF(I71="","",IF(P71&lt;&gt;"",SUMPRODUCT((P$3:P$78&lt;&gt;"")*(G$3:G$78=G71)*(J$3:J$78&gt;J71)*(I$3:I$78="P"))+1,IF(O71&lt;&gt;"",SUMPRODUCT((O$3:O$78&lt;&gt;"")*(P$3:P$78="")*(G$3:G$78=G71)*(J$3:J$78&gt;J71)*(I$3:I$78="P"))+SUMPRODUCT((P$3:P$78&lt;&gt;"")*(G$3:G$78=G71)*(I$3:I$78="P"))+1,IF(N71&lt;&gt;"",SUMPRODUCT((N$3:N$78&lt;&gt;"")*(G$3:G$78=G71)*(J$3:J$78&gt;J71)*(I$3:I$78="P"))+1,IF(M71="P",SUMPRODUCT((O$3:O$78&lt;&gt;"")*(P$3:P$78="")*(G$3:G$78=G71)*(I$3:I$78="P"))+SUMPRODUCT((P$3:P$78&lt;&gt;"")*(G$3:G$78=G71)*(I$3:I$78="P"))+SUMPRODUCT((N$3:N$78&lt;&gt;"")*(G$3:G$78=G71)*(I$3:I$78="P"))+SUMPRODUCT((P$3:P$78="")*(O$3:O$78="")*(N$3:N$78="")*(M$3:M$78="P")*(G$3:G$78=G71)*(J$3:J$78&gt;J71)*(I$3:I$78="P"))+IF(H71="L5",SUMPRODUCT((P$3:P$78="")*(O$3:O$78="")*(N$3:N$78="")*(M$3:M$78="P")*(G$3:G$78=G71)*(J$3:J$78&lt;J71)*(H$3:H$78&lt;&gt;H71)*(I$3:I$78="P")),-1*SUMPRODUCT((P$3:P$78="")*(O$3:O$78="")*(N$3:N$78="")*(M$3:M$78="P")*(G$3:G$78=G71)*(J$3:J$78&gt;J71)*(H$3:H$78="L5")*(I$3:I$78="P")))+1,"")))))</f>
        <v/>
      </c>
      <c r="B71" s="1" t="str" cm="1">
        <f t="array" ref="B71">IF(P71&lt;&gt;"",SUMPRODUCT((P$3:P$78&lt;&gt;"")*(G$3:G$78=G71)*(J$3:J$78&gt;J71))+1,IF(O71&lt;&gt;"",SUMPRODUCT((O$3:O$78&lt;&gt;"")*(P$3:P$78="")*(G$3:G$78=G71)*(J$3:J$78&gt;J71))+SUMPRODUCT((P$3:P$78&lt;&gt;"")*(G$3:G$78=G71))+1,IF(N71&lt;&gt;"",SUMPRODUCT((N$3:N$78&lt;&gt;"")*(G$3:G$78=G71)*(J$3:J$78&gt;J71))+1,IF(M71="P",SUMPRODUCT((O$3:O$78&lt;&gt;"")*(P$3:P$78="")*(G$3:G$78=G71))+SUMPRODUCT((P$3:P$78&lt;&gt;"")*(G$3:G$78=G71))+SUMPRODUCT((N$3:N$78&lt;&gt;"")*(G$3:G$78=G71))+SUMPRODUCT((P$3:P$78="")*(O$3:O$78="")*(N$3:N$78="")*(M$3:M$78="P")*(G$3:G$78=G71)*(J$3:J$78&gt;J71))+IF(H71="L5",SUMPRODUCT((P$3:P$78="")*(O$3:O$78="")*(N$3:N$78="")*(M$3:M$78="P")*(G$3:G$78=G71)*(J$3:J$78&lt;J71)*(H$3:H$78&lt;&gt;H71)),-1*SUMPRODUCT((P$3:P$78="")*(O$3:O$78="")*(N$3:N$78="")*(M$3:M$78="P")*(G$3:G$78=G71)*(J$3:J$78&gt;J71)*(H$3:H$78="L5")))+1,""))))</f>
        <v/>
      </c>
      <c r="C71" s="36" t="s">
        <v>510</v>
      </c>
      <c r="D71" s="36" t="str">
        <f>IF(E71="","",VLOOKUP(E71,'Coaching Points'!A:B,2,0))</f>
        <v>BC</v>
      </c>
      <c r="E71" s="36" t="s">
        <v>42</v>
      </c>
      <c r="F71" s="35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4.3200000000000001E-6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Scores'!F$13),AND(G71="15-16",U71&gt;='Qualifying Scores'!F$12),AND(G71="13-14",U71&gt;='Qualifying Scores'!F$11),AND(G71="11-12",U71&gt;='Qualifying Scores'!F$10)),T71,0),IF(OR(AND(G71="17-21",W71&gt;='Qualifying Scores'!F$13),AND(G71="15-16",W71&gt;='Qualifying Scores'!F$12),AND(G71="13-14",W71&gt;='Qualifying Scores'!F$11),AND(G71="11-12",W71&gt;='Qualifying Scores'!F$10)),V71,0),IF(OR(AND(G71="17-21",Y71&gt;='Qualifying Scores'!F$13),AND(G71="15-16",Y71&gt;='Qualifying Scores'!F$12),AND(G71="13-14",Y71&gt;='Qualifying Scores'!F$11),AND(G71="11-12",Y71&gt;='Qualifying Scores'!F$10)),X71,0),IF(OR(AND(G71="17-21",AA71&gt;='Qualifying Scores'!F$13),AND(G71="15-16",AA71&gt;='Qualifying Scores'!F$12),AND(G71="13-14",AA71&gt;='Qualifying Scores'!F$11),AND(G71="11-12",AA71&gt;='Qualifying Scores'!F$10)),Z71,0)))</f>
        <v>0</v>
      </c>
      <c r="S71" s="4">
        <f>MAX(T71,V71,X71,Z71)</f>
        <v>43.2</v>
      </c>
      <c r="T71" s="33"/>
      <c r="U71" s="40"/>
      <c r="V71" s="34"/>
      <c r="W71" s="40"/>
      <c r="X71" s="33">
        <v>43.2</v>
      </c>
      <c r="Y71" s="40">
        <v>6.3000000000000007</v>
      </c>
      <c r="Z71" s="34">
        <v>40.799999999999997</v>
      </c>
      <c r="AA71" s="37">
        <v>5</v>
      </c>
    </row>
    <row r="72" spans="1:27" x14ac:dyDescent="0.2">
      <c r="A72" s="1" t="str" cm="1">
        <f t="array" ref="A72">IF(I72="","",IF(P72&lt;&gt;"",SUMPRODUCT((P$3:P$78&lt;&gt;"")*(G$3:G$78=G72)*(J$3:J$78&gt;J72)*(I$3:I$78="P"))+1,IF(O72&lt;&gt;"",SUMPRODUCT((O$3:O$78&lt;&gt;"")*(P$3:P$78="")*(G$3:G$78=G72)*(J$3:J$78&gt;J72)*(I$3:I$78="P"))+SUMPRODUCT((P$3:P$78&lt;&gt;"")*(G$3:G$78=G72)*(I$3:I$78="P"))+1,IF(N72&lt;&gt;"",SUMPRODUCT((N$3:N$78&lt;&gt;"")*(G$3:G$78=G72)*(J$3:J$78&gt;J72)*(I$3:I$78="P"))+1,IF(M72="P",SUMPRODUCT((O$3:O$78&lt;&gt;"")*(P$3:P$78="")*(G$3:G$78=G72)*(I$3:I$78="P"))+SUMPRODUCT((P$3:P$78&lt;&gt;"")*(G$3:G$78=G72)*(I$3:I$78="P"))+SUMPRODUCT((N$3:N$78&lt;&gt;"")*(G$3:G$78=G72)*(I$3:I$78="P"))+SUMPRODUCT((P$3:P$78="")*(O$3:O$78="")*(N$3:N$78="")*(M$3:M$78="P")*(G$3:G$78=G72)*(J$3:J$78&gt;J72)*(I$3:I$78="P"))+IF(H72="L5",SUMPRODUCT((P$3:P$78="")*(O$3:O$78="")*(N$3:N$78="")*(M$3:M$78="P")*(G$3:G$78=G72)*(J$3:J$78&lt;J72)*(H$3:H$78&lt;&gt;H72)*(I$3:I$78="P")),-1*SUMPRODUCT((P$3:P$78="")*(O$3:O$78="")*(N$3:N$78="")*(M$3:M$78="P")*(G$3:G$78=G72)*(J$3:J$78&gt;J72)*(H$3:H$78="L5")*(I$3:I$78="P")))+1,"")))))</f>
        <v/>
      </c>
      <c r="B72" s="1" t="str" cm="1">
        <f t="array" ref="B72">IF(P72&lt;&gt;"",SUMPRODUCT((P$3:P$78&lt;&gt;"")*(G$3:G$78=G72)*(J$3:J$78&gt;J72))+1,IF(O72&lt;&gt;"",SUMPRODUCT((O$3:O$78&lt;&gt;"")*(P$3:P$78="")*(G$3:G$78=G72)*(J$3:J$78&gt;J72))+SUMPRODUCT((P$3:P$78&lt;&gt;"")*(G$3:G$78=G72))+1,IF(N72&lt;&gt;"",SUMPRODUCT((N$3:N$78&lt;&gt;"")*(G$3:G$78=G72)*(J$3:J$78&gt;J72))+1,IF(M72="P",SUMPRODUCT((O$3:O$78&lt;&gt;"")*(P$3:P$78="")*(G$3:G$78=G72))+SUMPRODUCT((P$3:P$78&lt;&gt;"")*(G$3:G$78=G72))+SUMPRODUCT((N$3:N$78&lt;&gt;"")*(G$3:G$78=G72))+SUMPRODUCT((P$3:P$78="")*(O$3:O$78="")*(N$3:N$78="")*(M$3:M$78="P")*(G$3:G$78=G72)*(J$3:J$78&gt;J72))+IF(H72="L5",SUMPRODUCT((P$3:P$78="")*(O$3:O$78="")*(N$3:N$78="")*(M$3:M$78="P")*(G$3:G$78=G72)*(J$3:J$78&lt;J72)*(H$3:H$78&lt;&gt;H72)),-1*SUMPRODUCT((P$3:P$78="")*(O$3:O$78="")*(N$3:N$78="")*(M$3:M$78="P")*(G$3:G$78=G72)*(J$3:J$78&gt;J72)*(H$3:H$78="L5")))+1,""))))</f>
        <v/>
      </c>
      <c r="C72" s="36" t="s">
        <v>378</v>
      </c>
      <c r="D72" s="36" t="str">
        <f>IF(E72="","",VLOOKUP(E72,'Coaching Points'!A:B,2,0))</f>
        <v>ON</v>
      </c>
      <c r="E72" s="36" t="s">
        <v>48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 t="s">
        <v>604</v>
      </c>
      <c r="J72" s="4">
        <f>R72+IF(OR(H72="Junior",H72="Senior"),0.0002,IF(OR(H72="L7",H72="L6"),0.0001,0))+MAX(X72,Z72)*0.0000001</f>
        <v>4.3200000000000001E-6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Scores'!F$13),AND(G72="15-16",U72&gt;='Qualifying Scores'!F$12),AND(G72="13-14",U72&gt;='Qualifying Scores'!F$11),AND(G72="11-12",U72&gt;='Qualifying Scores'!F$10)),T72,0),IF(OR(AND(G72="17-21",W72&gt;='Qualifying Scores'!F$13),AND(G72="15-16",W72&gt;='Qualifying Scores'!F$12),AND(G72="13-14",W72&gt;='Qualifying Scores'!F$11),AND(G72="11-12",W72&gt;='Qualifying Scores'!F$10)),V72,0),IF(OR(AND(G72="17-21",Y72&gt;='Qualifying Scores'!F$13),AND(G72="15-16",Y72&gt;='Qualifying Scores'!F$12),AND(G72="13-14",Y72&gt;='Qualifying Scores'!F$11),AND(G72="11-12",Y72&gt;='Qualifying Scores'!F$10)),X72,0),IF(OR(AND(G72="17-21",AA72&gt;='Qualifying Scores'!F$13),AND(G72="15-16",AA72&gt;='Qualifying Scores'!F$12),AND(G72="13-14",AA72&gt;='Qualifying Scores'!F$11),AND(G72="11-12",AA72&gt;='Qualifying Scores'!F$10)),Z72,0)))</f>
        <v>0</v>
      </c>
      <c r="S72" s="4">
        <f>MAX(T72,V72,X72,Z72)</f>
        <v>43.2</v>
      </c>
      <c r="T72" s="33">
        <v>39.299999999999997</v>
      </c>
      <c r="U72" s="40">
        <v>4</v>
      </c>
      <c r="V72" s="34">
        <v>42.2</v>
      </c>
      <c r="W72" s="40">
        <v>4.3000000000000007</v>
      </c>
      <c r="X72" s="33">
        <v>42.900000000000006</v>
      </c>
      <c r="Y72" s="40">
        <v>5.8000000000000007</v>
      </c>
      <c r="Z72" s="34">
        <v>43.2</v>
      </c>
      <c r="AA72" s="37">
        <v>5.7</v>
      </c>
    </row>
    <row r="73" spans="1:27" x14ac:dyDescent="0.2">
      <c r="A73" s="1" t="str" cm="1">
        <f t="array" ref="A73">IF(I73="","",IF(P73&lt;&gt;"",SUMPRODUCT((P$3:P$78&lt;&gt;"")*(G$3:G$78=G73)*(J$3:J$78&gt;J73)*(I$3:I$78="P"))+1,IF(O73&lt;&gt;"",SUMPRODUCT((O$3:O$78&lt;&gt;"")*(P$3:P$78="")*(G$3:G$78=G73)*(J$3:J$78&gt;J73)*(I$3:I$78="P"))+SUMPRODUCT((P$3:P$78&lt;&gt;"")*(G$3:G$78=G73)*(I$3:I$78="P"))+1,IF(N73&lt;&gt;"",SUMPRODUCT((N$3:N$78&lt;&gt;"")*(G$3:G$78=G73)*(J$3:J$78&gt;J73)*(I$3:I$78="P"))+1,IF(M73="P",SUMPRODUCT((O$3:O$78&lt;&gt;"")*(P$3:P$78="")*(G$3:G$78=G73)*(I$3:I$78="P"))+SUMPRODUCT((P$3:P$78&lt;&gt;"")*(G$3:G$78=G73)*(I$3:I$78="P"))+SUMPRODUCT((N$3:N$78&lt;&gt;"")*(G$3:G$78=G73)*(I$3:I$78="P"))+SUMPRODUCT((P$3:P$78="")*(O$3:O$78="")*(N$3:N$78="")*(M$3:M$78="P")*(G$3:G$78=G73)*(J$3:J$78&gt;J73)*(I$3:I$78="P"))+IF(H73="L5",SUMPRODUCT((P$3:P$78="")*(O$3:O$78="")*(N$3:N$78="")*(M$3:M$78="P")*(G$3:G$78=G73)*(J$3:J$78&lt;J73)*(H$3:H$78&lt;&gt;H73)*(I$3:I$78="P")),-1*SUMPRODUCT((P$3:P$78="")*(O$3:O$78="")*(N$3:N$78="")*(M$3:M$78="P")*(G$3:G$78=G73)*(J$3:J$78&gt;J73)*(H$3:H$78="L5")*(I$3:I$78="P")))+1,"")))))</f>
        <v/>
      </c>
      <c r="B73" s="1" t="str" cm="1">
        <f t="array" ref="B73">IF(P73&lt;&gt;"",SUMPRODUCT((P$3:P$78&lt;&gt;"")*(G$3:G$78=G73)*(J$3:J$78&gt;J73))+1,IF(O73&lt;&gt;"",SUMPRODUCT((O$3:O$78&lt;&gt;"")*(P$3:P$78="")*(G$3:G$78=G73)*(J$3:J$78&gt;J73))+SUMPRODUCT((P$3:P$78&lt;&gt;"")*(G$3:G$78=G73))+1,IF(N73&lt;&gt;"",SUMPRODUCT((N$3:N$78&lt;&gt;"")*(G$3:G$78=G73)*(J$3:J$78&gt;J73))+1,IF(M73="P",SUMPRODUCT((O$3:O$78&lt;&gt;"")*(P$3:P$78="")*(G$3:G$78=G73))+SUMPRODUCT((P$3:P$78&lt;&gt;"")*(G$3:G$78=G73))+SUMPRODUCT((N$3:N$78&lt;&gt;"")*(G$3:G$78=G73))+SUMPRODUCT((P$3:P$78="")*(O$3:O$78="")*(N$3:N$78="")*(M$3:M$78="P")*(G$3:G$78=G73)*(J$3:J$78&gt;J73))+IF(H73="L5",SUMPRODUCT((P$3:P$78="")*(O$3:O$78="")*(N$3:N$78="")*(M$3:M$78="P")*(G$3:G$78=G73)*(J$3:J$78&lt;J73)*(H$3:H$78&lt;&gt;H73)),-1*SUMPRODUCT((P$3:P$78="")*(O$3:O$78="")*(N$3:N$78="")*(M$3:M$78="P")*(G$3:G$78=G73)*(J$3:J$78&gt;J73)*(H$3:H$78="L5")))+1,""))))</f>
        <v/>
      </c>
      <c r="C73" s="36" t="s">
        <v>512</v>
      </c>
      <c r="D73" s="36" t="str">
        <f>IF(E73="","",VLOOKUP(E73,'Coaching Points'!A:B,2,0))</f>
        <v>AB</v>
      </c>
      <c r="E73" s="36" t="s">
        <v>137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4.3080000000000001E-6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Scores'!F$13),AND(G73="15-16",U73&gt;='Qualifying Scores'!F$12),AND(G73="13-14",U73&gt;='Qualifying Scores'!F$11),AND(G73="11-12",U73&gt;='Qualifying Scores'!F$10)),T73,0),IF(OR(AND(G73="17-21",W73&gt;='Qualifying Scores'!F$13),AND(G73="15-16",W73&gt;='Qualifying Scores'!F$12),AND(G73="13-14",W73&gt;='Qualifying Scores'!F$11),AND(G73="11-12",W73&gt;='Qualifying Scores'!F$10)),V73,0),IF(OR(AND(G73="17-21",Y73&gt;='Qualifying Scores'!F$13),AND(G73="15-16",Y73&gt;='Qualifying Scores'!F$12),AND(G73="13-14",Y73&gt;='Qualifying Scores'!F$11),AND(G73="11-12",Y73&gt;='Qualifying Scores'!F$10)),X73,0),IF(OR(AND(G73="17-21",AA73&gt;='Qualifying Scores'!F$13),AND(G73="15-16",AA73&gt;='Qualifying Scores'!F$12),AND(G73="13-14",AA73&gt;='Qualifying Scores'!F$11),AND(G73="11-12",AA73&gt;='Qualifying Scores'!F$10)),Z73,0)))</f>
        <v>0</v>
      </c>
      <c r="S73" s="4">
        <f>MAX(T73,V73,X73,Z73)</f>
        <v>43.080000000000005</v>
      </c>
      <c r="T73" s="33"/>
      <c r="U73" s="40"/>
      <c r="V73" s="34"/>
      <c r="W73" s="40"/>
      <c r="X73" s="33">
        <v>43.080000000000005</v>
      </c>
      <c r="Y73" s="40">
        <v>6.1</v>
      </c>
      <c r="Z73" s="34">
        <v>42.400000000000006</v>
      </c>
      <c r="AA73" s="37">
        <v>6</v>
      </c>
    </row>
    <row r="74" spans="1:27" x14ac:dyDescent="0.2">
      <c r="A74" s="1" t="str" cm="1">
        <f t="array" ref="A74">IF(I74="","",IF(P74&lt;&gt;"",SUMPRODUCT((P$3:P$78&lt;&gt;"")*(G$3:G$78=G74)*(J$3:J$78&gt;J74)*(I$3:I$78="P"))+1,IF(O74&lt;&gt;"",SUMPRODUCT((O$3:O$78&lt;&gt;"")*(P$3:P$78="")*(G$3:G$78=G74)*(J$3:J$78&gt;J74)*(I$3:I$78="P"))+SUMPRODUCT((P$3:P$78&lt;&gt;"")*(G$3:G$78=G74)*(I$3:I$78="P"))+1,IF(N74&lt;&gt;"",SUMPRODUCT((N$3:N$78&lt;&gt;"")*(G$3:G$78=G74)*(J$3:J$78&gt;J74)*(I$3:I$78="P"))+1,IF(M74="P",SUMPRODUCT((O$3:O$78&lt;&gt;"")*(P$3:P$78="")*(G$3:G$78=G74)*(I$3:I$78="P"))+SUMPRODUCT((P$3:P$78&lt;&gt;"")*(G$3:G$78=G74)*(I$3:I$78="P"))+SUMPRODUCT((N$3:N$78&lt;&gt;"")*(G$3:G$78=G74)*(I$3:I$78="P"))+SUMPRODUCT((P$3:P$78="")*(O$3:O$78="")*(N$3:N$78="")*(M$3:M$78="P")*(G$3:G$78=G74)*(J$3:J$78&gt;J74)*(I$3:I$78="P"))+IF(H74="L5",SUMPRODUCT((P$3:P$78="")*(O$3:O$78="")*(N$3:N$78="")*(M$3:M$78="P")*(G$3:G$78=G74)*(J$3:J$78&lt;J74)*(H$3:H$78&lt;&gt;H74)*(I$3:I$78="P")),-1*SUMPRODUCT((P$3:P$78="")*(O$3:O$78="")*(N$3:N$78="")*(M$3:M$78="P")*(G$3:G$78=G74)*(J$3:J$78&gt;J74)*(H$3:H$78="L5")*(I$3:I$78="P")))+1,"")))))</f>
        <v/>
      </c>
      <c r="B74" s="1" t="str" cm="1">
        <f t="array" ref="B74">IF(P74&lt;&gt;"",SUMPRODUCT((P$3:P$78&lt;&gt;"")*(G$3:G$78=G74)*(J$3:J$78&gt;J74))+1,IF(O74&lt;&gt;"",SUMPRODUCT((O$3:O$78&lt;&gt;"")*(P$3:P$78="")*(G$3:G$78=G74)*(J$3:J$78&gt;J74))+SUMPRODUCT((P$3:P$78&lt;&gt;"")*(G$3:G$78=G74))+1,IF(N74&lt;&gt;"",SUMPRODUCT((N$3:N$78&lt;&gt;"")*(G$3:G$78=G74)*(J$3:J$78&gt;J74))+1,IF(M74="P",SUMPRODUCT((O$3:O$78&lt;&gt;"")*(P$3:P$78="")*(G$3:G$78=G74))+SUMPRODUCT((P$3:P$78&lt;&gt;"")*(G$3:G$78=G74))+SUMPRODUCT((N$3:N$78&lt;&gt;"")*(G$3:G$78=G74))+SUMPRODUCT((P$3:P$78="")*(O$3:O$78="")*(N$3:N$78="")*(M$3:M$78="P")*(G$3:G$78=G74)*(J$3:J$78&gt;J74))+IF(H74="L5",SUMPRODUCT((P$3:P$78="")*(O$3:O$78="")*(N$3:N$78="")*(M$3:M$78="P")*(G$3:G$78=G74)*(J$3:J$78&lt;J74)*(H$3:H$78&lt;&gt;H74)),-1*SUMPRODUCT((P$3:P$78="")*(O$3:O$78="")*(N$3:N$78="")*(M$3:M$78="P")*(G$3:G$78=G74)*(J$3:J$78&gt;J74)*(H$3:H$78="L5")))+1,""))))</f>
        <v/>
      </c>
      <c r="C74" s="36" t="s">
        <v>120</v>
      </c>
      <c r="D74" s="36" t="str">
        <f>IF(E74="","",VLOOKUP(E74,'Coaching Points'!A:B,2,0))</f>
        <v>AB</v>
      </c>
      <c r="E74" s="36" t="s">
        <v>29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4.2599999999999999E-6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Scores'!F$13),AND(G74="15-16",U74&gt;='Qualifying Scores'!F$12),AND(G74="13-14",U74&gt;='Qualifying Scores'!F$11),AND(G74="11-12",U74&gt;='Qualifying Scores'!F$10)),T74,0),IF(OR(AND(G74="17-21",W74&gt;='Qualifying Scores'!F$13),AND(G74="15-16",W74&gt;='Qualifying Scores'!F$12),AND(G74="13-14",W74&gt;='Qualifying Scores'!F$11),AND(G74="11-12",W74&gt;='Qualifying Scores'!F$10)),V74,0),IF(OR(AND(G74="17-21",Y74&gt;='Qualifying Scores'!F$13),AND(G74="15-16",Y74&gt;='Qualifying Scores'!F$12),AND(G74="13-14",Y74&gt;='Qualifying Scores'!F$11),AND(G74="11-12",Y74&gt;='Qualifying Scores'!F$10)),X74,0),IF(OR(AND(G74="17-21",AA74&gt;='Qualifying Scores'!F$13),AND(G74="15-16",AA74&gt;='Qualifying Scores'!F$12),AND(G74="13-14",AA74&gt;='Qualifying Scores'!F$11),AND(G74="11-12",AA74&gt;='Qualifying Scores'!F$10)),Z74,0)))</f>
        <v>0</v>
      </c>
      <c r="S74" s="4">
        <f>MAX(T74,V74,X74,Z74)</f>
        <v>42.6</v>
      </c>
      <c r="T74" s="33">
        <v>41.8</v>
      </c>
      <c r="U74" s="40">
        <v>5.4</v>
      </c>
      <c r="V74" s="34">
        <v>42.599999999999994</v>
      </c>
      <c r="W74" s="40">
        <v>5.2</v>
      </c>
      <c r="X74" s="33">
        <v>42.5</v>
      </c>
      <c r="Y74" s="40">
        <v>5.4</v>
      </c>
      <c r="Z74" s="34">
        <v>42.6</v>
      </c>
      <c r="AA74" s="37">
        <v>5</v>
      </c>
    </row>
    <row r="75" spans="1:27" x14ac:dyDescent="0.2">
      <c r="A75" s="1" t="str" cm="1">
        <f t="array" ref="A75">IF(I75="","",IF(P75&lt;&gt;"",SUMPRODUCT((P$3:P$78&lt;&gt;"")*(G$3:G$78=G75)*(J$3:J$78&gt;J75)*(I$3:I$78="P"))+1,IF(O75&lt;&gt;"",SUMPRODUCT((O$3:O$78&lt;&gt;"")*(P$3:P$78="")*(G$3:G$78=G75)*(J$3:J$78&gt;J75)*(I$3:I$78="P"))+SUMPRODUCT((P$3:P$78&lt;&gt;"")*(G$3:G$78=G75)*(I$3:I$78="P"))+1,IF(N75&lt;&gt;"",SUMPRODUCT((N$3:N$78&lt;&gt;"")*(G$3:G$78=G75)*(J$3:J$78&gt;J75)*(I$3:I$78="P"))+1,IF(M75="P",SUMPRODUCT((O$3:O$78&lt;&gt;"")*(P$3:P$78="")*(G$3:G$78=G75)*(I$3:I$78="P"))+SUMPRODUCT((P$3:P$78&lt;&gt;"")*(G$3:G$78=G75)*(I$3:I$78="P"))+SUMPRODUCT((N$3:N$78&lt;&gt;"")*(G$3:G$78=G75)*(I$3:I$78="P"))+SUMPRODUCT((P$3:P$78="")*(O$3:O$78="")*(N$3:N$78="")*(M$3:M$78="P")*(G$3:G$78=G75)*(J$3:J$78&gt;J75)*(I$3:I$78="P"))+IF(H75="L5",SUMPRODUCT((P$3:P$78="")*(O$3:O$78="")*(N$3:N$78="")*(M$3:M$78="P")*(G$3:G$78=G75)*(J$3:J$78&lt;J75)*(H$3:H$78&lt;&gt;H75)*(I$3:I$78="P")),-1*SUMPRODUCT((P$3:P$78="")*(O$3:O$78="")*(N$3:N$78="")*(M$3:M$78="P")*(G$3:G$78=G75)*(J$3:J$78&gt;J75)*(H$3:H$78="L5")*(I$3:I$78="P")))+1,"")))))</f>
        <v/>
      </c>
      <c r="B75" s="1" t="str" cm="1">
        <f t="array" ref="B75">IF(P75&lt;&gt;"",SUMPRODUCT((P$3:P$78&lt;&gt;"")*(G$3:G$78=G75)*(J$3:J$78&gt;J75))+1,IF(O75&lt;&gt;"",SUMPRODUCT((O$3:O$78&lt;&gt;"")*(P$3:P$78="")*(G$3:G$78=G75)*(J$3:J$78&gt;J75))+SUMPRODUCT((P$3:P$78&lt;&gt;"")*(G$3:G$78=G75))+1,IF(N75&lt;&gt;"",SUMPRODUCT((N$3:N$78&lt;&gt;"")*(G$3:G$78=G75)*(J$3:J$78&gt;J75))+1,IF(M75="P",SUMPRODUCT((O$3:O$78&lt;&gt;"")*(P$3:P$78="")*(G$3:G$78=G75))+SUMPRODUCT((P$3:P$78&lt;&gt;"")*(G$3:G$78=G75))+SUMPRODUCT((N$3:N$78&lt;&gt;"")*(G$3:G$78=G75))+SUMPRODUCT((P$3:P$78="")*(O$3:O$78="")*(N$3:N$78="")*(M$3:M$78="P")*(G$3:G$78=G75)*(J$3:J$78&gt;J75))+IF(H75="L5",SUMPRODUCT((P$3:P$78="")*(O$3:O$78="")*(N$3:N$78="")*(M$3:M$78="P")*(G$3:G$78=G75)*(J$3:J$78&lt;J75)*(H$3:H$78&lt;&gt;H75)),-1*SUMPRODUCT((P$3:P$78="")*(O$3:O$78="")*(N$3:N$78="")*(M$3:M$78="P")*(G$3:G$78=G75)*(J$3:J$78&gt;J75)*(H$3:H$78="L5")))+1,""))))</f>
        <v/>
      </c>
      <c r="C75" s="36" t="s">
        <v>509</v>
      </c>
      <c r="D75" s="36" t="str">
        <f>IF(E75="","",VLOOKUP(E75,'Coaching Points'!A:B,2,0))</f>
        <v>BC</v>
      </c>
      <c r="E75" s="36" t="s">
        <v>42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2.1799999999999999E-6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Scores'!F$13),AND(G75="15-16",U75&gt;='Qualifying Scores'!F$12),AND(G75="13-14",U75&gt;='Qualifying Scores'!F$11),AND(G75="11-12",U75&gt;='Qualifying Scores'!F$10)),T75,0),IF(OR(AND(G75="17-21",W75&gt;='Qualifying Scores'!F$13),AND(G75="15-16",W75&gt;='Qualifying Scores'!F$12),AND(G75="13-14",W75&gt;='Qualifying Scores'!F$11),AND(G75="11-12",W75&gt;='Qualifying Scores'!F$10)),V75,0),IF(OR(AND(G75="17-21",Y75&gt;='Qualifying Scores'!F$13),AND(G75="15-16",Y75&gt;='Qualifying Scores'!F$12),AND(G75="13-14",Y75&gt;='Qualifying Scores'!F$11),AND(G75="11-12",Y75&gt;='Qualifying Scores'!F$10)),X75,0),IF(OR(AND(G75="17-21",AA75&gt;='Qualifying Scores'!F$13),AND(G75="15-16",AA75&gt;='Qualifying Scores'!F$12),AND(G75="13-14",AA75&gt;='Qualifying Scores'!F$11),AND(G75="11-12",AA75&gt;='Qualifying Scores'!F$10)),Z75,0)))</f>
        <v>0</v>
      </c>
      <c r="S75" s="4">
        <f>MAX(T75,V75,X75,Z75)</f>
        <v>21.8</v>
      </c>
      <c r="T75" s="33"/>
      <c r="U75" s="40"/>
      <c r="V75" s="34"/>
      <c r="W75" s="40"/>
      <c r="X75" s="33">
        <v>21.8</v>
      </c>
      <c r="Y75" s="40">
        <v>4.4000000000000004</v>
      </c>
      <c r="Z75" s="34"/>
      <c r="AA75" s="37"/>
    </row>
    <row r="76" spans="1:27" x14ac:dyDescent="0.2">
      <c r="A76" s="1" t="str" cm="1">
        <f t="array" ref="A76">IF(I76="","",IF(P76&lt;&gt;"",SUMPRODUCT((P$3:P$78&lt;&gt;"")*(G$3:G$78=G76)*(J$3:J$78&gt;J76)*(I$3:I$78="P"))+1,IF(O76&lt;&gt;"",SUMPRODUCT((O$3:O$78&lt;&gt;"")*(P$3:P$78="")*(G$3:G$78=G76)*(J$3:J$78&gt;J76)*(I$3:I$78="P"))+SUMPRODUCT((P$3:P$78&lt;&gt;"")*(G$3:G$78=G76)*(I$3:I$78="P"))+1,IF(N76&lt;&gt;"",SUMPRODUCT((N$3:N$78&lt;&gt;"")*(G$3:G$78=G76)*(J$3:J$78&gt;J76)*(I$3:I$78="P"))+1,IF(M76="P",SUMPRODUCT((O$3:O$78&lt;&gt;"")*(P$3:P$78="")*(G$3:G$78=G76)*(I$3:I$78="P"))+SUMPRODUCT((P$3:P$78&lt;&gt;"")*(G$3:G$78=G76)*(I$3:I$78="P"))+SUMPRODUCT((N$3:N$78&lt;&gt;"")*(G$3:G$78=G76)*(I$3:I$78="P"))+SUMPRODUCT((P$3:P$78="")*(O$3:O$78="")*(N$3:N$78="")*(M$3:M$78="P")*(G$3:G$78=G76)*(J$3:J$78&gt;J76)*(I$3:I$78="P"))+IF(H76="L5",SUMPRODUCT((P$3:P$78="")*(O$3:O$78="")*(N$3:N$78="")*(M$3:M$78="P")*(G$3:G$78=G76)*(J$3:J$78&lt;J76)*(H$3:H$78&lt;&gt;H76)*(I$3:I$78="P")),-1*SUMPRODUCT((P$3:P$78="")*(O$3:O$78="")*(N$3:N$78="")*(M$3:M$78="P")*(G$3:G$78=G76)*(J$3:J$78&gt;J76)*(H$3:H$78="L5")*(I$3:I$78="P")))+1,"")))))</f>
        <v/>
      </c>
      <c r="B76" s="1" t="str" cm="1">
        <f t="array" ref="B76">IF(P76&lt;&gt;"",SUMPRODUCT((P$3:P$78&lt;&gt;"")*(G$3:G$78=G76)*(J$3:J$78&gt;J76))+1,IF(O76&lt;&gt;"",SUMPRODUCT((O$3:O$78&lt;&gt;"")*(P$3:P$78="")*(G$3:G$78=G76)*(J$3:J$78&gt;J76))+SUMPRODUCT((P$3:P$78&lt;&gt;"")*(G$3:G$78=G76))+1,IF(N76&lt;&gt;"",SUMPRODUCT((N$3:N$78&lt;&gt;"")*(G$3:G$78=G76)*(J$3:J$78&gt;J76))+1,IF(M76="P",SUMPRODUCT((O$3:O$78&lt;&gt;"")*(P$3:P$78="")*(G$3:G$78=G76))+SUMPRODUCT((P$3:P$78&lt;&gt;"")*(G$3:G$78=G76))+SUMPRODUCT((N$3:N$78&lt;&gt;"")*(G$3:G$78=G76))+SUMPRODUCT((P$3:P$78="")*(O$3:O$78="")*(N$3:N$78="")*(M$3:M$78="P")*(G$3:G$78=G76)*(J$3:J$78&gt;J76))+IF(H76="L5",SUMPRODUCT((P$3:P$78="")*(O$3:O$78="")*(N$3:N$78="")*(M$3:M$78="P")*(G$3:G$78=G76)*(J$3:J$78&lt;J76)*(H$3:H$78&lt;&gt;H76)),-1*SUMPRODUCT((P$3:P$78="")*(O$3:O$78="")*(N$3:N$78="")*(M$3:M$78="P")*(G$3:G$78=G76)*(J$3:J$78&gt;J76)*(H$3:H$78="L5")))+1,""))))</f>
        <v/>
      </c>
      <c r="C76" s="36" t="s">
        <v>377</v>
      </c>
      <c r="D76" s="36" t="str">
        <f>IF(E76="","",VLOOKUP(E76,'Coaching Points'!A:B,2,0))</f>
        <v>BC</v>
      </c>
      <c r="E76" s="36" t="s">
        <v>47</v>
      </c>
      <c r="F76" s="35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115</v>
      </c>
      <c r="I76" s="45"/>
      <c r="J76" s="4">
        <f>R76+IF(OR(H76="Junior",H76="Senior"),0.0002,IF(OR(H76="L7",H76="L6"),0.0001,0))+MAX(X76,Z76)*0.0000001</f>
        <v>42.900004290000005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>P</v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Scores'!F$13),AND(G76="15-16",U76&gt;='Qualifying Scores'!F$12),AND(G76="13-14",U76&gt;='Qualifying Scores'!F$11),AND(G76="11-12",U76&gt;='Qualifying Scores'!F$10)),T76,0),IF(OR(AND(G76="17-21",W76&gt;='Qualifying Scores'!F$13),AND(G76="15-16",W76&gt;='Qualifying Scores'!F$12),AND(G76="13-14",W76&gt;='Qualifying Scores'!F$11),AND(G76="11-12",W76&gt;='Qualifying Scores'!F$10)),V76,0),IF(OR(AND(G76="17-21",Y76&gt;='Qualifying Scores'!F$13),AND(G76="15-16",Y76&gt;='Qualifying Scores'!F$12),AND(G76="13-14",Y76&gt;='Qualifying Scores'!F$11),AND(G76="11-12",Y76&gt;='Qualifying Scores'!F$10)),X76,0),IF(OR(AND(G76="17-21",AA76&gt;='Qualifying Scores'!F$13),AND(G76="15-16",AA76&gt;='Qualifying Scores'!F$12),AND(G76="13-14",AA76&gt;='Qualifying Scores'!F$11),AND(G76="11-12",AA76&gt;='Qualifying Scores'!F$10)),Z76,0)))</f>
        <v>42.900000000000006</v>
      </c>
      <c r="S76" s="4">
        <f>MAX(T76,V76,X76,Z76)</f>
        <v>42.900000000000006</v>
      </c>
      <c r="T76" s="33"/>
      <c r="U76" s="40"/>
      <c r="V76" s="34"/>
      <c r="W76" s="40"/>
      <c r="X76" s="33">
        <v>41.599999999999994</v>
      </c>
      <c r="Y76" s="40">
        <v>5.4</v>
      </c>
      <c r="Z76" s="34">
        <v>42.900000000000006</v>
      </c>
      <c r="AA76" s="37">
        <v>6</v>
      </c>
    </row>
    <row r="77" spans="1:27" x14ac:dyDescent="0.2">
      <c r="A77" s="1" t="str" cm="1">
        <f t="array" ref="A77">IF(I77="","",IF(P77&lt;&gt;"",SUMPRODUCT((P$3:P$78&lt;&gt;"")*(G$3:G$78=G77)*(J$3:J$78&gt;J77)*(I$3:I$78="P"))+1,IF(O77&lt;&gt;"",SUMPRODUCT((O$3:O$78&lt;&gt;"")*(P$3:P$78="")*(G$3:G$78=G77)*(J$3:J$78&gt;J77)*(I$3:I$78="P"))+SUMPRODUCT((P$3:P$78&lt;&gt;"")*(G$3:G$78=G77)*(I$3:I$78="P"))+1,IF(N77&lt;&gt;"",SUMPRODUCT((N$3:N$78&lt;&gt;"")*(G$3:G$78=G77)*(J$3:J$78&gt;J77)*(I$3:I$78="P"))+1,IF(M77="P",SUMPRODUCT((O$3:O$78&lt;&gt;"")*(P$3:P$78="")*(G$3:G$78=G77)*(I$3:I$78="P"))+SUMPRODUCT((P$3:P$78&lt;&gt;"")*(G$3:G$78=G77)*(I$3:I$78="P"))+SUMPRODUCT((N$3:N$78&lt;&gt;"")*(G$3:G$78=G77)*(I$3:I$78="P"))+SUMPRODUCT((P$3:P$78="")*(O$3:O$78="")*(N$3:N$78="")*(M$3:M$78="P")*(G$3:G$78=G77)*(J$3:J$78&gt;J77)*(I$3:I$78="P"))+IF(H77="L5",SUMPRODUCT((P$3:P$78="")*(O$3:O$78="")*(N$3:N$78="")*(M$3:M$78="P")*(G$3:G$78=G77)*(J$3:J$78&lt;J77)*(H$3:H$78&lt;&gt;H77)*(I$3:I$78="P")),-1*SUMPRODUCT((P$3:P$78="")*(O$3:O$78="")*(N$3:N$78="")*(M$3:M$78="P")*(G$3:G$78=G77)*(J$3:J$78&gt;J77)*(H$3:H$78="L5")*(I$3:I$78="P")))+1,"")))))</f>
        <v/>
      </c>
      <c r="B77" s="1" t="str" cm="1">
        <f t="array" ref="B77">IF(P77&lt;&gt;"",SUMPRODUCT((P$3:P$78&lt;&gt;"")*(G$3:G$78=G77)*(J$3:J$78&gt;J77))+1,IF(O77&lt;&gt;"",SUMPRODUCT((O$3:O$78&lt;&gt;"")*(P$3:P$78="")*(G$3:G$78=G77)*(J$3:J$78&gt;J77))+SUMPRODUCT((P$3:P$78&lt;&gt;"")*(G$3:G$78=G77))+1,IF(N77&lt;&gt;"",SUMPRODUCT((N$3:N$78&lt;&gt;"")*(G$3:G$78=G77)*(J$3:J$78&gt;J77))+1,IF(M77="P",SUMPRODUCT((O$3:O$78&lt;&gt;"")*(P$3:P$78="")*(G$3:G$78=G77))+SUMPRODUCT((P$3:P$78&lt;&gt;"")*(G$3:G$78=G77))+SUMPRODUCT((N$3:N$78&lt;&gt;"")*(G$3:G$78=G77))+SUMPRODUCT((P$3:P$78="")*(O$3:O$78="")*(N$3:N$78="")*(M$3:M$78="P")*(G$3:G$78=G77)*(J$3:J$78&gt;J77))+IF(H77="L5",SUMPRODUCT((P$3:P$78="")*(O$3:O$78="")*(N$3:N$78="")*(M$3:M$78="P")*(G$3:G$78=G77)*(J$3:J$78&lt;J77)*(H$3:H$78&lt;&gt;H77)),-1*SUMPRODUCT((P$3:P$78="")*(O$3:O$78="")*(N$3:N$78="")*(M$3:M$78="P")*(G$3:G$78=G77)*(J$3:J$78&gt;J77)*(H$3:H$78="L5")))+1,""))))</f>
        <v/>
      </c>
      <c r="C77" s="36" t="s">
        <v>121</v>
      </c>
      <c r="D77" s="36" t="str">
        <f>IF(E77="","",VLOOKUP(E77,'Coaching Points'!A:B,2,0))</f>
        <v>BC</v>
      </c>
      <c r="E77" s="36" t="s">
        <v>42</v>
      </c>
      <c r="F77" s="35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11-12</v>
      </c>
      <c r="H77" s="39" t="s">
        <v>115</v>
      </c>
      <c r="I77" s="45"/>
      <c r="J77" s="4">
        <f>R77+IF(OR(H77="Junior",H77="Senior"),0.0002,IF(OR(H77="L7",H77="L6"),0.0001,0))+MAX(X77,Z77)*0.0000001</f>
        <v>42.200004219999997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>P</v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Scores'!F$13),AND(G77="15-16",U77&gt;='Qualifying Scores'!F$12),AND(G77="13-14",U77&gt;='Qualifying Scores'!F$11),AND(G77="11-12",U77&gt;='Qualifying Scores'!F$10)),T77,0),IF(OR(AND(G77="17-21",W77&gt;='Qualifying Scores'!F$13),AND(G77="15-16",W77&gt;='Qualifying Scores'!F$12),AND(G77="13-14",W77&gt;='Qualifying Scores'!F$11),AND(G77="11-12",W77&gt;='Qualifying Scores'!F$10)),V77,0),IF(OR(AND(G77="17-21",Y77&gt;='Qualifying Scores'!F$13),AND(G77="15-16",Y77&gt;='Qualifying Scores'!F$12),AND(G77="13-14",Y77&gt;='Qualifying Scores'!F$11),AND(G77="11-12",Y77&gt;='Qualifying Scores'!F$10)),X77,0),IF(OR(AND(G77="17-21",AA77&gt;='Qualifying Scores'!F$13),AND(G77="15-16",AA77&gt;='Qualifying Scores'!F$12),AND(G77="13-14",AA77&gt;='Qualifying Scores'!F$11),AND(G77="11-12",AA77&gt;='Qualifying Scores'!F$10)),Z77,0)))</f>
        <v>42.199999999999996</v>
      </c>
      <c r="S77" s="4">
        <f>MAX(T77,V77,X77,Z77)</f>
        <v>42.5</v>
      </c>
      <c r="T77" s="33">
        <v>42.5</v>
      </c>
      <c r="U77" s="40">
        <v>5.6</v>
      </c>
      <c r="V77" s="34">
        <v>41.8</v>
      </c>
      <c r="W77" s="40">
        <v>5.8</v>
      </c>
      <c r="X77" s="33">
        <v>39.200000000000003</v>
      </c>
      <c r="Y77" s="40">
        <v>3.2</v>
      </c>
      <c r="Z77" s="34">
        <v>42.199999999999996</v>
      </c>
      <c r="AA77" s="37">
        <v>5.8000000000000007</v>
      </c>
    </row>
    <row r="78" spans="1:27" x14ac:dyDescent="0.2">
      <c r="A78" s="1" t="str" cm="1">
        <f t="array" ref="A78">IF(I78="","",IF(P78&lt;&gt;"",SUMPRODUCT((P$3:P$78&lt;&gt;"")*(G$3:G$78=G78)*(J$3:J$78&gt;J78)*(I$3:I$78="P"))+1,IF(O78&lt;&gt;"",SUMPRODUCT((O$3:O$78&lt;&gt;"")*(P$3:P$78="")*(G$3:G$78=G78)*(J$3:J$78&gt;J78)*(I$3:I$78="P"))+SUMPRODUCT((P$3:P$78&lt;&gt;"")*(G$3:G$78=G78)*(I$3:I$78="P"))+1,IF(N78&lt;&gt;"",SUMPRODUCT((N$3:N$78&lt;&gt;"")*(G$3:G$78=G78)*(J$3:J$78&gt;J78)*(I$3:I$78="P"))+1,IF(M78="P",SUMPRODUCT((O$3:O$78&lt;&gt;"")*(P$3:P$78="")*(G$3:G$78=G78)*(I$3:I$78="P"))+SUMPRODUCT((P$3:P$78&lt;&gt;"")*(G$3:G$78=G78)*(I$3:I$78="P"))+SUMPRODUCT((N$3:N$78&lt;&gt;"")*(G$3:G$78=G78)*(I$3:I$78="P"))+SUMPRODUCT((P$3:P$78="")*(O$3:O$78="")*(N$3:N$78="")*(M$3:M$78="P")*(G$3:G$78=G78)*(J$3:J$78&gt;J78)*(I$3:I$78="P"))+IF(H78="L5",SUMPRODUCT((P$3:P$78="")*(O$3:O$78="")*(N$3:N$78="")*(M$3:M$78="P")*(G$3:G$78=G78)*(J$3:J$78&lt;J78)*(H$3:H$78&lt;&gt;H78)*(I$3:I$78="P")),-1*SUMPRODUCT((P$3:P$78="")*(O$3:O$78="")*(N$3:N$78="")*(M$3:M$78="P")*(G$3:G$78=G78)*(J$3:J$78&gt;J78)*(H$3:H$78="L5")*(I$3:I$78="P")))+1,"")))))</f>
        <v/>
      </c>
      <c r="B78" s="1" t="str" cm="1">
        <f t="array" ref="B78">IF(P78&lt;&gt;"",SUMPRODUCT((P$3:P$78&lt;&gt;"")*(G$3:G$78=G78)*(J$3:J$78&gt;J78))+1,IF(O78&lt;&gt;"",SUMPRODUCT((O$3:O$78&lt;&gt;"")*(P$3:P$78="")*(G$3:G$78=G78)*(J$3:J$78&gt;J78))+SUMPRODUCT((P$3:P$78&lt;&gt;"")*(G$3:G$78=G78))+1,IF(N78&lt;&gt;"",SUMPRODUCT((N$3:N$78&lt;&gt;"")*(G$3:G$78=G78)*(J$3:J$78&gt;J78))+1,IF(M78="P",SUMPRODUCT((O$3:O$78&lt;&gt;"")*(P$3:P$78="")*(G$3:G$78=G78))+SUMPRODUCT((P$3:P$78&lt;&gt;"")*(G$3:G$78=G78))+SUMPRODUCT((N$3:N$78&lt;&gt;"")*(G$3:G$78=G78))+SUMPRODUCT((P$3:P$78="")*(O$3:O$78="")*(N$3:N$78="")*(M$3:M$78="P")*(G$3:G$78=G78)*(J$3:J$78&gt;J78))+IF(H78="L5",SUMPRODUCT((P$3:P$78="")*(O$3:O$78="")*(N$3:N$78="")*(M$3:M$78="P")*(G$3:G$78=G78)*(J$3:J$78&lt;J78)*(H$3:H$78&lt;&gt;H78)),-1*SUMPRODUCT((P$3:P$78="")*(O$3:O$78="")*(N$3:N$78="")*(M$3:M$78="P")*(G$3:G$78=G78)*(J$3:J$78&gt;J78)*(H$3:H$78="L5")))+1,""))))</f>
        <v/>
      </c>
      <c r="C78" s="36" t="s">
        <v>511</v>
      </c>
      <c r="D78" s="36" t="str">
        <f>IF(E78="","",VLOOKUP(E78,'Coaching Points'!A:B,2,0))</f>
        <v>AB</v>
      </c>
      <c r="E78" s="36" t="s">
        <v>137</v>
      </c>
      <c r="F78" s="35">
        <v>2011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11-12</v>
      </c>
      <c r="H78" s="39" t="s">
        <v>115</v>
      </c>
      <c r="I78" s="45"/>
      <c r="J78" s="4">
        <f>R78+IF(OR(H78="Junior",H78="Senior"),0.0002,IF(OR(H78="L7",H78="L6"),0.0001,0))+MAX(X78,Z78)*0.0000001</f>
        <v>4.1599999999999991E-6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Scores'!F$13),AND(G78="15-16",U78&gt;='Qualifying Scores'!F$12),AND(G78="13-14",U78&gt;='Qualifying Scores'!F$11),AND(G78="11-12",U78&gt;='Qualifying Scores'!F$10)),T78,0),IF(OR(AND(G78="17-21",W78&gt;='Qualifying Scores'!F$13),AND(G78="15-16",W78&gt;='Qualifying Scores'!F$12),AND(G78="13-14",W78&gt;='Qualifying Scores'!F$11),AND(G78="11-12",W78&gt;='Qualifying Scores'!F$10)),V78,0),IF(OR(AND(G78="17-21",Y78&gt;='Qualifying Scores'!F$13),AND(G78="15-16",Y78&gt;='Qualifying Scores'!F$12),AND(G78="13-14",Y78&gt;='Qualifying Scores'!F$11),AND(G78="11-12",Y78&gt;='Qualifying Scores'!F$10)),X78,0),IF(OR(AND(G78="17-21",AA78&gt;='Qualifying Scores'!F$13),AND(G78="15-16",AA78&gt;='Qualifying Scores'!F$12),AND(G78="13-14",AA78&gt;='Qualifying Scores'!F$11),AND(G78="11-12",AA78&gt;='Qualifying Scores'!F$10)),Z78,0)))</f>
        <v>0</v>
      </c>
      <c r="S78" s="4">
        <f>MAX(T78,V78,X78,Z78)</f>
        <v>41.599999999999994</v>
      </c>
      <c r="T78" s="33"/>
      <c r="U78" s="40"/>
      <c r="V78" s="34"/>
      <c r="W78" s="40"/>
      <c r="X78" s="33">
        <v>41.599999999999994</v>
      </c>
      <c r="Y78" s="40">
        <v>4.8000000000000007</v>
      </c>
      <c r="Z78" s="34">
        <v>38.799999999999997</v>
      </c>
      <c r="AA78" s="37">
        <v>2.6</v>
      </c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8">
      <sortCondition descending="1" ref="G1:G79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15" priority="21">
      <formula>IF($G1="17-21",1,0)</formula>
    </cfRule>
    <cfRule type="expression" dxfId="14" priority="22">
      <formula>IF($G1="15-16",1,0)</formula>
    </cfRule>
    <cfRule type="expression" dxfId="13" priority="23">
      <formula>IF($G1="13-14",1,0)</formula>
    </cfRule>
    <cfRule type="expression" dxfId="12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8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$88&lt;&gt;"")*(G$3:G$88=G3)*(J$3:J$88&gt;J3)*(I$3:I$88="P"))+1,IF(O3&lt;&gt;"",SUMPRODUCT((O$3:O$88&lt;&gt;"")*(P$3:P$88="")*(G$3:G$88=G3)*(J$3:J$88&gt;J3)*(I$3:I$88="P"))+SUMPRODUCT((P$3:P$88&lt;&gt;"")*(G$3:G$88=G3)*(I$3:I$88="P"))+1,IF(N3&lt;&gt;"",SUMPRODUCT((N$3:N$88&lt;&gt;"")*(G$3:G$88=G3)*(J$3:J$88&gt;J3)*(I$3:I$88="P"))+1,IF(M3="P",SUMPRODUCT((O$3:O$88&lt;&gt;"")*(P$3:P$88="")*(G$3:G$88=G3)*(I$3:I$88="P"))+SUMPRODUCT((P$3:P$88&lt;&gt;"")*(G$3:G$88=G3)*(I$3:I$88="P"))+SUMPRODUCT((N$3:N$88&lt;&gt;"")*(G$3:G$88=G3)*(I$3:I$88="P"))+SUMPRODUCT((P$3:P$88="")*(O$3:O$88="")*(N$3:N$88="")*(M$3:M$88="P")*(G$3:G$88=G3)*(J$3:J$88&gt;J3)*(I$3:I$88="P"))+IF(H3="L5",SUMPRODUCT((P$3:P$88="")*(O$3:O$88="")*(N$3:N$88="")*(M$3:M$88="P")*(G$3:G$88=G3)*(J$3:J$88&lt;J3)*(H$3:H$88&lt;&gt;H3)*(I$3:I$88="P")),-1*SUMPRODUCT((P$3:P$88="")*(O$3:O$88="")*(N$3:N$88="")*(M$3:M$88="P")*(G$3:G$88=G3)*(J$3:J$88&gt;J3)*(H$3:H$88="L5")*(I$3:I$88="P")))+1,"")))))</f>
        <v>1</v>
      </c>
      <c r="B3" s="1" cm="1">
        <f t="array" ref="B3">IF(P3&lt;&gt;"",SUMPRODUCT((P$3:P$88&lt;&gt;"")*(G$3:G$88=G3)*(J$3:J$88&gt;J3))+1,IF(O3&lt;&gt;"",SUMPRODUCT((O$3:O$88&lt;&gt;"")*(P$3:P$88="")*(G$3:G$88=G3)*(J$3:J$88&gt;J3))+SUMPRODUCT((P$3:P$88&lt;&gt;"")*(G$3:G$88=G3))+1,IF(N3&lt;&gt;"",SUMPRODUCT((N$3:N$88&lt;&gt;"")*(G$3:G$88=G3)*(J$3:J$88&gt;J3))+1,IF(M3="P",SUMPRODUCT((O$3:O$88&lt;&gt;"")*(P$3:P$88="")*(G$3:G$88=G3))+SUMPRODUCT((P$3:P$88&lt;&gt;"")*(G$3:G$88=G3))+SUMPRODUCT((N$3:N$88&lt;&gt;"")*(G$3:G$88=G3))+SUMPRODUCT((P$3:P$88="")*(O$3:O$88="")*(N$3:N$88="")*(M$3:M$88="P")*(G$3:G$88=G3)*(J$3:J$88&gt;J3))+IF(H3="L5",SUMPRODUCT((P$3:P$88="")*(O$3:O$88="")*(N$3:N$88="")*(M$3:M$88="P")*(G$3:G$88=G3)*(J$3:J$88&lt;J3)*(H$3:H$88&lt;&gt;H3)),-1*SUMPRODUCT((P$3:P$88="")*(O$3:O$88="")*(N$3:N$88="")*(M$3:M$88="P")*(G$3:G$88=G3)*(J$3:J$88&gt;J3)*(H$3:H$88="L5")))+1,""))))</f>
        <v>3</v>
      </c>
      <c r="C3" s="36" t="s">
        <v>109</v>
      </c>
      <c r="D3" s="36" t="str">
        <f>IF(E3="","",VLOOKUP(E3,'Coaching Points'!A:B,2,0))</f>
        <v>BC</v>
      </c>
      <c r="E3" s="36" t="s">
        <v>42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49.400204939999995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4</v>
      </c>
      <c r="P3" s="39">
        <v>6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Scores'!G$13),AND(G3="15-16",U3&gt;='Qualifying Scores'!G$12),AND(G3="13-14",U3&gt;='Qualifying Scores'!G$11),AND(G3="11-12",U3&gt;='Qualifying Scores'!G$10)),T3,0),IF(OR(AND(G3="17-21",W3&gt;='Qualifying Scores'!G$13),AND(G3="15-16",W3&gt;='Qualifying Scores'!G$12),AND(G3="13-14",W3&gt;='Qualifying Scores'!G$11),AND(G3="11-12",W3&gt;='Qualifying Scores'!G$10)),V3,0),IF(OR(AND(G3="17-21",Y3&gt;='Qualifying Scores'!G$13),AND(G3="15-16",Y3&gt;='Qualifying Scores'!G$12),AND(G3="13-14",Y3&gt;='Qualifying Scores'!G$11),AND(G3="11-12",Y3&gt;='Qualifying Scores'!G$10)),X3,0),IF(OR(AND(G3="17-21",AA3&gt;='Qualifying Scores'!G$13),AND(G3="15-16",AA3&gt;='Qualifying Scores'!G$12),AND(G3="13-14",AA3&gt;='Qualifying Scores'!G$11),AND(G3="11-12",AA3&gt;='Qualifying Scores'!G$10)),Z3,0)))</f>
        <v>49.4</v>
      </c>
      <c r="S3" s="4">
        <f>MAX(T3,V3,X3,Z3)</f>
        <v>49.4</v>
      </c>
      <c r="T3" s="33">
        <v>47</v>
      </c>
      <c r="U3" s="40">
        <v>10.799999999999999</v>
      </c>
      <c r="V3" s="34">
        <v>48.1</v>
      </c>
      <c r="W3" s="40">
        <v>10.799999999999999</v>
      </c>
      <c r="X3" s="33">
        <v>47.3</v>
      </c>
      <c r="Y3" s="40">
        <v>10.8</v>
      </c>
      <c r="Z3" s="34">
        <v>49.4</v>
      </c>
      <c r="AA3" s="37">
        <v>11.6</v>
      </c>
    </row>
    <row r="4" spans="1:27" x14ac:dyDescent="0.2">
      <c r="A4" s="1" cm="1">
        <f t="array" ref="A4">IF(I4="","",IF(P4&lt;&gt;"",SUMPRODUCT((P$3:P$88&lt;&gt;"")*(G$3:G$88=G4)*(J$3:J$88&gt;J4)*(I$3:I$88="P"))+1,IF(O4&lt;&gt;"",SUMPRODUCT((O$3:O$88&lt;&gt;"")*(P$3:P$88="")*(G$3:G$88=G4)*(J$3:J$88&gt;J4)*(I$3:I$88="P"))+SUMPRODUCT((P$3:P$88&lt;&gt;"")*(G$3:G$88=G4)*(I$3:I$88="P"))+1,IF(N4&lt;&gt;"",SUMPRODUCT((N$3:N$88&lt;&gt;"")*(G$3:G$88=G4)*(J$3:J$88&gt;J4)*(I$3:I$88="P"))+1,IF(M4="P",SUMPRODUCT((O$3:O$88&lt;&gt;"")*(P$3:P$88="")*(G$3:G$88=G4)*(I$3:I$88="P"))+SUMPRODUCT((P$3:P$88&lt;&gt;"")*(G$3:G$88=G4)*(I$3:I$88="P"))+SUMPRODUCT((N$3:N$88&lt;&gt;"")*(G$3:G$88=G4)*(I$3:I$88="P"))+SUMPRODUCT((P$3:P$88="")*(O$3:O$88="")*(N$3:N$88="")*(M$3:M$88="P")*(G$3:G$88=G4)*(J$3:J$88&gt;J4)*(I$3:I$88="P"))+IF(H4="L5",SUMPRODUCT((P$3:P$88="")*(O$3:O$88="")*(N$3:N$88="")*(M$3:M$88="P")*(G$3:G$88=G4)*(J$3:J$88&lt;J4)*(H$3:H$88&lt;&gt;H4)*(I$3:I$88="P")),-1*SUMPRODUCT((P$3:P$88="")*(O$3:O$88="")*(N$3:N$88="")*(M$3:M$88="P")*(G$3:G$88=G4)*(J$3:J$88&gt;J4)*(H$3:H$88="L5")*(I$3:I$88="P")))+1,"")))))</f>
        <v>2</v>
      </c>
      <c r="B4" s="1" cm="1">
        <f t="array" ref="B4">IF(P4&lt;&gt;"",SUMPRODUCT((P$3:P$88&lt;&gt;"")*(G$3:G$88=G4)*(J$3:J$88&gt;J4))+1,IF(O4&lt;&gt;"",SUMPRODUCT((O$3:O$88&lt;&gt;"")*(P$3:P$88="")*(G$3:G$88=G4)*(J$3:J$88&gt;J4))+SUMPRODUCT((P$3:P$88&lt;&gt;"")*(G$3:G$88=G4))+1,IF(N4&lt;&gt;"",SUMPRODUCT((N$3:N$88&lt;&gt;"")*(G$3:G$88=G4)*(J$3:J$88&gt;J4))+1,IF(M4="P",SUMPRODUCT((O$3:O$88&lt;&gt;"")*(P$3:P$88="")*(G$3:G$88=G4))+SUMPRODUCT((P$3:P$88&lt;&gt;"")*(G$3:G$88=G4))+SUMPRODUCT((N$3:N$88&lt;&gt;"")*(G$3:G$88=G4))+SUMPRODUCT((P$3:P$88="")*(O$3:O$88="")*(N$3:N$88="")*(M$3:M$88="P")*(G$3:G$88=G4)*(J$3:J$88&gt;J4))+IF(H4="L5",SUMPRODUCT((P$3:P$88="")*(O$3:O$88="")*(N$3:N$88="")*(M$3:M$88="P")*(G$3:G$88=G4)*(J$3:J$88&lt;J4)*(H$3:H$88&lt;&gt;H4)),-1*SUMPRODUCT((P$3:P$88="")*(O$3:O$88="")*(N$3:N$88="")*(M$3:M$88="P")*(G$3:G$88=G4)*(J$3:J$88&gt;J4)*(H$3:H$88="L5")))+1,""))))</f>
        <v>5</v>
      </c>
      <c r="C4" s="36" t="s">
        <v>112</v>
      </c>
      <c r="D4" s="36" t="str">
        <f>IF(E4="","",VLOOKUP(E4,'Coaching Points'!A:B,2,0))</f>
        <v>BC</v>
      </c>
      <c r="E4" s="36" t="s">
        <v>42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48.640204820000001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P4" s="39">
        <v>8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Scores'!G$13),AND(G4="15-16",U4&gt;='Qualifying Scores'!G$12),AND(G4="13-14",U4&gt;='Qualifying Scores'!G$11),AND(G4="11-12",U4&gt;='Qualifying Scores'!G$10)),T4,0),IF(OR(AND(G4="17-21",W4&gt;='Qualifying Scores'!G$13),AND(G4="15-16",W4&gt;='Qualifying Scores'!G$12),AND(G4="13-14",W4&gt;='Qualifying Scores'!G$11),AND(G4="11-12",W4&gt;='Qualifying Scores'!G$10)),V4,0),IF(OR(AND(G4="17-21",Y4&gt;='Qualifying Scores'!G$13),AND(G4="15-16",Y4&gt;='Qualifying Scores'!G$12),AND(G4="13-14",Y4&gt;='Qualifying Scores'!G$11),AND(G4="11-12",Y4&gt;='Qualifying Scores'!G$10)),X4,0),IF(OR(AND(G4="17-21",AA4&gt;='Qualifying Scores'!G$13),AND(G4="15-16",AA4&gt;='Qualifying Scores'!G$12),AND(G4="13-14",AA4&gt;='Qualifying Scores'!G$11),AND(G4="11-12",AA4&gt;='Qualifying Scores'!G$10)),Z4,0)))</f>
        <v>48.64</v>
      </c>
      <c r="S4" s="4">
        <f>MAX(T4,V4,X4,Z4)</f>
        <v>48.64</v>
      </c>
      <c r="T4" s="33">
        <v>48.64</v>
      </c>
      <c r="U4" s="40">
        <v>11.6</v>
      </c>
      <c r="V4" s="34">
        <v>42.5</v>
      </c>
      <c r="W4" s="40">
        <v>8.8000000000000007</v>
      </c>
      <c r="X4" s="33">
        <v>47.8</v>
      </c>
      <c r="Y4" s="40">
        <v>11.6</v>
      </c>
      <c r="Z4" s="34">
        <v>48.199999999999996</v>
      </c>
      <c r="AA4" s="37">
        <v>11.6</v>
      </c>
    </row>
    <row r="5" spans="1:27" x14ac:dyDescent="0.2">
      <c r="A5" s="1" cm="1">
        <f t="array" ref="A5">IF(I5="","",IF(P5&lt;&gt;"",SUMPRODUCT((P$3:P$88&lt;&gt;"")*(G$3:G$88=G5)*(J$3:J$88&gt;J5)*(I$3:I$88="P"))+1,IF(O5&lt;&gt;"",SUMPRODUCT((O$3:O$88&lt;&gt;"")*(P$3:P$88="")*(G$3:G$88=G5)*(J$3:J$88&gt;J5)*(I$3:I$88="P"))+SUMPRODUCT((P$3:P$88&lt;&gt;"")*(G$3:G$88=G5)*(I$3:I$88="P"))+1,IF(N5&lt;&gt;"",SUMPRODUCT((N$3:N$88&lt;&gt;"")*(G$3:G$88=G5)*(J$3:J$88&gt;J5)*(I$3:I$88="P"))+1,IF(M5="P",SUMPRODUCT((O$3:O$88&lt;&gt;"")*(P$3:P$88="")*(G$3:G$88=G5)*(I$3:I$88="P"))+SUMPRODUCT((P$3:P$88&lt;&gt;"")*(G$3:G$88=G5)*(I$3:I$88="P"))+SUMPRODUCT((N$3:N$88&lt;&gt;"")*(G$3:G$88=G5)*(I$3:I$88="P"))+SUMPRODUCT((P$3:P$88="")*(O$3:O$88="")*(N$3:N$88="")*(M$3:M$88="P")*(G$3:G$88=G5)*(J$3:J$88&gt;J5)*(I$3:I$88="P"))+IF(H5="L5",SUMPRODUCT((P$3:P$88="")*(O$3:O$88="")*(N$3:N$88="")*(M$3:M$88="P")*(G$3:G$88=G5)*(J$3:J$88&lt;J5)*(H$3:H$88&lt;&gt;H5)*(I$3:I$88="P")),-1*SUMPRODUCT((P$3:P$88="")*(O$3:O$88="")*(N$3:N$88="")*(M$3:M$88="P")*(G$3:G$88=G5)*(J$3:J$88&gt;J5)*(H$3:H$88="L5")*(I$3:I$88="P")))+1,"")))))</f>
        <v>3</v>
      </c>
      <c r="B5" s="1" cm="1">
        <f t="array" ref="B5">IF(P5&lt;&gt;"",SUMPRODUCT((P$3:P$88&lt;&gt;"")*(G$3:G$88=G5)*(J$3:J$88&gt;J5))+1,IF(O5&lt;&gt;"",SUMPRODUCT((O$3:O$88&lt;&gt;"")*(P$3:P$88="")*(G$3:G$88=G5)*(J$3:J$88&gt;J5))+SUMPRODUCT((P$3:P$88&lt;&gt;"")*(G$3:G$88=G5))+1,IF(N5&lt;&gt;"",SUMPRODUCT((N$3:N$88&lt;&gt;"")*(G$3:G$88=G5)*(J$3:J$88&gt;J5))+1,IF(M5="P",SUMPRODUCT((O$3:O$88&lt;&gt;"")*(P$3:P$88="")*(G$3:G$88=G5))+SUMPRODUCT((P$3:P$88&lt;&gt;"")*(G$3:G$88=G5))+SUMPRODUCT((N$3:N$88&lt;&gt;"")*(G$3:G$88=G5))+SUMPRODUCT((P$3:P$88="")*(O$3:O$88="")*(N$3:N$88="")*(M$3:M$88="P")*(G$3:G$88=G5)*(J$3:J$88&gt;J5))+IF(H5="L5",SUMPRODUCT((P$3:P$88="")*(O$3:O$88="")*(N$3:N$88="")*(M$3:M$88="P")*(G$3:G$88=G5)*(J$3:J$88&lt;J5)*(H$3:H$88&lt;&gt;H5)),-1*SUMPRODUCT((P$3:P$88="")*(O$3:O$88="")*(N$3:N$88="")*(M$3:M$88="P")*(G$3:G$88=G5)*(J$3:J$88&gt;J5)*(H$3:H$88="L5")))+1,""))))</f>
        <v>6</v>
      </c>
      <c r="C5" s="36" t="s">
        <v>111</v>
      </c>
      <c r="D5" s="36" t="str">
        <f>IF(E5="","",VLOOKUP(E5,'Coaching Points'!A:B,2,0))</f>
        <v>BC</v>
      </c>
      <c r="E5" s="36" t="s">
        <v>80</v>
      </c>
      <c r="F5" s="35">
        <v>2001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48.50020439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P5" s="39">
        <v>7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Scores'!G$13),AND(G5="15-16",U5&gt;='Qualifying Scores'!G$12),AND(G5="13-14",U5&gt;='Qualifying Scores'!G$11),AND(G5="11-12",U5&gt;='Qualifying Scores'!G$10)),T5,0),IF(OR(AND(G5="17-21",W5&gt;='Qualifying Scores'!G$13),AND(G5="15-16",W5&gt;='Qualifying Scores'!G$12),AND(G5="13-14",W5&gt;='Qualifying Scores'!G$11),AND(G5="11-12",W5&gt;='Qualifying Scores'!G$10)),V5,0),IF(OR(AND(G5="17-21",Y5&gt;='Qualifying Scores'!G$13),AND(G5="15-16",Y5&gt;='Qualifying Scores'!G$12),AND(G5="13-14",Y5&gt;='Qualifying Scores'!G$11),AND(G5="11-12",Y5&gt;='Qualifying Scores'!G$10)),X5,0),IF(OR(AND(G5="17-21",AA5&gt;='Qualifying Scores'!G$13),AND(G5="15-16",AA5&gt;='Qualifying Scores'!G$12),AND(G5="13-14",AA5&gt;='Qualifying Scores'!G$11),AND(G5="11-12",AA5&gt;='Qualifying Scores'!G$10)),Z5,0)))</f>
        <v>48.5</v>
      </c>
      <c r="S5" s="4">
        <f>MAX(T5,V5,X5,Z5)</f>
        <v>48.5</v>
      </c>
      <c r="T5" s="33">
        <v>48.5</v>
      </c>
      <c r="U5" s="40">
        <v>11.6</v>
      </c>
      <c r="V5" s="34">
        <v>47.5</v>
      </c>
      <c r="W5" s="40">
        <v>11.6</v>
      </c>
      <c r="X5" s="33">
        <v>43.6</v>
      </c>
      <c r="Y5" s="40">
        <v>8</v>
      </c>
      <c r="Z5" s="34">
        <v>43.9</v>
      </c>
      <c r="AA5" s="37">
        <v>8.6</v>
      </c>
    </row>
    <row r="6" spans="1:27" x14ac:dyDescent="0.2">
      <c r="A6" s="1" cm="1">
        <f t="array" ref="A6">IF(I6="","",IF(P6&lt;&gt;"",SUMPRODUCT((P$3:P$88&lt;&gt;"")*(G$3:G$88=G6)*(J$3:J$88&gt;J6)*(I$3:I$88="P"))+1,IF(O6&lt;&gt;"",SUMPRODUCT((O$3:O$88&lt;&gt;"")*(P$3:P$88="")*(G$3:G$88=G6)*(J$3:J$88&gt;J6)*(I$3:I$88="P"))+SUMPRODUCT((P$3:P$88&lt;&gt;"")*(G$3:G$88=G6)*(I$3:I$88="P"))+1,IF(N6&lt;&gt;"",SUMPRODUCT((N$3:N$88&lt;&gt;"")*(G$3:G$88=G6)*(J$3:J$88&gt;J6)*(I$3:I$88="P"))+1,IF(M6="P",SUMPRODUCT((O$3:O$88&lt;&gt;"")*(P$3:P$88="")*(G$3:G$88=G6)*(I$3:I$88="P"))+SUMPRODUCT((P$3:P$88&lt;&gt;"")*(G$3:G$88=G6)*(I$3:I$88="P"))+SUMPRODUCT((N$3:N$88&lt;&gt;"")*(G$3:G$88=G6)*(I$3:I$88="P"))+SUMPRODUCT((P$3:P$88="")*(O$3:O$88="")*(N$3:N$88="")*(M$3:M$88="P")*(G$3:G$88=G6)*(J$3:J$88&gt;J6)*(I$3:I$88="P"))+IF(H6="L5",SUMPRODUCT((P$3:P$88="")*(O$3:O$88="")*(N$3:N$88="")*(M$3:M$88="P")*(G$3:G$88=G6)*(J$3:J$88&lt;J6)*(H$3:H$88&lt;&gt;H6)*(I$3:I$88="P")),-1*SUMPRODUCT((P$3:P$88="")*(O$3:O$88="")*(N$3:N$88="")*(M$3:M$88="P")*(G$3:G$88=G6)*(J$3:J$88&gt;J6)*(H$3:H$88="L5")*(I$3:I$88="P")))+1,"")))))</f>
        <v>4</v>
      </c>
      <c r="B6" s="1" cm="1">
        <f t="array" ref="B6">IF(P6&lt;&gt;"",SUMPRODUCT((P$3:P$88&lt;&gt;"")*(G$3:G$88=G6)*(J$3:J$88&gt;J6))+1,IF(O6&lt;&gt;"",SUMPRODUCT((O$3:O$88&lt;&gt;"")*(P$3:P$88="")*(G$3:G$88=G6)*(J$3:J$88&gt;J6))+SUMPRODUCT((P$3:P$88&lt;&gt;"")*(G$3:G$88=G6))+1,IF(N6&lt;&gt;"",SUMPRODUCT((N$3:N$88&lt;&gt;"")*(G$3:G$88=G6)*(J$3:J$88&gt;J6))+1,IF(M6="P",SUMPRODUCT((O$3:O$88&lt;&gt;"")*(P$3:P$88="")*(G$3:G$88=G6))+SUMPRODUCT((P$3:P$88&lt;&gt;"")*(G$3:G$88=G6))+SUMPRODUCT((N$3:N$88&lt;&gt;"")*(G$3:G$88=G6))+SUMPRODUCT((P$3:P$88="")*(O$3:O$88="")*(N$3:N$88="")*(M$3:M$88="P")*(G$3:G$88=G6)*(J$3:J$88&gt;J6))+IF(H6="L5",SUMPRODUCT((P$3:P$88="")*(O$3:O$88="")*(N$3:N$88="")*(M$3:M$88="P")*(G$3:G$88=G6)*(J$3:J$88&lt;J6)*(H$3:H$88&lt;&gt;H6)),-1*SUMPRODUCT((P$3:P$88="")*(O$3:O$88="")*(N$3:N$88="")*(M$3:M$88="P")*(G$3:G$88=G6)*(J$3:J$88&gt;J6)*(H$3:H$88="L5")))+1,""))))</f>
        <v>7</v>
      </c>
      <c r="C6" s="36" t="s">
        <v>96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48.200204820000003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Scores'!G$13),AND(G6="15-16",U6&gt;='Qualifying Scores'!G$12),AND(G6="13-14",U6&gt;='Qualifying Scores'!G$11),AND(G6="11-12",U6&gt;='Qualifying Scores'!G$10)),T6,0),IF(OR(AND(G6="17-21",W6&gt;='Qualifying Scores'!G$13),AND(G6="15-16",W6&gt;='Qualifying Scores'!G$12),AND(G6="13-14",W6&gt;='Qualifying Scores'!G$11),AND(G6="11-12",W6&gt;='Qualifying Scores'!G$10)),V6,0),IF(OR(AND(G6="17-21",Y6&gt;='Qualifying Scores'!G$13),AND(G6="15-16",Y6&gt;='Qualifying Scores'!G$12),AND(G6="13-14",Y6&gt;='Qualifying Scores'!G$11),AND(G6="11-12",Y6&gt;='Qualifying Scores'!G$10)),X6,0),IF(OR(AND(G6="17-21",AA6&gt;='Qualifying Scores'!G$13),AND(G6="15-16",AA6&gt;='Qualifying Scores'!G$12),AND(G6="13-14",AA6&gt;='Qualifying Scores'!G$11),AND(G6="11-12",AA6&gt;='Qualifying Scores'!G$10)),Z6,0)))</f>
        <v>48.2</v>
      </c>
      <c r="S6" s="4">
        <f>MAX(T6,V6,X6,Z6)</f>
        <v>48.2</v>
      </c>
      <c r="T6" s="33">
        <v>46</v>
      </c>
      <c r="U6" s="40">
        <v>10.399999999999999</v>
      </c>
      <c r="V6" s="34">
        <v>47.2</v>
      </c>
      <c r="W6" s="40">
        <v>10.399999999999999</v>
      </c>
      <c r="X6" s="33">
        <v>47</v>
      </c>
      <c r="Y6" s="40">
        <v>11.6</v>
      </c>
      <c r="Z6" s="34">
        <v>48.2</v>
      </c>
      <c r="AA6" s="37">
        <v>11.6</v>
      </c>
    </row>
    <row r="7" spans="1:27" x14ac:dyDescent="0.2">
      <c r="A7" s="1" cm="1">
        <f t="array" ref="A7">IF(I7="","",IF(P7&lt;&gt;"",SUMPRODUCT((P$3:P$88&lt;&gt;"")*(G$3:G$88=G7)*(J$3:J$88&gt;J7)*(I$3:I$88="P"))+1,IF(O7&lt;&gt;"",SUMPRODUCT((O$3:O$88&lt;&gt;"")*(P$3:P$88="")*(G$3:G$88=G7)*(J$3:J$88&gt;J7)*(I$3:I$88="P"))+SUMPRODUCT((P$3:P$88&lt;&gt;"")*(G$3:G$88=G7)*(I$3:I$88="P"))+1,IF(N7&lt;&gt;"",SUMPRODUCT((N$3:N$88&lt;&gt;"")*(G$3:G$88=G7)*(J$3:J$88&gt;J7)*(I$3:I$88="P"))+1,IF(M7="P",SUMPRODUCT((O$3:O$88&lt;&gt;"")*(P$3:P$88="")*(G$3:G$88=G7)*(I$3:I$88="P"))+SUMPRODUCT((P$3:P$88&lt;&gt;"")*(G$3:G$88=G7)*(I$3:I$88="P"))+SUMPRODUCT((N$3:N$88&lt;&gt;"")*(G$3:G$88=G7)*(I$3:I$88="P"))+SUMPRODUCT((P$3:P$88="")*(O$3:O$88="")*(N$3:N$88="")*(M$3:M$88="P")*(G$3:G$88=G7)*(J$3:J$88&gt;J7)*(I$3:I$88="P"))+IF(H7="L5",SUMPRODUCT((P$3:P$88="")*(O$3:O$88="")*(N$3:N$88="")*(M$3:M$88="P")*(G$3:G$88=G7)*(J$3:J$88&lt;J7)*(H$3:H$88&lt;&gt;H7)*(I$3:I$88="P")),-1*SUMPRODUCT((P$3:P$88="")*(O$3:O$88="")*(N$3:N$88="")*(M$3:M$88="P")*(G$3:G$88=G7)*(J$3:J$88&gt;J7)*(H$3:H$88="L5")*(I$3:I$88="P")))+1,"")))))</f>
        <v>5</v>
      </c>
      <c r="B7" s="1" cm="1">
        <f t="array" ref="B7">IF(P7&lt;&gt;"",SUMPRODUCT((P$3:P$88&lt;&gt;"")*(G$3:G$88=G7)*(J$3:J$88&gt;J7))+1,IF(O7&lt;&gt;"",SUMPRODUCT((O$3:O$88&lt;&gt;"")*(P$3:P$88="")*(G$3:G$88=G7)*(J$3:J$88&gt;J7))+SUMPRODUCT((P$3:P$88&lt;&gt;"")*(G$3:G$88=G7))+1,IF(N7&lt;&gt;"",SUMPRODUCT((N$3:N$88&lt;&gt;"")*(G$3:G$88=G7)*(J$3:J$88&gt;J7))+1,IF(M7="P",SUMPRODUCT((O$3:O$88&lt;&gt;"")*(P$3:P$88="")*(G$3:G$88=G7))+SUMPRODUCT((P$3:P$88&lt;&gt;"")*(G$3:G$88=G7))+SUMPRODUCT((N$3:N$88&lt;&gt;"")*(G$3:G$88=G7))+SUMPRODUCT((P$3:P$88="")*(O$3:O$88="")*(N$3:N$88="")*(M$3:M$88="P")*(G$3:G$88=G7)*(J$3:J$88&gt;J7))+IF(H7="L5",SUMPRODUCT((P$3:P$88="")*(O$3:O$88="")*(N$3:N$88="")*(M$3:M$88="P")*(G$3:G$88=G7)*(J$3:J$88&lt;J7)*(H$3:H$88&lt;&gt;H7)),-1*SUMPRODUCT((P$3:P$88="")*(O$3:O$88="")*(N$3:N$88="")*(M$3:M$88="P")*(G$3:G$88=G7)*(J$3:J$88&gt;J7)*(H$3:H$88="L5")))+1,""))))</f>
        <v>8</v>
      </c>
      <c r="C7" s="36" t="s">
        <v>102</v>
      </c>
      <c r="D7" s="36" t="str">
        <f>IF(E7="","",VLOOKUP(E7,'Coaching Points'!A:B,2,0))</f>
        <v>BC</v>
      </c>
      <c r="E7" s="36" t="s">
        <v>42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39" t="s">
        <v>117</v>
      </c>
      <c r="I7" s="45" t="s">
        <v>604</v>
      </c>
      <c r="J7" s="4">
        <f>R7+IF(OR(H7="Junior",H7="Senior"),0.0002,IF(OR(H7="L7",H7="L6"),0.0001,0))+MAX(X7,Z7)*0.0000001</f>
        <v>47.700104770000003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Scores'!G$13),AND(G7="15-16",U7&gt;='Qualifying Scores'!G$12),AND(G7="13-14",U7&gt;='Qualifying Scores'!G$11),AND(G7="11-12",U7&gt;='Qualifying Scores'!G$10)),T7,0),IF(OR(AND(G7="17-21",W7&gt;='Qualifying Scores'!G$13),AND(G7="15-16",W7&gt;='Qualifying Scores'!G$12),AND(G7="13-14",W7&gt;='Qualifying Scores'!G$11),AND(G7="11-12",W7&gt;='Qualifying Scores'!G$10)),V7,0),IF(OR(AND(G7="17-21",Y7&gt;='Qualifying Scores'!G$13),AND(G7="15-16",Y7&gt;='Qualifying Scores'!G$12),AND(G7="13-14",Y7&gt;='Qualifying Scores'!G$11),AND(G7="11-12",Y7&gt;='Qualifying Scores'!G$10)),X7,0),IF(OR(AND(G7="17-21",AA7&gt;='Qualifying Scores'!G$13),AND(G7="15-16",AA7&gt;='Qualifying Scores'!G$12),AND(G7="13-14",AA7&gt;='Qualifying Scores'!G$11),AND(G7="11-12",AA7&gt;='Qualifying Scores'!G$10)),Z7,0)))</f>
        <v>47.7</v>
      </c>
      <c r="S7" s="4">
        <f>MAX(T7,V7,X7,Z7)</f>
        <v>47.7</v>
      </c>
      <c r="T7" s="33">
        <v>46</v>
      </c>
      <c r="U7" s="40">
        <v>10.399999999999999</v>
      </c>
      <c r="V7" s="34">
        <v>43.9</v>
      </c>
      <c r="W7" s="40">
        <v>7.9999999999999991</v>
      </c>
      <c r="X7" s="33">
        <v>47.7</v>
      </c>
      <c r="Y7" s="40">
        <v>10.4</v>
      </c>
      <c r="Z7" s="34">
        <v>45.699999999999996</v>
      </c>
      <c r="AA7" s="37">
        <v>10.4</v>
      </c>
    </row>
    <row r="8" spans="1:27" x14ac:dyDescent="0.2">
      <c r="A8" s="1" t="str" cm="1">
        <f t="array" ref="A8">IF(I8="","",IF(P8&lt;&gt;"",SUMPRODUCT((P$3:P$88&lt;&gt;"")*(G$3:G$88=G8)*(J$3:J$88&gt;J8)*(I$3:I$88="P"))+1,IF(O8&lt;&gt;"",SUMPRODUCT((O$3:O$88&lt;&gt;"")*(P$3:P$88="")*(G$3:G$88=G8)*(J$3:J$88&gt;J8)*(I$3:I$88="P"))+SUMPRODUCT((P$3:P$88&lt;&gt;"")*(G$3:G$88=G8)*(I$3:I$88="P"))+1,IF(N8&lt;&gt;"",SUMPRODUCT((N$3:N$88&lt;&gt;"")*(G$3:G$88=G8)*(J$3:J$88&gt;J8)*(I$3:I$88="P"))+1,IF(M8="P",SUMPRODUCT((O$3:O$88&lt;&gt;"")*(P$3:P$88="")*(G$3:G$88=G8)*(I$3:I$88="P"))+SUMPRODUCT((P$3:P$88&lt;&gt;"")*(G$3:G$88=G8)*(I$3:I$88="P"))+SUMPRODUCT((N$3:N$88&lt;&gt;"")*(G$3:G$88=G8)*(I$3:I$88="P"))+SUMPRODUCT((P$3:P$88="")*(O$3:O$88="")*(N$3:N$88="")*(M$3:M$88="P")*(G$3:G$88=G8)*(J$3:J$88&gt;J8)*(I$3:I$88="P"))+IF(H8="L5",SUMPRODUCT((P$3:P$88="")*(O$3:O$88="")*(N$3:N$88="")*(M$3:M$88="P")*(G$3:G$88=G8)*(J$3:J$88&lt;J8)*(H$3:H$88&lt;&gt;H8)*(I$3:I$88="P")),-1*SUMPRODUCT((P$3:P$88="")*(O$3:O$88="")*(N$3:N$88="")*(M$3:M$88="P")*(G$3:G$88=G8)*(J$3:J$88&gt;J8)*(H$3:H$88="L5")*(I$3:I$88="P")))+1,"")))))</f>
        <v/>
      </c>
      <c r="B8" s="1" cm="1">
        <f t="array" ref="B8">IF(P8&lt;&gt;"",SUMPRODUCT((P$3:P$88&lt;&gt;"")*(G$3:G$88=G8)*(J$3:J$88&gt;J8))+1,IF(O8&lt;&gt;"",SUMPRODUCT((O$3:O$88&lt;&gt;"")*(P$3:P$88="")*(G$3:G$88=G8)*(J$3:J$88&gt;J8))+SUMPRODUCT((P$3:P$88&lt;&gt;"")*(G$3:G$88=G8))+1,IF(N8&lt;&gt;"",SUMPRODUCT((N$3:N$88&lt;&gt;"")*(G$3:G$88=G8)*(J$3:J$88&gt;J8))+1,IF(M8="P",SUMPRODUCT((O$3:O$88&lt;&gt;"")*(P$3:P$88="")*(G$3:G$88=G8))+SUMPRODUCT((P$3:P$88&lt;&gt;"")*(G$3:G$88=G8))+SUMPRODUCT((N$3:N$88&lt;&gt;"")*(G$3:G$88=G8))+SUMPRODUCT((P$3:P$88="")*(O$3:O$88="")*(N$3:N$88="")*(M$3:M$88="P")*(G$3:G$88=G8)*(J$3:J$88&gt;J8))+IF(H8="L5",SUMPRODUCT((P$3:P$88="")*(O$3:O$88="")*(N$3:N$88="")*(M$3:M$88="P")*(G$3:G$88=G8)*(J$3:J$88&lt;J8)*(H$3:H$88&lt;&gt;H8)),-1*SUMPRODUCT((P$3:P$88="")*(O$3:O$88="")*(N$3:N$88="")*(M$3:M$88="P")*(G$3:G$88=G8)*(J$3:J$88&gt;J8)*(H$3:H$88="L5")))+1,""))))</f>
        <v>1</v>
      </c>
      <c r="C8" s="36" t="s">
        <v>107</v>
      </c>
      <c r="D8" s="36" t="str">
        <f>IF(E8="","",VLOOKUP(E8,'Coaching Points'!A:B,2,0))</f>
        <v>BC</v>
      </c>
      <c r="E8" s="36" t="s">
        <v>37</v>
      </c>
      <c r="F8" s="35">
        <v>2001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51.10020510999999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O8" s="39">
        <v>1</v>
      </c>
      <c r="P8" s="39">
        <v>1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Scores'!G$13),AND(G8="15-16",U8&gt;='Qualifying Scores'!G$12),AND(G8="13-14",U8&gt;='Qualifying Scores'!G$11),AND(G8="11-12",U8&gt;='Qualifying Scores'!G$10)),T8,0),IF(OR(AND(G8="17-21",W8&gt;='Qualifying Scores'!G$13),AND(G8="15-16",W8&gt;='Qualifying Scores'!G$12),AND(G8="13-14",W8&gt;='Qualifying Scores'!G$11),AND(G8="11-12",W8&gt;='Qualifying Scores'!G$10)),V8,0),IF(OR(AND(G8="17-21",Y8&gt;='Qualifying Scores'!G$13),AND(G8="15-16",Y8&gt;='Qualifying Scores'!G$12),AND(G8="13-14",Y8&gt;='Qualifying Scores'!G$11),AND(G8="11-12",Y8&gt;='Qualifying Scores'!G$10)),X8,0),IF(OR(AND(G8="17-21",AA8&gt;='Qualifying Scores'!G$13),AND(G8="15-16",AA8&gt;='Qualifying Scores'!G$12),AND(G8="13-14",AA8&gt;='Qualifying Scores'!G$11),AND(G8="11-12",AA8&gt;='Qualifying Scores'!G$10)),Z8,0)))</f>
        <v>51.099999999999994</v>
      </c>
      <c r="S8" s="4">
        <f>MAX(T8,V8,X8,Z8)</f>
        <v>51.099999999999994</v>
      </c>
      <c r="T8" s="33">
        <v>50.800000000000004</v>
      </c>
      <c r="U8" s="40">
        <v>13.600000000000001</v>
      </c>
      <c r="V8" s="34">
        <v>50.5</v>
      </c>
      <c r="W8" s="40">
        <v>13.200000000000001</v>
      </c>
      <c r="X8" s="33">
        <v>51.099999999999994</v>
      </c>
      <c r="Y8" s="40">
        <v>13.6</v>
      </c>
      <c r="Z8" s="34">
        <v>27.5</v>
      </c>
      <c r="AA8" s="37">
        <v>8.4</v>
      </c>
    </row>
    <row r="9" spans="1:27" x14ac:dyDescent="0.2">
      <c r="A9" s="1" t="str" cm="1">
        <f t="array" ref="A9">IF(I9="","",IF(P9&lt;&gt;"",SUMPRODUCT((P$3:P$88&lt;&gt;"")*(G$3:G$88=G9)*(J$3:J$88&gt;J9)*(I$3:I$88="P"))+1,IF(O9&lt;&gt;"",SUMPRODUCT((O$3:O$88&lt;&gt;"")*(P$3:P$88="")*(G$3:G$88=G9)*(J$3:J$88&gt;J9)*(I$3:I$88="P"))+SUMPRODUCT((P$3:P$88&lt;&gt;"")*(G$3:G$88=G9)*(I$3:I$88="P"))+1,IF(N9&lt;&gt;"",SUMPRODUCT((N$3:N$88&lt;&gt;"")*(G$3:G$88=G9)*(J$3:J$88&gt;J9)*(I$3:I$88="P"))+1,IF(M9="P",SUMPRODUCT((O$3:O$88&lt;&gt;"")*(P$3:P$88="")*(G$3:G$88=G9)*(I$3:I$88="P"))+SUMPRODUCT((P$3:P$88&lt;&gt;"")*(G$3:G$88=G9)*(I$3:I$88="P"))+SUMPRODUCT((N$3:N$88&lt;&gt;"")*(G$3:G$88=G9)*(I$3:I$88="P"))+SUMPRODUCT((P$3:P$88="")*(O$3:O$88="")*(N$3:N$88="")*(M$3:M$88="P")*(G$3:G$88=G9)*(J$3:J$88&gt;J9)*(I$3:I$88="P"))+IF(H9="L5",SUMPRODUCT((P$3:P$88="")*(O$3:O$88="")*(N$3:N$88="")*(M$3:M$88="P")*(G$3:G$88=G9)*(J$3:J$88&lt;J9)*(H$3:H$88&lt;&gt;H9)*(I$3:I$88="P")),-1*SUMPRODUCT((P$3:P$88="")*(O$3:O$88="")*(N$3:N$88="")*(M$3:M$88="P")*(G$3:G$88=G9)*(J$3:J$88&gt;J9)*(H$3:H$88="L5")*(I$3:I$88="P")))+1,"")))))</f>
        <v/>
      </c>
      <c r="B9" s="1" cm="1">
        <f t="array" ref="B9">IF(P9&lt;&gt;"",SUMPRODUCT((P$3:P$88&lt;&gt;"")*(G$3:G$88=G9)*(J$3:J$88&gt;J9))+1,IF(O9&lt;&gt;"",SUMPRODUCT((O$3:O$88&lt;&gt;"")*(P$3:P$88="")*(G$3:G$88=G9)*(J$3:J$88&gt;J9))+SUMPRODUCT((P$3:P$88&lt;&gt;"")*(G$3:G$88=G9))+1,IF(N9&lt;&gt;"",SUMPRODUCT((N$3:N$88&lt;&gt;"")*(G$3:G$88=G9)*(J$3:J$88&gt;J9))+1,IF(M9="P",SUMPRODUCT((O$3:O$88&lt;&gt;"")*(P$3:P$88="")*(G$3:G$88=G9))+SUMPRODUCT((P$3:P$88&lt;&gt;"")*(G$3:G$88=G9))+SUMPRODUCT((N$3:N$88&lt;&gt;"")*(G$3:G$88=G9))+SUMPRODUCT((P$3:P$88="")*(O$3:O$88="")*(N$3:N$88="")*(M$3:M$88="P")*(G$3:G$88=G9)*(J$3:J$88&gt;J9))+IF(H9="L5",SUMPRODUCT((P$3:P$88="")*(O$3:O$88="")*(N$3:N$88="")*(M$3:M$88="P")*(G$3:G$88=G9)*(J$3:J$88&lt;J9)*(H$3:H$88&lt;&gt;H9)),-1*SUMPRODUCT((P$3:P$88="")*(O$3:O$88="")*(N$3:N$88="")*(M$3:M$88="P")*(G$3:G$88=G9)*(J$3:J$88&gt;J9)*(H$3:H$88="L5")))+1,""))))</f>
        <v>2</v>
      </c>
      <c r="C9" s="36" t="s">
        <v>108</v>
      </c>
      <c r="D9" s="36" t="str">
        <f>IF(E9="","",VLOOKUP(E9,'Coaching Points'!A:B,2,0))</f>
        <v>SK</v>
      </c>
      <c r="E9" s="36" t="s">
        <v>46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50.700205069999996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2</v>
      </c>
      <c r="P9" s="39">
        <v>2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Scores'!G$13),AND(G9="15-16",U9&gt;='Qualifying Scores'!G$12),AND(G9="13-14",U9&gt;='Qualifying Scores'!G$11),AND(G9="11-12",U9&gt;='Qualifying Scores'!G$10)),T9,0),IF(OR(AND(G9="17-21",W9&gt;='Qualifying Scores'!G$13),AND(G9="15-16",W9&gt;='Qualifying Scores'!G$12),AND(G9="13-14",W9&gt;='Qualifying Scores'!G$11),AND(G9="11-12",W9&gt;='Qualifying Scores'!G$10)),V9,0),IF(OR(AND(G9="17-21",Y9&gt;='Qualifying Scores'!G$13),AND(G9="15-16",Y9&gt;='Qualifying Scores'!G$12),AND(G9="13-14",Y9&gt;='Qualifying Scores'!G$11),AND(G9="11-12",Y9&gt;='Qualifying Scores'!G$10)),X9,0),IF(OR(AND(G9="17-21",AA9&gt;='Qualifying Scores'!G$13),AND(G9="15-16",AA9&gt;='Qualifying Scores'!G$12),AND(G9="13-14",AA9&gt;='Qualifying Scores'!G$11),AND(G9="11-12",AA9&gt;='Qualifying Scores'!G$10)),Z9,0)))</f>
        <v>50.699999999999996</v>
      </c>
      <c r="S9" s="4">
        <f>MAX(T9,V9,X9,Z9)</f>
        <v>50.699999999999996</v>
      </c>
      <c r="T9" s="33">
        <v>48.5</v>
      </c>
      <c r="U9" s="40">
        <v>11.6</v>
      </c>
      <c r="V9" s="34">
        <v>49.8</v>
      </c>
      <c r="W9" s="40">
        <v>11.6</v>
      </c>
      <c r="X9" s="33">
        <v>50.699999999999996</v>
      </c>
      <c r="Y9" s="40">
        <v>13.2</v>
      </c>
      <c r="Z9" s="34">
        <v>50.699999999999996</v>
      </c>
      <c r="AA9" s="37">
        <v>13.2</v>
      </c>
    </row>
    <row r="10" spans="1:27" x14ac:dyDescent="0.2">
      <c r="A10" s="1" t="str" cm="1">
        <f t="array" ref="A10">IF(I10="","",IF(P10&lt;&gt;"",SUMPRODUCT((P$3:P$88&lt;&gt;"")*(G$3:G$88=G10)*(J$3:J$88&gt;J10)*(I$3:I$88="P"))+1,IF(O10&lt;&gt;"",SUMPRODUCT((O$3:O$88&lt;&gt;"")*(P$3:P$88="")*(G$3:G$88=G10)*(J$3:J$88&gt;J10)*(I$3:I$88="P"))+SUMPRODUCT((P$3:P$88&lt;&gt;"")*(G$3:G$88=G10)*(I$3:I$88="P"))+1,IF(N10&lt;&gt;"",SUMPRODUCT((N$3:N$88&lt;&gt;"")*(G$3:G$88=G10)*(J$3:J$88&gt;J10)*(I$3:I$88="P"))+1,IF(M10="P",SUMPRODUCT((O$3:O$88&lt;&gt;"")*(P$3:P$88="")*(G$3:G$88=G10)*(I$3:I$88="P"))+SUMPRODUCT((P$3:P$88&lt;&gt;"")*(G$3:G$88=G10)*(I$3:I$88="P"))+SUMPRODUCT((N$3:N$88&lt;&gt;"")*(G$3:G$88=G10)*(I$3:I$88="P"))+SUMPRODUCT((P$3:P$88="")*(O$3:O$88="")*(N$3:N$88="")*(M$3:M$88="P")*(G$3:G$88=G10)*(J$3:J$88&gt;J10)*(I$3:I$88="P"))+IF(H10="L5",SUMPRODUCT((P$3:P$88="")*(O$3:O$88="")*(N$3:N$88="")*(M$3:M$88="P")*(G$3:G$88=G10)*(J$3:J$88&lt;J10)*(H$3:H$88&lt;&gt;H10)*(I$3:I$88="P")),-1*SUMPRODUCT((P$3:P$88="")*(O$3:O$88="")*(N$3:N$88="")*(M$3:M$88="P")*(G$3:G$88=G10)*(J$3:J$88&gt;J10)*(H$3:H$88="L5")*(I$3:I$88="P")))+1,"")))))</f>
        <v/>
      </c>
      <c r="B10" s="1" cm="1">
        <f t="array" ref="B10">IF(P10&lt;&gt;"",SUMPRODUCT((P$3:P$88&lt;&gt;"")*(G$3:G$88=G10)*(J$3:J$88&gt;J10))+1,IF(O10&lt;&gt;"",SUMPRODUCT((O$3:O$88&lt;&gt;"")*(P$3:P$88="")*(G$3:G$88=G10)*(J$3:J$88&gt;J10))+SUMPRODUCT((P$3:P$88&lt;&gt;"")*(G$3:G$88=G10))+1,IF(N10&lt;&gt;"",SUMPRODUCT((N$3:N$88&lt;&gt;"")*(G$3:G$88=G10)*(J$3:J$88&gt;J10))+1,IF(M10="P",SUMPRODUCT((O$3:O$88&lt;&gt;"")*(P$3:P$88="")*(G$3:G$88=G10))+SUMPRODUCT((P$3:P$88&lt;&gt;"")*(G$3:G$88=G10))+SUMPRODUCT((N$3:N$88&lt;&gt;"")*(G$3:G$88=G10))+SUMPRODUCT((P$3:P$88="")*(O$3:O$88="")*(N$3:N$88="")*(M$3:M$88="P")*(G$3:G$88=G10)*(J$3:J$88&gt;J10))+IF(H10="L5",SUMPRODUCT((P$3:P$88="")*(O$3:O$88="")*(N$3:N$88="")*(M$3:M$88="P")*(G$3:G$88=G10)*(J$3:J$88&lt;J10)*(H$3:H$88&lt;&gt;H10)),-1*SUMPRODUCT((P$3:P$88="")*(O$3:O$88="")*(N$3:N$88="")*(M$3:M$88="P")*(G$3:G$88=G10)*(J$3:J$88&gt;J10)*(H$3:H$88="L5")))+1,""))))</f>
        <v>4</v>
      </c>
      <c r="C10" s="36" t="s">
        <v>110</v>
      </c>
      <c r="D10" s="36" t="str">
        <f>IF(E10="","",VLOOKUP(E10,'Coaching Points'!A:B,2,0))</f>
        <v>AB</v>
      </c>
      <c r="E10" s="36" t="s">
        <v>29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39" t="s">
        <v>168</v>
      </c>
      <c r="I10" s="45"/>
      <c r="J10" s="4">
        <f>R10+IF(OR(H10="Junior",H10="Senior"),0.0002,IF(OR(H10="L7",H10="L6"),0.0001,0))+MAX(X10,Z10)*0.0000001</f>
        <v>49.200204429999999</v>
      </c>
      <c r="K10" s="3" t="str">
        <f>IF(G10="Not Age Eligible","",IF(MAX(T10,V10,X10,Z10)&gt;=LOOKUP(G10,'Qualifying Scores'!$A$4:$A$7,'Qualifying Scores'!$G$4:$G$7),"P",""))</f>
        <v>P</v>
      </c>
      <c r="L10" s="3" t="str">
        <f>IF(G10="Not Age Eligible","",IF(MAX(U10,W10,Y10,AA10)&gt;=LOOKUP(G10,'Qualifying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>P</v>
      </c>
      <c r="O10" s="39">
        <v>3</v>
      </c>
      <c r="P10" s="39">
        <v>3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Scores'!G$13),AND(G10="15-16",U10&gt;='Qualifying Scores'!G$12),AND(G10="13-14",U10&gt;='Qualifying Scores'!G$11),AND(G10="11-12",U10&gt;='Qualifying Scores'!G$10)),T10,0),IF(OR(AND(G10="17-21",W10&gt;='Qualifying Scores'!G$13),AND(G10="15-16",W10&gt;='Qualifying Scores'!G$12),AND(G10="13-14",W10&gt;='Qualifying Scores'!G$11),AND(G10="11-12",W10&gt;='Qualifying Scores'!G$10)),V10,0),IF(OR(AND(G10="17-21",Y10&gt;='Qualifying Scores'!G$13),AND(G10="15-16",Y10&gt;='Qualifying Scores'!G$12),AND(G10="13-14",Y10&gt;='Qualifying Scores'!G$11),AND(G10="11-12",Y10&gt;='Qualifying Scores'!G$10)),X10,0),IF(OR(AND(G10="17-21",AA10&gt;='Qualifying Scores'!G$13),AND(G10="15-16",AA10&gt;='Qualifying Scores'!G$12),AND(G10="13-14",AA10&gt;='Qualifying Scores'!G$11),AND(G10="11-12",AA10&gt;='Qualifying Scores'!G$10)),Z10,0)))</f>
        <v>49.2</v>
      </c>
      <c r="S10" s="4">
        <f>MAX(T10,V10,X10,Z10)</f>
        <v>49.2</v>
      </c>
      <c r="T10" s="33">
        <v>49.2</v>
      </c>
      <c r="U10" s="40">
        <v>11.6</v>
      </c>
      <c r="V10" s="34">
        <v>48</v>
      </c>
      <c r="W10" s="40">
        <v>11.6</v>
      </c>
      <c r="X10" s="33">
        <v>43.199999999999996</v>
      </c>
      <c r="Y10" s="40">
        <v>8.9</v>
      </c>
      <c r="Z10" s="34">
        <v>44.29999999999999</v>
      </c>
      <c r="AA10" s="37">
        <v>8.8000000000000007</v>
      </c>
    </row>
    <row r="11" spans="1:27" x14ac:dyDescent="0.2">
      <c r="A11" s="1" t="str" cm="1">
        <f t="array" ref="A11">IF(I11="","",IF(P11&lt;&gt;"",SUMPRODUCT((P$3:P$88&lt;&gt;"")*(G$3:G$88=G11)*(J$3:J$88&gt;J11)*(I$3:I$88="P"))+1,IF(O11&lt;&gt;"",SUMPRODUCT((O$3:O$88&lt;&gt;"")*(P$3:P$88="")*(G$3:G$88=G11)*(J$3:J$88&gt;J11)*(I$3:I$88="P"))+SUMPRODUCT((P$3:P$88&lt;&gt;"")*(G$3:G$88=G11)*(I$3:I$88="P"))+1,IF(N11&lt;&gt;"",SUMPRODUCT((N$3:N$88&lt;&gt;"")*(G$3:G$88=G11)*(J$3:J$88&gt;J11)*(I$3:I$88="P"))+1,IF(M11="P",SUMPRODUCT((O$3:O$88&lt;&gt;"")*(P$3:P$88="")*(G$3:G$88=G11)*(I$3:I$88="P"))+SUMPRODUCT((P$3:P$88&lt;&gt;"")*(G$3:G$88=G11)*(I$3:I$88="P"))+SUMPRODUCT((N$3:N$88&lt;&gt;"")*(G$3:G$88=G11)*(I$3:I$88="P"))+SUMPRODUCT((P$3:P$88="")*(O$3:O$88="")*(N$3:N$88="")*(M$3:M$88="P")*(G$3:G$88=G11)*(J$3:J$88&gt;J11)*(I$3:I$88="P"))+IF(H11="L5",SUMPRODUCT((P$3:P$88="")*(O$3:O$88="")*(N$3:N$88="")*(M$3:M$88="P")*(G$3:G$88=G11)*(J$3:J$88&lt;J11)*(H$3:H$88&lt;&gt;H11)*(I$3:I$88="P")),-1*SUMPRODUCT((P$3:P$88="")*(O$3:O$88="")*(N$3:N$88="")*(M$3:M$88="P")*(G$3:G$88=G11)*(J$3:J$88&gt;J11)*(H$3:H$88="L5")*(I$3:I$88="P")))+1,"")))))</f>
        <v/>
      </c>
      <c r="B11" s="1" cm="1">
        <f t="array" ref="B11">IF(P11&lt;&gt;"",SUMPRODUCT((P$3:P$88&lt;&gt;"")*(G$3:G$88=G11)*(J$3:J$88&gt;J11))+1,IF(O11&lt;&gt;"",SUMPRODUCT((O$3:O$88&lt;&gt;"")*(P$3:P$88="")*(G$3:G$88=G11)*(J$3:J$88&gt;J11))+SUMPRODUCT((P$3:P$88&lt;&gt;"")*(G$3:G$88=G11))+1,IF(N11&lt;&gt;"",SUMPRODUCT((N$3:N$88&lt;&gt;"")*(G$3:G$88=G11)*(J$3:J$88&gt;J11))+1,IF(M11="P",SUMPRODUCT((O$3:O$88&lt;&gt;"")*(P$3:P$88="")*(G$3:G$88=G11))+SUMPRODUCT((P$3:P$88&lt;&gt;"")*(G$3:G$88=G11))+SUMPRODUCT((N$3:N$88&lt;&gt;"")*(G$3:G$88=G11))+SUMPRODUCT((P$3:P$88="")*(O$3:O$88="")*(N$3:N$88="")*(M$3:M$88="P")*(G$3:G$88=G11)*(J$3:J$88&gt;J11))+IF(H11="L5",SUMPRODUCT((P$3:P$88="")*(O$3:O$88="")*(N$3:N$88="")*(M$3:M$88="P")*(G$3:G$88=G11)*(J$3:J$88&lt;J11)*(H$3:H$88&lt;&gt;H11)),-1*SUMPRODUCT((P$3:P$88="")*(O$3:O$88="")*(N$3:N$88="")*(M$3:M$88="P")*(G$3:G$88=G11)*(J$3:J$88&gt;J11)*(H$3:H$88="L5")))+1,""))))</f>
        <v>9</v>
      </c>
      <c r="C11" s="36" t="s">
        <v>97</v>
      </c>
      <c r="D11" s="36" t="str">
        <f>IF(E11="","",VLOOKUP(E11,'Coaching Points'!A:B,2,0))</f>
        <v>AB</v>
      </c>
      <c r="E11" s="36" t="s">
        <v>29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39" t="s">
        <v>117</v>
      </c>
      <c r="I11" s="45"/>
      <c r="J11" s="4">
        <f>R11+IF(OR(H11="Junior",H11="Senior"),0.0002,IF(OR(H11="L7",H11="L6"),0.0001,0))+MAX(X11,Z11)*0.0000001</f>
        <v>45.200104310000008</v>
      </c>
      <c r="K11" s="3" t="str">
        <f>IF(G11="Not Age Eligible","",IF(MAX(T11,V11,X11,Z11)&gt;=LOOKUP(G11,'Qualifying Scores'!$A$4:$A$7,'Qualifying Scores'!$G$4:$G$7),"P",""))</f>
        <v>P</v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>P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Scores'!G$13),AND(G11="15-16",U11&gt;='Qualifying Scores'!G$12),AND(G11="13-14",U11&gt;='Qualifying Scores'!G$11),AND(G11="11-12",U11&gt;='Qualifying Scores'!G$10)),T11,0),IF(OR(AND(G11="17-21",W11&gt;='Qualifying Scores'!G$13),AND(G11="15-16",W11&gt;='Qualifying Scores'!G$12),AND(G11="13-14",W11&gt;='Qualifying Scores'!G$11),AND(G11="11-12",W11&gt;='Qualifying Scores'!G$10)),V11,0),IF(OR(AND(G11="17-21",Y11&gt;='Qualifying Scores'!G$13),AND(G11="15-16",Y11&gt;='Qualifying Scores'!G$12),AND(G11="13-14",Y11&gt;='Qualifying Scores'!G$11),AND(G11="11-12",Y11&gt;='Qualifying Scores'!G$10)),X11,0),IF(OR(AND(G11="17-21",AA11&gt;='Qualifying Scores'!G$13),AND(G11="15-16",AA11&gt;='Qualifying Scores'!G$12),AND(G11="13-14",AA11&gt;='Qualifying Scores'!G$11),AND(G11="11-12",AA11&gt;='Qualifying Scores'!G$10)),Z11,0)))</f>
        <v>45.2</v>
      </c>
      <c r="S11" s="4">
        <f>MAX(T11,V11,X11,Z11)</f>
        <v>45.2</v>
      </c>
      <c r="T11" s="33">
        <v>42.599999999999994</v>
      </c>
      <c r="U11" s="40">
        <v>8.3000000000000007</v>
      </c>
      <c r="V11" s="34">
        <v>45.2</v>
      </c>
      <c r="W11" s="40">
        <v>8.3000000000000007</v>
      </c>
      <c r="X11" s="33">
        <v>43.1</v>
      </c>
      <c r="Y11" s="40">
        <v>7.6</v>
      </c>
      <c r="Z11" s="34">
        <v>41.79999999999999</v>
      </c>
      <c r="AA11" s="37">
        <v>5.9</v>
      </c>
    </row>
    <row r="12" spans="1:27" x14ac:dyDescent="0.2">
      <c r="A12" s="1" t="str" cm="1">
        <f t="array" ref="A12">IF(I12="","",IF(P12&lt;&gt;"",SUMPRODUCT((P$3:P$88&lt;&gt;"")*(G$3:G$88=G12)*(J$3:J$88&gt;J12)*(I$3:I$88="P"))+1,IF(O12&lt;&gt;"",SUMPRODUCT((O$3:O$88&lt;&gt;"")*(P$3:P$88="")*(G$3:G$88=G12)*(J$3:J$88&gt;J12)*(I$3:I$88="P"))+SUMPRODUCT((P$3:P$88&lt;&gt;"")*(G$3:G$88=G12)*(I$3:I$88="P"))+1,IF(N12&lt;&gt;"",SUMPRODUCT((N$3:N$88&lt;&gt;"")*(G$3:G$88=G12)*(J$3:J$88&gt;J12)*(I$3:I$88="P"))+1,IF(M12="P",SUMPRODUCT((O$3:O$88&lt;&gt;"")*(P$3:P$88="")*(G$3:G$88=G12)*(I$3:I$88="P"))+SUMPRODUCT((P$3:P$88&lt;&gt;"")*(G$3:G$88=G12)*(I$3:I$88="P"))+SUMPRODUCT((N$3:N$88&lt;&gt;"")*(G$3:G$88=G12)*(I$3:I$88="P"))+SUMPRODUCT((P$3:P$88="")*(O$3:O$88="")*(N$3:N$88="")*(M$3:M$88="P")*(G$3:G$88=G12)*(J$3:J$88&gt;J12)*(I$3:I$88="P"))+IF(H12="L5",SUMPRODUCT((P$3:P$88="")*(O$3:O$88="")*(N$3:N$88="")*(M$3:M$88="P")*(G$3:G$88=G12)*(J$3:J$88&lt;J12)*(H$3:H$88&lt;&gt;H12)*(I$3:I$88="P")),-1*SUMPRODUCT((P$3:P$88="")*(O$3:O$88="")*(N$3:N$88="")*(M$3:M$88="P")*(G$3:G$88=G12)*(J$3:J$88&gt;J12)*(H$3:H$88="L5")*(I$3:I$88="P")))+1,"")))))</f>
        <v/>
      </c>
      <c r="B12" s="1" t="str" cm="1">
        <f t="array" ref="B12">IF(P12&lt;&gt;"",SUMPRODUCT((P$3:P$88&lt;&gt;"")*(G$3:G$88=G12)*(J$3:J$88&gt;J12))+1,IF(O12&lt;&gt;"",SUMPRODUCT((O$3:O$88&lt;&gt;"")*(P$3:P$88="")*(G$3:G$88=G12)*(J$3:J$88&gt;J12))+SUMPRODUCT((P$3:P$88&lt;&gt;"")*(G$3:G$88=G12))+1,IF(N12&lt;&gt;"",SUMPRODUCT((N$3:N$88&lt;&gt;"")*(G$3:G$88=G12)*(J$3:J$88&gt;J12))+1,IF(M12="P",SUMPRODUCT((O$3:O$88&lt;&gt;"")*(P$3:P$88="")*(G$3:G$88=G12))+SUMPRODUCT((P$3:P$88&lt;&gt;"")*(G$3:G$88=G12))+SUMPRODUCT((N$3:N$88&lt;&gt;"")*(G$3:G$88=G12))+SUMPRODUCT((P$3:P$88="")*(O$3:O$88="")*(N$3:N$88="")*(M$3:M$88="P")*(G$3:G$88=G12)*(J$3:J$88&gt;J12))+IF(H12="L5",SUMPRODUCT((P$3:P$88="")*(O$3:O$88="")*(N$3:N$88="")*(M$3:M$88="P")*(G$3:G$88=G12)*(J$3:J$88&lt;J12)*(H$3:H$88&lt;&gt;H12)),-1*SUMPRODUCT((P$3:P$88="")*(O$3:O$88="")*(N$3:N$88="")*(M$3:M$88="P")*(G$3:G$88=G12)*(J$3:J$88&gt;J12)*(H$3:H$88="L5")))+1,""))))</f>
        <v/>
      </c>
      <c r="C12" s="36" t="s">
        <v>104</v>
      </c>
      <c r="D12" s="36" t="str">
        <f>IF(E12="","",VLOOKUP(E12,'Coaching Points'!A:B,2,0))</f>
        <v>QC</v>
      </c>
      <c r="E12" s="36" t="s">
        <v>586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39" t="s">
        <v>117</v>
      </c>
      <c r="I12" s="45"/>
      <c r="J12" s="4">
        <f>R12+IF(OR(H12="Junior",H12="Senior"),0.0002,IF(OR(H12="L7",H12="L6"),0.0001,0))+MAX(X12,Z12)*0.0000001</f>
        <v>45.000104499999999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Scores'!G$13),AND(G12="15-16",U12&gt;='Qualifying Scores'!G$12),AND(G12="13-14",U12&gt;='Qualifying Scores'!G$11),AND(G12="11-12",U12&gt;='Qualifying Scores'!G$10)),T12,0),IF(OR(AND(G12="17-21",W12&gt;='Qualifying Scores'!G$13),AND(G12="15-16",W12&gt;='Qualifying Scores'!G$12),AND(G12="13-14",W12&gt;='Qualifying Scores'!G$11),AND(G12="11-12",W12&gt;='Qualifying Scores'!G$10)),V12,0),IF(OR(AND(G12="17-21",Y12&gt;='Qualifying Scores'!G$13),AND(G12="15-16",Y12&gt;='Qualifying Scores'!G$12),AND(G12="13-14",Y12&gt;='Qualifying Scores'!G$11),AND(G12="11-12",Y12&gt;='Qualifying Scores'!G$10)),X12,0),IF(OR(AND(G12="17-21",AA12&gt;='Qualifying Scores'!G$13),AND(G12="15-16",AA12&gt;='Qualifying Scores'!G$12),AND(G12="13-14",AA12&gt;='Qualifying Scores'!G$11),AND(G12="11-12",AA12&gt;='Qualifying Scores'!G$10)),Z12,0)))</f>
        <v>44.999999999999993</v>
      </c>
      <c r="S12" s="4">
        <f>MAX(T12,V12,X12,Z12)</f>
        <v>44.999999999999993</v>
      </c>
      <c r="T12" s="33">
        <v>41.9</v>
      </c>
      <c r="U12" s="40">
        <v>5.9</v>
      </c>
      <c r="V12" s="34">
        <v>0</v>
      </c>
      <c r="W12" s="40">
        <v>0</v>
      </c>
      <c r="X12" s="33">
        <v>41.5</v>
      </c>
      <c r="Y12" s="40">
        <v>5.1000000000000005</v>
      </c>
      <c r="Z12" s="34">
        <v>44.999999999999993</v>
      </c>
      <c r="AA12" s="37">
        <v>7.9</v>
      </c>
    </row>
    <row r="13" spans="1:27" x14ac:dyDescent="0.2">
      <c r="A13" s="1" t="str" cm="1">
        <f t="array" ref="A13">IF(I13="","",IF(P13&lt;&gt;"",SUMPRODUCT((P$3:P$88&lt;&gt;"")*(G$3:G$88=G13)*(J$3:J$88&gt;J13)*(I$3:I$88="P"))+1,IF(O13&lt;&gt;"",SUMPRODUCT((O$3:O$88&lt;&gt;"")*(P$3:P$88="")*(G$3:G$88=G13)*(J$3:J$88&gt;J13)*(I$3:I$88="P"))+SUMPRODUCT((P$3:P$88&lt;&gt;"")*(G$3:G$88=G13)*(I$3:I$88="P"))+1,IF(N13&lt;&gt;"",SUMPRODUCT((N$3:N$88&lt;&gt;"")*(G$3:G$88=G13)*(J$3:J$88&gt;J13)*(I$3:I$88="P"))+1,IF(M13="P",SUMPRODUCT((O$3:O$88&lt;&gt;"")*(P$3:P$88="")*(G$3:G$88=G13)*(I$3:I$88="P"))+SUMPRODUCT((P$3:P$88&lt;&gt;"")*(G$3:G$88=G13)*(I$3:I$88="P"))+SUMPRODUCT((N$3:N$88&lt;&gt;"")*(G$3:G$88=G13)*(I$3:I$88="P"))+SUMPRODUCT((P$3:P$88="")*(O$3:O$88="")*(N$3:N$88="")*(M$3:M$88="P")*(G$3:G$88=G13)*(J$3:J$88&gt;J13)*(I$3:I$88="P"))+IF(H13="L5",SUMPRODUCT((P$3:P$88="")*(O$3:O$88="")*(N$3:N$88="")*(M$3:M$88="P")*(G$3:G$88=G13)*(J$3:J$88&lt;J13)*(H$3:H$88&lt;&gt;H13)*(I$3:I$88="P")),-1*SUMPRODUCT((P$3:P$88="")*(O$3:O$88="")*(N$3:N$88="")*(M$3:M$88="P")*(G$3:G$88=G13)*(J$3:J$88&gt;J13)*(H$3:H$88="L5")*(I$3:I$88="P")))+1,"")))))</f>
        <v/>
      </c>
      <c r="B13" s="1" t="str" cm="1">
        <f t="array" ref="B13">IF(P13&lt;&gt;"",SUMPRODUCT((P$3:P$88&lt;&gt;"")*(G$3:G$88=G13)*(J$3:J$88&gt;J13))+1,IF(O13&lt;&gt;"",SUMPRODUCT((O$3:O$88&lt;&gt;"")*(P$3:P$88="")*(G$3:G$88=G13)*(J$3:J$88&gt;J13))+SUMPRODUCT((P$3:P$88&lt;&gt;"")*(G$3:G$88=G13))+1,IF(N13&lt;&gt;"",SUMPRODUCT((N$3:N$88&lt;&gt;"")*(G$3:G$88=G13)*(J$3:J$88&gt;J13))+1,IF(M13="P",SUMPRODUCT((O$3:O$88&lt;&gt;"")*(P$3:P$88="")*(G$3:G$88=G13))+SUMPRODUCT((P$3:P$88&lt;&gt;"")*(G$3:G$88=G13))+SUMPRODUCT((N$3:N$88&lt;&gt;"")*(G$3:G$88=G13))+SUMPRODUCT((P$3:P$88="")*(O$3:O$88="")*(N$3:N$88="")*(M$3:M$88="P")*(G$3:G$88=G13)*(J$3:J$88&gt;J13))+IF(H13="L5",SUMPRODUCT((P$3:P$88="")*(O$3:O$88="")*(N$3:N$88="")*(M$3:M$88="P")*(G$3:G$88=G13)*(J$3:J$88&lt;J13)*(H$3:H$88&lt;&gt;H13)),-1*SUMPRODUCT((P$3:P$88="")*(O$3:O$88="")*(N$3:N$88="")*(M$3:M$88="P")*(G$3:G$88=G13)*(J$3:J$88&gt;J13)*(H$3:H$88="L5")))+1,""))))</f>
        <v/>
      </c>
      <c r="C13" s="36" t="s">
        <v>99</v>
      </c>
      <c r="D13" s="36" t="str">
        <f>IF(E13="","",VLOOKUP(E13,'Coaching Points'!A:B,2,0))</f>
        <v>QC</v>
      </c>
      <c r="E13" s="36" t="s">
        <v>62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44.900104490000011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Scores'!G$13),AND(G13="15-16",U13&gt;='Qualifying Scores'!G$12),AND(G13="13-14",U13&gt;='Qualifying Scores'!G$11),AND(G13="11-12",U13&gt;='Qualifying Scores'!G$10)),T13,0),IF(OR(AND(G13="17-21",W13&gt;='Qualifying Scores'!G$13),AND(G13="15-16",W13&gt;='Qualifying Scores'!G$12),AND(G13="13-14",W13&gt;='Qualifying Scores'!G$11),AND(G13="11-12",W13&gt;='Qualifying Scores'!G$10)),V13,0),IF(OR(AND(G13="17-21",Y13&gt;='Qualifying Scores'!G$13),AND(G13="15-16",Y13&gt;='Qualifying Scores'!G$12),AND(G13="13-14",Y13&gt;='Qualifying Scores'!G$11),AND(G13="11-12",Y13&gt;='Qualifying Scores'!G$10)),X13,0),IF(OR(AND(G13="17-21",AA13&gt;='Qualifying Scores'!G$13),AND(G13="15-16",AA13&gt;='Qualifying Scores'!G$12),AND(G13="13-14",AA13&gt;='Qualifying Scores'!G$11),AND(G13="11-12",AA13&gt;='Qualifying Scores'!G$10)),Z13,0)))</f>
        <v>44.900000000000006</v>
      </c>
      <c r="S13" s="4">
        <f>MAX(T13,V13,X13,Z13)</f>
        <v>44.900000000000006</v>
      </c>
      <c r="T13" s="33">
        <v>43.599999999999994</v>
      </c>
      <c r="U13" s="40">
        <v>7.9</v>
      </c>
      <c r="V13" s="34">
        <v>44.099999999999994</v>
      </c>
      <c r="W13" s="40">
        <v>7.9</v>
      </c>
      <c r="X13" s="33">
        <v>44.8</v>
      </c>
      <c r="Y13" s="40">
        <v>8</v>
      </c>
      <c r="Z13" s="34">
        <v>44.900000000000006</v>
      </c>
      <c r="AA13" s="37">
        <v>8.4</v>
      </c>
    </row>
    <row r="14" spans="1:27" x14ac:dyDescent="0.2">
      <c r="A14" s="1" t="str" cm="1">
        <f t="array" ref="A14">IF(I14="","",IF(P14&lt;&gt;"",SUMPRODUCT((P$3:P$88&lt;&gt;"")*(G$3:G$88=G14)*(J$3:J$88&gt;J14)*(I$3:I$88="P"))+1,IF(O14&lt;&gt;"",SUMPRODUCT((O$3:O$88&lt;&gt;"")*(P$3:P$88="")*(G$3:G$88=G14)*(J$3:J$88&gt;J14)*(I$3:I$88="P"))+SUMPRODUCT((P$3:P$88&lt;&gt;"")*(G$3:G$88=G14)*(I$3:I$88="P"))+1,IF(N14&lt;&gt;"",SUMPRODUCT((N$3:N$88&lt;&gt;"")*(G$3:G$88=G14)*(J$3:J$88&gt;J14)*(I$3:I$88="P"))+1,IF(M14="P",SUMPRODUCT((O$3:O$88&lt;&gt;"")*(P$3:P$88="")*(G$3:G$88=G14)*(I$3:I$88="P"))+SUMPRODUCT((P$3:P$88&lt;&gt;"")*(G$3:G$88=G14)*(I$3:I$88="P"))+SUMPRODUCT((N$3:N$88&lt;&gt;"")*(G$3:G$88=G14)*(I$3:I$88="P"))+SUMPRODUCT((P$3:P$88="")*(O$3:O$88="")*(N$3:N$88="")*(M$3:M$88="P")*(G$3:G$88=G14)*(J$3:J$88&gt;J14)*(I$3:I$88="P"))+IF(H14="L5",SUMPRODUCT((P$3:P$88="")*(O$3:O$88="")*(N$3:N$88="")*(M$3:M$88="P")*(G$3:G$88=G14)*(J$3:J$88&lt;J14)*(H$3:H$88&lt;&gt;H14)*(I$3:I$88="P")),-1*SUMPRODUCT((P$3:P$88="")*(O$3:O$88="")*(N$3:N$88="")*(M$3:M$88="P")*(G$3:G$88=G14)*(J$3:J$88&gt;J14)*(H$3:H$88="L5")*(I$3:I$88="P")))+1,"")))))</f>
        <v/>
      </c>
      <c r="B14" s="1" t="str" cm="1">
        <f t="array" ref="B14">IF(P14&lt;&gt;"",SUMPRODUCT((P$3:P$88&lt;&gt;"")*(G$3:G$88=G14)*(J$3:J$88&gt;J14))+1,IF(O14&lt;&gt;"",SUMPRODUCT((O$3:O$88&lt;&gt;"")*(P$3:P$88="")*(G$3:G$88=G14)*(J$3:J$88&gt;J14))+SUMPRODUCT((P$3:P$88&lt;&gt;"")*(G$3:G$88=G14))+1,IF(N14&lt;&gt;"",SUMPRODUCT((N$3:N$88&lt;&gt;"")*(G$3:G$88=G14)*(J$3:J$88&gt;J14))+1,IF(M14="P",SUMPRODUCT((O$3:O$88&lt;&gt;"")*(P$3:P$88="")*(G$3:G$88=G14))+SUMPRODUCT((P$3:P$88&lt;&gt;"")*(G$3:G$88=G14))+SUMPRODUCT((N$3:N$88&lt;&gt;"")*(G$3:G$88=G14))+SUMPRODUCT((P$3:P$88="")*(O$3:O$88="")*(N$3:N$88="")*(M$3:M$88="P")*(G$3:G$88=G14)*(J$3:J$88&gt;J14))+IF(H14="L5",SUMPRODUCT((P$3:P$88="")*(O$3:O$88="")*(N$3:N$88="")*(M$3:M$88="P")*(G$3:G$88=G14)*(J$3:J$88&lt;J14)*(H$3:H$88&lt;&gt;H14)),-1*SUMPRODUCT((P$3:P$88="")*(O$3:O$88="")*(N$3:N$88="")*(M$3:M$88="P")*(G$3:G$88=G14)*(J$3:J$88&gt;J14)*(H$3:H$88="L5")))+1,""))))</f>
        <v/>
      </c>
      <c r="C14" s="36" t="s">
        <v>98</v>
      </c>
      <c r="D14" s="36" t="str">
        <f>IF(E14="","",VLOOKUP(E14,'Coaching Points'!A:B,2,0))</f>
        <v>SK</v>
      </c>
      <c r="E14" s="36" t="s">
        <v>46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44.800102000000003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Scores'!G$13),AND(G14="15-16",U14&gt;='Qualifying Scores'!G$12),AND(G14="13-14",U14&gt;='Qualifying Scores'!G$11),AND(G14="11-12",U14&gt;='Qualifying Scores'!G$10)),T14,0),IF(OR(AND(G14="17-21",W14&gt;='Qualifying Scores'!G$13),AND(G14="15-16",W14&gt;='Qualifying Scores'!G$12),AND(G14="13-14",W14&gt;='Qualifying Scores'!G$11),AND(G14="11-12",W14&gt;='Qualifying Scores'!G$10)),V14,0),IF(OR(AND(G14="17-21",Y14&gt;='Qualifying Scores'!G$13),AND(G14="15-16",Y14&gt;='Qualifying Scores'!G$12),AND(G14="13-14",Y14&gt;='Qualifying Scores'!G$11),AND(G14="11-12",Y14&gt;='Qualifying Scores'!G$10)),X14,0),IF(OR(AND(G14="17-21",AA14&gt;='Qualifying Scores'!G$13),AND(G14="15-16",AA14&gt;='Qualifying Scores'!G$12),AND(G14="13-14",AA14&gt;='Qualifying Scores'!G$11),AND(G14="11-12",AA14&gt;='Qualifying Scores'!G$10)),Z14,0)))</f>
        <v>44.8</v>
      </c>
      <c r="S14" s="4">
        <f>MAX(T14,V14,X14,Z14)</f>
        <v>44.8</v>
      </c>
      <c r="T14" s="33">
        <v>41.1</v>
      </c>
      <c r="U14" s="40">
        <v>7.1</v>
      </c>
      <c r="V14" s="34">
        <v>44.8</v>
      </c>
      <c r="W14" s="40">
        <v>7.9</v>
      </c>
      <c r="X14" s="33">
        <v>20</v>
      </c>
      <c r="Y14" s="40">
        <v>2.8</v>
      </c>
      <c r="Z14" s="34"/>
      <c r="AA14" s="37"/>
    </row>
    <row r="15" spans="1:27" x14ac:dyDescent="0.2">
      <c r="A15" s="1" t="str" cm="1">
        <f t="array" ref="A15">IF(I15="","",IF(P15&lt;&gt;"",SUMPRODUCT((P$3:P$88&lt;&gt;"")*(G$3:G$88=G15)*(J$3:J$88&gt;J15)*(I$3:I$88="P"))+1,IF(O15&lt;&gt;"",SUMPRODUCT((O$3:O$88&lt;&gt;"")*(P$3:P$88="")*(G$3:G$88=G15)*(J$3:J$88&gt;J15)*(I$3:I$88="P"))+SUMPRODUCT((P$3:P$88&lt;&gt;"")*(G$3:G$88=G15)*(I$3:I$88="P"))+1,IF(N15&lt;&gt;"",SUMPRODUCT((N$3:N$88&lt;&gt;"")*(G$3:G$88=G15)*(J$3:J$88&gt;J15)*(I$3:I$88="P"))+1,IF(M15="P",SUMPRODUCT((O$3:O$88&lt;&gt;"")*(P$3:P$88="")*(G$3:G$88=G15)*(I$3:I$88="P"))+SUMPRODUCT((P$3:P$88&lt;&gt;"")*(G$3:G$88=G15)*(I$3:I$88="P"))+SUMPRODUCT((N$3:N$88&lt;&gt;"")*(G$3:G$88=G15)*(I$3:I$88="P"))+SUMPRODUCT((P$3:P$88="")*(O$3:O$88="")*(N$3:N$88="")*(M$3:M$88="P")*(G$3:G$88=G15)*(J$3:J$88&gt;J15)*(I$3:I$88="P"))+IF(H15="L5",SUMPRODUCT((P$3:P$88="")*(O$3:O$88="")*(N$3:N$88="")*(M$3:M$88="P")*(G$3:G$88=G15)*(J$3:J$88&lt;J15)*(H$3:H$88&lt;&gt;H15)*(I$3:I$88="P")),-1*SUMPRODUCT((P$3:P$88="")*(O$3:O$88="")*(N$3:N$88="")*(M$3:M$88="P")*(G$3:G$88=G15)*(J$3:J$88&gt;J15)*(H$3:H$88="L5")*(I$3:I$88="P")))+1,"")))))</f>
        <v/>
      </c>
      <c r="B15" s="1" t="str" cm="1">
        <f t="array" ref="B15">IF(P15&lt;&gt;"",SUMPRODUCT((P$3:P$88&lt;&gt;"")*(G$3:G$88=G15)*(J$3:J$88&gt;J15))+1,IF(O15&lt;&gt;"",SUMPRODUCT((O$3:O$88&lt;&gt;"")*(P$3:P$88="")*(G$3:G$88=G15)*(J$3:J$88&gt;J15))+SUMPRODUCT((P$3:P$88&lt;&gt;"")*(G$3:G$88=G15))+1,IF(N15&lt;&gt;"",SUMPRODUCT((N$3:N$88&lt;&gt;"")*(G$3:G$88=G15)*(J$3:J$88&gt;J15))+1,IF(M15="P",SUMPRODUCT((O$3:O$88&lt;&gt;"")*(P$3:P$88="")*(G$3:G$88=G15))+SUMPRODUCT((P$3:P$88&lt;&gt;"")*(G$3:G$88=G15))+SUMPRODUCT((N$3:N$88&lt;&gt;"")*(G$3:G$88=G15))+SUMPRODUCT((P$3:P$88="")*(O$3:O$88="")*(N$3:N$88="")*(M$3:M$88="P")*(G$3:G$88=G15)*(J$3:J$88&gt;J15))+IF(H15="L5",SUMPRODUCT((P$3:P$88="")*(O$3:O$88="")*(N$3:N$88="")*(M$3:M$88="P")*(G$3:G$88=G15)*(J$3:J$88&lt;J15)*(H$3:H$88&lt;&gt;H15)),-1*SUMPRODUCT((P$3:P$88="")*(O$3:O$88="")*(N$3:N$88="")*(M$3:M$88="P")*(G$3:G$88=G15)*(J$3:J$88&gt;J15)*(H$3:H$88="L5")))+1,""))))</f>
        <v/>
      </c>
      <c r="C15" s="36" t="s">
        <v>83</v>
      </c>
      <c r="D15" s="36" t="str">
        <f>IF(E15="","",VLOOKUP(E15,'Coaching Points'!A:B,2,0))</f>
        <v>BC</v>
      </c>
      <c r="E15" s="36" t="s">
        <v>84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39" t="s">
        <v>117</v>
      </c>
      <c r="I15" s="45"/>
      <c r="J15" s="4">
        <f>R15+IF(OR(H15="Junior",H15="Senior"),0.0002,IF(OR(H15="L7",H15="L6"),0.0001,0))+MAX(X15,Z15)*0.0000001</f>
        <v>44.600104349999995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Scores'!G$13),AND(G15="15-16",U15&gt;='Qualifying Scores'!G$12),AND(G15="13-14",U15&gt;='Qualifying Scores'!G$11),AND(G15="11-12",U15&gt;='Qualifying Scores'!G$10)),T15,0),IF(OR(AND(G15="17-21",W15&gt;='Qualifying Scores'!G$13),AND(G15="15-16",W15&gt;='Qualifying Scores'!G$12),AND(G15="13-14",W15&gt;='Qualifying Scores'!G$11),AND(G15="11-12",W15&gt;='Qualifying Scores'!G$10)),V15,0),IF(OR(AND(G15="17-21",Y15&gt;='Qualifying Scores'!G$13),AND(G15="15-16",Y15&gt;='Qualifying Scores'!G$12),AND(G15="13-14",Y15&gt;='Qualifying Scores'!G$11),AND(G15="11-12",Y15&gt;='Qualifying Scores'!G$10)),X15,0),IF(OR(AND(G15="17-21",AA15&gt;='Qualifying Scores'!G$13),AND(G15="15-16",AA15&gt;='Qualifying Scores'!G$12),AND(G15="13-14",AA15&gt;='Qualifying Scores'!G$11),AND(G15="11-12",AA15&gt;='Qualifying Scores'!G$10)),Z15,0)))</f>
        <v>44.599999999999994</v>
      </c>
      <c r="S15" s="4">
        <f>MAX(T15,V15,X15,Z15)</f>
        <v>44.599999999999994</v>
      </c>
      <c r="T15" s="33">
        <v>44.599999999999994</v>
      </c>
      <c r="U15" s="40">
        <v>7.9</v>
      </c>
      <c r="V15" s="34">
        <v>41.5</v>
      </c>
      <c r="W15" s="40">
        <v>5.5</v>
      </c>
      <c r="X15" s="33">
        <v>43.5</v>
      </c>
      <c r="Y15" s="40">
        <v>8.3000000000000007</v>
      </c>
      <c r="Z15" s="34">
        <v>43.300000000000004</v>
      </c>
      <c r="AA15" s="37">
        <v>8.3000000000000007</v>
      </c>
    </row>
    <row r="16" spans="1:27" x14ac:dyDescent="0.2">
      <c r="A16" s="1" t="str" cm="1">
        <f t="array" ref="A16">IF(I16="","",IF(P16&lt;&gt;"",SUMPRODUCT((P$3:P$88&lt;&gt;"")*(G$3:G$88=G16)*(J$3:J$88&gt;J16)*(I$3:I$88="P"))+1,IF(O16&lt;&gt;"",SUMPRODUCT((O$3:O$88&lt;&gt;"")*(P$3:P$88="")*(G$3:G$88=G16)*(J$3:J$88&gt;J16)*(I$3:I$88="P"))+SUMPRODUCT((P$3:P$88&lt;&gt;"")*(G$3:G$88=G16)*(I$3:I$88="P"))+1,IF(N16&lt;&gt;"",SUMPRODUCT((N$3:N$88&lt;&gt;"")*(G$3:G$88=G16)*(J$3:J$88&gt;J16)*(I$3:I$88="P"))+1,IF(M16="P",SUMPRODUCT((O$3:O$88&lt;&gt;"")*(P$3:P$88="")*(G$3:G$88=G16)*(I$3:I$88="P"))+SUMPRODUCT((P$3:P$88&lt;&gt;"")*(G$3:G$88=G16)*(I$3:I$88="P"))+SUMPRODUCT((N$3:N$88&lt;&gt;"")*(G$3:G$88=G16)*(I$3:I$88="P"))+SUMPRODUCT((P$3:P$88="")*(O$3:O$88="")*(N$3:N$88="")*(M$3:M$88="P")*(G$3:G$88=G16)*(J$3:J$88&gt;J16)*(I$3:I$88="P"))+IF(H16="L5",SUMPRODUCT((P$3:P$88="")*(O$3:O$88="")*(N$3:N$88="")*(M$3:M$88="P")*(G$3:G$88=G16)*(J$3:J$88&lt;J16)*(H$3:H$88&lt;&gt;H16)*(I$3:I$88="P")),-1*SUMPRODUCT((P$3:P$88="")*(O$3:O$88="")*(N$3:N$88="")*(M$3:M$88="P")*(G$3:G$88=G16)*(J$3:J$88&gt;J16)*(H$3:H$88="L5")*(I$3:I$88="P")))+1,"")))))</f>
        <v/>
      </c>
      <c r="B16" s="1" t="str" cm="1">
        <f t="array" ref="B16">IF(P16&lt;&gt;"",SUMPRODUCT((P$3:P$88&lt;&gt;"")*(G$3:G$88=G16)*(J$3:J$88&gt;J16))+1,IF(O16&lt;&gt;"",SUMPRODUCT((O$3:O$88&lt;&gt;"")*(P$3:P$88="")*(G$3:G$88=G16)*(J$3:J$88&gt;J16))+SUMPRODUCT((P$3:P$88&lt;&gt;"")*(G$3:G$88=G16))+1,IF(N16&lt;&gt;"",SUMPRODUCT((N$3:N$88&lt;&gt;"")*(G$3:G$88=G16)*(J$3:J$88&gt;J16))+1,IF(M16="P",SUMPRODUCT((O$3:O$88&lt;&gt;"")*(P$3:P$88="")*(G$3:G$88=G16))+SUMPRODUCT((P$3:P$88&lt;&gt;"")*(G$3:G$88=G16))+SUMPRODUCT((N$3:N$88&lt;&gt;"")*(G$3:G$88=G16))+SUMPRODUCT((P$3:P$88="")*(O$3:O$88="")*(N$3:N$88="")*(M$3:M$88="P")*(G$3:G$88=G16)*(J$3:J$88&gt;J16))+IF(H16="L5",SUMPRODUCT((P$3:P$88="")*(O$3:O$88="")*(N$3:N$88="")*(M$3:M$88="P")*(G$3:G$88=G16)*(J$3:J$88&lt;J16)*(H$3:H$88&lt;&gt;H16)),-1*SUMPRODUCT((P$3:P$88="")*(O$3:O$88="")*(N$3:N$88="")*(M$3:M$88="P")*(G$3:G$88=G16)*(J$3:J$88&gt;J16)*(H$3:H$88="L5")))+1,""))))</f>
        <v/>
      </c>
      <c r="C16" s="36" t="s">
        <v>100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43.900104350000007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Scores'!G$13),AND(G16="15-16",U16&gt;='Qualifying Scores'!G$12),AND(G16="13-14",U16&gt;='Qualifying Scores'!G$11),AND(G16="11-12",U16&gt;='Qualifying Scores'!G$10)),T16,0),IF(OR(AND(G16="17-21",W16&gt;='Qualifying Scores'!G$13),AND(G16="15-16",W16&gt;='Qualifying Scores'!G$12),AND(G16="13-14",W16&gt;='Qualifying Scores'!G$11),AND(G16="11-12",W16&gt;='Qualifying Scores'!G$10)),V16,0),IF(OR(AND(G16="17-21",Y16&gt;='Qualifying Scores'!G$13),AND(G16="15-16",Y16&gt;='Qualifying Scores'!G$12),AND(G16="13-14",Y16&gt;='Qualifying Scores'!G$11),AND(G16="11-12",Y16&gt;='Qualifying Scores'!G$10)),X16,0),IF(OR(AND(G16="17-21",AA16&gt;='Qualifying Scores'!G$13),AND(G16="15-16",AA16&gt;='Qualifying Scores'!G$12),AND(G16="13-14",AA16&gt;='Qualifying Scores'!G$11),AND(G16="11-12",AA16&gt;='Qualifying Scores'!G$10)),Z16,0)))</f>
        <v>43.900000000000006</v>
      </c>
      <c r="S16" s="4">
        <f>MAX(T16,V16,X16,Z16)</f>
        <v>44</v>
      </c>
      <c r="T16" s="33">
        <v>43.900000000000006</v>
      </c>
      <c r="U16" s="40">
        <v>7.1</v>
      </c>
      <c r="V16" s="34">
        <v>44</v>
      </c>
      <c r="W16" s="40">
        <v>6.6999999999999993</v>
      </c>
      <c r="X16" s="33">
        <v>43.2</v>
      </c>
      <c r="Y16" s="40">
        <v>6.3000000000000007</v>
      </c>
      <c r="Z16" s="34">
        <v>43.5</v>
      </c>
      <c r="AA16" s="37">
        <v>7.1</v>
      </c>
    </row>
    <row r="17" spans="1:27" x14ac:dyDescent="0.2">
      <c r="A17" s="1" t="str" cm="1">
        <f t="array" ref="A17">IF(I17="","",IF(P17&lt;&gt;"",SUMPRODUCT((P$3:P$88&lt;&gt;"")*(G$3:G$88=G17)*(J$3:J$88&gt;J17)*(I$3:I$88="P"))+1,IF(O17&lt;&gt;"",SUMPRODUCT((O$3:O$88&lt;&gt;"")*(P$3:P$88="")*(G$3:G$88=G17)*(J$3:J$88&gt;J17)*(I$3:I$88="P"))+SUMPRODUCT((P$3:P$88&lt;&gt;"")*(G$3:G$88=G17)*(I$3:I$88="P"))+1,IF(N17&lt;&gt;"",SUMPRODUCT((N$3:N$88&lt;&gt;"")*(G$3:G$88=G17)*(J$3:J$88&gt;J17)*(I$3:I$88="P"))+1,IF(M17="P",SUMPRODUCT((O$3:O$88&lt;&gt;"")*(P$3:P$88="")*(G$3:G$88=G17)*(I$3:I$88="P"))+SUMPRODUCT((P$3:P$88&lt;&gt;"")*(G$3:G$88=G17)*(I$3:I$88="P"))+SUMPRODUCT((N$3:N$88&lt;&gt;"")*(G$3:G$88=G17)*(I$3:I$88="P"))+SUMPRODUCT((P$3:P$88="")*(O$3:O$88="")*(N$3:N$88="")*(M$3:M$88="P")*(G$3:G$88=G17)*(J$3:J$88&gt;J17)*(I$3:I$88="P"))+IF(H17="L5",SUMPRODUCT((P$3:P$88="")*(O$3:O$88="")*(N$3:N$88="")*(M$3:M$88="P")*(G$3:G$88=G17)*(J$3:J$88&lt;J17)*(H$3:H$88&lt;&gt;H17)*(I$3:I$88="P")),-1*SUMPRODUCT((P$3:P$88="")*(O$3:O$88="")*(N$3:N$88="")*(M$3:M$88="P")*(G$3:G$88=G17)*(J$3:J$88&gt;J17)*(H$3:H$88="L5")*(I$3:I$88="P")))+1,"")))))</f>
        <v/>
      </c>
      <c r="B17" s="1" t="str" cm="1">
        <f t="array" ref="B17">IF(P17&lt;&gt;"",SUMPRODUCT((P$3:P$88&lt;&gt;"")*(G$3:G$88=G17)*(J$3:J$88&gt;J17))+1,IF(O17&lt;&gt;"",SUMPRODUCT((O$3:O$88&lt;&gt;"")*(P$3:P$88="")*(G$3:G$88=G17)*(J$3:J$88&gt;J17))+SUMPRODUCT((P$3:P$88&lt;&gt;"")*(G$3:G$88=G17))+1,IF(N17&lt;&gt;"",SUMPRODUCT((N$3:N$88&lt;&gt;"")*(G$3:G$88=G17)*(J$3:J$88&gt;J17))+1,IF(M17="P",SUMPRODUCT((O$3:O$88&lt;&gt;"")*(P$3:P$88="")*(G$3:G$88=G17))+SUMPRODUCT((P$3:P$88&lt;&gt;"")*(G$3:G$88=G17))+SUMPRODUCT((N$3:N$88&lt;&gt;"")*(G$3:G$88=G17))+SUMPRODUCT((P$3:P$88="")*(O$3:O$88="")*(N$3:N$88="")*(M$3:M$88="P")*(G$3:G$88=G17)*(J$3:J$88&gt;J17))+IF(H17="L5",SUMPRODUCT((P$3:P$88="")*(O$3:O$88="")*(N$3:N$88="")*(M$3:M$88="P")*(G$3:G$88=G17)*(J$3:J$88&lt;J17)*(H$3:H$88&lt;&gt;H17)),-1*SUMPRODUCT((P$3:P$88="")*(O$3:O$88="")*(N$3:N$88="")*(M$3:M$88="P")*(G$3:G$88=G17)*(J$3:J$88&gt;J17)*(H$3:H$88="L5")))+1,""))))</f>
        <v/>
      </c>
      <c r="C17" s="36" t="s">
        <v>101</v>
      </c>
      <c r="D17" s="36" t="str">
        <f>IF(E17="","",VLOOKUP(E17,'Coaching Points'!A:B,2,0))</f>
        <v>BC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39" t="s">
        <v>117</v>
      </c>
      <c r="I17" s="45"/>
      <c r="J17" s="4">
        <f>R17+IF(OR(H17="Junior",H17="Senior"),0.0002,IF(OR(H17="L7",H17="L6"),0.0001,0))+MAX(X17,Z17)*0.0000001</f>
        <v>43.90010431000001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>P</v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Scores'!G$13),AND(G17="15-16",U17&gt;='Qualifying Scores'!G$12),AND(G17="13-14",U17&gt;='Qualifying Scores'!G$11),AND(G17="11-12",U17&gt;='Qualifying Scores'!G$10)),T17,0),IF(OR(AND(G17="17-21",W17&gt;='Qualifying Scores'!G$13),AND(G17="15-16",W17&gt;='Qualifying Scores'!G$12),AND(G17="13-14",W17&gt;='Qualifying Scores'!G$11),AND(G17="11-12",W17&gt;='Qualifying Scores'!G$10)),V17,0),IF(OR(AND(G17="17-21",Y17&gt;='Qualifying Scores'!G$13),AND(G17="15-16",Y17&gt;='Qualifying Scores'!G$12),AND(G17="13-14",Y17&gt;='Qualifying Scores'!G$11),AND(G17="11-12",Y17&gt;='Qualifying Scores'!G$10)),X17,0),IF(OR(AND(G17="17-21",AA17&gt;='Qualifying Scores'!G$13),AND(G17="15-16",AA17&gt;='Qualifying Scores'!G$12),AND(G17="13-14",AA17&gt;='Qualifying Scores'!G$11),AND(G17="11-12",AA17&gt;='Qualifying Scores'!G$10)),Z17,0)))</f>
        <v>43.900000000000006</v>
      </c>
      <c r="S17" s="4">
        <f>MAX(T17,V17,X17,Z17)</f>
        <v>43.900000000000006</v>
      </c>
      <c r="T17" s="33">
        <v>43.8</v>
      </c>
      <c r="U17" s="40">
        <v>8</v>
      </c>
      <c r="V17" s="34">
        <v>43.900000000000006</v>
      </c>
      <c r="W17" s="40">
        <v>8</v>
      </c>
      <c r="X17" s="33">
        <v>43.099999999999987</v>
      </c>
      <c r="Y17" s="40">
        <v>7.2</v>
      </c>
      <c r="Z17" s="34">
        <v>43.099999999999994</v>
      </c>
      <c r="AA17" s="37">
        <v>8</v>
      </c>
    </row>
    <row r="18" spans="1:27" x14ac:dyDescent="0.2">
      <c r="A18" s="1" t="str" cm="1">
        <f t="array" ref="A18">IF(I18="","",IF(P18&lt;&gt;"",SUMPRODUCT((P$3:P$88&lt;&gt;"")*(G$3:G$88=G18)*(J$3:J$88&gt;J18)*(I$3:I$88="P"))+1,IF(O18&lt;&gt;"",SUMPRODUCT((O$3:O$88&lt;&gt;"")*(P$3:P$88="")*(G$3:G$88=G18)*(J$3:J$88&gt;J18)*(I$3:I$88="P"))+SUMPRODUCT((P$3:P$88&lt;&gt;"")*(G$3:G$88=G18)*(I$3:I$88="P"))+1,IF(N18&lt;&gt;"",SUMPRODUCT((N$3:N$88&lt;&gt;"")*(G$3:G$88=G18)*(J$3:J$88&gt;J18)*(I$3:I$88="P"))+1,IF(M18="P",SUMPRODUCT((O$3:O$88&lt;&gt;"")*(P$3:P$88="")*(G$3:G$88=G18)*(I$3:I$88="P"))+SUMPRODUCT((P$3:P$88&lt;&gt;"")*(G$3:G$88=G18)*(I$3:I$88="P"))+SUMPRODUCT((N$3:N$88&lt;&gt;"")*(G$3:G$88=G18)*(I$3:I$88="P"))+SUMPRODUCT((P$3:P$88="")*(O$3:O$88="")*(N$3:N$88="")*(M$3:M$88="P")*(G$3:G$88=G18)*(J$3:J$88&gt;J18)*(I$3:I$88="P"))+IF(H18="L5",SUMPRODUCT((P$3:P$88="")*(O$3:O$88="")*(N$3:N$88="")*(M$3:M$88="P")*(G$3:G$88=G18)*(J$3:J$88&lt;J18)*(H$3:H$88&lt;&gt;H18)*(I$3:I$88="P")),-1*SUMPRODUCT((P$3:P$88="")*(O$3:O$88="")*(N$3:N$88="")*(M$3:M$88="P")*(G$3:G$88=G18)*(J$3:J$88&gt;J18)*(H$3:H$88="L5")*(I$3:I$88="P")))+1,"")))))</f>
        <v/>
      </c>
      <c r="B18" s="1" t="str" cm="1">
        <f t="array" ref="B18">IF(P18&lt;&gt;"",SUMPRODUCT((P$3:P$88&lt;&gt;"")*(G$3:G$88=G18)*(J$3:J$88&gt;J18))+1,IF(O18&lt;&gt;"",SUMPRODUCT((O$3:O$88&lt;&gt;"")*(P$3:P$88="")*(G$3:G$88=G18)*(J$3:J$88&gt;J18))+SUMPRODUCT((P$3:P$88&lt;&gt;"")*(G$3:G$88=G18))+1,IF(N18&lt;&gt;"",SUMPRODUCT((N$3:N$88&lt;&gt;"")*(G$3:G$88=G18)*(J$3:J$88&gt;J18))+1,IF(M18="P",SUMPRODUCT((O$3:O$88&lt;&gt;"")*(P$3:P$88="")*(G$3:G$88=G18))+SUMPRODUCT((P$3:P$88&lt;&gt;"")*(G$3:G$88=G18))+SUMPRODUCT((N$3:N$88&lt;&gt;"")*(G$3:G$88=G18))+SUMPRODUCT((P$3:P$88="")*(O$3:O$88="")*(N$3:N$88="")*(M$3:M$88="P")*(G$3:G$88=G18)*(J$3:J$88&gt;J18))+IF(H18="L5",SUMPRODUCT((P$3:P$88="")*(O$3:O$88="")*(N$3:N$88="")*(M$3:M$88="P")*(G$3:G$88=G18)*(J$3:J$88&lt;J18)*(H$3:H$88&lt;&gt;H18)),-1*SUMPRODUCT((P$3:P$88="")*(O$3:O$88="")*(N$3:N$88="")*(M$3:M$88="P")*(G$3:G$88=G18)*(J$3:J$88&gt;J18)*(H$3:H$88="L5")))+1,""))))</f>
        <v/>
      </c>
      <c r="C18" s="36" t="s">
        <v>290</v>
      </c>
      <c r="D18" s="36" t="s">
        <v>356</v>
      </c>
      <c r="E18" s="36" t="s">
        <v>42</v>
      </c>
      <c r="F18" s="35">
        <v>2001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43.800004379999997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>P</v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Scores'!G$13),AND(G18="15-16",U18&gt;='Qualifying Scores'!G$12),AND(G18="13-14",U18&gt;='Qualifying Scores'!G$11),AND(G18="11-12",U18&gt;='Qualifying Scores'!G$10)),T18,0),IF(OR(AND(G18="17-21",W18&gt;='Qualifying Scores'!G$13),AND(G18="15-16",W18&gt;='Qualifying Scores'!G$12),AND(G18="13-14",W18&gt;='Qualifying Scores'!G$11),AND(G18="11-12",W18&gt;='Qualifying Scores'!G$10)),V18,0),IF(OR(AND(G18="17-21",Y18&gt;='Qualifying Scores'!G$13),AND(G18="15-16",Y18&gt;='Qualifying Scores'!G$12),AND(G18="13-14",Y18&gt;='Qualifying Scores'!G$11),AND(G18="11-12",Y18&gt;='Qualifying Scores'!G$10)),X18,0),IF(OR(AND(G18="17-21",AA18&gt;='Qualifying Scores'!G$13),AND(G18="15-16",AA18&gt;='Qualifying Scores'!G$12),AND(G18="13-14",AA18&gt;='Qualifying Scores'!G$11),AND(G18="11-12",AA18&gt;='Qualifying Scores'!G$10)),Z18,0)))</f>
        <v>43.8</v>
      </c>
      <c r="S18" s="4">
        <f>MAX(T18,V18,X18,Z18)</f>
        <v>43.8</v>
      </c>
      <c r="T18" s="33"/>
      <c r="U18" s="40"/>
      <c r="V18" s="34"/>
      <c r="W18" s="40"/>
      <c r="X18" s="33">
        <v>42.4</v>
      </c>
      <c r="Y18" s="40">
        <v>6.9</v>
      </c>
      <c r="Z18" s="34">
        <v>43.8</v>
      </c>
      <c r="AA18" s="37">
        <v>7.1999999999999993</v>
      </c>
    </row>
    <row r="19" spans="1:27" x14ac:dyDescent="0.2">
      <c r="A19" s="1" t="str" cm="1">
        <f t="array" ref="A19">IF(I19="","",IF(P19&lt;&gt;"",SUMPRODUCT((P$3:P$88&lt;&gt;"")*(G$3:G$88=G19)*(J$3:J$88&gt;J19)*(I$3:I$88="P"))+1,IF(O19&lt;&gt;"",SUMPRODUCT((O$3:O$88&lt;&gt;"")*(P$3:P$88="")*(G$3:G$88=G19)*(J$3:J$88&gt;J19)*(I$3:I$88="P"))+SUMPRODUCT((P$3:P$88&lt;&gt;"")*(G$3:G$88=G19)*(I$3:I$88="P"))+1,IF(N19&lt;&gt;"",SUMPRODUCT((N$3:N$88&lt;&gt;"")*(G$3:G$88=G19)*(J$3:J$88&gt;J19)*(I$3:I$88="P"))+1,IF(M19="P",SUMPRODUCT((O$3:O$88&lt;&gt;"")*(P$3:P$88="")*(G$3:G$88=G19)*(I$3:I$88="P"))+SUMPRODUCT((P$3:P$88&lt;&gt;"")*(G$3:G$88=G19)*(I$3:I$88="P"))+SUMPRODUCT((N$3:N$88&lt;&gt;"")*(G$3:G$88=G19)*(I$3:I$88="P"))+SUMPRODUCT((P$3:P$88="")*(O$3:O$88="")*(N$3:N$88="")*(M$3:M$88="P")*(G$3:G$88=G19)*(J$3:J$88&gt;J19)*(I$3:I$88="P"))+IF(H19="L5",SUMPRODUCT((P$3:P$88="")*(O$3:O$88="")*(N$3:N$88="")*(M$3:M$88="P")*(G$3:G$88=G19)*(J$3:J$88&lt;J19)*(H$3:H$88&lt;&gt;H19)*(I$3:I$88="P")),-1*SUMPRODUCT((P$3:P$88="")*(O$3:O$88="")*(N$3:N$88="")*(M$3:M$88="P")*(G$3:G$88=G19)*(J$3:J$88&gt;J19)*(H$3:H$88="L5")*(I$3:I$88="P")))+1,"")))))</f>
        <v/>
      </c>
      <c r="B19" s="1" t="str" cm="1">
        <f t="array" ref="B19">IF(P19&lt;&gt;"",SUMPRODUCT((P$3:P$88&lt;&gt;"")*(G$3:G$88=G19)*(J$3:J$88&gt;J19))+1,IF(O19&lt;&gt;"",SUMPRODUCT((O$3:O$88&lt;&gt;"")*(P$3:P$88="")*(G$3:G$88=G19)*(J$3:J$88&gt;J19))+SUMPRODUCT((P$3:P$88&lt;&gt;"")*(G$3:G$88=G19))+1,IF(N19&lt;&gt;"",SUMPRODUCT((N$3:N$88&lt;&gt;"")*(G$3:G$88=G19)*(J$3:J$88&gt;J19))+1,IF(M19="P",SUMPRODUCT((O$3:O$88&lt;&gt;"")*(P$3:P$88="")*(G$3:G$88=G19))+SUMPRODUCT((P$3:P$88&lt;&gt;"")*(G$3:G$88=G19))+SUMPRODUCT((N$3:N$88&lt;&gt;"")*(G$3:G$88=G19))+SUMPRODUCT((P$3:P$88="")*(O$3:O$88="")*(N$3:N$88="")*(M$3:M$88="P")*(G$3:G$88=G19)*(J$3:J$88&gt;J19))+IF(H19="L5",SUMPRODUCT((P$3:P$88="")*(O$3:O$88="")*(N$3:N$88="")*(M$3:M$88="P")*(G$3:G$88=G19)*(J$3:J$88&lt;J19)*(H$3:H$88&lt;&gt;H19)),-1*SUMPRODUCT((P$3:P$88="")*(O$3:O$88="")*(N$3:N$88="")*(M$3:M$88="P")*(G$3:G$88=G19)*(J$3:J$88&gt;J19)*(H$3:H$88="L5")))+1,""))))</f>
        <v/>
      </c>
      <c r="C19" s="36" t="s">
        <v>74</v>
      </c>
      <c r="D19" s="36" t="str">
        <f>IF(E19="","",VLOOKUP(E19,'Coaching Points'!A:B,2,0))</f>
        <v>SK</v>
      </c>
      <c r="E19" s="36" t="s">
        <v>46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R19+IF(OR(H19="Junior",H19="Senior"),0.0002,IF(OR(H19="L7",H19="L6"),0.0001,0))+MAX(X19,Z19)*0.0000001</f>
        <v>43.700104370000005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>P</v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Scores'!G$13),AND(G19="15-16",U19&gt;='Qualifying Scores'!G$12),AND(G19="13-14",U19&gt;='Qualifying Scores'!G$11),AND(G19="11-12",U19&gt;='Qualifying Scores'!G$10)),T19,0),IF(OR(AND(G19="17-21",W19&gt;='Qualifying Scores'!G$13),AND(G19="15-16",W19&gt;='Qualifying Scores'!G$12),AND(G19="13-14",W19&gt;='Qualifying Scores'!G$11),AND(G19="11-12",W19&gt;='Qualifying Scores'!G$10)),V19,0),IF(OR(AND(G19="17-21",Y19&gt;='Qualifying Scores'!G$13),AND(G19="15-16",Y19&gt;='Qualifying Scores'!G$12),AND(G19="13-14",Y19&gt;='Qualifying Scores'!G$11),AND(G19="11-12",Y19&gt;='Qualifying Scores'!G$10)),X19,0),IF(OR(AND(G19="17-21",AA19&gt;='Qualifying Scores'!G$13),AND(G19="15-16",AA19&gt;='Qualifying Scores'!G$12),AND(G19="13-14",AA19&gt;='Qualifying Scores'!G$11),AND(G19="11-12",AA19&gt;='Qualifying Scores'!G$10)),Z19,0)))</f>
        <v>43.7</v>
      </c>
      <c r="S19" s="4">
        <f>MAX(T19,V19,X19,Z19)</f>
        <v>43.7</v>
      </c>
      <c r="T19" s="33">
        <v>42.5</v>
      </c>
      <c r="U19" s="40">
        <v>6.3</v>
      </c>
      <c r="V19" s="34">
        <v>43.099999999999994</v>
      </c>
      <c r="W19" s="40">
        <v>6.4</v>
      </c>
      <c r="X19" s="33">
        <v>43.7</v>
      </c>
      <c r="Y19" s="40">
        <v>7.1</v>
      </c>
      <c r="Z19" s="34">
        <v>37.9</v>
      </c>
      <c r="AA19" s="37">
        <v>3.5999999999999996</v>
      </c>
    </row>
    <row r="20" spans="1:27" x14ac:dyDescent="0.2">
      <c r="A20" s="1" t="str" cm="1">
        <f t="array" ref="A20">IF(I20="","",IF(P20&lt;&gt;"",SUMPRODUCT((P$3:P$88&lt;&gt;"")*(G$3:G$88=G20)*(J$3:J$88&gt;J20)*(I$3:I$88="P"))+1,IF(O20&lt;&gt;"",SUMPRODUCT((O$3:O$88&lt;&gt;"")*(P$3:P$88="")*(G$3:G$88=G20)*(J$3:J$88&gt;J20)*(I$3:I$88="P"))+SUMPRODUCT((P$3:P$88&lt;&gt;"")*(G$3:G$88=G20)*(I$3:I$88="P"))+1,IF(N20&lt;&gt;"",SUMPRODUCT((N$3:N$88&lt;&gt;"")*(G$3:G$88=G20)*(J$3:J$88&gt;J20)*(I$3:I$88="P"))+1,IF(M20="P",SUMPRODUCT((O$3:O$88&lt;&gt;"")*(P$3:P$88="")*(G$3:G$88=G20)*(I$3:I$88="P"))+SUMPRODUCT((P$3:P$88&lt;&gt;"")*(G$3:G$88=G20)*(I$3:I$88="P"))+SUMPRODUCT((N$3:N$88&lt;&gt;"")*(G$3:G$88=G20)*(I$3:I$88="P"))+SUMPRODUCT((P$3:P$88="")*(O$3:O$88="")*(N$3:N$88="")*(M$3:M$88="P")*(G$3:G$88=G20)*(J$3:J$88&gt;J20)*(I$3:I$88="P"))+IF(H20="L5",SUMPRODUCT((P$3:P$88="")*(O$3:O$88="")*(N$3:N$88="")*(M$3:M$88="P")*(G$3:G$88=G20)*(J$3:J$88&lt;J20)*(H$3:H$88&lt;&gt;H20)*(I$3:I$88="P")),-1*SUMPRODUCT((P$3:P$88="")*(O$3:O$88="")*(N$3:N$88="")*(M$3:M$88="P")*(G$3:G$88=G20)*(J$3:J$88&gt;J20)*(H$3:H$88="L5")*(I$3:I$88="P")))+1,"")))))</f>
        <v/>
      </c>
      <c r="B20" s="1" t="str" cm="1">
        <f t="array" ref="B20">IF(P20&lt;&gt;"",SUMPRODUCT((P$3:P$88&lt;&gt;"")*(G$3:G$88=G20)*(J$3:J$88&gt;J20))+1,IF(O20&lt;&gt;"",SUMPRODUCT((O$3:O$88&lt;&gt;"")*(P$3:P$88="")*(G$3:G$88=G20)*(J$3:J$88&gt;J20))+SUMPRODUCT((P$3:P$88&lt;&gt;"")*(G$3:G$88=G20))+1,IF(N20&lt;&gt;"",SUMPRODUCT((N$3:N$88&lt;&gt;"")*(G$3:G$88=G20)*(J$3:J$88&gt;J20))+1,IF(M20="P",SUMPRODUCT((O$3:O$88&lt;&gt;"")*(P$3:P$88="")*(G$3:G$88=G20))+SUMPRODUCT((P$3:P$88&lt;&gt;"")*(G$3:G$88=G20))+SUMPRODUCT((N$3:N$88&lt;&gt;"")*(G$3:G$88=G20))+SUMPRODUCT((P$3:P$88="")*(O$3:O$88="")*(N$3:N$88="")*(M$3:M$88="P")*(G$3:G$88=G20)*(J$3:J$88&gt;J20))+IF(H20="L5",SUMPRODUCT((P$3:P$88="")*(O$3:O$88="")*(N$3:N$88="")*(M$3:M$88="P")*(G$3:G$88=G20)*(J$3:J$88&lt;J20)*(H$3:H$88&lt;&gt;H20)),-1*SUMPRODUCT((P$3:P$88="")*(O$3:O$88="")*(N$3:N$88="")*(M$3:M$88="P")*(G$3:G$88=G20)*(J$3:J$88&gt;J20)*(H$3:H$88="L5")))+1,""))))</f>
        <v/>
      </c>
      <c r="C20" s="36" t="s">
        <v>77</v>
      </c>
      <c r="D20" s="36" t="str">
        <f>IF(E20="","",VLOOKUP(E20,'Coaching Points'!A:B,2,0))</f>
        <v>BC</v>
      </c>
      <c r="E20" s="36" t="s">
        <v>47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42.800104279999999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>P</v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Scores'!G$13),AND(G20="15-16",U20&gt;='Qualifying Scores'!G$12),AND(G20="13-14",U20&gt;='Qualifying Scores'!G$11),AND(G20="11-12",U20&gt;='Qualifying Scores'!G$10)),T20,0),IF(OR(AND(G20="17-21",W20&gt;='Qualifying Scores'!G$13),AND(G20="15-16",W20&gt;='Qualifying Scores'!G$12),AND(G20="13-14",W20&gt;='Qualifying Scores'!G$11),AND(G20="11-12",W20&gt;='Qualifying Scores'!G$10)),V20,0),IF(OR(AND(G20="17-21",Y20&gt;='Qualifying Scores'!G$13),AND(G20="15-16",Y20&gt;='Qualifying Scores'!G$12),AND(G20="13-14",Y20&gt;='Qualifying Scores'!G$11),AND(G20="11-12",Y20&gt;='Qualifying Scores'!G$10)),X20,0),IF(OR(AND(G20="17-21",AA20&gt;='Qualifying Scores'!G$13),AND(G20="15-16",AA20&gt;='Qualifying Scores'!G$12),AND(G20="13-14",AA20&gt;='Qualifying Scores'!G$11),AND(G20="11-12",AA20&gt;='Qualifying Scores'!G$10)),Z20,0)))</f>
        <v>42.8</v>
      </c>
      <c r="S20" s="4">
        <f>MAX(T20,V20,X20,Z20)</f>
        <v>42.86</v>
      </c>
      <c r="T20" s="33">
        <v>42.7</v>
      </c>
      <c r="U20" s="40">
        <v>6.3</v>
      </c>
      <c r="V20" s="34">
        <v>42.86</v>
      </c>
      <c r="W20" s="40">
        <v>6.6999999999999993</v>
      </c>
      <c r="X20" s="33">
        <v>42.8</v>
      </c>
      <c r="Y20" s="40">
        <v>7.1</v>
      </c>
      <c r="Z20" s="34">
        <v>41.9</v>
      </c>
      <c r="AA20" s="37">
        <v>6.3000000000000007</v>
      </c>
    </row>
    <row r="21" spans="1:27" x14ac:dyDescent="0.2">
      <c r="A21" s="1" t="str" cm="1">
        <f t="array" ref="A21">IF(I21="","",IF(P21&lt;&gt;"",SUMPRODUCT((P$3:P$88&lt;&gt;"")*(G$3:G$88=G21)*(J$3:J$88&gt;J21)*(I$3:I$88="P"))+1,IF(O21&lt;&gt;"",SUMPRODUCT((O$3:O$88&lt;&gt;"")*(P$3:P$88="")*(G$3:G$88=G21)*(J$3:J$88&gt;J21)*(I$3:I$88="P"))+SUMPRODUCT((P$3:P$88&lt;&gt;"")*(G$3:G$88=G21)*(I$3:I$88="P"))+1,IF(N21&lt;&gt;"",SUMPRODUCT((N$3:N$88&lt;&gt;"")*(G$3:G$88=G21)*(J$3:J$88&gt;J21)*(I$3:I$88="P"))+1,IF(M21="P",SUMPRODUCT((O$3:O$88&lt;&gt;"")*(P$3:P$88="")*(G$3:G$88=G21)*(I$3:I$88="P"))+SUMPRODUCT((P$3:P$88&lt;&gt;"")*(G$3:G$88=G21)*(I$3:I$88="P"))+SUMPRODUCT((N$3:N$88&lt;&gt;"")*(G$3:G$88=G21)*(I$3:I$88="P"))+SUMPRODUCT((P$3:P$88="")*(O$3:O$88="")*(N$3:N$88="")*(M$3:M$88="P")*(G$3:G$88=G21)*(J$3:J$88&gt;J21)*(I$3:I$88="P"))+IF(H21="L5",SUMPRODUCT((P$3:P$88="")*(O$3:O$88="")*(N$3:N$88="")*(M$3:M$88="P")*(G$3:G$88=G21)*(J$3:J$88&lt;J21)*(H$3:H$88&lt;&gt;H21)*(I$3:I$88="P")),-1*SUMPRODUCT((P$3:P$88="")*(O$3:O$88="")*(N$3:N$88="")*(M$3:M$88="P")*(G$3:G$88=G21)*(J$3:J$88&gt;J21)*(H$3:H$88="L5")*(I$3:I$88="P")))+1,"")))))</f>
        <v/>
      </c>
      <c r="B21" s="1" t="str" cm="1">
        <f t="array" ref="B21">IF(P21&lt;&gt;"",SUMPRODUCT((P$3:P$88&lt;&gt;"")*(G$3:G$88=G21)*(J$3:J$88&gt;J21))+1,IF(O21&lt;&gt;"",SUMPRODUCT((O$3:O$88&lt;&gt;"")*(P$3:P$88="")*(G$3:G$88=G21)*(J$3:J$88&gt;J21))+SUMPRODUCT((P$3:P$88&lt;&gt;"")*(G$3:G$88=G21))+1,IF(N21&lt;&gt;"",SUMPRODUCT((N$3:N$88&lt;&gt;"")*(G$3:G$88=G21)*(J$3:J$88&gt;J21))+1,IF(M21="P",SUMPRODUCT((O$3:O$88&lt;&gt;"")*(P$3:P$88="")*(G$3:G$88=G21))+SUMPRODUCT((P$3:P$88&lt;&gt;"")*(G$3:G$88=G21))+SUMPRODUCT((N$3:N$88&lt;&gt;"")*(G$3:G$88=G21))+SUMPRODUCT((P$3:P$88="")*(O$3:O$88="")*(N$3:N$88="")*(M$3:M$88="P")*(G$3:G$88=G21)*(J$3:J$88&gt;J21))+IF(H21="L5",SUMPRODUCT((P$3:P$88="")*(O$3:O$88="")*(N$3:N$88="")*(M$3:M$88="P")*(G$3:G$88=G21)*(J$3:J$88&lt;J21)*(H$3:H$88&lt;&gt;H21)),-1*SUMPRODUCT((P$3:P$88="")*(O$3:O$88="")*(N$3:N$88="")*(M$3:M$88="P")*(G$3:G$88=G21)*(J$3:J$88&gt;J21)*(H$3:H$88="L5")))+1,""))))</f>
        <v/>
      </c>
      <c r="C21" s="36" t="s">
        <v>113</v>
      </c>
      <c r="D21" s="36" t="str">
        <f>IF(E21="","",VLOOKUP(E21,'Coaching Points'!A:B,2,0))</f>
        <v>BC</v>
      </c>
      <c r="E21" s="36" t="s">
        <v>42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39" t="s">
        <v>168</v>
      </c>
      <c r="I21" s="45"/>
      <c r="J21" s="4">
        <f>R21+IF(OR(H21="Junior",H21="Senior"),0.0002,IF(OR(H21="L7",H21="L6"),0.0001,0))+MAX(X21,Z21)*0.0000001</f>
        <v>42.200204220000003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>P</v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Scores'!G$13),AND(G21="15-16",U21&gt;='Qualifying Scores'!G$12),AND(G21="13-14",U21&gt;='Qualifying Scores'!G$11),AND(G21="11-12",U21&gt;='Qualifying Scores'!G$10)),T21,0),IF(OR(AND(G21="17-21",W21&gt;='Qualifying Scores'!G$13),AND(G21="15-16",W21&gt;='Qualifying Scores'!G$12),AND(G21="13-14",W21&gt;='Qualifying Scores'!G$11),AND(G21="11-12",W21&gt;='Qualifying Scores'!G$10)),V21,0),IF(OR(AND(G21="17-21",Y21&gt;='Qualifying Scores'!G$13),AND(G21="15-16",Y21&gt;='Qualifying Scores'!G$12),AND(G21="13-14",Y21&gt;='Qualifying Scores'!G$11),AND(G21="11-12",Y21&gt;='Qualifying Scores'!G$10)),X21,0),IF(OR(AND(G21="17-21",AA21&gt;='Qualifying Scores'!G$13),AND(G21="15-16",AA21&gt;='Qualifying Scores'!G$12),AND(G21="13-14",AA21&gt;='Qualifying Scores'!G$11),AND(G21="11-12",AA21&gt;='Qualifying Scores'!G$10)),Z21,0)))</f>
        <v>42.2</v>
      </c>
      <c r="S21" s="4">
        <f>MAX(T21,V21,X21,Z21)</f>
        <v>42.2</v>
      </c>
      <c r="T21" s="33">
        <v>40.5</v>
      </c>
      <c r="U21" s="40">
        <v>5.1999999999999993</v>
      </c>
      <c r="V21" s="34">
        <v>40.299999999999997</v>
      </c>
      <c r="W21" s="40">
        <v>5.1999999999999993</v>
      </c>
      <c r="X21" s="33">
        <v>42.2</v>
      </c>
      <c r="Y21" s="40">
        <v>8.6</v>
      </c>
      <c r="Z21" s="34"/>
      <c r="AA21" s="37"/>
    </row>
    <row r="22" spans="1:27" x14ac:dyDescent="0.2">
      <c r="A22" s="1" t="str" cm="1">
        <f t="array" ref="A22">IF(I22="","",IF(P22&lt;&gt;"",SUMPRODUCT((P$3:P$88&lt;&gt;"")*(G$3:G$88=G22)*(J$3:J$88&gt;J22)*(I$3:I$88="P"))+1,IF(O22&lt;&gt;"",SUMPRODUCT((O$3:O$88&lt;&gt;"")*(P$3:P$88="")*(G$3:G$88=G22)*(J$3:J$88&gt;J22)*(I$3:I$88="P"))+SUMPRODUCT((P$3:P$88&lt;&gt;"")*(G$3:G$88=G22)*(I$3:I$88="P"))+1,IF(N22&lt;&gt;"",SUMPRODUCT((N$3:N$88&lt;&gt;"")*(G$3:G$88=G22)*(J$3:J$88&gt;J22)*(I$3:I$88="P"))+1,IF(M22="P",SUMPRODUCT((O$3:O$88&lt;&gt;"")*(P$3:P$88="")*(G$3:G$88=G22)*(I$3:I$88="P"))+SUMPRODUCT((P$3:P$88&lt;&gt;"")*(G$3:G$88=G22)*(I$3:I$88="P"))+SUMPRODUCT((N$3:N$88&lt;&gt;"")*(G$3:G$88=G22)*(I$3:I$88="P"))+SUMPRODUCT((P$3:P$88="")*(O$3:O$88="")*(N$3:N$88="")*(M$3:M$88="P")*(G$3:G$88=G22)*(J$3:J$88&gt;J22)*(I$3:I$88="P"))+IF(H22="L5",SUMPRODUCT((P$3:P$88="")*(O$3:O$88="")*(N$3:N$88="")*(M$3:M$88="P")*(G$3:G$88=G22)*(J$3:J$88&lt;J22)*(H$3:H$88&lt;&gt;H22)*(I$3:I$88="P")),-1*SUMPRODUCT((P$3:P$88="")*(O$3:O$88="")*(N$3:N$88="")*(M$3:M$88="P")*(G$3:G$88=G22)*(J$3:J$88&gt;J22)*(H$3:H$88="L5")*(I$3:I$88="P")))+1,"")))))</f>
        <v/>
      </c>
      <c r="B22" s="1" t="str" cm="1">
        <f t="array" ref="B22">IF(P22&lt;&gt;"",SUMPRODUCT((P$3:P$88&lt;&gt;"")*(G$3:G$88=G22)*(J$3:J$88&gt;J22))+1,IF(O22&lt;&gt;"",SUMPRODUCT((O$3:O$88&lt;&gt;"")*(P$3:P$88="")*(G$3:G$88=G22)*(J$3:J$88&gt;J22))+SUMPRODUCT((P$3:P$88&lt;&gt;"")*(G$3:G$88=G22))+1,IF(N22&lt;&gt;"",SUMPRODUCT((N$3:N$88&lt;&gt;"")*(G$3:G$88=G22)*(J$3:J$88&gt;J22))+1,IF(M22="P",SUMPRODUCT((O$3:O$88&lt;&gt;"")*(P$3:P$88="")*(G$3:G$88=G22))+SUMPRODUCT((P$3:P$88&lt;&gt;"")*(G$3:G$88=G22))+SUMPRODUCT((N$3:N$88&lt;&gt;"")*(G$3:G$88=G22))+SUMPRODUCT((P$3:P$88="")*(O$3:O$88="")*(N$3:N$88="")*(M$3:M$88="P")*(G$3:G$88=G22)*(J$3:J$88&gt;J22))+IF(H22="L5",SUMPRODUCT((P$3:P$88="")*(O$3:O$88="")*(N$3:N$88="")*(M$3:M$88="P")*(G$3:G$88=G22)*(J$3:J$88&lt;J22)*(H$3:H$88&lt;&gt;H22)),-1*SUMPRODUCT((P$3:P$88="")*(O$3:O$88="")*(N$3:N$88="")*(M$3:M$88="P")*(G$3:G$88=G22)*(J$3:J$88&gt;J22)*(H$3:H$88="L5")))+1,""))))</f>
        <v/>
      </c>
      <c r="C22" s="36" t="s">
        <v>106</v>
      </c>
      <c r="D22" s="36" t="str">
        <f>IF(E22="","",VLOOKUP(E22,'Coaching Points'!A:B,2,0))</f>
        <v>AB</v>
      </c>
      <c r="E22" s="36" t="s">
        <v>29</v>
      </c>
      <c r="F22" s="35">
        <v>2003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39" t="s">
        <v>168</v>
      </c>
      <c r="I22" s="45" t="s">
        <v>604</v>
      </c>
      <c r="J22" s="4">
        <f>R22+IF(OR(H22="Junior",H22="Senior"),0.0002,IF(OR(H22="L7",H22="L6"),0.0001,0))+MAX(X22,Z22)*0.0000001</f>
        <v>2.0224000000000002E-4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Scores'!G$13),AND(G22="15-16",U22&gt;='Qualifying Scores'!G$12),AND(G22="13-14",U22&gt;='Qualifying Scores'!G$11),AND(G22="11-12",U22&gt;='Qualifying Scores'!G$10)),T22,0),IF(OR(AND(G22="17-21",W22&gt;='Qualifying Scores'!G$13),AND(G22="15-16",W22&gt;='Qualifying Scores'!G$12),AND(G22="13-14",W22&gt;='Qualifying Scores'!G$11),AND(G22="11-12",W22&gt;='Qualifying Scores'!G$10)),V22,0),IF(OR(AND(G22="17-21",Y22&gt;='Qualifying Scores'!G$13),AND(G22="15-16",Y22&gt;='Qualifying Scores'!G$12),AND(G22="13-14",Y22&gt;='Qualifying Scores'!G$11),AND(G22="11-12",Y22&gt;='Qualifying Scores'!G$10)),X22,0),IF(OR(AND(G22="17-21",AA22&gt;='Qualifying Scores'!G$13),AND(G22="15-16",AA22&gt;='Qualifying Scores'!G$12),AND(G22="13-14",AA22&gt;='Qualifying Scores'!G$11),AND(G22="11-12",AA22&gt;='Qualifying Scores'!G$10)),Z22,0)))</f>
        <v>0</v>
      </c>
      <c r="S22" s="4">
        <f>MAX(T22,V22,X22,Z22)</f>
        <v>36.200000000000003</v>
      </c>
      <c r="T22" s="33">
        <v>36.200000000000003</v>
      </c>
      <c r="U22" s="40">
        <v>4.4000000000000004</v>
      </c>
      <c r="V22" s="34">
        <v>0</v>
      </c>
      <c r="W22" s="40">
        <v>0</v>
      </c>
      <c r="X22" s="33">
        <v>22.400000000000002</v>
      </c>
      <c r="Y22" s="40">
        <v>4.8</v>
      </c>
      <c r="Z22" s="34"/>
      <c r="AA22" s="37"/>
    </row>
    <row r="23" spans="1:27" x14ac:dyDescent="0.2">
      <c r="A23" s="1" t="str" cm="1">
        <f t="array" ref="A23">IF(I23="","",IF(P23&lt;&gt;"",SUMPRODUCT((P$3:P$88&lt;&gt;"")*(G$3:G$88=G23)*(J$3:J$88&gt;J23)*(I$3:I$88="P"))+1,IF(O23&lt;&gt;"",SUMPRODUCT((O$3:O$88&lt;&gt;"")*(P$3:P$88="")*(G$3:G$88=G23)*(J$3:J$88&gt;J23)*(I$3:I$88="P"))+SUMPRODUCT((P$3:P$88&lt;&gt;"")*(G$3:G$88=G23)*(I$3:I$88="P"))+1,IF(N23&lt;&gt;"",SUMPRODUCT((N$3:N$88&lt;&gt;"")*(G$3:G$88=G23)*(J$3:J$88&gt;J23)*(I$3:I$88="P"))+1,IF(M23="P",SUMPRODUCT((O$3:O$88&lt;&gt;"")*(P$3:P$88="")*(G$3:G$88=G23)*(I$3:I$88="P"))+SUMPRODUCT((P$3:P$88&lt;&gt;"")*(G$3:G$88=G23)*(I$3:I$88="P"))+SUMPRODUCT((N$3:N$88&lt;&gt;"")*(G$3:G$88=G23)*(I$3:I$88="P"))+SUMPRODUCT((P$3:P$88="")*(O$3:O$88="")*(N$3:N$88="")*(M$3:M$88="P")*(G$3:G$88=G23)*(J$3:J$88&gt;J23)*(I$3:I$88="P"))+IF(H23="L5",SUMPRODUCT((P$3:P$88="")*(O$3:O$88="")*(N$3:N$88="")*(M$3:M$88="P")*(G$3:G$88=G23)*(J$3:J$88&lt;J23)*(H$3:H$88&lt;&gt;H23)*(I$3:I$88="P")),-1*SUMPRODUCT((P$3:P$88="")*(O$3:O$88="")*(N$3:N$88="")*(M$3:M$88="P")*(G$3:G$88=G23)*(J$3:J$88&gt;J23)*(H$3:H$88="L5")*(I$3:I$88="P")))+1,"")))))</f>
        <v/>
      </c>
      <c r="B23" s="1" t="str" cm="1">
        <f t="array" ref="B23">IF(P23&lt;&gt;"",SUMPRODUCT((P$3:P$88&lt;&gt;"")*(G$3:G$88=G23)*(J$3:J$88&gt;J23))+1,IF(O23&lt;&gt;"",SUMPRODUCT((O$3:O$88&lt;&gt;"")*(P$3:P$88="")*(G$3:G$88=G23)*(J$3:J$88&gt;J23))+SUMPRODUCT((P$3:P$88&lt;&gt;"")*(G$3:G$88=G23))+1,IF(N23&lt;&gt;"",SUMPRODUCT((N$3:N$88&lt;&gt;"")*(G$3:G$88=G23)*(J$3:J$88&gt;J23))+1,IF(M23="P",SUMPRODUCT((O$3:O$88&lt;&gt;"")*(P$3:P$88="")*(G$3:G$88=G23))+SUMPRODUCT((P$3:P$88&lt;&gt;"")*(G$3:G$88=G23))+SUMPRODUCT((N$3:N$88&lt;&gt;"")*(G$3:G$88=G23))+SUMPRODUCT((P$3:P$88="")*(O$3:O$88="")*(N$3:N$88="")*(M$3:M$88="P")*(G$3:G$88=G23)*(J$3:J$88&gt;J23))+IF(H23="L5",SUMPRODUCT((P$3:P$88="")*(O$3:O$88="")*(N$3:N$88="")*(M$3:M$88="P")*(G$3:G$88=G23)*(J$3:J$88&lt;J23)*(H$3:H$88&lt;&gt;H23)),-1*SUMPRODUCT((P$3:P$88="")*(O$3:O$88="")*(N$3:N$88="")*(M$3:M$88="P")*(G$3:G$88=G23)*(J$3:J$88&gt;J23)*(H$3:H$88="L5")))+1,""))))</f>
        <v/>
      </c>
      <c r="C23" s="36" t="s">
        <v>103</v>
      </c>
      <c r="D23" s="36" t="str">
        <f>IF(E23="","",VLOOKUP(E23,'Coaching Points'!A:B,2,0))</f>
        <v>BC</v>
      </c>
      <c r="E23" s="36" t="s">
        <v>37</v>
      </c>
      <c r="F23" s="35">
        <v>2001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1.0431000000000001E-4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Scores'!G$13),AND(G23="15-16",U23&gt;='Qualifying Scores'!G$12),AND(G23="13-14",U23&gt;='Qualifying Scores'!G$11),AND(G23="11-12",U23&gt;='Qualifying Scores'!G$10)),T23,0),IF(OR(AND(G23="17-21",W23&gt;='Qualifying Scores'!G$13),AND(G23="15-16",W23&gt;='Qualifying Scores'!G$12),AND(G23="13-14",W23&gt;='Qualifying Scores'!G$11),AND(G23="11-12",W23&gt;='Qualifying Scores'!G$10)),V23,0),IF(OR(AND(G23="17-21",Y23&gt;='Qualifying Scores'!G$13),AND(G23="15-16",Y23&gt;='Qualifying Scores'!G$12),AND(G23="13-14",Y23&gt;='Qualifying Scores'!G$11),AND(G23="11-12",Y23&gt;='Qualifying Scores'!G$10)),X23,0),IF(OR(AND(G23="17-21",AA23&gt;='Qualifying Scores'!G$13),AND(G23="15-16",AA23&gt;='Qualifying Scores'!G$12),AND(G23="13-14",AA23&gt;='Qualifying Scores'!G$11),AND(G23="11-12",AA23&gt;='Qualifying Scores'!G$10)),Z23,0)))</f>
        <v>0</v>
      </c>
      <c r="S23" s="4">
        <f>MAX(T23,V23,X23,Z23)</f>
        <v>43.1</v>
      </c>
      <c r="T23" s="33">
        <v>42.800000000000004</v>
      </c>
      <c r="U23" s="40">
        <v>5.7</v>
      </c>
      <c r="V23" s="34">
        <v>41.7</v>
      </c>
      <c r="W23" s="40">
        <v>5.5</v>
      </c>
      <c r="X23" s="33">
        <v>43.1</v>
      </c>
      <c r="Y23" s="40">
        <v>6.3000000000000007</v>
      </c>
      <c r="Z23" s="34"/>
      <c r="AA23" s="37"/>
    </row>
    <row r="24" spans="1:27" x14ac:dyDescent="0.2">
      <c r="A24" s="1" t="str" cm="1">
        <f t="array" ref="A24">IF(I24="","",IF(P24&lt;&gt;"",SUMPRODUCT((P$3:P$88&lt;&gt;"")*(G$3:G$88=G24)*(J$3:J$88&gt;J24)*(I$3:I$88="P"))+1,IF(O24&lt;&gt;"",SUMPRODUCT((O$3:O$88&lt;&gt;"")*(P$3:P$88="")*(G$3:G$88=G24)*(J$3:J$88&gt;J24)*(I$3:I$88="P"))+SUMPRODUCT((P$3:P$88&lt;&gt;"")*(G$3:G$88=G24)*(I$3:I$88="P"))+1,IF(N24&lt;&gt;"",SUMPRODUCT((N$3:N$88&lt;&gt;"")*(G$3:G$88=G24)*(J$3:J$88&gt;J24)*(I$3:I$88="P"))+1,IF(M24="P",SUMPRODUCT((O$3:O$88&lt;&gt;"")*(P$3:P$88="")*(G$3:G$88=G24)*(I$3:I$88="P"))+SUMPRODUCT((P$3:P$88&lt;&gt;"")*(G$3:G$88=G24)*(I$3:I$88="P"))+SUMPRODUCT((N$3:N$88&lt;&gt;"")*(G$3:G$88=G24)*(I$3:I$88="P"))+SUMPRODUCT((P$3:P$88="")*(O$3:O$88="")*(N$3:N$88="")*(M$3:M$88="P")*(G$3:G$88=G24)*(J$3:J$88&gt;J24)*(I$3:I$88="P"))+IF(H24="L5",SUMPRODUCT((P$3:P$88="")*(O$3:O$88="")*(N$3:N$88="")*(M$3:M$88="P")*(G$3:G$88=G24)*(J$3:J$88&lt;J24)*(H$3:H$88&lt;&gt;H24)*(I$3:I$88="P")),-1*SUMPRODUCT((P$3:P$88="")*(O$3:O$88="")*(N$3:N$88="")*(M$3:M$88="P")*(G$3:G$88=G24)*(J$3:J$88&gt;J24)*(H$3:H$88="L5")*(I$3:I$88="P")))+1,"")))))</f>
        <v/>
      </c>
      <c r="B24" s="1" t="str" cm="1">
        <f t="array" ref="B24">IF(P24&lt;&gt;"",SUMPRODUCT((P$3:P$88&lt;&gt;"")*(G$3:G$88=G24)*(J$3:J$88&gt;J24))+1,IF(O24&lt;&gt;"",SUMPRODUCT((O$3:O$88&lt;&gt;"")*(P$3:P$88="")*(G$3:G$88=G24)*(J$3:J$88&gt;J24))+SUMPRODUCT((P$3:P$88&lt;&gt;"")*(G$3:G$88=G24))+1,IF(N24&lt;&gt;"",SUMPRODUCT((N$3:N$88&lt;&gt;"")*(G$3:G$88=G24)*(J$3:J$88&gt;J24))+1,IF(M24="P",SUMPRODUCT((O$3:O$88&lt;&gt;"")*(P$3:P$88="")*(G$3:G$88=G24))+SUMPRODUCT((P$3:P$88&lt;&gt;"")*(G$3:G$88=G24))+SUMPRODUCT((N$3:N$88&lt;&gt;"")*(G$3:G$88=G24))+SUMPRODUCT((P$3:P$88="")*(O$3:O$88="")*(N$3:N$88="")*(M$3:M$88="P")*(G$3:G$88=G24)*(J$3:J$88&gt;J24))+IF(H24="L5",SUMPRODUCT((P$3:P$88="")*(O$3:O$88="")*(N$3:N$88="")*(M$3:M$88="P")*(G$3:G$88=G24)*(J$3:J$88&lt;J24)*(H$3:H$88&lt;&gt;H24)),-1*SUMPRODUCT((P$3:P$88="")*(O$3:O$88="")*(N$3:N$88="")*(M$3:M$88="P")*(G$3:G$88=G24)*(J$3:J$88&gt;J24)*(H$3:H$88="L5")))+1,""))))</f>
        <v/>
      </c>
      <c r="C24" s="36" t="s">
        <v>105</v>
      </c>
      <c r="D24" s="36" t="str">
        <f>IF(E24="","",VLOOKUP(E24,'Coaching Points'!A:B,2,0))</f>
        <v>BC</v>
      </c>
      <c r="E24" s="36" t="s">
        <v>37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1.0415000000000001E-4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Scores'!G$13),AND(G24="15-16",U24&gt;='Qualifying Scores'!G$12),AND(G24="13-14",U24&gt;='Qualifying Scores'!G$11),AND(G24="11-12",U24&gt;='Qualifying Scores'!G$10)),T24,0),IF(OR(AND(G24="17-21",W24&gt;='Qualifying Scores'!G$13),AND(G24="15-16",W24&gt;='Qualifying Scores'!G$12),AND(G24="13-14",W24&gt;='Qualifying Scores'!G$11),AND(G24="11-12",W24&gt;='Qualifying Scores'!G$10)),V24,0),IF(OR(AND(G24="17-21",Y24&gt;='Qualifying Scores'!G$13),AND(G24="15-16",Y24&gt;='Qualifying Scores'!G$12),AND(G24="13-14",Y24&gt;='Qualifying Scores'!G$11),AND(G24="11-12",Y24&gt;='Qualifying Scores'!G$10)),X24,0),IF(OR(AND(G24="17-21",AA24&gt;='Qualifying Scores'!G$13),AND(G24="15-16",AA24&gt;='Qualifying Scores'!G$12),AND(G24="13-14",AA24&gt;='Qualifying Scores'!G$11),AND(G24="11-12",AA24&gt;='Qualifying Scores'!G$10)),Z24,0)))</f>
        <v>0</v>
      </c>
      <c r="S24" s="4">
        <f>MAX(T24,V24,X24,Z24)</f>
        <v>41.5</v>
      </c>
      <c r="T24" s="33">
        <v>39.4</v>
      </c>
      <c r="U24" s="40">
        <v>3.5999999999999996</v>
      </c>
      <c r="V24" s="34">
        <v>0</v>
      </c>
      <c r="W24" s="40">
        <v>0</v>
      </c>
      <c r="X24" s="33">
        <v>41.5</v>
      </c>
      <c r="Y24" s="40">
        <v>5.5</v>
      </c>
      <c r="Z24" s="34"/>
      <c r="AA24" s="37"/>
    </row>
    <row r="25" spans="1:27" x14ac:dyDescent="0.2">
      <c r="A25" s="1" t="str" cm="1">
        <f t="array" ref="A25">IF(I25="","",IF(P25&lt;&gt;"",SUMPRODUCT((P$3:P$88&lt;&gt;"")*(G$3:G$88=G25)*(J$3:J$88&gt;J25)*(I$3:I$88="P"))+1,IF(O25&lt;&gt;"",SUMPRODUCT((O$3:O$88&lt;&gt;"")*(P$3:P$88="")*(G$3:G$88=G25)*(J$3:J$88&gt;J25)*(I$3:I$88="P"))+SUMPRODUCT((P$3:P$88&lt;&gt;"")*(G$3:G$88=G25)*(I$3:I$88="P"))+1,IF(N25&lt;&gt;"",SUMPRODUCT((N$3:N$88&lt;&gt;"")*(G$3:G$88=G25)*(J$3:J$88&gt;J25)*(I$3:I$88="P"))+1,IF(M25="P",SUMPRODUCT((O$3:O$88&lt;&gt;"")*(P$3:P$88="")*(G$3:G$88=G25)*(I$3:I$88="P"))+SUMPRODUCT((P$3:P$88&lt;&gt;"")*(G$3:G$88=G25)*(I$3:I$88="P"))+SUMPRODUCT((N$3:N$88&lt;&gt;"")*(G$3:G$88=G25)*(I$3:I$88="P"))+SUMPRODUCT((P$3:P$88="")*(O$3:O$88="")*(N$3:N$88="")*(M$3:M$88="P")*(G$3:G$88=G25)*(J$3:J$88&gt;J25)*(I$3:I$88="P"))+IF(H25="L5",SUMPRODUCT((P$3:P$88="")*(O$3:O$88="")*(N$3:N$88="")*(M$3:M$88="P")*(G$3:G$88=G25)*(J$3:J$88&lt;J25)*(H$3:H$88&lt;&gt;H25)*(I$3:I$88="P")),-1*SUMPRODUCT((P$3:P$88="")*(O$3:O$88="")*(N$3:N$88="")*(M$3:M$88="P")*(G$3:G$88=G25)*(J$3:J$88&gt;J25)*(H$3:H$88="L5")*(I$3:I$88="P")))+1,"")))))</f>
        <v/>
      </c>
      <c r="B25" s="1" t="str" cm="1">
        <f t="array" ref="B25">IF(P25&lt;&gt;"",SUMPRODUCT((P$3:P$88&lt;&gt;"")*(G$3:G$88=G25)*(J$3:J$88&gt;J25))+1,IF(O25&lt;&gt;"",SUMPRODUCT((O$3:O$88&lt;&gt;"")*(P$3:P$88="")*(G$3:G$88=G25)*(J$3:J$88&gt;J25))+SUMPRODUCT((P$3:P$88&lt;&gt;"")*(G$3:G$88=G25))+1,IF(N25&lt;&gt;"",SUMPRODUCT((N$3:N$88&lt;&gt;"")*(G$3:G$88=G25)*(J$3:J$88&gt;J25))+1,IF(M25="P",SUMPRODUCT((O$3:O$88&lt;&gt;"")*(P$3:P$88="")*(G$3:G$88=G25))+SUMPRODUCT((P$3:P$88&lt;&gt;"")*(G$3:G$88=G25))+SUMPRODUCT((N$3:N$88&lt;&gt;"")*(G$3:G$88=G25))+SUMPRODUCT((P$3:P$88="")*(O$3:O$88="")*(N$3:N$88="")*(M$3:M$88="P")*(G$3:G$88=G25)*(J$3:J$88&gt;J25))+IF(H25="L5",SUMPRODUCT((P$3:P$88="")*(O$3:O$88="")*(N$3:N$88="")*(M$3:M$88="P")*(G$3:G$88=G25)*(J$3:J$88&lt;J25)*(H$3:H$88&lt;&gt;H25)),-1*SUMPRODUCT((P$3:P$88="")*(O$3:O$88="")*(N$3:N$88="")*(M$3:M$88="P")*(G$3:G$88=G25)*(J$3:J$88&gt;J25)*(H$3:H$88="L5")))+1,""))))</f>
        <v/>
      </c>
      <c r="C25" s="36" t="s">
        <v>433</v>
      </c>
      <c r="D25" s="36" t="str">
        <f>IF(E25="","",VLOOKUP(E25,'Coaching Points'!A:B,2,0))</f>
        <v>AB</v>
      </c>
      <c r="E25" s="36" t="s">
        <v>89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39" t="s">
        <v>117</v>
      </c>
      <c r="I25" s="45"/>
      <c r="J25" s="4">
        <f>R25+IF(OR(H25="Junior",H25="Senior"),0.0002,IF(OR(H25="L7",H25="L6"),0.0001,0))+MAX(X25,Z25)*0.0000001</f>
        <v>1.0391E-4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Scores'!G$13),AND(G25="15-16",U25&gt;='Qualifying Scores'!G$12),AND(G25="13-14",U25&gt;='Qualifying Scores'!G$11),AND(G25="11-12",U25&gt;='Qualifying Scores'!G$10)),T25,0),IF(OR(AND(G25="17-21",W25&gt;='Qualifying Scores'!G$13),AND(G25="15-16",W25&gt;='Qualifying Scores'!G$12),AND(G25="13-14",W25&gt;='Qualifying Scores'!G$11),AND(G25="11-12",W25&gt;='Qualifying Scores'!G$10)),V25,0),IF(OR(AND(G25="17-21",Y25&gt;='Qualifying Scores'!G$13),AND(G25="15-16",Y25&gt;='Qualifying Scores'!G$12),AND(G25="13-14",Y25&gt;='Qualifying Scores'!G$11),AND(G25="11-12",Y25&gt;='Qualifying Scores'!G$10)),X25,0),IF(OR(AND(G25="17-21",AA25&gt;='Qualifying Scores'!G$13),AND(G25="15-16",AA25&gt;='Qualifying Scores'!G$12),AND(G25="13-14",AA25&gt;='Qualifying Scores'!G$11),AND(G25="11-12",AA25&gt;='Qualifying Scores'!G$10)),Z25,0)))</f>
        <v>0</v>
      </c>
      <c r="S25" s="4">
        <f>MAX(T25,V25,X25,Z25)</f>
        <v>39.100000000000009</v>
      </c>
      <c r="T25" s="33"/>
      <c r="U25" s="40"/>
      <c r="V25" s="34"/>
      <c r="W25" s="40"/>
      <c r="X25" s="33">
        <v>39.100000000000009</v>
      </c>
      <c r="Y25" s="40">
        <v>3.9000000000000004</v>
      </c>
      <c r="Z25" s="34"/>
      <c r="AA25" s="37"/>
    </row>
    <row r="26" spans="1:27" x14ac:dyDescent="0.2">
      <c r="A26" s="1" t="str" cm="1">
        <f t="array" ref="A26">IF(I26="","",IF(P26&lt;&gt;"",SUMPRODUCT((P$3:P$88&lt;&gt;"")*(G$3:G$88=G26)*(J$3:J$88&gt;J26)*(I$3:I$88="P"))+1,IF(O26&lt;&gt;"",SUMPRODUCT((O$3:O$88&lt;&gt;"")*(P$3:P$88="")*(G$3:G$88=G26)*(J$3:J$88&gt;J26)*(I$3:I$88="P"))+SUMPRODUCT((P$3:P$88&lt;&gt;"")*(G$3:G$88=G26)*(I$3:I$88="P"))+1,IF(N26&lt;&gt;"",SUMPRODUCT((N$3:N$88&lt;&gt;"")*(G$3:G$88=G26)*(J$3:J$88&gt;J26)*(I$3:I$88="P"))+1,IF(M26="P",SUMPRODUCT((O$3:O$88&lt;&gt;"")*(P$3:P$88="")*(G$3:G$88=G26)*(I$3:I$88="P"))+SUMPRODUCT((P$3:P$88&lt;&gt;"")*(G$3:G$88=G26)*(I$3:I$88="P"))+SUMPRODUCT((N$3:N$88&lt;&gt;"")*(G$3:G$88=G26)*(I$3:I$88="P"))+SUMPRODUCT((P$3:P$88="")*(O$3:O$88="")*(N$3:N$88="")*(M$3:M$88="P")*(G$3:G$88=G26)*(J$3:J$88&gt;J26)*(I$3:I$88="P"))+IF(H26="L5",SUMPRODUCT((P$3:P$88="")*(O$3:O$88="")*(N$3:N$88="")*(M$3:M$88="P")*(G$3:G$88=G26)*(J$3:J$88&lt;J26)*(H$3:H$88&lt;&gt;H26)*(I$3:I$88="P")),-1*SUMPRODUCT((P$3:P$88="")*(O$3:O$88="")*(N$3:N$88="")*(M$3:M$88="P")*(G$3:G$88=G26)*(J$3:J$88&gt;J26)*(H$3:H$88="L5")*(I$3:I$88="P")))+1,"")))))</f>
        <v/>
      </c>
      <c r="B26" s="1" t="str" cm="1">
        <f t="array" ref="B26">IF(P26&lt;&gt;"",SUMPRODUCT((P$3:P$88&lt;&gt;"")*(G$3:G$88=G26)*(J$3:J$88&gt;J26))+1,IF(O26&lt;&gt;"",SUMPRODUCT((O$3:O$88&lt;&gt;"")*(P$3:P$88="")*(G$3:G$88=G26)*(J$3:J$88&gt;J26))+SUMPRODUCT((P$3:P$88&lt;&gt;"")*(G$3:G$88=G26))+1,IF(N26&lt;&gt;"",SUMPRODUCT((N$3:N$88&lt;&gt;"")*(G$3:G$88=G26)*(J$3:J$88&gt;J26))+1,IF(M26="P",SUMPRODUCT((O$3:O$88&lt;&gt;"")*(P$3:P$88="")*(G$3:G$88=G26))+SUMPRODUCT((P$3:P$88&lt;&gt;"")*(G$3:G$88=G26))+SUMPRODUCT((N$3:N$88&lt;&gt;"")*(G$3:G$88=G26))+SUMPRODUCT((P$3:P$88="")*(O$3:O$88="")*(N$3:N$88="")*(M$3:M$88="P")*(G$3:G$88=G26)*(J$3:J$88&gt;J26))+IF(H26="L5",SUMPRODUCT((P$3:P$88="")*(O$3:O$88="")*(N$3:N$88="")*(M$3:M$88="P")*(G$3:G$88=G26)*(J$3:J$88&lt;J26)*(H$3:H$88&lt;&gt;H26)),-1*SUMPRODUCT((P$3:P$88="")*(O$3:O$88="")*(N$3:N$88="")*(M$3:M$88="P")*(G$3:G$88=G26)*(J$3:J$88&gt;J26)*(H$3:H$88="L5")))+1,""))))</f>
        <v/>
      </c>
      <c r="C26" s="36" t="s">
        <v>88</v>
      </c>
      <c r="D26" s="36" t="str">
        <f>IF(E26="","",VLOOKUP(E26,'Coaching Points'!A:B,2,0))</f>
        <v>AB</v>
      </c>
      <c r="E26" s="36" t="s">
        <v>89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1.0374000000000001E-4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Scores'!G$13),AND(G26="15-16",U26&gt;='Qualifying Scores'!G$12),AND(G26="13-14",U26&gt;='Qualifying Scores'!G$11),AND(G26="11-12",U26&gt;='Qualifying Scores'!G$10)),T26,0),IF(OR(AND(G26="17-21",W26&gt;='Qualifying Scores'!G$13),AND(G26="15-16",W26&gt;='Qualifying Scores'!G$12),AND(G26="13-14",W26&gt;='Qualifying Scores'!G$11),AND(G26="11-12",W26&gt;='Qualifying Scores'!G$10)),V26,0),IF(OR(AND(G26="17-21",Y26&gt;='Qualifying Scores'!G$13),AND(G26="15-16",Y26&gt;='Qualifying Scores'!G$12),AND(G26="13-14",Y26&gt;='Qualifying Scores'!G$11),AND(G26="11-12",Y26&gt;='Qualifying Scores'!G$10)),X26,0),IF(OR(AND(G26="17-21",AA26&gt;='Qualifying Scores'!G$13),AND(G26="15-16",AA26&gt;='Qualifying Scores'!G$12),AND(G26="13-14",AA26&gt;='Qualifying Scores'!G$11),AND(G26="11-12",AA26&gt;='Qualifying Scores'!G$10)),Z26,0)))</f>
        <v>0</v>
      </c>
      <c r="S26" s="4">
        <f>MAX(T26,V26,X26,Z26)</f>
        <v>39.700000000000003</v>
      </c>
      <c r="T26" s="33">
        <v>39.700000000000003</v>
      </c>
      <c r="U26" s="40">
        <v>4.2</v>
      </c>
      <c r="V26" s="34">
        <v>0</v>
      </c>
      <c r="W26" s="40">
        <v>0</v>
      </c>
      <c r="X26" s="33">
        <v>37.400000000000006</v>
      </c>
      <c r="Y26" s="40">
        <v>4.2</v>
      </c>
      <c r="Z26" s="34"/>
      <c r="AA26" s="37"/>
    </row>
    <row r="27" spans="1:27" x14ac:dyDescent="0.2">
      <c r="A27" s="1" t="str" cm="1">
        <f t="array" ref="A27">IF(I27="","",IF(P27&lt;&gt;"",SUMPRODUCT((P$3:P$88&lt;&gt;"")*(G$3:G$88=G27)*(J$3:J$88&gt;J27)*(I$3:I$88="P"))+1,IF(O27&lt;&gt;"",SUMPRODUCT((O$3:O$88&lt;&gt;"")*(P$3:P$88="")*(G$3:G$88=G27)*(J$3:J$88&gt;J27)*(I$3:I$88="P"))+SUMPRODUCT((P$3:P$88&lt;&gt;"")*(G$3:G$88=G27)*(I$3:I$88="P"))+1,IF(N27&lt;&gt;"",SUMPRODUCT((N$3:N$88&lt;&gt;"")*(G$3:G$88=G27)*(J$3:J$88&gt;J27)*(I$3:I$88="P"))+1,IF(M27="P",SUMPRODUCT((O$3:O$88&lt;&gt;"")*(P$3:P$88="")*(G$3:G$88=G27)*(I$3:I$88="P"))+SUMPRODUCT((P$3:P$88&lt;&gt;"")*(G$3:G$88=G27)*(I$3:I$88="P"))+SUMPRODUCT((N$3:N$88&lt;&gt;"")*(G$3:G$88=G27)*(I$3:I$88="P"))+SUMPRODUCT((P$3:P$88="")*(O$3:O$88="")*(N$3:N$88="")*(M$3:M$88="P")*(G$3:G$88=G27)*(J$3:J$88&gt;J27)*(I$3:I$88="P"))+IF(H27="L5",SUMPRODUCT((P$3:P$88="")*(O$3:O$88="")*(N$3:N$88="")*(M$3:M$88="P")*(G$3:G$88=G27)*(J$3:J$88&lt;J27)*(H$3:H$88&lt;&gt;H27)*(I$3:I$88="P")),-1*SUMPRODUCT((P$3:P$88="")*(O$3:O$88="")*(N$3:N$88="")*(M$3:M$88="P")*(G$3:G$88=G27)*(J$3:J$88&gt;J27)*(H$3:H$88="L5")*(I$3:I$88="P")))+1,"")))))</f>
        <v/>
      </c>
      <c r="B27" s="1" t="str" cm="1">
        <f t="array" ref="B27">IF(P27&lt;&gt;"",SUMPRODUCT((P$3:P$88&lt;&gt;"")*(G$3:G$88=G27)*(J$3:J$88&gt;J27))+1,IF(O27&lt;&gt;"",SUMPRODUCT((O$3:O$88&lt;&gt;"")*(P$3:P$88="")*(G$3:G$88=G27)*(J$3:J$88&gt;J27))+SUMPRODUCT((P$3:P$88&lt;&gt;"")*(G$3:G$88=G27))+1,IF(N27&lt;&gt;"",SUMPRODUCT((N$3:N$88&lt;&gt;"")*(G$3:G$88=G27)*(J$3:J$88&gt;J27))+1,IF(M27="P",SUMPRODUCT((O$3:O$88&lt;&gt;"")*(P$3:P$88="")*(G$3:G$88=G27))+SUMPRODUCT((P$3:P$88&lt;&gt;"")*(G$3:G$88=G27))+SUMPRODUCT((N$3:N$88&lt;&gt;"")*(G$3:G$88=G27))+SUMPRODUCT((P$3:P$88="")*(O$3:O$88="")*(N$3:N$88="")*(M$3:M$88="P")*(G$3:G$88=G27)*(J$3:J$88&gt;J27))+IF(H27="L5",SUMPRODUCT((P$3:P$88="")*(O$3:O$88="")*(N$3:N$88="")*(M$3:M$88="P")*(G$3:G$88=G27)*(J$3:J$88&lt;J27)*(H$3:H$88&lt;&gt;H27)),-1*SUMPRODUCT((P$3:P$88="")*(O$3:O$88="")*(N$3:N$88="")*(M$3:M$88="P")*(G$3:G$88=G27)*(J$3:J$88&gt;J27)*(H$3:H$88="L5")))+1,""))))</f>
        <v/>
      </c>
      <c r="C27" s="36" t="s">
        <v>453</v>
      </c>
      <c r="D27" s="36" t="str">
        <f>IF(E27="","",VLOOKUP(E27,'Coaching Points'!A:B,2,0))</f>
        <v>AB</v>
      </c>
      <c r="E27" s="36" t="s">
        <v>89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39" t="s">
        <v>117</v>
      </c>
      <c r="I27" s="45"/>
      <c r="J27" s="4">
        <f>R27+IF(OR(H27="Junior",H27="Senior"),0.0002,IF(OR(H27="L7",H27="L6"),0.0001,0))+MAX(X27,Z27)*0.0000001</f>
        <v>1.0374000000000001E-4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Scores'!G$13),AND(G27="15-16",U27&gt;='Qualifying Scores'!G$12),AND(G27="13-14",U27&gt;='Qualifying Scores'!G$11),AND(G27="11-12",U27&gt;='Qualifying Scores'!G$10)),T27,0),IF(OR(AND(G27="17-21",W27&gt;='Qualifying Scores'!G$13),AND(G27="15-16",W27&gt;='Qualifying Scores'!G$12),AND(G27="13-14",W27&gt;='Qualifying Scores'!G$11),AND(G27="11-12",W27&gt;='Qualifying Scores'!G$10)),V27,0),IF(OR(AND(G27="17-21",Y27&gt;='Qualifying Scores'!G$13),AND(G27="15-16",Y27&gt;='Qualifying Scores'!G$12),AND(G27="13-14",Y27&gt;='Qualifying Scores'!G$11),AND(G27="11-12",Y27&gt;='Qualifying Scores'!G$10)),X27,0),IF(OR(AND(G27="17-21",AA27&gt;='Qualifying Scores'!G$13),AND(G27="15-16",AA27&gt;='Qualifying Scores'!G$12),AND(G27="13-14",AA27&gt;='Qualifying Scores'!G$11),AND(G27="11-12",AA27&gt;='Qualifying Scores'!G$10)),Z27,0)))</f>
        <v>0</v>
      </c>
      <c r="S27" s="4">
        <f>MAX(T27,V27,X27,Z27)</f>
        <v>37.4</v>
      </c>
      <c r="T27" s="33"/>
      <c r="U27" s="40"/>
      <c r="V27" s="34"/>
      <c r="W27" s="40"/>
      <c r="X27" s="33">
        <v>37.4</v>
      </c>
      <c r="Y27" s="40">
        <v>4.7</v>
      </c>
      <c r="Z27" s="34"/>
      <c r="AA27" s="37"/>
    </row>
    <row r="28" spans="1:27" x14ac:dyDescent="0.2">
      <c r="A28" s="1" t="str" cm="1">
        <f t="array" ref="A28">IF(I28="","",IF(P28&lt;&gt;"",SUMPRODUCT((P$3:P$88&lt;&gt;"")*(G$3:G$88=G28)*(J$3:J$88&gt;J28)*(I$3:I$88="P"))+1,IF(O28&lt;&gt;"",SUMPRODUCT((O$3:O$88&lt;&gt;"")*(P$3:P$88="")*(G$3:G$88=G28)*(J$3:J$88&gt;J28)*(I$3:I$88="P"))+SUMPRODUCT((P$3:P$88&lt;&gt;"")*(G$3:G$88=G28)*(I$3:I$88="P"))+1,IF(N28&lt;&gt;"",SUMPRODUCT((N$3:N$88&lt;&gt;"")*(G$3:G$88=G28)*(J$3:J$88&gt;J28)*(I$3:I$88="P"))+1,IF(M28="P",SUMPRODUCT((O$3:O$88&lt;&gt;"")*(P$3:P$88="")*(G$3:G$88=G28)*(I$3:I$88="P"))+SUMPRODUCT((P$3:P$88&lt;&gt;"")*(G$3:G$88=G28)*(I$3:I$88="P"))+SUMPRODUCT((N$3:N$88&lt;&gt;"")*(G$3:G$88=G28)*(I$3:I$88="P"))+SUMPRODUCT((P$3:P$88="")*(O$3:O$88="")*(N$3:N$88="")*(M$3:M$88="P")*(G$3:G$88=G28)*(J$3:J$88&gt;J28)*(I$3:I$88="P"))+IF(H28="L5",SUMPRODUCT((P$3:P$88="")*(O$3:O$88="")*(N$3:N$88="")*(M$3:M$88="P")*(G$3:G$88=G28)*(J$3:J$88&lt;J28)*(H$3:H$88&lt;&gt;H28)*(I$3:I$88="P")),-1*SUMPRODUCT((P$3:P$88="")*(O$3:O$88="")*(N$3:N$88="")*(M$3:M$88="P")*(G$3:G$88=G28)*(J$3:J$88&gt;J28)*(H$3:H$88="L5")*(I$3:I$88="P")))+1,"")))))</f>
        <v/>
      </c>
      <c r="B28" s="1" t="str" cm="1">
        <f t="array" ref="B28">IF(P28&lt;&gt;"",SUMPRODUCT((P$3:P$88&lt;&gt;"")*(G$3:G$88=G28)*(J$3:J$88&gt;J28))+1,IF(O28&lt;&gt;"",SUMPRODUCT((O$3:O$88&lt;&gt;"")*(P$3:P$88="")*(G$3:G$88=G28)*(J$3:J$88&gt;J28))+SUMPRODUCT((P$3:P$88&lt;&gt;"")*(G$3:G$88=G28))+1,IF(N28&lt;&gt;"",SUMPRODUCT((N$3:N$88&lt;&gt;"")*(G$3:G$88=G28)*(J$3:J$88&gt;J28))+1,IF(M28="P",SUMPRODUCT((O$3:O$88&lt;&gt;"")*(P$3:P$88="")*(G$3:G$88=G28))+SUMPRODUCT((P$3:P$88&lt;&gt;"")*(G$3:G$88=G28))+SUMPRODUCT((N$3:N$88&lt;&gt;"")*(G$3:G$88=G28))+SUMPRODUCT((P$3:P$88="")*(O$3:O$88="")*(N$3:N$88="")*(M$3:M$88="P")*(G$3:G$88=G28)*(J$3:J$88&gt;J28))+IF(H28="L5",SUMPRODUCT((P$3:P$88="")*(O$3:O$88="")*(N$3:N$88="")*(M$3:M$88="P")*(G$3:G$88=G28)*(J$3:J$88&lt;J28)*(H$3:H$88&lt;&gt;H28)),-1*SUMPRODUCT((P$3:P$88="")*(O$3:O$88="")*(N$3:N$88="")*(M$3:M$88="P")*(G$3:G$88=G28)*(J$3:J$88&gt;J28)*(H$3:H$88="L5")))+1,""))))</f>
        <v/>
      </c>
      <c r="C28" s="36" t="s">
        <v>346</v>
      </c>
      <c r="D28" s="36" t="s">
        <v>353</v>
      </c>
      <c r="E28" s="36" t="s">
        <v>70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4.3499999999999999E-6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Scores'!G$13),AND(G28="15-16",U28&gt;='Qualifying Scores'!G$12),AND(G28="13-14",U28&gt;='Qualifying Scores'!G$11),AND(G28="11-12",U28&gt;='Qualifying Scores'!G$10)),T28,0),IF(OR(AND(G28="17-21",W28&gt;='Qualifying Scores'!G$13),AND(G28="15-16",W28&gt;='Qualifying Scores'!G$12),AND(G28="13-14",W28&gt;='Qualifying Scores'!G$11),AND(G28="11-12",W28&gt;='Qualifying Scores'!G$10)),V28,0),IF(OR(AND(G28="17-21",Y28&gt;='Qualifying Scores'!G$13),AND(G28="15-16",Y28&gt;='Qualifying Scores'!G$12),AND(G28="13-14",Y28&gt;='Qualifying Scores'!G$11),AND(G28="11-12",Y28&gt;='Qualifying Scores'!G$10)),X28,0),IF(OR(AND(G28="17-21",AA28&gt;='Qualifying Scores'!G$13),AND(G28="15-16",AA28&gt;='Qualifying Scores'!G$12),AND(G28="13-14",AA28&gt;='Qualifying Scores'!G$11),AND(G28="11-12",AA28&gt;='Qualifying Scores'!G$10)),Z28,0)))</f>
        <v>0</v>
      </c>
      <c r="S28" s="4">
        <f>MAX(T28,V28,X28,Z28)</f>
        <v>43.5</v>
      </c>
      <c r="T28" s="33"/>
      <c r="U28" s="40"/>
      <c r="V28" s="34"/>
      <c r="W28" s="40"/>
      <c r="X28" s="33">
        <v>43.5</v>
      </c>
      <c r="Y28" s="40">
        <v>6.3000000000000007</v>
      </c>
      <c r="Z28" s="34">
        <v>43.300000000000004</v>
      </c>
      <c r="AA28" s="37">
        <v>6.7</v>
      </c>
    </row>
    <row r="29" spans="1:27" x14ac:dyDescent="0.2">
      <c r="A29" s="1" t="str" cm="1">
        <f t="array" ref="A29">IF(I29="","",IF(P29&lt;&gt;"",SUMPRODUCT((P$3:P$88&lt;&gt;"")*(G$3:G$88=G29)*(J$3:J$88&gt;J29)*(I$3:I$88="P"))+1,IF(O29&lt;&gt;"",SUMPRODUCT((O$3:O$88&lt;&gt;"")*(P$3:P$88="")*(G$3:G$88=G29)*(J$3:J$88&gt;J29)*(I$3:I$88="P"))+SUMPRODUCT((P$3:P$88&lt;&gt;"")*(G$3:G$88=G29)*(I$3:I$88="P"))+1,IF(N29&lt;&gt;"",SUMPRODUCT((N$3:N$88&lt;&gt;"")*(G$3:G$88=G29)*(J$3:J$88&gt;J29)*(I$3:I$88="P"))+1,IF(M29="P",SUMPRODUCT((O$3:O$88&lt;&gt;"")*(P$3:P$88="")*(G$3:G$88=G29)*(I$3:I$88="P"))+SUMPRODUCT((P$3:P$88&lt;&gt;"")*(G$3:G$88=G29)*(I$3:I$88="P"))+SUMPRODUCT((N$3:N$88&lt;&gt;"")*(G$3:G$88=G29)*(I$3:I$88="P"))+SUMPRODUCT((P$3:P$88="")*(O$3:O$88="")*(N$3:N$88="")*(M$3:M$88="P")*(G$3:G$88=G29)*(J$3:J$88&gt;J29)*(I$3:I$88="P"))+IF(H29="L5",SUMPRODUCT((P$3:P$88="")*(O$3:O$88="")*(N$3:N$88="")*(M$3:M$88="P")*(G$3:G$88=G29)*(J$3:J$88&lt;J29)*(H$3:H$88&lt;&gt;H29)*(I$3:I$88="P")),-1*SUMPRODUCT((P$3:P$88="")*(O$3:O$88="")*(N$3:N$88="")*(M$3:M$88="P")*(G$3:G$88=G29)*(J$3:J$88&gt;J29)*(H$3:H$88="L5")*(I$3:I$88="P")))+1,"")))))</f>
        <v/>
      </c>
      <c r="B29" s="1" t="str" cm="1">
        <f t="array" ref="B29">IF(P29&lt;&gt;"",SUMPRODUCT((P$3:P$88&lt;&gt;"")*(G$3:G$88=G29)*(J$3:J$88&gt;J29))+1,IF(O29&lt;&gt;"",SUMPRODUCT((O$3:O$88&lt;&gt;"")*(P$3:P$88="")*(G$3:G$88=G29)*(J$3:J$88&gt;J29))+SUMPRODUCT((P$3:P$88&lt;&gt;"")*(G$3:G$88=G29))+1,IF(N29&lt;&gt;"",SUMPRODUCT((N$3:N$88&lt;&gt;"")*(G$3:G$88=G29)*(J$3:J$88&gt;J29))+1,IF(M29="P",SUMPRODUCT((O$3:O$88&lt;&gt;"")*(P$3:P$88="")*(G$3:G$88=G29))+SUMPRODUCT((P$3:P$88&lt;&gt;"")*(G$3:G$88=G29))+SUMPRODUCT((N$3:N$88&lt;&gt;"")*(G$3:G$88=G29))+SUMPRODUCT((P$3:P$88="")*(O$3:O$88="")*(N$3:N$88="")*(M$3:M$88="P")*(G$3:G$88=G29)*(J$3:J$88&gt;J29))+IF(H29="L5",SUMPRODUCT((P$3:P$88="")*(O$3:O$88="")*(N$3:N$88="")*(M$3:M$88="P")*(G$3:G$88=G29)*(J$3:J$88&lt;J29)*(H$3:H$88&lt;&gt;H29)),-1*SUMPRODUCT((P$3:P$88="")*(O$3:O$88="")*(N$3:N$88="")*(M$3:M$88="P")*(G$3:G$88=G29)*(J$3:J$88&gt;J29)*(H$3:H$88="L5")))+1,""))))</f>
        <v/>
      </c>
      <c r="C29" s="36" t="s">
        <v>442</v>
      </c>
      <c r="D29" s="36" t="str">
        <f>IF(E29="","",VLOOKUP(E29,'Coaching Points'!A:B,2,0))</f>
        <v>SK</v>
      </c>
      <c r="E29" s="36" t="s">
        <v>46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4.34E-6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Scores'!G$13),AND(G29="15-16",U29&gt;='Qualifying Scores'!G$12),AND(G29="13-14",U29&gt;='Qualifying Scores'!G$11),AND(G29="11-12",U29&gt;='Qualifying Scores'!G$10)),T29,0),IF(OR(AND(G29="17-21",W29&gt;='Qualifying Scores'!G$13),AND(G29="15-16",W29&gt;='Qualifying Scores'!G$12),AND(G29="13-14",W29&gt;='Qualifying Scores'!G$11),AND(G29="11-12",W29&gt;='Qualifying Scores'!G$10)),V29,0),IF(OR(AND(G29="17-21",Y29&gt;='Qualifying Scores'!G$13),AND(G29="15-16",Y29&gt;='Qualifying Scores'!G$12),AND(G29="13-14",Y29&gt;='Qualifying Scores'!G$11),AND(G29="11-12",Y29&gt;='Qualifying Scores'!G$10)),X29,0),IF(OR(AND(G29="17-21",AA29&gt;='Qualifying Scores'!G$13),AND(G29="15-16",AA29&gt;='Qualifying Scores'!G$12),AND(G29="13-14",AA29&gt;='Qualifying Scores'!G$11),AND(G29="11-12",AA29&gt;='Qualifying Scores'!G$10)),Z29,0)))</f>
        <v>0</v>
      </c>
      <c r="S29" s="4">
        <f>MAX(T29,V29,X29,Z29)</f>
        <v>43.4</v>
      </c>
      <c r="T29" s="33"/>
      <c r="U29" s="40"/>
      <c r="V29" s="34"/>
      <c r="W29" s="40"/>
      <c r="X29" s="33">
        <v>43.4</v>
      </c>
      <c r="Y29" s="40">
        <v>5.8000000000000007</v>
      </c>
      <c r="Z29" s="34">
        <v>42.8</v>
      </c>
      <c r="AA29" s="37">
        <v>5</v>
      </c>
    </row>
    <row r="30" spans="1:27" x14ac:dyDescent="0.2">
      <c r="A30" s="1" t="str" cm="1">
        <f t="array" ref="A30">IF(I30="","",IF(P30&lt;&gt;"",SUMPRODUCT((P$3:P$88&lt;&gt;"")*(G$3:G$88=G30)*(J$3:J$88&gt;J30)*(I$3:I$88="P"))+1,IF(O30&lt;&gt;"",SUMPRODUCT((O$3:O$88&lt;&gt;"")*(P$3:P$88="")*(G$3:G$88=G30)*(J$3:J$88&gt;J30)*(I$3:I$88="P"))+SUMPRODUCT((P$3:P$88&lt;&gt;"")*(G$3:G$88=G30)*(I$3:I$88="P"))+1,IF(N30&lt;&gt;"",SUMPRODUCT((N$3:N$88&lt;&gt;"")*(G$3:G$88=G30)*(J$3:J$88&gt;J30)*(I$3:I$88="P"))+1,IF(M30="P",SUMPRODUCT((O$3:O$88&lt;&gt;"")*(P$3:P$88="")*(G$3:G$88=G30)*(I$3:I$88="P"))+SUMPRODUCT((P$3:P$88&lt;&gt;"")*(G$3:G$88=G30)*(I$3:I$88="P"))+SUMPRODUCT((N$3:N$88&lt;&gt;"")*(G$3:G$88=G30)*(I$3:I$88="P"))+SUMPRODUCT((P$3:P$88="")*(O$3:O$88="")*(N$3:N$88="")*(M$3:M$88="P")*(G$3:G$88=G30)*(J$3:J$88&gt;J30)*(I$3:I$88="P"))+IF(H30="L5",SUMPRODUCT((P$3:P$88="")*(O$3:O$88="")*(N$3:N$88="")*(M$3:M$88="P")*(G$3:G$88=G30)*(J$3:J$88&lt;J30)*(H$3:H$88&lt;&gt;H30)*(I$3:I$88="P")),-1*SUMPRODUCT((P$3:P$88="")*(O$3:O$88="")*(N$3:N$88="")*(M$3:M$88="P")*(G$3:G$88=G30)*(J$3:J$88&gt;J30)*(H$3:H$88="L5")*(I$3:I$88="P")))+1,"")))))</f>
        <v/>
      </c>
      <c r="B30" s="1" t="str" cm="1">
        <f t="array" ref="B30">IF(P30&lt;&gt;"",SUMPRODUCT((P$3:P$88&lt;&gt;"")*(G$3:G$88=G30)*(J$3:J$88&gt;J30))+1,IF(O30&lt;&gt;"",SUMPRODUCT((O$3:O$88&lt;&gt;"")*(P$3:P$88="")*(G$3:G$88=G30)*(J$3:J$88&gt;J30))+SUMPRODUCT((P$3:P$88&lt;&gt;"")*(G$3:G$88=G30))+1,IF(N30&lt;&gt;"",SUMPRODUCT((N$3:N$88&lt;&gt;"")*(G$3:G$88=G30)*(J$3:J$88&gt;J30))+1,IF(M30="P",SUMPRODUCT((O$3:O$88&lt;&gt;"")*(P$3:P$88="")*(G$3:G$88=G30))+SUMPRODUCT((P$3:P$88&lt;&gt;"")*(G$3:G$88=G30))+SUMPRODUCT((N$3:N$88&lt;&gt;"")*(G$3:G$88=G30))+SUMPRODUCT((P$3:P$88="")*(O$3:O$88="")*(N$3:N$88="")*(M$3:M$88="P")*(G$3:G$88=G30)*(J$3:J$88&gt;J30))+IF(H30="L5",SUMPRODUCT((P$3:P$88="")*(O$3:O$88="")*(N$3:N$88="")*(M$3:M$88="P")*(G$3:G$88=G30)*(J$3:J$88&lt;J30)*(H$3:H$88&lt;&gt;H30)),-1*SUMPRODUCT((P$3:P$88="")*(O$3:O$88="")*(N$3:N$88="")*(M$3:M$88="P")*(G$3:G$88=G30)*(J$3:J$88&gt;J30)*(H$3:H$88="L5")))+1,""))))</f>
        <v/>
      </c>
      <c r="C30" s="36" t="s">
        <v>532</v>
      </c>
      <c r="D30" s="36" t="str">
        <f>IF(E30="","",VLOOKUP(E30,'Coaching Points'!A:B,2,0))</f>
        <v>AB</v>
      </c>
      <c r="E30" s="36" t="s">
        <v>89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4.3200000000000001E-6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Scores'!G$13),AND(G30="15-16",U30&gt;='Qualifying Scores'!G$12),AND(G30="13-14",U30&gt;='Qualifying Scores'!G$11),AND(G30="11-12",U30&gt;='Qualifying Scores'!G$10)),T30,0),IF(OR(AND(G30="17-21",W30&gt;='Qualifying Scores'!G$13),AND(G30="15-16",W30&gt;='Qualifying Scores'!G$12),AND(G30="13-14",W30&gt;='Qualifying Scores'!G$11),AND(G30="11-12",W30&gt;='Qualifying Scores'!G$10)),V30,0),IF(OR(AND(G30="17-21",Y30&gt;='Qualifying Scores'!G$13),AND(G30="15-16",Y30&gt;='Qualifying Scores'!G$12),AND(G30="13-14",Y30&gt;='Qualifying Scores'!G$11),AND(G30="11-12",Y30&gt;='Qualifying Scores'!G$10)),X30,0),IF(OR(AND(G30="17-21",AA30&gt;='Qualifying Scores'!G$13),AND(G30="15-16",AA30&gt;='Qualifying Scores'!G$12),AND(G30="13-14",AA30&gt;='Qualifying Scores'!G$11),AND(G30="11-12",AA30&gt;='Qualifying Scores'!G$10)),Z30,0)))</f>
        <v>0</v>
      </c>
      <c r="S30" s="4">
        <f>MAX(T30,V30,X30,Z30)</f>
        <v>43.2</v>
      </c>
      <c r="T30" s="33"/>
      <c r="U30" s="40"/>
      <c r="V30" s="34"/>
      <c r="W30" s="40"/>
      <c r="X30" s="33">
        <v>42.5</v>
      </c>
      <c r="Y30" s="40">
        <v>6</v>
      </c>
      <c r="Z30" s="34">
        <v>43.2</v>
      </c>
      <c r="AA30" s="37">
        <v>6.4</v>
      </c>
    </row>
    <row r="31" spans="1:27" x14ac:dyDescent="0.2">
      <c r="A31" s="1" t="str" cm="1">
        <f t="array" ref="A31">IF(I31="","",IF(P31&lt;&gt;"",SUMPRODUCT((P$3:P$88&lt;&gt;"")*(G$3:G$88=G31)*(J$3:J$88&gt;J31)*(I$3:I$88="P"))+1,IF(O31&lt;&gt;"",SUMPRODUCT((O$3:O$88&lt;&gt;"")*(P$3:P$88="")*(G$3:G$88=G31)*(J$3:J$88&gt;J31)*(I$3:I$88="P"))+SUMPRODUCT((P$3:P$88&lt;&gt;"")*(G$3:G$88=G31)*(I$3:I$88="P"))+1,IF(N31&lt;&gt;"",SUMPRODUCT((N$3:N$88&lt;&gt;"")*(G$3:G$88=G31)*(J$3:J$88&gt;J31)*(I$3:I$88="P"))+1,IF(M31="P",SUMPRODUCT((O$3:O$88&lt;&gt;"")*(P$3:P$88="")*(G$3:G$88=G31)*(I$3:I$88="P"))+SUMPRODUCT((P$3:P$88&lt;&gt;"")*(G$3:G$88=G31)*(I$3:I$88="P"))+SUMPRODUCT((N$3:N$88&lt;&gt;"")*(G$3:G$88=G31)*(I$3:I$88="P"))+SUMPRODUCT((P$3:P$88="")*(O$3:O$88="")*(N$3:N$88="")*(M$3:M$88="P")*(G$3:G$88=G31)*(J$3:J$88&gt;J31)*(I$3:I$88="P"))+IF(H31="L5",SUMPRODUCT((P$3:P$88="")*(O$3:O$88="")*(N$3:N$88="")*(M$3:M$88="P")*(G$3:G$88=G31)*(J$3:J$88&lt;J31)*(H$3:H$88&lt;&gt;H31)*(I$3:I$88="P")),-1*SUMPRODUCT((P$3:P$88="")*(O$3:O$88="")*(N$3:N$88="")*(M$3:M$88="P")*(G$3:G$88=G31)*(J$3:J$88&gt;J31)*(H$3:H$88="L5")*(I$3:I$88="P")))+1,"")))))</f>
        <v/>
      </c>
      <c r="B31" s="1" t="str" cm="1">
        <f t="array" ref="B31">IF(P31&lt;&gt;"",SUMPRODUCT((P$3:P$88&lt;&gt;"")*(G$3:G$88=G31)*(J$3:J$88&gt;J31))+1,IF(O31&lt;&gt;"",SUMPRODUCT((O$3:O$88&lt;&gt;"")*(P$3:P$88="")*(G$3:G$88=G31)*(J$3:J$88&gt;J31))+SUMPRODUCT((P$3:P$88&lt;&gt;"")*(G$3:G$88=G31))+1,IF(N31&lt;&gt;"",SUMPRODUCT((N$3:N$88&lt;&gt;"")*(G$3:G$88=G31)*(J$3:J$88&gt;J31))+1,IF(M31="P",SUMPRODUCT((O$3:O$88&lt;&gt;"")*(P$3:P$88="")*(G$3:G$88=G31))+SUMPRODUCT((P$3:P$88&lt;&gt;"")*(G$3:G$88=G31))+SUMPRODUCT((N$3:N$88&lt;&gt;"")*(G$3:G$88=G31))+SUMPRODUCT((P$3:P$88="")*(O$3:O$88="")*(N$3:N$88="")*(M$3:M$88="P")*(G$3:G$88=G31)*(J$3:J$88&gt;J31))+IF(H31="L5",SUMPRODUCT((P$3:P$88="")*(O$3:O$88="")*(N$3:N$88="")*(M$3:M$88="P")*(G$3:G$88=G31)*(J$3:J$88&lt;J31)*(H$3:H$88&lt;&gt;H31)),-1*SUMPRODUCT((P$3:P$88="")*(O$3:O$88="")*(N$3:N$88="")*(M$3:M$88="P")*(G$3:G$88=G31)*(J$3:J$88&gt;J31)*(H$3:H$88="L5")))+1,""))))</f>
        <v/>
      </c>
      <c r="C31" s="36" t="s">
        <v>78</v>
      </c>
      <c r="D31" s="36" t="str">
        <f>IF(E31="","",VLOOKUP(E31,'Coaching Points'!A:B,2,0))</f>
        <v>SK</v>
      </c>
      <c r="E31" s="36" t="s">
        <v>46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4.3100000000000002E-6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Scores'!G$13),AND(G31="15-16",U31&gt;='Qualifying Scores'!G$12),AND(G31="13-14",U31&gt;='Qualifying Scores'!G$11),AND(G31="11-12",U31&gt;='Qualifying Scores'!G$10)),T31,0),IF(OR(AND(G31="17-21",W31&gt;='Qualifying Scores'!G$13),AND(G31="15-16",W31&gt;='Qualifying Scores'!G$12),AND(G31="13-14",W31&gt;='Qualifying Scores'!G$11),AND(G31="11-12",W31&gt;='Qualifying Scores'!G$10)),V31,0),IF(OR(AND(G31="17-21",Y31&gt;='Qualifying Scores'!G$13),AND(G31="15-16",Y31&gt;='Qualifying Scores'!G$12),AND(G31="13-14",Y31&gt;='Qualifying Scores'!G$11),AND(G31="11-12",Y31&gt;='Qualifying Scores'!G$10)),X31,0),IF(OR(AND(G31="17-21",AA31&gt;='Qualifying Scores'!G$13),AND(G31="15-16",AA31&gt;='Qualifying Scores'!G$12),AND(G31="13-14",AA31&gt;='Qualifying Scores'!G$11),AND(G31="11-12",AA31&gt;='Qualifying Scores'!G$10)),Z31,0)))</f>
        <v>0</v>
      </c>
      <c r="S31" s="4">
        <f>MAX(T31,V31,X31,Z31)</f>
        <v>43.1</v>
      </c>
      <c r="T31" s="33">
        <v>42.3</v>
      </c>
      <c r="U31" s="40">
        <v>4.8000000000000007</v>
      </c>
      <c r="V31" s="34">
        <v>42.2</v>
      </c>
      <c r="W31" s="40">
        <v>5.1999999999999993</v>
      </c>
      <c r="X31" s="33">
        <v>43.1</v>
      </c>
      <c r="Y31" s="40">
        <v>6.3000000000000007</v>
      </c>
      <c r="Z31" s="34">
        <v>40.200000000000003</v>
      </c>
      <c r="AA31" s="37">
        <v>4.2</v>
      </c>
    </row>
    <row r="32" spans="1:27" x14ac:dyDescent="0.2">
      <c r="A32" s="1" t="str" cm="1">
        <f t="array" ref="A32">IF(I32="","",IF(P32&lt;&gt;"",SUMPRODUCT((P$3:P$88&lt;&gt;"")*(G$3:G$88=G32)*(J$3:J$88&gt;J32)*(I$3:I$88="P"))+1,IF(O32&lt;&gt;"",SUMPRODUCT((O$3:O$88&lt;&gt;"")*(P$3:P$88="")*(G$3:G$88=G32)*(J$3:J$88&gt;J32)*(I$3:I$88="P"))+SUMPRODUCT((P$3:P$88&lt;&gt;"")*(G$3:G$88=G32)*(I$3:I$88="P"))+1,IF(N32&lt;&gt;"",SUMPRODUCT((N$3:N$88&lt;&gt;"")*(G$3:G$88=G32)*(J$3:J$88&gt;J32)*(I$3:I$88="P"))+1,IF(M32="P",SUMPRODUCT((O$3:O$88&lt;&gt;"")*(P$3:P$88="")*(G$3:G$88=G32)*(I$3:I$88="P"))+SUMPRODUCT((P$3:P$88&lt;&gt;"")*(G$3:G$88=G32)*(I$3:I$88="P"))+SUMPRODUCT((N$3:N$88&lt;&gt;"")*(G$3:G$88=G32)*(I$3:I$88="P"))+SUMPRODUCT((P$3:P$88="")*(O$3:O$88="")*(N$3:N$88="")*(M$3:M$88="P")*(G$3:G$88=G32)*(J$3:J$88&gt;J32)*(I$3:I$88="P"))+IF(H32="L5",SUMPRODUCT((P$3:P$88="")*(O$3:O$88="")*(N$3:N$88="")*(M$3:M$88="P")*(G$3:G$88=G32)*(J$3:J$88&lt;J32)*(H$3:H$88&lt;&gt;H32)*(I$3:I$88="P")),-1*SUMPRODUCT((P$3:P$88="")*(O$3:O$88="")*(N$3:N$88="")*(M$3:M$88="P")*(G$3:G$88=G32)*(J$3:J$88&gt;J32)*(H$3:H$88="L5")*(I$3:I$88="P")))+1,"")))))</f>
        <v/>
      </c>
      <c r="B32" s="1" t="str" cm="1">
        <f t="array" ref="B32">IF(P32&lt;&gt;"",SUMPRODUCT((P$3:P$88&lt;&gt;"")*(G$3:G$88=G32)*(J$3:J$88&gt;J32))+1,IF(O32&lt;&gt;"",SUMPRODUCT((O$3:O$88&lt;&gt;"")*(P$3:P$88="")*(G$3:G$88=G32)*(J$3:J$88&gt;J32))+SUMPRODUCT((P$3:P$88&lt;&gt;"")*(G$3:G$88=G32))+1,IF(N32&lt;&gt;"",SUMPRODUCT((N$3:N$88&lt;&gt;"")*(G$3:G$88=G32)*(J$3:J$88&gt;J32))+1,IF(M32="P",SUMPRODUCT((O$3:O$88&lt;&gt;"")*(P$3:P$88="")*(G$3:G$88=G32))+SUMPRODUCT((P$3:P$88&lt;&gt;"")*(G$3:G$88=G32))+SUMPRODUCT((N$3:N$88&lt;&gt;"")*(G$3:G$88=G32))+SUMPRODUCT((P$3:P$88="")*(O$3:O$88="")*(N$3:N$88="")*(M$3:M$88="P")*(G$3:G$88=G32)*(J$3:J$88&gt;J32))+IF(H32="L5",SUMPRODUCT((P$3:P$88="")*(O$3:O$88="")*(N$3:N$88="")*(M$3:M$88="P")*(G$3:G$88=G32)*(J$3:J$88&lt;J32)*(H$3:H$88&lt;&gt;H32)),-1*SUMPRODUCT((P$3:P$88="")*(O$3:O$88="")*(N$3:N$88="")*(M$3:M$88="P")*(G$3:G$88=G32)*(J$3:J$88&gt;J32)*(H$3:H$88="L5")))+1,""))))</f>
        <v/>
      </c>
      <c r="C32" s="36" t="s">
        <v>530</v>
      </c>
      <c r="D32" s="36" t="s">
        <v>354</v>
      </c>
      <c r="E32" s="36" t="s">
        <v>89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4.2899999999999996E-6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Scores'!G$13),AND(G32="15-16",U32&gt;='Qualifying Scores'!G$12),AND(G32="13-14",U32&gt;='Qualifying Scores'!G$11),AND(G32="11-12",U32&gt;='Qualifying Scores'!G$10)),T32,0),IF(OR(AND(G32="17-21",W32&gt;='Qualifying Scores'!G$13),AND(G32="15-16",W32&gt;='Qualifying Scores'!G$12),AND(G32="13-14",W32&gt;='Qualifying Scores'!G$11),AND(G32="11-12",W32&gt;='Qualifying Scores'!G$10)),V32,0),IF(OR(AND(G32="17-21",Y32&gt;='Qualifying Scores'!G$13),AND(G32="15-16",Y32&gt;='Qualifying Scores'!G$12),AND(G32="13-14",Y32&gt;='Qualifying Scores'!G$11),AND(G32="11-12",Y32&gt;='Qualifying Scores'!G$10)),X32,0),IF(OR(AND(G32="17-21",AA32&gt;='Qualifying Scores'!G$13),AND(G32="15-16",AA32&gt;='Qualifying Scores'!G$12),AND(G32="13-14",AA32&gt;='Qualifying Scores'!G$11),AND(G32="11-12",AA32&gt;='Qualifying Scores'!G$10)),Z32,0)))</f>
        <v>0</v>
      </c>
      <c r="S32" s="4">
        <f>MAX(T32,V32,X32,Z32)</f>
        <v>42.9</v>
      </c>
      <c r="T32" s="33"/>
      <c r="U32" s="40"/>
      <c r="V32" s="34"/>
      <c r="W32" s="40"/>
      <c r="X32" s="33">
        <v>42.9</v>
      </c>
      <c r="Y32" s="40">
        <v>6.1</v>
      </c>
      <c r="Z32" s="34">
        <v>39.200000000000003</v>
      </c>
      <c r="AA32" s="37">
        <v>5.2</v>
      </c>
    </row>
    <row r="33" spans="1:27" x14ac:dyDescent="0.2">
      <c r="A33" s="1" t="str" cm="1">
        <f t="array" ref="A33">IF(I33="","",IF(P33&lt;&gt;"",SUMPRODUCT((P$3:P$88&lt;&gt;"")*(G$3:G$88=G33)*(J$3:J$88&gt;J33)*(I$3:I$88="P"))+1,IF(O33&lt;&gt;"",SUMPRODUCT((O$3:O$88&lt;&gt;"")*(P$3:P$88="")*(G$3:G$88=G33)*(J$3:J$88&gt;J33)*(I$3:I$88="P"))+SUMPRODUCT((P$3:P$88&lt;&gt;"")*(G$3:G$88=G33)*(I$3:I$88="P"))+1,IF(N33&lt;&gt;"",SUMPRODUCT((N$3:N$88&lt;&gt;"")*(G$3:G$88=G33)*(J$3:J$88&gt;J33)*(I$3:I$88="P"))+1,IF(M33="P",SUMPRODUCT((O$3:O$88&lt;&gt;"")*(P$3:P$88="")*(G$3:G$88=G33)*(I$3:I$88="P"))+SUMPRODUCT((P$3:P$88&lt;&gt;"")*(G$3:G$88=G33)*(I$3:I$88="P"))+SUMPRODUCT((N$3:N$88&lt;&gt;"")*(G$3:G$88=G33)*(I$3:I$88="P"))+SUMPRODUCT((P$3:P$88="")*(O$3:O$88="")*(N$3:N$88="")*(M$3:M$88="P")*(G$3:G$88=G33)*(J$3:J$88&gt;J33)*(I$3:I$88="P"))+IF(H33="L5",SUMPRODUCT((P$3:P$88="")*(O$3:O$88="")*(N$3:N$88="")*(M$3:M$88="P")*(G$3:G$88=G33)*(J$3:J$88&lt;J33)*(H$3:H$88&lt;&gt;H33)*(I$3:I$88="P")),-1*SUMPRODUCT((P$3:P$88="")*(O$3:O$88="")*(N$3:N$88="")*(M$3:M$88="P")*(G$3:G$88=G33)*(J$3:J$88&gt;J33)*(H$3:H$88="L5")*(I$3:I$88="P")))+1,"")))))</f>
        <v/>
      </c>
      <c r="B33" s="1" t="str" cm="1">
        <f t="array" ref="B33">IF(P33&lt;&gt;"",SUMPRODUCT((P$3:P$88&lt;&gt;"")*(G$3:G$88=G33)*(J$3:J$88&gt;J33))+1,IF(O33&lt;&gt;"",SUMPRODUCT((O$3:O$88&lt;&gt;"")*(P$3:P$88="")*(G$3:G$88=G33)*(J$3:J$88&gt;J33))+SUMPRODUCT((P$3:P$88&lt;&gt;"")*(G$3:G$88=G33))+1,IF(N33&lt;&gt;"",SUMPRODUCT((N$3:N$88&lt;&gt;"")*(G$3:G$88=G33)*(J$3:J$88&gt;J33))+1,IF(M33="P",SUMPRODUCT((O$3:O$88&lt;&gt;"")*(P$3:P$88="")*(G$3:G$88=G33))+SUMPRODUCT((P$3:P$88&lt;&gt;"")*(G$3:G$88=G33))+SUMPRODUCT((N$3:N$88&lt;&gt;"")*(G$3:G$88=G33))+SUMPRODUCT((P$3:P$88="")*(O$3:O$88="")*(N$3:N$88="")*(M$3:M$88="P")*(G$3:G$88=G33)*(J$3:J$88&gt;J33))+IF(H33="L5",SUMPRODUCT((P$3:P$88="")*(O$3:O$88="")*(N$3:N$88="")*(M$3:M$88="P")*(G$3:G$88=G33)*(J$3:J$88&lt;J33)*(H$3:H$88&lt;&gt;H33)),-1*SUMPRODUCT((P$3:P$88="")*(O$3:O$88="")*(N$3:N$88="")*(M$3:M$88="P")*(G$3:G$88=G33)*(J$3:J$88&gt;J33)*(H$3:H$88="L5")))+1,""))))</f>
        <v/>
      </c>
      <c r="C33" s="36" t="s">
        <v>87</v>
      </c>
      <c r="D33" s="36" t="str">
        <f>IF(E33="","",VLOOKUP(E33,'Coaching Points'!A:B,2,0))</f>
        <v>SK</v>
      </c>
      <c r="E33" s="36" t="s">
        <v>70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4.2599999999999999E-6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Scores'!G$13),AND(G33="15-16",U33&gt;='Qualifying Scores'!G$12),AND(G33="13-14",U33&gt;='Qualifying Scores'!G$11),AND(G33="11-12",U33&gt;='Qualifying Scores'!G$10)),T33,0),IF(OR(AND(G33="17-21",W33&gt;='Qualifying Scores'!G$13),AND(G33="15-16",W33&gt;='Qualifying Scores'!G$12),AND(G33="13-14",W33&gt;='Qualifying Scores'!G$11),AND(G33="11-12",W33&gt;='Qualifying Scores'!G$10)),V33,0),IF(OR(AND(G33="17-21",Y33&gt;='Qualifying Scores'!G$13),AND(G33="15-16",Y33&gt;='Qualifying Scores'!G$12),AND(G33="13-14",Y33&gt;='Qualifying Scores'!G$11),AND(G33="11-12",Y33&gt;='Qualifying Scores'!G$10)),X33,0),IF(OR(AND(G33="17-21",AA33&gt;='Qualifying Scores'!G$13),AND(G33="15-16",AA33&gt;='Qualifying Scores'!G$12),AND(G33="13-14",AA33&gt;='Qualifying Scores'!G$11),AND(G33="11-12",AA33&gt;='Qualifying Scores'!G$10)),Z33,0)))</f>
        <v>0</v>
      </c>
      <c r="S33" s="4">
        <f>MAX(T33,V33,X33,Z33)</f>
        <v>42.6</v>
      </c>
      <c r="T33" s="33">
        <v>39.799999999999997</v>
      </c>
      <c r="U33" s="40">
        <v>2.8</v>
      </c>
      <c r="V33" s="34">
        <v>0</v>
      </c>
      <c r="W33" s="40">
        <v>0</v>
      </c>
      <c r="X33" s="33">
        <v>42.6</v>
      </c>
      <c r="Y33" s="40">
        <v>4.8000000000000007</v>
      </c>
      <c r="Z33" s="34">
        <v>38.9</v>
      </c>
      <c r="AA33" s="37">
        <v>2.9000000000000004</v>
      </c>
    </row>
    <row r="34" spans="1:27" x14ac:dyDescent="0.2">
      <c r="A34" s="1" t="str" cm="1">
        <f t="array" ref="A34">IF(I34="","",IF(P34&lt;&gt;"",SUMPRODUCT((P$3:P$88&lt;&gt;"")*(G$3:G$88=G34)*(J$3:J$88&gt;J34)*(I$3:I$88="P"))+1,IF(O34&lt;&gt;"",SUMPRODUCT((O$3:O$88&lt;&gt;"")*(P$3:P$88="")*(G$3:G$88=G34)*(J$3:J$88&gt;J34)*(I$3:I$88="P"))+SUMPRODUCT((P$3:P$88&lt;&gt;"")*(G$3:G$88=G34)*(I$3:I$88="P"))+1,IF(N34&lt;&gt;"",SUMPRODUCT((N$3:N$88&lt;&gt;"")*(G$3:G$88=G34)*(J$3:J$88&gt;J34)*(I$3:I$88="P"))+1,IF(M34="P",SUMPRODUCT((O$3:O$88&lt;&gt;"")*(P$3:P$88="")*(G$3:G$88=G34)*(I$3:I$88="P"))+SUMPRODUCT((P$3:P$88&lt;&gt;"")*(G$3:G$88=G34)*(I$3:I$88="P"))+SUMPRODUCT((N$3:N$88&lt;&gt;"")*(G$3:G$88=G34)*(I$3:I$88="P"))+SUMPRODUCT((P$3:P$88="")*(O$3:O$88="")*(N$3:N$88="")*(M$3:M$88="P")*(G$3:G$88=G34)*(J$3:J$88&gt;J34)*(I$3:I$88="P"))+IF(H34="L5",SUMPRODUCT((P$3:P$88="")*(O$3:O$88="")*(N$3:N$88="")*(M$3:M$88="P")*(G$3:G$88=G34)*(J$3:J$88&lt;J34)*(H$3:H$88&lt;&gt;H34)*(I$3:I$88="P")),-1*SUMPRODUCT((P$3:P$88="")*(O$3:O$88="")*(N$3:N$88="")*(M$3:M$88="P")*(G$3:G$88=G34)*(J$3:J$88&gt;J34)*(H$3:H$88="L5")*(I$3:I$88="P")))+1,"")))))</f>
        <v/>
      </c>
      <c r="B34" s="1" t="str" cm="1">
        <f t="array" ref="B34">IF(P34&lt;&gt;"",SUMPRODUCT((P$3:P$88&lt;&gt;"")*(G$3:G$88=G34)*(J$3:J$88&gt;J34))+1,IF(O34&lt;&gt;"",SUMPRODUCT((O$3:O$88&lt;&gt;"")*(P$3:P$88="")*(G$3:G$88=G34)*(J$3:J$88&gt;J34))+SUMPRODUCT((P$3:P$88&lt;&gt;"")*(G$3:G$88=G34))+1,IF(N34&lt;&gt;"",SUMPRODUCT((N$3:N$88&lt;&gt;"")*(G$3:G$88=G34)*(J$3:J$88&gt;J34))+1,IF(M34="P",SUMPRODUCT((O$3:O$88&lt;&gt;"")*(P$3:P$88="")*(G$3:G$88=G34))+SUMPRODUCT((P$3:P$88&lt;&gt;"")*(G$3:G$88=G34))+SUMPRODUCT((N$3:N$88&lt;&gt;"")*(G$3:G$88=G34))+SUMPRODUCT((P$3:P$88="")*(O$3:O$88="")*(N$3:N$88="")*(M$3:M$88="P")*(G$3:G$88=G34)*(J$3:J$88&gt;J34))+IF(H34="L5",SUMPRODUCT((P$3:P$88="")*(O$3:O$88="")*(N$3:N$88="")*(M$3:M$88="P")*(G$3:G$88=G34)*(J$3:J$88&lt;J34)*(H$3:H$88&lt;&gt;H34)),-1*SUMPRODUCT((P$3:P$88="")*(O$3:O$88="")*(N$3:N$88="")*(M$3:M$88="P")*(G$3:G$88=G34)*(J$3:J$88&gt;J34)*(H$3:H$88="L5")))+1,""))))</f>
        <v/>
      </c>
      <c r="C34" s="36" t="s">
        <v>82</v>
      </c>
      <c r="D34" s="36" t="str">
        <f>IF(E34="","",VLOOKUP(E34,'Coaching Points'!A:B,2,0))</f>
        <v>BC</v>
      </c>
      <c r="E34" s="36" t="s">
        <v>42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4.2200000000000003E-6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Scores'!G$13),AND(G34="15-16",U34&gt;='Qualifying Scores'!G$12),AND(G34="13-14",U34&gt;='Qualifying Scores'!G$11),AND(G34="11-12",U34&gt;='Qualifying Scores'!G$10)),T34,0),IF(OR(AND(G34="17-21",W34&gt;='Qualifying Scores'!G$13),AND(G34="15-16",W34&gt;='Qualifying Scores'!G$12),AND(G34="13-14",W34&gt;='Qualifying Scores'!G$11),AND(G34="11-12",W34&gt;='Qualifying Scores'!G$10)),V34,0),IF(OR(AND(G34="17-21",Y34&gt;='Qualifying Scores'!G$13),AND(G34="15-16",Y34&gt;='Qualifying Scores'!G$12),AND(G34="13-14",Y34&gt;='Qualifying Scores'!G$11),AND(G34="11-12",Y34&gt;='Qualifying Scores'!G$10)),X34,0),IF(OR(AND(G34="17-21",AA34&gt;='Qualifying Scores'!G$13),AND(G34="15-16",AA34&gt;='Qualifying Scores'!G$12),AND(G34="13-14",AA34&gt;='Qualifying Scores'!G$11),AND(G34="11-12",AA34&gt;='Qualifying Scores'!G$10)),Z34,0)))</f>
        <v>0</v>
      </c>
      <c r="S34" s="4">
        <f>MAX(T34,V34,X34,Z34)</f>
        <v>42.2</v>
      </c>
      <c r="T34" s="33">
        <v>41.58</v>
      </c>
      <c r="U34" s="40">
        <v>5.8</v>
      </c>
      <c r="V34" s="34">
        <v>41.8</v>
      </c>
      <c r="W34" s="40">
        <v>5.0999999999999996</v>
      </c>
      <c r="X34" s="33">
        <v>42.2</v>
      </c>
      <c r="Y34" s="40">
        <v>5.8000000000000007</v>
      </c>
      <c r="Z34" s="34">
        <v>41.8</v>
      </c>
      <c r="AA34" s="37">
        <v>5.2</v>
      </c>
    </row>
    <row r="35" spans="1:27" x14ac:dyDescent="0.2">
      <c r="A35" s="1" t="str" cm="1">
        <f t="array" ref="A35">IF(I35="","",IF(P35&lt;&gt;"",SUMPRODUCT((P$3:P$88&lt;&gt;"")*(G$3:G$88=G35)*(J$3:J$88&gt;J35)*(I$3:I$88="P"))+1,IF(O35&lt;&gt;"",SUMPRODUCT((O$3:O$88&lt;&gt;"")*(P$3:P$88="")*(G$3:G$88=G35)*(J$3:J$88&gt;J35)*(I$3:I$88="P"))+SUMPRODUCT((P$3:P$88&lt;&gt;"")*(G$3:G$88=G35)*(I$3:I$88="P"))+1,IF(N35&lt;&gt;"",SUMPRODUCT((N$3:N$88&lt;&gt;"")*(G$3:G$88=G35)*(J$3:J$88&gt;J35)*(I$3:I$88="P"))+1,IF(M35="P",SUMPRODUCT((O$3:O$88&lt;&gt;"")*(P$3:P$88="")*(G$3:G$88=G35)*(I$3:I$88="P"))+SUMPRODUCT((P$3:P$88&lt;&gt;"")*(G$3:G$88=G35)*(I$3:I$88="P"))+SUMPRODUCT((N$3:N$88&lt;&gt;"")*(G$3:G$88=G35)*(I$3:I$88="P"))+SUMPRODUCT((P$3:P$88="")*(O$3:O$88="")*(N$3:N$88="")*(M$3:M$88="P")*(G$3:G$88=G35)*(J$3:J$88&gt;J35)*(I$3:I$88="P"))+IF(H35="L5",SUMPRODUCT((P$3:P$88="")*(O$3:O$88="")*(N$3:N$88="")*(M$3:M$88="P")*(G$3:G$88=G35)*(J$3:J$88&lt;J35)*(H$3:H$88&lt;&gt;H35)*(I$3:I$88="P")),-1*SUMPRODUCT((P$3:P$88="")*(O$3:O$88="")*(N$3:N$88="")*(M$3:M$88="P")*(G$3:G$88=G35)*(J$3:J$88&gt;J35)*(H$3:H$88="L5")*(I$3:I$88="P")))+1,"")))))</f>
        <v/>
      </c>
      <c r="B35" s="1" t="str" cm="1">
        <f t="array" ref="B35">IF(P35&lt;&gt;"",SUMPRODUCT((P$3:P$88&lt;&gt;"")*(G$3:G$88=G35)*(J$3:J$88&gt;J35))+1,IF(O35&lt;&gt;"",SUMPRODUCT((O$3:O$88&lt;&gt;"")*(P$3:P$88="")*(G$3:G$88=G35)*(J$3:J$88&gt;J35))+SUMPRODUCT((P$3:P$88&lt;&gt;"")*(G$3:G$88=G35))+1,IF(N35&lt;&gt;"",SUMPRODUCT((N$3:N$88&lt;&gt;"")*(G$3:G$88=G35)*(J$3:J$88&gt;J35))+1,IF(M35="P",SUMPRODUCT((O$3:O$88&lt;&gt;"")*(P$3:P$88="")*(G$3:G$88=G35))+SUMPRODUCT((P$3:P$88&lt;&gt;"")*(G$3:G$88=G35))+SUMPRODUCT((N$3:N$88&lt;&gt;"")*(G$3:G$88=G35))+SUMPRODUCT((P$3:P$88="")*(O$3:O$88="")*(N$3:N$88="")*(M$3:M$88="P")*(G$3:G$88=G35)*(J$3:J$88&gt;J35))+IF(H35="L5",SUMPRODUCT((P$3:P$88="")*(O$3:O$88="")*(N$3:N$88="")*(M$3:M$88="P")*(G$3:G$88=G35)*(J$3:J$88&lt;J35)*(H$3:H$88&lt;&gt;H35)),-1*SUMPRODUCT((P$3:P$88="")*(O$3:O$88="")*(N$3:N$88="")*(M$3:M$88="P")*(G$3:G$88=G35)*(J$3:J$88&gt;J35)*(H$3:H$88="L5")))+1,""))))</f>
        <v/>
      </c>
      <c r="C35" s="36" t="s">
        <v>527</v>
      </c>
      <c r="D35" s="36" t="str">
        <f>IF(E35="","",VLOOKUP(E35,'Coaching Points'!A:B,2,0))</f>
        <v>AB</v>
      </c>
      <c r="E35" s="36" t="s">
        <v>89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4.1999999999999996E-6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Scores'!G$13),AND(G35="15-16",U35&gt;='Qualifying Scores'!G$12),AND(G35="13-14",U35&gt;='Qualifying Scores'!G$11),AND(G35="11-12",U35&gt;='Qualifying Scores'!G$10)),T35,0),IF(OR(AND(G35="17-21",W35&gt;='Qualifying Scores'!G$13),AND(G35="15-16",W35&gt;='Qualifying Scores'!G$12),AND(G35="13-14",W35&gt;='Qualifying Scores'!G$11),AND(G35="11-12",W35&gt;='Qualifying Scores'!G$10)),V35,0),IF(OR(AND(G35="17-21",Y35&gt;='Qualifying Scores'!G$13),AND(G35="15-16",Y35&gt;='Qualifying Scores'!G$12),AND(G35="13-14",Y35&gt;='Qualifying Scores'!G$11),AND(G35="11-12",Y35&gt;='Qualifying Scores'!G$10)),X35,0),IF(OR(AND(G35="17-21",AA35&gt;='Qualifying Scores'!G$13),AND(G35="15-16",AA35&gt;='Qualifying Scores'!G$12),AND(G35="13-14",AA35&gt;='Qualifying Scores'!G$11),AND(G35="11-12",AA35&gt;='Qualifying Scores'!G$10)),Z35,0)))</f>
        <v>0</v>
      </c>
      <c r="S35" s="4">
        <f>MAX(T35,V35,X35,Z35)</f>
        <v>42</v>
      </c>
      <c r="T35" s="33"/>
      <c r="U35" s="40"/>
      <c r="V35" s="34"/>
      <c r="W35" s="40"/>
      <c r="X35" s="33">
        <v>42</v>
      </c>
      <c r="Y35" s="40">
        <v>5.8000000000000007</v>
      </c>
      <c r="Z35" s="34">
        <v>34</v>
      </c>
      <c r="AA35" s="37">
        <v>3</v>
      </c>
    </row>
    <row r="36" spans="1:27" x14ac:dyDescent="0.2">
      <c r="A36" s="1" t="str" cm="1">
        <f t="array" ref="A36">IF(I36="","",IF(P36&lt;&gt;"",SUMPRODUCT((P$3:P$88&lt;&gt;"")*(G$3:G$88=G36)*(J$3:J$88&gt;J36)*(I$3:I$88="P"))+1,IF(O36&lt;&gt;"",SUMPRODUCT((O$3:O$88&lt;&gt;"")*(P$3:P$88="")*(G$3:G$88=G36)*(J$3:J$88&gt;J36)*(I$3:I$88="P"))+SUMPRODUCT((P$3:P$88&lt;&gt;"")*(G$3:G$88=G36)*(I$3:I$88="P"))+1,IF(N36&lt;&gt;"",SUMPRODUCT((N$3:N$88&lt;&gt;"")*(G$3:G$88=G36)*(J$3:J$88&gt;J36)*(I$3:I$88="P"))+1,IF(M36="P",SUMPRODUCT((O$3:O$88&lt;&gt;"")*(P$3:P$88="")*(G$3:G$88=G36)*(I$3:I$88="P"))+SUMPRODUCT((P$3:P$88&lt;&gt;"")*(G$3:G$88=G36)*(I$3:I$88="P"))+SUMPRODUCT((N$3:N$88&lt;&gt;"")*(G$3:G$88=G36)*(I$3:I$88="P"))+SUMPRODUCT((P$3:P$88="")*(O$3:O$88="")*(N$3:N$88="")*(M$3:M$88="P")*(G$3:G$88=G36)*(J$3:J$88&gt;J36)*(I$3:I$88="P"))+IF(H36="L5",SUMPRODUCT((P$3:P$88="")*(O$3:O$88="")*(N$3:N$88="")*(M$3:M$88="P")*(G$3:G$88=G36)*(J$3:J$88&lt;J36)*(H$3:H$88&lt;&gt;H36)*(I$3:I$88="P")),-1*SUMPRODUCT((P$3:P$88="")*(O$3:O$88="")*(N$3:N$88="")*(M$3:M$88="P")*(G$3:G$88=G36)*(J$3:J$88&gt;J36)*(H$3:H$88="L5")*(I$3:I$88="P")))+1,"")))))</f>
        <v/>
      </c>
      <c r="B36" s="1" t="str" cm="1">
        <f t="array" ref="B36">IF(P36&lt;&gt;"",SUMPRODUCT((P$3:P$88&lt;&gt;"")*(G$3:G$88=G36)*(J$3:J$88&gt;J36))+1,IF(O36&lt;&gt;"",SUMPRODUCT((O$3:O$88&lt;&gt;"")*(P$3:P$88="")*(G$3:G$88=G36)*(J$3:J$88&gt;J36))+SUMPRODUCT((P$3:P$88&lt;&gt;"")*(G$3:G$88=G36))+1,IF(N36&lt;&gt;"",SUMPRODUCT((N$3:N$88&lt;&gt;"")*(G$3:G$88=G36)*(J$3:J$88&gt;J36))+1,IF(M36="P",SUMPRODUCT((O$3:O$88&lt;&gt;"")*(P$3:P$88="")*(G$3:G$88=G36))+SUMPRODUCT((P$3:P$88&lt;&gt;"")*(G$3:G$88=G36))+SUMPRODUCT((N$3:N$88&lt;&gt;"")*(G$3:G$88=G36))+SUMPRODUCT((P$3:P$88="")*(O$3:O$88="")*(N$3:N$88="")*(M$3:M$88="P")*(G$3:G$88=G36)*(J$3:J$88&gt;J36))+IF(H36="L5",SUMPRODUCT((P$3:P$88="")*(O$3:O$88="")*(N$3:N$88="")*(M$3:M$88="P")*(G$3:G$88=G36)*(J$3:J$88&lt;J36)*(H$3:H$88&lt;&gt;H36)),-1*SUMPRODUCT((P$3:P$88="")*(O$3:O$88="")*(N$3:N$88="")*(M$3:M$88="P")*(G$3:G$88=G36)*(J$3:J$88&gt;J36)*(H$3:H$88="L5")))+1,""))))</f>
        <v/>
      </c>
      <c r="C36" s="36" t="s">
        <v>85</v>
      </c>
      <c r="D36" s="36" t="str">
        <f>IF(E36="","",VLOOKUP(E36,'Coaching Points'!A:B,2,0))</f>
        <v>NB</v>
      </c>
      <c r="E36" s="36" t="s">
        <v>49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4.1200000000000004E-6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Scores'!G$13),AND(G36="15-16",U36&gt;='Qualifying Scores'!G$12),AND(G36="13-14",U36&gt;='Qualifying Scores'!G$11),AND(G36="11-12",U36&gt;='Qualifying Scores'!G$10)),T36,0),IF(OR(AND(G36="17-21",W36&gt;='Qualifying Scores'!G$13),AND(G36="15-16",W36&gt;='Qualifying Scores'!G$12),AND(G36="13-14",W36&gt;='Qualifying Scores'!G$11),AND(G36="11-12",W36&gt;='Qualifying Scores'!G$10)),V36,0),IF(OR(AND(G36="17-21",Y36&gt;='Qualifying Scores'!G$13),AND(G36="15-16",Y36&gt;='Qualifying Scores'!G$12),AND(G36="13-14",Y36&gt;='Qualifying Scores'!G$11),AND(G36="11-12",Y36&gt;='Qualifying Scores'!G$10)),X36,0),IF(OR(AND(G36="17-21",AA36&gt;='Qualifying Scores'!G$13),AND(G36="15-16",AA36&gt;='Qualifying Scores'!G$12),AND(G36="13-14",AA36&gt;='Qualifying Scores'!G$11),AND(G36="11-12",AA36&gt;='Qualifying Scores'!G$10)),Z36,0)))</f>
        <v>0</v>
      </c>
      <c r="S36" s="4">
        <f>MAX(T36,V36,X36,Z36)</f>
        <v>42.36</v>
      </c>
      <c r="T36" s="33">
        <v>42.36</v>
      </c>
      <c r="U36" s="40">
        <v>5.8</v>
      </c>
      <c r="V36" s="34">
        <v>41.5</v>
      </c>
      <c r="W36" s="40">
        <v>4.2</v>
      </c>
      <c r="X36" s="33">
        <v>41.2</v>
      </c>
      <c r="Y36" s="40">
        <v>4.8000000000000007</v>
      </c>
      <c r="Z36" s="34">
        <v>40.900000000000006</v>
      </c>
      <c r="AA36" s="37">
        <v>5.2</v>
      </c>
    </row>
    <row r="37" spans="1:27" x14ac:dyDescent="0.2">
      <c r="A37" s="1" t="str" cm="1">
        <f t="array" ref="A37">IF(I37="","",IF(P37&lt;&gt;"",SUMPRODUCT((P$3:P$88&lt;&gt;"")*(G$3:G$88=G37)*(J$3:J$88&gt;J37)*(I$3:I$88="P"))+1,IF(O37&lt;&gt;"",SUMPRODUCT((O$3:O$88&lt;&gt;"")*(P$3:P$88="")*(G$3:G$88=G37)*(J$3:J$88&gt;J37)*(I$3:I$88="P"))+SUMPRODUCT((P$3:P$88&lt;&gt;"")*(G$3:G$88=G37)*(I$3:I$88="P"))+1,IF(N37&lt;&gt;"",SUMPRODUCT((N$3:N$88&lt;&gt;"")*(G$3:G$88=G37)*(J$3:J$88&gt;J37)*(I$3:I$88="P"))+1,IF(M37="P",SUMPRODUCT((O$3:O$88&lt;&gt;"")*(P$3:P$88="")*(G$3:G$88=G37)*(I$3:I$88="P"))+SUMPRODUCT((P$3:P$88&lt;&gt;"")*(G$3:G$88=G37)*(I$3:I$88="P"))+SUMPRODUCT((N$3:N$88&lt;&gt;"")*(G$3:G$88=G37)*(I$3:I$88="P"))+SUMPRODUCT((P$3:P$88="")*(O$3:O$88="")*(N$3:N$88="")*(M$3:M$88="P")*(G$3:G$88=G37)*(J$3:J$88&gt;J37)*(I$3:I$88="P"))+IF(H37="L5",SUMPRODUCT((P$3:P$88="")*(O$3:O$88="")*(N$3:N$88="")*(M$3:M$88="P")*(G$3:G$88=G37)*(J$3:J$88&lt;J37)*(H$3:H$88&lt;&gt;H37)*(I$3:I$88="P")),-1*SUMPRODUCT((P$3:P$88="")*(O$3:O$88="")*(N$3:N$88="")*(M$3:M$88="P")*(G$3:G$88=G37)*(J$3:J$88&gt;J37)*(H$3:H$88="L5")*(I$3:I$88="P")))+1,"")))))</f>
        <v/>
      </c>
      <c r="B37" s="1" t="str" cm="1">
        <f t="array" ref="B37">IF(P37&lt;&gt;"",SUMPRODUCT((P$3:P$88&lt;&gt;"")*(G$3:G$88=G37)*(J$3:J$88&gt;J37))+1,IF(O37&lt;&gt;"",SUMPRODUCT((O$3:O$88&lt;&gt;"")*(P$3:P$88="")*(G$3:G$88=G37)*(J$3:J$88&gt;J37))+SUMPRODUCT((P$3:P$88&lt;&gt;"")*(G$3:G$88=G37))+1,IF(N37&lt;&gt;"",SUMPRODUCT((N$3:N$88&lt;&gt;"")*(G$3:G$88=G37)*(J$3:J$88&gt;J37))+1,IF(M37="P",SUMPRODUCT((O$3:O$88&lt;&gt;"")*(P$3:P$88="")*(G$3:G$88=G37))+SUMPRODUCT((P$3:P$88&lt;&gt;"")*(G$3:G$88=G37))+SUMPRODUCT((N$3:N$88&lt;&gt;"")*(G$3:G$88=G37))+SUMPRODUCT((P$3:P$88="")*(O$3:O$88="")*(N$3:N$88="")*(M$3:M$88="P")*(G$3:G$88=G37)*(J$3:J$88&gt;J37))+IF(H37="L5",SUMPRODUCT((P$3:P$88="")*(O$3:O$88="")*(N$3:N$88="")*(M$3:M$88="P")*(G$3:G$88=G37)*(J$3:J$88&lt;J37)*(H$3:H$88&lt;&gt;H37)),-1*SUMPRODUCT((P$3:P$88="")*(O$3:O$88="")*(N$3:N$88="")*(M$3:M$88="P")*(G$3:G$88=G37)*(J$3:J$88&gt;J37)*(H$3:H$88="L5")))+1,""))))</f>
        <v/>
      </c>
      <c r="C37" s="36" t="s">
        <v>81</v>
      </c>
      <c r="D37" s="36" t="str">
        <f>IF(E37="","",VLOOKUP(E37,'Coaching Points'!A:B,2,0))</f>
        <v>BC</v>
      </c>
      <c r="E37" s="36" t="s">
        <v>42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4.0999999999999997E-6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Scores'!G$13),AND(G37="15-16",U37&gt;='Qualifying Scores'!G$12),AND(G37="13-14",U37&gt;='Qualifying Scores'!G$11),AND(G37="11-12",U37&gt;='Qualifying Scores'!G$10)),T37,0),IF(OR(AND(G37="17-21",W37&gt;='Qualifying Scores'!G$13),AND(G37="15-16",W37&gt;='Qualifying Scores'!G$12),AND(G37="13-14",W37&gt;='Qualifying Scores'!G$11),AND(G37="11-12",W37&gt;='Qualifying Scores'!G$10)),V37,0),IF(OR(AND(G37="17-21",Y37&gt;='Qualifying Scores'!G$13),AND(G37="15-16",Y37&gt;='Qualifying Scores'!G$12),AND(G37="13-14",Y37&gt;='Qualifying Scores'!G$11),AND(G37="11-12",Y37&gt;='Qualifying Scores'!G$10)),X37,0),IF(OR(AND(G37="17-21",AA37&gt;='Qualifying Scores'!G$13),AND(G37="15-16",AA37&gt;='Qualifying Scores'!G$12),AND(G37="13-14",AA37&gt;='Qualifying Scores'!G$11),AND(G37="11-12",AA37&gt;='Qualifying Scores'!G$10)),Z37,0)))</f>
        <v>0</v>
      </c>
      <c r="S37" s="4">
        <f>MAX(T37,V37,X37,Z37)</f>
        <v>41.84</v>
      </c>
      <c r="T37" s="33">
        <v>41.4</v>
      </c>
      <c r="U37" s="40">
        <v>5.8</v>
      </c>
      <c r="V37" s="34">
        <v>41.84</v>
      </c>
      <c r="W37" s="40">
        <v>5.6</v>
      </c>
      <c r="X37" s="33">
        <v>41</v>
      </c>
      <c r="Y37" s="40">
        <v>5.8000000000000007</v>
      </c>
      <c r="Z37" s="34"/>
      <c r="AA37" s="37"/>
    </row>
    <row r="38" spans="1:27" x14ac:dyDescent="0.2">
      <c r="A38" s="1" t="str" cm="1">
        <f t="array" ref="A38">IF(I38="","",IF(P38&lt;&gt;"",SUMPRODUCT((P$3:P$88&lt;&gt;"")*(G$3:G$88=G38)*(J$3:J$88&gt;J38)*(I$3:I$88="P"))+1,IF(O38&lt;&gt;"",SUMPRODUCT((O$3:O$88&lt;&gt;"")*(P$3:P$88="")*(G$3:G$88=G38)*(J$3:J$88&gt;J38)*(I$3:I$88="P"))+SUMPRODUCT((P$3:P$88&lt;&gt;"")*(G$3:G$88=G38)*(I$3:I$88="P"))+1,IF(N38&lt;&gt;"",SUMPRODUCT((N$3:N$88&lt;&gt;"")*(G$3:G$88=G38)*(J$3:J$88&gt;J38)*(I$3:I$88="P"))+1,IF(M38="P",SUMPRODUCT((O$3:O$88&lt;&gt;"")*(P$3:P$88="")*(G$3:G$88=G38)*(I$3:I$88="P"))+SUMPRODUCT((P$3:P$88&lt;&gt;"")*(G$3:G$88=G38)*(I$3:I$88="P"))+SUMPRODUCT((N$3:N$88&lt;&gt;"")*(G$3:G$88=G38)*(I$3:I$88="P"))+SUMPRODUCT((P$3:P$88="")*(O$3:O$88="")*(N$3:N$88="")*(M$3:M$88="P")*(G$3:G$88=G38)*(J$3:J$88&gt;J38)*(I$3:I$88="P"))+IF(H38="L5",SUMPRODUCT((P$3:P$88="")*(O$3:O$88="")*(N$3:N$88="")*(M$3:M$88="P")*(G$3:G$88=G38)*(J$3:J$88&lt;J38)*(H$3:H$88&lt;&gt;H38)*(I$3:I$88="P")),-1*SUMPRODUCT((P$3:P$88="")*(O$3:O$88="")*(N$3:N$88="")*(M$3:M$88="P")*(G$3:G$88=G38)*(J$3:J$88&gt;J38)*(H$3:H$88="L5")*(I$3:I$88="P")))+1,"")))))</f>
        <v/>
      </c>
      <c r="B38" s="1" t="str" cm="1">
        <f t="array" ref="B38">IF(P38&lt;&gt;"",SUMPRODUCT((P$3:P$88&lt;&gt;"")*(G$3:G$88=G38)*(J$3:J$88&gt;J38))+1,IF(O38&lt;&gt;"",SUMPRODUCT((O$3:O$88&lt;&gt;"")*(P$3:P$88="")*(G$3:G$88=G38)*(J$3:J$88&gt;J38))+SUMPRODUCT((P$3:P$88&lt;&gt;"")*(G$3:G$88=G38))+1,IF(N38&lt;&gt;"",SUMPRODUCT((N$3:N$88&lt;&gt;"")*(G$3:G$88=G38)*(J$3:J$88&gt;J38))+1,IF(M38="P",SUMPRODUCT((O$3:O$88&lt;&gt;"")*(P$3:P$88="")*(G$3:G$88=G38))+SUMPRODUCT((P$3:P$88&lt;&gt;"")*(G$3:G$88=G38))+SUMPRODUCT((N$3:N$88&lt;&gt;"")*(G$3:G$88=G38))+SUMPRODUCT((P$3:P$88="")*(O$3:O$88="")*(N$3:N$88="")*(M$3:M$88="P")*(G$3:G$88=G38)*(J$3:J$88&gt;J38))+IF(H38="L5",SUMPRODUCT((P$3:P$88="")*(O$3:O$88="")*(N$3:N$88="")*(M$3:M$88="P")*(G$3:G$88=G38)*(J$3:J$88&lt;J38)*(H$3:H$88&lt;&gt;H38)),-1*SUMPRODUCT((P$3:P$88="")*(O$3:O$88="")*(N$3:N$88="")*(M$3:M$88="P")*(G$3:G$88=G38)*(J$3:J$88&gt;J38)*(H$3:H$88="L5")))+1,""))))</f>
        <v/>
      </c>
      <c r="C38" s="36" t="s">
        <v>529</v>
      </c>
      <c r="D38" s="36" t="str">
        <f>IF(E38="","",VLOOKUP(E38,'Coaching Points'!A:B,2,0))</f>
        <v>AB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4.0999999999999997E-6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Scores'!G$13),AND(G38="15-16",U38&gt;='Qualifying Scores'!G$12),AND(G38="13-14",U38&gt;='Qualifying Scores'!G$11),AND(G38="11-12",U38&gt;='Qualifying Scores'!G$10)),T38,0),IF(OR(AND(G38="17-21",W38&gt;='Qualifying Scores'!G$13),AND(G38="15-16",W38&gt;='Qualifying Scores'!G$12),AND(G38="13-14",W38&gt;='Qualifying Scores'!G$11),AND(G38="11-12",W38&gt;='Qualifying Scores'!G$10)),V38,0),IF(OR(AND(G38="17-21",Y38&gt;='Qualifying Scores'!G$13),AND(G38="15-16",Y38&gt;='Qualifying Scores'!G$12),AND(G38="13-14",Y38&gt;='Qualifying Scores'!G$11),AND(G38="11-12",Y38&gt;='Qualifying Scores'!G$10)),X38,0),IF(OR(AND(G38="17-21",AA38&gt;='Qualifying Scores'!G$13),AND(G38="15-16",AA38&gt;='Qualifying Scores'!G$12),AND(G38="13-14",AA38&gt;='Qualifying Scores'!G$11),AND(G38="11-12",AA38&gt;='Qualifying Scores'!G$10)),Z38,0)))</f>
        <v>0</v>
      </c>
      <c r="S38" s="4">
        <f>MAX(T38,V38,X38,Z38)</f>
        <v>41</v>
      </c>
      <c r="T38" s="33"/>
      <c r="U38" s="40"/>
      <c r="V38" s="34"/>
      <c r="W38" s="40"/>
      <c r="X38" s="33">
        <v>41</v>
      </c>
      <c r="Y38" s="40">
        <v>5.4</v>
      </c>
      <c r="Z38" s="34">
        <v>39</v>
      </c>
      <c r="AA38" s="37">
        <v>3.5</v>
      </c>
    </row>
    <row r="39" spans="1:27" x14ac:dyDescent="0.2">
      <c r="A39" s="1" t="str" cm="1">
        <f t="array" ref="A39">IF(I39="","",IF(P39&lt;&gt;"",SUMPRODUCT((P$3:P$88&lt;&gt;"")*(G$3:G$88=G39)*(J$3:J$88&gt;J39)*(I$3:I$88="P"))+1,IF(O39&lt;&gt;"",SUMPRODUCT((O$3:O$88&lt;&gt;"")*(P$3:P$88="")*(G$3:G$88=G39)*(J$3:J$88&gt;J39)*(I$3:I$88="P"))+SUMPRODUCT((P$3:P$88&lt;&gt;"")*(G$3:G$88=G39)*(I$3:I$88="P"))+1,IF(N39&lt;&gt;"",SUMPRODUCT((N$3:N$88&lt;&gt;"")*(G$3:G$88=G39)*(J$3:J$88&gt;J39)*(I$3:I$88="P"))+1,IF(M39="P",SUMPRODUCT((O$3:O$88&lt;&gt;"")*(P$3:P$88="")*(G$3:G$88=G39)*(I$3:I$88="P"))+SUMPRODUCT((P$3:P$88&lt;&gt;"")*(G$3:G$88=G39)*(I$3:I$88="P"))+SUMPRODUCT((N$3:N$88&lt;&gt;"")*(G$3:G$88=G39)*(I$3:I$88="P"))+SUMPRODUCT((P$3:P$88="")*(O$3:O$88="")*(N$3:N$88="")*(M$3:M$88="P")*(G$3:G$88=G39)*(J$3:J$88&gt;J39)*(I$3:I$88="P"))+IF(H39="L5",SUMPRODUCT((P$3:P$88="")*(O$3:O$88="")*(N$3:N$88="")*(M$3:M$88="P")*(G$3:G$88=G39)*(J$3:J$88&lt;J39)*(H$3:H$88&lt;&gt;H39)*(I$3:I$88="P")),-1*SUMPRODUCT((P$3:P$88="")*(O$3:O$88="")*(N$3:N$88="")*(M$3:M$88="P")*(G$3:G$88=G39)*(J$3:J$88&gt;J39)*(H$3:H$88="L5")*(I$3:I$88="P")))+1,"")))))</f>
        <v/>
      </c>
      <c r="B39" s="1" t="str" cm="1">
        <f t="array" ref="B39">IF(P39&lt;&gt;"",SUMPRODUCT((P$3:P$88&lt;&gt;"")*(G$3:G$88=G39)*(J$3:J$88&gt;J39))+1,IF(O39&lt;&gt;"",SUMPRODUCT((O$3:O$88&lt;&gt;"")*(P$3:P$88="")*(G$3:G$88=G39)*(J$3:J$88&gt;J39))+SUMPRODUCT((P$3:P$88&lt;&gt;"")*(G$3:G$88=G39))+1,IF(N39&lt;&gt;"",SUMPRODUCT((N$3:N$88&lt;&gt;"")*(G$3:G$88=G39)*(J$3:J$88&gt;J39))+1,IF(M39="P",SUMPRODUCT((O$3:O$88&lt;&gt;"")*(P$3:P$88="")*(G$3:G$88=G39))+SUMPRODUCT((P$3:P$88&lt;&gt;"")*(G$3:G$88=G39))+SUMPRODUCT((N$3:N$88&lt;&gt;"")*(G$3:G$88=G39))+SUMPRODUCT((P$3:P$88="")*(O$3:O$88="")*(N$3:N$88="")*(M$3:M$88="P")*(G$3:G$88=G39)*(J$3:J$88&gt;J39))+IF(H39="L5",SUMPRODUCT((P$3:P$88="")*(O$3:O$88="")*(N$3:N$88="")*(M$3:M$88="P")*(G$3:G$88=G39)*(J$3:J$88&lt;J39)*(H$3:H$88&lt;&gt;H39)),-1*SUMPRODUCT((P$3:P$88="")*(O$3:O$88="")*(N$3:N$88="")*(M$3:M$88="P")*(G$3:G$88=G39)*(J$3:J$88&gt;J39)*(H$3:H$88="L5")))+1,""))))</f>
        <v/>
      </c>
      <c r="C39" s="36" t="s">
        <v>86</v>
      </c>
      <c r="D39" s="36" t="str">
        <f>IF(E39="","",VLOOKUP(E39,'Coaching Points'!A:B,2,0))</f>
        <v>ON</v>
      </c>
      <c r="E39" s="36" t="s">
        <v>48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4.0799999999999999E-6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Scores'!G$13),AND(G39="15-16",U39&gt;='Qualifying Scores'!G$12),AND(G39="13-14",U39&gt;='Qualifying Scores'!G$11),AND(G39="11-12",U39&gt;='Qualifying Scores'!G$10)),T39,0),IF(OR(AND(G39="17-21",W39&gt;='Qualifying Scores'!G$13),AND(G39="15-16",W39&gt;='Qualifying Scores'!G$12),AND(G39="13-14",W39&gt;='Qualifying Scores'!G$11),AND(G39="11-12",W39&gt;='Qualifying Scores'!G$10)),V39,0),IF(OR(AND(G39="17-21",Y39&gt;='Qualifying Scores'!G$13),AND(G39="15-16",Y39&gt;='Qualifying Scores'!G$12),AND(G39="13-14",Y39&gt;='Qualifying Scores'!G$11),AND(G39="11-12",Y39&gt;='Qualifying Scores'!G$10)),X39,0),IF(OR(AND(G39="17-21",AA39&gt;='Qualifying Scores'!G$13),AND(G39="15-16",AA39&gt;='Qualifying Scores'!G$12),AND(G39="13-14",AA39&gt;='Qualifying Scores'!G$11),AND(G39="11-12",AA39&gt;='Qualifying Scores'!G$10)),Z39,0)))</f>
        <v>0</v>
      </c>
      <c r="S39" s="4">
        <f>MAX(T39,V39,X39,Z39)</f>
        <v>42.400000000000006</v>
      </c>
      <c r="T39" s="33">
        <v>42.400000000000006</v>
      </c>
      <c r="U39" s="40">
        <v>5.3</v>
      </c>
      <c r="V39" s="34">
        <v>41.2</v>
      </c>
      <c r="W39" s="40">
        <v>4.8000000000000007</v>
      </c>
      <c r="X39" s="33">
        <v>40.799999999999997</v>
      </c>
      <c r="Y39" s="40">
        <v>5.3000000000000007</v>
      </c>
      <c r="Z39" s="34"/>
      <c r="AA39" s="37"/>
    </row>
    <row r="40" spans="1:27" x14ac:dyDescent="0.2">
      <c r="A40" s="1" t="str" cm="1">
        <f t="array" ref="A40">IF(I40="","",IF(P40&lt;&gt;"",SUMPRODUCT((P$3:P$88&lt;&gt;"")*(G$3:G$88=G40)*(J$3:J$88&gt;J40)*(I$3:I$88="P"))+1,IF(O40&lt;&gt;"",SUMPRODUCT((O$3:O$88&lt;&gt;"")*(P$3:P$88="")*(G$3:G$88=G40)*(J$3:J$88&gt;J40)*(I$3:I$88="P"))+SUMPRODUCT((P$3:P$88&lt;&gt;"")*(G$3:G$88=G40)*(I$3:I$88="P"))+1,IF(N40&lt;&gt;"",SUMPRODUCT((N$3:N$88&lt;&gt;"")*(G$3:G$88=G40)*(J$3:J$88&gt;J40)*(I$3:I$88="P"))+1,IF(M40="P",SUMPRODUCT((O$3:O$88&lt;&gt;"")*(P$3:P$88="")*(G$3:G$88=G40)*(I$3:I$88="P"))+SUMPRODUCT((P$3:P$88&lt;&gt;"")*(G$3:G$88=G40)*(I$3:I$88="P"))+SUMPRODUCT((N$3:N$88&lt;&gt;"")*(G$3:G$88=G40)*(I$3:I$88="P"))+SUMPRODUCT((P$3:P$88="")*(O$3:O$88="")*(N$3:N$88="")*(M$3:M$88="P")*(G$3:G$88=G40)*(J$3:J$88&gt;J40)*(I$3:I$88="P"))+IF(H40="L5",SUMPRODUCT((P$3:P$88="")*(O$3:O$88="")*(N$3:N$88="")*(M$3:M$88="P")*(G$3:G$88=G40)*(J$3:J$88&lt;J40)*(H$3:H$88&lt;&gt;H40)*(I$3:I$88="P")),-1*SUMPRODUCT((P$3:P$88="")*(O$3:O$88="")*(N$3:N$88="")*(M$3:M$88="P")*(G$3:G$88=G40)*(J$3:J$88&gt;J40)*(H$3:H$88="L5")*(I$3:I$88="P")))+1,"")))))</f>
        <v/>
      </c>
      <c r="B40" s="1" t="str" cm="1">
        <f t="array" ref="B40">IF(P40&lt;&gt;"",SUMPRODUCT((P$3:P$88&lt;&gt;"")*(G$3:G$88=G40)*(J$3:J$88&gt;J40))+1,IF(O40&lt;&gt;"",SUMPRODUCT((O$3:O$88&lt;&gt;"")*(P$3:P$88="")*(G$3:G$88=G40)*(J$3:J$88&gt;J40))+SUMPRODUCT((P$3:P$88&lt;&gt;"")*(G$3:G$88=G40))+1,IF(N40&lt;&gt;"",SUMPRODUCT((N$3:N$88&lt;&gt;"")*(G$3:G$88=G40)*(J$3:J$88&gt;J40))+1,IF(M40="P",SUMPRODUCT((O$3:O$88&lt;&gt;"")*(P$3:P$88="")*(G$3:G$88=G40))+SUMPRODUCT((P$3:P$88&lt;&gt;"")*(G$3:G$88=G40))+SUMPRODUCT((N$3:N$88&lt;&gt;"")*(G$3:G$88=G40))+SUMPRODUCT((P$3:P$88="")*(O$3:O$88="")*(N$3:N$88="")*(M$3:M$88="P")*(G$3:G$88=G40)*(J$3:J$88&gt;J40))+IF(H40="L5",SUMPRODUCT((P$3:P$88="")*(O$3:O$88="")*(N$3:N$88="")*(M$3:M$88="P")*(G$3:G$88=G40)*(J$3:J$88&lt;J40)*(H$3:H$88&lt;&gt;H40)),-1*SUMPRODUCT((P$3:P$88="")*(O$3:O$88="")*(N$3:N$88="")*(M$3:M$88="P")*(G$3:G$88=G40)*(J$3:J$88&gt;J40)*(H$3:H$88="L5")))+1,""))))</f>
        <v/>
      </c>
      <c r="C40" s="36" t="s">
        <v>444</v>
      </c>
      <c r="D40" s="36" t="str">
        <f>IF(E40="","",VLOOKUP(E40,'Coaching Points'!A:B,2,0))</f>
        <v>ON</v>
      </c>
      <c r="E40" s="36" t="s">
        <v>574</v>
      </c>
      <c r="F40" s="35">
        <v>2001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4.0299999999999995E-6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Scores'!G$13),AND(G40="15-16",U40&gt;='Qualifying Scores'!G$12),AND(G40="13-14",U40&gt;='Qualifying Scores'!G$11),AND(G40="11-12",U40&gt;='Qualifying Scores'!G$10)),T40,0),IF(OR(AND(G40="17-21",W40&gt;='Qualifying Scores'!G$13),AND(G40="15-16",W40&gt;='Qualifying Scores'!G$12),AND(G40="13-14",W40&gt;='Qualifying Scores'!G$11),AND(G40="11-12",W40&gt;='Qualifying Scores'!G$10)),V40,0),IF(OR(AND(G40="17-21",Y40&gt;='Qualifying Scores'!G$13),AND(G40="15-16",Y40&gt;='Qualifying Scores'!G$12),AND(G40="13-14",Y40&gt;='Qualifying Scores'!G$11),AND(G40="11-12",Y40&gt;='Qualifying Scores'!G$10)),X40,0),IF(OR(AND(G40="17-21",AA40&gt;='Qualifying Scores'!G$13),AND(G40="15-16",AA40&gt;='Qualifying Scores'!G$12),AND(G40="13-14",AA40&gt;='Qualifying Scores'!G$11),AND(G40="11-12",AA40&gt;='Qualifying Scores'!G$10)),Z40,0)))</f>
        <v>0</v>
      </c>
      <c r="S40" s="4">
        <f>MAX(T40,V40,X40,Z40)</f>
        <v>40.299999999999997</v>
      </c>
      <c r="T40" s="33"/>
      <c r="U40" s="40"/>
      <c r="V40" s="34"/>
      <c r="W40" s="40"/>
      <c r="X40" s="33">
        <v>40.299999999999997</v>
      </c>
      <c r="Y40" s="40">
        <v>4</v>
      </c>
      <c r="Z40" s="34"/>
      <c r="AA40" s="37"/>
    </row>
    <row r="41" spans="1:27" x14ac:dyDescent="0.2">
      <c r="A41" s="1" t="str" cm="1">
        <f t="array" ref="A41">IF(I41="","",IF(P41&lt;&gt;"",SUMPRODUCT((P$3:P$88&lt;&gt;"")*(G$3:G$88=G41)*(J$3:J$88&gt;J41)*(I$3:I$88="P"))+1,IF(O41&lt;&gt;"",SUMPRODUCT((O$3:O$88&lt;&gt;"")*(P$3:P$88="")*(G$3:G$88=G41)*(J$3:J$88&gt;J41)*(I$3:I$88="P"))+SUMPRODUCT((P$3:P$88&lt;&gt;"")*(G$3:G$88=G41)*(I$3:I$88="P"))+1,IF(N41&lt;&gt;"",SUMPRODUCT((N$3:N$88&lt;&gt;"")*(G$3:G$88=G41)*(J$3:J$88&gt;J41)*(I$3:I$88="P"))+1,IF(M41="P",SUMPRODUCT((O$3:O$88&lt;&gt;"")*(P$3:P$88="")*(G$3:G$88=G41)*(I$3:I$88="P"))+SUMPRODUCT((P$3:P$88&lt;&gt;"")*(G$3:G$88=G41)*(I$3:I$88="P"))+SUMPRODUCT((N$3:N$88&lt;&gt;"")*(G$3:G$88=G41)*(I$3:I$88="P"))+SUMPRODUCT((P$3:P$88="")*(O$3:O$88="")*(N$3:N$88="")*(M$3:M$88="P")*(G$3:G$88=G41)*(J$3:J$88&gt;J41)*(I$3:I$88="P"))+IF(H41="L5",SUMPRODUCT((P$3:P$88="")*(O$3:O$88="")*(N$3:N$88="")*(M$3:M$88="P")*(G$3:G$88=G41)*(J$3:J$88&lt;J41)*(H$3:H$88&lt;&gt;H41)*(I$3:I$88="P")),-1*SUMPRODUCT((P$3:P$88="")*(O$3:O$88="")*(N$3:N$88="")*(M$3:M$88="P")*(G$3:G$88=G41)*(J$3:J$88&gt;J41)*(H$3:H$88="L5")*(I$3:I$88="P")))+1,"")))))</f>
        <v/>
      </c>
      <c r="B41" s="1" t="str" cm="1">
        <f t="array" ref="B41">IF(P41&lt;&gt;"",SUMPRODUCT((P$3:P$88&lt;&gt;"")*(G$3:G$88=G41)*(J$3:J$88&gt;J41))+1,IF(O41&lt;&gt;"",SUMPRODUCT((O$3:O$88&lt;&gt;"")*(P$3:P$88="")*(G$3:G$88=G41)*(J$3:J$88&gt;J41))+SUMPRODUCT((P$3:P$88&lt;&gt;"")*(G$3:G$88=G41))+1,IF(N41&lt;&gt;"",SUMPRODUCT((N$3:N$88&lt;&gt;"")*(G$3:G$88=G41)*(J$3:J$88&gt;J41))+1,IF(M41="P",SUMPRODUCT((O$3:O$88&lt;&gt;"")*(P$3:P$88="")*(G$3:G$88=G41))+SUMPRODUCT((P$3:P$88&lt;&gt;"")*(G$3:G$88=G41))+SUMPRODUCT((N$3:N$88&lt;&gt;"")*(G$3:G$88=G41))+SUMPRODUCT((P$3:P$88="")*(O$3:O$88="")*(N$3:N$88="")*(M$3:M$88="P")*(G$3:G$88=G41)*(J$3:J$88&gt;J41))+IF(H41="L5",SUMPRODUCT((P$3:P$88="")*(O$3:O$88="")*(N$3:N$88="")*(M$3:M$88="P")*(G$3:G$88=G41)*(J$3:J$88&lt;J41)*(H$3:H$88&lt;&gt;H41)),-1*SUMPRODUCT((P$3:P$88="")*(O$3:O$88="")*(N$3:N$88="")*(M$3:M$88="P")*(G$3:G$88=G41)*(J$3:J$88&gt;J41)*(H$3:H$88="L5")))+1,""))))</f>
        <v/>
      </c>
      <c r="C41" s="36" t="s">
        <v>440</v>
      </c>
      <c r="D41" s="36" t="s">
        <v>356</v>
      </c>
      <c r="E41" s="36" t="s">
        <v>42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3.9899999999999999E-6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Scores'!G$13),AND(G41="15-16",U41&gt;='Qualifying Scores'!G$12),AND(G41="13-14",U41&gt;='Qualifying Scores'!G$11),AND(G41="11-12",U41&gt;='Qualifying Scores'!G$10)),T41,0),IF(OR(AND(G41="17-21",W41&gt;='Qualifying Scores'!G$13),AND(G41="15-16",W41&gt;='Qualifying Scores'!G$12),AND(G41="13-14",W41&gt;='Qualifying Scores'!G$11),AND(G41="11-12",W41&gt;='Qualifying Scores'!G$10)),V41,0),IF(OR(AND(G41="17-21",Y41&gt;='Qualifying Scores'!G$13),AND(G41="15-16",Y41&gt;='Qualifying Scores'!G$12),AND(G41="13-14",Y41&gt;='Qualifying Scores'!G$11),AND(G41="11-12",Y41&gt;='Qualifying Scores'!G$10)),X41,0),IF(OR(AND(G41="17-21",AA41&gt;='Qualifying Scores'!G$13),AND(G41="15-16",AA41&gt;='Qualifying Scores'!G$12),AND(G41="13-14",AA41&gt;='Qualifying Scores'!G$11),AND(G41="11-12",AA41&gt;='Qualifying Scores'!G$10)),Z41,0)))</f>
        <v>0</v>
      </c>
      <c r="S41" s="4">
        <f>MAX(T41,V41,X41,Z41)</f>
        <v>39.9</v>
      </c>
      <c r="T41" s="33"/>
      <c r="U41" s="40"/>
      <c r="V41" s="34"/>
      <c r="W41" s="40"/>
      <c r="X41" s="33">
        <v>39.9</v>
      </c>
      <c r="Y41" s="40">
        <v>4.9000000000000004</v>
      </c>
      <c r="Z41" s="34"/>
      <c r="AA41" s="37"/>
    </row>
    <row r="42" spans="1:27" x14ac:dyDescent="0.2">
      <c r="A42" s="1" t="str" cm="1">
        <f t="array" ref="A42">IF(I42="","",IF(P42&lt;&gt;"",SUMPRODUCT((P$3:P$88&lt;&gt;"")*(G$3:G$88=G42)*(J$3:J$88&gt;J42)*(I$3:I$88="P"))+1,IF(O42&lt;&gt;"",SUMPRODUCT((O$3:O$88&lt;&gt;"")*(P$3:P$88="")*(G$3:G$88=G42)*(J$3:J$88&gt;J42)*(I$3:I$88="P"))+SUMPRODUCT((P$3:P$88&lt;&gt;"")*(G$3:G$88=G42)*(I$3:I$88="P"))+1,IF(N42&lt;&gt;"",SUMPRODUCT((N$3:N$88&lt;&gt;"")*(G$3:G$88=G42)*(J$3:J$88&gt;J42)*(I$3:I$88="P"))+1,IF(M42="P",SUMPRODUCT((O$3:O$88&lt;&gt;"")*(P$3:P$88="")*(G$3:G$88=G42)*(I$3:I$88="P"))+SUMPRODUCT((P$3:P$88&lt;&gt;"")*(G$3:G$88=G42)*(I$3:I$88="P"))+SUMPRODUCT((N$3:N$88&lt;&gt;"")*(G$3:G$88=G42)*(I$3:I$88="P"))+SUMPRODUCT((P$3:P$88="")*(O$3:O$88="")*(N$3:N$88="")*(M$3:M$88="P")*(G$3:G$88=G42)*(J$3:J$88&gt;J42)*(I$3:I$88="P"))+IF(H42="L5",SUMPRODUCT((P$3:P$88="")*(O$3:O$88="")*(N$3:N$88="")*(M$3:M$88="P")*(G$3:G$88=G42)*(J$3:J$88&lt;J42)*(H$3:H$88&lt;&gt;H42)*(I$3:I$88="P")),-1*SUMPRODUCT((P$3:P$88="")*(O$3:O$88="")*(N$3:N$88="")*(M$3:M$88="P")*(G$3:G$88=G42)*(J$3:J$88&gt;J42)*(H$3:H$88="L5")*(I$3:I$88="P")))+1,"")))))</f>
        <v/>
      </c>
      <c r="B42" s="1" t="str" cm="1">
        <f t="array" ref="B42">IF(P42&lt;&gt;"",SUMPRODUCT((P$3:P$88&lt;&gt;"")*(G$3:G$88=G42)*(J$3:J$88&gt;J42))+1,IF(O42&lt;&gt;"",SUMPRODUCT((O$3:O$88&lt;&gt;"")*(P$3:P$88="")*(G$3:G$88=G42)*(J$3:J$88&gt;J42))+SUMPRODUCT((P$3:P$88&lt;&gt;"")*(G$3:G$88=G42))+1,IF(N42&lt;&gt;"",SUMPRODUCT((N$3:N$88&lt;&gt;"")*(G$3:G$88=G42)*(J$3:J$88&gt;J42))+1,IF(M42="P",SUMPRODUCT((O$3:O$88&lt;&gt;"")*(P$3:P$88="")*(G$3:G$88=G42))+SUMPRODUCT((P$3:P$88&lt;&gt;"")*(G$3:G$88=G42))+SUMPRODUCT((N$3:N$88&lt;&gt;"")*(G$3:G$88=G42))+SUMPRODUCT((P$3:P$88="")*(O$3:O$88="")*(N$3:N$88="")*(M$3:M$88="P")*(G$3:G$88=G42)*(J$3:J$88&gt;J42))+IF(H42="L5",SUMPRODUCT((P$3:P$88="")*(O$3:O$88="")*(N$3:N$88="")*(M$3:M$88="P")*(G$3:G$88=G42)*(J$3:J$88&lt;J42)*(H$3:H$88&lt;&gt;H42)),-1*SUMPRODUCT((P$3:P$88="")*(O$3:O$88="")*(N$3:N$88="")*(M$3:M$88="P")*(G$3:G$88=G42)*(J$3:J$88&gt;J42)*(H$3:H$88="L5")))+1,""))))</f>
        <v/>
      </c>
      <c r="C42" s="36" t="s">
        <v>79</v>
      </c>
      <c r="D42" s="36" t="str">
        <f>IF(E42="","",VLOOKUP(E42,'Coaching Points'!A:B,2,0))</f>
        <v>BC</v>
      </c>
      <c r="E42" s="36" t="s">
        <v>80</v>
      </c>
      <c r="F42" s="35">
        <v>2003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3.9799999999999992E-6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Scores'!G$13),AND(G42="15-16",U42&gt;='Qualifying Scores'!G$12),AND(G42="13-14",U42&gt;='Qualifying Scores'!G$11),AND(G42="11-12",U42&gt;='Qualifying Scores'!G$10)),T42,0),IF(OR(AND(G42="17-21",W42&gt;='Qualifying Scores'!G$13),AND(G42="15-16",W42&gt;='Qualifying Scores'!G$12),AND(G42="13-14",W42&gt;='Qualifying Scores'!G$11),AND(G42="11-12",W42&gt;='Qualifying Scores'!G$10)),V42,0),IF(OR(AND(G42="17-21",Y42&gt;='Qualifying Scores'!G$13),AND(G42="15-16",Y42&gt;='Qualifying Scores'!G$12),AND(G42="13-14",Y42&gt;='Qualifying Scores'!G$11),AND(G42="11-12",Y42&gt;='Qualifying Scores'!G$10)),X42,0),IF(OR(AND(G42="17-21",AA42&gt;='Qualifying Scores'!G$13),AND(G42="15-16",AA42&gt;='Qualifying Scores'!G$12),AND(G42="13-14",AA42&gt;='Qualifying Scores'!G$11),AND(G42="11-12",AA42&gt;='Qualifying Scores'!G$10)),Z42,0)))</f>
        <v>0</v>
      </c>
      <c r="S42" s="4">
        <f>MAX(T42,V42,X42,Z42)</f>
        <v>42.8</v>
      </c>
      <c r="T42" s="33">
        <v>42.8</v>
      </c>
      <c r="U42" s="40">
        <v>5.8</v>
      </c>
      <c r="V42" s="34">
        <v>41.900000000000006</v>
      </c>
      <c r="W42" s="40">
        <v>5.6</v>
      </c>
      <c r="X42" s="33">
        <v>39.799999999999997</v>
      </c>
      <c r="Y42" s="40">
        <v>4.3</v>
      </c>
      <c r="Z42" s="34"/>
      <c r="AA42" s="37"/>
    </row>
    <row r="43" spans="1:27" x14ac:dyDescent="0.2">
      <c r="A43" s="1" t="str" cm="1">
        <f t="array" ref="A43">IF(I43="","",IF(P43&lt;&gt;"",SUMPRODUCT((P$3:P$88&lt;&gt;"")*(G$3:G$88=G43)*(J$3:J$88&gt;J43)*(I$3:I$88="P"))+1,IF(O43&lt;&gt;"",SUMPRODUCT((O$3:O$88&lt;&gt;"")*(P$3:P$88="")*(G$3:G$88=G43)*(J$3:J$88&gt;J43)*(I$3:I$88="P"))+SUMPRODUCT((P$3:P$88&lt;&gt;"")*(G$3:G$88=G43)*(I$3:I$88="P"))+1,IF(N43&lt;&gt;"",SUMPRODUCT((N$3:N$88&lt;&gt;"")*(G$3:G$88=G43)*(J$3:J$88&gt;J43)*(I$3:I$88="P"))+1,IF(M43="P",SUMPRODUCT((O$3:O$88&lt;&gt;"")*(P$3:P$88="")*(G$3:G$88=G43)*(I$3:I$88="P"))+SUMPRODUCT((P$3:P$88&lt;&gt;"")*(G$3:G$88=G43)*(I$3:I$88="P"))+SUMPRODUCT((N$3:N$88&lt;&gt;"")*(G$3:G$88=G43)*(I$3:I$88="P"))+SUMPRODUCT((P$3:P$88="")*(O$3:O$88="")*(N$3:N$88="")*(M$3:M$88="P")*(G$3:G$88=G43)*(J$3:J$88&gt;J43)*(I$3:I$88="P"))+IF(H43="L5",SUMPRODUCT((P$3:P$88="")*(O$3:O$88="")*(N$3:N$88="")*(M$3:M$88="P")*(G$3:G$88=G43)*(J$3:J$88&lt;J43)*(H$3:H$88&lt;&gt;H43)*(I$3:I$88="P")),-1*SUMPRODUCT((P$3:P$88="")*(O$3:O$88="")*(N$3:N$88="")*(M$3:M$88="P")*(G$3:G$88=G43)*(J$3:J$88&gt;J43)*(H$3:H$88="L5")*(I$3:I$88="P")))+1,"")))))</f>
        <v/>
      </c>
      <c r="B43" s="1" t="str" cm="1">
        <f t="array" ref="B43">IF(P43&lt;&gt;"",SUMPRODUCT((P$3:P$88&lt;&gt;"")*(G$3:G$88=G43)*(J$3:J$88&gt;J43))+1,IF(O43&lt;&gt;"",SUMPRODUCT((O$3:O$88&lt;&gt;"")*(P$3:P$88="")*(G$3:G$88=G43)*(J$3:J$88&gt;J43))+SUMPRODUCT((P$3:P$88&lt;&gt;"")*(G$3:G$88=G43))+1,IF(N43&lt;&gt;"",SUMPRODUCT((N$3:N$88&lt;&gt;"")*(G$3:G$88=G43)*(J$3:J$88&gt;J43))+1,IF(M43="P",SUMPRODUCT((O$3:O$88&lt;&gt;"")*(P$3:P$88="")*(G$3:G$88=G43))+SUMPRODUCT((P$3:P$88&lt;&gt;"")*(G$3:G$88=G43))+SUMPRODUCT((N$3:N$88&lt;&gt;"")*(G$3:G$88=G43))+SUMPRODUCT((P$3:P$88="")*(O$3:O$88="")*(N$3:N$88="")*(M$3:M$88="P")*(G$3:G$88=G43)*(J$3:J$88&gt;J43))+IF(H43="L5",SUMPRODUCT((P$3:P$88="")*(O$3:O$88="")*(N$3:N$88="")*(M$3:M$88="P")*(G$3:G$88=G43)*(J$3:J$88&lt;J43)*(H$3:H$88&lt;&gt;H43)),-1*SUMPRODUCT((P$3:P$88="")*(O$3:O$88="")*(N$3:N$88="")*(M$3:M$88="P")*(G$3:G$88=G43)*(J$3:J$88&gt;J43)*(H$3:H$88="L5")))+1,""))))</f>
        <v/>
      </c>
      <c r="C43" s="36" t="s">
        <v>266</v>
      </c>
      <c r="D43" s="36" t="str">
        <f>IF(E43="","",VLOOKUP(E43,'Coaching Points'!A:B,2,0))</f>
        <v>BC</v>
      </c>
      <c r="E43" s="36" t="s">
        <v>47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3.9799999999999992E-6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Scores'!G$13),AND(G43="15-16",U43&gt;='Qualifying Scores'!G$12),AND(G43="13-14",U43&gt;='Qualifying Scores'!G$11),AND(G43="11-12",U43&gt;='Qualifying Scores'!G$10)),T43,0),IF(OR(AND(G43="17-21",W43&gt;='Qualifying Scores'!G$13),AND(G43="15-16",W43&gt;='Qualifying Scores'!G$12),AND(G43="13-14",W43&gt;='Qualifying Scores'!G$11),AND(G43="11-12",W43&gt;='Qualifying Scores'!G$10)),V43,0),IF(OR(AND(G43="17-21",Y43&gt;='Qualifying Scores'!G$13),AND(G43="15-16",Y43&gt;='Qualifying Scores'!G$12),AND(G43="13-14",Y43&gt;='Qualifying Scores'!G$11),AND(G43="11-12",Y43&gt;='Qualifying Scores'!G$10)),X43,0),IF(OR(AND(G43="17-21",AA43&gt;='Qualifying Scores'!G$13),AND(G43="15-16",AA43&gt;='Qualifying Scores'!G$12),AND(G43="13-14",AA43&gt;='Qualifying Scores'!G$11),AND(G43="11-12",AA43&gt;='Qualifying Scores'!G$10)),Z43,0)))</f>
        <v>0</v>
      </c>
      <c r="S43" s="4">
        <f>MAX(T43,V43,X43,Z43)</f>
        <v>39.799999999999997</v>
      </c>
      <c r="T43" s="33"/>
      <c r="U43" s="40"/>
      <c r="V43" s="34"/>
      <c r="W43" s="40"/>
      <c r="X43" s="33">
        <v>39.799999999999997</v>
      </c>
      <c r="Y43" s="40">
        <v>3.9000000000000004</v>
      </c>
      <c r="Z43" s="34"/>
      <c r="AA43" s="37"/>
    </row>
    <row r="44" spans="1:27" x14ac:dyDescent="0.2">
      <c r="A44" s="1" t="str" cm="1">
        <f t="array" ref="A44">IF(I44="","",IF(P44&lt;&gt;"",SUMPRODUCT((P$3:P$88&lt;&gt;"")*(G$3:G$88=G44)*(J$3:J$88&gt;J44)*(I$3:I$88="P"))+1,IF(O44&lt;&gt;"",SUMPRODUCT((O$3:O$88&lt;&gt;"")*(P$3:P$88="")*(G$3:G$88=G44)*(J$3:J$88&gt;J44)*(I$3:I$88="P"))+SUMPRODUCT((P$3:P$88&lt;&gt;"")*(G$3:G$88=G44)*(I$3:I$88="P"))+1,IF(N44&lt;&gt;"",SUMPRODUCT((N$3:N$88&lt;&gt;"")*(G$3:G$88=G44)*(J$3:J$88&gt;J44)*(I$3:I$88="P"))+1,IF(M44="P",SUMPRODUCT((O$3:O$88&lt;&gt;"")*(P$3:P$88="")*(G$3:G$88=G44)*(I$3:I$88="P"))+SUMPRODUCT((P$3:P$88&lt;&gt;"")*(G$3:G$88=G44)*(I$3:I$88="P"))+SUMPRODUCT((N$3:N$88&lt;&gt;"")*(G$3:G$88=G44)*(I$3:I$88="P"))+SUMPRODUCT((P$3:P$88="")*(O$3:O$88="")*(N$3:N$88="")*(M$3:M$88="P")*(G$3:G$88=G44)*(J$3:J$88&gt;J44)*(I$3:I$88="P"))+IF(H44="L5",SUMPRODUCT((P$3:P$88="")*(O$3:O$88="")*(N$3:N$88="")*(M$3:M$88="P")*(G$3:G$88=G44)*(J$3:J$88&lt;J44)*(H$3:H$88&lt;&gt;H44)*(I$3:I$88="P")),-1*SUMPRODUCT((P$3:P$88="")*(O$3:O$88="")*(N$3:N$88="")*(M$3:M$88="P")*(G$3:G$88=G44)*(J$3:J$88&gt;J44)*(H$3:H$88="L5")*(I$3:I$88="P")))+1,"")))))</f>
        <v/>
      </c>
      <c r="B44" s="1" t="str" cm="1">
        <f t="array" ref="B44">IF(P44&lt;&gt;"",SUMPRODUCT((P$3:P$88&lt;&gt;"")*(G$3:G$88=G44)*(J$3:J$88&gt;J44))+1,IF(O44&lt;&gt;"",SUMPRODUCT((O$3:O$88&lt;&gt;"")*(P$3:P$88="")*(G$3:G$88=G44)*(J$3:J$88&gt;J44))+SUMPRODUCT((P$3:P$88&lt;&gt;"")*(G$3:G$88=G44))+1,IF(N44&lt;&gt;"",SUMPRODUCT((N$3:N$88&lt;&gt;"")*(G$3:G$88=G44)*(J$3:J$88&gt;J44))+1,IF(M44="P",SUMPRODUCT((O$3:O$88&lt;&gt;"")*(P$3:P$88="")*(G$3:G$88=G44))+SUMPRODUCT((P$3:P$88&lt;&gt;"")*(G$3:G$88=G44))+SUMPRODUCT((N$3:N$88&lt;&gt;"")*(G$3:G$88=G44))+SUMPRODUCT((P$3:P$88="")*(O$3:O$88="")*(N$3:N$88="")*(M$3:M$88="P")*(G$3:G$88=G44)*(J$3:J$88&gt;J44))+IF(H44="L5",SUMPRODUCT((P$3:P$88="")*(O$3:O$88="")*(N$3:N$88="")*(M$3:M$88="P")*(G$3:G$88=G44)*(J$3:J$88&lt;J44)*(H$3:H$88&lt;&gt;H44)),-1*SUMPRODUCT((P$3:P$88="")*(O$3:O$88="")*(N$3:N$88="")*(M$3:M$88="P")*(G$3:G$88=G44)*(J$3:J$88&gt;J44)*(H$3:H$88="L5")))+1,""))))</f>
        <v/>
      </c>
      <c r="C44" s="36" t="s">
        <v>531</v>
      </c>
      <c r="D44" s="36" t="s">
        <v>352</v>
      </c>
      <c r="E44" s="36" t="s">
        <v>589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3.9599999999999994E-6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Scores'!G$13),AND(G44="15-16",U44&gt;='Qualifying Scores'!G$12),AND(G44="13-14",U44&gt;='Qualifying Scores'!G$11),AND(G44="11-12",U44&gt;='Qualifying Scores'!G$10)),T44,0),IF(OR(AND(G44="17-21",W44&gt;='Qualifying Scores'!G$13),AND(G44="15-16",W44&gt;='Qualifying Scores'!G$12),AND(G44="13-14",W44&gt;='Qualifying Scores'!G$11),AND(G44="11-12",W44&gt;='Qualifying Scores'!G$10)),V44,0),IF(OR(AND(G44="17-21",Y44&gt;='Qualifying Scores'!G$13),AND(G44="15-16",Y44&gt;='Qualifying Scores'!G$12),AND(G44="13-14",Y44&gt;='Qualifying Scores'!G$11),AND(G44="11-12",Y44&gt;='Qualifying Scores'!G$10)),X44,0),IF(OR(AND(G44="17-21",AA44&gt;='Qualifying Scores'!G$13),AND(G44="15-16",AA44&gt;='Qualifying Scores'!G$12),AND(G44="13-14",AA44&gt;='Qualifying Scores'!G$11),AND(G44="11-12",AA44&gt;='Qualifying Scores'!G$10)),Z44,0)))</f>
        <v>0</v>
      </c>
      <c r="S44" s="4">
        <f>MAX(T44,V44,X44,Z44)</f>
        <v>39.599999999999994</v>
      </c>
      <c r="T44" s="33"/>
      <c r="U44" s="40"/>
      <c r="V44" s="34"/>
      <c r="W44" s="40"/>
      <c r="X44" s="33">
        <v>39.599999999999994</v>
      </c>
      <c r="Y44" s="40">
        <v>4.9000000000000004</v>
      </c>
      <c r="Z44" s="34"/>
      <c r="AA44" s="37"/>
    </row>
    <row r="45" spans="1:27" x14ac:dyDescent="0.2">
      <c r="A45" s="1" t="str" cm="1">
        <f t="array" ref="A45">IF(I45="","",IF(P45&lt;&gt;"",SUMPRODUCT((P$3:P$88&lt;&gt;"")*(G$3:G$88=G45)*(J$3:J$88&gt;J45)*(I$3:I$88="P"))+1,IF(O45&lt;&gt;"",SUMPRODUCT((O$3:O$88&lt;&gt;"")*(P$3:P$88="")*(G$3:G$88=G45)*(J$3:J$88&gt;J45)*(I$3:I$88="P"))+SUMPRODUCT((P$3:P$88&lt;&gt;"")*(G$3:G$88=G45)*(I$3:I$88="P"))+1,IF(N45&lt;&gt;"",SUMPRODUCT((N$3:N$88&lt;&gt;"")*(G$3:G$88=G45)*(J$3:J$88&gt;J45)*(I$3:I$88="P"))+1,IF(M45="P",SUMPRODUCT((O$3:O$88&lt;&gt;"")*(P$3:P$88="")*(G$3:G$88=G45)*(I$3:I$88="P"))+SUMPRODUCT((P$3:P$88&lt;&gt;"")*(G$3:G$88=G45)*(I$3:I$88="P"))+SUMPRODUCT((N$3:N$88&lt;&gt;"")*(G$3:G$88=G45)*(I$3:I$88="P"))+SUMPRODUCT((P$3:P$88="")*(O$3:O$88="")*(N$3:N$88="")*(M$3:M$88="P")*(G$3:G$88=G45)*(J$3:J$88&gt;J45)*(I$3:I$88="P"))+IF(H45="L5",SUMPRODUCT((P$3:P$88="")*(O$3:O$88="")*(N$3:N$88="")*(M$3:M$88="P")*(G$3:G$88=G45)*(J$3:J$88&lt;J45)*(H$3:H$88&lt;&gt;H45)*(I$3:I$88="P")),-1*SUMPRODUCT((P$3:P$88="")*(O$3:O$88="")*(N$3:N$88="")*(M$3:M$88="P")*(G$3:G$88=G45)*(J$3:J$88&gt;J45)*(H$3:H$88="L5")*(I$3:I$88="P")))+1,"")))))</f>
        <v/>
      </c>
      <c r="B45" s="1" t="str" cm="1">
        <f t="array" ref="B45">IF(P45&lt;&gt;"",SUMPRODUCT((P$3:P$88&lt;&gt;"")*(G$3:G$88=G45)*(J$3:J$88&gt;J45))+1,IF(O45&lt;&gt;"",SUMPRODUCT((O$3:O$88&lt;&gt;"")*(P$3:P$88="")*(G$3:G$88=G45)*(J$3:J$88&gt;J45))+SUMPRODUCT((P$3:P$88&lt;&gt;"")*(G$3:G$88=G45))+1,IF(N45&lt;&gt;"",SUMPRODUCT((N$3:N$88&lt;&gt;"")*(G$3:G$88=G45)*(J$3:J$88&gt;J45))+1,IF(M45="P",SUMPRODUCT((O$3:O$88&lt;&gt;"")*(P$3:P$88="")*(G$3:G$88=G45))+SUMPRODUCT((P$3:P$88&lt;&gt;"")*(G$3:G$88=G45))+SUMPRODUCT((N$3:N$88&lt;&gt;"")*(G$3:G$88=G45))+SUMPRODUCT((P$3:P$88="")*(O$3:O$88="")*(N$3:N$88="")*(M$3:M$88="P")*(G$3:G$88=G45)*(J$3:J$88&gt;J45))+IF(H45="L5",SUMPRODUCT((P$3:P$88="")*(O$3:O$88="")*(N$3:N$88="")*(M$3:M$88="P")*(G$3:G$88=G45)*(J$3:J$88&lt;J45)*(H$3:H$88&lt;&gt;H45)),-1*SUMPRODUCT((P$3:P$88="")*(O$3:O$88="")*(N$3:N$88="")*(M$3:M$88="P")*(G$3:G$88=G45)*(J$3:J$88&gt;J45)*(H$3:H$88="L5")))+1,""))))</f>
        <v/>
      </c>
      <c r="C45" s="36" t="s">
        <v>533</v>
      </c>
      <c r="D45" s="36" t="str">
        <f>IF(E45="","",VLOOKUP(E45,'Coaching Points'!A:B,2,0))</f>
        <v>AB</v>
      </c>
      <c r="E45" s="36" t="s">
        <v>590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3.909999999999999E-6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Scores'!G$13),AND(G45="15-16",U45&gt;='Qualifying Scores'!G$12),AND(G45="13-14",U45&gt;='Qualifying Scores'!G$11),AND(G45="11-12",U45&gt;='Qualifying Scores'!G$10)),T45,0),IF(OR(AND(G45="17-21",W45&gt;='Qualifying Scores'!G$13),AND(G45="15-16",W45&gt;='Qualifying Scores'!G$12),AND(G45="13-14",W45&gt;='Qualifying Scores'!G$11),AND(G45="11-12",W45&gt;='Qualifying Scores'!G$10)),V45,0),IF(OR(AND(G45="17-21",Y45&gt;='Qualifying Scores'!G$13),AND(G45="15-16",Y45&gt;='Qualifying Scores'!G$12),AND(G45="13-14",Y45&gt;='Qualifying Scores'!G$11),AND(G45="11-12",Y45&gt;='Qualifying Scores'!G$10)),X45,0),IF(OR(AND(G45="17-21",AA45&gt;='Qualifying Scores'!G$13),AND(G45="15-16",AA45&gt;='Qualifying Scores'!G$12),AND(G45="13-14",AA45&gt;='Qualifying Scores'!G$11),AND(G45="11-12",AA45&gt;='Qualifying Scores'!G$10)),Z45,0)))</f>
        <v>0</v>
      </c>
      <c r="S45" s="4">
        <f>MAX(T45,V45,X45,Z45)</f>
        <v>39.099999999999994</v>
      </c>
      <c r="T45" s="33"/>
      <c r="U45" s="40"/>
      <c r="V45" s="34"/>
      <c r="W45" s="40"/>
      <c r="X45" s="33">
        <v>39.099999999999994</v>
      </c>
      <c r="Y45" s="40">
        <v>3.4000000000000004</v>
      </c>
      <c r="Z45" s="34"/>
      <c r="AA45" s="37"/>
    </row>
    <row r="46" spans="1:27" x14ac:dyDescent="0.2">
      <c r="A46" s="1" t="str" cm="1">
        <f t="array" ref="A46">IF(I46="","",IF(P46&lt;&gt;"",SUMPRODUCT((P$3:P$88&lt;&gt;"")*(G$3:G$88=G46)*(J$3:J$88&gt;J46)*(I$3:I$88="P"))+1,IF(O46&lt;&gt;"",SUMPRODUCT((O$3:O$88&lt;&gt;"")*(P$3:P$88="")*(G$3:G$88=G46)*(J$3:J$88&gt;J46)*(I$3:I$88="P"))+SUMPRODUCT((P$3:P$88&lt;&gt;"")*(G$3:G$88=G46)*(I$3:I$88="P"))+1,IF(N46&lt;&gt;"",SUMPRODUCT((N$3:N$88&lt;&gt;"")*(G$3:G$88=G46)*(J$3:J$88&gt;J46)*(I$3:I$88="P"))+1,IF(M46="P",SUMPRODUCT((O$3:O$88&lt;&gt;"")*(P$3:P$88="")*(G$3:G$88=G46)*(I$3:I$88="P"))+SUMPRODUCT((P$3:P$88&lt;&gt;"")*(G$3:G$88=G46)*(I$3:I$88="P"))+SUMPRODUCT((N$3:N$88&lt;&gt;"")*(G$3:G$88=G46)*(I$3:I$88="P"))+SUMPRODUCT((P$3:P$88="")*(O$3:O$88="")*(N$3:N$88="")*(M$3:M$88="P")*(G$3:G$88=G46)*(J$3:J$88&gt;J46)*(I$3:I$88="P"))+IF(H46="L5",SUMPRODUCT((P$3:P$88="")*(O$3:O$88="")*(N$3:N$88="")*(M$3:M$88="P")*(G$3:G$88=G46)*(J$3:J$88&lt;J46)*(H$3:H$88&lt;&gt;H46)*(I$3:I$88="P")),-1*SUMPRODUCT((P$3:P$88="")*(O$3:O$88="")*(N$3:N$88="")*(M$3:M$88="P")*(G$3:G$88=G46)*(J$3:J$88&gt;J46)*(H$3:H$88="L5")*(I$3:I$88="P")))+1,"")))))</f>
        <v/>
      </c>
      <c r="B46" s="1" t="str" cm="1">
        <f t="array" ref="B46">IF(P46&lt;&gt;"",SUMPRODUCT((P$3:P$88&lt;&gt;"")*(G$3:G$88=G46)*(J$3:J$88&gt;J46))+1,IF(O46&lt;&gt;"",SUMPRODUCT((O$3:O$88&lt;&gt;"")*(P$3:P$88="")*(G$3:G$88=G46)*(J$3:J$88&gt;J46))+SUMPRODUCT((P$3:P$88&lt;&gt;"")*(G$3:G$88=G46))+1,IF(N46&lt;&gt;"",SUMPRODUCT((N$3:N$88&lt;&gt;"")*(G$3:G$88=G46)*(J$3:J$88&gt;J46))+1,IF(M46="P",SUMPRODUCT((O$3:O$88&lt;&gt;"")*(P$3:P$88="")*(G$3:G$88=G46))+SUMPRODUCT((P$3:P$88&lt;&gt;"")*(G$3:G$88=G46))+SUMPRODUCT((N$3:N$88&lt;&gt;"")*(G$3:G$88=G46))+SUMPRODUCT((P$3:P$88="")*(O$3:O$88="")*(N$3:N$88="")*(M$3:M$88="P")*(G$3:G$88=G46)*(J$3:J$88&gt;J46))+IF(H46="L5",SUMPRODUCT((P$3:P$88="")*(O$3:O$88="")*(N$3:N$88="")*(M$3:M$88="P")*(G$3:G$88=G46)*(J$3:J$88&lt;J46)*(H$3:H$88&lt;&gt;H46)),-1*SUMPRODUCT((P$3:P$88="")*(O$3:O$88="")*(N$3:N$88="")*(M$3:M$88="P")*(G$3:G$88=G46)*(J$3:J$88&gt;J46)*(H$3:H$88="L5")))+1,""))))</f>
        <v/>
      </c>
      <c r="C46" s="36" t="s">
        <v>528</v>
      </c>
      <c r="D46" s="36" t="s">
        <v>354</v>
      </c>
      <c r="E46" s="36" t="s">
        <v>89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3.8999999999999999E-6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Scores'!G$13),AND(G46="15-16",U46&gt;='Qualifying Scores'!G$12),AND(G46="13-14",U46&gt;='Qualifying Scores'!G$11),AND(G46="11-12",U46&gt;='Qualifying Scores'!G$10)),T46,0),IF(OR(AND(G46="17-21",W46&gt;='Qualifying Scores'!G$13),AND(G46="15-16",W46&gt;='Qualifying Scores'!G$12),AND(G46="13-14",W46&gt;='Qualifying Scores'!G$11),AND(G46="11-12",W46&gt;='Qualifying Scores'!G$10)),V46,0),IF(OR(AND(G46="17-21",Y46&gt;='Qualifying Scores'!G$13),AND(G46="15-16",Y46&gt;='Qualifying Scores'!G$12),AND(G46="13-14",Y46&gt;='Qualifying Scores'!G$11),AND(G46="11-12",Y46&gt;='Qualifying Scores'!G$10)),X46,0),IF(OR(AND(G46="17-21",AA46&gt;='Qualifying Scores'!G$13),AND(G46="15-16",AA46&gt;='Qualifying Scores'!G$12),AND(G46="13-14",AA46&gt;='Qualifying Scores'!G$11),AND(G46="11-12",AA46&gt;='Qualifying Scores'!G$10)),Z46,0)))</f>
        <v>0</v>
      </c>
      <c r="S46" s="4">
        <f>MAX(T46,V46,X46,Z46)</f>
        <v>39</v>
      </c>
      <c r="T46" s="33"/>
      <c r="U46" s="40"/>
      <c r="V46" s="34"/>
      <c r="W46" s="40"/>
      <c r="X46" s="33">
        <v>39</v>
      </c>
      <c r="Y46" s="40">
        <v>3.4000000000000004</v>
      </c>
      <c r="Z46" s="34"/>
      <c r="AA46" s="37"/>
    </row>
    <row r="47" spans="1:27" x14ac:dyDescent="0.2">
      <c r="A47" s="1" t="str" cm="1">
        <f t="array" ref="A47">IF(I47="","",IF(P47&lt;&gt;"",SUMPRODUCT((P$3:P$88&lt;&gt;"")*(G$3:G$88=G47)*(J$3:J$88&gt;J47)*(I$3:I$88="P"))+1,IF(O47&lt;&gt;"",SUMPRODUCT((O$3:O$88&lt;&gt;"")*(P$3:P$88="")*(G$3:G$88=G47)*(J$3:J$88&gt;J47)*(I$3:I$88="P"))+SUMPRODUCT((P$3:P$88&lt;&gt;"")*(G$3:G$88=G47)*(I$3:I$88="P"))+1,IF(N47&lt;&gt;"",SUMPRODUCT((N$3:N$88&lt;&gt;"")*(G$3:G$88=G47)*(J$3:J$88&gt;J47)*(I$3:I$88="P"))+1,IF(M47="P",SUMPRODUCT((O$3:O$88&lt;&gt;"")*(P$3:P$88="")*(G$3:G$88=G47)*(I$3:I$88="P"))+SUMPRODUCT((P$3:P$88&lt;&gt;"")*(G$3:G$88=G47)*(I$3:I$88="P"))+SUMPRODUCT((N$3:N$88&lt;&gt;"")*(G$3:G$88=G47)*(I$3:I$88="P"))+SUMPRODUCT((P$3:P$88="")*(O$3:O$88="")*(N$3:N$88="")*(M$3:M$88="P")*(G$3:G$88=G47)*(J$3:J$88&gt;J47)*(I$3:I$88="P"))+IF(H47="L5",SUMPRODUCT((P$3:P$88="")*(O$3:O$88="")*(N$3:N$88="")*(M$3:M$88="P")*(G$3:G$88=G47)*(J$3:J$88&lt;J47)*(H$3:H$88&lt;&gt;H47)*(I$3:I$88="P")),-1*SUMPRODUCT((P$3:P$88="")*(O$3:O$88="")*(N$3:N$88="")*(M$3:M$88="P")*(G$3:G$88=G47)*(J$3:J$88&gt;J47)*(H$3:H$88="L5")*(I$3:I$88="P")))+1,"")))))</f>
        <v/>
      </c>
      <c r="B47" s="1" t="str" cm="1">
        <f t="array" ref="B47">IF(P47&lt;&gt;"",SUMPRODUCT((P$3:P$88&lt;&gt;"")*(G$3:G$88=G47)*(J$3:J$88&gt;J47))+1,IF(O47&lt;&gt;"",SUMPRODUCT((O$3:O$88&lt;&gt;"")*(P$3:P$88="")*(G$3:G$88=G47)*(J$3:J$88&gt;J47))+SUMPRODUCT((P$3:P$88&lt;&gt;"")*(G$3:G$88=G47))+1,IF(N47&lt;&gt;"",SUMPRODUCT((N$3:N$88&lt;&gt;"")*(G$3:G$88=G47)*(J$3:J$88&gt;J47))+1,IF(M47="P",SUMPRODUCT((O$3:O$88&lt;&gt;"")*(P$3:P$88="")*(G$3:G$88=G47))+SUMPRODUCT((P$3:P$88&lt;&gt;"")*(G$3:G$88=G47))+SUMPRODUCT((N$3:N$88&lt;&gt;"")*(G$3:G$88=G47))+SUMPRODUCT((P$3:P$88="")*(O$3:O$88="")*(N$3:N$88="")*(M$3:M$88="P")*(G$3:G$88=G47)*(J$3:J$88&gt;J47))+IF(H47="L5",SUMPRODUCT((P$3:P$88="")*(O$3:O$88="")*(N$3:N$88="")*(M$3:M$88="P")*(G$3:G$88=G47)*(J$3:J$88&lt;J47)*(H$3:H$88&lt;&gt;H47)),-1*SUMPRODUCT((P$3:P$88="")*(O$3:O$88="")*(N$3:N$88="")*(M$3:M$88="P")*(G$3:G$88=G47)*(J$3:J$88&gt;J47)*(H$3:H$88="L5")))+1,""))))</f>
        <v/>
      </c>
      <c r="C47" s="36" t="s">
        <v>447</v>
      </c>
      <c r="D47" s="36" t="s">
        <v>352</v>
      </c>
      <c r="E47" s="36" t="s">
        <v>199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3.8799999999999993E-6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Scores'!G$13),AND(G47="15-16",U47&gt;='Qualifying Scores'!G$12),AND(G47="13-14",U47&gt;='Qualifying Scores'!G$11),AND(G47="11-12",U47&gt;='Qualifying Scores'!G$10)),T47,0),IF(OR(AND(G47="17-21",W47&gt;='Qualifying Scores'!G$13),AND(G47="15-16",W47&gt;='Qualifying Scores'!G$12),AND(G47="13-14",W47&gt;='Qualifying Scores'!G$11),AND(G47="11-12",W47&gt;='Qualifying Scores'!G$10)),V47,0),IF(OR(AND(G47="17-21",Y47&gt;='Qualifying Scores'!G$13),AND(G47="15-16",Y47&gt;='Qualifying Scores'!G$12),AND(G47="13-14",Y47&gt;='Qualifying Scores'!G$11),AND(G47="11-12",Y47&gt;='Qualifying Scores'!G$10)),X47,0),IF(OR(AND(G47="17-21",AA47&gt;='Qualifying Scores'!G$13),AND(G47="15-16",AA47&gt;='Qualifying Scores'!G$12),AND(G47="13-14",AA47&gt;='Qualifying Scores'!G$11),AND(G47="11-12",AA47&gt;='Qualifying Scores'!G$10)),Z47,0)))</f>
        <v>0</v>
      </c>
      <c r="S47" s="4">
        <f>MAX(T47,V47,X47,Z47)</f>
        <v>38.799999999999997</v>
      </c>
      <c r="T47" s="33"/>
      <c r="U47" s="40"/>
      <c r="V47" s="34"/>
      <c r="W47" s="40"/>
      <c r="X47" s="33">
        <v>38.799999999999997</v>
      </c>
      <c r="Y47" s="40">
        <v>3.9000000000000004</v>
      </c>
      <c r="Z47" s="34"/>
      <c r="AA47" s="37"/>
    </row>
    <row r="48" spans="1:27" x14ac:dyDescent="0.2">
      <c r="A48" s="1" t="str" cm="1">
        <f t="array" ref="A48">IF(I48="","",IF(P48&lt;&gt;"",SUMPRODUCT((P$3:P$88&lt;&gt;"")*(G$3:G$88=G48)*(J$3:J$88&gt;J48)*(I$3:I$88="P"))+1,IF(O48&lt;&gt;"",SUMPRODUCT((O$3:O$88&lt;&gt;"")*(P$3:P$88="")*(G$3:G$88=G48)*(J$3:J$88&gt;J48)*(I$3:I$88="P"))+SUMPRODUCT((P$3:P$88&lt;&gt;"")*(G$3:G$88=G48)*(I$3:I$88="P"))+1,IF(N48&lt;&gt;"",SUMPRODUCT((N$3:N$88&lt;&gt;"")*(G$3:G$88=G48)*(J$3:J$88&gt;J48)*(I$3:I$88="P"))+1,IF(M48="P",SUMPRODUCT((O$3:O$88&lt;&gt;"")*(P$3:P$88="")*(G$3:G$88=G48)*(I$3:I$88="P"))+SUMPRODUCT((P$3:P$88&lt;&gt;"")*(G$3:G$88=G48)*(I$3:I$88="P"))+SUMPRODUCT((N$3:N$88&lt;&gt;"")*(G$3:G$88=G48)*(I$3:I$88="P"))+SUMPRODUCT((P$3:P$88="")*(O$3:O$88="")*(N$3:N$88="")*(M$3:M$88="P")*(G$3:G$88=G48)*(J$3:J$88&gt;J48)*(I$3:I$88="P"))+IF(H48="L5",SUMPRODUCT((P$3:P$88="")*(O$3:O$88="")*(N$3:N$88="")*(M$3:M$88="P")*(G$3:G$88=G48)*(J$3:J$88&lt;J48)*(H$3:H$88&lt;&gt;H48)*(I$3:I$88="P")),-1*SUMPRODUCT((P$3:P$88="")*(O$3:O$88="")*(N$3:N$88="")*(M$3:M$88="P")*(G$3:G$88=G48)*(J$3:J$88&gt;J48)*(H$3:H$88="L5")*(I$3:I$88="P")))+1,"")))))</f>
        <v/>
      </c>
      <c r="B48" s="1" t="str" cm="1">
        <f t="array" ref="B48">IF(P48&lt;&gt;"",SUMPRODUCT((P$3:P$88&lt;&gt;"")*(G$3:G$88=G48)*(J$3:J$88&gt;J48))+1,IF(O48&lt;&gt;"",SUMPRODUCT((O$3:O$88&lt;&gt;"")*(P$3:P$88="")*(G$3:G$88=G48)*(J$3:J$88&gt;J48))+SUMPRODUCT((P$3:P$88&lt;&gt;"")*(G$3:G$88=G48))+1,IF(N48&lt;&gt;"",SUMPRODUCT((N$3:N$88&lt;&gt;"")*(G$3:G$88=G48)*(J$3:J$88&gt;J48))+1,IF(M48="P",SUMPRODUCT((O$3:O$88&lt;&gt;"")*(P$3:P$88="")*(G$3:G$88=G48))+SUMPRODUCT((P$3:P$88&lt;&gt;"")*(G$3:G$88=G48))+SUMPRODUCT((N$3:N$88&lt;&gt;"")*(G$3:G$88=G48))+SUMPRODUCT((P$3:P$88="")*(O$3:O$88="")*(N$3:N$88="")*(M$3:M$88="P")*(G$3:G$88=G48)*(J$3:J$88&gt;J48))+IF(H48="L5",SUMPRODUCT((P$3:P$88="")*(O$3:O$88="")*(N$3:N$88="")*(M$3:M$88="P")*(G$3:G$88=G48)*(J$3:J$88&lt;J48)*(H$3:H$88&lt;&gt;H48)),-1*SUMPRODUCT((P$3:P$88="")*(O$3:O$88="")*(N$3:N$88="")*(M$3:M$88="P")*(G$3:G$88=G48)*(J$3:J$88&gt;J48)*(H$3:H$88="L5")))+1,""))))</f>
        <v/>
      </c>
      <c r="C48" s="36" t="s">
        <v>269</v>
      </c>
      <c r="D48" s="36" t="str">
        <f>IF(E48="","",VLOOKUP(E48,'Coaching Points'!A:B,2,0))</f>
        <v>QC</v>
      </c>
      <c r="E48" s="36" t="s">
        <v>586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3.8599999999999995E-6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Scores'!G$13),AND(G48="15-16",U48&gt;='Qualifying Scores'!G$12),AND(G48="13-14",U48&gt;='Qualifying Scores'!G$11),AND(G48="11-12",U48&gt;='Qualifying Scores'!G$10)),T48,0),IF(OR(AND(G48="17-21",W48&gt;='Qualifying Scores'!G$13),AND(G48="15-16",W48&gt;='Qualifying Scores'!G$12),AND(G48="13-14",W48&gt;='Qualifying Scores'!G$11),AND(G48="11-12",W48&gt;='Qualifying Scores'!G$10)),V48,0),IF(OR(AND(G48="17-21",Y48&gt;='Qualifying Scores'!G$13),AND(G48="15-16",Y48&gt;='Qualifying Scores'!G$12),AND(G48="13-14",Y48&gt;='Qualifying Scores'!G$11),AND(G48="11-12",Y48&gt;='Qualifying Scores'!G$10)),X48,0),IF(OR(AND(G48="17-21",AA48&gt;='Qualifying Scores'!G$13),AND(G48="15-16",AA48&gt;='Qualifying Scores'!G$12),AND(G48="13-14",AA48&gt;='Qualifying Scores'!G$11),AND(G48="11-12",AA48&gt;='Qualifying Scores'!G$10)),Z48,0)))</f>
        <v>0</v>
      </c>
      <c r="S48" s="4">
        <f>MAX(T48,V48,X48,Z48)</f>
        <v>38.599999999999994</v>
      </c>
      <c r="T48" s="33"/>
      <c r="U48" s="40"/>
      <c r="V48" s="34"/>
      <c r="W48" s="40"/>
      <c r="X48" s="33">
        <v>38.599999999999994</v>
      </c>
      <c r="Y48" s="40">
        <v>2.8</v>
      </c>
      <c r="Z48" s="34"/>
      <c r="AA48" s="37"/>
    </row>
    <row r="49" spans="1:27" x14ac:dyDescent="0.2">
      <c r="A49" s="1" t="str" cm="1">
        <f t="array" ref="A49">IF(I49="","",IF(P49&lt;&gt;"",SUMPRODUCT((P$3:P$88&lt;&gt;"")*(G$3:G$88=G49)*(J$3:J$88&gt;J49)*(I$3:I$88="P"))+1,IF(O49&lt;&gt;"",SUMPRODUCT((O$3:O$88&lt;&gt;"")*(P$3:P$88="")*(G$3:G$88=G49)*(J$3:J$88&gt;J49)*(I$3:I$88="P"))+SUMPRODUCT((P$3:P$88&lt;&gt;"")*(G$3:G$88=G49)*(I$3:I$88="P"))+1,IF(N49&lt;&gt;"",SUMPRODUCT((N$3:N$88&lt;&gt;"")*(G$3:G$88=G49)*(J$3:J$88&gt;J49)*(I$3:I$88="P"))+1,IF(M49="P",SUMPRODUCT((O$3:O$88&lt;&gt;"")*(P$3:P$88="")*(G$3:G$88=G49)*(I$3:I$88="P"))+SUMPRODUCT((P$3:P$88&lt;&gt;"")*(G$3:G$88=G49)*(I$3:I$88="P"))+SUMPRODUCT((N$3:N$88&lt;&gt;"")*(G$3:G$88=G49)*(I$3:I$88="P"))+SUMPRODUCT((P$3:P$88="")*(O$3:O$88="")*(N$3:N$88="")*(M$3:M$88="P")*(G$3:G$88=G49)*(J$3:J$88&gt;J49)*(I$3:I$88="P"))+IF(H49="L5",SUMPRODUCT((P$3:P$88="")*(O$3:O$88="")*(N$3:N$88="")*(M$3:M$88="P")*(G$3:G$88=G49)*(J$3:J$88&lt;J49)*(H$3:H$88&lt;&gt;H49)*(I$3:I$88="P")),-1*SUMPRODUCT((P$3:P$88="")*(O$3:O$88="")*(N$3:N$88="")*(M$3:M$88="P")*(G$3:G$88=G49)*(J$3:J$88&gt;J49)*(H$3:H$88="L5")*(I$3:I$88="P")))+1,"")))))</f>
        <v/>
      </c>
      <c r="B49" s="1" t="str" cm="1">
        <f t="array" ref="B49">IF(P49&lt;&gt;"",SUMPRODUCT((P$3:P$88&lt;&gt;"")*(G$3:G$88=G49)*(J$3:J$88&gt;J49))+1,IF(O49&lt;&gt;"",SUMPRODUCT((O$3:O$88&lt;&gt;"")*(P$3:P$88="")*(G$3:G$88=G49)*(J$3:J$88&gt;J49))+SUMPRODUCT((P$3:P$88&lt;&gt;"")*(G$3:G$88=G49))+1,IF(N49&lt;&gt;"",SUMPRODUCT((N$3:N$88&lt;&gt;"")*(G$3:G$88=G49)*(J$3:J$88&gt;J49))+1,IF(M49="P",SUMPRODUCT((O$3:O$88&lt;&gt;"")*(P$3:P$88="")*(G$3:G$88=G49))+SUMPRODUCT((P$3:P$88&lt;&gt;"")*(G$3:G$88=G49))+SUMPRODUCT((N$3:N$88&lt;&gt;"")*(G$3:G$88=G49))+SUMPRODUCT((P$3:P$88="")*(O$3:O$88="")*(N$3:N$88="")*(M$3:M$88="P")*(G$3:G$88=G49)*(J$3:J$88&gt;J49))+IF(H49="L5",SUMPRODUCT((P$3:P$88="")*(O$3:O$88="")*(N$3:N$88="")*(M$3:M$88="P")*(G$3:G$88=G49)*(J$3:J$88&lt;J49)*(H$3:H$88&lt;&gt;H49)),-1*SUMPRODUCT((P$3:P$88="")*(O$3:O$88="")*(N$3:N$88="")*(M$3:M$88="P")*(G$3:G$88=G49)*(J$3:J$88&gt;J49)*(H$3:H$88="L5")))+1,""))))</f>
        <v/>
      </c>
      <c r="C49" s="36" t="s">
        <v>75</v>
      </c>
      <c r="D49" s="36" t="str">
        <f>IF(E49="","",VLOOKUP(E49,'Coaching Points'!A:B,2,0))</f>
        <v>BC</v>
      </c>
      <c r="E49" s="36" t="s">
        <v>76</v>
      </c>
      <c r="F49" s="35">
        <v>2004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3.76E-6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Scores'!G$13),AND(G49="15-16",U49&gt;='Qualifying Scores'!G$12),AND(G49="13-14",U49&gt;='Qualifying Scores'!G$11),AND(G49="11-12",U49&gt;='Qualifying Scores'!G$10)),T49,0),IF(OR(AND(G49="17-21",W49&gt;='Qualifying Scores'!G$13),AND(G49="15-16",W49&gt;='Qualifying Scores'!G$12),AND(G49="13-14",W49&gt;='Qualifying Scores'!G$11),AND(G49="11-12",W49&gt;='Qualifying Scores'!G$10)),V49,0),IF(OR(AND(G49="17-21",Y49&gt;='Qualifying Scores'!G$13),AND(G49="15-16",Y49&gt;='Qualifying Scores'!G$12),AND(G49="13-14",Y49&gt;='Qualifying Scores'!G$11),AND(G49="11-12",Y49&gt;='Qualifying Scores'!G$10)),X49,0),IF(OR(AND(G49="17-21",AA49&gt;='Qualifying Scores'!G$13),AND(G49="15-16",AA49&gt;='Qualifying Scores'!G$12),AND(G49="13-14",AA49&gt;='Qualifying Scores'!G$11),AND(G49="11-12",AA49&gt;='Qualifying Scores'!G$10)),Z49,0)))</f>
        <v>0</v>
      </c>
      <c r="S49" s="4">
        <f>MAX(T49,V49,X49,Z49)</f>
        <v>42.9</v>
      </c>
      <c r="T49" s="33">
        <v>40.799999999999997</v>
      </c>
      <c r="U49" s="40">
        <v>6.4</v>
      </c>
      <c r="V49" s="34">
        <v>42.9</v>
      </c>
      <c r="W49" s="40">
        <v>6.3</v>
      </c>
      <c r="X49" s="33">
        <v>37.6</v>
      </c>
      <c r="Y49" s="40">
        <v>3.7</v>
      </c>
      <c r="Z49" s="34"/>
      <c r="AA49" s="37"/>
    </row>
    <row r="50" spans="1:27" x14ac:dyDescent="0.2">
      <c r="A50" s="1" t="str" cm="1">
        <f t="array" ref="A50">IF(I50="","",IF(P50&lt;&gt;"",SUMPRODUCT((P$3:P$88&lt;&gt;"")*(G$3:G$88=G50)*(J$3:J$88&gt;J50)*(I$3:I$88="P"))+1,IF(O50&lt;&gt;"",SUMPRODUCT((O$3:O$88&lt;&gt;"")*(P$3:P$88="")*(G$3:G$88=G50)*(J$3:J$88&gt;J50)*(I$3:I$88="P"))+SUMPRODUCT((P$3:P$88&lt;&gt;"")*(G$3:G$88=G50)*(I$3:I$88="P"))+1,IF(N50&lt;&gt;"",SUMPRODUCT((N$3:N$88&lt;&gt;"")*(G$3:G$88=G50)*(J$3:J$88&gt;J50)*(I$3:I$88="P"))+1,IF(M50="P",SUMPRODUCT((O$3:O$88&lt;&gt;"")*(P$3:P$88="")*(G$3:G$88=G50)*(I$3:I$88="P"))+SUMPRODUCT((P$3:P$88&lt;&gt;"")*(G$3:G$88=G50)*(I$3:I$88="P"))+SUMPRODUCT((N$3:N$88&lt;&gt;"")*(G$3:G$88=G50)*(I$3:I$88="P"))+SUMPRODUCT((P$3:P$88="")*(O$3:O$88="")*(N$3:N$88="")*(M$3:M$88="P")*(G$3:G$88=G50)*(J$3:J$88&gt;J50)*(I$3:I$88="P"))+IF(H50="L5",SUMPRODUCT((P$3:P$88="")*(O$3:O$88="")*(N$3:N$88="")*(M$3:M$88="P")*(G$3:G$88=G50)*(J$3:J$88&lt;J50)*(H$3:H$88&lt;&gt;H50)*(I$3:I$88="P")),-1*SUMPRODUCT((P$3:P$88="")*(O$3:O$88="")*(N$3:N$88="")*(M$3:M$88="P")*(G$3:G$88=G50)*(J$3:J$88&gt;J50)*(H$3:H$88="L5")*(I$3:I$88="P")))+1,"")))))</f>
        <v/>
      </c>
      <c r="B50" s="1" t="str" cm="1">
        <f t="array" ref="B50">IF(P50&lt;&gt;"",SUMPRODUCT((P$3:P$88&lt;&gt;"")*(G$3:G$88=G50)*(J$3:J$88&gt;J50))+1,IF(O50&lt;&gt;"",SUMPRODUCT((O$3:O$88&lt;&gt;"")*(P$3:P$88="")*(G$3:G$88=G50)*(J$3:J$88&gt;J50))+SUMPRODUCT((P$3:P$88&lt;&gt;"")*(G$3:G$88=G50))+1,IF(N50&lt;&gt;"",SUMPRODUCT((N$3:N$88&lt;&gt;"")*(G$3:G$88=G50)*(J$3:J$88&gt;J50))+1,IF(M50="P",SUMPRODUCT((O$3:O$88&lt;&gt;"")*(P$3:P$88="")*(G$3:G$88=G50))+SUMPRODUCT((P$3:P$88&lt;&gt;"")*(G$3:G$88=G50))+SUMPRODUCT((N$3:N$88&lt;&gt;"")*(G$3:G$88=G50))+SUMPRODUCT((P$3:P$88="")*(O$3:O$88="")*(N$3:N$88="")*(M$3:M$88="P")*(G$3:G$88=G50)*(J$3:J$88&gt;J50))+IF(H50="L5",SUMPRODUCT((P$3:P$88="")*(O$3:O$88="")*(N$3:N$88="")*(M$3:M$88="P")*(G$3:G$88=G50)*(J$3:J$88&lt;J50)*(H$3:H$88&lt;&gt;H50)),-1*SUMPRODUCT((P$3:P$88="")*(O$3:O$88="")*(N$3:N$88="")*(M$3:M$88="P")*(G$3:G$88=G50)*(J$3:J$88&gt;J50)*(H$3:H$88="L5")))+1,""))))</f>
        <v/>
      </c>
      <c r="C50" s="36" t="s">
        <v>434</v>
      </c>
      <c r="D50" s="36" t="str">
        <f>IF(E50="","",VLOOKUP(E50,'Coaching Points'!A:B,2,0))</f>
        <v>NS</v>
      </c>
      <c r="E50" s="36" t="s">
        <v>584</v>
      </c>
      <c r="F50" s="35">
        <v>2001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2.0699999999999997E-6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Scores'!G$13),AND(G50="15-16",U50&gt;='Qualifying Scores'!G$12),AND(G50="13-14",U50&gt;='Qualifying Scores'!G$11),AND(G50="11-12",U50&gt;='Qualifying Scores'!G$10)),T50,0),IF(OR(AND(G50="17-21",W50&gt;='Qualifying Scores'!G$13),AND(G50="15-16",W50&gt;='Qualifying Scores'!G$12),AND(G50="13-14",W50&gt;='Qualifying Scores'!G$11),AND(G50="11-12",W50&gt;='Qualifying Scores'!G$10)),V50,0),IF(OR(AND(G50="17-21",Y50&gt;='Qualifying Scores'!G$13),AND(G50="15-16",Y50&gt;='Qualifying Scores'!G$12),AND(G50="13-14",Y50&gt;='Qualifying Scores'!G$11),AND(G50="11-12",Y50&gt;='Qualifying Scores'!G$10)),X50,0),IF(OR(AND(G50="17-21",AA50&gt;='Qualifying Scores'!G$13),AND(G50="15-16",AA50&gt;='Qualifying Scores'!G$12),AND(G50="13-14",AA50&gt;='Qualifying Scores'!G$11),AND(G50="11-12",AA50&gt;='Qualifying Scores'!G$10)),Z50,0)))</f>
        <v>0</v>
      </c>
      <c r="S50" s="4">
        <f>MAX(T50,V50,X50,Z50)</f>
        <v>20.7</v>
      </c>
      <c r="T50" s="33"/>
      <c r="U50" s="40"/>
      <c r="V50" s="34"/>
      <c r="W50" s="40"/>
      <c r="X50" s="33">
        <v>20.7</v>
      </c>
      <c r="Y50" s="40">
        <v>2.1</v>
      </c>
      <c r="Z50" s="34"/>
      <c r="AA50" s="37"/>
    </row>
    <row r="51" spans="1:27" x14ac:dyDescent="0.2">
      <c r="A51" s="1" t="str" cm="1">
        <f t="array" ref="A51">IF(I51="","",IF(P51&lt;&gt;"",SUMPRODUCT((P$3:P$88&lt;&gt;"")*(G$3:G$88=G51)*(J$3:J$88&gt;J51)*(I$3:I$88="P"))+1,IF(O51&lt;&gt;"",SUMPRODUCT((O$3:O$88&lt;&gt;"")*(P$3:P$88="")*(G$3:G$88=G51)*(J$3:J$88&gt;J51)*(I$3:I$88="P"))+SUMPRODUCT((P$3:P$88&lt;&gt;"")*(G$3:G$88=G51)*(I$3:I$88="P"))+1,IF(N51&lt;&gt;"",SUMPRODUCT((N$3:N$88&lt;&gt;"")*(G$3:G$88=G51)*(J$3:J$88&gt;J51)*(I$3:I$88="P"))+1,IF(M51="P",SUMPRODUCT((O$3:O$88&lt;&gt;"")*(P$3:P$88="")*(G$3:G$88=G51)*(I$3:I$88="P"))+SUMPRODUCT((P$3:P$88&lt;&gt;"")*(G$3:G$88=G51)*(I$3:I$88="P"))+SUMPRODUCT((N$3:N$88&lt;&gt;"")*(G$3:G$88=G51)*(I$3:I$88="P"))+SUMPRODUCT((P$3:P$88="")*(O$3:O$88="")*(N$3:N$88="")*(M$3:M$88="P")*(G$3:G$88=G51)*(J$3:J$88&gt;J51)*(I$3:I$88="P"))+IF(H51="L5",SUMPRODUCT((P$3:P$88="")*(O$3:O$88="")*(N$3:N$88="")*(M$3:M$88="P")*(G$3:G$88=G51)*(J$3:J$88&lt;J51)*(H$3:H$88&lt;&gt;H51)*(I$3:I$88="P")),-1*SUMPRODUCT((P$3:P$88="")*(O$3:O$88="")*(N$3:N$88="")*(M$3:M$88="P")*(G$3:G$88=G51)*(J$3:J$88&gt;J51)*(H$3:H$88="L5")*(I$3:I$88="P")))+1,"")))))</f>
        <v/>
      </c>
      <c r="B51" s="1" t="str" cm="1">
        <f t="array" ref="B51">IF(P51&lt;&gt;"",SUMPRODUCT((P$3:P$88&lt;&gt;"")*(G$3:G$88=G51)*(J$3:J$88&gt;J51))+1,IF(O51&lt;&gt;"",SUMPRODUCT((O$3:O$88&lt;&gt;"")*(P$3:P$88="")*(G$3:G$88=G51)*(J$3:J$88&gt;J51))+SUMPRODUCT((P$3:P$88&lt;&gt;"")*(G$3:G$88=G51))+1,IF(N51&lt;&gt;"",SUMPRODUCT((N$3:N$88&lt;&gt;"")*(G$3:G$88=G51)*(J$3:J$88&gt;J51))+1,IF(M51="P",SUMPRODUCT((O$3:O$88&lt;&gt;"")*(P$3:P$88="")*(G$3:G$88=G51))+SUMPRODUCT((P$3:P$88&lt;&gt;"")*(G$3:G$88=G51))+SUMPRODUCT((N$3:N$88&lt;&gt;"")*(G$3:G$88=G51))+SUMPRODUCT((P$3:P$88="")*(O$3:O$88="")*(N$3:N$88="")*(M$3:M$88="P")*(G$3:G$88=G51)*(J$3:J$88&gt;J51))+IF(H51="L5",SUMPRODUCT((P$3:P$88="")*(O$3:O$88="")*(N$3:N$88="")*(M$3:M$88="P")*(G$3:G$88=G51)*(J$3:J$88&lt;J51)*(H$3:H$88&lt;&gt;H51)),-1*SUMPRODUCT((P$3:P$88="")*(O$3:O$88="")*(N$3:N$88="")*(M$3:M$88="P")*(G$3:G$88=G51)*(J$3:J$88&gt;J51)*(H$3:H$88="L5")))+1,""))))</f>
        <v/>
      </c>
      <c r="C51" s="36" t="s">
        <v>526</v>
      </c>
      <c r="D51" s="36" t="str">
        <f>IF(E51="","",VLOOKUP(E51,'Coaching Points'!A:B,2,0))</f>
        <v>AB</v>
      </c>
      <c r="E51" s="36" t="s">
        <v>89</v>
      </c>
      <c r="F51" s="35">
        <v>2003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Scores'!$B$1-F51&gt;10,"11-12,""Not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1.8099999999999996E-6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Scores'!G$13),AND(G51="15-16",U51&gt;='Qualifying Scores'!G$12),AND(G51="13-14",U51&gt;='Qualifying Scores'!G$11),AND(G51="11-12",U51&gt;='Qualifying Scores'!G$10)),T51,0),IF(OR(AND(G51="17-21",W51&gt;='Qualifying Scores'!G$13),AND(G51="15-16",W51&gt;='Qualifying Scores'!G$12),AND(G51="13-14",W51&gt;='Qualifying Scores'!G$11),AND(G51="11-12",W51&gt;='Qualifying Scores'!G$10)),V51,0),IF(OR(AND(G51="17-21",Y51&gt;='Qualifying Scores'!G$13),AND(G51="15-16",Y51&gt;='Qualifying Scores'!G$12),AND(G51="13-14",Y51&gt;='Qualifying Scores'!G$11),AND(G51="11-12",Y51&gt;='Qualifying Scores'!G$10)),X51,0),IF(OR(AND(G51="17-21",AA51&gt;='Qualifying Scores'!G$13),AND(G51="15-16",AA51&gt;='Qualifying Scores'!G$12),AND(G51="13-14",AA51&gt;='Qualifying Scores'!G$11),AND(G51="11-12",AA51&gt;='Qualifying Scores'!G$10)),Z51,0)))</f>
        <v>0</v>
      </c>
      <c r="S51" s="4">
        <f>MAX(T51,V51,X51,Z51)</f>
        <v>18.099999999999998</v>
      </c>
      <c r="T51" s="33"/>
      <c r="U51" s="40"/>
      <c r="V51" s="34"/>
      <c r="W51" s="40"/>
      <c r="X51" s="33">
        <v>18.099999999999998</v>
      </c>
      <c r="Y51" s="40">
        <v>0.7</v>
      </c>
      <c r="Z51" s="34"/>
      <c r="AA51" s="37"/>
    </row>
    <row r="52" spans="1:27" x14ac:dyDescent="0.2">
      <c r="A52" s="1" cm="1">
        <f t="array" ref="A52">IF(I52="","",IF(P52&lt;&gt;"",SUMPRODUCT((P$3:P$88&lt;&gt;"")*(G$3:G$88=G52)*(J$3:J$88&gt;J52)*(I$3:I$88="P"))+1,IF(O52&lt;&gt;"",SUMPRODUCT((O$3:O$88&lt;&gt;"")*(P$3:P$88="")*(G$3:G$88=G52)*(J$3:J$88&gt;J52)*(I$3:I$88="P"))+SUMPRODUCT((P$3:P$88&lt;&gt;"")*(G$3:G$88=G52)*(I$3:I$88="P"))+1,IF(N52&lt;&gt;"",SUMPRODUCT((N$3:N$88&lt;&gt;"")*(G$3:G$88=G52)*(J$3:J$88&gt;J52)*(I$3:I$88="P"))+1,IF(M52="P",SUMPRODUCT((O$3:O$88&lt;&gt;"")*(P$3:P$88="")*(G$3:G$88=G52)*(I$3:I$88="P"))+SUMPRODUCT((P$3:P$88&lt;&gt;"")*(G$3:G$88=G52)*(I$3:I$88="P"))+SUMPRODUCT((N$3:N$88&lt;&gt;"")*(G$3:G$88=G52)*(I$3:I$88="P"))+SUMPRODUCT((P$3:P$88="")*(O$3:O$88="")*(N$3:N$88="")*(M$3:M$88="P")*(G$3:G$88=G52)*(J$3:J$88&gt;J52)*(I$3:I$88="P"))+IF(H52="L5",SUMPRODUCT((P$3:P$88="")*(O$3:O$88="")*(N$3:N$88="")*(M$3:M$88="P")*(G$3:G$88=G52)*(J$3:J$88&lt;J52)*(H$3:H$88&lt;&gt;H52)*(I$3:I$88="P")),-1*SUMPRODUCT((P$3:P$88="")*(O$3:O$88="")*(N$3:N$88="")*(M$3:M$88="P")*(G$3:G$88=G52)*(J$3:J$88&gt;J52)*(H$3:H$88="L5")*(I$3:I$88="P")))+1,"")))))</f>
        <v>1</v>
      </c>
      <c r="B52" s="1" cm="1">
        <f t="array" ref="B52">IF(P52&lt;&gt;"",SUMPRODUCT((P$3:P$88&lt;&gt;"")*(G$3:G$88=G52)*(J$3:J$88&gt;J52))+1,IF(O52&lt;&gt;"",SUMPRODUCT((O$3:O$88&lt;&gt;"")*(P$3:P$88="")*(G$3:G$88=G52)*(J$3:J$88&gt;J52))+SUMPRODUCT((P$3:P$88&lt;&gt;"")*(G$3:G$88=G52))+1,IF(N52&lt;&gt;"",SUMPRODUCT((N$3:N$88&lt;&gt;"")*(G$3:G$88=G52)*(J$3:J$88&gt;J52))+1,IF(M52="P",SUMPRODUCT((O$3:O$88&lt;&gt;"")*(P$3:P$88="")*(G$3:G$88=G52))+SUMPRODUCT((P$3:P$88&lt;&gt;"")*(G$3:G$88=G52))+SUMPRODUCT((N$3:N$88&lt;&gt;"")*(G$3:G$88=G52))+SUMPRODUCT((P$3:P$88="")*(O$3:O$88="")*(N$3:N$88="")*(M$3:M$88="P")*(G$3:G$88=G52)*(J$3:J$88&gt;J52))+IF(H52="L5",SUMPRODUCT((P$3:P$88="")*(O$3:O$88="")*(N$3:N$88="")*(M$3:M$88="P")*(G$3:G$88=G52)*(J$3:J$88&lt;J52)*(H$3:H$88&lt;&gt;H52)),-1*SUMPRODUCT((P$3:P$88="")*(O$3:O$88="")*(N$3:N$88="")*(M$3:M$88="P")*(G$3:G$88=G52)*(J$3:J$88&gt;J52)*(H$3:H$88="L5")))+1,""))))</f>
        <v>1</v>
      </c>
      <c r="C52" s="36" t="s">
        <v>60</v>
      </c>
      <c r="D52" s="36" t="str">
        <f>IF(E52="","",VLOOKUP(E52,'Coaching Points'!A:B,2,0))</f>
        <v>AB</v>
      </c>
      <c r="E52" s="36" t="s">
        <v>61</v>
      </c>
      <c r="F52" s="35">
        <v>2006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Scores'!$B$1-F52&gt;10,"11-12,""Not Age Eligible")))))</f>
        <v>15-16</v>
      </c>
      <c r="H52" s="39" t="s">
        <v>114</v>
      </c>
      <c r="I52" s="45" t="s">
        <v>604</v>
      </c>
      <c r="J52" s="4">
        <f>R52+IF(OR(H52="Junior",H52="Senior"),0.0002,IF(OR(H52="L7",H52="L6"),0.0001,0))+MAX(X52,Z52)*0.0000001</f>
        <v>48.600204859999998</v>
      </c>
      <c r="K52" s="3" t="str">
        <f>IF(G52="Not Age Eligible","",IF(MAX(T52,V52,X52,Z52)&gt;=LOOKUP(G52,'Qualifying Scores'!$A$4:$A$7,'Qualifying Scores'!$G$4:$G$7),"P",""))</f>
        <v>P</v>
      </c>
      <c r="L52" s="3" t="str">
        <f>IF(G52="Not Age Eligible","",IF(MAX(U52,W52,Y52,AA52)&gt;=LOOKUP(G52,'Qualifying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>P</v>
      </c>
      <c r="N52" s="39">
        <v>2</v>
      </c>
      <c r="Q52" s="49">
        <f>IF(A52&lt;5,IF(_xlfn.MAXIFS(A:A,G:G,G52)&gt;3,5-A52,_xlfn.MAXIFS(A:A,G:G,G52)+1-A52),"")</f>
        <v>2</v>
      </c>
      <c r="R52" s="4">
        <f>IF(G52="Not Age Eligible",0,MAX(IF(OR(AND(G52="17-21",U52&gt;='Qualifying Scores'!G$13),AND(G52="15-16",U52&gt;='Qualifying Scores'!G$12),AND(G52="13-14",U52&gt;='Qualifying Scores'!G$11),AND(G52="11-12",U52&gt;='Qualifying Scores'!G$10)),T52,0),IF(OR(AND(G52="17-21",W52&gt;='Qualifying Scores'!G$13),AND(G52="15-16",W52&gt;='Qualifying Scores'!G$12),AND(G52="13-14",W52&gt;='Qualifying Scores'!G$11),AND(G52="11-12",W52&gt;='Qualifying Scores'!G$10)),V52,0),IF(OR(AND(G52="17-21",Y52&gt;='Qualifying Scores'!G$13),AND(G52="15-16",Y52&gt;='Qualifying Scores'!G$12),AND(G52="13-14",Y52&gt;='Qualifying Scores'!G$11),AND(G52="11-12",Y52&gt;='Qualifying Scores'!G$10)),X52,0),IF(OR(AND(G52="17-21",AA52&gt;='Qualifying Scores'!G$13),AND(G52="15-16",AA52&gt;='Qualifying Scores'!G$12),AND(G52="13-14",AA52&gt;='Qualifying Scores'!G$11),AND(G52="11-12",AA52&gt;='Qualifying Scores'!G$10)),Z52,0)))</f>
        <v>48.6</v>
      </c>
      <c r="S52" s="4">
        <f>MAX(T52,V52,X52,Z52)</f>
        <v>48.6</v>
      </c>
      <c r="T52" s="33">
        <v>46.599999999999994</v>
      </c>
      <c r="U52" s="40">
        <v>10.399999999999999</v>
      </c>
      <c r="V52" s="34">
        <v>46.22</v>
      </c>
      <c r="W52" s="40">
        <v>10</v>
      </c>
      <c r="X52" s="33">
        <v>43.3</v>
      </c>
      <c r="Y52" s="40">
        <v>8</v>
      </c>
      <c r="Z52" s="34">
        <v>48.6</v>
      </c>
      <c r="AA52" s="37">
        <v>11.6</v>
      </c>
    </row>
    <row r="53" spans="1:27" x14ac:dyDescent="0.2">
      <c r="A53" s="1" cm="1">
        <f t="array" ref="A53">IF(I53="","",IF(P53&lt;&gt;"",SUMPRODUCT((P$3:P$88&lt;&gt;"")*(G$3:G$88=G53)*(J$3:J$88&gt;J53)*(I$3:I$88="P"))+1,IF(O53&lt;&gt;"",SUMPRODUCT((O$3:O$88&lt;&gt;"")*(P$3:P$88="")*(G$3:G$88=G53)*(J$3:J$88&gt;J53)*(I$3:I$88="P"))+SUMPRODUCT((P$3:P$88&lt;&gt;"")*(G$3:G$88=G53)*(I$3:I$88="P"))+1,IF(N53&lt;&gt;"",SUMPRODUCT((N$3:N$88&lt;&gt;"")*(G$3:G$88=G53)*(J$3:J$88&gt;J53)*(I$3:I$88="P"))+1,IF(M53="P",SUMPRODUCT((O$3:O$88&lt;&gt;"")*(P$3:P$88="")*(G$3:G$88=G53)*(I$3:I$88="P"))+SUMPRODUCT((P$3:P$88&lt;&gt;"")*(G$3:G$88=G53)*(I$3:I$88="P"))+SUMPRODUCT((N$3:N$88&lt;&gt;"")*(G$3:G$88=G53)*(I$3:I$88="P"))+SUMPRODUCT((P$3:P$88="")*(O$3:O$88="")*(N$3:N$88="")*(M$3:M$88="P")*(G$3:G$88=G53)*(J$3:J$88&gt;J53)*(I$3:I$88="P"))+IF(H53="L5",SUMPRODUCT((P$3:P$88="")*(O$3:O$88="")*(N$3:N$88="")*(M$3:M$88="P")*(G$3:G$88=G53)*(J$3:J$88&lt;J53)*(H$3:H$88&lt;&gt;H53)*(I$3:I$88="P")),-1*SUMPRODUCT((P$3:P$88="")*(O$3:O$88="")*(N$3:N$88="")*(M$3:M$88="P")*(G$3:G$88=G53)*(J$3:J$88&gt;J53)*(H$3:H$88="L5")*(I$3:I$88="P")))+1,"")))))</f>
        <v>2</v>
      </c>
      <c r="B53" s="1" cm="1">
        <f t="array" ref="B53">IF(P53&lt;&gt;"",SUMPRODUCT((P$3:P$88&lt;&gt;"")*(G$3:G$88=G53)*(J$3:J$88&gt;J53))+1,IF(O53&lt;&gt;"",SUMPRODUCT((O$3:O$88&lt;&gt;"")*(P$3:P$88="")*(G$3:G$88=G53)*(J$3:J$88&gt;J53))+SUMPRODUCT((P$3:P$88&lt;&gt;"")*(G$3:G$88=G53))+1,IF(N53&lt;&gt;"",SUMPRODUCT((N$3:N$88&lt;&gt;"")*(G$3:G$88=G53)*(J$3:J$88&gt;J53))+1,IF(M53="P",SUMPRODUCT((O$3:O$88&lt;&gt;"")*(P$3:P$88="")*(G$3:G$88=G53))+SUMPRODUCT((P$3:P$88&lt;&gt;"")*(G$3:G$88=G53))+SUMPRODUCT((N$3:N$88&lt;&gt;"")*(G$3:G$88=G53))+SUMPRODUCT((P$3:P$88="")*(O$3:O$88="")*(N$3:N$88="")*(M$3:M$88="P")*(G$3:G$88=G53)*(J$3:J$88&gt;J53))+IF(H53="L5",SUMPRODUCT((P$3:P$88="")*(O$3:O$88="")*(N$3:N$88="")*(M$3:M$88="P")*(G$3:G$88=G53)*(J$3:J$88&lt;J53)*(H$3:H$88&lt;&gt;H53)),-1*SUMPRODUCT((P$3:P$88="")*(O$3:O$88="")*(N$3:N$88="")*(M$3:M$88="P")*(G$3:G$88=G53)*(J$3:J$88&gt;J53)*(H$3:H$88="L5")))+1,""))))</f>
        <v>3</v>
      </c>
      <c r="C53" s="36" t="s">
        <v>65</v>
      </c>
      <c r="D53" s="36" t="str">
        <f>IF(E53="","",VLOOKUP(E53,'Coaching Points'!A:B,2,0))</f>
        <v>BC</v>
      </c>
      <c r="E53" s="36" t="s">
        <v>571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Scores'!$B$1-F53&gt;10,"11-12,""Not Age Eligible")))))</f>
        <v>15-16</v>
      </c>
      <c r="H53" s="39" t="s">
        <v>115</v>
      </c>
      <c r="I53" s="45" t="s">
        <v>604</v>
      </c>
      <c r="J53" s="4">
        <f>R53+IF(OR(H53="Junior",H53="Senior"),0.0002,IF(OR(H53="L7",H53="L6"),0.0001,0))+MAX(X53,Z53)*0.0000001</f>
        <v>45.600004559999995</v>
      </c>
      <c r="K53" s="3" t="str">
        <f>IF(G53="Not Age Eligible","",IF(MAX(T53,V53,X53,Z53)&gt;=LOOKUP(G53,'Qualifying Scores'!$A$4:$A$7,'Qualifying Scores'!$G$4:$G$7),"P",""))</f>
        <v>P</v>
      </c>
      <c r="L53" s="3" t="str">
        <f>IF(G53="Not Age Eligible","",IF(MAX(U53,W53,Y53,AA53)&gt;=LOOKUP(G53,'Qualifying Scores'!$A$10:$A$13,'Qualifying Scores'!$G$10:$G$13),"P",""))</f>
        <v>P</v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>P</v>
      </c>
      <c r="Q53" s="49">
        <f>IF(A53&lt;5,IF(_xlfn.MAXIFS(A:A,G:G,G53)&gt;3,5-A53,_xlfn.MAXIFS(A:A,G:G,G53)+1-A53),"")</f>
        <v>1</v>
      </c>
      <c r="R53" s="4">
        <f>IF(G53="Not Age Eligible",0,MAX(IF(OR(AND(G53="17-21",U53&gt;='Qualifying Scores'!G$13),AND(G53="15-16",U53&gt;='Qualifying Scores'!G$12),AND(G53="13-14",U53&gt;='Qualifying Scores'!G$11),AND(G53="11-12",U53&gt;='Qualifying Scores'!G$10)),T53,0),IF(OR(AND(G53="17-21",W53&gt;='Qualifying Scores'!G$13),AND(G53="15-16",W53&gt;='Qualifying Scores'!G$12),AND(G53="13-14",W53&gt;='Qualifying Scores'!G$11),AND(G53="11-12",W53&gt;='Qualifying Scores'!G$10)),V53,0),IF(OR(AND(G53="17-21",Y53&gt;='Qualifying Scores'!G$13),AND(G53="15-16",Y53&gt;='Qualifying Scores'!G$12),AND(G53="13-14",Y53&gt;='Qualifying Scores'!G$11),AND(G53="11-12",Y53&gt;='Qualifying Scores'!G$10)),X53,0),IF(OR(AND(G53="17-21",AA53&gt;='Qualifying Scores'!G$13),AND(G53="15-16",AA53&gt;='Qualifying Scores'!G$12),AND(G53="13-14",AA53&gt;='Qualifying Scores'!G$11),AND(G53="11-12",AA53&gt;='Qualifying Scores'!G$10)),Z53,0)))</f>
        <v>45.599999999999994</v>
      </c>
      <c r="S53" s="4">
        <f>MAX(T53,V53,X53,Z53)</f>
        <v>45.599999999999994</v>
      </c>
      <c r="T53" s="33">
        <v>40.799999999999997</v>
      </c>
      <c r="U53" s="40">
        <v>4.0999999999999996</v>
      </c>
      <c r="V53" s="34">
        <v>43.199999999999996</v>
      </c>
      <c r="W53" s="40">
        <v>4.9000000000000004</v>
      </c>
      <c r="X53" s="33">
        <v>44.5</v>
      </c>
      <c r="Y53" s="40">
        <v>5.9</v>
      </c>
      <c r="Z53" s="34">
        <v>45.599999999999994</v>
      </c>
      <c r="AA53" s="37">
        <v>7.4</v>
      </c>
    </row>
    <row r="54" spans="1:27" x14ac:dyDescent="0.2">
      <c r="A54" s="1" t="str" cm="1">
        <f t="array" ref="A54">IF(I54="","",IF(P54&lt;&gt;"",SUMPRODUCT((P$3:P$88&lt;&gt;"")*(G$3:G$88=G54)*(J$3:J$88&gt;J54)*(I$3:I$88="P"))+1,IF(O54&lt;&gt;"",SUMPRODUCT((O$3:O$88&lt;&gt;"")*(P$3:P$88="")*(G$3:G$88=G54)*(J$3:J$88&gt;J54)*(I$3:I$88="P"))+SUMPRODUCT((P$3:P$88&lt;&gt;"")*(G$3:G$88=G54)*(I$3:I$88="P"))+1,IF(N54&lt;&gt;"",SUMPRODUCT((N$3:N$88&lt;&gt;"")*(G$3:G$88=G54)*(J$3:J$88&gt;J54)*(I$3:I$88="P"))+1,IF(M54="P",SUMPRODUCT((O$3:O$88&lt;&gt;"")*(P$3:P$88="")*(G$3:G$88=G54)*(I$3:I$88="P"))+SUMPRODUCT((P$3:P$88&lt;&gt;"")*(G$3:G$88=G54)*(I$3:I$88="P"))+SUMPRODUCT((N$3:N$88&lt;&gt;"")*(G$3:G$88=G54)*(I$3:I$88="P"))+SUMPRODUCT((P$3:P$88="")*(O$3:O$88="")*(N$3:N$88="")*(M$3:M$88="P")*(G$3:G$88=G54)*(J$3:J$88&gt;J54)*(I$3:I$88="P"))+IF(H54="L5",SUMPRODUCT((P$3:P$88="")*(O$3:O$88="")*(N$3:N$88="")*(M$3:M$88="P")*(G$3:G$88=G54)*(J$3:J$88&lt;J54)*(H$3:H$88&lt;&gt;H54)*(I$3:I$88="P")),-1*SUMPRODUCT((P$3:P$88="")*(O$3:O$88="")*(N$3:N$88="")*(M$3:M$88="P")*(G$3:G$88=G54)*(J$3:J$88&gt;J54)*(H$3:H$88="L5")*(I$3:I$88="P")))+1,"")))))</f>
        <v/>
      </c>
      <c r="B54" s="1" cm="1">
        <f t="array" ref="B54">IF(P54&lt;&gt;"",SUMPRODUCT((P$3:P$88&lt;&gt;"")*(G$3:G$88=G54)*(J$3:J$88&gt;J54))+1,IF(O54&lt;&gt;"",SUMPRODUCT((O$3:O$88&lt;&gt;"")*(P$3:P$88="")*(G$3:G$88=G54)*(J$3:J$88&gt;J54))+SUMPRODUCT((P$3:P$88&lt;&gt;"")*(G$3:G$88=G54))+1,IF(N54&lt;&gt;"",SUMPRODUCT((N$3:N$88&lt;&gt;"")*(G$3:G$88=G54)*(J$3:J$88&gt;J54))+1,IF(M54="P",SUMPRODUCT((O$3:O$88&lt;&gt;"")*(P$3:P$88="")*(G$3:G$88=G54))+SUMPRODUCT((P$3:P$88&lt;&gt;"")*(G$3:G$88=G54))+SUMPRODUCT((N$3:N$88&lt;&gt;"")*(G$3:G$88=G54))+SUMPRODUCT((P$3:P$88="")*(O$3:O$88="")*(N$3:N$88="")*(M$3:M$88="P")*(G$3:G$88=G54)*(J$3:J$88&gt;J54))+IF(H54="L5",SUMPRODUCT((P$3:P$88="")*(O$3:O$88="")*(N$3:N$88="")*(M$3:M$88="P")*(G$3:G$88=G54)*(J$3:J$88&lt;J54)*(H$3:H$88&lt;&gt;H54)),-1*SUMPRODUCT((P$3:P$88="")*(O$3:O$88="")*(N$3:N$88="")*(M$3:M$88="P")*(G$3:G$88=G54)*(J$3:J$88&gt;J54)*(H$3:H$88="L5")))+1,""))))</f>
        <v>2</v>
      </c>
      <c r="C54" s="36" t="s">
        <v>93</v>
      </c>
      <c r="D54" s="36" t="str">
        <f>IF(E54="","",VLOOKUP(E54,'Coaching Points'!A:B,2,0))</f>
        <v>BC</v>
      </c>
      <c r="E54" s="36" t="s">
        <v>47</v>
      </c>
      <c r="F54" s="35">
        <v>2007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Scores'!$B$1-F54&gt;10,"11-12,""Not Age Eligible")))))</f>
        <v>15-16</v>
      </c>
      <c r="H54" s="39" t="s">
        <v>116</v>
      </c>
      <c r="I54" s="45"/>
      <c r="J54" s="4">
        <f>R54+IF(OR(H54="Junior",H54="Senior"),0.0002,IF(OR(H54="L7",H54="L6"),0.0001,0))+MAX(X54,Z54)*0.0000001</f>
        <v>47.000100000000003</v>
      </c>
      <c r="K54" s="3" t="str">
        <f>IF(G54="Not Age Eligible","",IF(MAX(T54,V54,X54,Z54)&gt;=LOOKUP(G54,'Qualifying Scores'!$A$4:$A$7,'Qualifying Scores'!$G$4:$G$7),"P",""))</f>
        <v>P</v>
      </c>
      <c r="L54" s="3" t="str">
        <f>IF(G54="Not Age Eligible","",IF(MAX(U54,W54,Y54,AA54)&gt;=LOOKUP(G54,'Qualifying Scores'!$A$10:$A$13,'Qualifying Scores'!$G$10:$G$13),"P",""))</f>
        <v>P</v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>P</v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Scores'!G$13),AND(G54="15-16",U54&gt;='Qualifying Scores'!G$12),AND(G54="13-14",U54&gt;='Qualifying Scores'!G$11),AND(G54="11-12",U54&gt;='Qualifying Scores'!G$10)),T54,0),IF(OR(AND(G54="17-21",W54&gt;='Qualifying Scores'!G$13),AND(G54="15-16",W54&gt;='Qualifying Scores'!G$12),AND(G54="13-14",W54&gt;='Qualifying Scores'!G$11),AND(G54="11-12",W54&gt;='Qualifying Scores'!G$10)),V54,0),IF(OR(AND(G54="17-21",Y54&gt;='Qualifying Scores'!G$13),AND(G54="15-16",Y54&gt;='Qualifying Scores'!G$12),AND(G54="13-14",Y54&gt;='Qualifying Scores'!G$11),AND(G54="11-12",Y54&gt;='Qualifying Scores'!G$10)),X54,0),IF(OR(AND(G54="17-21",AA54&gt;='Qualifying Scores'!G$13),AND(G54="15-16",AA54&gt;='Qualifying Scores'!G$12),AND(G54="13-14",AA54&gt;='Qualifying Scores'!G$11),AND(G54="11-12",AA54&gt;='Qualifying Scores'!G$10)),Z54,0)))</f>
        <v>47</v>
      </c>
      <c r="S54" s="4">
        <f>MAX(T54,V54,X54,Z54)</f>
        <v>47</v>
      </c>
      <c r="T54" s="33">
        <v>47</v>
      </c>
      <c r="U54" s="40">
        <v>9.6</v>
      </c>
      <c r="V54" s="34">
        <v>46.6</v>
      </c>
      <c r="W54" s="40">
        <v>9.1999999999999993</v>
      </c>
      <c r="X54" s="33"/>
      <c r="Y54" s="40"/>
      <c r="Z54" s="34"/>
      <c r="AA54" s="37"/>
    </row>
    <row r="55" spans="1:27" x14ac:dyDescent="0.2">
      <c r="A55" s="1" t="str" cm="1">
        <f t="array" ref="A55">IF(I55="","",IF(P55&lt;&gt;"",SUMPRODUCT((P$3:P$88&lt;&gt;"")*(G$3:G$88=G55)*(J$3:J$88&gt;J55)*(I$3:I$88="P"))+1,IF(O55&lt;&gt;"",SUMPRODUCT((O$3:O$88&lt;&gt;"")*(P$3:P$88="")*(G$3:G$88=G55)*(J$3:J$88&gt;J55)*(I$3:I$88="P"))+SUMPRODUCT((P$3:P$88&lt;&gt;"")*(G$3:G$88=G55)*(I$3:I$88="P"))+1,IF(N55&lt;&gt;"",SUMPRODUCT((N$3:N$88&lt;&gt;"")*(G$3:G$88=G55)*(J$3:J$88&gt;J55)*(I$3:I$88="P"))+1,IF(M55="P",SUMPRODUCT((O$3:O$88&lt;&gt;"")*(P$3:P$88="")*(G$3:G$88=G55)*(I$3:I$88="P"))+SUMPRODUCT((P$3:P$88&lt;&gt;"")*(G$3:G$88=G55)*(I$3:I$88="P"))+SUMPRODUCT((N$3:N$88&lt;&gt;"")*(G$3:G$88=G55)*(I$3:I$88="P"))+SUMPRODUCT((P$3:P$88="")*(O$3:O$88="")*(N$3:N$88="")*(M$3:M$88="P")*(G$3:G$88=G55)*(J$3:J$88&gt;J55)*(I$3:I$88="P"))+IF(H55="L5",SUMPRODUCT((P$3:P$88="")*(O$3:O$88="")*(N$3:N$88="")*(M$3:M$88="P")*(G$3:G$88=G55)*(J$3:J$88&lt;J55)*(H$3:H$88&lt;&gt;H55)*(I$3:I$88="P")),-1*SUMPRODUCT((P$3:P$88="")*(O$3:O$88="")*(N$3:N$88="")*(M$3:M$88="P")*(G$3:G$88=G55)*(J$3:J$88&gt;J55)*(H$3:H$88="L5")*(I$3:I$88="P")))+1,"")))))</f>
        <v/>
      </c>
      <c r="B55" s="1" t="str" cm="1">
        <f t="array" ref="B55">IF(P55&lt;&gt;"",SUMPRODUCT((P$3:P$88&lt;&gt;"")*(G$3:G$88=G55)*(J$3:J$88&gt;J55))+1,IF(O55&lt;&gt;"",SUMPRODUCT((O$3:O$88&lt;&gt;"")*(P$3:P$88="")*(G$3:G$88=G55)*(J$3:J$88&gt;J55))+SUMPRODUCT((P$3:P$88&lt;&gt;"")*(G$3:G$88=G55))+1,IF(N55&lt;&gt;"",SUMPRODUCT((N$3:N$88&lt;&gt;"")*(G$3:G$88=G55)*(J$3:J$88&gt;J55))+1,IF(M55="P",SUMPRODUCT((O$3:O$88&lt;&gt;"")*(P$3:P$88="")*(G$3:G$88=G55))+SUMPRODUCT((P$3:P$88&lt;&gt;"")*(G$3:G$88=G55))+SUMPRODUCT((N$3:N$88&lt;&gt;"")*(G$3:G$88=G55))+SUMPRODUCT((P$3:P$88="")*(O$3:O$88="")*(N$3:N$88="")*(M$3:M$88="P")*(G$3:G$88=G55)*(J$3:J$88&gt;J55))+IF(H55="L5",SUMPRODUCT((P$3:P$88="")*(O$3:O$88="")*(N$3:N$88="")*(M$3:M$88="P")*(G$3:G$88=G55)*(J$3:J$88&lt;J55)*(H$3:H$88&lt;&gt;H55)),-1*SUMPRODUCT((P$3:P$88="")*(O$3:O$88="")*(N$3:N$88="")*(M$3:M$88="P")*(G$3:G$88=G55)*(J$3:J$88&gt;J55)*(H$3:H$88="L5")))+1,""))))</f>
        <v/>
      </c>
      <c r="C55" s="36" t="s">
        <v>94</v>
      </c>
      <c r="D55" s="36" t="str">
        <f>IF(E55="","",VLOOKUP(E55,'Coaching Points'!A:B,2,0))</f>
        <v>AB</v>
      </c>
      <c r="E55" s="36" t="s">
        <v>29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Scores'!$B$1-F55&gt;10,"11-12,""Not Age Eligible")))))</f>
        <v>15-16</v>
      </c>
      <c r="H55" s="39" t="s">
        <v>116</v>
      </c>
      <c r="I55" s="45" t="s">
        <v>604</v>
      </c>
      <c r="J55" s="4">
        <f>R55+IF(OR(H55="Junior",H55="Senior"),0.0002,IF(OR(H55="L7",H55="L6"),0.0001,0))+MAX(X55,Z55)*0.0000001</f>
        <v>44.30010377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>P</v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Scores'!G$13),AND(G55="15-16",U55&gt;='Qualifying Scores'!G$12),AND(G55="13-14",U55&gt;='Qualifying Scores'!G$11),AND(G55="11-12",U55&gt;='Qualifying Scores'!G$10)),T55,0),IF(OR(AND(G55="17-21",W55&gt;='Qualifying Scores'!G$13),AND(G55="15-16",W55&gt;='Qualifying Scores'!G$12),AND(G55="13-14",W55&gt;='Qualifying Scores'!G$11),AND(G55="11-12",W55&gt;='Qualifying Scores'!G$10)),V55,0),IF(OR(AND(G55="17-21",Y55&gt;='Qualifying Scores'!G$13),AND(G55="15-16",Y55&gt;='Qualifying Scores'!G$12),AND(G55="13-14",Y55&gt;='Qualifying Scores'!G$11),AND(G55="11-12",Y55&gt;='Qualifying Scores'!G$10)),X55,0),IF(OR(AND(G55="17-21",AA55&gt;='Qualifying Scores'!G$13),AND(G55="15-16",AA55&gt;='Qualifying Scores'!G$12),AND(G55="13-14",AA55&gt;='Qualifying Scores'!G$11),AND(G55="11-12",AA55&gt;='Qualifying Scores'!G$10)),Z55,0)))</f>
        <v>44.3</v>
      </c>
      <c r="S55" s="4">
        <f>MAX(T55,V55,X55,Z55)</f>
        <v>44.300000000000004</v>
      </c>
      <c r="T55" s="33">
        <v>44.300000000000004</v>
      </c>
      <c r="U55" s="40">
        <v>6.8999999999999995</v>
      </c>
      <c r="V55" s="34">
        <v>44.3</v>
      </c>
      <c r="W55" s="40">
        <v>7.4</v>
      </c>
      <c r="X55" s="33">
        <v>37.699999999999996</v>
      </c>
      <c r="Y55" s="40">
        <v>3.9000000000000004</v>
      </c>
      <c r="Z55" s="34"/>
      <c r="AA55" s="37"/>
    </row>
    <row r="56" spans="1:27" x14ac:dyDescent="0.2">
      <c r="A56" s="1" t="str" cm="1">
        <f t="array" ref="A56">IF(I56="","",IF(P56&lt;&gt;"",SUMPRODUCT((P$3:P$88&lt;&gt;"")*(G$3:G$88=G56)*(J$3:J$88&gt;J56)*(I$3:I$88="P"))+1,IF(O56&lt;&gt;"",SUMPRODUCT((O$3:O$88&lt;&gt;"")*(P$3:P$88="")*(G$3:G$88=G56)*(J$3:J$88&gt;J56)*(I$3:I$88="P"))+SUMPRODUCT((P$3:P$88&lt;&gt;"")*(G$3:G$88=G56)*(I$3:I$88="P"))+1,IF(N56&lt;&gt;"",SUMPRODUCT((N$3:N$88&lt;&gt;"")*(G$3:G$88=G56)*(J$3:J$88&gt;J56)*(I$3:I$88="P"))+1,IF(M56="P",SUMPRODUCT((O$3:O$88&lt;&gt;"")*(P$3:P$88="")*(G$3:G$88=G56)*(I$3:I$88="P"))+SUMPRODUCT((P$3:P$88&lt;&gt;"")*(G$3:G$88=G56)*(I$3:I$88="P"))+SUMPRODUCT((N$3:N$88&lt;&gt;"")*(G$3:G$88=G56)*(I$3:I$88="P"))+SUMPRODUCT((P$3:P$88="")*(O$3:O$88="")*(N$3:N$88="")*(M$3:M$88="P")*(G$3:G$88=G56)*(J$3:J$88&gt;J56)*(I$3:I$88="P"))+IF(H56="L5",SUMPRODUCT((P$3:P$88="")*(O$3:O$88="")*(N$3:N$88="")*(M$3:M$88="P")*(G$3:G$88=G56)*(J$3:J$88&lt;J56)*(H$3:H$88&lt;&gt;H56)*(I$3:I$88="P")),-1*SUMPRODUCT((P$3:P$88="")*(O$3:O$88="")*(N$3:N$88="")*(M$3:M$88="P")*(G$3:G$88=G56)*(J$3:J$88&gt;J56)*(H$3:H$88="L5")*(I$3:I$88="P")))+1,"")))))</f>
        <v/>
      </c>
      <c r="B56" s="1" t="str" cm="1">
        <f t="array" ref="B56">IF(P56&lt;&gt;"",SUMPRODUCT((P$3:P$88&lt;&gt;"")*(G$3:G$88=G56)*(J$3:J$88&gt;J56))+1,IF(O56&lt;&gt;"",SUMPRODUCT((O$3:O$88&lt;&gt;"")*(P$3:P$88="")*(G$3:G$88=G56)*(J$3:J$88&gt;J56))+SUMPRODUCT((P$3:P$88&lt;&gt;"")*(G$3:G$88=G56))+1,IF(N56&lt;&gt;"",SUMPRODUCT((N$3:N$88&lt;&gt;"")*(G$3:G$88=G56)*(J$3:J$88&gt;J56))+1,IF(M56="P",SUMPRODUCT((O$3:O$88&lt;&gt;"")*(P$3:P$88="")*(G$3:G$88=G56))+SUMPRODUCT((P$3:P$88&lt;&gt;"")*(G$3:G$88=G56))+SUMPRODUCT((N$3:N$88&lt;&gt;"")*(G$3:G$88=G56))+SUMPRODUCT((P$3:P$88="")*(O$3:O$88="")*(N$3:N$88="")*(M$3:M$88="P")*(G$3:G$88=G56)*(J$3:J$88&gt;J56))+IF(H56="L5",SUMPRODUCT((P$3:P$88="")*(O$3:O$88="")*(N$3:N$88="")*(M$3:M$88="P")*(G$3:G$88=G56)*(J$3:J$88&lt;J56)*(H$3:H$88&lt;&gt;H56)),-1*SUMPRODUCT((P$3:P$88="")*(O$3:O$88="")*(N$3:N$88="")*(M$3:M$88="P")*(G$3:G$88=G56)*(J$3:J$88&gt;J56)*(H$3:H$88="L5")))+1,""))))</f>
        <v/>
      </c>
      <c r="C56" s="36" t="s">
        <v>69</v>
      </c>
      <c r="D56" s="36" t="str">
        <f>IF(E56="","",VLOOKUP(E56,'Coaching Points'!A:B,2,0))</f>
        <v>SK</v>
      </c>
      <c r="E56" s="36" t="s">
        <v>70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Scores'!$B$1-F56&gt;10,"11-12,""Not Age Eligible")))))</f>
        <v>15-16</v>
      </c>
      <c r="H56" s="39" t="s">
        <v>116</v>
      </c>
      <c r="I56" s="45" t="s">
        <v>604</v>
      </c>
      <c r="J56" s="4">
        <f>R56+IF(OR(H56="Junior",H56="Senior"),0.0002,IF(OR(H56="L7",H56="L6"),0.0001,0))+MAX(X56,Z56)*0.0000001</f>
        <v>44.100104410000007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Scores'!G$13),AND(G56="15-16",U56&gt;='Qualifying Scores'!G$12),AND(G56="13-14",U56&gt;='Qualifying Scores'!G$11),AND(G56="11-12",U56&gt;='Qualifying Scores'!G$10)),T56,0),IF(OR(AND(G56="17-21",W56&gt;='Qualifying Scores'!G$13),AND(G56="15-16",W56&gt;='Qualifying Scores'!G$12),AND(G56="13-14",W56&gt;='Qualifying Scores'!G$11),AND(G56="11-12",W56&gt;='Qualifying Scores'!G$10)),V56,0),IF(OR(AND(G56="17-21",Y56&gt;='Qualifying Scores'!G$13),AND(G56="15-16",Y56&gt;='Qualifying Scores'!G$12),AND(G56="13-14",Y56&gt;='Qualifying Scores'!G$11),AND(G56="11-12",Y56&gt;='Qualifying Scores'!G$10)),X56,0),IF(OR(AND(G56="17-21",AA56&gt;='Qualifying Scores'!G$13),AND(G56="15-16",AA56&gt;='Qualifying Scores'!G$12),AND(G56="13-14",AA56&gt;='Qualifying Scores'!G$11),AND(G56="11-12",AA56&gt;='Qualifying Scores'!G$10)),Z56,0)))</f>
        <v>44.1</v>
      </c>
      <c r="S56" s="4">
        <f>MAX(T56,V56,X56,Z56)</f>
        <v>44.1</v>
      </c>
      <c r="T56" s="33">
        <v>43.5</v>
      </c>
      <c r="U56" s="40">
        <v>6.5</v>
      </c>
      <c r="V56" s="34">
        <v>39.6</v>
      </c>
      <c r="W56" s="40">
        <v>3.5999999999999996</v>
      </c>
      <c r="X56" s="33">
        <v>44.1</v>
      </c>
      <c r="Y56" s="40">
        <v>7.1</v>
      </c>
      <c r="Z56" s="34">
        <v>43.6</v>
      </c>
      <c r="AA56" s="37">
        <v>6.6</v>
      </c>
    </row>
    <row r="57" spans="1:27" x14ac:dyDescent="0.2">
      <c r="A57" s="1" t="str" cm="1">
        <f t="array" ref="A57">IF(I57="","",IF(P57&lt;&gt;"",SUMPRODUCT((P$3:P$88&lt;&gt;"")*(G$3:G$88=G57)*(J$3:J$88&gt;J57)*(I$3:I$88="P"))+1,IF(O57&lt;&gt;"",SUMPRODUCT((O$3:O$88&lt;&gt;"")*(P$3:P$88="")*(G$3:G$88=G57)*(J$3:J$88&gt;J57)*(I$3:I$88="P"))+SUMPRODUCT((P$3:P$88&lt;&gt;"")*(G$3:G$88=G57)*(I$3:I$88="P"))+1,IF(N57&lt;&gt;"",SUMPRODUCT((N$3:N$88&lt;&gt;"")*(G$3:G$88=G57)*(J$3:J$88&gt;J57)*(I$3:I$88="P"))+1,IF(M57="P",SUMPRODUCT((O$3:O$88&lt;&gt;"")*(P$3:P$88="")*(G$3:G$88=G57)*(I$3:I$88="P"))+SUMPRODUCT((P$3:P$88&lt;&gt;"")*(G$3:G$88=G57)*(I$3:I$88="P"))+SUMPRODUCT((N$3:N$88&lt;&gt;"")*(G$3:G$88=G57)*(I$3:I$88="P"))+SUMPRODUCT((P$3:P$88="")*(O$3:O$88="")*(N$3:N$88="")*(M$3:M$88="P")*(G$3:G$88=G57)*(J$3:J$88&gt;J57)*(I$3:I$88="P"))+IF(H57="L5",SUMPRODUCT((P$3:P$88="")*(O$3:O$88="")*(N$3:N$88="")*(M$3:M$88="P")*(G$3:G$88=G57)*(J$3:J$88&lt;J57)*(H$3:H$88&lt;&gt;H57)*(I$3:I$88="P")),-1*SUMPRODUCT((P$3:P$88="")*(O$3:O$88="")*(N$3:N$88="")*(M$3:M$88="P")*(G$3:G$88=G57)*(J$3:J$88&gt;J57)*(H$3:H$88="L5")*(I$3:I$88="P")))+1,"")))))</f>
        <v/>
      </c>
      <c r="B57" s="1" t="str" cm="1">
        <f t="array" ref="B57">IF(P57&lt;&gt;"",SUMPRODUCT((P$3:P$88&lt;&gt;"")*(G$3:G$88=G57)*(J$3:J$88&gt;J57))+1,IF(O57&lt;&gt;"",SUMPRODUCT((O$3:O$88&lt;&gt;"")*(P$3:P$88="")*(G$3:G$88=G57)*(J$3:J$88&gt;J57))+SUMPRODUCT((P$3:P$88&lt;&gt;"")*(G$3:G$88=G57))+1,IF(N57&lt;&gt;"",SUMPRODUCT((N$3:N$88&lt;&gt;"")*(G$3:G$88=G57)*(J$3:J$88&gt;J57))+1,IF(M57="P",SUMPRODUCT((O$3:O$88&lt;&gt;"")*(P$3:P$88="")*(G$3:G$88=G57))+SUMPRODUCT((P$3:P$88&lt;&gt;"")*(G$3:G$88=G57))+SUMPRODUCT((N$3:N$88&lt;&gt;"")*(G$3:G$88=G57))+SUMPRODUCT((P$3:P$88="")*(O$3:O$88="")*(N$3:N$88="")*(M$3:M$88="P")*(G$3:G$88=G57)*(J$3:J$88&gt;J57))+IF(H57="L5",SUMPRODUCT((P$3:P$88="")*(O$3:O$88="")*(N$3:N$88="")*(M$3:M$88="P")*(G$3:G$88=G57)*(J$3:J$88&lt;J57)*(H$3:H$88&lt;&gt;H57)),-1*SUMPRODUCT((P$3:P$88="")*(O$3:O$88="")*(N$3:N$88="")*(M$3:M$88="P")*(G$3:G$88=G57)*(J$3:J$88&gt;J57)*(H$3:H$88="L5")))+1,""))))</f>
        <v/>
      </c>
      <c r="C57" s="36" t="s">
        <v>246</v>
      </c>
      <c r="D57" s="36" t="str">
        <f>IF(E57="","",VLOOKUP(E57,'Coaching Points'!A:B,2,0))</f>
        <v>BC</v>
      </c>
      <c r="E57" s="36" t="s">
        <v>80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Scores'!$B$1-F57&gt;10,"11-12,""Not Age Eligible")))))</f>
        <v>15-16</v>
      </c>
      <c r="H57" s="39" t="s">
        <v>116</v>
      </c>
      <c r="I57" s="45"/>
      <c r="J57" s="4">
        <f>R57+IF(OR(H57="Junior",H57="Senior"),0.0002,IF(OR(H57="L7",H57="L6"),0.0001,0))+MAX(X57,Z57)*0.0000001</f>
        <v>42.900104290000009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Scores'!G$13),AND(G57="15-16",U57&gt;='Qualifying Scores'!G$12),AND(G57="13-14",U57&gt;='Qualifying Scores'!G$11),AND(G57="11-12",U57&gt;='Qualifying Scores'!G$10)),T57,0),IF(OR(AND(G57="17-21",W57&gt;='Qualifying Scores'!G$13),AND(G57="15-16",W57&gt;='Qualifying Scores'!G$12),AND(G57="13-14",W57&gt;='Qualifying Scores'!G$11),AND(G57="11-12",W57&gt;='Qualifying Scores'!G$10)),V57,0),IF(OR(AND(G57="17-21",Y57&gt;='Qualifying Scores'!G$13),AND(G57="15-16",Y57&gt;='Qualifying Scores'!G$12),AND(G57="13-14",Y57&gt;='Qualifying Scores'!G$11),AND(G57="11-12",Y57&gt;='Qualifying Scores'!G$10)),X57,0),IF(OR(AND(G57="17-21",AA57&gt;='Qualifying Scores'!G$13),AND(G57="15-16",AA57&gt;='Qualifying Scores'!G$12),AND(G57="13-14",AA57&gt;='Qualifying Scores'!G$11),AND(G57="11-12",AA57&gt;='Qualifying Scores'!G$10)),Z57,0)))</f>
        <v>42.900000000000006</v>
      </c>
      <c r="S57" s="4">
        <f>MAX(T57,V57,X57,Z57)</f>
        <v>42.900000000000006</v>
      </c>
      <c r="T57" s="33"/>
      <c r="U57" s="40"/>
      <c r="V57" s="34"/>
      <c r="W57" s="40"/>
      <c r="X57" s="33">
        <v>42.900000000000006</v>
      </c>
      <c r="Y57" s="40">
        <v>7.1999999999999993</v>
      </c>
      <c r="Z57" s="34">
        <v>42.2</v>
      </c>
      <c r="AA57" s="37">
        <v>7.4</v>
      </c>
    </row>
    <row r="58" spans="1:27" x14ac:dyDescent="0.2">
      <c r="A58" s="1" t="str" cm="1">
        <f t="array" ref="A58">IF(I58="","",IF(P58&lt;&gt;"",SUMPRODUCT((P$3:P$88&lt;&gt;"")*(G$3:G$88=G58)*(J$3:J$88&gt;J58)*(I$3:I$88="P"))+1,IF(O58&lt;&gt;"",SUMPRODUCT((O$3:O$88&lt;&gt;"")*(P$3:P$88="")*(G$3:G$88=G58)*(J$3:J$88&gt;J58)*(I$3:I$88="P"))+SUMPRODUCT((P$3:P$88&lt;&gt;"")*(G$3:G$88=G58)*(I$3:I$88="P"))+1,IF(N58&lt;&gt;"",SUMPRODUCT((N$3:N$88&lt;&gt;"")*(G$3:G$88=G58)*(J$3:J$88&gt;J58)*(I$3:I$88="P"))+1,IF(M58="P",SUMPRODUCT((O$3:O$88&lt;&gt;"")*(P$3:P$88="")*(G$3:G$88=G58)*(I$3:I$88="P"))+SUMPRODUCT((P$3:P$88&lt;&gt;"")*(G$3:G$88=G58)*(I$3:I$88="P"))+SUMPRODUCT((N$3:N$88&lt;&gt;"")*(G$3:G$88=G58)*(I$3:I$88="P"))+SUMPRODUCT((P$3:P$88="")*(O$3:O$88="")*(N$3:N$88="")*(M$3:M$88="P")*(G$3:G$88=G58)*(J$3:J$88&gt;J58)*(I$3:I$88="P"))+IF(H58="L5",SUMPRODUCT((P$3:P$88="")*(O$3:O$88="")*(N$3:N$88="")*(M$3:M$88="P")*(G$3:G$88=G58)*(J$3:J$88&lt;J58)*(H$3:H$88&lt;&gt;H58)*(I$3:I$88="P")),-1*SUMPRODUCT((P$3:P$88="")*(O$3:O$88="")*(N$3:N$88="")*(M$3:M$88="P")*(G$3:G$88=G58)*(J$3:J$88&gt;J58)*(H$3:H$88="L5")*(I$3:I$88="P")))+1,"")))))</f>
        <v/>
      </c>
      <c r="B58" s="1" t="str" cm="1">
        <f t="array" ref="B58">IF(P58&lt;&gt;"",SUMPRODUCT((P$3:P$88&lt;&gt;"")*(G$3:G$88=G58)*(J$3:J$88&gt;J58))+1,IF(O58&lt;&gt;"",SUMPRODUCT((O$3:O$88&lt;&gt;"")*(P$3:P$88="")*(G$3:G$88=G58)*(J$3:J$88&gt;J58))+SUMPRODUCT((P$3:P$88&lt;&gt;"")*(G$3:G$88=G58))+1,IF(N58&lt;&gt;"",SUMPRODUCT((N$3:N$88&lt;&gt;"")*(G$3:G$88=G58)*(J$3:J$88&gt;J58))+1,IF(M58="P",SUMPRODUCT((O$3:O$88&lt;&gt;"")*(P$3:P$88="")*(G$3:G$88=G58))+SUMPRODUCT((P$3:P$88&lt;&gt;"")*(G$3:G$88=G58))+SUMPRODUCT((N$3:N$88&lt;&gt;"")*(G$3:G$88=G58))+SUMPRODUCT((P$3:P$88="")*(O$3:O$88="")*(N$3:N$88="")*(M$3:M$88="P")*(G$3:G$88=G58)*(J$3:J$88&gt;J58))+IF(H58="L5",SUMPRODUCT((P$3:P$88="")*(O$3:O$88="")*(N$3:N$88="")*(M$3:M$88="P")*(G$3:G$88=G58)*(J$3:J$88&lt;J58)*(H$3:H$88&lt;&gt;H58)),-1*SUMPRODUCT((P$3:P$88="")*(O$3:O$88="")*(N$3:N$88="")*(M$3:M$88="P")*(G$3:G$88=G58)*(J$3:J$88&gt;J58)*(H$3:H$88="L5")))+1,""))))</f>
        <v/>
      </c>
      <c r="C58" s="36" t="s">
        <v>95</v>
      </c>
      <c r="D58" s="36" t="str">
        <f>IF(E58="","",VLOOKUP(E58,'Coaching Points'!A:B,2,0))</f>
        <v>SK</v>
      </c>
      <c r="E58" s="36" t="s">
        <v>46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Scores'!$B$1-F58&gt;10,"11-12,""Not Age Eligible")))))</f>
        <v>15-16</v>
      </c>
      <c r="H58" s="39" t="s">
        <v>116</v>
      </c>
      <c r="I58" s="45"/>
      <c r="J58" s="4">
        <f>R58+IF(OR(H58="Junior",H58="Senior"),0.0002,IF(OR(H58="L7",H58="L6"),0.0001,0))+MAX(X58,Z58)*0.0000001</f>
        <v>1.0447000000000001E-4</v>
      </c>
      <c r="K58" s="3" t="str">
        <f>IF(G58="Not Age Eligible","",IF(MAX(T58,V58,X58,Z58)&gt;=LOOKUP(G58,'Qualifying Scores'!$A$4:$A$7,'Qualifying Scores'!$G$4:$G$7),"P",""))</f>
        <v>P</v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Scores'!G$13),AND(G58="15-16",U58&gt;='Qualifying Scores'!G$12),AND(G58="13-14",U58&gt;='Qualifying Scores'!G$11),AND(G58="11-12",U58&gt;='Qualifying Scores'!G$10)),T58,0),IF(OR(AND(G58="17-21",W58&gt;='Qualifying Scores'!G$13),AND(G58="15-16",W58&gt;='Qualifying Scores'!G$12),AND(G58="13-14",W58&gt;='Qualifying Scores'!G$11),AND(G58="11-12",W58&gt;='Qualifying Scores'!G$10)),V58,0),IF(OR(AND(G58="17-21",Y58&gt;='Qualifying Scores'!G$13),AND(G58="15-16",Y58&gt;='Qualifying Scores'!G$12),AND(G58="13-14",Y58&gt;='Qualifying Scores'!G$11),AND(G58="11-12",Y58&gt;='Qualifying Scores'!G$10)),X58,0),IF(OR(AND(G58="17-21",AA58&gt;='Qualifying Scores'!G$13),AND(G58="15-16",AA58&gt;='Qualifying Scores'!G$12),AND(G58="13-14",AA58&gt;='Qualifying Scores'!G$11),AND(G58="11-12",AA58&gt;='Qualifying Scores'!G$10)),Z58,0)))</f>
        <v>0</v>
      </c>
      <c r="S58" s="4">
        <f>MAX(T58,V58,X58,Z58)</f>
        <v>44.7</v>
      </c>
      <c r="T58" s="33">
        <v>43.5</v>
      </c>
      <c r="U58" s="40">
        <v>6.3</v>
      </c>
      <c r="V58" s="34">
        <v>43.3</v>
      </c>
      <c r="W58" s="40">
        <v>6.6999999999999993</v>
      </c>
      <c r="X58" s="33">
        <v>43.7</v>
      </c>
      <c r="Y58" s="40">
        <v>6.3000000000000007</v>
      </c>
      <c r="Z58" s="34">
        <v>44.7</v>
      </c>
      <c r="AA58" s="37">
        <v>6.6999999999999993</v>
      </c>
    </row>
    <row r="59" spans="1:27" x14ac:dyDescent="0.2">
      <c r="A59" s="1" t="str" cm="1">
        <f t="array" ref="A59">IF(I59="","",IF(P59&lt;&gt;"",SUMPRODUCT((P$3:P$88&lt;&gt;"")*(G$3:G$88=G59)*(J$3:J$88&gt;J59)*(I$3:I$88="P"))+1,IF(O59&lt;&gt;"",SUMPRODUCT((O$3:O$88&lt;&gt;"")*(P$3:P$88="")*(G$3:G$88=G59)*(J$3:J$88&gt;J59)*(I$3:I$88="P"))+SUMPRODUCT((P$3:P$88&lt;&gt;"")*(G$3:G$88=G59)*(I$3:I$88="P"))+1,IF(N59&lt;&gt;"",SUMPRODUCT((N$3:N$88&lt;&gt;"")*(G$3:G$88=G59)*(J$3:J$88&gt;J59)*(I$3:I$88="P"))+1,IF(M59="P",SUMPRODUCT((O$3:O$88&lt;&gt;"")*(P$3:P$88="")*(G$3:G$88=G59)*(I$3:I$88="P"))+SUMPRODUCT((P$3:P$88&lt;&gt;"")*(G$3:G$88=G59)*(I$3:I$88="P"))+SUMPRODUCT((N$3:N$88&lt;&gt;"")*(G$3:G$88=G59)*(I$3:I$88="P"))+SUMPRODUCT((P$3:P$88="")*(O$3:O$88="")*(N$3:N$88="")*(M$3:M$88="P")*(G$3:G$88=G59)*(J$3:J$88&gt;J59)*(I$3:I$88="P"))+IF(H59="L5",SUMPRODUCT((P$3:P$88="")*(O$3:O$88="")*(N$3:N$88="")*(M$3:M$88="P")*(G$3:G$88=G59)*(J$3:J$88&lt;J59)*(H$3:H$88&lt;&gt;H59)*(I$3:I$88="P")),-1*SUMPRODUCT((P$3:P$88="")*(O$3:O$88="")*(N$3:N$88="")*(M$3:M$88="P")*(G$3:G$88=G59)*(J$3:J$88&gt;J59)*(H$3:H$88="L5")*(I$3:I$88="P")))+1,"")))))</f>
        <v/>
      </c>
      <c r="B59" s="1" t="str" cm="1">
        <f t="array" ref="B59">IF(P59&lt;&gt;"",SUMPRODUCT((P$3:P$88&lt;&gt;"")*(G$3:G$88=G59)*(J$3:J$88&gt;J59))+1,IF(O59&lt;&gt;"",SUMPRODUCT((O$3:O$88&lt;&gt;"")*(P$3:P$88="")*(G$3:G$88=G59)*(J$3:J$88&gt;J59))+SUMPRODUCT((P$3:P$88&lt;&gt;"")*(G$3:G$88=G59))+1,IF(N59&lt;&gt;"",SUMPRODUCT((N$3:N$88&lt;&gt;"")*(G$3:G$88=G59)*(J$3:J$88&gt;J59))+1,IF(M59="P",SUMPRODUCT((O$3:O$88&lt;&gt;"")*(P$3:P$88="")*(G$3:G$88=G59))+SUMPRODUCT((P$3:P$88&lt;&gt;"")*(G$3:G$88=G59))+SUMPRODUCT((N$3:N$88&lt;&gt;"")*(G$3:G$88=G59))+SUMPRODUCT((P$3:P$88="")*(O$3:O$88="")*(N$3:N$88="")*(M$3:M$88="P")*(G$3:G$88=G59)*(J$3:J$88&gt;J59))+IF(H59="L5",SUMPRODUCT((P$3:P$88="")*(O$3:O$88="")*(N$3:N$88="")*(M$3:M$88="P")*(G$3:G$88=G59)*(J$3:J$88&lt;J59)*(H$3:H$88&lt;&gt;H59)),-1*SUMPRODUCT((P$3:P$88="")*(O$3:O$88="")*(N$3:N$88="")*(M$3:M$88="P")*(G$3:G$88=G59)*(J$3:J$88&gt;J59)*(H$3:H$88="L5")))+1,""))))</f>
        <v/>
      </c>
      <c r="C59" s="36" t="s">
        <v>253</v>
      </c>
      <c r="D59" s="36" t="str">
        <f>IF(E59="","",VLOOKUP(E59,'Coaching Points'!A:B,2,0))</f>
        <v>BC</v>
      </c>
      <c r="E59" s="36" t="s">
        <v>571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Scores'!$B$1-F59&gt;10,"11-12,""Not Age Eligible")))))</f>
        <v>15-16</v>
      </c>
      <c r="H59" s="39" t="s">
        <v>116</v>
      </c>
      <c r="I59" s="45"/>
      <c r="J59" s="4">
        <f>R59+IF(OR(H59="Junior",H59="Senior"),0.0002,IF(OR(H59="L7",H59="L6"),0.0001,0))+MAX(X59,Z59)*0.0000001</f>
        <v>1.0401E-4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Scores'!G$13),AND(G59="15-16",U59&gt;='Qualifying Scores'!G$12),AND(G59="13-14",U59&gt;='Qualifying Scores'!G$11),AND(G59="11-12",U59&gt;='Qualifying Scores'!G$10)),T59,0),IF(OR(AND(G59="17-21",W59&gt;='Qualifying Scores'!G$13),AND(G59="15-16",W59&gt;='Qualifying Scores'!G$12),AND(G59="13-14",W59&gt;='Qualifying Scores'!G$11),AND(G59="11-12",W59&gt;='Qualifying Scores'!G$10)),V59,0),IF(OR(AND(G59="17-21",Y59&gt;='Qualifying Scores'!G$13),AND(G59="15-16",Y59&gt;='Qualifying Scores'!G$12),AND(G59="13-14",Y59&gt;='Qualifying Scores'!G$11),AND(G59="11-12",Y59&gt;='Qualifying Scores'!G$10)),X59,0),IF(OR(AND(G59="17-21",AA59&gt;='Qualifying Scores'!G$13),AND(G59="15-16",AA59&gt;='Qualifying Scores'!G$12),AND(G59="13-14",AA59&gt;='Qualifying Scores'!G$11),AND(G59="11-12",AA59&gt;='Qualifying Scores'!G$10)),Z59,0)))</f>
        <v>0</v>
      </c>
      <c r="S59" s="4">
        <f>MAX(T59,V59,X59,Z59)</f>
        <v>40.099999999999994</v>
      </c>
      <c r="T59" s="33"/>
      <c r="U59" s="40"/>
      <c r="V59" s="34"/>
      <c r="W59" s="40"/>
      <c r="X59" s="33">
        <v>39.9</v>
      </c>
      <c r="Y59" s="40">
        <v>3.8</v>
      </c>
      <c r="Z59" s="34">
        <v>40.099999999999994</v>
      </c>
      <c r="AA59" s="37">
        <v>4.1000000000000005</v>
      </c>
    </row>
    <row r="60" spans="1:27" x14ac:dyDescent="0.2">
      <c r="A60" s="1" t="str" cm="1">
        <f t="array" ref="A60">IF(I60="","",IF(P60&lt;&gt;"",SUMPRODUCT((P$3:P$88&lt;&gt;"")*(G$3:G$88=G60)*(J$3:J$88&gt;J60)*(I$3:I$88="P"))+1,IF(O60&lt;&gt;"",SUMPRODUCT((O$3:O$88&lt;&gt;"")*(P$3:P$88="")*(G$3:G$88=G60)*(J$3:J$88&gt;J60)*(I$3:I$88="P"))+SUMPRODUCT((P$3:P$88&lt;&gt;"")*(G$3:G$88=G60)*(I$3:I$88="P"))+1,IF(N60&lt;&gt;"",SUMPRODUCT((N$3:N$88&lt;&gt;"")*(G$3:G$88=G60)*(J$3:J$88&gt;J60)*(I$3:I$88="P"))+1,IF(M60="P",SUMPRODUCT((O$3:O$88&lt;&gt;"")*(P$3:P$88="")*(G$3:G$88=G60)*(I$3:I$88="P"))+SUMPRODUCT((P$3:P$88&lt;&gt;"")*(G$3:G$88=G60)*(I$3:I$88="P"))+SUMPRODUCT((N$3:N$88&lt;&gt;"")*(G$3:G$88=G60)*(I$3:I$88="P"))+SUMPRODUCT((P$3:P$88="")*(O$3:O$88="")*(N$3:N$88="")*(M$3:M$88="P")*(G$3:G$88=G60)*(J$3:J$88&gt;J60)*(I$3:I$88="P"))+IF(H60="L5",SUMPRODUCT((P$3:P$88="")*(O$3:O$88="")*(N$3:N$88="")*(M$3:M$88="P")*(G$3:G$88=G60)*(J$3:J$88&lt;J60)*(H$3:H$88&lt;&gt;H60)*(I$3:I$88="P")),-1*SUMPRODUCT((P$3:P$88="")*(O$3:O$88="")*(N$3:N$88="")*(M$3:M$88="P")*(G$3:G$88=G60)*(J$3:J$88&gt;J60)*(H$3:H$88="L5")*(I$3:I$88="P")))+1,"")))))</f>
        <v/>
      </c>
      <c r="B60" s="1" t="str" cm="1">
        <f t="array" ref="B60">IF(P60&lt;&gt;"",SUMPRODUCT((P$3:P$88&lt;&gt;"")*(G$3:G$88=G60)*(J$3:J$88&gt;J60))+1,IF(O60&lt;&gt;"",SUMPRODUCT((O$3:O$88&lt;&gt;"")*(P$3:P$88="")*(G$3:G$88=G60)*(J$3:J$88&gt;J60))+SUMPRODUCT((P$3:P$88&lt;&gt;"")*(G$3:G$88=G60))+1,IF(N60&lt;&gt;"",SUMPRODUCT((N$3:N$88&lt;&gt;"")*(G$3:G$88=G60)*(J$3:J$88&gt;J60))+1,IF(M60="P",SUMPRODUCT((O$3:O$88&lt;&gt;"")*(P$3:P$88="")*(G$3:G$88=G60))+SUMPRODUCT((P$3:P$88&lt;&gt;"")*(G$3:G$88=G60))+SUMPRODUCT((N$3:N$88&lt;&gt;"")*(G$3:G$88=G60))+SUMPRODUCT((P$3:P$88="")*(O$3:O$88="")*(N$3:N$88="")*(M$3:M$88="P")*(G$3:G$88=G60)*(J$3:J$88&gt;J60))+IF(H60="L5",SUMPRODUCT((P$3:P$88="")*(O$3:O$88="")*(N$3:N$88="")*(M$3:M$88="P")*(G$3:G$88=G60)*(J$3:J$88&lt;J60)*(H$3:H$88&lt;&gt;H60)),-1*SUMPRODUCT((P$3:P$88="")*(O$3:O$88="")*(N$3:N$88="")*(M$3:M$88="P")*(G$3:G$88=G60)*(J$3:J$88&gt;J60)*(H$3:H$88="L5")))+1,""))))</f>
        <v/>
      </c>
      <c r="C60" s="36" t="s">
        <v>66</v>
      </c>
      <c r="D60" s="36" t="str">
        <f>IF(E60="","",VLOOKUP(E60,'Coaching Points'!A:B,2,0))</f>
        <v>SK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Scores'!$B$1-F60&gt;10,"11-12,""Not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4.3699999999999997E-6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Scores'!G$13),AND(G60="15-16",U60&gt;='Qualifying Scores'!G$12),AND(G60="13-14",U60&gt;='Qualifying Scores'!G$11),AND(G60="11-12",U60&gt;='Qualifying Scores'!G$10)),T60,0),IF(OR(AND(G60="17-21",W60&gt;='Qualifying Scores'!G$13),AND(G60="15-16",W60&gt;='Qualifying Scores'!G$12),AND(G60="13-14",W60&gt;='Qualifying Scores'!G$11),AND(G60="11-12",W60&gt;='Qualifying Scores'!G$10)),V60,0),IF(OR(AND(G60="17-21",Y60&gt;='Qualifying Scores'!G$13),AND(G60="15-16",Y60&gt;='Qualifying Scores'!G$12),AND(G60="13-14",Y60&gt;='Qualifying Scores'!G$11),AND(G60="11-12",Y60&gt;='Qualifying Scores'!G$10)),X60,0),IF(OR(AND(G60="17-21",AA60&gt;='Qualifying Scores'!G$13),AND(G60="15-16",AA60&gt;='Qualifying Scores'!G$12),AND(G60="13-14",AA60&gt;='Qualifying Scores'!G$11),AND(G60="11-12",AA60&gt;='Qualifying Scores'!G$10)),Z60,0)))</f>
        <v>0</v>
      </c>
      <c r="S60" s="4">
        <f>MAX(T60,V60,X60,Z60)</f>
        <v>43.7</v>
      </c>
      <c r="T60" s="33">
        <v>42.3</v>
      </c>
      <c r="U60" s="40">
        <v>5.4</v>
      </c>
      <c r="V60" s="34">
        <v>42.400000000000006</v>
      </c>
      <c r="W60" s="40">
        <v>5.1999999999999993</v>
      </c>
      <c r="X60" s="33">
        <v>43.7</v>
      </c>
      <c r="Y60" s="40">
        <v>5.8000000000000007</v>
      </c>
      <c r="Z60" s="34">
        <v>43.2</v>
      </c>
      <c r="AA60" s="37">
        <v>6</v>
      </c>
    </row>
    <row r="61" spans="1:27" x14ac:dyDescent="0.2">
      <c r="A61" s="1" t="str" cm="1">
        <f t="array" ref="A61">IF(I61="","",IF(P61&lt;&gt;"",SUMPRODUCT((P$3:P$88&lt;&gt;"")*(G$3:G$88=G61)*(J$3:J$88&gt;J61)*(I$3:I$88="P"))+1,IF(O61&lt;&gt;"",SUMPRODUCT((O$3:O$88&lt;&gt;"")*(P$3:P$88="")*(G$3:G$88=G61)*(J$3:J$88&gt;J61)*(I$3:I$88="P"))+SUMPRODUCT((P$3:P$88&lt;&gt;"")*(G$3:G$88=G61)*(I$3:I$88="P"))+1,IF(N61&lt;&gt;"",SUMPRODUCT((N$3:N$88&lt;&gt;"")*(G$3:G$88=G61)*(J$3:J$88&gt;J61)*(I$3:I$88="P"))+1,IF(M61="P",SUMPRODUCT((O$3:O$88&lt;&gt;"")*(P$3:P$88="")*(G$3:G$88=G61)*(I$3:I$88="P"))+SUMPRODUCT((P$3:P$88&lt;&gt;"")*(G$3:G$88=G61)*(I$3:I$88="P"))+SUMPRODUCT((N$3:N$88&lt;&gt;"")*(G$3:G$88=G61)*(I$3:I$88="P"))+SUMPRODUCT((P$3:P$88="")*(O$3:O$88="")*(N$3:N$88="")*(M$3:M$88="P")*(G$3:G$88=G61)*(J$3:J$88&gt;J61)*(I$3:I$88="P"))+IF(H61="L5",SUMPRODUCT((P$3:P$88="")*(O$3:O$88="")*(N$3:N$88="")*(M$3:M$88="P")*(G$3:G$88=G61)*(J$3:J$88&lt;J61)*(H$3:H$88&lt;&gt;H61)*(I$3:I$88="P")),-1*SUMPRODUCT((P$3:P$88="")*(O$3:O$88="")*(N$3:N$88="")*(M$3:M$88="P")*(G$3:G$88=G61)*(J$3:J$88&gt;J61)*(H$3:H$88="L5")*(I$3:I$88="P")))+1,"")))))</f>
        <v/>
      </c>
      <c r="B61" s="1" t="str" cm="1">
        <f t="array" ref="B61">IF(P61&lt;&gt;"",SUMPRODUCT((P$3:P$88&lt;&gt;"")*(G$3:G$88=G61)*(J$3:J$88&gt;J61))+1,IF(O61&lt;&gt;"",SUMPRODUCT((O$3:O$88&lt;&gt;"")*(P$3:P$88="")*(G$3:G$88=G61)*(J$3:J$88&gt;J61))+SUMPRODUCT((P$3:P$88&lt;&gt;"")*(G$3:G$88=G61))+1,IF(N61&lt;&gt;"",SUMPRODUCT((N$3:N$88&lt;&gt;"")*(G$3:G$88=G61)*(J$3:J$88&gt;J61))+1,IF(M61="P",SUMPRODUCT((O$3:O$88&lt;&gt;"")*(P$3:P$88="")*(G$3:G$88=G61))+SUMPRODUCT((P$3:P$88&lt;&gt;"")*(G$3:G$88=G61))+SUMPRODUCT((N$3:N$88&lt;&gt;"")*(G$3:G$88=G61))+SUMPRODUCT((P$3:P$88="")*(O$3:O$88="")*(N$3:N$88="")*(M$3:M$88="P")*(G$3:G$88=G61)*(J$3:J$88&gt;J61))+IF(H61="L5",SUMPRODUCT((P$3:P$88="")*(O$3:O$88="")*(N$3:N$88="")*(M$3:M$88="P")*(G$3:G$88=G61)*(J$3:J$88&lt;J61)*(H$3:H$88&lt;&gt;H61)),-1*SUMPRODUCT((P$3:P$88="")*(O$3:O$88="")*(N$3:N$88="")*(M$3:M$88="P")*(G$3:G$88=G61)*(J$3:J$88&gt;J61)*(H$3:H$88="L5")))+1,""))))</f>
        <v/>
      </c>
      <c r="C61" s="36" t="s">
        <v>244</v>
      </c>
      <c r="D61" s="36" t="s">
        <v>355</v>
      </c>
      <c r="E61" s="36" t="s">
        <v>195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Scores'!$B$1-F61&gt;10,"11-12,""Not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4.3599999999999998E-6</v>
      </c>
      <c r="K61" s="3" t="str">
        <f>IF(G61="Not Age Eligible","",IF(MAX(T61,V61,X61,Z61)&gt;=LOOKUP(G61,'Qualifying Scores'!$A$4:$A$7,'Qualifying Scores'!$G$4:$G$7),"P",""))</f>
        <v/>
      </c>
      <c r="L61" s="3" t="str">
        <f>IF(G61="Not Age Eligible","",IF(MAX(U61,W61,Y61,AA61)&gt;=LOOKUP(G61,'Qualifying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Scores'!G$13),AND(G61="15-16",U61&gt;='Qualifying Scores'!G$12),AND(G61="13-14",U61&gt;='Qualifying Scores'!G$11),AND(G61="11-12",U61&gt;='Qualifying Scores'!G$10)),T61,0),IF(OR(AND(G61="17-21",W61&gt;='Qualifying Scores'!G$13),AND(G61="15-16",W61&gt;='Qualifying Scores'!G$12),AND(G61="13-14",W61&gt;='Qualifying Scores'!G$11),AND(G61="11-12",W61&gt;='Qualifying Scores'!G$10)),V61,0),IF(OR(AND(G61="17-21",Y61&gt;='Qualifying Scores'!G$13),AND(G61="15-16",Y61&gt;='Qualifying Scores'!G$12),AND(G61="13-14",Y61&gt;='Qualifying Scores'!G$11),AND(G61="11-12",Y61&gt;='Qualifying Scores'!G$10)),X61,0),IF(OR(AND(G61="17-21",AA61&gt;='Qualifying Scores'!G$13),AND(G61="15-16",AA61&gt;='Qualifying Scores'!G$12),AND(G61="13-14",AA61&gt;='Qualifying Scores'!G$11),AND(G61="11-12",AA61&gt;='Qualifying Scores'!G$10)),Z61,0)))</f>
        <v>0</v>
      </c>
      <c r="S61" s="4">
        <f>MAX(T61,V61,X61,Z61)</f>
        <v>43.6</v>
      </c>
      <c r="T61" s="33"/>
      <c r="U61" s="40"/>
      <c r="V61" s="34"/>
      <c r="W61" s="40"/>
      <c r="X61" s="33">
        <v>43.6</v>
      </c>
      <c r="Y61" s="40">
        <v>6.3000000000000007</v>
      </c>
      <c r="Z61" s="34">
        <v>38.4</v>
      </c>
      <c r="AA61" s="37">
        <v>2.2999999999999998</v>
      </c>
    </row>
    <row r="62" spans="1:27" x14ac:dyDescent="0.2">
      <c r="A62" s="1" t="str" cm="1">
        <f t="array" ref="A62">IF(I62="","",IF(P62&lt;&gt;"",SUMPRODUCT((P$3:P$88&lt;&gt;"")*(G$3:G$88=G62)*(J$3:J$88&gt;J62)*(I$3:I$88="P"))+1,IF(O62&lt;&gt;"",SUMPRODUCT((O$3:O$88&lt;&gt;"")*(P$3:P$88="")*(G$3:G$88=G62)*(J$3:J$88&gt;J62)*(I$3:I$88="P"))+SUMPRODUCT((P$3:P$88&lt;&gt;"")*(G$3:G$88=G62)*(I$3:I$88="P"))+1,IF(N62&lt;&gt;"",SUMPRODUCT((N$3:N$88&lt;&gt;"")*(G$3:G$88=G62)*(J$3:J$88&gt;J62)*(I$3:I$88="P"))+1,IF(M62="P",SUMPRODUCT((O$3:O$88&lt;&gt;"")*(P$3:P$88="")*(G$3:G$88=G62)*(I$3:I$88="P"))+SUMPRODUCT((P$3:P$88&lt;&gt;"")*(G$3:G$88=G62)*(I$3:I$88="P"))+SUMPRODUCT((N$3:N$88&lt;&gt;"")*(G$3:G$88=G62)*(I$3:I$88="P"))+SUMPRODUCT((P$3:P$88="")*(O$3:O$88="")*(N$3:N$88="")*(M$3:M$88="P")*(G$3:G$88=G62)*(J$3:J$88&gt;J62)*(I$3:I$88="P"))+IF(H62="L5",SUMPRODUCT((P$3:P$88="")*(O$3:O$88="")*(N$3:N$88="")*(M$3:M$88="P")*(G$3:G$88=G62)*(J$3:J$88&lt;J62)*(H$3:H$88&lt;&gt;H62)*(I$3:I$88="P")),-1*SUMPRODUCT((P$3:P$88="")*(O$3:O$88="")*(N$3:N$88="")*(M$3:M$88="P")*(G$3:G$88=G62)*(J$3:J$88&gt;J62)*(H$3:H$88="L5")*(I$3:I$88="P")))+1,"")))))</f>
        <v/>
      </c>
      <c r="B62" s="1" t="str" cm="1">
        <f t="array" ref="B62">IF(P62&lt;&gt;"",SUMPRODUCT((P$3:P$88&lt;&gt;"")*(G$3:G$88=G62)*(J$3:J$88&gt;J62))+1,IF(O62&lt;&gt;"",SUMPRODUCT((O$3:O$88&lt;&gt;"")*(P$3:P$88="")*(G$3:G$88=G62)*(J$3:J$88&gt;J62))+SUMPRODUCT((P$3:P$88&lt;&gt;"")*(G$3:G$88=G62))+1,IF(N62&lt;&gt;"",SUMPRODUCT((N$3:N$88&lt;&gt;"")*(G$3:G$88=G62)*(J$3:J$88&gt;J62))+1,IF(M62="P",SUMPRODUCT((O$3:O$88&lt;&gt;"")*(P$3:P$88="")*(G$3:G$88=G62))+SUMPRODUCT((P$3:P$88&lt;&gt;"")*(G$3:G$88=G62))+SUMPRODUCT((N$3:N$88&lt;&gt;"")*(G$3:G$88=G62))+SUMPRODUCT((P$3:P$88="")*(O$3:O$88="")*(N$3:N$88="")*(M$3:M$88="P")*(G$3:G$88=G62)*(J$3:J$88&gt;J62))+IF(H62="L5",SUMPRODUCT((P$3:P$88="")*(O$3:O$88="")*(N$3:N$88="")*(M$3:M$88="P")*(G$3:G$88=G62)*(J$3:J$88&lt;J62)*(H$3:H$88&lt;&gt;H62)),-1*SUMPRODUCT((P$3:P$88="")*(O$3:O$88="")*(N$3:N$88="")*(M$3:M$88="P")*(G$3:G$88=G62)*(J$3:J$88&gt;J62)*(H$3:H$88="L5")))+1,""))))</f>
        <v/>
      </c>
      <c r="C62" s="36" t="s">
        <v>71</v>
      </c>
      <c r="D62" s="36" t="str">
        <f>IF(E62="","",VLOOKUP(E62,'Coaching Points'!A:B,2,0))</f>
        <v>AB</v>
      </c>
      <c r="E62" s="36" t="s">
        <v>29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Scores'!$B$1-F62&gt;10,"11-12,""Not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4.34E-6</v>
      </c>
      <c r="K62" s="3" t="str">
        <f>IF(G62="Not Age Eligible","",IF(MAX(T62,V62,X62,Z62)&gt;=LOOKUP(G62,'Qualifying Scores'!$A$4:$A$7,'Qualifying Scores'!$G$4:$G$7),"P",""))</f>
        <v/>
      </c>
      <c r="L62" s="3" t="str">
        <f>IF(G62="Not Age Eligible","",IF(MAX(U62,W62,Y62,AA62)&gt;=LOOKUP(G62,'Qualifying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Scores'!G$13),AND(G62="15-16",U62&gt;='Qualifying Scores'!G$12),AND(G62="13-14",U62&gt;='Qualifying Scores'!G$11),AND(G62="11-12",U62&gt;='Qualifying Scores'!G$10)),T62,0),IF(OR(AND(G62="17-21",W62&gt;='Qualifying Scores'!G$13),AND(G62="15-16",W62&gt;='Qualifying Scores'!G$12),AND(G62="13-14",W62&gt;='Qualifying Scores'!G$11),AND(G62="11-12",W62&gt;='Qualifying Scores'!G$10)),V62,0),IF(OR(AND(G62="17-21",Y62&gt;='Qualifying Scores'!G$13),AND(G62="15-16",Y62&gt;='Qualifying Scores'!G$12),AND(G62="13-14",Y62&gt;='Qualifying Scores'!G$11),AND(G62="11-12",Y62&gt;='Qualifying Scores'!G$10)),X62,0),IF(OR(AND(G62="17-21",AA62&gt;='Qualifying Scores'!G$13),AND(G62="15-16",AA62&gt;='Qualifying Scores'!G$12),AND(G62="13-14",AA62&gt;='Qualifying Scores'!G$11),AND(G62="11-12",AA62&gt;='Qualifying Scores'!G$10)),Z62,0)))</f>
        <v>0</v>
      </c>
      <c r="S62" s="4">
        <f>MAX(T62,V62,X62,Z62)</f>
        <v>43.400000000000006</v>
      </c>
      <c r="T62" s="33">
        <v>40.700000000000003</v>
      </c>
      <c r="U62" s="40">
        <v>4</v>
      </c>
      <c r="V62" s="34">
        <v>38.799999999999997</v>
      </c>
      <c r="W62" s="40">
        <v>2.8</v>
      </c>
      <c r="X62" s="33">
        <v>43.400000000000006</v>
      </c>
      <c r="Y62" s="40">
        <v>6.6</v>
      </c>
      <c r="Z62" s="34">
        <v>42.2</v>
      </c>
      <c r="AA62" s="37">
        <v>4.8000000000000007</v>
      </c>
    </row>
    <row r="63" spans="1:27" x14ac:dyDescent="0.2">
      <c r="A63" s="1" t="str" cm="1">
        <f t="array" ref="A63">IF(I63="","",IF(P63&lt;&gt;"",SUMPRODUCT((P$3:P$88&lt;&gt;"")*(G$3:G$88=G63)*(J$3:J$88&gt;J63)*(I$3:I$88="P"))+1,IF(O63&lt;&gt;"",SUMPRODUCT((O$3:O$88&lt;&gt;"")*(P$3:P$88="")*(G$3:G$88=G63)*(J$3:J$88&gt;J63)*(I$3:I$88="P"))+SUMPRODUCT((P$3:P$88&lt;&gt;"")*(G$3:G$88=G63)*(I$3:I$88="P"))+1,IF(N63&lt;&gt;"",SUMPRODUCT((N$3:N$88&lt;&gt;"")*(G$3:G$88=G63)*(J$3:J$88&gt;J63)*(I$3:I$88="P"))+1,IF(M63="P",SUMPRODUCT((O$3:O$88&lt;&gt;"")*(P$3:P$88="")*(G$3:G$88=G63)*(I$3:I$88="P"))+SUMPRODUCT((P$3:P$88&lt;&gt;"")*(G$3:G$88=G63)*(I$3:I$88="P"))+SUMPRODUCT((N$3:N$88&lt;&gt;"")*(G$3:G$88=G63)*(I$3:I$88="P"))+SUMPRODUCT((P$3:P$88="")*(O$3:O$88="")*(N$3:N$88="")*(M$3:M$88="P")*(G$3:G$88=G63)*(J$3:J$88&gt;J63)*(I$3:I$88="P"))+IF(H63="L5",SUMPRODUCT((P$3:P$88="")*(O$3:O$88="")*(N$3:N$88="")*(M$3:M$88="P")*(G$3:G$88=G63)*(J$3:J$88&lt;J63)*(H$3:H$88&lt;&gt;H63)*(I$3:I$88="P")),-1*SUMPRODUCT((P$3:P$88="")*(O$3:O$88="")*(N$3:N$88="")*(M$3:M$88="P")*(G$3:G$88=G63)*(J$3:J$88&gt;J63)*(H$3:H$88="L5")*(I$3:I$88="P")))+1,"")))))</f>
        <v/>
      </c>
      <c r="B63" s="1" t="str" cm="1">
        <f t="array" ref="B63">IF(P63&lt;&gt;"",SUMPRODUCT((P$3:P$88&lt;&gt;"")*(G$3:G$88=G63)*(J$3:J$88&gt;J63))+1,IF(O63&lt;&gt;"",SUMPRODUCT((O$3:O$88&lt;&gt;"")*(P$3:P$88="")*(G$3:G$88=G63)*(J$3:J$88&gt;J63))+SUMPRODUCT((P$3:P$88&lt;&gt;"")*(G$3:G$88=G63))+1,IF(N63&lt;&gt;"",SUMPRODUCT((N$3:N$88&lt;&gt;"")*(G$3:G$88=G63)*(J$3:J$88&gt;J63))+1,IF(M63="P",SUMPRODUCT((O$3:O$88&lt;&gt;"")*(P$3:P$88="")*(G$3:G$88=G63))+SUMPRODUCT((P$3:P$88&lt;&gt;"")*(G$3:G$88=G63))+SUMPRODUCT((N$3:N$88&lt;&gt;"")*(G$3:G$88=G63))+SUMPRODUCT((P$3:P$88="")*(O$3:O$88="")*(N$3:N$88="")*(M$3:M$88="P")*(G$3:G$88=G63)*(J$3:J$88&gt;J63))+IF(H63="L5",SUMPRODUCT((P$3:P$88="")*(O$3:O$88="")*(N$3:N$88="")*(M$3:M$88="P")*(G$3:G$88=G63)*(J$3:J$88&lt;J63)*(H$3:H$88&lt;&gt;H63)),-1*SUMPRODUCT((P$3:P$88="")*(O$3:O$88="")*(N$3:N$88="")*(M$3:M$88="P")*(G$3:G$88=G63)*(J$3:J$88&gt;J63)*(H$3:H$88="L5")))+1,""))))</f>
        <v/>
      </c>
      <c r="C63" s="36" t="s">
        <v>73</v>
      </c>
      <c r="D63" s="36" t="str">
        <f>IF(E63="","",VLOOKUP(E63,'Coaching Points'!A:B,2,0))</f>
        <v>BC</v>
      </c>
      <c r="E63" s="36" t="s">
        <v>59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Scores'!$B$1-F63&gt;10,"11-12,""Not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4.3200000000000001E-6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Scores'!G$13),AND(G63="15-16",U63&gt;='Qualifying Scores'!G$12),AND(G63="13-14",U63&gt;='Qualifying Scores'!G$11),AND(G63="11-12",U63&gt;='Qualifying Scores'!G$10)),T63,0),IF(OR(AND(G63="17-21",W63&gt;='Qualifying Scores'!G$13),AND(G63="15-16",W63&gt;='Qualifying Scores'!G$12),AND(G63="13-14",W63&gt;='Qualifying Scores'!G$11),AND(G63="11-12",W63&gt;='Qualifying Scores'!G$10)),V63,0),IF(OR(AND(G63="17-21",Y63&gt;='Qualifying Scores'!G$13),AND(G63="15-16",Y63&gt;='Qualifying Scores'!G$12),AND(G63="13-14",Y63&gt;='Qualifying Scores'!G$11),AND(G63="11-12",Y63&gt;='Qualifying Scores'!G$10)),X63,0),IF(OR(AND(G63="17-21",AA63&gt;='Qualifying Scores'!G$13),AND(G63="15-16",AA63&gt;='Qualifying Scores'!G$12),AND(G63="13-14",AA63&gt;='Qualifying Scores'!G$11),AND(G63="11-12",AA63&gt;='Qualifying Scores'!G$10)),Z63,0)))</f>
        <v>0</v>
      </c>
      <c r="S63" s="4">
        <f>MAX(T63,V63,X63,Z63)</f>
        <v>43.2</v>
      </c>
      <c r="T63" s="33">
        <v>20.900000000000002</v>
      </c>
      <c r="U63" s="40">
        <v>3.2</v>
      </c>
      <c r="V63" s="34">
        <v>0</v>
      </c>
      <c r="W63" s="40">
        <v>0</v>
      </c>
      <c r="X63" s="33">
        <v>43.2</v>
      </c>
      <c r="Y63" s="40">
        <v>6.3000000000000007</v>
      </c>
      <c r="Z63" s="34">
        <v>42</v>
      </c>
      <c r="AA63" s="37">
        <v>5.2</v>
      </c>
    </row>
    <row r="64" spans="1:27" x14ac:dyDescent="0.2">
      <c r="A64" s="1" t="str" cm="1">
        <f t="array" ref="A64">IF(I64="","",IF(P64&lt;&gt;"",SUMPRODUCT((P$3:P$88&lt;&gt;"")*(G$3:G$88=G64)*(J$3:J$88&gt;J64)*(I$3:I$88="P"))+1,IF(O64&lt;&gt;"",SUMPRODUCT((O$3:O$88&lt;&gt;"")*(P$3:P$88="")*(G$3:G$88=G64)*(J$3:J$88&gt;J64)*(I$3:I$88="P"))+SUMPRODUCT((P$3:P$88&lt;&gt;"")*(G$3:G$88=G64)*(I$3:I$88="P"))+1,IF(N64&lt;&gt;"",SUMPRODUCT((N$3:N$88&lt;&gt;"")*(G$3:G$88=G64)*(J$3:J$88&gt;J64)*(I$3:I$88="P"))+1,IF(M64="P",SUMPRODUCT((O$3:O$88&lt;&gt;"")*(P$3:P$88="")*(G$3:G$88=G64)*(I$3:I$88="P"))+SUMPRODUCT((P$3:P$88&lt;&gt;"")*(G$3:G$88=G64)*(I$3:I$88="P"))+SUMPRODUCT((N$3:N$88&lt;&gt;"")*(G$3:G$88=G64)*(I$3:I$88="P"))+SUMPRODUCT((P$3:P$88="")*(O$3:O$88="")*(N$3:N$88="")*(M$3:M$88="P")*(G$3:G$88=G64)*(J$3:J$88&gt;J64)*(I$3:I$88="P"))+IF(H64="L5",SUMPRODUCT((P$3:P$88="")*(O$3:O$88="")*(N$3:N$88="")*(M$3:M$88="P")*(G$3:G$88=G64)*(J$3:J$88&lt;J64)*(H$3:H$88&lt;&gt;H64)*(I$3:I$88="P")),-1*SUMPRODUCT((P$3:P$88="")*(O$3:O$88="")*(N$3:N$88="")*(M$3:M$88="P")*(G$3:G$88=G64)*(J$3:J$88&gt;J64)*(H$3:H$88="L5")*(I$3:I$88="P")))+1,"")))))</f>
        <v/>
      </c>
      <c r="B64" s="1" t="str" cm="1">
        <f t="array" ref="B64">IF(P64&lt;&gt;"",SUMPRODUCT((P$3:P$88&lt;&gt;"")*(G$3:G$88=G64)*(J$3:J$88&gt;J64))+1,IF(O64&lt;&gt;"",SUMPRODUCT((O$3:O$88&lt;&gt;"")*(P$3:P$88="")*(G$3:G$88=G64)*(J$3:J$88&gt;J64))+SUMPRODUCT((P$3:P$88&lt;&gt;"")*(G$3:G$88=G64))+1,IF(N64&lt;&gt;"",SUMPRODUCT((N$3:N$88&lt;&gt;"")*(G$3:G$88=G64)*(J$3:J$88&gt;J64))+1,IF(M64="P",SUMPRODUCT((O$3:O$88&lt;&gt;"")*(P$3:P$88="")*(G$3:G$88=G64))+SUMPRODUCT((P$3:P$88&lt;&gt;"")*(G$3:G$88=G64))+SUMPRODUCT((N$3:N$88&lt;&gt;"")*(G$3:G$88=G64))+SUMPRODUCT((P$3:P$88="")*(O$3:O$88="")*(N$3:N$88="")*(M$3:M$88="P")*(G$3:G$88=G64)*(J$3:J$88&gt;J64))+IF(H64="L5",SUMPRODUCT((P$3:P$88="")*(O$3:O$88="")*(N$3:N$88="")*(M$3:M$88="P")*(G$3:G$88=G64)*(J$3:J$88&lt;J64)*(H$3:H$88&lt;&gt;H64)),-1*SUMPRODUCT((P$3:P$88="")*(O$3:O$88="")*(N$3:N$88="")*(M$3:M$88="P")*(G$3:G$88=G64)*(J$3:J$88&gt;J64)*(H$3:H$88="L5")))+1,""))))</f>
        <v/>
      </c>
      <c r="C64" s="36" t="s">
        <v>421</v>
      </c>
      <c r="D64" s="36" t="str">
        <f>IF(E64="","",VLOOKUP(E64,'Coaching Points'!A:B,2,0))</f>
        <v>BC</v>
      </c>
      <c r="E64" s="36" t="s">
        <v>37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Scores'!$B$1-F64&gt;10,"11-12,""Not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4.3099999999999994E-6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Scores'!G$13),AND(G64="15-16",U64&gt;='Qualifying Scores'!G$12),AND(G64="13-14",U64&gt;='Qualifying Scores'!G$11),AND(G64="11-12",U64&gt;='Qualifying Scores'!G$10)),T64,0),IF(OR(AND(G64="17-21",W64&gt;='Qualifying Scores'!G$13),AND(G64="15-16",W64&gt;='Qualifying Scores'!G$12),AND(G64="13-14",W64&gt;='Qualifying Scores'!G$11),AND(G64="11-12",W64&gt;='Qualifying Scores'!G$10)),V64,0),IF(OR(AND(G64="17-21",Y64&gt;='Qualifying Scores'!G$13),AND(G64="15-16",Y64&gt;='Qualifying Scores'!G$12),AND(G64="13-14",Y64&gt;='Qualifying Scores'!G$11),AND(G64="11-12",Y64&gt;='Qualifying Scores'!G$10)),X64,0),IF(OR(AND(G64="17-21",AA64&gt;='Qualifying Scores'!G$13),AND(G64="15-16",AA64&gt;='Qualifying Scores'!G$12),AND(G64="13-14",AA64&gt;='Qualifying Scores'!G$11),AND(G64="11-12",AA64&gt;='Qualifying Scores'!G$10)),Z64,0)))</f>
        <v>0</v>
      </c>
      <c r="S64" s="4">
        <f>MAX(T64,V64,X64,Z64)</f>
        <v>43.099999999999994</v>
      </c>
      <c r="T64" s="33"/>
      <c r="U64" s="40"/>
      <c r="V64" s="34"/>
      <c r="W64" s="40"/>
      <c r="X64" s="33">
        <v>43.099999999999994</v>
      </c>
      <c r="Y64" s="40">
        <v>6.3000000000000007</v>
      </c>
      <c r="Z64" s="34">
        <v>38.700000000000003</v>
      </c>
      <c r="AA64" s="37">
        <v>2.8</v>
      </c>
    </row>
    <row r="65" spans="1:27" x14ac:dyDescent="0.2">
      <c r="A65" s="1" t="str" cm="1">
        <f t="array" ref="A65">IF(I65="","",IF(P65&lt;&gt;"",SUMPRODUCT((P$3:P$88&lt;&gt;"")*(G$3:G$88=G65)*(J$3:J$88&gt;J65)*(I$3:I$88="P"))+1,IF(O65&lt;&gt;"",SUMPRODUCT((O$3:O$88&lt;&gt;"")*(P$3:P$88="")*(G$3:G$88=G65)*(J$3:J$88&gt;J65)*(I$3:I$88="P"))+SUMPRODUCT((P$3:P$88&lt;&gt;"")*(G$3:G$88=G65)*(I$3:I$88="P"))+1,IF(N65&lt;&gt;"",SUMPRODUCT((N$3:N$88&lt;&gt;"")*(G$3:G$88=G65)*(J$3:J$88&gt;J65)*(I$3:I$88="P"))+1,IF(M65="P",SUMPRODUCT((O$3:O$88&lt;&gt;"")*(P$3:P$88="")*(G$3:G$88=G65)*(I$3:I$88="P"))+SUMPRODUCT((P$3:P$88&lt;&gt;"")*(G$3:G$88=G65)*(I$3:I$88="P"))+SUMPRODUCT((N$3:N$88&lt;&gt;"")*(G$3:G$88=G65)*(I$3:I$88="P"))+SUMPRODUCT((P$3:P$88="")*(O$3:O$88="")*(N$3:N$88="")*(M$3:M$88="P")*(G$3:G$88=G65)*(J$3:J$88&gt;J65)*(I$3:I$88="P"))+IF(H65="L5",SUMPRODUCT((P$3:P$88="")*(O$3:O$88="")*(N$3:N$88="")*(M$3:M$88="P")*(G$3:G$88=G65)*(J$3:J$88&lt;J65)*(H$3:H$88&lt;&gt;H65)*(I$3:I$88="P")),-1*SUMPRODUCT((P$3:P$88="")*(O$3:O$88="")*(N$3:N$88="")*(M$3:M$88="P")*(G$3:G$88=G65)*(J$3:J$88&gt;J65)*(H$3:H$88="L5")*(I$3:I$88="P")))+1,"")))))</f>
        <v/>
      </c>
      <c r="B65" s="1" t="str" cm="1">
        <f t="array" ref="B65">IF(P65&lt;&gt;"",SUMPRODUCT((P$3:P$88&lt;&gt;"")*(G$3:G$88=G65)*(J$3:J$88&gt;J65))+1,IF(O65&lt;&gt;"",SUMPRODUCT((O$3:O$88&lt;&gt;"")*(P$3:P$88="")*(G$3:G$88=G65)*(J$3:J$88&gt;J65))+SUMPRODUCT((P$3:P$88&lt;&gt;"")*(G$3:G$88=G65))+1,IF(N65&lt;&gt;"",SUMPRODUCT((N$3:N$88&lt;&gt;"")*(G$3:G$88=G65)*(J$3:J$88&gt;J65))+1,IF(M65="P",SUMPRODUCT((O$3:O$88&lt;&gt;"")*(P$3:P$88="")*(G$3:G$88=G65))+SUMPRODUCT((P$3:P$88&lt;&gt;"")*(G$3:G$88=G65))+SUMPRODUCT((N$3:N$88&lt;&gt;"")*(G$3:G$88=G65))+SUMPRODUCT((P$3:P$88="")*(O$3:O$88="")*(N$3:N$88="")*(M$3:M$88="P")*(G$3:G$88=G65)*(J$3:J$88&gt;J65))+IF(H65="L5",SUMPRODUCT((P$3:P$88="")*(O$3:O$88="")*(N$3:N$88="")*(M$3:M$88="P")*(G$3:G$88=G65)*(J$3:J$88&lt;J65)*(H$3:H$88&lt;&gt;H65)),-1*SUMPRODUCT((P$3:P$88="")*(O$3:O$88="")*(N$3:N$88="")*(M$3:M$88="P")*(G$3:G$88=G65)*(J$3:J$88&gt;J65)*(H$3:H$88="L5")))+1,""))))</f>
        <v/>
      </c>
      <c r="C65" s="36" t="s">
        <v>519</v>
      </c>
      <c r="D65" s="36" t="str">
        <f>IF(E65="","",VLOOKUP(E65,'Coaching Points'!A:B,2,0))</f>
        <v>AB</v>
      </c>
      <c r="E65" s="36" t="s">
        <v>591</v>
      </c>
      <c r="F65" s="35">
        <v>2006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Scores'!$B$1-F65&gt;10,"11-12,""Not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4.2799999999999997E-6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Scores'!G$13),AND(G65="15-16",U65&gt;='Qualifying Scores'!G$12),AND(G65="13-14",U65&gt;='Qualifying Scores'!G$11),AND(G65="11-12",U65&gt;='Qualifying Scores'!G$10)),T65,0),IF(OR(AND(G65="17-21",W65&gt;='Qualifying Scores'!G$13),AND(G65="15-16",W65&gt;='Qualifying Scores'!G$12),AND(G65="13-14",W65&gt;='Qualifying Scores'!G$11),AND(G65="11-12",W65&gt;='Qualifying Scores'!G$10)),V65,0),IF(OR(AND(G65="17-21",Y65&gt;='Qualifying Scores'!G$13),AND(G65="15-16",Y65&gt;='Qualifying Scores'!G$12),AND(G65="13-14",Y65&gt;='Qualifying Scores'!G$11),AND(G65="11-12",Y65&gt;='Qualifying Scores'!G$10)),X65,0),IF(OR(AND(G65="17-21",AA65&gt;='Qualifying Scores'!G$13),AND(G65="15-16",AA65&gt;='Qualifying Scores'!G$12),AND(G65="13-14",AA65&gt;='Qualifying Scores'!G$11),AND(G65="11-12",AA65&gt;='Qualifying Scores'!G$10)),Z65,0)))</f>
        <v>0</v>
      </c>
      <c r="S65" s="4">
        <f>MAX(T65,V65,X65,Z65)</f>
        <v>42.8</v>
      </c>
      <c r="T65" s="33"/>
      <c r="U65" s="40"/>
      <c r="V65" s="34"/>
      <c r="W65" s="40"/>
      <c r="X65" s="33">
        <v>42.8</v>
      </c>
      <c r="Y65" s="40">
        <v>6.2</v>
      </c>
      <c r="Z65" s="34">
        <v>36.799999999999997</v>
      </c>
      <c r="AA65" s="37">
        <v>3.6</v>
      </c>
    </row>
    <row r="66" spans="1:27" x14ac:dyDescent="0.2">
      <c r="A66" s="1" t="str" cm="1">
        <f t="array" ref="A66">IF(I66="","",IF(P66&lt;&gt;"",SUMPRODUCT((P$3:P$88&lt;&gt;"")*(G$3:G$88=G66)*(J$3:J$88&gt;J66)*(I$3:I$88="P"))+1,IF(O66&lt;&gt;"",SUMPRODUCT((O$3:O$88&lt;&gt;"")*(P$3:P$88="")*(G$3:G$88=G66)*(J$3:J$88&gt;J66)*(I$3:I$88="P"))+SUMPRODUCT((P$3:P$88&lt;&gt;"")*(G$3:G$88=G66)*(I$3:I$88="P"))+1,IF(N66&lt;&gt;"",SUMPRODUCT((N$3:N$88&lt;&gt;"")*(G$3:G$88=G66)*(J$3:J$88&gt;J66)*(I$3:I$88="P"))+1,IF(M66="P",SUMPRODUCT((O$3:O$88&lt;&gt;"")*(P$3:P$88="")*(G$3:G$88=G66)*(I$3:I$88="P"))+SUMPRODUCT((P$3:P$88&lt;&gt;"")*(G$3:G$88=G66)*(I$3:I$88="P"))+SUMPRODUCT((N$3:N$88&lt;&gt;"")*(G$3:G$88=G66)*(I$3:I$88="P"))+SUMPRODUCT((P$3:P$88="")*(O$3:O$88="")*(N$3:N$88="")*(M$3:M$88="P")*(G$3:G$88=G66)*(J$3:J$88&gt;J66)*(I$3:I$88="P"))+IF(H66="L5",SUMPRODUCT((P$3:P$88="")*(O$3:O$88="")*(N$3:N$88="")*(M$3:M$88="P")*(G$3:G$88=G66)*(J$3:J$88&lt;J66)*(H$3:H$88&lt;&gt;H66)*(I$3:I$88="P")),-1*SUMPRODUCT((P$3:P$88="")*(O$3:O$88="")*(N$3:N$88="")*(M$3:M$88="P")*(G$3:G$88=G66)*(J$3:J$88&gt;J66)*(H$3:H$88="L5")*(I$3:I$88="P")))+1,"")))))</f>
        <v/>
      </c>
      <c r="B66" s="1" t="str" cm="1">
        <f t="array" ref="B66">IF(P66&lt;&gt;"",SUMPRODUCT((P$3:P$88&lt;&gt;"")*(G$3:G$88=G66)*(J$3:J$88&gt;J66))+1,IF(O66&lt;&gt;"",SUMPRODUCT((O$3:O$88&lt;&gt;"")*(P$3:P$88="")*(G$3:G$88=G66)*(J$3:J$88&gt;J66))+SUMPRODUCT((P$3:P$88&lt;&gt;"")*(G$3:G$88=G66))+1,IF(N66&lt;&gt;"",SUMPRODUCT((N$3:N$88&lt;&gt;"")*(G$3:G$88=G66)*(J$3:J$88&gt;J66))+1,IF(M66="P",SUMPRODUCT((O$3:O$88&lt;&gt;"")*(P$3:P$88="")*(G$3:G$88=G66))+SUMPRODUCT((P$3:P$88&lt;&gt;"")*(G$3:G$88=G66))+SUMPRODUCT((N$3:N$88&lt;&gt;"")*(G$3:G$88=G66))+SUMPRODUCT((P$3:P$88="")*(O$3:O$88="")*(N$3:N$88="")*(M$3:M$88="P")*(G$3:G$88=G66)*(J$3:J$88&gt;J66))+IF(H66="L5",SUMPRODUCT((P$3:P$88="")*(O$3:O$88="")*(N$3:N$88="")*(M$3:M$88="P")*(G$3:G$88=G66)*(J$3:J$88&lt;J66)*(H$3:H$88&lt;&gt;H66)),-1*SUMPRODUCT((P$3:P$88="")*(O$3:O$88="")*(N$3:N$88="")*(M$3:M$88="P")*(G$3:G$88=G66)*(J$3:J$88&gt;J66)*(H$3:H$88="L5")))+1,""))))</f>
        <v/>
      </c>
      <c r="C66" s="36" t="s">
        <v>245</v>
      </c>
      <c r="D66" s="36" t="str">
        <f>IF(E66="","",VLOOKUP(E66,'Coaching Points'!A:B,2,0))</f>
        <v>BC</v>
      </c>
      <c r="E66" s="36" t="s">
        <v>37</v>
      </c>
      <c r="F66" s="35">
        <v>2006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Scores'!$B$1-F66&gt;10,"11-12,""Not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4.2699999999999998E-6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Scores'!G$13),AND(G66="15-16",U66&gt;='Qualifying Scores'!G$12),AND(G66="13-14",U66&gt;='Qualifying Scores'!G$11),AND(G66="11-12",U66&gt;='Qualifying Scores'!G$10)),T66,0),IF(OR(AND(G66="17-21",W66&gt;='Qualifying Scores'!G$13),AND(G66="15-16",W66&gt;='Qualifying Scores'!G$12),AND(G66="13-14",W66&gt;='Qualifying Scores'!G$11),AND(G66="11-12",W66&gt;='Qualifying Scores'!G$10)),V66,0),IF(OR(AND(G66="17-21",Y66&gt;='Qualifying Scores'!G$13),AND(G66="15-16",Y66&gt;='Qualifying Scores'!G$12),AND(G66="13-14",Y66&gt;='Qualifying Scores'!G$11),AND(G66="11-12",Y66&gt;='Qualifying Scores'!G$10)),X66,0),IF(OR(AND(G66="17-21",AA66&gt;='Qualifying Scores'!G$13),AND(G66="15-16",AA66&gt;='Qualifying Scores'!G$12),AND(G66="13-14",AA66&gt;='Qualifying Scores'!G$11),AND(G66="11-12",AA66&gt;='Qualifying Scores'!G$10)),Z66,0)))</f>
        <v>0</v>
      </c>
      <c r="S66" s="4">
        <f>MAX(T66,V66,X66,Z66)</f>
        <v>42.7</v>
      </c>
      <c r="T66" s="33"/>
      <c r="U66" s="40"/>
      <c r="V66" s="34"/>
      <c r="W66" s="40"/>
      <c r="X66" s="33">
        <v>42.7</v>
      </c>
      <c r="Y66" s="40">
        <v>5.8000000000000007</v>
      </c>
      <c r="Z66" s="34">
        <v>42.400000000000006</v>
      </c>
      <c r="AA66" s="37">
        <v>5</v>
      </c>
    </row>
    <row r="67" spans="1:27" x14ac:dyDescent="0.2">
      <c r="A67" s="1" t="str" cm="1">
        <f t="array" ref="A67">IF(I67="","",IF(P67&lt;&gt;"",SUMPRODUCT((P$3:P$88&lt;&gt;"")*(G$3:G$88=G67)*(J$3:J$88&gt;J67)*(I$3:I$88="P"))+1,IF(O67&lt;&gt;"",SUMPRODUCT((O$3:O$88&lt;&gt;"")*(P$3:P$88="")*(G$3:G$88=G67)*(J$3:J$88&gt;J67)*(I$3:I$88="P"))+SUMPRODUCT((P$3:P$88&lt;&gt;"")*(G$3:G$88=G67)*(I$3:I$88="P"))+1,IF(N67&lt;&gt;"",SUMPRODUCT((N$3:N$88&lt;&gt;"")*(G$3:G$88=G67)*(J$3:J$88&gt;J67)*(I$3:I$88="P"))+1,IF(M67="P",SUMPRODUCT((O$3:O$88&lt;&gt;"")*(P$3:P$88="")*(G$3:G$88=G67)*(I$3:I$88="P"))+SUMPRODUCT((P$3:P$88&lt;&gt;"")*(G$3:G$88=G67)*(I$3:I$88="P"))+SUMPRODUCT((N$3:N$88&lt;&gt;"")*(G$3:G$88=G67)*(I$3:I$88="P"))+SUMPRODUCT((P$3:P$88="")*(O$3:O$88="")*(N$3:N$88="")*(M$3:M$88="P")*(G$3:G$88=G67)*(J$3:J$88&gt;J67)*(I$3:I$88="P"))+IF(H67="L5",SUMPRODUCT((P$3:P$88="")*(O$3:O$88="")*(N$3:N$88="")*(M$3:M$88="P")*(G$3:G$88=G67)*(J$3:J$88&lt;J67)*(H$3:H$88&lt;&gt;H67)*(I$3:I$88="P")),-1*SUMPRODUCT((P$3:P$88="")*(O$3:O$88="")*(N$3:N$88="")*(M$3:M$88="P")*(G$3:G$88=G67)*(J$3:J$88&gt;J67)*(H$3:H$88="L5")*(I$3:I$88="P")))+1,"")))))</f>
        <v/>
      </c>
      <c r="B67" s="1" t="str" cm="1">
        <f t="array" ref="B67">IF(P67&lt;&gt;"",SUMPRODUCT((P$3:P$88&lt;&gt;"")*(G$3:G$88=G67)*(J$3:J$88&gt;J67))+1,IF(O67&lt;&gt;"",SUMPRODUCT((O$3:O$88&lt;&gt;"")*(P$3:P$88="")*(G$3:G$88=G67)*(J$3:J$88&gt;J67))+SUMPRODUCT((P$3:P$88&lt;&gt;"")*(G$3:G$88=G67))+1,IF(N67&lt;&gt;"",SUMPRODUCT((N$3:N$88&lt;&gt;"")*(G$3:G$88=G67)*(J$3:J$88&gt;J67))+1,IF(M67="P",SUMPRODUCT((O$3:O$88&lt;&gt;"")*(P$3:P$88="")*(G$3:G$88=G67))+SUMPRODUCT((P$3:P$88&lt;&gt;"")*(G$3:G$88=G67))+SUMPRODUCT((N$3:N$88&lt;&gt;"")*(G$3:G$88=G67))+SUMPRODUCT((P$3:P$88="")*(O$3:O$88="")*(N$3:N$88="")*(M$3:M$88="P")*(G$3:G$88=G67)*(J$3:J$88&gt;J67))+IF(H67="L5",SUMPRODUCT((P$3:P$88="")*(O$3:O$88="")*(N$3:N$88="")*(M$3:M$88="P")*(G$3:G$88=G67)*(J$3:J$88&lt;J67)*(H$3:H$88&lt;&gt;H67)),-1*SUMPRODUCT((P$3:P$88="")*(O$3:O$88="")*(N$3:N$88="")*(M$3:M$88="P")*(G$3:G$88=G67)*(J$3:J$88&gt;J67)*(H$3:H$88="L5")))+1,""))))</f>
        <v/>
      </c>
      <c r="C67" s="36" t="s">
        <v>67</v>
      </c>
      <c r="D67" s="36" t="str">
        <f>IF(E67="","",VLOOKUP(E67,'Coaching Points'!A:B,2,0))</f>
        <v>BC</v>
      </c>
      <c r="E67" s="36" t="s">
        <v>47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Scores'!$B$1-F67&gt;10,"11-12,""Not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4.25E-6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Scores'!G$13),AND(G67="15-16",U67&gt;='Qualifying Scores'!G$12),AND(G67="13-14",U67&gt;='Qualifying Scores'!G$11),AND(G67="11-12",U67&gt;='Qualifying Scores'!G$10)),T67,0),IF(OR(AND(G67="17-21",W67&gt;='Qualifying Scores'!G$13),AND(G67="15-16",W67&gt;='Qualifying Scores'!G$12),AND(G67="13-14",W67&gt;='Qualifying Scores'!G$11),AND(G67="11-12",W67&gt;='Qualifying Scores'!G$10)),V67,0),IF(OR(AND(G67="17-21",Y67&gt;='Qualifying Scores'!G$13),AND(G67="15-16",Y67&gt;='Qualifying Scores'!G$12),AND(G67="13-14",Y67&gt;='Qualifying Scores'!G$11),AND(G67="11-12",Y67&gt;='Qualifying Scores'!G$10)),X67,0),IF(OR(AND(G67="17-21",AA67&gt;='Qualifying Scores'!G$13),AND(G67="15-16",AA67&gt;='Qualifying Scores'!G$12),AND(G67="13-14",AA67&gt;='Qualifying Scores'!G$11),AND(G67="11-12",AA67&gt;='Qualifying Scores'!G$10)),Z67,0)))</f>
        <v>0</v>
      </c>
      <c r="S67" s="4">
        <f>MAX(T67,V67,X67,Z67)</f>
        <v>43.7</v>
      </c>
      <c r="T67" s="33">
        <v>43.7</v>
      </c>
      <c r="U67" s="40">
        <v>6.2</v>
      </c>
      <c r="V67" s="34">
        <v>42.199999999999996</v>
      </c>
      <c r="W67" s="40">
        <v>6.6</v>
      </c>
      <c r="X67" s="33">
        <v>42.5</v>
      </c>
      <c r="Y67" s="40">
        <v>6.2</v>
      </c>
      <c r="Z67" s="34">
        <v>41.9</v>
      </c>
      <c r="AA67" s="37">
        <v>5.0999999999999996</v>
      </c>
    </row>
    <row r="68" spans="1:27" x14ac:dyDescent="0.2">
      <c r="A68" s="1" t="str" cm="1">
        <f t="array" ref="A68">IF(I68="","",IF(P68&lt;&gt;"",SUMPRODUCT((P$3:P$88&lt;&gt;"")*(G$3:G$88=G68)*(J$3:J$88&gt;J68)*(I$3:I$88="P"))+1,IF(O68&lt;&gt;"",SUMPRODUCT((O$3:O$88&lt;&gt;"")*(P$3:P$88="")*(G$3:G$88=G68)*(J$3:J$88&gt;J68)*(I$3:I$88="P"))+SUMPRODUCT((P$3:P$88&lt;&gt;"")*(G$3:G$88=G68)*(I$3:I$88="P"))+1,IF(N68&lt;&gt;"",SUMPRODUCT((N$3:N$88&lt;&gt;"")*(G$3:G$88=G68)*(J$3:J$88&gt;J68)*(I$3:I$88="P"))+1,IF(M68="P",SUMPRODUCT((O$3:O$88&lt;&gt;"")*(P$3:P$88="")*(G$3:G$88=G68)*(I$3:I$88="P"))+SUMPRODUCT((P$3:P$88&lt;&gt;"")*(G$3:G$88=G68)*(I$3:I$88="P"))+SUMPRODUCT((N$3:N$88&lt;&gt;"")*(G$3:G$88=G68)*(I$3:I$88="P"))+SUMPRODUCT((P$3:P$88="")*(O$3:O$88="")*(N$3:N$88="")*(M$3:M$88="P")*(G$3:G$88=G68)*(J$3:J$88&gt;J68)*(I$3:I$88="P"))+IF(H68="L5",SUMPRODUCT((P$3:P$88="")*(O$3:O$88="")*(N$3:N$88="")*(M$3:M$88="P")*(G$3:G$88=G68)*(J$3:J$88&lt;J68)*(H$3:H$88&lt;&gt;H68)*(I$3:I$88="P")),-1*SUMPRODUCT((P$3:P$88="")*(O$3:O$88="")*(N$3:N$88="")*(M$3:M$88="P")*(G$3:G$88=G68)*(J$3:J$88&gt;J68)*(H$3:H$88="L5")*(I$3:I$88="P")))+1,"")))))</f>
        <v/>
      </c>
      <c r="B68" s="1" t="str" cm="1">
        <f t="array" ref="B68">IF(P68&lt;&gt;"",SUMPRODUCT((P$3:P$88&lt;&gt;"")*(G$3:G$88=G68)*(J$3:J$88&gt;J68))+1,IF(O68&lt;&gt;"",SUMPRODUCT((O$3:O$88&lt;&gt;"")*(P$3:P$88="")*(G$3:G$88=G68)*(J$3:J$88&gt;J68))+SUMPRODUCT((P$3:P$88&lt;&gt;"")*(G$3:G$88=G68))+1,IF(N68&lt;&gt;"",SUMPRODUCT((N$3:N$88&lt;&gt;"")*(G$3:G$88=G68)*(J$3:J$88&gt;J68))+1,IF(M68="P",SUMPRODUCT((O$3:O$88&lt;&gt;"")*(P$3:P$88="")*(G$3:G$88=G68))+SUMPRODUCT((P$3:P$88&lt;&gt;"")*(G$3:G$88=G68))+SUMPRODUCT((N$3:N$88&lt;&gt;"")*(G$3:G$88=G68))+SUMPRODUCT((P$3:P$88="")*(O$3:O$88="")*(N$3:N$88="")*(M$3:M$88="P")*(G$3:G$88=G68)*(J$3:J$88&gt;J68))+IF(H68="L5",SUMPRODUCT((P$3:P$88="")*(O$3:O$88="")*(N$3:N$88="")*(M$3:M$88="P")*(G$3:G$88=G68)*(J$3:J$88&lt;J68)*(H$3:H$88&lt;&gt;H68)),-1*SUMPRODUCT((P$3:P$88="")*(O$3:O$88="")*(N$3:N$88="")*(M$3:M$88="P")*(G$3:G$88=G68)*(J$3:J$88&gt;J68)*(H$3:H$88="L5")))+1,""))))</f>
        <v/>
      </c>
      <c r="C68" s="36" t="s">
        <v>523</v>
      </c>
      <c r="D68" s="36" t="s">
        <v>352</v>
      </c>
      <c r="E68" s="36" t="s">
        <v>48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Scores'!$B$1-F68&gt;10,"11-12,""Not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R68+IF(OR(H68="Junior",H68="Senior"),0.0002,IF(OR(H68="L7",H68="L6"),0.0001,0))+MAX(X68,Z68)*0.0000001</f>
        <v>4.2299999999999993E-6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Scores'!G$13),AND(G68="15-16",U68&gt;='Qualifying Scores'!G$12),AND(G68="13-14",U68&gt;='Qualifying Scores'!G$11),AND(G68="11-12",U68&gt;='Qualifying Scores'!G$10)),T68,0),IF(OR(AND(G68="17-21",W68&gt;='Qualifying Scores'!G$13),AND(G68="15-16",W68&gt;='Qualifying Scores'!G$12),AND(G68="13-14",W68&gt;='Qualifying Scores'!G$11),AND(G68="11-12",W68&gt;='Qualifying Scores'!G$10)),V68,0),IF(OR(AND(G68="17-21",Y68&gt;='Qualifying Scores'!G$13),AND(G68="15-16",Y68&gt;='Qualifying Scores'!G$12),AND(G68="13-14",Y68&gt;='Qualifying Scores'!G$11),AND(G68="11-12",Y68&gt;='Qualifying Scores'!G$10)),X68,0),IF(OR(AND(G68="17-21",AA68&gt;='Qualifying Scores'!G$13),AND(G68="15-16",AA68&gt;='Qualifying Scores'!G$12),AND(G68="13-14",AA68&gt;='Qualifying Scores'!G$11),AND(G68="11-12",AA68&gt;='Qualifying Scores'!G$10)),Z68,0)))</f>
        <v>0</v>
      </c>
      <c r="S68" s="4">
        <f>MAX(T68,V68,X68,Z68)</f>
        <v>42.3</v>
      </c>
      <c r="T68" s="33"/>
      <c r="U68" s="40"/>
      <c r="V68" s="34"/>
      <c r="W68" s="40"/>
      <c r="X68" s="33">
        <v>42.3</v>
      </c>
      <c r="Y68" s="40">
        <v>5.3000000000000007</v>
      </c>
      <c r="Z68" s="34">
        <v>38.200000000000003</v>
      </c>
      <c r="AA68" s="37">
        <v>3.4000000000000004</v>
      </c>
    </row>
    <row r="69" spans="1:27" x14ac:dyDescent="0.2">
      <c r="A69" s="1" t="str" cm="1">
        <f t="array" ref="A69">IF(I69="","",IF(P69&lt;&gt;"",SUMPRODUCT((P$3:P$88&lt;&gt;"")*(G$3:G$88=G69)*(J$3:J$88&gt;J69)*(I$3:I$88="P"))+1,IF(O69&lt;&gt;"",SUMPRODUCT((O$3:O$88&lt;&gt;"")*(P$3:P$88="")*(G$3:G$88=G69)*(J$3:J$88&gt;J69)*(I$3:I$88="P"))+SUMPRODUCT((P$3:P$88&lt;&gt;"")*(G$3:G$88=G69)*(I$3:I$88="P"))+1,IF(N69&lt;&gt;"",SUMPRODUCT((N$3:N$88&lt;&gt;"")*(G$3:G$88=G69)*(J$3:J$88&gt;J69)*(I$3:I$88="P"))+1,IF(M69="P",SUMPRODUCT((O$3:O$88&lt;&gt;"")*(P$3:P$88="")*(G$3:G$88=G69)*(I$3:I$88="P"))+SUMPRODUCT((P$3:P$88&lt;&gt;"")*(G$3:G$88=G69)*(I$3:I$88="P"))+SUMPRODUCT((N$3:N$88&lt;&gt;"")*(G$3:G$88=G69)*(I$3:I$88="P"))+SUMPRODUCT((P$3:P$88="")*(O$3:O$88="")*(N$3:N$88="")*(M$3:M$88="P")*(G$3:G$88=G69)*(J$3:J$88&gt;J69)*(I$3:I$88="P"))+IF(H69="L5",SUMPRODUCT((P$3:P$88="")*(O$3:O$88="")*(N$3:N$88="")*(M$3:M$88="P")*(G$3:G$88=G69)*(J$3:J$88&lt;J69)*(H$3:H$88&lt;&gt;H69)*(I$3:I$88="P")),-1*SUMPRODUCT((P$3:P$88="")*(O$3:O$88="")*(N$3:N$88="")*(M$3:M$88="P")*(G$3:G$88=G69)*(J$3:J$88&gt;J69)*(H$3:H$88="L5")*(I$3:I$88="P")))+1,"")))))</f>
        <v/>
      </c>
      <c r="B69" s="1" t="str" cm="1">
        <f t="array" ref="B69">IF(P69&lt;&gt;"",SUMPRODUCT((P$3:P$88&lt;&gt;"")*(G$3:G$88=G69)*(J$3:J$88&gt;J69))+1,IF(O69&lt;&gt;"",SUMPRODUCT((O$3:O$88&lt;&gt;"")*(P$3:P$88="")*(G$3:G$88=G69)*(J$3:J$88&gt;J69))+SUMPRODUCT((P$3:P$88&lt;&gt;"")*(G$3:G$88=G69))+1,IF(N69&lt;&gt;"",SUMPRODUCT((N$3:N$88&lt;&gt;"")*(G$3:G$88=G69)*(J$3:J$88&gt;J69))+1,IF(M69="P",SUMPRODUCT((O$3:O$88&lt;&gt;"")*(P$3:P$88="")*(G$3:G$88=G69))+SUMPRODUCT((P$3:P$88&lt;&gt;"")*(G$3:G$88=G69))+SUMPRODUCT((N$3:N$88&lt;&gt;"")*(G$3:G$88=G69))+SUMPRODUCT((P$3:P$88="")*(O$3:O$88="")*(N$3:N$88="")*(M$3:M$88="P")*(G$3:G$88=G69)*(J$3:J$88&gt;J69))+IF(H69="L5",SUMPRODUCT((P$3:P$88="")*(O$3:O$88="")*(N$3:N$88="")*(M$3:M$88="P")*(G$3:G$88=G69)*(J$3:J$88&lt;J69)*(H$3:H$88&lt;&gt;H69)),-1*SUMPRODUCT((P$3:P$88="")*(O$3:O$88="")*(N$3:N$88="")*(M$3:M$88="P")*(G$3:G$88=G69)*(J$3:J$88&gt;J69)*(H$3:H$88="L5")))+1,""))))</f>
        <v/>
      </c>
      <c r="C69" s="36" t="s">
        <v>521</v>
      </c>
      <c r="D69" s="36" t="str">
        <f>IF(E69="","",VLOOKUP(E69,'Coaching Points'!A:B,2,0))</f>
        <v>AB</v>
      </c>
      <c r="E69" s="36" t="s">
        <v>591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Scores'!$B$1-F69&gt;10,"11-12,""Not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4.2299999999999993E-6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Scores'!G$13),AND(G69="15-16",U69&gt;='Qualifying Scores'!G$12),AND(G69="13-14",U69&gt;='Qualifying Scores'!G$11),AND(G69="11-12",U69&gt;='Qualifying Scores'!G$10)),T69,0),IF(OR(AND(G69="17-21",W69&gt;='Qualifying Scores'!G$13),AND(G69="15-16",W69&gt;='Qualifying Scores'!G$12),AND(G69="13-14",W69&gt;='Qualifying Scores'!G$11),AND(G69="11-12",W69&gt;='Qualifying Scores'!G$10)),V69,0),IF(OR(AND(G69="17-21",Y69&gt;='Qualifying Scores'!G$13),AND(G69="15-16",Y69&gt;='Qualifying Scores'!G$12),AND(G69="13-14",Y69&gt;='Qualifying Scores'!G$11),AND(G69="11-12",Y69&gt;='Qualifying Scores'!G$10)),X69,0),IF(OR(AND(G69="17-21",AA69&gt;='Qualifying Scores'!G$13),AND(G69="15-16",AA69&gt;='Qualifying Scores'!G$12),AND(G69="13-14",AA69&gt;='Qualifying Scores'!G$11),AND(G69="11-12",AA69&gt;='Qualifying Scores'!G$10)),Z69,0)))</f>
        <v>0</v>
      </c>
      <c r="S69" s="4">
        <f>MAX(T69,V69,X69,Z69)</f>
        <v>42.3</v>
      </c>
      <c r="T69" s="33"/>
      <c r="U69" s="40"/>
      <c r="V69" s="34"/>
      <c r="W69" s="40"/>
      <c r="X69" s="33">
        <v>42.3</v>
      </c>
      <c r="Y69" s="40">
        <v>6</v>
      </c>
      <c r="Z69" s="34">
        <v>42</v>
      </c>
      <c r="AA69" s="37">
        <v>5.4</v>
      </c>
    </row>
    <row r="70" spans="1:27" x14ac:dyDescent="0.2">
      <c r="A70" s="1" t="str" cm="1">
        <f t="array" ref="A70">IF(I70="","",IF(P70&lt;&gt;"",SUMPRODUCT((P$3:P$88&lt;&gt;"")*(G$3:G$88=G70)*(J$3:J$88&gt;J70)*(I$3:I$88="P"))+1,IF(O70&lt;&gt;"",SUMPRODUCT((O$3:O$88&lt;&gt;"")*(P$3:P$88="")*(G$3:G$88=G70)*(J$3:J$88&gt;J70)*(I$3:I$88="P"))+SUMPRODUCT((P$3:P$88&lt;&gt;"")*(G$3:G$88=G70)*(I$3:I$88="P"))+1,IF(N70&lt;&gt;"",SUMPRODUCT((N$3:N$88&lt;&gt;"")*(G$3:G$88=G70)*(J$3:J$88&gt;J70)*(I$3:I$88="P"))+1,IF(M70="P",SUMPRODUCT((O$3:O$88&lt;&gt;"")*(P$3:P$88="")*(G$3:G$88=G70)*(I$3:I$88="P"))+SUMPRODUCT((P$3:P$88&lt;&gt;"")*(G$3:G$88=G70)*(I$3:I$88="P"))+SUMPRODUCT((N$3:N$88&lt;&gt;"")*(G$3:G$88=G70)*(I$3:I$88="P"))+SUMPRODUCT((P$3:P$88="")*(O$3:O$88="")*(N$3:N$88="")*(M$3:M$88="P")*(G$3:G$88=G70)*(J$3:J$88&gt;J70)*(I$3:I$88="P"))+IF(H70="L5",SUMPRODUCT((P$3:P$88="")*(O$3:O$88="")*(N$3:N$88="")*(M$3:M$88="P")*(G$3:G$88=G70)*(J$3:J$88&lt;J70)*(H$3:H$88&lt;&gt;H70)*(I$3:I$88="P")),-1*SUMPRODUCT((P$3:P$88="")*(O$3:O$88="")*(N$3:N$88="")*(M$3:M$88="P")*(G$3:G$88=G70)*(J$3:J$88&gt;J70)*(H$3:H$88="L5")*(I$3:I$88="P")))+1,"")))))</f>
        <v/>
      </c>
      <c r="B70" s="1" t="str" cm="1">
        <f t="array" ref="B70">IF(P70&lt;&gt;"",SUMPRODUCT((P$3:P$88&lt;&gt;"")*(G$3:G$88=G70)*(J$3:J$88&gt;J70))+1,IF(O70&lt;&gt;"",SUMPRODUCT((O$3:O$88&lt;&gt;"")*(P$3:P$88="")*(G$3:G$88=G70)*(J$3:J$88&gt;J70))+SUMPRODUCT((P$3:P$88&lt;&gt;"")*(G$3:G$88=G70))+1,IF(N70&lt;&gt;"",SUMPRODUCT((N$3:N$88&lt;&gt;"")*(G$3:G$88=G70)*(J$3:J$88&gt;J70))+1,IF(M70="P",SUMPRODUCT((O$3:O$88&lt;&gt;"")*(P$3:P$88="")*(G$3:G$88=G70))+SUMPRODUCT((P$3:P$88&lt;&gt;"")*(G$3:G$88=G70))+SUMPRODUCT((N$3:N$88&lt;&gt;"")*(G$3:G$88=G70))+SUMPRODUCT((P$3:P$88="")*(O$3:O$88="")*(N$3:N$88="")*(M$3:M$88="P")*(G$3:G$88=G70)*(J$3:J$88&gt;J70))+IF(H70="L5",SUMPRODUCT((P$3:P$88="")*(O$3:O$88="")*(N$3:N$88="")*(M$3:M$88="P")*(G$3:G$88=G70)*(J$3:J$88&lt;J70)*(H$3:H$88&lt;&gt;H70)),-1*SUMPRODUCT((P$3:P$88="")*(O$3:O$88="")*(N$3:N$88="")*(M$3:M$88="P")*(G$3:G$88=G70)*(J$3:J$88&gt;J70)*(H$3:H$88="L5")))+1,""))))</f>
        <v/>
      </c>
      <c r="C70" s="36" t="s">
        <v>72</v>
      </c>
      <c r="D70" s="36" t="str">
        <f>IF(E70="","",VLOOKUP(E70,'Coaching Points'!A:B,2,0))</f>
        <v>BC</v>
      </c>
      <c r="E70" s="36" t="s">
        <v>59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Scores'!$B$1-F70&gt;10,"11-12,""Not Age Eligible")))))</f>
        <v>15-16</v>
      </c>
      <c r="H70" s="39" t="s">
        <v>115</v>
      </c>
      <c r="I70" s="45"/>
      <c r="J70" s="4">
        <f>R70+IF(OR(H70="Junior",H70="Senior"),0.0002,IF(OR(H70="L7",H70="L6"),0.0001,0))+MAX(X70,Z70)*0.0000001</f>
        <v>4.2100000000000003E-6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Scores'!G$13),AND(G70="15-16",U70&gt;='Qualifying Scores'!G$12),AND(G70="13-14",U70&gt;='Qualifying Scores'!G$11),AND(G70="11-12",U70&gt;='Qualifying Scores'!G$10)),T70,0),IF(OR(AND(G70="17-21",W70&gt;='Qualifying Scores'!G$13),AND(G70="15-16",W70&gt;='Qualifying Scores'!G$12),AND(G70="13-14",W70&gt;='Qualifying Scores'!G$11),AND(G70="11-12",W70&gt;='Qualifying Scores'!G$10)),V70,0),IF(OR(AND(G70="17-21",Y70&gt;='Qualifying Scores'!G$13),AND(G70="15-16",Y70&gt;='Qualifying Scores'!G$12),AND(G70="13-14",Y70&gt;='Qualifying Scores'!G$11),AND(G70="11-12",Y70&gt;='Qualifying Scores'!G$10)),X70,0),IF(OR(AND(G70="17-21",AA70&gt;='Qualifying Scores'!G$13),AND(G70="15-16",AA70&gt;='Qualifying Scores'!G$12),AND(G70="13-14",AA70&gt;='Qualifying Scores'!G$11),AND(G70="11-12",AA70&gt;='Qualifying Scores'!G$10)),Z70,0)))</f>
        <v>0</v>
      </c>
      <c r="S70" s="4">
        <f>MAX(T70,V70,X70,Z70)</f>
        <v>43.5</v>
      </c>
      <c r="T70" s="33">
        <v>43.5</v>
      </c>
      <c r="U70" s="40">
        <v>6.5</v>
      </c>
      <c r="V70" s="34">
        <v>36.599999999999994</v>
      </c>
      <c r="W70" s="40">
        <v>1.9</v>
      </c>
      <c r="X70" s="33">
        <v>42.1</v>
      </c>
      <c r="Y70" s="40">
        <v>6.3000000000000007</v>
      </c>
      <c r="Z70" s="34"/>
      <c r="AA70" s="37"/>
    </row>
    <row r="71" spans="1:27" x14ac:dyDescent="0.2">
      <c r="A71" s="1" t="str" cm="1">
        <f t="array" ref="A71">IF(I71="","",IF(P71&lt;&gt;"",SUMPRODUCT((P$3:P$88&lt;&gt;"")*(G$3:G$88=G71)*(J$3:J$88&gt;J71)*(I$3:I$88="P"))+1,IF(O71&lt;&gt;"",SUMPRODUCT((O$3:O$88&lt;&gt;"")*(P$3:P$88="")*(G$3:G$88=G71)*(J$3:J$88&gt;J71)*(I$3:I$88="P"))+SUMPRODUCT((P$3:P$88&lt;&gt;"")*(G$3:G$88=G71)*(I$3:I$88="P"))+1,IF(N71&lt;&gt;"",SUMPRODUCT((N$3:N$88&lt;&gt;"")*(G$3:G$88=G71)*(J$3:J$88&gt;J71)*(I$3:I$88="P"))+1,IF(M71="P",SUMPRODUCT((O$3:O$88&lt;&gt;"")*(P$3:P$88="")*(G$3:G$88=G71)*(I$3:I$88="P"))+SUMPRODUCT((P$3:P$88&lt;&gt;"")*(G$3:G$88=G71)*(I$3:I$88="P"))+SUMPRODUCT((N$3:N$88&lt;&gt;"")*(G$3:G$88=G71)*(I$3:I$88="P"))+SUMPRODUCT((P$3:P$88="")*(O$3:O$88="")*(N$3:N$88="")*(M$3:M$88="P")*(G$3:G$88=G71)*(J$3:J$88&gt;J71)*(I$3:I$88="P"))+IF(H71="L5",SUMPRODUCT((P$3:P$88="")*(O$3:O$88="")*(N$3:N$88="")*(M$3:M$88="P")*(G$3:G$88=G71)*(J$3:J$88&lt;J71)*(H$3:H$88&lt;&gt;H71)*(I$3:I$88="P")),-1*SUMPRODUCT((P$3:P$88="")*(O$3:O$88="")*(N$3:N$88="")*(M$3:M$88="P")*(G$3:G$88=G71)*(J$3:J$88&gt;J71)*(H$3:H$88="L5")*(I$3:I$88="P")))+1,"")))))</f>
        <v/>
      </c>
      <c r="B71" s="1" t="str" cm="1">
        <f t="array" ref="B71">IF(P71&lt;&gt;"",SUMPRODUCT((P$3:P$88&lt;&gt;"")*(G$3:G$88=G71)*(J$3:J$88&gt;J71))+1,IF(O71&lt;&gt;"",SUMPRODUCT((O$3:O$88&lt;&gt;"")*(P$3:P$88="")*(G$3:G$88=G71)*(J$3:J$88&gt;J71))+SUMPRODUCT((P$3:P$88&lt;&gt;"")*(G$3:G$88=G71))+1,IF(N71&lt;&gt;"",SUMPRODUCT((N$3:N$88&lt;&gt;"")*(G$3:G$88=G71)*(J$3:J$88&gt;J71))+1,IF(M71="P",SUMPRODUCT((O$3:O$88&lt;&gt;"")*(P$3:P$88="")*(G$3:G$88=G71))+SUMPRODUCT((P$3:P$88&lt;&gt;"")*(G$3:G$88=G71))+SUMPRODUCT((N$3:N$88&lt;&gt;"")*(G$3:G$88=G71))+SUMPRODUCT((P$3:P$88="")*(O$3:O$88="")*(N$3:N$88="")*(M$3:M$88="P")*(G$3:G$88=G71)*(J$3:J$88&gt;J71))+IF(H71="L5",SUMPRODUCT((P$3:P$88="")*(O$3:O$88="")*(N$3:N$88="")*(M$3:M$88="P")*(G$3:G$88=G71)*(J$3:J$88&lt;J71)*(H$3:H$88&lt;&gt;H71)),-1*SUMPRODUCT((P$3:P$88="")*(O$3:O$88="")*(N$3:N$88="")*(M$3:M$88="P")*(G$3:G$88=G71)*(J$3:J$88&gt;J71)*(H$3:H$88="L5")))+1,""))))</f>
        <v/>
      </c>
      <c r="C71" s="36" t="s">
        <v>525</v>
      </c>
      <c r="D71" s="36" t="s">
        <v>352</v>
      </c>
      <c r="E71" s="36" t="s">
        <v>48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Scores'!$B$1-F71&gt;10,"11-12,""Not Age Eligible")))))</f>
        <v>15-16</v>
      </c>
      <c r="H71" s="39" t="s">
        <v>115</v>
      </c>
      <c r="I71" s="45" t="s">
        <v>604</v>
      </c>
      <c r="J71" s="4">
        <f>R71+IF(OR(H71="Junior",H71="Senior"),0.0002,IF(OR(H71="L7",H71="L6"),0.0001,0))+MAX(X71,Z71)*0.0000001</f>
        <v>4.2100000000000003E-6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Scores'!G$13),AND(G71="15-16",U71&gt;='Qualifying Scores'!G$12),AND(G71="13-14",U71&gt;='Qualifying Scores'!G$11),AND(G71="11-12",U71&gt;='Qualifying Scores'!G$10)),T71,0),IF(OR(AND(G71="17-21",W71&gt;='Qualifying Scores'!G$13),AND(G71="15-16",W71&gt;='Qualifying Scores'!G$12),AND(G71="13-14",W71&gt;='Qualifying Scores'!G$11),AND(G71="11-12",W71&gt;='Qualifying Scores'!G$10)),V71,0),IF(OR(AND(G71="17-21",Y71&gt;='Qualifying Scores'!G$13),AND(G71="15-16",Y71&gt;='Qualifying Scores'!G$12),AND(G71="13-14",Y71&gt;='Qualifying Scores'!G$11),AND(G71="11-12",Y71&gt;='Qualifying Scores'!G$10)),X71,0),IF(OR(AND(G71="17-21",AA71&gt;='Qualifying Scores'!G$13),AND(G71="15-16",AA71&gt;='Qualifying Scores'!G$12),AND(G71="13-14",AA71&gt;='Qualifying Scores'!G$11),AND(G71="11-12",AA71&gt;='Qualifying Scores'!G$10)),Z71,0)))</f>
        <v>0</v>
      </c>
      <c r="S71" s="4">
        <f>MAX(T71,V71,X71,Z71)</f>
        <v>42.1</v>
      </c>
      <c r="T71" s="33"/>
      <c r="U71" s="40"/>
      <c r="V71" s="34"/>
      <c r="W71" s="40"/>
      <c r="X71" s="33">
        <v>42.1</v>
      </c>
      <c r="Y71" s="40">
        <v>5.8000000000000007</v>
      </c>
      <c r="Z71" s="34"/>
      <c r="AA71" s="37"/>
    </row>
    <row r="72" spans="1:27" x14ac:dyDescent="0.2">
      <c r="A72" s="1" t="str" cm="1">
        <f t="array" ref="A72">IF(I72="","",IF(P72&lt;&gt;"",SUMPRODUCT((P$3:P$88&lt;&gt;"")*(G$3:G$88=G72)*(J$3:J$88&gt;J72)*(I$3:I$88="P"))+1,IF(O72&lt;&gt;"",SUMPRODUCT((O$3:O$88&lt;&gt;"")*(P$3:P$88="")*(G$3:G$88=G72)*(J$3:J$88&gt;J72)*(I$3:I$88="P"))+SUMPRODUCT((P$3:P$88&lt;&gt;"")*(G$3:G$88=G72)*(I$3:I$88="P"))+1,IF(N72&lt;&gt;"",SUMPRODUCT((N$3:N$88&lt;&gt;"")*(G$3:G$88=G72)*(J$3:J$88&gt;J72)*(I$3:I$88="P"))+1,IF(M72="P",SUMPRODUCT((O$3:O$88&lt;&gt;"")*(P$3:P$88="")*(G$3:G$88=G72)*(I$3:I$88="P"))+SUMPRODUCT((P$3:P$88&lt;&gt;"")*(G$3:G$88=G72)*(I$3:I$88="P"))+SUMPRODUCT((N$3:N$88&lt;&gt;"")*(G$3:G$88=G72)*(I$3:I$88="P"))+SUMPRODUCT((P$3:P$88="")*(O$3:O$88="")*(N$3:N$88="")*(M$3:M$88="P")*(G$3:G$88=G72)*(J$3:J$88&gt;J72)*(I$3:I$88="P"))+IF(H72="L5",SUMPRODUCT((P$3:P$88="")*(O$3:O$88="")*(N$3:N$88="")*(M$3:M$88="P")*(G$3:G$88=G72)*(J$3:J$88&lt;J72)*(H$3:H$88&lt;&gt;H72)*(I$3:I$88="P")),-1*SUMPRODUCT((P$3:P$88="")*(O$3:O$88="")*(N$3:N$88="")*(M$3:M$88="P")*(G$3:G$88=G72)*(J$3:J$88&gt;J72)*(H$3:H$88="L5")*(I$3:I$88="P")))+1,"")))))</f>
        <v/>
      </c>
      <c r="B72" s="1" t="str" cm="1">
        <f t="array" ref="B72">IF(P72&lt;&gt;"",SUMPRODUCT((P$3:P$88&lt;&gt;"")*(G$3:G$88=G72)*(J$3:J$88&gt;J72))+1,IF(O72&lt;&gt;"",SUMPRODUCT((O$3:O$88&lt;&gt;"")*(P$3:P$88="")*(G$3:G$88=G72)*(J$3:J$88&gt;J72))+SUMPRODUCT((P$3:P$88&lt;&gt;"")*(G$3:G$88=G72))+1,IF(N72&lt;&gt;"",SUMPRODUCT((N$3:N$88&lt;&gt;"")*(G$3:G$88=G72)*(J$3:J$88&gt;J72))+1,IF(M72="P",SUMPRODUCT((O$3:O$88&lt;&gt;"")*(P$3:P$88="")*(G$3:G$88=G72))+SUMPRODUCT((P$3:P$88&lt;&gt;"")*(G$3:G$88=G72))+SUMPRODUCT((N$3:N$88&lt;&gt;"")*(G$3:G$88=G72))+SUMPRODUCT((P$3:P$88="")*(O$3:O$88="")*(N$3:N$88="")*(M$3:M$88="P")*(G$3:G$88=G72)*(J$3:J$88&gt;J72))+IF(H72="L5",SUMPRODUCT((P$3:P$88="")*(O$3:O$88="")*(N$3:N$88="")*(M$3:M$88="P")*(G$3:G$88=G72)*(J$3:J$88&lt;J72)*(H$3:H$88&lt;&gt;H72)),-1*SUMPRODUCT((P$3:P$88="")*(O$3:O$88="")*(N$3:N$88="")*(M$3:M$88="P")*(G$3:G$88=G72)*(J$3:J$88&gt;J72)*(H$3:H$88="L5")))+1,""))))</f>
        <v/>
      </c>
      <c r="C72" s="36" t="s">
        <v>522</v>
      </c>
      <c r="D72" s="36" t="str">
        <f>IF(E72="","",VLOOKUP(E72,'Coaching Points'!A:B,2,0))</f>
        <v>AB</v>
      </c>
      <c r="E72" s="36" t="s">
        <v>89</v>
      </c>
      <c r="F72" s="35">
        <v>2006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Scores'!$B$1-F72&gt;10,"11-12,""Not Age Eligible")))))</f>
        <v>15-16</v>
      </c>
      <c r="H72" s="39" t="s">
        <v>115</v>
      </c>
      <c r="I72" s="45"/>
      <c r="J72" s="4">
        <f>R72+IF(OR(H72="Junior",H72="Senior"),0.0002,IF(OR(H72="L7",H72="L6"),0.0001,0))+MAX(X72,Z72)*0.0000001</f>
        <v>4.2100000000000003E-6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Scores'!G$13),AND(G72="15-16",U72&gt;='Qualifying Scores'!G$12),AND(G72="13-14",U72&gt;='Qualifying Scores'!G$11),AND(G72="11-12",U72&gt;='Qualifying Scores'!G$10)),T72,0),IF(OR(AND(G72="17-21",W72&gt;='Qualifying Scores'!G$13),AND(G72="15-16",W72&gt;='Qualifying Scores'!G$12),AND(G72="13-14",W72&gt;='Qualifying Scores'!G$11),AND(G72="11-12",W72&gt;='Qualifying Scores'!G$10)),V72,0),IF(OR(AND(G72="17-21",Y72&gt;='Qualifying Scores'!G$13),AND(G72="15-16",Y72&gt;='Qualifying Scores'!G$12),AND(G72="13-14",Y72&gt;='Qualifying Scores'!G$11),AND(G72="11-12",Y72&gt;='Qualifying Scores'!G$10)),X72,0),IF(OR(AND(G72="17-21",AA72&gt;='Qualifying Scores'!G$13),AND(G72="15-16",AA72&gt;='Qualifying Scores'!G$12),AND(G72="13-14",AA72&gt;='Qualifying Scores'!G$11),AND(G72="11-12",AA72&gt;='Qualifying Scores'!G$10)),Z72,0)))</f>
        <v>0</v>
      </c>
      <c r="S72" s="4">
        <f>MAX(T72,V72,X72,Z72)</f>
        <v>42.1</v>
      </c>
      <c r="T72" s="33"/>
      <c r="U72" s="40"/>
      <c r="V72" s="34"/>
      <c r="W72" s="40"/>
      <c r="X72" s="33">
        <v>42.1</v>
      </c>
      <c r="Y72" s="40">
        <v>5.4</v>
      </c>
      <c r="Z72" s="34"/>
      <c r="AA72" s="37"/>
    </row>
    <row r="73" spans="1:27" x14ac:dyDescent="0.2">
      <c r="A73" s="1" t="str" cm="1">
        <f t="array" ref="A73">IF(I73="","",IF(P73&lt;&gt;"",SUMPRODUCT((P$3:P$88&lt;&gt;"")*(G$3:G$88=G73)*(J$3:J$88&gt;J73)*(I$3:I$88="P"))+1,IF(O73&lt;&gt;"",SUMPRODUCT((O$3:O$88&lt;&gt;"")*(P$3:P$88="")*(G$3:G$88=G73)*(J$3:J$88&gt;J73)*(I$3:I$88="P"))+SUMPRODUCT((P$3:P$88&lt;&gt;"")*(G$3:G$88=G73)*(I$3:I$88="P"))+1,IF(N73&lt;&gt;"",SUMPRODUCT((N$3:N$88&lt;&gt;"")*(G$3:G$88=G73)*(J$3:J$88&gt;J73)*(I$3:I$88="P"))+1,IF(M73="P",SUMPRODUCT((O$3:O$88&lt;&gt;"")*(P$3:P$88="")*(G$3:G$88=G73)*(I$3:I$88="P"))+SUMPRODUCT((P$3:P$88&lt;&gt;"")*(G$3:G$88=G73)*(I$3:I$88="P"))+SUMPRODUCT((N$3:N$88&lt;&gt;"")*(G$3:G$88=G73)*(I$3:I$88="P"))+SUMPRODUCT((P$3:P$88="")*(O$3:O$88="")*(N$3:N$88="")*(M$3:M$88="P")*(G$3:G$88=G73)*(J$3:J$88&gt;J73)*(I$3:I$88="P"))+IF(H73="L5",SUMPRODUCT((P$3:P$88="")*(O$3:O$88="")*(N$3:N$88="")*(M$3:M$88="P")*(G$3:G$88=G73)*(J$3:J$88&lt;J73)*(H$3:H$88&lt;&gt;H73)*(I$3:I$88="P")),-1*SUMPRODUCT((P$3:P$88="")*(O$3:O$88="")*(N$3:N$88="")*(M$3:M$88="P")*(G$3:G$88=G73)*(J$3:J$88&gt;J73)*(H$3:H$88="L5")*(I$3:I$88="P")))+1,"")))))</f>
        <v/>
      </c>
      <c r="B73" s="1" t="str" cm="1">
        <f t="array" ref="B73">IF(P73&lt;&gt;"",SUMPRODUCT((P$3:P$88&lt;&gt;"")*(G$3:G$88=G73)*(J$3:J$88&gt;J73))+1,IF(O73&lt;&gt;"",SUMPRODUCT((O$3:O$88&lt;&gt;"")*(P$3:P$88="")*(G$3:G$88=G73)*(J$3:J$88&gt;J73))+SUMPRODUCT((P$3:P$88&lt;&gt;"")*(G$3:G$88=G73))+1,IF(N73&lt;&gt;"",SUMPRODUCT((N$3:N$88&lt;&gt;"")*(G$3:G$88=G73)*(J$3:J$88&gt;J73))+1,IF(M73="P",SUMPRODUCT((O$3:O$88&lt;&gt;"")*(P$3:P$88="")*(G$3:G$88=G73))+SUMPRODUCT((P$3:P$88&lt;&gt;"")*(G$3:G$88=G73))+SUMPRODUCT((N$3:N$88&lt;&gt;"")*(G$3:G$88=G73))+SUMPRODUCT((P$3:P$88="")*(O$3:O$88="")*(N$3:N$88="")*(M$3:M$88="P")*(G$3:G$88=G73)*(J$3:J$88&gt;J73))+IF(H73="L5",SUMPRODUCT((P$3:P$88="")*(O$3:O$88="")*(N$3:N$88="")*(M$3:M$88="P")*(G$3:G$88=G73)*(J$3:J$88&lt;J73)*(H$3:H$88&lt;&gt;H73)),-1*SUMPRODUCT((P$3:P$88="")*(O$3:O$88="")*(N$3:N$88="")*(M$3:M$88="P")*(G$3:G$88=G73)*(J$3:J$88&gt;J73)*(H$3:H$88="L5")))+1,""))))</f>
        <v/>
      </c>
      <c r="C73" s="36" t="s">
        <v>68</v>
      </c>
      <c r="D73" s="36" t="str">
        <f>IF(E73="","",VLOOKUP(E73,'Coaching Points'!A:B,2,0))</f>
        <v>AB</v>
      </c>
      <c r="E73" s="36" t="s">
        <v>29</v>
      </c>
      <c r="F73" s="35">
        <v>2006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Scores'!$B$1-F73&gt;10,"11-12,""Not Age Eligible")))))</f>
        <v>15-16</v>
      </c>
      <c r="H73" s="39" t="s">
        <v>115</v>
      </c>
      <c r="I73" s="45"/>
      <c r="J73" s="4">
        <f>R73+IF(OR(H73="Junior",H73="Senior"),0.0002,IF(OR(H73="L7",H73="L6"),0.0001,0))+MAX(X73,Z73)*0.0000001</f>
        <v>3.9399999999999995E-6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Scores'!G$13),AND(G73="15-16",U73&gt;='Qualifying Scores'!G$12),AND(G73="13-14",U73&gt;='Qualifying Scores'!G$11),AND(G73="11-12",U73&gt;='Qualifying Scores'!G$10)),T73,0),IF(OR(AND(G73="17-21",W73&gt;='Qualifying Scores'!G$13),AND(G73="15-16",W73&gt;='Qualifying Scores'!G$12),AND(G73="13-14",W73&gt;='Qualifying Scores'!G$11),AND(G73="11-12",W73&gt;='Qualifying Scores'!G$10)),V73,0),IF(OR(AND(G73="17-21",Y73&gt;='Qualifying Scores'!G$13),AND(G73="15-16",Y73&gt;='Qualifying Scores'!G$12),AND(G73="13-14",Y73&gt;='Qualifying Scores'!G$11),AND(G73="11-12",Y73&gt;='Qualifying Scores'!G$10)),X73,0),IF(OR(AND(G73="17-21",AA73&gt;='Qualifying Scores'!G$13),AND(G73="15-16",AA73&gt;='Qualifying Scores'!G$12),AND(G73="13-14",AA73&gt;='Qualifying Scores'!G$11),AND(G73="11-12",AA73&gt;='Qualifying Scores'!G$10)),Z73,0)))</f>
        <v>0</v>
      </c>
      <c r="S73" s="4">
        <f>MAX(T73,V73,X73,Z73)</f>
        <v>42.1</v>
      </c>
      <c r="T73" s="33">
        <v>42</v>
      </c>
      <c r="U73" s="40">
        <v>5.4</v>
      </c>
      <c r="V73" s="34">
        <v>42.1</v>
      </c>
      <c r="W73" s="40">
        <v>4.3000000000000007</v>
      </c>
      <c r="X73" s="33">
        <v>39.4</v>
      </c>
      <c r="Y73" s="40">
        <v>3.4000000000000004</v>
      </c>
      <c r="Z73" s="34"/>
      <c r="AA73" s="37"/>
    </row>
    <row r="74" spans="1:27" x14ac:dyDescent="0.2">
      <c r="A74" s="1" t="str" cm="1">
        <f t="array" ref="A74">IF(I74="","",IF(P74&lt;&gt;"",SUMPRODUCT((P$3:P$88&lt;&gt;"")*(G$3:G$88=G74)*(J$3:J$88&gt;J74)*(I$3:I$88="P"))+1,IF(O74&lt;&gt;"",SUMPRODUCT((O$3:O$88&lt;&gt;"")*(P$3:P$88="")*(G$3:G$88=G74)*(J$3:J$88&gt;J74)*(I$3:I$88="P"))+SUMPRODUCT((P$3:P$88&lt;&gt;"")*(G$3:G$88=G74)*(I$3:I$88="P"))+1,IF(N74&lt;&gt;"",SUMPRODUCT((N$3:N$88&lt;&gt;"")*(G$3:G$88=G74)*(J$3:J$88&gt;J74)*(I$3:I$88="P"))+1,IF(M74="P",SUMPRODUCT((O$3:O$88&lt;&gt;"")*(P$3:P$88="")*(G$3:G$88=G74)*(I$3:I$88="P"))+SUMPRODUCT((P$3:P$88&lt;&gt;"")*(G$3:G$88=G74)*(I$3:I$88="P"))+SUMPRODUCT((N$3:N$88&lt;&gt;"")*(G$3:G$88=G74)*(I$3:I$88="P"))+SUMPRODUCT((P$3:P$88="")*(O$3:O$88="")*(N$3:N$88="")*(M$3:M$88="P")*(G$3:G$88=G74)*(J$3:J$88&gt;J74)*(I$3:I$88="P"))+IF(H74="L5",SUMPRODUCT((P$3:P$88="")*(O$3:O$88="")*(N$3:N$88="")*(M$3:M$88="P")*(G$3:G$88=G74)*(J$3:J$88&lt;J74)*(H$3:H$88&lt;&gt;H74)*(I$3:I$88="P")),-1*SUMPRODUCT((P$3:P$88="")*(O$3:O$88="")*(N$3:N$88="")*(M$3:M$88="P")*(G$3:G$88=G74)*(J$3:J$88&gt;J74)*(H$3:H$88="L5")*(I$3:I$88="P")))+1,"")))))</f>
        <v/>
      </c>
      <c r="B74" s="1" t="str" cm="1">
        <f t="array" ref="B74">IF(P74&lt;&gt;"",SUMPRODUCT((P$3:P$88&lt;&gt;"")*(G$3:G$88=G74)*(J$3:J$88&gt;J74))+1,IF(O74&lt;&gt;"",SUMPRODUCT((O$3:O$88&lt;&gt;"")*(P$3:P$88="")*(G$3:G$88=G74)*(J$3:J$88&gt;J74))+SUMPRODUCT((P$3:P$88&lt;&gt;"")*(G$3:G$88=G74))+1,IF(N74&lt;&gt;"",SUMPRODUCT((N$3:N$88&lt;&gt;"")*(G$3:G$88=G74)*(J$3:J$88&gt;J74))+1,IF(M74="P",SUMPRODUCT((O$3:O$88&lt;&gt;"")*(P$3:P$88="")*(G$3:G$88=G74))+SUMPRODUCT((P$3:P$88&lt;&gt;"")*(G$3:G$88=G74))+SUMPRODUCT((N$3:N$88&lt;&gt;"")*(G$3:G$88=G74))+SUMPRODUCT((P$3:P$88="")*(O$3:O$88="")*(N$3:N$88="")*(M$3:M$88="P")*(G$3:G$88=G74)*(J$3:J$88&gt;J74))+IF(H74="L5",SUMPRODUCT((P$3:P$88="")*(O$3:O$88="")*(N$3:N$88="")*(M$3:M$88="P")*(G$3:G$88=G74)*(J$3:J$88&lt;J74)*(H$3:H$88&lt;&gt;H74)),-1*SUMPRODUCT((P$3:P$88="")*(O$3:O$88="")*(N$3:N$88="")*(M$3:M$88="P")*(G$3:G$88=G74)*(J$3:J$88&gt;J74)*(H$3:H$88="L5")))+1,""))))</f>
        <v/>
      </c>
      <c r="C74" s="36" t="s">
        <v>524</v>
      </c>
      <c r="D74" s="36" t="str">
        <f>IF(E74="","",VLOOKUP(E74,'Coaching Points'!A:B,2,0))</f>
        <v>BC</v>
      </c>
      <c r="E74" s="36" t="s">
        <v>84</v>
      </c>
      <c r="F74" s="35">
        <v>2006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Scores'!$B$1-F74&gt;10,"11-12,""Not Age Eligible")))))</f>
        <v>15-16</v>
      </c>
      <c r="H74" s="39" t="s">
        <v>115</v>
      </c>
      <c r="I74" s="45"/>
      <c r="J74" s="4">
        <f>R74+IF(OR(H74="Junior",H74="Senior"),0.0002,IF(OR(H74="L7",H74="L6"),0.0001,0))+MAX(X74,Z74)*0.0000001</f>
        <v>3.7399999999999998E-6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Scores'!G$13),AND(G74="15-16",U74&gt;='Qualifying Scores'!G$12),AND(G74="13-14",U74&gt;='Qualifying Scores'!G$11),AND(G74="11-12",U74&gt;='Qualifying Scores'!G$10)),T74,0),IF(OR(AND(G74="17-21",W74&gt;='Qualifying Scores'!G$13),AND(G74="15-16",W74&gt;='Qualifying Scores'!G$12),AND(G74="13-14",W74&gt;='Qualifying Scores'!G$11),AND(G74="11-12",W74&gt;='Qualifying Scores'!G$10)),V74,0),IF(OR(AND(G74="17-21",Y74&gt;='Qualifying Scores'!G$13),AND(G74="15-16",Y74&gt;='Qualifying Scores'!G$12),AND(G74="13-14",Y74&gt;='Qualifying Scores'!G$11),AND(G74="11-12",Y74&gt;='Qualifying Scores'!G$10)),X74,0),IF(OR(AND(G74="17-21",AA74&gt;='Qualifying Scores'!G$13),AND(G74="15-16",AA74&gt;='Qualifying Scores'!G$12),AND(G74="13-14",AA74&gt;='Qualifying Scores'!G$11),AND(G74="11-12",AA74&gt;='Qualifying Scores'!G$10)),Z74,0)))</f>
        <v>0</v>
      </c>
      <c r="S74" s="4">
        <f>MAX(T74,V74,X74,Z74)</f>
        <v>37.4</v>
      </c>
      <c r="T74" s="33"/>
      <c r="U74" s="40"/>
      <c r="V74" s="34"/>
      <c r="W74" s="40"/>
      <c r="X74" s="33">
        <v>37.4</v>
      </c>
      <c r="Y74" s="40">
        <v>2.2999999999999998</v>
      </c>
      <c r="Z74" s="34"/>
      <c r="AA74" s="37"/>
    </row>
    <row r="75" spans="1:27" x14ac:dyDescent="0.2">
      <c r="A75" s="1" t="str" cm="1">
        <f t="array" ref="A75">IF(I75="","",IF(P75&lt;&gt;"",SUMPRODUCT((P$3:P$88&lt;&gt;"")*(G$3:G$88=G75)*(J$3:J$88&gt;J75)*(I$3:I$88="P"))+1,IF(O75&lt;&gt;"",SUMPRODUCT((O$3:O$88&lt;&gt;"")*(P$3:P$88="")*(G$3:G$88=G75)*(J$3:J$88&gt;J75)*(I$3:I$88="P"))+SUMPRODUCT((P$3:P$88&lt;&gt;"")*(G$3:G$88=G75)*(I$3:I$88="P"))+1,IF(N75&lt;&gt;"",SUMPRODUCT((N$3:N$88&lt;&gt;"")*(G$3:G$88=G75)*(J$3:J$88&gt;J75)*(I$3:I$88="P"))+1,IF(M75="P",SUMPRODUCT((O$3:O$88&lt;&gt;"")*(P$3:P$88="")*(G$3:G$88=G75)*(I$3:I$88="P"))+SUMPRODUCT((P$3:P$88&lt;&gt;"")*(G$3:G$88=G75)*(I$3:I$88="P"))+SUMPRODUCT((N$3:N$88&lt;&gt;"")*(G$3:G$88=G75)*(I$3:I$88="P"))+SUMPRODUCT((P$3:P$88="")*(O$3:O$88="")*(N$3:N$88="")*(M$3:M$88="P")*(G$3:G$88=G75)*(J$3:J$88&gt;J75)*(I$3:I$88="P"))+IF(H75="L5",SUMPRODUCT((P$3:P$88="")*(O$3:O$88="")*(N$3:N$88="")*(M$3:M$88="P")*(G$3:G$88=G75)*(J$3:J$88&lt;J75)*(H$3:H$88&lt;&gt;H75)*(I$3:I$88="P")),-1*SUMPRODUCT((P$3:P$88="")*(O$3:O$88="")*(N$3:N$88="")*(M$3:M$88="P")*(G$3:G$88=G75)*(J$3:J$88&gt;J75)*(H$3:H$88="L5")*(I$3:I$88="P")))+1,"")))))</f>
        <v/>
      </c>
      <c r="B75" s="1" t="str" cm="1">
        <f t="array" ref="B75">IF(P75&lt;&gt;"",SUMPRODUCT((P$3:P$88&lt;&gt;"")*(G$3:G$88=G75)*(J$3:J$88&gt;J75))+1,IF(O75&lt;&gt;"",SUMPRODUCT((O$3:O$88&lt;&gt;"")*(P$3:P$88="")*(G$3:G$88=G75)*(J$3:J$88&gt;J75))+SUMPRODUCT((P$3:P$88&lt;&gt;"")*(G$3:G$88=G75))+1,IF(N75&lt;&gt;"",SUMPRODUCT((N$3:N$88&lt;&gt;"")*(G$3:G$88=G75)*(J$3:J$88&gt;J75))+1,IF(M75="P",SUMPRODUCT((O$3:O$88&lt;&gt;"")*(P$3:P$88="")*(G$3:G$88=G75))+SUMPRODUCT((P$3:P$88&lt;&gt;"")*(G$3:G$88=G75))+SUMPRODUCT((N$3:N$88&lt;&gt;"")*(G$3:G$88=G75))+SUMPRODUCT((P$3:P$88="")*(O$3:O$88="")*(N$3:N$88="")*(M$3:M$88="P")*(G$3:G$88=G75)*(J$3:J$88&gt;J75))+IF(H75="L5",SUMPRODUCT((P$3:P$88="")*(O$3:O$88="")*(N$3:N$88="")*(M$3:M$88="P")*(G$3:G$88=G75)*(J$3:J$88&lt;J75)*(H$3:H$88&lt;&gt;H75)),-1*SUMPRODUCT((P$3:P$88="")*(O$3:O$88="")*(N$3:N$88="")*(M$3:M$88="P")*(G$3:G$88=G75)*(J$3:J$88&gt;J75)*(H$3:H$88="L5")))+1,""))))</f>
        <v/>
      </c>
      <c r="C75" s="36" t="s">
        <v>520</v>
      </c>
      <c r="D75" s="36" t="str">
        <f>IF(E75="","",VLOOKUP(E75,'Coaching Points'!A:B,2,0))</f>
        <v>BC</v>
      </c>
      <c r="E75" s="36" t="s">
        <v>42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Scores'!$B$1-F75&gt;10,"11-12,""Not Age Eligible")))))</f>
        <v>15-16</v>
      </c>
      <c r="H75" s="39" t="s">
        <v>115</v>
      </c>
      <c r="I75" s="45"/>
      <c r="J75" s="4">
        <f>R75+IF(OR(H75="Junior",H75="Senior"),0.0002,IF(OR(H75="L7",H75="L6"),0.0001,0))+MAX(X75,Z75)*0.0000001</f>
        <v>2.0100000000000002E-6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Scores'!G$13),AND(G75="15-16",U75&gt;='Qualifying Scores'!G$12),AND(G75="13-14",U75&gt;='Qualifying Scores'!G$11),AND(G75="11-12",U75&gt;='Qualifying Scores'!G$10)),T75,0),IF(OR(AND(G75="17-21",W75&gt;='Qualifying Scores'!G$13),AND(G75="15-16",W75&gt;='Qualifying Scores'!G$12),AND(G75="13-14",W75&gt;='Qualifying Scores'!G$11),AND(G75="11-12",W75&gt;='Qualifying Scores'!G$10)),V75,0),IF(OR(AND(G75="17-21",Y75&gt;='Qualifying Scores'!G$13),AND(G75="15-16",Y75&gt;='Qualifying Scores'!G$12),AND(G75="13-14",Y75&gt;='Qualifying Scores'!G$11),AND(G75="11-12",Y75&gt;='Qualifying Scores'!G$10)),X75,0),IF(OR(AND(G75="17-21",AA75&gt;='Qualifying Scores'!G$13),AND(G75="15-16",AA75&gt;='Qualifying Scores'!G$12),AND(G75="13-14",AA75&gt;='Qualifying Scores'!G$11),AND(G75="11-12",AA75&gt;='Qualifying Scores'!G$10)),Z75,0)))</f>
        <v>0</v>
      </c>
      <c r="S75" s="4">
        <f>MAX(T75,V75,X75,Z75)</f>
        <v>20.100000000000001</v>
      </c>
      <c r="T75" s="33"/>
      <c r="U75" s="40"/>
      <c r="V75" s="34"/>
      <c r="W75" s="40"/>
      <c r="X75" s="33">
        <v>20.100000000000001</v>
      </c>
      <c r="Y75" s="40">
        <v>2.2000000000000002</v>
      </c>
      <c r="Z75" s="34"/>
      <c r="AA75" s="37"/>
    </row>
    <row r="76" spans="1:27" x14ac:dyDescent="0.2">
      <c r="A76" s="1" cm="1">
        <f t="array" ref="A76">IF(I76="","",IF(P76&lt;&gt;"",SUMPRODUCT((P$3:P$88&lt;&gt;"")*(G$3:G$88=G76)*(J$3:J$88&gt;J76)*(I$3:I$88="P"))+1,IF(O76&lt;&gt;"",SUMPRODUCT((O$3:O$88&lt;&gt;"")*(P$3:P$88="")*(G$3:G$88=G76)*(J$3:J$88&gt;J76)*(I$3:I$88="P"))+SUMPRODUCT((P$3:P$88&lt;&gt;"")*(G$3:G$88=G76)*(I$3:I$88="P"))+1,IF(N76&lt;&gt;"",SUMPRODUCT((N$3:N$88&lt;&gt;"")*(G$3:G$88=G76)*(J$3:J$88&gt;J76)*(I$3:I$88="P"))+1,IF(M76="P",SUMPRODUCT((O$3:O$88&lt;&gt;"")*(P$3:P$88="")*(G$3:G$88=G76)*(I$3:I$88="P"))+SUMPRODUCT((P$3:P$88&lt;&gt;"")*(G$3:G$88=G76)*(I$3:I$88="P"))+SUMPRODUCT((N$3:N$88&lt;&gt;"")*(G$3:G$88=G76)*(I$3:I$88="P"))+SUMPRODUCT((P$3:P$88="")*(O$3:O$88="")*(N$3:N$88="")*(M$3:M$88="P")*(G$3:G$88=G76)*(J$3:J$88&gt;J76)*(I$3:I$88="P"))+IF(H76="L5",SUMPRODUCT((P$3:P$88="")*(O$3:O$88="")*(N$3:N$88="")*(M$3:M$88="P")*(G$3:G$88=G76)*(J$3:J$88&lt;J76)*(H$3:H$88&lt;&gt;H76)*(I$3:I$88="P")),-1*SUMPRODUCT((P$3:P$88="")*(O$3:O$88="")*(N$3:N$88="")*(M$3:M$88="P")*(G$3:G$88=G76)*(J$3:J$88&gt;J76)*(H$3:H$88="L5")*(I$3:I$88="P")))+1,"")))))</f>
        <v>1</v>
      </c>
      <c r="B76" s="1" cm="1">
        <f t="array" ref="B76">IF(P76&lt;&gt;"",SUMPRODUCT((P$3:P$88&lt;&gt;"")*(G$3:G$88=G76)*(J$3:J$88&gt;J76))+1,IF(O76&lt;&gt;"",SUMPRODUCT((O$3:O$88&lt;&gt;"")*(P$3:P$88="")*(G$3:G$88=G76)*(J$3:J$88&gt;J76))+SUMPRODUCT((P$3:P$88&lt;&gt;"")*(G$3:G$88=G76))+1,IF(N76&lt;&gt;"",SUMPRODUCT((N$3:N$88&lt;&gt;"")*(G$3:G$88=G76)*(J$3:J$88&gt;J76))+1,IF(M76="P",SUMPRODUCT((O$3:O$88&lt;&gt;"")*(P$3:P$88="")*(G$3:G$88=G76))+SUMPRODUCT((P$3:P$88&lt;&gt;"")*(G$3:G$88=G76))+SUMPRODUCT((N$3:N$88&lt;&gt;"")*(G$3:G$88=G76))+SUMPRODUCT((P$3:P$88="")*(O$3:O$88="")*(N$3:N$88="")*(M$3:M$88="P")*(G$3:G$88=G76)*(J$3:J$88&gt;J76))+IF(H76="L5",SUMPRODUCT((P$3:P$88="")*(O$3:O$88="")*(N$3:N$88="")*(M$3:M$88="P")*(G$3:G$88=G76)*(J$3:J$88&lt;J76)*(H$3:H$88&lt;&gt;H76)),-1*SUMPRODUCT((P$3:P$88="")*(O$3:O$88="")*(N$3:N$88="")*(M$3:M$88="P")*(G$3:G$88=G76)*(J$3:J$88&gt;J76)*(H$3:H$88="L5")))+1,""))))</f>
        <v>1</v>
      </c>
      <c r="C76" s="36" t="s">
        <v>58</v>
      </c>
      <c r="D76" s="36" t="str">
        <f>IF(E76="","",VLOOKUP(E76,'Coaching Points'!A:B,2,0))</f>
        <v>BC</v>
      </c>
      <c r="E76" s="36" t="s">
        <v>59</v>
      </c>
      <c r="F76" s="35">
        <v>2009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Scores'!$B$1-F76&gt;10,"11-12,""Not Age Eligible")))))</f>
        <v>13-14</v>
      </c>
      <c r="H76" s="39" t="s">
        <v>114</v>
      </c>
      <c r="I76" s="45" t="s">
        <v>604</v>
      </c>
      <c r="J76" s="4">
        <f>R76+IF(OR(H76="Junior",H76="Senior"),0.0002,IF(OR(H76="L7",H76="L6"),0.0001,0))+MAX(X76,Z76)*0.0000001</f>
        <v>48.200204820000003</v>
      </c>
      <c r="K76" s="3" t="str">
        <f>IF(G76="Not Age Eligible","",IF(MAX(T76,V76,X76,Z76)&gt;=LOOKUP(G76,'Qualifying Scores'!$A$4:$A$7,'Qualifying Scores'!$G$4:$G$7),"P",""))</f>
        <v>P</v>
      </c>
      <c r="L76" s="3" t="str">
        <f>IF(G76="Not Age Eligible","",IF(MAX(U76,W76,Y76,AA76)&gt;=LOOKUP(G76,'Qualifying Scores'!$A$10:$A$13,'Qualifying Scores'!$G$10:$G$13),"P",""))</f>
        <v>P</v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>P</v>
      </c>
      <c r="N76" s="39">
        <v>1</v>
      </c>
      <c r="Q76" s="49">
        <f>IF(A76&lt;5,IF(_xlfn.MAXIFS(A:A,G:G,G76)&gt;3,5-A76,_xlfn.MAXIFS(A:A,G:G,G76)+1-A76),"")</f>
        <v>3</v>
      </c>
      <c r="R76" s="4">
        <f>IF(G76="Not Age Eligible",0,MAX(IF(OR(AND(G76="17-21",U76&gt;='Qualifying Scores'!G$13),AND(G76="15-16",U76&gt;='Qualifying Scores'!G$12),AND(G76="13-14",U76&gt;='Qualifying Scores'!G$11),AND(G76="11-12",U76&gt;='Qualifying Scores'!G$10)),T76,0),IF(OR(AND(G76="17-21",W76&gt;='Qualifying Scores'!G$13),AND(G76="15-16",W76&gt;='Qualifying Scores'!G$12),AND(G76="13-14",W76&gt;='Qualifying Scores'!G$11),AND(G76="11-12",W76&gt;='Qualifying Scores'!G$10)),V76,0),IF(OR(AND(G76="17-21",Y76&gt;='Qualifying Scores'!G$13),AND(G76="15-16",Y76&gt;='Qualifying Scores'!G$12),AND(G76="13-14",Y76&gt;='Qualifying Scores'!G$11),AND(G76="11-12",Y76&gt;='Qualifying Scores'!G$10)),X76,0),IF(OR(AND(G76="17-21",AA76&gt;='Qualifying Scores'!G$13),AND(G76="15-16",AA76&gt;='Qualifying Scores'!G$12),AND(G76="13-14",AA76&gt;='Qualifying Scores'!G$11),AND(G76="11-12",AA76&gt;='Qualifying Scores'!G$10)),Z76,0)))</f>
        <v>48.2</v>
      </c>
      <c r="S76" s="4">
        <f>MAX(T76,V76,X76,Z76)</f>
        <v>48.2</v>
      </c>
      <c r="T76" s="33">
        <v>46.8</v>
      </c>
      <c r="U76" s="40">
        <v>10.399999999999999</v>
      </c>
      <c r="V76" s="34">
        <v>47.3</v>
      </c>
      <c r="W76" s="40">
        <v>10</v>
      </c>
      <c r="X76" s="33">
        <v>47</v>
      </c>
      <c r="Y76" s="40">
        <v>10.399999999999999</v>
      </c>
      <c r="Z76" s="34">
        <v>48.2</v>
      </c>
      <c r="AA76" s="37">
        <v>11.2</v>
      </c>
    </row>
    <row r="77" spans="1:27" x14ac:dyDescent="0.2">
      <c r="A77" s="1" cm="1">
        <f t="array" ref="A77">IF(I77="","",IF(P77&lt;&gt;"",SUMPRODUCT((P$3:P$88&lt;&gt;"")*(G$3:G$88=G77)*(J$3:J$88&gt;J77)*(I$3:I$88="P"))+1,IF(O77&lt;&gt;"",SUMPRODUCT((O$3:O$88&lt;&gt;"")*(P$3:P$88="")*(G$3:G$88=G77)*(J$3:J$88&gt;J77)*(I$3:I$88="P"))+SUMPRODUCT((P$3:P$88&lt;&gt;"")*(G$3:G$88=G77)*(I$3:I$88="P"))+1,IF(N77&lt;&gt;"",SUMPRODUCT((N$3:N$88&lt;&gt;"")*(G$3:G$88=G77)*(J$3:J$88&gt;J77)*(I$3:I$88="P"))+1,IF(M77="P",SUMPRODUCT((O$3:O$88&lt;&gt;"")*(P$3:P$88="")*(G$3:G$88=G77)*(I$3:I$88="P"))+SUMPRODUCT((P$3:P$88&lt;&gt;"")*(G$3:G$88=G77)*(I$3:I$88="P"))+SUMPRODUCT((N$3:N$88&lt;&gt;"")*(G$3:G$88=G77)*(I$3:I$88="P"))+SUMPRODUCT((P$3:P$88="")*(O$3:O$88="")*(N$3:N$88="")*(M$3:M$88="P")*(G$3:G$88=G77)*(J$3:J$88&gt;J77)*(I$3:I$88="P"))+IF(H77="L5",SUMPRODUCT((P$3:P$88="")*(O$3:O$88="")*(N$3:N$88="")*(M$3:M$88="P")*(G$3:G$88=G77)*(J$3:J$88&lt;J77)*(H$3:H$88&lt;&gt;H77)*(I$3:I$88="P")),-1*SUMPRODUCT((P$3:P$88="")*(O$3:O$88="")*(N$3:N$88="")*(M$3:M$88="P")*(G$3:G$88=G77)*(J$3:J$88&gt;J77)*(H$3:H$88="L5")*(I$3:I$88="P")))+1,"")))))</f>
        <v>2</v>
      </c>
      <c r="B77" s="1" cm="1">
        <f t="array" ref="B77">IF(P77&lt;&gt;"",SUMPRODUCT((P$3:P$88&lt;&gt;"")*(G$3:G$88=G77)*(J$3:J$88&gt;J77))+1,IF(O77&lt;&gt;"",SUMPRODUCT((O$3:O$88&lt;&gt;"")*(P$3:P$88="")*(G$3:G$88=G77)*(J$3:J$88&gt;J77))+SUMPRODUCT((P$3:P$88&lt;&gt;"")*(G$3:G$88=G77))+1,IF(N77&lt;&gt;"",SUMPRODUCT((N$3:N$88&lt;&gt;"")*(G$3:G$88=G77)*(J$3:J$88&gt;J77))+1,IF(M77="P",SUMPRODUCT((O$3:O$88&lt;&gt;"")*(P$3:P$88="")*(G$3:G$88=G77))+SUMPRODUCT((P$3:P$88&lt;&gt;"")*(G$3:G$88=G77))+SUMPRODUCT((N$3:N$88&lt;&gt;"")*(G$3:G$88=G77))+SUMPRODUCT((P$3:P$88="")*(O$3:O$88="")*(N$3:N$88="")*(M$3:M$88="P")*(G$3:G$88=G77)*(J$3:J$88&gt;J77))+IF(H77="L5",SUMPRODUCT((P$3:P$88="")*(O$3:O$88="")*(N$3:N$88="")*(M$3:M$88="P")*(G$3:G$88=G77)*(J$3:J$88&lt;J77)*(H$3:H$88&lt;&gt;H77)),-1*SUMPRODUCT((P$3:P$88="")*(O$3:O$88="")*(N$3:N$88="")*(M$3:M$88="P")*(G$3:G$88=G77)*(J$3:J$88&gt;J77)*(H$3:H$88="L5")))+1,""))))</f>
        <v>3</v>
      </c>
      <c r="C77" s="36" t="s">
        <v>90</v>
      </c>
      <c r="D77" s="36" t="str">
        <f>IF(E77="","",VLOOKUP(E77,'Coaching Points'!A:B,2,0))</f>
        <v>AB</v>
      </c>
      <c r="E77" s="36" t="s">
        <v>91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Scores'!$B$1-F77&gt;10,"11-12,""Not Age Eligible")))))</f>
        <v>13-14</v>
      </c>
      <c r="H77" s="39" t="s">
        <v>116</v>
      </c>
      <c r="I77" s="45" t="s">
        <v>604</v>
      </c>
      <c r="J77" s="4">
        <f>R77+IF(OR(H77="Junior",H77="Senior"),0.0002,IF(OR(H77="L7",H77="L6"),0.0001,0))+MAX(X77,Z77)*0.0000001</f>
        <v>44.700104470000007</v>
      </c>
      <c r="K77" s="3" t="str">
        <f>IF(G77="Not Age Eligible","",IF(MAX(T77,V77,X77,Z77)&gt;=LOOKUP(G77,'Qualifying Scores'!$A$4:$A$7,'Qualifying Scores'!$G$4:$G$7),"P",""))</f>
        <v>P</v>
      </c>
      <c r="L77" s="3" t="str">
        <f>IF(G77="Not Age Eligible","",IF(MAX(U77,W77,Y77,AA77)&gt;=LOOKUP(G77,'Qualifying Scores'!$A$10:$A$13,'Qualifying Scores'!$G$10:$G$13),"P",""))</f>
        <v>P</v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>P</v>
      </c>
      <c r="Q77" s="49">
        <f>IF(A77&lt;5,IF(_xlfn.MAXIFS(A:A,G:G,G77)&gt;3,5-A77,_xlfn.MAXIFS(A:A,G:G,G77)+1-A77),"")</f>
        <v>2</v>
      </c>
      <c r="R77" s="4">
        <f>IF(G77="Not Age Eligible",0,MAX(IF(OR(AND(G77="17-21",U77&gt;='Qualifying Scores'!G$13),AND(G77="15-16",U77&gt;='Qualifying Scores'!G$12),AND(G77="13-14",U77&gt;='Qualifying Scores'!G$11),AND(G77="11-12",U77&gt;='Qualifying Scores'!G$10)),T77,0),IF(OR(AND(G77="17-21",W77&gt;='Qualifying Scores'!G$13),AND(G77="15-16",W77&gt;='Qualifying Scores'!G$12),AND(G77="13-14",W77&gt;='Qualifying Scores'!G$11),AND(G77="11-12",W77&gt;='Qualifying Scores'!G$10)),V77,0),IF(OR(AND(G77="17-21",Y77&gt;='Qualifying Scores'!G$13),AND(G77="15-16",Y77&gt;='Qualifying Scores'!G$12),AND(G77="13-14",Y77&gt;='Qualifying Scores'!G$11),AND(G77="11-12",Y77&gt;='Qualifying Scores'!G$10)),X77,0),IF(OR(AND(G77="17-21",AA77&gt;='Qualifying Scores'!G$13),AND(G77="15-16",AA77&gt;='Qualifying Scores'!G$12),AND(G77="13-14",AA77&gt;='Qualifying Scores'!G$11),AND(G77="11-12",AA77&gt;='Qualifying Scores'!G$10)),Z77,0)))</f>
        <v>44.7</v>
      </c>
      <c r="S77" s="4">
        <f>MAX(T77,V77,X77,Z77)</f>
        <v>44.7</v>
      </c>
      <c r="T77" s="33">
        <v>44.5</v>
      </c>
      <c r="U77" s="40">
        <v>8</v>
      </c>
      <c r="V77" s="34">
        <v>44.599999999999994</v>
      </c>
      <c r="W77" s="40">
        <v>7.1999999999999993</v>
      </c>
      <c r="X77" s="33">
        <v>42.099999999999994</v>
      </c>
      <c r="Y77" s="40">
        <v>6.8000000000000007</v>
      </c>
      <c r="Z77" s="34">
        <v>44.7</v>
      </c>
      <c r="AA77" s="37">
        <v>7.1</v>
      </c>
    </row>
    <row r="78" spans="1:27" x14ac:dyDescent="0.2">
      <c r="A78" s="1" cm="1">
        <f t="array" ref="A78">IF(I78="","",IF(P78&lt;&gt;"",SUMPRODUCT((P$3:P$88&lt;&gt;"")*(G$3:G$88=G78)*(J$3:J$88&gt;J78)*(I$3:I$88="P"))+1,IF(O78&lt;&gt;"",SUMPRODUCT((O$3:O$88&lt;&gt;"")*(P$3:P$88="")*(G$3:G$88=G78)*(J$3:J$88&gt;J78)*(I$3:I$88="P"))+SUMPRODUCT((P$3:P$88&lt;&gt;"")*(G$3:G$88=G78)*(I$3:I$88="P"))+1,IF(N78&lt;&gt;"",SUMPRODUCT((N$3:N$88&lt;&gt;"")*(G$3:G$88=G78)*(J$3:J$88&gt;J78)*(I$3:I$88="P"))+1,IF(M78="P",SUMPRODUCT((O$3:O$88&lt;&gt;"")*(P$3:P$88="")*(G$3:G$88=G78)*(I$3:I$88="P"))+SUMPRODUCT((P$3:P$88&lt;&gt;"")*(G$3:G$88=G78)*(I$3:I$88="P"))+SUMPRODUCT((N$3:N$88&lt;&gt;"")*(G$3:G$88=G78)*(I$3:I$88="P"))+SUMPRODUCT((P$3:P$88="")*(O$3:O$88="")*(N$3:N$88="")*(M$3:M$88="P")*(G$3:G$88=G78)*(J$3:J$88&gt;J78)*(I$3:I$88="P"))+IF(H78="L5",SUMPRODUCT((P$3:P$88="")*(O$3:O$88="")*(N$3:N$88="")*(M$3:M$88="P")*(G$3:G$88=G78)*(J$3:J$88&lt;J78)*(H$3:H$88&lt;&gt;H78)*(I$3:I$88="P")),-1*SUMPRODUCT((P$3:P$88="")*(O$3:O$88="")*(N$3:N$88="")*(M$3:M$88="P")*(G$3:G$88=G78)*(J$3:J$88&gt;J78)*(H$3:H$88="L5")*(I$3:I$88="P")))+1,"")))))</f>
        <v>3</v>
      </c>
      <c r="B78" s="1" cm="1">
        <f t="array" ref="B78">IF(P78&lt;&gt;"",SUMPRODUCT((P$3:P$88&lt;&gt;"")*(G$3:G$88=G78)*(J$3:J$88&gt;J78))+1,IF(O78&lt;&gt;"",SUMPRODUCT((O$3:O$88&lt;&gt;"")*(P$3:P$88="")*(G$3:G$88=G78)*(J$3:J$88&gt;J78))+SUMPRODUCT((P$3:P$88&lt;&gt;"")*(G$3:G$88=G78))+1,IF(N78&lt;&gt;"",SUMPRODUCT((N$3:N$88&lt;&gt;"")*(G$3:G$88=G78)*(J$3:J$88&gt;J78))+1,IF(M78="P",SUMPRODUCT((O$3:O$88&lt;&gt;"")*(P$3:P$88="")*(G$3:G$88=G78))+SUMPRODUCT((P$3:P$88&lt;&gt;"")*(G$3:G$88=G78))+SUMPRODUCT((N$3:N$88&lt;&gt;"")*(G$3:G$88=G78))+SUMPRODUCT((P$3:P$88="")*(O$3:O$88="")*(N$3:N$88="")*(M$3:M$88="P")*(G$3:G$88=G78)*(J$3:J$88&gt;J78))+IF(H78="L5",SUMPRODUCT((P$3:P$88="")*(O$3:O$88="")*(N$3:N$88="")*(M$3:M$88="P")*(G$3:G$88=G78)*(J$3:J$88&lt;J78)*(H$3:H$88&lt;&gt;H78)),-1*SUMPRODUCT((P$3:P$88="")*(O$3:O$88="")*(N$3:N$88="")*(M$3:M$88="P")*(G$3:G$88=G78)*(J$3:J$88&gt;J78)*(H$3:H$88="L5")))+1,""))))</f>
        <v>4</v>
      </c>
      <c r="C78" s="36" t="s">
        <v>92</v>
      </c>
      <c r="D78" s="36" t="str">
        <f>IF(E78="","",VLOOKUP(E78,'Coaching Points'!A:B,2,0))</f>
        <v>BC</v>
      </c>
      <c r="E78" s="36" t="s">
        <v>59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Scores'!$B$1-F78&gt;10,"11-12,""Not Age Eligible")))))</f>
        <v>13-14</v>
      </c>
      <c r="H78" s="39" t="s">
        <v>116</v>
      </c>
      <c r="I78" s="45" t="s">
        <v>604</v>
      </c>
      <c r="J78" s="4">
        <f>R78+IF(OR(H78="Junior",H78="Senior"),0.0002,IF(OR(H78="L7",H78="L6"),0.0001,0))+MAX(X78,Z78)*0.0000001</f>
        <v>43.700104370000005</v>
      </c>
      <c r="K78" s="3" t="str">
        <f>IF(G78="Not Age Eligible","",IF(MAX(T78,V78,X78,Z78)&gt;=LOOKUP(G78,'Qualifying Scores'!$A$4:$A$7,'Qualifying Scores'!$G$4:$G$7),"P",""))</f>
        <v>P</v>
      </c>
      <c r="L78" s="3" t="str">
        <f>IF(G78="Not Age Eligible","",IF(MAX(U78,W78,Y78,AA78)&gt;=LOOKUP(G78,'Qualifying Scores'!$A$10:$A$13,'Qualifying Scores'!$G$10:$G$13),"P",""))</f>
        <v>P</v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>P</v>
      </c>
      <c r="Q78" s="49">
        <f>IF(A78&lt;5,IF(_xlfn.MAXIFS(A:A,G:G,G78)&gt;3,5-A78,_xlfn.MAXIFS(A:A,G:G,G78)+1-A78),"")</f>
        <v>1</v>
      </c>
      <c r="R78" s="4">
        <f>IF(G78="Not Age Eligible",0,MAX(IF(OR(AND(G78="17-21",U78&gt;='Qualifying Scores'!G$13),AND(G78="15-16",U78&gt;='Qualifying Scores'!G$12),AND(G78="13-14",U78&gt;='Qualifying Scores'!G$11),AND(G78="11-12",U78&gt;='Qualifying Scores'!G$10)),T78,0),IF(OR(AND(G78="17-21",W78&gt;='Qualifying Scores'!G$13),AND(G78="15-16",W78&gt;='Qualifying Scores'!G$12),AND(G78="13-14",W78&gt;='Qualifying Scores'!G$11),AND(G78="11-12",W78&gt;='Qualifying Scores'!G$10)),V78,0),IF(OR(AND(G78="17-21",Y78&gt;='Qualifying Scores'!G$13),AND(G78="15-16",Y78&gt;='Qualifying Scores'!G$12),AND(G78="13-14",Y78&gt;='Qualifying Scores'!G$11),AND(G78="11-12",Y78&gt;='Qualifying Scores'!G$10)),X78,0),IF(OR(AND(G78="17-21",AA78&gt;='Qualifying Scores'!G$13),AND(G78="15-16",AA78&gt;='Qualifying Scores'!G$12),AND(G78="13-14",AA78&gt;='Qualifying Scores'!G$11),AND(G78="11-12",AA78&gt;='Qualifying Scores'!G$10)),Z78,0)))</f>
        <v>43.7</v>
      </c>
      <c r="S78" s="4">
        <f>MAX(T78,V78,X78,Z78)</f>
        <v>43.7</v>
      </c>
      <c r="T78" s="33">
        <v>43</v>
      </c>
      <c r="U78" s="40">
        <v>6.1</v>
      </c>
      <c r="V78" s="34">
        <v>43.2</v>
      </c>
      <c r="W78" s="40">
        <v>6.5</v>
      </c>
      <c r="X78" s="33">
        <v>43.7</v>
      </c>
      <c r="Y78" s="40">
        <v>6.3000000000000007</v>
      </c>
      <c r="Z78" s="34">
        <v>38.4</v>
      </c>
      <c r="AA78" s="37">
        <v>3.7</v>
      </c>
    </row>
    <row r="79" spans="1:27" x14ac:dyDescent="0.2">
      <c r="A79" s="1" t="str" cm="1">
        <f t="array" ref="A79">IF(I79="","",IF(P79&lt;&gt;"",SUMPRODUCT((P$3:P$88&lt;&gt;"")*(G$3:G$88=G79)*(J$3:J$88&gt;J79)*(I$3:I$88="P"))+1,IF(O79&lt;&gt;"",SUMPRODUCT((O$3:O$88&lt;&gt;"")*(P$3:P$88="")*(G$3:G$88=G79)*(J$3:J$88&gt;J79)*(I$3:I$88="P"))+SUMPRODUCT((P$3:P$88&lt;&gt;"")*(G$3:G$88=G79)*(I$3:I$88="P"))+1,IF(N79&lt;&gt;"",SUMPRODUCT((N$3:N$88&lt;&gt;"")*(G$3:G$88=G79)*(J$3:J$88&gt;J79)*(I$3:I$88="P"))+1,IF(M79="P",SUMPRODUCT((O$3:O$88&lt;&gt;"")*(P$3:P$88="")*(G$3:G$88=G79)*(I$3:I$88="P"))+SUMPRODUCT((P$3:P$88&lt;&gt;"")*(G$3:G$88=G79)*(I$3:I$88="P"))+SUMPRODUCT((N$3:N$88&lt;&gt;"")*(G$3:G$88=G79)*(I$3:I$88="P"))+SUMPRODUCT((P$3:P$88="")*(O$3:O$88="")*(N$3:N$88="")*(M$3:M$88="P")*(G$3:G$88=G79)*(J$3:J$88&gt;J79)*(I$3:I$88="P"))+IF(H79="L5",SUMPRODUCT((P$3:P$88="")*(O$3:O$88="")*(N$3:N$88="")*(M$3:M$88="P")*(G$3:G$88=G79)*(J$3:J$88&lt;J79)*(H$3:H$88&lt;&gt;H79)*(I$3:I$88="P")),-1*SUMPRODUCT((P$3:P$88="")*(O$3:O$88="")*(N$3:N$88="")*(M$3:M$88="P")*(G$3:G$88=G79)*(J$3:J$88&gt;J79)*(H$3:H$88="L5")*(I$3:I$88="P")))+1,"")))))</f>
        <v/>
      </c>
      <c r="B79" s="1" cm="1">
        <f t="array" ref="B79">IF(P79&lt;&gt;"",SUMPRODUCT((P$3:P$88&lt;&gt;"")*(G$3:G$88=G79)*(J$3:J$88&gt;J79))+1,IF(O79&lt;&gt;"",SUMPRODUCT((O$3:O$88&lt;&gt;"")*(P$3:P$88="")*(G$3:G$88=G79)*(J$3:J$88&gt;J79))+SUMPRODUCT((P$3:P$88&lt;&gt;"")*(G$3:G$88=G79))+1,IF(N79&lt;&gt;"",SUMPRODUCT((N$3:N$88&lt;&gt;"")*(G$3:G$88=G79)*(J$3:J$88&gt;J79))+1,IF(M79="P",SUMPRODUCT((O$3:O$88&lt;&gt;"")*(P$3:P$88="")*(G$3:G$88=G79))+SUMPRODUCT((P$3:P$88&lt;&gt;"")*(G$3:G$88=G79))+SUMPRODUCT((N$3:N$88&lt;&gt;"")*(G$3:G$88=G79))+SUMPRODUCT((P$3:P$88="")*(O$3:O$88="")*(N$3:N$88="")*(M$3:M$88="P")*(G$3:G$88=G79)*(J$3:J$88&gt;J79))+IF(H79="L5",SUMPRODUCT((P$3:P$88="")*(O$3:O$88="")*(N$3:N$88="")*(M$3:M$88="P")*(G$3:G$88=G79)*(J$3:J$88&lt;J79)*(H$3:H$88&lt;&gt;H79)),-1*SUMPRODUCT((P$3:P$88="")*(O$3:O$88="")*(N$3:N$88="")*(M$3:M$88="P")*(G$3:G$88=G79)*(J$3:J$88&gt;J79)*(H$3:H$88="L5")))+1,""))))</f>
        <v>2</v>
      </c>
      <c r="C79" s="36" t="s">
        <v>64</v>
      </c>
      <c r="D79" s="36" t="str">
        <f>IF(E79="","",VLOOKUP(E79,'Coaching Points'!A:B,2,0))</f>
        <v>BC</v>
      </c>
      <c r="E79" s="36" t="s">
        <v>47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Scores'!$B$1-F79&gt;10,"11-12,""Not Age Eligible")))))</f>
        <v>13-14</v>
      </c>
      <c r="H79" s="39" t="s">
        <v>116</v>
      </c>
      <c r="I79" s="45"/>
      <c r="J79" s="4">
        <f>R79+IF(OR(H79="Junior",H79="Senior"),0.0002,IF(OR(H79="L7",H79="L6"),0.0001,0))+MAX(X79,Z79)*0.0000001</f>
        <v>44.740104420000009</v>
      </c>
      <c r="K79" s="3" t="str">
        <f>IF(G79="Not Age Eligible","",IF(MAX(T79,V79,X79,Z79)&gt;=LOOKUP(G79,'Qualifying Scores'!$A$4:$A$7,'Qualifying Scores'!$G$4:$G$7),"P",""))</f>
        <v>P</v>
      </c>
      <c r="L79" s="3" t="str">
        <f>IF(G79="Not Age Eligible","",IF(MAX(U79,W79,Y79,AA79)&gt;=LOOKUP(G79,'Qualifying Scores'!$A$10:$A$13,'Qualifying Scores'!$G$10:$G$13),"P",""))</f>
        <v>P</v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Scores'!G$13),AND(G79="15-16",U79&gt;='Qualifying Scores'!G$12),AND(G79="13-14",U79&gt;='Qualifying Scores'!G$11),AND(G79="11-12",U79&gt;='Qualifying Scores'!G$10)),T79,0),IF(OR(AND(G79="17-21",W79&gt;='Qualifying Scores'!G$13),AND(G79="15-16",W79&gt;='Qualifying Scores'!G$12),AND(G79="13-14",W79&gt;='Qualifying Scores'!G$11),AND(G79="11-12",W79&gt;='Qualifying Scores'!G$10)),V79,0),IF(OR(AND(G79="17-21",Y79&gt;='Qualifying Scores'!G$13),AND(G79="15-16",Y79&gt;='Qualifying Scores'!G$12),AND(G79="13-14",Y79&gt;='Qualifying Scores'!G$11),AND(G79="11-12",Y79&gt;='Qualifying Scores'!G$10)),X79,0),IF(OR(AND(G79="17-21",AA79&gt;='Qualifying Scores'!G$13),AND(G79="15-16",AA79&gt;='Qualifying Scores'!G$12),AND(G79="13-14",AA79&gt;='Qualifying Scores'!G$11),AND(G79="11-12",AA79&gt;='Qualifying Scores'!G$10)),Z79,0)))</f>
        <v>44.74</v>
      </c>
      <c r="S79" s="4">
        <f>MAX(T79,V79,X79,Z79)</f>
        <v>44.74</v>
      </c>
      <c r="T79" s="33">
        <v>44.74</v>
      </c>
      <c r="U79" s="40">
        <v>7.5</v>
      </c>
      <c r="V79" s="34">
        <v>22.2</v>
      </c>
      <c r="W79" s="40">
        <v>3.5</v>
      </c>
      <c r="X79" s="33">
        <v>43.599999999999994</v>
      </c>
      <c r="Y79" s="40">
        <v>7.5</v>
      </c>
      <c r="Z79" s="34">
        <v>44.2</v>
      </c>
      <c r="AA79" s="37">
        <v>7.9</v>
      </c>
    </row>
    <row r="80" spans="1:27" x14ac:dyDescent="0.2">
      <c r="A80" s="1" t="str" cm="1">
        <f t="array" ref="A80">IF(I80="","",IF(P80&lt;&gt;"",SUMPRODUCT((P$3:P$88&lt;&gt;"")*(G$3:G$88=G80)*(J$3:J$88&gt;J80)*(I$3:I$88="P"))+1,IF(O80&lt;&gt;"",SUMPRODUCT((O$3:O$88&lt;&gt;"")*(P$3:P$88="")*(G$3:G$88=G80)*(J$3:J$88&gt;J80)*(I$3:I$88="P"))+SUMPRODUCT((P$3:P$88&lt;&gt;"")*(G$3:G$88=G80)*(I$3:I$88="P"))+1,IF(N80&lt;&gt;"",SUMPRODUCT((N$3:N$88&lt;&gt;"")*(G$3:G$88=G80)*(J$3:J$88&gt;J80)*(I$3:I$88="P"))+1,IF(M80="P",SUMPRODUCT((O$3:O$88&lt;&gt;"")*(P$3:P$88="")*(G$3:G$88=G80)*(I$3:I$88="P"))+SUMPRODUCT((P$3:P$88&lt;&gt;"")*(G$3:G$88=G80)*(I$3:I$88="P"))+SUMPRODUCT((N$3:N$88&lt;&gt;"")*(G$3:G$88=G80)*(I$3:I$88="P"))+SUMPRODUCT((P$3:P$88="")*(O$3:O$88="")*(N$3:N$88="")*(M$3:M$88="P")*(G$3:G$88=G80)*(J$3:J$88&gt;J80)*(I$3:I$88="P"))+IF(H80="L5",SUMPRODUCT((P$3:P$88="")*(O$3:O$88="")*(N$3:N$88="")*(M$3:M$88="P")*(G$3:G$88=G80)*(J$3:J$88&lt;J80)*(H$3:H$88&lt;&gt;H80)*(I$3:I$88="P")),-1*SUMPRODUCT((P$3:P$88="")*(O$3:O$88="")*(N$3:N$88="")*(M$3:M$88="P")*(G$3:G$88=G80)*(J$3:J$88&gt;J80)*(H$3:H$88="L5")*(I$3:I$88="P")))+1,"")))))</f>
        <v/>
      </c>
      <c r="B80" s="1" t="str" cm="1">
        <f t="array" ref="B80">IF(P80&lt;&gt;"",SUMPRODUCT((P$3:P$88&lt;&gt;"")*(G$3:G$88=G80)*(J$3:J$88&gt;J80))+1,IF(O80&lt;&gt;"",SUMPRODUCT((O$3:O$88&lt;&gt;"")*(P$3:P$88="")*(G$3:G$88=G80)*(J$3:J$88&gt;J80))+SUMPRODUCT((P$3:P$88&lt;&gt;"")*(G$3:G$88=G80))+1,IF(N80&lt;&gt;"",SUMPRODUCT((N$3:N$88&lt;&gt;"")*(G$3:G$88=G80)*(J$3:J$88&gt;J80))+1,IF(M80="P",SUMPRODUCT((O$3:O$88&lt;&gt;"")*(P$3:P$88="")*(G$3:G$88=G80))+SUMPRODUCT((P$3:P$88&lt;&gt;"")*(G$3:G$88=G80))+SUMPRODUCT((N$3:N$88&lt;&gt;"")*(G$3:G$88=G80))+SUMPRODUCT((P$3:P$88="")*(O$3:O$88="")*(N$3:N$88="")*(M$3:M$88="P")*(G$3:G$88=G80)*(J$3:J$88&gt;J80))+IF(H80="L5",SUMPRODUCT((P$3:P$88="")*(O$3:O$88="")*(N$3:N$88="")*(M$3:M$88="P")*(G$3:G$88=G80)*(J$3:J$88&lt;J80)*(H$3:H$88&lt;&gt;H80)),-1*SUMPRODUCT((P$3:P$88="")*(O$3:O$88="")*(N$3:N$88="")*(M$3:M$88="P")*(G$3:G$88=G80)*(J$3:J$88&gt;J80)*(H$3:H$88="L5")))+1,""))))</f>
        <v/>
      </c>
      <c r="C80" s="36" t="s">
        <v>603</v>
      </c>
      <c r="D80" s="36" t="str">
        <f>IF(E80="","",VLOOKUP(E80,'Coaching Points'!A:B,2,0))</f>
        <v>QC</v>
      </c>
      <c r="E80" s="36" t="s">
        <v>62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Scores'!$B$1-F80&gt;10,"11-12,""Not Age Eligible")))))</f>
        <v>13-14</v>
      </c>
      <c r="H80" s="39" t="s">
        <v>115</v>
      </c>
      <c r="I80" s="45"/>
      <c r="J80" s="4">
        <f>R80+IF(OR(H80="Junior",H80="Senior"),0.0002,IF(OR(H80="L7",H80="L6"),0.0001,0))+MAX(X80,Z80)*0.0000001</f>
        <v>43.30000433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>P</v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49" t="str">
        <f>IF(A80&lt;5,IF(_xlfn.MAXIFS(A:A,G:G,G80)&gt;3,5-A80,_xlfn.MAXIFS(A:A,G:G,G80)+1-A80),"")</f>
        <v/>
      </c>
      <c r="R80" s="4">
        <f>IF(G80="Not Age Eligible",0,MAX(IF(OR(AND(G80="17-21",U80&gt;='Qualifying Scores'!G$13),AND(G80="15-16",U80&gt;='Qualifying Scores'!G$12),AND(G80="13-14",U80&gt;='Qualifying Scores'!G$11),AND(G80="11-12",U80&gt;='Qualifying Scores'!G$10)),T80,0),IF(OR(AND(G80="17-21",W80&gt;='Qualifying Scores'!G$13),AND(G80="15-16",W80&gt;='Qualifying Scores'!G$12),AND(G80="13-14",W80&gt;='Qualifying Scores'!G$11),AND(G80="11-12",W80&gt;='Qualifying Scores'!G$10)),V80,0),IF(OR(AND(G80="17-21",Y80&gt;='Qualifying Scores'!G$13),AND(G80="15-16",Y80&gt;='Qualifying Scores'!G$12),AND(G80="13-14",Y80&gt;='Qualifying Scores'!G$11),AND(G80="11-12",Y80&gt;='Qualifying Scores'!G$10)),X80,0),IF(OR(AND(G80="17-21",AA80&gt;='Qualifying Scores'!G$13),AND(G80="15-16",AA80&gt;='Qualifying Scores'!G$12),AND(G80="13-14",AA80&gt;='Qualifying Scores'!G$11),AND(G80="11-12",AA80&gt;='Qualifying Scores'!G$10)),Z80,0)))</f>
        <v>43.3</v>
      </c>
      <c r="S80" s="4">
        <f>MAX(T80,V80,X80,Z80)</f>
        <v>43.3</v>
      </c>
      <c r="T80" s="33">
        <v>42.199999999999996</v>
      </c>
      <c r="U80" s="40">
        <v>4.9000000000000004</v>
      </c>
      <c r="V80" s="34">
        <v>42.6</v>
      </c>
      <c r="W80" s="40">
        <v>5</v>
      </c>
      <c r="X80" s="33">
        <v>43.3</v>
      </c>
      <c r="Y80" s="40">
        <v>6.4</v>
      </c>
      <c r="Z80" s="34">
        <v>42.400000000000006</v>
      </c>
      <c r="AA80" s="37">
        <v>4.8000000000000007</v>
      </c>
    </row>
    <row r="81" spans="1:27" x14ac:dyDescent="0.2">
      <c r="A81" s="1" t="str" cm="1">
        <f t="array" ref="A81">IF(I81="","",IF(P81&lt;&gt;"",SUMPRODUCT((P$3:P$88&lt;&gt;"")*(G$3:G$88=G81)*(J$3:J$88&gt;J81)*(I$3:I$88="P"))+1,IF(O81&lt;&gt;"",SUMPRODUCT((O$3:O$88&lt;&gt;"")*(P$3:P$88="")*(G$3:G$88=G81)*(J$3:J$88&gt;J81)*(I$3:I$88="P"))+SUMPRODUCT((P$3:P$88&lt;&gt;"")*(G$3:G$88=G81)*(I$3:I$88="P"))+1,IF(N81&lt;&gt;"",SUMPRODUCT((N$3:N$88&lt;&gt;"")*(G$3:G$88=G81)*(J$3:J$88&gt;J81)*(I$3:I$88="P"))+1,IF(M81="P",SUMPRODUCT((O$3:O$88&lt;&gt;"")*(P$3:P$88="")*(G$3:G$88=G81)*(I$3:I$88="P"))+SUMPRODUCT((P$3:P$88&lt;&gt;"")*(G$3:G$88=G81)*(I$3:I$88="P"))+SUMPRODUCT((N$3:N$88&lt;&gt;"")*(G$3:G$88=G81)*(I$3:I$88="P"))+SUMPRODUCT((P$3:P$88="")*(O$3:O$88="")*(N$3:N$88="")*(M$3:M$88="P")*(G$3:G$88=G81)*(J$3:J$88&gt;J81)*(I$3:I$88="P"))+IF(H81="L5",SUMPRODUCT((P$3:P$88="")*(O$3:O$88="")*(N$3:N$88="")*(M$3:M$88="P")*(G$3:G$88=G81)*(J$3:J$88&lt;J81)*(H$3:H$88&lt;&gt;H81)*(I$3:I$88="P")),-1*SUMPRODUCT((P$3:P$88="")*(O$3:O$88="")*(N$3:N$88="")*(M$3:M$88="P")*(G$3:G$88=G81)*(J$3:J$88&gt;J81)*(H$3:H$88="L5")*(I$3:I$88="P")))+1,"")))))</f>
        <v/>
      </c>
      <c r="B81" s="1" t="str" cm="1">
        <f t="array" ref="B81">IF(P81&lt;&gt;"",SUMPRODUCT((P$3:P$88&lt;&gt;"")*(G$3:G$88=G81)*(J$3:J$88&gt;J81))+1,IF(O81&lt;&gt;"",SUMPRODUCT((O$3:O$88&lt;&gt;"")*(P$3:P$88="")*(G$3:G$88=G81)*(J$3:J$88&gt;J81))+SUMPRODUCT((P$3:P$88&lt;&gt;"")*(G$3:G$88=G81))+1,IF(N81&lt;&gt;"",SUMPRODUCT((N$3:N$88&lt;&gt;"")*(G$3:G$88=G81)*(J$3:J$88&gt;J81))+1,IF(M81="P",SUMPRODUCT((O$3:O$88&lt;&gt;"")*(P$3:P$88="")*(G$3:G$88=G81))+SUMPRODUCT((P$3:P$88&lt;&gt;"")*(G$3:G$88=G81))+SUMPRODUCT((N$3:N$88&lt;&gt;"")*(G$3:G$88=G81))+SUMPRODUCT((P$3:P$88="")*(O$3:O$88="")*(N$3:N$88="")*(M$3:M$88="P")*(G$3:G$88=G81)*(J$3:J$88&gt;J81))+IF(H81="L5",SUMPRODUCT((P$3:P$88="")*(O$3:O$88="")*(N$3:N$88="")*(M$3:M$88="P")*(G$3:G$88=G81)*(J$3:J$88&lt;J81)*(H$3:H$88&lt;&gt;H81)),-1*SUMPRODUCT((P$3:P$88="")*(O$3:O$88="")*(N$3:N$88="")*(M$3:M$88="P")*(G$3:G$88=G81)*(J$3:J$88&gt;J81)*(H$3:H$88="L5")))+1,""))))</f>
        <v/>
      </c>
      <c r="C81" s="36" t="s">
        <v>416</v>
      </c>
      <c r="D81" s="36" t="str">
        <f>IF(E81="","",VLOOKUP(E81,'Coaching Points'!A:B,2,0))</f>
        <v>AB</v>
      </c>
      <c r="E81" s="36" t="s">
        <v>61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Scores'!$B$1-F81&gt;10,"11-12,""Not Age Eligible")))))</f>
        <v>13-14</v>
      </c>
      <c r="H81" s="39" t="s">
        <v>115</v>
      </c>
      <c r="I81" s="45"/>
      <c r="J81" s="4">
        <f>R81+IF(OR(H81="Junior",H81="Senior"),0.0002,IF(OR(H81="L7",H81="L6"),0.0001,0))+MAX(X81,Z81)*0.0000001</f>
        <v>42.800004279999996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>P</v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49" t="str">
        <f>IF(A81&lt;5,IF(_xlfn.MAXIFS(A:A,G:G,G81)&gt;3,5-A81,_xlfn.MAXIFS(A:A,G:G,G81)+1-A81),"")</f>
        <v/>
      </c>
      <c r="R81" s="4">
        <f>IF(G81="Not Age Eligible",0,MAX(IF(OR(AND(G81="17-21",U81&gt;='Qualifying Scores'!G$13),AND(G81="15-16",U81&gt;='Qualifying Scores'!G$12),AND(G81="13-14",U81&gt;='Qualifying Scores'!G$11),AND(G81="11-12",U81&gt;='Qualifying Scores'!G$10)),T81,0),IF(OR(AND(G81="17-21",W81&gt;='Qualifying Scores'!G$13),AND(G81="15-16",W81&gt;='Qualifying Scores'!G$12),AND(G81="13-14",W81&gt;='Qualifying Scores'!G$11),AND(G81="11-12",W81&gt;='Qualifying Scores'!G$10)),V81,0),IF(OR(AND(G81="17-21",Y81&gt;='Qualifying Scores'!G$13),AND(G81="15-16",Y81&gt;='Qualifying Scores'!G$12),AND(G81="13-14",Y81&gt;='Qualifying Scores'!G$11),AND(G81="11-12",Y81&gt;='Qualifying Scores'!G$10)),X81,0),IF(OR(AND(G81="17-21",AA81&gt;='Qualifying Scores'!G$13),AND(G81="15-16",AA81&gt;='Qualifying Scores'!G$12),AND(G81="13-14",AA81&gt;='Qualifying Scores'!G$11),AND(G81="11-12",AA81&gt;='Qualifying Scores'!G$10)),Z81,0)))</f>
        <v>42.8</v>
      </c>
      <c r="S81" s="4">
        <f>MAX(T81,V81,X81,Z81)</f>
        <v>42.8</v>
      </c>
      <c r="T81" s="33"/>
      <c r="U81" s="40"/>
      <c r="V81" s="34"/>
      <c r="W81" s="40"/>
      <c r="X81" s="33">
        <v>42.6</v>
      </c>
      <c r="Y81" s="40">
        <v>6.4</v>
      </c>
      <c r="Z81" s="34">
        <v>42.8</v>
      </c>
      <c r="AA81" s="37">
        <v>6.5</v>
      </c>
    </row>
    <row r="82" spans="1:27" x14ac:dyDescent="0.2">
      <c r="A82" s="1" t="str" cm="1">
        <f t="array" ref="A82">IF(I82="","",IF(P82&lt;&gt;"",SUMPRODUCT((P$3:P$88&lt;&gt;"")*(G$3:G$88=G82)*(J$3:J$88&gt;J82)*(I$3:I$88="P"))+1,IF(O82&lt;&gt;"",SUMPRODUCT((O$3:O$88&lt;&gt;"")*(P$3:P$88="")*(G$3:G$88=G82)*(J$3:J$88&gt;J82)*(I$3:I$88="P"))+SUMPRODUCT((P$3:P$88&lt;&gt;"")*(G$3:G$88=G82)*(I$3:I$88="P"))+1,IF(N82&lt;&gt;"",SUMPRODUCT((N$3:N$88&lt;&gt;"")*(G$3:G$88=G82)*(J$3:J$88&gt;J82)*(I$3:I$88="P"))+1,IF(M82="P",SUMPRODUCT((O$3:O$88&lt;&gt;"")*(P$3:P$88="")*(G$3:G$88=G82)*(I$3:I$88="P"))+SUMPRODUCT((P$3:P$88&lt;&gt;"")*(G$3:G$88=G82)*(I$3:I$88="P"))+SUMPRODUCT((N$3:N$88&lt;&gt;"")*(G$3:G$88=G82)*(I$3:I$88="P"))+SUMPRODUCT((P$3:P$88="")*(O$3:O$88="")*(N$3:N$88="")*(M$3:M$88="P")*(G$3:G$88=G82)*(J$3:J$88&gt;J82)*(I$3:I$88="P"))+IF(H82="L5",SUMPRODUCT((P$3:P$88="")*(O$3:O$88="")*(N$3:N$88="")*(M$3:M$88="P")*(G$3:G$88=G82)*(J$3:J$88&lt;J82)*(H$3:H$88&lt;&gt;H82)*(I$3:I$88="P")),-1*SUMPRODUCT((P$3:P$88="")*(O$3:O$88="")*(N$3:N$88="")*(M$3:M$88="P")*(G$3:G$88=G82)*(J$3:J$88&gt;J82)*(H$3:H$88="L5")*(I$3:I$88="P")))+1,"")))))</f>
        <v/>
      </c>
      <c r="B82" s="1" t="str" cm="1">
        <f t="array" ref="B82">IF(P82&lt;&gt;"",SUMPRODUCT((P$3:P$88&lt;&gt;"")*(G$3:G$88=G82)*(J$3:J$88&gt;J82))+1,IF(O82&lt;&gt;"",SUMPRODUCT((O$3:O$88&lt;&gt;"")*(P$3:P$88="")*(G$3:G$88=G82)*(J$3:J$88&gt;J82))+SUMPRODUCT((P$3:P$88&lt;&gt;"")*(G$3:G$88=G82))+1,IF(N82&lt;&gt;"",SUMPRODUCT((N$3:N$88&lt;&gt;"")*(G$3:G$88=G82)*(J$3:J$88&gt;J82))+1,IF(M82="P",SUMPRODUCT((O$3:O$88&lt;&gt;"")*(P$3:P$88="")*(G$3:G$88=G82))+SUMPRODUCT((P$3:P$88&lt;&gt;"")*(G$3:G$88=G82))+SUMPRODUCT((N$3:N$88&lt;&gt;"")*(G$3:G$88=G82))+SUMPRODUCT((P$3:P$88="")*(O$3:O$88="")*(N$3:N$88="")*(M$3:M$88="P")*(G$3:G$88=G82)*(J$3:J$88&gt;J82))+IF(H82="L5",SUMPRODUCT((P$3:P$88="")*(O$3:O$88="")*(N$3:N$88="")*(M$3:M$88="P")*(G$3:G$88=G82)*(J$3:J$88&lt;J82)*(H$3:H$88&lt;&gt;H82)),-1*SUMPRODUCT((P$3:P$88="")*(O$3:O$88="")*(N$3:N$88="")*(M$3:M$88="P")*(G$3:G$88=G82)*(J$3:J$88&gt;J82)*(H$3:H$88="L5")))+1,""))))</f>
        <v/>
      </c>
      <c r="C82" s="36" t="s">
        <v>518</v>
      </c>
      <c r="D82" s="36" t="str">
        <f>IF(E82="","",VLOOKUP(E82,'Coaching Points'!A:B,2,0))</f>
        <v>AB</v>
      </c>
      <c r="E82" s="36" t="s">
        <v>29</v>
      </c>
      <c r="F82" s="35">
        <v>2009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Scores'!$B$1-F82&gt;10,"11-12,""Not Age Eligible")))))</f>
        <v>13-14</v>
      </c>
      <c r="H82" s="39" t="s">
        <v>115</v>
      </c>
      <c r="I82" s="45"/>
      <c r="J82" s="4">
        <f>R82+IF(OR(H82="Junior",H82="Senior"),0.0002,IF(OR(H82="L7",H82="L6"),0.0001,0))+MAX(X82,Z82)*0.0000001</f>
        <v>4.2599999999999999E-6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49" t="str">
        <f>IF(A82&lt;5,IF(_xlfn.MAXIFS(A:A,G:G,G82)&gt;3,5-A82,_xlfn.MAXIFS(A:A,G:G,G82)+1-A82),"")</f>
        <v/>
      </c>
      <c r="R82" s="4">
        <f>IF(G82="Not Age Eligible",0,MAX(IF(OR(AND(G82="17-21",U82&gt;='Qualifying Scores'!G$13),AND(G82="15-16",U82&gt;='Qualifying Scores'!G$12),AND(G82="13-14",U82&gt;='Qualifying Scores'!G$11),AND(G82="11-12",U82&gt;='Qualifying Scores'!G$10)),T82,0),IF(OR(AND(G82="17-21",W82&gt;='Qualifying Scores'!G$13),AND(G82="15-16",W82&gt;='Qualifying Scores'!G$12),AND(G82="13-14",W82&gt;='Qualifying Scores'!G$11),AND(G82="11-12",W82&gt;='Qualifying Scores'!G$10)),V82,0),IF(OR(AND(G82="17-21",Y82&gt;='Qualifying Scores'!G$13),AND(G82="15-16",Y82&gt;='Qualifying Scores'!G$12),AND(G82="13-14",Y82&gt;='Qualifying Scores'!G$11),AND(G82="11-12",Y82&gt;='Qualifying Scores'!G$10)),X82,0),IF(OR(AND(G82="17-21",AA82&gt;='Qualifying Scores'!G$13),AND(G82="15-16",AA82&gt;='Qualifying Scores'!G$12),AND(G82="13-14",AA82&gt;='Qualifying Scores'!G$11),AND(G82="11-12",AA82&gt;='Qualifying Scores'!G$10)),Z82,0)))</f>
        <v>0</v>
      </c>
      <c r="S82" s="4">
        <f>MAX(T82,V82,X82,Z82)</f>
        <v>42.6</v>
      </c>
      <c r="T82" s="33"/>
      <c r="U82" s="40"/>
      <c r="V82" s="34"/>
      <c r="W82" s="40"/>
      <c r="X82" s="33">
        <v>42.6</v>
      </c>
      <c r="Y82" s="40">
        <v>4.8000000000000007</v>
      </c>
      <c r="Z82" s="34">
        <v>41.400000000000006</v>
      </c>
      <c r="AA82" s="37">
        <v>4.3000000000000007</v>
      </c>
    </row>
    <row r="83" spans="1:27" x14ac:dyDescent="0.2">
      <c r="A83" s="1" t="str" cm="1">
        <f t="array" ref="A83">IF(I83="","",IF(P83&lt;&gt;"",SUMPRODUCT((P$3:P$88&lt;&gt;"")*(G$3:G$88=G83)*(J$3:J$88&gt;J83)*(I$3:I$88="P"))+1,IF(O83&lt;&gt;"",SUMPRODUCT((O$3:O$88&lt;&gt;"")*(P$3:P$88="")*(G$3:G$88=G83)*(J$3:J$88&gt;J83)*(I$3:I$88="P"))+SUMPRODUCT((P$3:P$88&lt;&gt;"")*(G$3:G$88=G83)*(I$3:I$88="P"))+1,IF(N83&lt;&gt;"",SUMPRODUCT((N$3:N$88&lt;&gt;"")*(G$3:G$88=G83)*(J$3:J$88&gt;J83)*(I$3:I$88="P"))+1,IF(M83="P",SUMPRODUCT((O$3:O$88&lt;&gt;"")*(P$3:P$88="")*(G$3:G$88=G83)*(I$3:I$88="P"))+SUMPRODUCT((P$3:P$88&lt;&gt;"")*(G$3:G$88=G83)*(I$3:I$88="P"))+SUMPRODUCT((N$3:N$88&lt;&gt;"")*(G$3:G$88=G83)*(I$3:I$88="P"))+SUMPRODUCT((P$3:P$88="")*(O$3:O$88="")*(N$3:N$88="")*(M$3:M$88="P")*(G$3:G$88=G83)*(J$3:J$88&gt;J83)*(I$3:I$88="P"))+IF(H83="L5",SUMPRODUCT((P$3:P$88="")*(O$3:O$88="")*(N$3:N$88="")*(M$3:M$88="P")*(G$3:G$88=G83)*(J$3:J$88&lt;J83)*(H$3:H$88&lt;&gt;H83)*(I$3:I$88="P")),-1*SUMPRODUCT((P$3:P$88="")*(O$3:O$88="")*(N$3:N$88="")*(M$3:M$88="P")*(G$3:G$88=G83)*(J$3:J$88&gt;J83)*(H$3:H$88="L5")*(I$3:I$88="P")))+1,"")))))</f>
        <v/>
      </c>
      <c r="B83" s="1" t="str" cm="1">
        <f t="array" ref="B83">IF(P83&lt;&gt;"",SUMPRODUCT((P$3:P$88&lt;&gt;"")*(G$3:G$88=G83)*(J$3:J$88&gt;J83))+1,IF(O83&lt;&gt;"",SUMPRODUCT((O$3:O$88&lt;&gt;"")*(P$3:P$88="")*(G$3:G$88=G83)*(J$3:J$88&gt;J83))+SUMPRODUCT((P$3:P$88&lt;&gt;"")*(G$3:G$88=G83))+1,IF(N83&lt;&gt;"",SUMPRODUCT((N$3:N$88&lt;&gt;"")*(G$3:G$88=G83)*(J$3:J$88&gt;J83))+1,IF(M83="P",SUMPRODUCT((O$3:O$88&lt;&gt;"")*(P$3:P$88="")*(G$3:G$88=G83))+SUMPRODUCT((P$3:P$88&lt;&gt;"")*(G$3:G$88=G83))+SUMPRODUCT((N$3:N$88&lt;&gt;"")*(G$3:G$88=G83))+SUMPRODUCT((P$3:P$88="")*(O$3:O$88="")*(N$3:N$88="")*(M$3:M$88="P")*(G$3:G$88=G83)*(J$3:J$88&gt;J83))+IF(H83="L5",SUMPRODUCT((P$3:P$88="")*(O$3:O$88="")*(N$3:N$88="")*(M$3:M$88="P")*(G$3:G$88=G83)*(J$3:J$88&lt;J83)*(H$3:H$88&lt;&gt;H83)),-1*SUMPRODUCT((P$3:P$88="")*(O$3:O$88="")*(N$3:N$88="")*(M$3:M$88="P")*(G$3:G$88=G83)*(J$3:J$88&gt;J83)*(H$3:H$88="L5")))+1,""))))</f>
        <v/>
      </c>
      <c r="C83" s="36" t="s">
        <v>63</v>
      </c>
      <c r="D83" s="36" t="str">
        <f>IF(E83="","",VLOOKUP(E83,'Coaching Points'!A:B,2,0))</f>
        <v>ON</v>
      </c>
      <c r="E83" s="36" t="s">
        <v>48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Scores'!$B$1-F83&gt;10,"11-12,""Not Age Eligible")))))</f>
        <v>13-14</v>
      </c>
      <c r="H83" s="39" t="s">
        <v>115</v>
      </c>
      <c r="I83" s="45" t="s">
        <v>604</v>
      </c>
      <c r="J83" s="4">
        <f>R83+IF(OR(H83="Junior",H83="Senior"),0.0002,IF(OR(H83="L7",H83="L6"),0.0001,0))+MAX(X83,Z83)*0.0000001</f>
        <v>4.2200000000000003E-6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49" t="str">
        <f>IF(A83&lt;5,IF(_xlfn.MAXIFS(A:A,G:G,G83)&gt;3,5-A83,_xlfn.MAXIFS(A:A,G:G,G83)+1-A83),"")</f>
        <v/>
      </c>
      <c r="R83" s="4">
        <f>IF(G83="Not Age Eligible",0,MAX(IF(OR(AND(G83="17-21",U83&gt;='Qualifying Scores'!G$13),AND(G83="15-16",U83&gt;='Qualifying Scores'!G$12),AND(G83="13-14",U83&gt;='Qualifying Scores'!G$11),AND(G83="11-12",U83&gt;='Qualifying Scores'!G$10)),T83,0),IF(OR(AND(G83="17-21",W83&gt;='Qualifying Scores'!G$13),AND(G83="15-16",W83&gt;='Qualifying Scores'!G$12),AND(G83="13-14",W83&gt;='Qualifying Scores'!G$11),AND(G83="11-12",W83&gt;='Qualifying Scores'!G$10)),V83,0),IF(OR(AND(G83="17-21",Y83&gt;='Qualifying Scores'!G$13),AND(G83="15-16",Y83&gt;='Qualifying Scores'!G$12),AND(G83="13-14",Y83&gt;='Qualifying Scores'!G$11),AND(G83="11-12",Y83&gt;='Qualifying Scores'!G$10)),X83,0),IF(OR(AND(G83="17-21",AA83&gt;='Qualifying Scores'!G$13),AND(G83="15-16",AA83&gt;='Qualifying Scores'!G$12),AND(G83="13-14",AA83&gt;='Qualifying Scores'!G$11),AND(G83="11-12",AA83&gt;='Qualifying Scores'!G$10)),Z83,0)))</f>
        <v>0</v>
      </c>
      <c r="S83" s="4">
        <f>MAX(T83,V83,X83,Z83)</f>
        <v>42.2</v>
      </c>
      <c r="T83" s="33">
        <v>40.5</v>
      </c>
      <c r="U83" s="40">
        <v>5.8</v>
      </c>
      <c r="V83" s="34">
        <v>41.3</v>
      </c>
      <c r="W83" s="40">
        <v>4.3000000000000007</v>
      </c>
      <c r="X83" s="33">
        <v>42.2</v>
      </c>
      <c r="Y83" s="40">
        <v>5.8000000000000007</v>
      </c>
      <c r="Z83" s="34">
        <v>41.4</v>
      </c>
      <c r="AA83" s="37">
        <v>5.0999999999999996</v>
      </c>
    </row>
    <row r="84" spans="1:27" x14ac:dyDescent="0.2">
      <c r="A84" s="1" t="str" cm="1">
        <f t="array" ref="A84">IF(I84="","",IF(P84&lt;&gt;"",SUMPRODUCT((P$3:P$88&lt;&gt;"")*(G$3:G$88=G84)*(J$3:J$88&gt;J84)*(I$3:I$88="P"))+1,IF(O84&lt;&gt;"",SUMPRODUCT((O$3:O$88&lt;&gt;"")*(P$3:P$88="")*(G$3:G$88=G84)*(J$3:J$88&gt;J84)*(I$3:I$88="P"))+SUMPRODUCT((P$3:P$88&lt;&gt;"")*(G$3:G$88=G84)*(I$3:I$88="P"))+1,IF(N84&lt;&gt;"",SUMPRODUCT((N$3:N$88&lt;&gt;"")*(G$3:G$88=G84)*(J$3:J$88&gt;J84)*(I$3:I$88="P"))+1,IF(M84="P",SUMPRODUCT((O$3:O$88&lt;&gt;"")*(P$3:P$88="")*(G$3:G$88=G84)*(I$3:I$88="P"))+SUMPRODUCT((P$3:P$88&lt;&gt;"")*(G$3:G$88=G84)*(I$3:I$88="P"))+SUMPRODUCT((N$3:N$88&lt;&gt;"")*(G$3:G$88=G84)*(I$3:I$88="P"))+SUMPRODUCT((P$3:P$88="")*(O$3:O$88="")*(N$3:N$88="")*(M$3:M$88="P")*(G$3:G$88=G84)*(J$3:J$88&gt;J84)*(I$3:I$88="P"))+IF(H84="L5",SUMPRODUCT((P$3:P$88="")*(O$3:O$88="")*(N$3:N$88="")*(M$3:M$88="P")*(G$3:G$88=G84)*(J$3:J$88&lt;J84)*(H$3:H$88&lt;&gt;H84)*(I$3:I$88="P")),-1*SUMPRODUCT((P$3:P$88="")*(O$3:O$88="")*(N$3:N$88="")*(M$3:M$88="P")*(G$3:G$88=G84)*(J$3:J$88&gt;J84)*(H$3:H$88="L5")*(I$3:I$88="P")))+1,"")))))</f>
        <v/>
      </c>
      <c r="B84" s="1" t="str" cm="1">
        <f t="array" ref="B84">IF(P84&lt;&gt;"",SUMPRODUCT((P$3:P$88&lt;&gt;"")*(G$3:G$88=G84)*(J$3:J$88&gt;J84))+1,IF(O84&lt;&gt;"",SUMPRODUCT((O$3:O$88&lt;&gt;"")*(P$3:P$88="")*(G$3:G$88=G84)*(J$3:J$88&gt;J84))+SUMPRODUCT((P$3:P$88&lt;&gt;"")*(G$3:G$88=G84))+1,IF(N84&lt;&gt;"",SUMPRODUCT((N$3:N$88&lt;&gt;"")*(G$3:G$88=G84)*(J$3:J$88&gt;J84))+1,IF(M84="P",SUMPRODUCT((O$3:O$88&lt;&gt;"")*(P$3:P$88="")*(G$3:G$88=G84))+SUMPRODUCT((P$3:P$88&lt;&gt;"")*(G$3:G$88=G84))+SUMPRODUCT((N$3:N$88&lt;&gt;"")*(G$3:G$88=G84))+SUMPRODUCT((P$3:P$88="")*(O$3:O$88="")*(N$3:N$88="")*(M$3:M$88="P")*(G$3:G$88=G84)*(J$3:J$88&gt;J84))+IF(H84="L5",SUMPRODUCT((P$3:P$88="")*(O$3:O$88="")*(N$3:N$88="")*(M$3:M$88="P")*(G$3:G$88=G84)*(J$3:J$88&lt;J84)*(H$3:H$88&lt;&gt;H84)),-1*SUMPRODUCT((P$3:P$88="")*(O$3:O$88="")*(N$3:N$88="")*(M$3:M$88="P")*(G$3:G$88=G84)*(J$3:J$88&gt;J84)*(H$3:H$88="L5")))+1,""))))</f>
        <v/>
      </c>
      <c r="C84" s="36" t="s">
        <v>413</v>
      </c>
      <c r="D84" s="36" t="str">
        <f>IF(E84="","",VLOOKUP(E84,'Coaching Points'!A:B,2,0))</f>
        <v>BC</v>
      </c>
      <c r="E84" s="36" t="s">
        <v>42</v>
      </c>
      <c r="F84" s="35">
        <v>2009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Scores'!$B$1-F84&gt;10,"11-12,""Not Age Eligible")))))</f>
        <v>13-14</v>
      </c>
      <c r="H84" s="39" t="s">
        <v>115</v>
      </c>
      <c r="I84" s="45"/>
      <c r="J84" s="4">
        <f>R84+IF(OR(H84="Junior",H84="Senior"),0.0002,IF(OR(H84="L7",H84="L6"),0.0001,0))+MAX(X84,Z84)*0.0000001</f>
        <v>4.0100000000000006E-6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49" t="str">
        <f>IF(A84&lt;5,IF(_xlfn.MAXIFS(A:A,G:G,G84)&gt;3,5-A84,_xlfn.MAXIFS(A:A,G:G,G84)+1-A84),"")</f>
        <v/>
      </c>
      <c r="R84" s="4">
        <f>IF(G84="Not Age Eligible",0,MAX(IF(OR(AND(G84="17-21",U84&gt;='Qualifying Scores'!G$13),AND(G84="15-16",U84&gt;='Qualifying Scores'!G$12),AND(G84="13-14",U84&gt;='Qualifying Scores'!G$11),AND(G84="11-12",U84&gt;='Qualifying Scores'!G$10)),T84,0),IF(OR(AND(G84="17-21",W84&gt;='Qualifying Scores'!G$13),AND(G84="15-16",W84&gt;='Qualifying Scores'!G$12),AND(G84="13-14",W84&gt;='Qualifying Scores'!G$11),AND(G84="11-12",W84&gt;='Qualifying Scores'!G$10)),V84,0),IF(OR(AND(G84="17-21",Y84&gt;='Qualifying Scores'!G$13),AND(G84="15-16",Y84&gt;='Qualifying Scores'!G$12),AND(G84="13-14",Y84&gt;='Qualifying Scores'!G$11),AND(G84="11-12",Y84&gt;='Qualifying Scores'!G$10)),X84,0),IF(OR(AND(G84="17-21",AA84&gt;='Qualifying Scores'!G$13),AND(G84="15-16",AA84&gt;='Qualifying Scores'!G$12),AND(G84="13-14",AA84&gt;='Qualifying Scores'!G$11),AND(G84="11-12",AA84&gt;='Qualifying Scores'!G$10)),Z84,0)))</f>
        <v>0</v>
      </c>
      <c r="S84" s="4">
        <f>MAX(T84,V84,X84,Z84)</f>
        <v>40.100000000000009</v>
      </c>
      <c r="T84" s="33"/>
      <c r="U84" s="40"/>
      <c r="V84" s="34"/>
      <c r="W84" s="40"/>
      <c r="X84" s="33">
        <v>38.9</v>
      </c>
      <c r="Y84" s="40">
        <v>4.5</v>
      </c>
      <c r="Z84" s="34">
        <v>40.100000000000009</v>
      </c>
      <c r="AA84" s="37">
        <v>4.0999999999999996</v>
      </c>
    </row>
    <row r="85" spans="1:27" x14ac:dyDescent="0.2">
      <c r="A85" s="1" t="str" cm="1">
        <f t="array" ref="A85">IF(I85="","",IF(P85&lt;&gt;"",SUMPRODUCT((P$3:P$88&lt;&gt;"")*(G$3:G$88=G85)*(J$3:J$88&gt;J85)*(I$3:I$88="P"))+1,IF(O85&lt;&gt;"",SUMPRODUCT((O$3:O$88&lt;&gt;"")*(P$3:P$88="")*(G$3:G$88=G85)*(J$3:J$88&gt;J85)*(I$3:I$88="P"))+SUMPRODUCT((P$3:P$88&lt;&gt;"")*(G$3:G$88=G85)*(I$3:I$88="P"))+1,IF(N85&lt;&gt;"",SUMPRODUCT((N$3:N$88&lt;&gt;"")*(G$3:G$88=G85)*(J$3:J$88&gt;J85)*(I$3:I$88="P"))+1,IF(M85="P",SUMPRODUCT((O$3:O$88&lt;&gt;"")*(P$3:P$88="")*(G$3:G$88=G85)*(I$3:I$88="P"))+SUMPRODUCT((P$3:P$88&lt;&gt;"")*(G$3:G$88=G85)*(I$3:I$88="P"))+SUMPRODUCT((N$3:N$88&lt;&gt;"")*(G$3:G$88=G85)*(I$3:I$88="P"))+SUMPRODUCT((P$3:P$88="")*(O$3:O$88="")*(N$3:N$88="")*(M$3:M$88="P")*(G$3:G$88=G85)*(J$3:J$88&gt;J85)*(I$3:I$88="P"))+IF(H85="L5",SUMPRODUCT((P$3:P$88="")*(O$3:O$88="")*(N$3:N$88="")*(M$3:M$88="P")*(G$3:G$88=G85)*(J$3:J$88&lt;J85)*(H$3:H$88&lt;&gt;H85)*(I$3:I$88="P")),-1*SUMPRODUCT((P$3:P$88="")*(O$3:O$88="")*(N$3:N$88="")*(M$3:M$88="P")*(G$3:G$88=G85)*(J$3:J$88&gt;J85)*(H$3:H$88="L5")*(I$3:I$88="P")))+1,"")))))</f>
        <v/>
      </c>
      <c r="B85" s="1" t="str" cm="1">
        <f t="array" ref="B85">IF(P85&lt;&gt;"",SUMPRODUCT((P$3:P$88&lt;&gt;"")*(G$3:G$88=G85)*(J$3:J$88&gt;J85))+1,IF(O85&lt;&gt;"",SUMPRODUCT((O$3:O$88&lt;&gt;"")*(P$3:P$88="")*(G$3:G$88=G85)*(J$3:J$88&gt;J85))+SUMPRODUCT((P$3:P$88&lt;&gt;"")*(G$3:G$88=G85))+1,IF(N85&lt;&gt;"",SUMPRODUCT((N$3:N$88&lt;&gt;"")*(G$3:G$88=G85)*(J$3:J$88&gt;J85))+1,IF(M85="P",SUMPRODUCT((O$3:O$88&lt;&gt;"")*(P$3:P$88="")*(G$3:G$88=G85))+SUMPRODUCT((P$3:P$88&lt;&gt;"")*(G$3:G$88=G85))+SUMPRODUCT((N$3:N$88&lt;&gt;"")*(G$3:G$88=G85))+SUMPRODUCT((P$3:P$88="")*(O$3:O$88="")*(N$3:N$88="")*(M$3:M$88="P")*(G$3:G$88=G85)*(J$3:J$88&gt;J85))+IF(H85="L5",SUMPRODUCT((P$3:P$88="")*(O$3:O$88="")*(N$3:N$88="")*(M$3:M$88="P")*(G$3:G$88=G85)*(J$3:J$88&lt;J85)*(H$3:H$88&lt;&gt;H85)),-1*SUMPRODUCT((P$3:P$88="")*(O$3:O$88="")*(N$3:N$88="")*(M$3:M$88="P")*(G$3:G$88=G85)*(J$3:J$88&gt;J85)*(H$3:H$88="L5")))+1,""))))</f>
        <v/>
      </c>
      <c r="C85" s="36" t="s">
        <v>412</v>
      </c>
      <c r="D85" s="36" t="str">
        <f>IF(E85="","",VLOOKUP(E85,'Coaching Points'!A:B,2,0))</f>
        <v>AB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Scores'!$B$1-F85&gt;10,"11-12,""Not Age Eligible")))))</f>
        <v>13-14</v>
      </c>
      <c r="H85" s="39" t="s">
        <v>115</v>
      </c>
      <c r="I85" s="45"/>
      <c r="J85" s="4">
        <f>R85+IF(OR(H85="Junior",H85="Senior"),0.0002,IF(OR(H85="L7",H85="L6"),0.0001,0))+MAX(X85,Z85)*0.0000001</f>
        <v>3.9399999999999995E-6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49" t="str">
        <f>IF(A85&lt;5,IF(_xlfn.MAXIFS(A:A,G:G,G85)&gt;3,5-A85,_xlfn.MAXIFS(A:A,G:G,G85)+1-A85),"")</f>
        <v/>
      </c>
      <c r="R85" s="4">
        <f>IF(G85="Not Age Eligible",0,MAX(IF(OR(AND(G85="17-21",U85&gt;='Qualifying Scores'!G$13),AND(G85="15-16",U85&gt;='Qualifying Scores'!G$12),AND(G85="13-14",U85&gt;='Qualifying Scores'!G$11),AND(G85="11-12",U85&gt;='Qualifying Scores'!G$10)),T85,0),IF(OR(AND(G85="17-21",W85&gt;='Qualifying Scores'!G$13),AND(G85="15-16",W85&gt;='Qualifying Scores'!G$12),AND(G85="13-14",W85&gt;='Qualifying Scores'!G$11),AND(G85="11-12",W85&gt;='Qualifying Scores'!G$10)),V85,0),IF(OR(AND(G85="17-21",Y85&gt;='Qualifying Scores'!G$13),AND(G85="15-16",Y85&gt;='Qualifying Scores'!G$12),AND(G85="13-14",Y85&gt;='Qualifying Scores'!G$11),AND(G85="11-12",Y85&gt;='Qualifying Scores'!G$10)),X85,0),IF(OR(AND(G85="17-21",AA85&gt;='Qualifying Scores'!G$13),AND(G85="15-16",AA85&gt;='Qualifying Scores'!G$12),AND(G85="13-14",AA85&gt;='Qualifying Scores'!G$11),AND(G85="11-12",AA85&gt;='Qualifying Scores'!G$10)),Z85,0)))</f>
        <v>0</v>
      </c>
      <c r="S85" s="4">
        <f>MAX(T85,V85,X85,Z85)</f>
        <v>39.4</v>
      </c>
      <c r="T85" s="33"/>
      <c r="U85" s="40"/>
      <c r="V85" s="34"/>
      <c r="W85" s="40"/>
      <c r="X85" s="33">
        <v>39</v>
      </c>
      <c r="Y85" s="40">
        <v>4.5</v>
      </c>
      <c r="Z85" s="34">
        <v>39.4</v>
      </c>
      <c r="AA85" s="37">
        <v>4</v>
      </c>
    </row>
    <row r="86" spans="1:27" x14ac:dyDescent="0.2">
      <c r="A86" s="1" t="str" cm="1">
        <f t="array" ref="A86">IF(I86="","",IF(P86&lt;&gt;"",SUMPRODUCT((P$3:P$88&lt;&gt;"")*(G$3:G$88=G86)*(J$3:J$88&gt;J86)*(I$3:I$88="P"))+1,IF(O86&lt;&gt;"",SUMPRODUCT((O$3:O$88&lt;&gt;"")*(P$3:P$88="")*(G$3:G$88=G86)*(J$3:J$88&gt;J86)*(I$3:I$88="P"))+SUMPRODUCT((P$3:P$88&lt;&gt;"")*(G$3:G$88=G86)*(I$3:I$88="P"))+1,IF(N86&lt;&gt;"",SUMPRODUCT((N$3:N$88&lt;&gt;"")*(G$3:G$88=G86)*(J$3:J$88&gt;J86)*(I$3:I$88="P"))+1,IF(M86="P",SUMPRODUCT((O$3:O$88&lt;&gt;"")*(P$3:P$88="")*(G$3:G$88=G86)*(I$3:I$88="P"))+SUMPRODUCT((P$3:P$88&lt;&gt;"")*(G$3:G$88=G86)*(I$3:I$88="P"))+SUMPRODUCT((N$3:N$88&lt;&gt;"")*(G$3:G$88=G86)*(I$3:I$88="P"))+SUMPRODUCT((P$3:P$88="")*(O$3:O$88="")*(N$3:N$88="")*(M$3:M$88="P")*(G$3:G$88=G86)*(J$3:J$88&gt;J86)*(I$3:I$88="P"))+IF(H86="L5",SUMPRODUCT((P$3:P$88="")*(O$3:O$88="")*(N$3:N$88="")*(M$3:M$88="P")*(G$3:G$88=G86)*(J$3:J$88&lt;J86)*(H$3:H$88&lt;&gt;H86)*(I$3:I$88="P")),-1*SUMPRODUCT((P$3:P$88="")*(O$3:O$88="")*(N$3:N$88="")*(M$3:M$88="P")*(G$3:G$88=G86)*(J$3:J$88&gt;J86)*(H$3:H$88="L5")*(I$3:I$88="P")))+1,"")))))</f>
        <v/>
      </c>
      <c r="B86" s="1" t="str" cm="1">
        <f t="array" ref="B86">IF(P86&lt;&gt;"",SUMPRODUCT((P$3:P$88&lt;&gt;"")*(G$3:G$88=G86)*(J$3:J$88&gt;J86))+1,IF(O86&lt;&gt;"",SUMPRODUCT((O$3:O$88&lt;&gt;"")*(P$3:P$88="")*(G$3:G$88=G86)*(J$3:J$88&gt;J86))+SUMPRODUCT((P$3:P$88&lt;&gt;"")*(G$3:G$88=G86))+1,IF(N86&lt;&gt;"",SUMPRODUCT((N$3:N$88&lt;&gt;"")*(G$3:G$88=G86)*(J$3:J$88&gt;J86))+1,IF(M86="P",SUMPRODUCT((O$3:O$88&lt;&gt;"")*(P$3:P$88="")*(G$3:G$88=G86))+SUMPRODUCT((P$3:P$88&lt;&gt;"")*(G$3:G$88=G86))+SUMPRODUCT((N$3:N$88&lt;&gt;"")*(G$3:G$88=G86))+SUMPRODUCT((P$3:P$88="")*(O$3:O$88="")*(N$3:N$88="")*(M$3:M$88="P")*(G$3:G$88=G86)*(J$3:J$88&gt;J86))+IF(H86="L5",SUMPRODUCT((P$3:P$88="")*(O$3:O$88="")*(N$3:N$88="")*(M$3:M$88="P")*(G$3:G$88=G86)*(J$3:J$88&lt;J86)*(H$3:H$88&lt;&gt;H86)),-1*SUMPRODUCT((P$3:P$88="")*(O$3:O$88="")*(N$3:N$88="")*(M$3:M$88="P")*(G$3:G$88=G86)*(J$3:J$88&gt;J86)*(H$3:H$88="L5")))+1,""))))</f>
        <v/>
      </c>
      <c r="C86" s="36" t="s">
        <v>319</v>
      </c>
      <c r="D86" s="36" t="str">
        <f>IF(E86="","",VLOOKUP(E86,'Coaching Points'!A:B,2,0))</f>
        <v>AB</v>
      </c>
      <c r="E86" s="36" t="s">
        <v>89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Scores'!$B$1-F86&gt;10,"11-12,""Not Age Eligible")))))</f>
        <v>13-14</v>
      </c>
      <c r="H86" s="39" t="s">
        <v>115</v>
      </c>
      <c r="I86" s="45"/>
      <c r="J86" s="4">
        <f>R86+IF(OR(H86="Junior",H86="Senior"),0.0002,IF(OR(H86="L7",H86="L6"),0.0001,0))+MAX(X86,Z86)*0.0000001</f>
        <v>2.1299999999999999E-6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/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49" t="str">
        <f>IF(A86&lt;5,IF(_xlfn.MAXIFS(A:A,G:G,G86)&gt;3,5-A86,_xlfn.MAXIFS(A:A,G:G,G86)+1-A86),"")</f>
        <v/>
      </c>
      <c r="R86" s="4">
        <f>IF(G86="Not Age Eligible",0,MAX(IF(OR(AND(G86="17-21",U86&gt;='Qualifying Scores'!G$13),AND(G86="15-16",U86&gt;='Qualifying Scores'!G$12),AND(G86="13-14",U86&gt;='Qualifying Scores'!G$11),AND(G86="11-12",U86&gt;='Qualifying Scores'!G$10)),T86,0),IF(OR(AND(G86="17-21",W86&gt;='Qualifying Scores'!G$13),AND(G86="15-16",W86&gt;='Qualifying Scores'!G$12),AND(G86="13-14",W86&gt;='Qualifying Scores'!G$11),AND(G86="11-12",W86&gt;='Qualifying Scores'!G$10)),V86,0),IF(OR(AND(G86="17-21",Y86&gt;='Qualifying Scores'!G$13),AND(G86="15-16",Y86&gt;='Qualifying Scores'!G$12),AND(G86="13-14",Y86&gt;='Qualifying Scores'!G$11),AND(G86="11-12",Y86&gt;='Qualifying Scores'!G$10)),X86,0),IF(OR(AND(G86="17-21",AA86&gt;='Qualifying Scores'!G$13),AND(G86="15-16",AA86&gt;='Qualifying Scores'!G$12),AND(G86="13-14",AA86&gt;='Qualifying Scores'!G$11),AND(G86="11-12",AA86&gt;='Qualifying Scores'!G$10)),Z86,0)))</f>
        <v>0</v>
      </c>
      <c r="S86" s="4">
        <f>MAX(T86,V86,X86,Z86)</f>
        <v>21.3</v>
      </c>
      <c r="T86" s="33"/>
      <c r="U86" s="40"/>
      <c r="V86" s="34"/>
      <c r="W86" s="40"/>
      <c r="X86" s="33">
        <v>21.3</v>
      </c>
      <c r="Y86" s="40">
        <v>3.1</v>
      </c>
      <c r="Z86" s="34"/>
      <c r="AA86" s="37"/>
    </row>
    <row r="87" spans="1:27" x14ac:dyDescent="0.2">
      <c r="A87" s="1" t="str" cm="1">
        <f t="array" ref="A87">IF(I87="","",IF(P87&lt;&gt;"",SUMPRODUCT((P$3:P$88&lt;&gt;"")*(G$3:G$88=G87)*(J$3:J$88&gt;J87)*(I$3:I$88="P"))+1,IF(O87&lt;&gt;"",SUMPRODUCT((O$3:O$88&lt;&gt;"")*(P$3:P$88="")*(G$3:G$88=G87)*(J$3:J$88&gt;J87)*(I$3:I$88="P"))+SUMPRODUCT((P$3:P$88&lt;&gt;"")*(G$3:G$88=G87)*(I$3:I$88="P"))+1,IF(N87&lt;&gt;"",SUMPRODUCT((N$3:N$88&lt;&gt;"")*(G$3:G$88=G87)*(J$3:J$88&gt;J87)*(I$3:I$88="P"))+1,IF(M87="P",SUMPRODUCT((O$3:O$88&lt;&gt;"")*(P$3:P$88="")*(G$3:G$88=G87)*(I$3:I$88="P"))+SUMPRODUCT((P$3:P$88&lt;&gt;"")*(G$3:G$88=G87)*(I$3:I$88="P"))+SUMPRODUCT((N$3:N$88&lt;&gt;"")*(G$3:G$88=G87)*(I$3:I$88="P"))+SUMPRODUCT((P$3:P$88="")*(O$3:O$88="")*(N$3:N$88="")*(M$3:M$88="P")*(G$3:G$88=G87)*(J$3:J$88&gt;J87)*(I$3:I$88="P"))+IF(H87="L5",SUMPRODUCT((P$3:P$88="")*(O$3:O$88="")*(N$3:N$88="")*(M$3:M$88="P")*(G$3:G$88=G87)*(J$3:J$88&lt;J87)*(H$3:H$88&lt;&gt;H87)*(I$3:I$88="P")),-1*SUMPRODUCT((P$3:P$88="")*(O$3:O$88="")*(N$3:N$88="")*(M$3:M$88="P")*(G$3:G$88=G87)*(J$3:J$88&gt;J87)*(H$3:H$88="L5")*(I$3:I$88="P")))+1,"")))))</f>
        <v/>
      </c>
      <c r="B87" s="1" t="str" cm="1">
        <f t="array" ref="B87">IF(P87&lt;&gt;"",SUMPRODUCT((P$3:P$88&lt;&gt;"")*(G$3:G$88=G87)*(J$3:J$88&gt;J87))+1,IF(O87&lt;&gt;"",SUMPRODUCT((O$3:O$88&lt;&gt;"")*(P$3:P$88="")*(G$3:G$88=G87)*(J$3:J$88&gt;J87))+SUMPRODUCT((P$3:P$88&lt;&gt;"")*(G$3:G$88=G87))+1,IF(N87&lt;&gt;"",SUMPRODUCT((N$3:N$88&lt;&gt;"")*(G$3:G$88=G87)*(J$3:J$88&gt;J87))+1,IF(M87="P",SUMPRODUCT((O$3:O$88&lt;&gt;"")*(P$3:P$88="")*(G$3:G$88=G87))+SUMPRODUCT((P$3:P$88&lt;&gt;"")*(G$3:G$88=G87))+SUMPRODUCT((N$3:N$88&lt;&gt;"")*(G$3:G$88=G87))+SUMPRODUCT((P$3:P$88="")*(O$3:O$88="")*(N$3:N$88="")*(M$3:M$88="P")*(G$3:G$88=G87)*(J$3:J$88&gt;J87))+IF(H87="L5",SUMPRODUCT((P$3:P$88="")*(O$3:O$88="")*(N$3:N$88="")*(M$3:M$88="P")*(G$3:G$88=G87)*(J$3:J$88&lt;J87)*(H$3:H$88&lt;&gt;H87)),-1*SUMPRODUCT((P$3:P$88="")*(O$3:O$88="")*(N$3:N$88="")*(M$3:M$88="P")*(G$3:G$88=G87)*(J$3:J$88&gt;J87)*(H$3:H$88="L5")))+1,""))))</f>
        <v/>
      </c>
      <c r="C87" s="36" t="s">
        <v>417</v>
      </c>
      <c r="D87" s="36" t="str">
        <f>IF(E87="","",VLOOKUP(E87,'Coaching Points'!A:B,2,0))</f>
        <v>QC</v>
      </c>
      <c r="E87" s="36" t="s">
        <v>195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Scores'!$B$1-F87&gt;10,"11-12,""Not Age Eligible")))))</f>
        <v>13-14</v>
      </c>
      <c r="H87" s="39" t="s">
        <v>115</v>
      </c>
      <c r="I87" s="45"/>
      <c r="J87" s="4">
        <f>R87+IF(OR(H87="Junior",H87="Senior"),0.0002,IF(OR(H87="L7",H87="L6"),0.0001,0))+MAX(X87,Z87)*0.0000001</f>
        <v>2.1299999999999995E-6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49" t="str">
        <f>IF(A87&lt;5,IF(_xlfn.MAXIFS(A:A,G:G,G87)&gt;3,5-A87,_xlfn.MAXIFS(A:A,G:G,G87)+1-A87),"")</f>
        <v/>
      </c>
      <c r="R87" s="4">
        <f>IF(G87="Not Age Eligible",0,MAX(IF(OR(AND(G87="17-21",U87&gt;='Qualifying Scores'!G$13),AND(G87="15-16",U87&gt;='Qualifying Scores'!G$12),AND(G87="13-14",U87&gt;='Qualifying Scores'!G$11),AND(G87="11-12",U87&gt;='Qualifying Scores'!G$10)),T87,0),IF(OR(AND(G87="17-21",W87&gt;='Qualifying Scores'!G$13),AND(G87="15-16",W87&gt;='Qualifying Scores'!G$12),AND(G87="13-14",W87&gt;='Qualifying Scores'!G$11),AND(G87="11-12",W87&gt;='Qualifying Scores'!G$10)),V87,0),IF(OR(AND(G87="17-21",Y87&gt;='Qualifying Scores'!G$13),AND(G87="15-16",Y87&gt;='Qualifying Scores'!G$12),AND(G87="13-14",Y87&gt;='Qualifying Scores'!G$11),AND(G87="11-12",Y87&gt;='Qualifying Scores'!G$10)),X87,0),IF(OR(AND(G87="17-21",AA87&gt;='Qualifying Scores'!G$13),AND(G87="15-16",AA87&gt;='Qualifying Scores'!G$12),AND(G87="13-14",AA87&gt;='Qualifying Scores'!G$11),AND(G87="11-12",AA87&gt;='Qualifying Scores'!G$10)),Z87,0)))</f>
        <v>0</v>
      </c>
      <c r="S87" s="4">
        <f>MAX(T87,V87,X87,Z87)</f>
        <v>21.299999999999997</v>
      </c>
      <c r="T87" s="33"/>
      <c r="U87" s="40"/>
      <c r="V87" s="34"/>
      <c r="W87" s="40"/>
      <c r="X87" s="33">
        <v>21.299999999999997</v>
      </c>
      <c r="Y87" s="40">
        <v>3.1</v>
      </c>
      <c r="Z87" s="34"/>
      <c r="AA87" s="37"/>
    </row>
    <row r="88" spans="1:27" x14ac:dyDescent="0.2">
      <c r="A88" s="1" t="str" cm="1">
        <f t="array" ref="A88">IF(I88="","",IF(P88&lt;&gt;"",SUMPRODUCT((P$3:P$88&lt;&gt;"")*(G$3:G$88=G88)*(J$3:J$88&gt;J88)*(I$3:I$88="P"))+1,IF(O88&lt;&gt;"",SUMPRODUCT((O$3:O$88&lt;&gt;"")*(P$3:P$88="")*(G$3:G$88=G88)*(J$3:J$88&gt;J88)*(I$3:I$88="P"))+SUMPRODUCT((P$3:P$88&lt;&gt;"")*(G$3:G$88=G88)*(I$3:I$88="P"))+1,IF(N88&lt;&gt;"",SUMPRODUCT((N$3:N$88&lt;&gt;"")*(G$3:G$88=G88)*(J$3:J$88&gt;J88)*(I$3:I$88="P"))+1,IF(M88="P",SUMPRODUCT((O$3:O$88&lt;&gt;"")*(P$3:P$88="")*(G$3:G$88=G88)*(I$3:I$88="P"))+SUMPRODUCT((P$3:P$88&lt;&gt;"")*(G$3:G$88=G88)*(I$3:I$88="P"))+SUMPRODUCT((N$3:N$88&lt;&gt;"")*(G$3:G$88=G88)*(I$3:I$88="P"))+SUMPRODUCT((P$3:P$88="")*(O$3:O$88="")*(N$3:N$88="")*(M$3:M$88="P")*(G$3:G$88=G88)*(J$3:J$88&gt;J88)*(I$3:I$88="P"))+IF(H88="L5",SUMPRODUCT((P$3:P$88="")*(O$3:O$88="")*(N$3:N$88="")*(M$3:M$88="P")*(G$3:G$88=G88)*(J$3:J$88&lt;J88)*(H$3:H$88&lt;&gt;H88)*(I$3:I$88="P")),-1*SUMPRODUCT((P$3:P$88="")*(O$3:O$88="")*(N$3:N$88="")*(M$3:M$88="P")*(G$3:G$88=G88)*(J$3:J$88&gt;J88)*(H$3:H$88="L5")*(I$3:I$88="P")))+1,"")))))</f>
        <v/>
      </c>
      <c r="B88" s="1" t="str" cm="1">
        <f t="array" ref="B88">IF(P88&lt;&gt;"",SUMPRODUCT((P$3:P$88&lt;&gt;"")*(G$3:G$88=G88)*(J$3:J$88&gt;J88))+1,IF(O88&lt;&gt;"",SUMPRODUCT((O$3:O$88&lt;&gt;"")*(P$3:P$88="")*(G$3:G$88=G88)*(J$3:J$88&gt;J88))+SUMPRODUCT((P$3:P$88&lt;&gt;"")*(G$3:G$88=G88))+1,IF(N88&lt;&gt;"",SUMPRODUCT((N$3:N$88&lt;&gt;"")*(G$3:G$88=G88)*(J$3:J$88&gt;J88))+1,IF(M88="P",SUMPRODUCT((O$3:O$88&lt;&gt;"")*(P$3:P$88="")*(G$3:G$88=G88))+SUMPRODUCT((P$3:P$88&lt;&gt;"")*(G$3:G$88=G88))+SUMPRODUCT((N$3:N$88&lt;&gt;"")*(G$3:G$88=G88))+SUMPRODUCT((P$3:P$88="")*(O$3:O$88="")*(N$3:N$88="")*(M$3:M$88="P")*(G$3:G$88=G88)*(J$3:J$88&gt;J88))+IF(H88="L5",SUMPRODUCT((P$3:P$88="")*(O$3:O$88="")*(N$3:N$88="")*(M$3:M$88="P")*(G$3:G$88=G88)*(J$3:J$88&lt;J88)*(H$3:H$88&lt;&gt;H88)),-1*SUMPRODUCT((P$3:P$88="")*(O$3:O$88="")*(N$3:N$88="")*(M$3:M$88="P")*(G$3:G$88=G88)*(J$3:J$88&gt;J88)*(H$3:H$88="L5")))+1,""))))</f>
        <v/>
      </c>
      <c r="C88" s="36" t="s">
        <v>415</v>
      </c>
      <c r="D88" s="36" t="str">
        <f>IF(E88="","",VLOOKUP(E88,'Coaching Points'!A:B,2,0))</f>
        <v>ON</v>
      </c>
      <c r="E88" s="36" t="s">
        <v>573</v>
      </c>
      <c r="F88" s="35">
        <v>2009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Scores'!$B$1-F88&gt;10,"11-12,""Not Age Eligible")))))</f>
        <v>13-14</v>
      </c>
      <c r="H88" s="39" t="s">
        <v>115</v>
      </c>
      <c r="I88" s="45"/>
      <c r="J88" s="4">
        <f>R88+IF(OR(H88="Junior",H88="Senior"),0.0002,IF(OR(H88="L7",H88="L6"),0.0001,0))+MAX(X88,Z88)*0.0000001</f>
        <v>2.0999999999999998E-6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49" t="str">
        <f>IF(A88&lt;5,IF(_xlfn.MAXIFS(A:A,G:G,G88)&gt;3,5-A88,_xlfn.MAXIFS(A:A,G:G,G88)+1-A88),"")</f>
        <v/>
      </c>
      <c r="R88" s="4">
        <f>IF(G88="Not Age Eligible",0,MAX(IF(OR(AND(G88="17-21",U88&gt;='Qualifying Scores'!G$13),AND(G88="15-16",U88&gt;='Qualifying Scores'!G$12),AND(G88="13-14",U88&gt;='Qualifying Scores'!G$11),AND(G88="11-12",U88&gt;='Qualifying Scores'!G$10)),T88,0),IF(OR(AND(G88="17-21",W88&gt;='Qualifying Scores'!G$13),AND(G88="15-16",W88&gt;='Qualifying Scores'!G$12),AND(G88="13-14",W88&gt;='Qualifying Scores'!G$11),AND(G88="11-12",W88&gt;='Qualifying Scores'!G$10)),V88,0),IF(OR(AND(G88="17-21",Y88&gt;='Qualifying Scores'!G$13),AND(G88="15-16",Y88&gt;='Qualifying Scores'!G$12),AND(G88="13-14",Y88&gt;='Qualifying Scores'!G$11),AND(G88="11-12",Y88&gt;='Qualifying Scores'!G$10)),X88,0),IF(OR(AND(G88="17-21",AA88&gt;='Qualifying Scores'!G$13),AND(G88="15-16",AA88&gt;='Qualifying Scores'!G$12),AND(G88="13-14",AA88&gt;='Qualifying Scores'!G$11),AND(G88="11-12",AA88&gt;='Qualifying Scores'!G$10)),Z88,0)))</f>
        <v>0</v>
      </c>
      <c r="S88" s="4">
        <f>MAX(T88,V88,X88,Z88)</f>
        <v>21</v>
      </c>
      <c r="T88" s="33"/>
      <c r="U88" s="40"/>
      <c r="V88" s="34"/>
      <c r="W88" s="40"/>
      <c r="X88" s="33">
        <v>21</v>
      </c>
      <c r="Y88" s="40">
        <v>2.9</v>
      </c>
      <c r="Z88" s="34"/>
      <c r="AA8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88">
      <sortCondition descending="1" ref="G1:G8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11" priority="17">
      <formula>IF($G1="17-21",1,0)</formula>
    </cfRule>
    <cfRule type="expression" dxfId="10" priority="18">
      <formula>IF($G1="15-16",1,0)</formula>
    </cfRule>
    <cfRule type="expression" dxfId="9" priority="19">
      <formula>IF($G1="13-14",1,0)</formula>
    </cfRule>
    <cfRule type="expression" dxfId="8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7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$38&lt;&gt;"")*(G$3:G$38=G3)*(J$3:J$38&gt;J3)*(I$3:I$38="P"))+1,IF(O3&lt;&gt;"",SUMPRODUCT((O$3:O$38&lt;&gt;"")*(P$3:P$38="")*(G$3:G$38=G3)*(J$3:J$38&gt;J3)*(I$3:I$38="P"))+SUMPRODUCT((P$3:P$38&lt;&gt;"")*(G$3:G$38=G3)*(I$3:I$38="P"))+1,IF(N3&lt;&gt;"",SUMPRODUCT((N$3:N$38&lt;&gt;"")*(G$3:G$38=G3)*(J$3:J$38&gt;J3)*(I$3:I$38="P"))+1,IF(M3="P",SUMPRODUCT((O$3:O$38&lt;&gt;"")*(P$3:P$38="")*(G$3:G$38=G3)*(I$3:I$38="P"))+SUMPRODUCT((P$3:P$38&lt;&gt;"")*(G$3:G$38=G3)*(I$3:I$38="P"))+SUMPRODUCT((N$3:N$38&lt;&gt;"")*(G$3:G$38=G3)*(I$3:I$38="P"))+SUMPRODUCT((P$3:P$38="")*(O$3:O$38="")*(N$3:N$38="")*(M$3:M$38="P")*(G$3:G$38=G3)*(J$3:J$38&gt;J3)*(I$3:I$38="P"))+IF(H3="L5",SUMPRODUCT((P$3:P$38="")*(O$3:O$38="")*(N$3:N$38="")*(M$3:M$38="P")*(G$3:G$38=G3)*(J$3:J$38&lt;J3)*(H$3:H$38&lt;&gt;H3)*(I$3:I$38="P")),-1*SUMPRODUCT((P$3:P$38="")*(O$3:O$38="")*(N$3:N$38="")*(M$3:M$38="P")*(G$3:G$38=G3)*(J$3:J$38&gt;J3)*(H$3:H$38="L5")*(I$3:I$38="P")))+1,"")))))</f>
        <v>1</v>
      </c>
      <c r="B3" s="1" cm="1">
        <f t="array" ref="B3">IF(P3&lt;&gt;"",SUMPRODUCT((P$3:P$37&lt;&gt;"")*(G$3:G$37=G3)*(J$3:J$37&gt;J3))+1,IF(O3&lt;&gt;"",SUMPRODUCT((O$3:O$37&lt;&gt;"")*(P$3:P$37="")*(G$3:G$37=G3)*(J$3:J$37&gt;J3))+SUMPRODUCT((P$3:P$37&lt;&gt;"")*(G$3:G$37=G3))+1,IF(N3&lt;&gt;"",SUMPRODUCT((N$3:N$37&lt;&gt;"")*(G$3:G$37=G3)*(J$3:J$37&gt;J3))+1,IF(M3="P",SUMPRODUCT((O$3:O$37&lt;&gt;"")*(P$3:P$37="")*(G$3:G$37=G3))+SUMPRODUCT((P$3:P$37&lt;&gt;"")*(G$3:G$37=G3))+SUMPRODUCT((N$3:N$37&lt;&gt;"")*(G$3:G$37=G3))+SUMPRODUCT((P$3:P$37="")*(O$3:O$37="")*(N$3:N$37="")*(M$3:M$37="P")*(G$3:G$37=G3)*(J$3:J$37&gt;J3))+IF(H3="L5",SUMPRODUCT((P$3:P$37="")*(O$3:O$37="")*(N$3:N$37="")*(M$3:M$37="P")*(G$3:G$37=G3)*(J$3:J$37&lt;J3)*(H$3:H$37&lt;&gt;H3)),-1*SUMPRODUCT((P$3:P$37="")*(O$3:O$37="")*(N$3:N$37="")*(M$3:M$37="P")*(G$3:G$37=G3)*(J$3:J$37&gt;J3)*(H$3:H$37="L5")))+1,""))))</f>
        <v>3</v>
      </c>
      <c r="C3" s="36" t="s">
        <v>567</v>
      </c>
      <c r="D3" s="36" t="str">
        <f>IF(E3="","",VLOOKUP(E3,'Coaching Points'!A:B,2,0))</f>
        <v>ON</v>
      </c>
      <c r="E3" s="36" t="s">
        <v>310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45.600204560000002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P3" s="39">
        <v>3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Scores'!H$13),AND(G3="15-16",U3&gt;='Qualifying Scores'!H$12),AND(G3="13-14",U3&gt;='Qualifying Scores'!H$11),AND(G3="11-12",U3&gt;='Qualifying Scores'!H$10)),T3,0),IF(OR(AND(G3="17-21",W3&gt;='Qualifying Scores'!H$13),AND(G3="15-16",W3&gt;='Qualifying Scores'!H$12),AND(G3="13-14",W3&gt;='Qualifying Scores'!H$11),AND(G3="11-12",W3&gt;='Qualifying Scores'!H$10)),V3,0),IF(OR(AND(G3="17-21",Y3&gt;='Qualifying Scores'!H$13),AND(G3="15-16",Y3&gt;='Qualifying Scores'!H$12),AND(G3="13-14",Y3&gt;='Qualifying Scores'!H$11),AND(G3="11-12",Y3&gt;='Qualifying Scores'!H$10)),X3,0),IF(OR(AND(G3="17-21",AA3&gt;='Qualifying Scores'!H$13),AND(G3="15-16",AA3&gt;='Qualifying Scores'!H$12),AND(G3="13-14",AA3&gt;='Qualifying Scores'!H$11),AND(G3="11-12",AA3&gt;='Qualifying Scores'!H$10)),Z3,0)))</f>
        <v>45.6</v>
      </c>
      <c r="S3" s="4">
        <f>MAX(T3,V3,X3,Z3)</f>
        <v>45.6</v>
      </c>
      <c r="T3" s="33"/>
      <c r="U3" s="40"/>
      <c r="V3" s="34"/>
      <c r="W3" s="40"/>
      <c r="X3" s="33">
        <v>39.800000000000004</v>
      </c>
      <c r="Y3" s="40">
        <v>7.9</v>
      </c>
      <c r="Z3" s="34">
        <v>45.6</v>
      </c>
      <c r="AA3" s="37">
        <v>10.3</v>
      </c>
    </row>
    <row r="4" spans="1:27" x14ac:dyDescent="0.2">
      <c r="A4" s="1" cm="1">
        <f t="array" ref="A4">IF(I4="","",IF(P4&lt;&gt;"",SUMPRODUCT((P$3:P$38&lt;&gt;"")*(G$3:G$38=G4)*(J$3:J$38&gt;J4)*(I$3:I$38="P"))+1,IF(O4&lt;&gt;"",SUMPRODUCT((O$3:O$38&lt;&gt;"")*(P$3:P$38="")*(G$3:G$38=G4)*(J$3:J$38&gt;J4)*(I$3:I$38="P"))+SUMPRODUCT((P$3:P$38&lt;&gt;"")*(G$3:G$38=G4)*(I$3:I$38="P"))+1,IF(N4&lt;&gt;"",SUMPRODUCT((N$3:N$38&lt;&gt;"")*(G$3:G$38=G4)*(J$3:J$38&gt;J4)*(I$3:I$38="P"))+1,IF(M4="P",SUMPRODUCT((O$3:O$38&lt;&gt;"")*(P$3:P$38="")*(G$3:G$38=G4)*(I$3:I$38="P"))+SUMPRODUCT((P$3:P$38&lt;&gt;"")*(G$3:G$38=G4)*(I$3:I$38="P"))+SUMPRODUCT((N$3:N$38&lt;&gt;"")*(G$3:G$38=G4)*(I$3:I$38="P"))+SUMPRODUCT((P$3:P$38="")*(O$3:O$38="")*(N$3:N$38="")*(M$3:M$38="P")*(G$3:G$38=G4)*(J$3:J$38&gt;J4)*(I$3:I$38="P"))+IF(H4="L5",SUMPRODUCT((P$3:P$38="")*(O$3:O$38="")*(N$3:N$38="")*(M$3:M$38="P")*(G$3:G$38=G4)*(J$3:J$38&lt;J4)*(H$3:H$38&lt;&gt;H4)*(I$3:I$38="P")),-1*SUMPRODUCT((P$3:P$38="")*(O$3:O$38="")*(N$3:N$38="")*(M$3:M$38="P")*(G$3:G$38=G4)*(J$3:J$38&gt;J4)*(H$3:H$38="L5")*(I$3:I$38="P")))+1,"")))))</f>
        <v>2</v>
      </c>
      <c r="B4" s="1" cm="1">
        <f t="array" ref="B4">IF(P4&lt;&gt;"",SUMPRODUCT((P$3:P$37&lt;&gt;"")*(G$3:G$37=G4)*(J$3:J$37&gt;J4))+1,IF(O4&lt;&gt;"",SUMPRODUCT((O$3:O$37&lt;&gt;"")*(P$3:P$37="")*(G$3:G$37=G4)*(J$3:J$37&gt;J4))+SUMPRODUCT((P$3:P$37&lt;&gt;"")*(G$3:G$37=G4))+1,IF(N4&lt;&gt;"",SUMPRODUCT((N$3:N$37&lt;&gt;"")*(G$3:G$37=G4)*(J$3:J$37&gt;J4))+1,IF(M4="P",SUMPRODUCT((O$3:O$37&lt;&gt;"")*(P$3:P$37="")*(G$3:G$37=G4))+SUMPRODUCT((P$3:P$37&lt;&gt;"")*(G$3:G$37=G4))+SUMPRODUCT((N$3:N$37&lt;&gt;"")*(G$3:G$37=G4))+SUMPRODUCT((P$3:P$37="")*(O$3:O$37="")*(N$3:N$37="")*(M$3:M$37="P")*(G$3:G$37=G4)*(J$3:J$37&gt;J4))+IF(H4="L5",SUMPRODUCT((P$3:P$37="")*(O$3:O$37="")*(N$3:N$37="")*(M$3:M$37="P")*(G$3:G$37=G4)*(J$3:J$37&lt;J4)*(H$3:H$37&lt;&gt;H4)),-1*SUMPRODUCT((P$3:P$37="")*(O$3:O$37="")*(N$3:N$37="")*(M$3:M$37="P")*(G$3:G$37=G4)*(J$3:J$37&gt;J4)*(H$3:H$37="L5")))+1,""))))</f>
        <v>4</v>
      </c>
      <c r="C4" s="36" t="s">
        <v>316</v>
      </c>
      <c r="D4" s="36" t="str">
        <f>IF(E4="","",VLOOKUP(E4,'Coaching Points'!A:B,2,0))</f>
        <v>AB</v>
      </c>
      <c r="E4" s="36" t="s">
        <v>89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117</v>
      </c>
      <c r="I4" s="45" t="s">
        <v>604</v>
      </c>
      <c r="J4" s="4">
        <f>R4+IF(OR(H4="Junior",H4="Senior"),0.0002,IF(OR(H4="L7",H4="L6"),0.0001,0))+MAX(X4,Z4)*0.0000001</f>
        <v>46.200104619999998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3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Scores'!H$13),AND(G4="15-16",U4&gt;='Qualifying Scores'!H$12),AND(G4="13-14",U4&gt;='Qualifying Scores'!H$11),AND(G4="11-12",U4&gt;='Qualifying Scores'!H$10)),T4,0),IF(OR(AND(G4="17-21",W4&gt;='Qualifying Scores'!H$13),AND(G4="15-16",W4&gt;='Qualifying Scores'!H$12),AND(G4="13-14",W4&gt;='Qualifying Scores'!H$11),AND(G4="11-12",W4&gt;='Qualifying Scores'!H$10)),V4,0),IF(OR(AND(G4="17-21",Y4&gt;='Qualifying Scores'!H$13),AND(G4="15-16",Y4&gt;='Qualifying Scores'!H$12),AND(G4="13-14",Y4&gt;='Qualifying Scores'!H$11),AND(G4="11-12",Y4&gt;='Qualifying Scores'!H$10)),X4,0),IF(OR(AND(G4="17-21",AA4&gt;='Qualifying Scores'!H$13),AND(G4="15-16",AA4&gt;='Qualifying Scores'!H$12),AND(G4="13-14",AA4&gt;='Qualifying Scores'!H$11),AND(G4="11-12",AA4&gt;='Qualifying Scores'!H$10)),Z4,0)))</f>
        <v>46.199999999999996</v>
      </c>
      <c r="S4" s="4">
        <f>MAX(T4,V4,X4,Z4)</f>
        <v>46.199999999999996</v>
      </c>
      <c r="T4" s="33">
        <v>35.299999999999997</v>
      </c>
      <c r="U4" s="40">
        <v>2.4</v>
      </c>
      <c r="V4" s="34">
        <v>0</v>
      </c>
      <c r="W4" s="40">
        <v>0</v>
      </c>
      <c r="X4" s="33">
        <v>44</v>
      </c>
      <c r="Y4" s="40">
        <v>9.3999999999999986</v>
      </c>
      <c r="Z4" s="34">
        <v>46.199999999999996</v>
      </c>
      <c r="AA4" s="37">
        <v>10.1</v>
      </c>
    </row>
    <row r="5" spans="1:27" x14ac:dyDescent="0.2">
      <c r="A5" s="1" cm="1">
        <f t="array" ref="A5">IF(I5="","",IF(P5&lt;&gt;"",SUMPRODUCT((P$3:P$38&lt;&gt;"")*(G$3:G$38=G5)*(J$3:J$38&gt;J5)*(I$3:I$38="P"))+1,IF(O5&lt;&gt;"",SUMPRODUCT((O$3:O$38&lt;&gt;"")*(P$3:P$38="")*(G$3:G$38=G5)*(J$3:J$38&gt;J5)*(I$3:I$38="P"))+SUMPRODUCT((P$3:P$38&lt;&gt;"")*(G$3:G$38=G5)*(I$3:I$38="P"))+1,IF(N5&lt;&gt;"",SUMPRODUCT((N$3:N$38&lt;&gt;"")*(G$3:G$38=G5)*(J$3:J$38&gt;J5)*(I$3:I$38="P"))+1,IF(M5="P",SUMPRODUCT((O$3:O$38&lt;&gt;"")*(P$3:P$38="")*(G$3:G$38=G5)*(I$3:I$38="P"))+SUMPRODUCT((P$3:P$38&lt;&gt;"")*(G$3:G$38=G5)*(I$3:I$38="P"))+SUMPRODUCT((N$3:N$38&lt;&gt;"")*(G$3:G$38=G5)*(I$3:I$38="P"))+SUMPRODUCT((P$3:P$38="")*(O$3:O$38="")*(N$3:N$38="")*(M$3:M$38="P")*(G$3:G$38=G5)*(J$3:J$38&gt;J5)*(I$3:I$38="P"))+IF(H5="L5",SUMPRODUCT((P$3:P$38="")*(O$3:O$38="")*(N$3:N$38="")*(M$3:M$38="P")*(G$3:G$38=G5)*(J$3:J$38&lt;J5)*(H$3:H$38&lt;&gt;H5)*(I$3:I$38="P")),-1*SUMPRODUCT((P$3:P$38="")*(O$3:O$38="")*(N$3:N$38="")*(M$3:M$38="P")*(G$3:G$38=G5)*(J$3:J$38&gt;J5)*(H$3:H$38="L5")*(I$3:I$38="P")))+1,"")))))</f>
        <v>3</v>
      </c>
      <c r="B5" s="1" cm="1">
        <f t="array" ref="B5">IF(P5&lt;&gt;"",SUMPRODUCT((P$3:P$37&lt;&gt;"")*(G$3:G$37=G5)*(J$3:J$37&gt;J5))+1,IF(O5&lt;&gt;"",SUMPRODUCT((O$3:O$37&lt;&gt;"")*(P$3:P$37="")*(G$3:G$37=G5)*(J$3:J$37&gt;J5))+SUMPRODUCT((P$3:P$37&lt;&gt;"")*(G$3:G$37=G5))+1,IF(N5&lt;&gt;"",SUMPRODUCT((N$3:N$37&lt;&gt;"")*(G$3:G$37=G5)*(J$3:J$37&gt;J5))+1,IF(M5="P",SUMPRODUCT((O$3:O$37&lt;&gt;"")*(P$3:P$37="")*(G$3:G$37=G5))+SUMPRODUCT((P$3:P$37&lt;&gt;"")*(G$3:G$37=G5))+SUMPRODUCT((N$3:N$37&lt;&gt;"")*(G$3:G$37=G5))+SUMPRODUCT((P$3:P$37="")*(O$3:O$37="")*(N$3:N$37="")*(M$3:M$37="P")*(G$3:G$37=G5)*(J$3:J$37&gt;J5))+IF(H5="L5",SUMPRODUCT((P$3:P$37="")*(O$3:O$37="")*(N$3:N$37="")*(M$3:M$37="P")*(G$3:G$37=G5)*(J$3:J$37&lt;J5)*(H$3:H$37&lt;&gt;H5)),-1*SUMPRODUCT((P$3:P$37="")*(O$3:O$37="")*(N$3:N$37="")*(M$3:M$37="P")*(G$3:G$37=G5)*(J$3:J$37&gt;J5)*(H$3:H$37="L5")))+1,""))))</f>
        <v>5</v>
      </c>
      <c r="C5" s="36" t="s">
        <v>312</v>
      </c>
      <c r="D5" s="36" t="str">
        <f>IF(E5="","",VLOOKUP(E5,'Coaching Points'!A:B,2,0))</f>
        <v>AB</v>
      </c>
      <c r="E5" s="36" t="s">
        <v>91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44.60020437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O5" s="39">
        <v>2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Scores'!H$13),AND(G5="15-16",U5&gt;='Qualifying Scores'!H$12),AND(G5="13-14",U5&gt;='Qualifying Scores'!H$11),AND(G5="11-12",U5&gt;='Qualifying Scores'!H$10)),T5,0),IF(OR(AND(G5="17-21",W5&gt;='Qualifying Scores'!H$13),AND(G5="15-16",W5&gt;='Qualifying Scores'!H$12),AND(G5="13-14",W5&gt;='Qualifying Scores'!H$11),AND(G5="11-12",W5&gt;='Qualifying Scores'!H$10)),V5,0),IF(OR(AND(G5="17-21",Y5&gt;='Qualifying Scores'!H$13),AND(G5="15-16",Y5&gt;='Qualifying Scores'!H$12),AND(G5="13-14",Y5&gt;='Qualifying Scores'!H$11),AND(G5="11-12",Y5&gt;='Qualifying Scores'!H$10)),X5,0),IF(OR(AND(G5="17-21",AA5&gt;='Qualifying Scores'!H$13),AND(G5="15-16",AA5&gt;='Qualifying Scores'!H$12),AND(G5="13-14",AA5&gt;='Qualifying Scores'!H$11),AND(G5="11-12",AA5&gt;='Qualifying Scores'!H$10)),Z5,0)))</f>
        <v>44.6</v>
      </c>
      <c r="S5" s="4">
        <f>MAX(T5,V5,X5,Z5)</f>
        <v>44.6</v>
      </c>
      <c r="T5" s="33">
        <v>44.1</v>
      </c>
      <c r="U5" s="40">
        <v>9.6999999999999993</v>
      </c>
      <c r="V5" s="34">
        <v>44.6</v>
      </c>
      <c r="W5" s="40">
        <v>9.5</v>
      </c>
      <c r="X5" s="33">
        <v>43.699999999999996</v>
      </c>
      <c r="Y5" s="40">
        <v>10.6</v>
      </c>
      <c r="Z5" s="34">
        <v>37.9</v>
      </c>
      <c r="AA5" s="37">
        <v>7.4</v>
      </c>
    </row>
    <row r="6" spans="1:27" x14ac:dyDescent="0.2">
      <c r="A6" s="1" cm="1">
        <f t="array" ref="A6">IF(I6="","",IF(P6&lt;&gt;"",SUMPRODUCT((P$3:P$38&lt;&gt;"")*(G$3:G$38=G6)*(J$3:J$38&gt;J6)*(I$3:I$38="P"))+1,IF(O6&lt;&gt;"",SUMPRODUCT((O$3:O$38&lt;&gt;"")*(P$3:P$38="")*(G$3:G$38=G6)*(J$3:J$38&gt;J6)*(I$3:I$38="P"))+SUMPRODUCT((P$3:P$38&lt;&gt;"")*(G$3:G$38=G6)*(I$3:I$38="P"))+1,IF(N6&lt;&gt;"",SUMPRODUCT((N$3:N$38&lt;&gt;"")*(G$3:G$38=G6)*(J$3:J$38&gt;J6)*(I$3:I$38="P"))+1,IF(M6="P",SUMPRODUCT((O$3:O$38&lt;&gt;"")*(P$3:P$38="")*(G$3:G$38=G6)*(I$3:I$38="P"))+SUMPRODUCT((P$3:P$38&lt;&gt;"")*(G$3:G$38=G6)*(I$3:I$38="P"))+SUMPRODUCT((N$3:N$38&lt;&gt;"")*(G$3:G$38=G6)*(I$3:I$38="P"))+SUMPRODUCT((P$3:P$38="")*(O$3:O$38="")*(N$3:N$38="")*(M$3:M$38="P")*(G$3:G$38=G6)*(J$3:J$38&gt;J6)*(I$3:I$38="P"))+IF(H6="L5",SUMPRODUCT((P$3:P$38="")*(O$3:O$38="")*(N$3:N$38="")*(M$3:M$38="P")*(G$3:G$38=G6)*(J$3:J$38&lt;J6)*(H$3:H$38&lt;&gt;H6)*(I$3:I$38="P")),-1*SUMPRODUCT((P$3:P$38="")*(O$3:O$38="")*(N$3:N$38="")*(M$3:M$38="P")*(G$3:G$38=G6)*(J$3:J$38&gt;J6)*(H$3:H$38="L5")*(I$3:I$38="P")))+1,"")))))</f>
        <v>4</v>
      </c>
      <c r="B6" s="1" cm="1">
        <f t="array" ref="B6">IF(P6&lt;&gt;"",SUMPRODUCT((P$3:P$37&lt;&gt;"")*(G$3:G$37=G6)*(J$3:J$37&gt;J6))+1,IF(O6&lt;&gt;"",SUMPRODUCT((O$3:O$37&lt;&gt;"")*(P$3:P$37="")*(G$3:G$37=G6)*(J$3:J$37&gt;J6))+SUMPRODUCT((P$3:P$37&lt;&gt;"")*(G$3:G$37=G6))+1,IF(N6&lt;&gt;"",SUMPRODUCT((N$3:N$37&lt;&gt;"")*(G$3:G$37=G6)*(J$3:J$37&gt;J6))+1,IF(M6="P",SUMPRODUCT((O$3:O$37&lt;&gt;"")*(P$3:P$37="")*(G$3:G$37=G6))+SUMPRODUCT((P$3:P$37&lt;&gt;"")*(G$3:G$37=G6))+SUMPRODUCT((N$3:N$37&lt;&gt;"")*(G$3:G$37=G6))+SUMPRODUCT((P$3:P$37="")*(O$3:O$37="")*(N$3:N$37="")*(M$3:M$37="P")*(G$3:G$37=G6)*(J$3:J$37&gt;J6))+IF(H6="L5",SUMPRODUCT((P$3:P$37="")*(O$3:O$37="")*(N$3:N$37="")*(M$3:M$37="P")*(G$3:G$37=G6)*(J$3:J$37&lt;J6)*(H$3:H$37&lt;&gt;H6)),-1*SUMPRODUCT((P$3:P$37="")*(O$3:O$37="")*(N$3:N$37="")*(M$3:M$37="P")*(G$3:G$37=G6)*(J$3:J$37&gt;J6)*(H$3:H$37="L5")))+1,""))))</f>
        <v>6</v>
      </c>
      <c r="C6" s="36" t="s">
        <v>564</v>
      </c>
      <c r="D6" s="36" t="str">
        <f>IF(E6="","",VLOOKUP(E6,'Coaching Points'!A:B,2,0))</f>
        <v>MB</v>
      </c>
      <c r="E6" s="36" t="s">
        <v>129</v>
      </c>
      <c r="F6" s="35">
        <v>2002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>R6+IF(OR(H6="Junior",H6="Senior"),0.0002,IF(OR(H6="L7",H6="L6"),0.0001,0))+MAX(X6,Z6)*0.0000001</f>
        <v>44.300104429999998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Scores'!H$13),AND(G6="15-16",U6&gt;='Qualifying Scores'!H$12),AND(G6="13-14",U6&gt;='Qualifying Scores'!H$11),AND(G6="11-12",U6&gt;='Qualifying Scores'!H$10)),T6,0),IF(OR(AND(G6="17-21",W6&gt;='Qualifying Scores'!H$13),AND(G6="15-16",W6&gt;='Qualifying Scores'!H$12),AND(G6="13-14",W6&gt;='Qualifying Scores'!H$11),AND(G6="11-12",W6&gt;='Qualifying Scores'!H$10)),V6,0),IF(OR(AND(G6="17-21",Y6&gt;='Qualifying Scores'!H$13),AND(G6="15-16",Y6&gt;='Qualifying Scores'!H$12),AND(G6="13-14",Y6&gt;='Qualifying Scores'!H$11),AND(G6="11-12",Y6&gt;='Qualifying Scores'!H$10)),X6,0),IF(OR(AND(G6="17-21",AA6&gt;='Qualifying Scores'!H$13),AND(G6="15-16",AA6&gt;='Qualifying Scores'!H$12),AND(G6="13-14",AA6&gt;='Qualifying Scores'!H$11),AND(G6="11-12",AA6&gt;='Qualifying Scores'!H$10)),Z6,0)))</f>
        <v>44.3</v>
      </c>
      <c r="S6" s="4">
        <f>MAX(T6,V6,X6,Z6)</f>
        <v>44.3</v>
      </c>
      <c r="T6" s="33"/>
      <c r="U6" s="40"/>
      <c r="V6" s="34"/>
      <c r="W6" s="40"/>
      <c r="X6" s="33">
        <v>44.3</v>
      </c>
      <c r="Y6" s="40">
        <v>9.6999999999999993</v>
      </c>
      <c r="Z6" s="34">
        <v>40.4</v>
      </c>
      <c r="AA6" s="37">
        <v>6.6999999999999993</v>
      </c>
    </row>
    <row r="7" spans="1:27" x14ac:dyDescent="0.2">
      <c r="A7" s="1" t="str" cm="1">
        <f t="array" ref="A7">IF(I7="","",IF(P7&lt;&gt;"",SUMPRODUCT((P$3:P$38&lt;&gt;"")*(G$3:G$38=G7)*(J$3:J$38&gt;J7)*(I$3:I$38="P"))+1,IF(O7&lt;&gt;"",SUMPRODUCT((O$3:O$38&lt;&gt;"")*(P$3:P$38="")*(G$3:G$38=G7)*(J$3:J$38&gt;J7)*(I$3:I$38="P"))+SUMPRODUCT((P$3:P$38&lt;&gt;"")*(G$3:G$38=G7)*(I$3:I$38="P"))+1,IF(N7&lt;&gt;"",SUMPRODUCT((N$3:N$38&lt;&gt;"")*(G$3:G$38=G7)*(J$3:J$38&gt;J7)*(I$3:I$38="P"))+1,IF(M7="P",SUMPRODUCT((O$3:O$38&lt;&gt;"")*(P$3:P$38="")*(G$3:G$38=G7)*(I$3:I$38="P"))+SUMPRODUCT((P$3:P$38&lt;&gt;"")*(G$3:G$38=G7)*(I$3:I$38="P"))+SUMPRODUCT((N$3:N$38&lt;&gt;"")*(G$3:G$38=G7)*(I$3:I$38="P"))+SUMPRODUCT((P$3:P$38="")*(O$3:O$38="")*(N$3:N$38="")*(M$3:M$38="P")*(G$3:G$38=G7)*(J$3:J$38&gt;J7)*(I$3:I$38="P"))+IF(H7="L5",SUMPRODUCT((P$3:P$38="")*(O$3:O$38="")*(N$3:N$38="")*(M$3:M$38="P")*(G$3:G$38=G7)*(J$3:J$38&lt;J7)*(H$3:H$38&lt;&gt;H7)*(I$3:I$38="P")),-1*SUMPRODUCT((P$3:P$38="")*(O$3:O$38="")*(N$3:N$38="")*(M$3:M$38="P")*(G$3:G$38=G7)*(J$3:J$38&gt;J7)*(H$3:H$38="L5")*(I$3:I$38="P")))+1,"")))))</f>
        <v/>
      </c>
      <c r="B7" s="1" cm="1">
        <f t="array" ref="B7">IF(P7&lt;&gt;"",SUMPRODUCT((P$3:P$37&lt;&gt;"")*(G$3:G$37=G7)*(J$3:J$37&gt;J7))+1,IF(O7&lt;&gt;"",SUMPRODUCT((O$3:O$37&lt;&gt;"")*(P$3:P$37="")*(G$3:G$37=G7)*(J$3:J$37&gt;J7))+SUMPRODUCT((P$3:P$37&lt;&gt;"")*(G$3:G$37=G7))+1,IF(N7&lt;&gt;"",SUMPRODUCT((N$3:N$37&lt;&gt;"")*(G$3:G$37=G7)*(J$3:J$37&gt;J7))+1,IF(M7="P",SUMPRODUCT((O$3:O$37&lt;&gt;"")*(P$3:P$37="")*(G$3:G$37=G7))+SUMPRODUCT((P$3:P$37&lt;&gt;"")*(G$3:G$37=G7))+SUMPRODUCT((N$3:N$37&lt;&gt;"")*(G$3:G$37=G7))+SUMPRODUCT((P$3:P$37="")*(O$3:O$37="")*(N$3:N$37="")*(M$3:M$37="P")*(G$3:G$37=G7)*(J$3:J$37&gt;J7))+IF(H7="L5",SUMPRODUCT((P$3:P$37="")*(O$3:O$37="")*(N$3:N$37="")*(M$3:M$37="P")*(G$3:G$37=G7)*(J$3:J$37&lt;J7)*(H$3:H$37&lt;&gt;H7)),-1*SUMPRODUCT((P$3:P$37="")*(O$3:O$37="")*(N$3:N$37="")*(M$3:M$37="P")*(G$3:G$37=G7)*(J$3:J$37&gt;J7)*(H$3:H$37="L5")))+1,""))))</f>
        <v>1</v>
      </c>
      <c r="C7" s="36" t="s">
        <v>317</v>
      </c>
      <c r="D7" s="36" t="str">
        <f>IF(E7="","",VLOOKUP(E7,'Coaching Points'!A:B,2,0))</f>
        <v>ON</v>
      </c>
      <c r="E7" s="36" t="s">
        <v>303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48.700200000000002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1</v>
      </c>
      <c r="P7" s="39">
        <v>1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Scores'!H$13),AND(G7="15-16",U7&gt;='Qualifying Scores'!H$12),AND(G7="13-14",U7&gt;='Qualifying Scores'!H$11),AND(G7="11-12",U7&gt;='Qualifying Scores'!H$10)),T7,0),IF(OR(AND(G7="17-21",W7&gt;='Qualifying Scores'!H$13),AND(G7="15-16",W7&gt;='Qualifying Scores'!H$12),AND(G7="13-14",W7&gt;='Qualifying Scores'!H$11),AND(G7="11-12",W7&gt;='Qualifying Scores'!H$10)),V7,0),IF(OR(AND(G7="17-21",Y7&gt;='Qualifying Scores'!H$13),AND(G7="15-16",Y7&gt;='Qualifying Scores'!H$12),AND(G7="13-14",Y7&gt;='Qualifying Scores'!H$11),AND(G7="11-12",Y7&gt;='Qualifying Scores'!H$10)),X7,0),IF(OR(AND(G7="17-21",AA7&gt;='Qualifying Scores'!H$13),AND(G7="15-16",AA7&gt;='Qualifying Scores'!H$12),AND(G7="13-14",AA7&gt;='Qualifying Scores'!H$11),AND(G7="11-12",AA7&gt;='Qualifying Scores'!H$10)),Z7,0)))</f>
        <v>48.7</v>
      </c>
      <c r="S7" s="4">
        <f>MAX(T7,V7,X7,Z7)</f>
        <v>48.7</v>
      </c>
      <c r="T7" s="33">
        <v>48.26</v>
      </c>
      <c r="U7" s="40">
        <v>12.4</v>
      </c>
      <c r="V7" s="34">
        <v>48.7</v>
      </c>
      <c r="W7" s="40">
        <v>12.4</v>
      </c>
      <c r="X7" s="33"/>
      <c r="Y7" s="40"/>
      <c r="Z7" s="34"/>
      <c r="AA7" s="37"/>
    </row>
    <row r="8" spans="1:27" x14ac:dyDescent="0.2">
      <c r="A8" s="1" t="str" cm="1">
        <f t="array" ref="A8">IF(I8="","",IF(P8&lt;&gt;"",SUMPRODUCT((P$3:P$38&lt;&gt;"")*(G$3:G$38=G8)*(J$3:J$38&gt;J8)*(I$3:I$38="P"))+1,IF(O8&lt;&gt;"",SUMPRODUCT((O$3:O$38&lt;&gt;"")*(P$3:P$38="")*(G$3:G$38=G8)*(J$3:J$38&gt;J8)*(I$3:I$38="P"))+SUMPRODUCT((P$3:P$38&lt;&gt;"")*(G$3:G$38=G8)*(I$3:I$38="P"))+1,IF(N8&lt;&gt;"",SUMPRODUCT((N$3:N$38&lt;&gt;"")*(G$3:G$38=G8)*(J$3:J$38&gt;J8)*(I$3:I$38="P"))+1,IF(M8="P",SUMPRODUCT((O$3:O$38&lt;&gt;"")*(P$3:P$38="")*(G$3:G$38=G8)*(I$3:I$38="P"))+SUMPRODUCT((P$3:P$38&lt;&gt;"")*(G$3:G$38=G8)*(I$3:I$38="P"))+SUMPRODUCT((N$3:N$38&lt;&gt;"")*(G$3:G$38=G8)*(I$3:I$38="P"))+SUMPRODUCT((P$3:P$38="")*(O$3:O$38="")*(N$3:N$38="")*(M$3:M$38="P")*(G$3:G$38=G8)*(J$3:J$38&gt;J8)*(I$3:I$38="P"))+IF(H8="L5",SUMPRODUCT((P$3:P$38="")*(O$3:O$38="")*(N$3:N$38="")*(M$3:M$38="P")*(G$3:G$38=G8)*(J$3:J$38&lt;J8)*(H$3:H$38&lt;&gt;H8)*(I$3:I$38="P")),-1*SUMPRODUCT((P$3:P$38="")*(O$3:O$38="")*(N$3:N$38="")*(M$3:M$38="P")*(G$3:G$38=G8)*(J$3:J$38&gt;J8)*(H$3:H$38="L5")*(I$3:I$38="P")))+1,"")))))</f>
        <v/>
      </c>
      <c r="B8" s="1" cm="1">
        <f t="array" ref="B8">IF(P8&lt;&gt;"",SUMPRODUCT((P$3:P$37&lt;&gt;"")*(G$3:G$37=G8)*(J$3:J$37&gt;J8))+1,IF(O8&lt;&gt;"",SUMPRODUCT((O$3:O$37&lt;&gt;"")*(P$3:P$37="")*(G$3:G$37=G8)*(J$3:J$37&gt;J8))+SUMPRODUCT((P$3:P$37&lt;&gt;"")*(G$3:G$37=G8))+1,IF(N8&lt;&gt;"",SUMPRODUCT((N$3:N$37&lt;&gt;"")*(G$3:G$37=G8)*(J$3:J$37&gt;J8))+1,IF(M8="P",SUMPRODUCT((O$3:O$37&lt;&gt;"")*(P$3:P$37="")*(G$3:G$37=G8))+SUMPRODUCT((P$3:P$37&lt;&gt;"")*(G$3:G$37=G8))+SUMPRODUCT((N$3:N$37&lt;&gt;"")*(G$3:G$37=G8))+SUMPRODUCT((P$3:P$37="")*(O$3:O$37="")*(N$3:N$37="")*(M$3:M$37="P")*(G$3:G$37=G8)*(J$3:J$37&gt;J8))+IF(H8="L5",SUMPRODUCT((P$3:P$37="")*(O$3:O$37="")*(N$3:N$37="")*(M$3:M$37="P")*(G$3:G$37=G8)*(J$3:J$37&lt;J8)*(H$3:H$37&lt;&gt;H8)),-1*SUMPRODUCT((P$3:P$37="")*(O$3:O$37="")*(N$3:N$37="")*(M$3:M$37="P")*(G$3:G$37=G8)*(J$3:J$37&gt;J8)*(H$3:H$37="L5")))+1,""))))</f>
        <v>2</v>
      </c>
      <c r="C8" s="36" t="s">
        <v>566</v>
      </c>
      <c r="D8" s="36" t="str">
        <f>IF(E8="","",VLOOKUP(E8,'Coaching Points'!A:B,2,0))</f>
        <v>AB</v>
      </c>
      <c r="E8" s="36" t="s">
        <v>29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46.900204689999995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O8" s="39">
        <v>4</v>
      </c>
      <c r="P8" s="39">
        <v>2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Scores'!H$13),AND(G8="15-16",U8&gt;='Qualifying Scores'!H$12),AND(G8="13-14",U8&gt;='Qualifying Scores'!H$11),AND(G8="11-12",U8&gt;='Qualifying Scores'!H$10)),T8,0),IF(OR(AND(G8="17-21",W8&gt;='Qualifying Scores'!H$13),AND(G8="15-16",W8&gt;='Qualifying Scores'!H$12),AND(G8="13-14",W8&gt;='Qualifying Scores'!H$11),AND(G8="11-12",W8&gt;='Qualifying Scores'!H$10)),V8,0),IF(OR(AND(G8="17-21",Y8&gt;='Qualifying Scores'!H$13),AND(G8="15-16",Y8&gt;='Qualifying Scores'!H$12),AND(G8="13-14",Y8&gt;='Qualifying Scores'!H$11),AND(G8="11-12",Y8&gt;='Qualifying Scores'!H$10)),X8,0),IF(OR(AND(G8="17-21",AA8&gt;='Qualifying Scores'!H$13),AND(G8="15-16",AA8&gt;='Qualifying Scores'!H$12),AND(G8="13-14",AA8&gt;='Qualifying Scores'!H$11),AND(G8="11-12",AA8&gt;='Qualifying Scores'!H$10)),Z8,0)))</f>
        <v>46.9</v>
      </c>
      <c r="S8" s="4">
        <f>MAX(T8,V8,X8,Z8)</f>
        <v>46.9</v>
      </c>
      <c r="T8" s="33"/>
      <c r="U8" s="40"/>
      <c r="V8" s="34"/>
      <c r="W8" s="40"/>
      <c r="X8" s="33">
        <v>42.7</v>
      </c>
      <c r="Y8" s="40">
        <v>9.1</v>
      </c>
      <c r="Z8" s="34">
        <v>46.9</v>
      </c>
      <c r="AA8" s="37">
        <v>12</v>
      </c>
    </row>
    <row r="9" spans="1:27" x14ac:dyDescent="0.2">
      <c r="A9" s="1" t="str" cm="1">
        <f t="array" ref="A9">IF(I9="","",IF(P9&lt;&gt;"",SUMPRODUCT((P$3:P$38&lt;&gt;"")*(G$3:G$38=G9)*(J$3:J$38&gt;J9)*(I$3:I$38="P"))+1,IF(O9&lt;&gt;"",SUMPRODUCT((O$3:O$38&lt;&gt;"")*(P$3:P$38="")*(G$3:G$38=G9)*(J$3:J$38&gt;J9)*(I$3:I$38="P"))+SUMPRODUCT((P$3:P$38&lt;&gt;"")*(G$3:G$38=G9)*(I$3:I$38="P"))+1,IF(N9&lt;&gt;"",SUMPRODUCT((N$3:N$38&lt;&gt;"")*(G$3:G$38=G9)*(J$3:J$38&gt;J9)*(I$3:I$38="P"))+1,IF(M9="P",SUMPRODUCT((O$3:O$38&lt;&gt;"")*(P$3:P$38="")*(G$3:G$38=G9)*(I$3:I$38="P"))+SUMPRODUCT((P$3:P$38&lt;&gt;"")*(G$3:G$38=G9)*(I$3:I$38="P"))+SUMPRODUCT((N$3:N$38&lt;&gt;"")*(G$3:G$38=G9)*(I$3:I$38="P"))+SUMPRODUCT((P$3:P$38="")*(O$3:O$38="")*(N$3:N$38="")*(M$3:M$38="P")*(G$3:G$38=G9)*(J$3:J$38&gt;J9)*(I$3:I$38="P"))+IF(H9="L5",SUMPRODUCT((P$3:P$38="")*(O$3:O$38="")*(N$3:N$38="")*(M$3:M$38="P")*(G$3:G$38=G9)*(J$3:J$38&lt;J9)*(H$3:H$38&lt;&gt;H9)*(I$3:I$38="P")),-1*SUMPRODUCT((P$3:P$38="")*(O$3:O$38="")*(N$3:N$38="")*(M$3:M$38="P")*(G$3:G$38=G9)*(J$3:J$38&gt;J9)*(H$3:H$38="L5")*(I$3:I$38="P")))+1,"")))))</f>
        <v/>
      </c>
      <c r="B9" s="1" t="str" cm="1">
        <f t="array" ref="B9">IF(P9&lt;&gt;"",SUMPRODUCT((P$3:P$37&lt;&gt;"")*(G$3:G$37=G9)*(J$3:J$37&gt;J9))+1,IF(O9&lt;&gt;"",SUMPRODUCT((O$3:O$37&lt;&gt;"")*(P$3:P$37="")*(G$3:G$37=G9)*(J$3:J$37&gt;J9))+SUMPRODUCT((P$3:P$37&lt;&gt;"")*(G$3:G$37=G9))+1,IF(N9&lt;&gt;"",SUMPRODUCT((N$3:N$37&lt;&gt;"")*(G$3:G$37=G9)*(J$3:J$37&gt;J9))+1,IF(M9="P",SUMPRODUCT((O$3:O$37&lt;&gt;"")*(P$3:P$37="")*(G$3:G$37=G9))+SUMPRODUCT((P$3:P$37&lt;&gt;"")*(G$3:G$37=G9))+SUMPRODUCT((N$3:N$37&lt;&gt;"")*(G$3:G$37=G9))+SUMPRODUCT((P$3:P$37="")*(O$3:O$37="")*(N$3:N$37="")*(M$3:M$37="P")*(G$3:G$37=G9)*(J$3:J$37&gt;J9))+IF(H9="L5",SUMPRODUCT((P$3:P$37="")*(O$3:O$37="")*(N$3:N$37="")*(M$3:M$37="P")*(G$3:G$37=G9)*(J$3:J$37&lt;J9)*(H$3:H$37&lt;&gt;H9)),-1*SUMPRODUCT((P$3:P$37="")*(O$3:O$37="")*(N$3:N$37="")*(M$3:M$37="P")*(G$3:G$37=G9)*(J$3:J$37&gt;J9)*(H$3:H$37="L5")))+1,""))))</f>
        <v/>
      </c>
      <c r="C9" s="36" t="s">
        <v>313</v>
      </c>
      <c r="D9" s="36" t="str">
        <f>IF(E9="","",VLOOKUP(E9,'Coaching Points'!A:B,2,0))</f>
        <v>AB</v>
      </c>
      <c r="E9" s="36" t="s">
        <v>91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R9+IF(OR(H9="Junior",H9="Senior"),0.0002,IF(OR(H9="L7",H9="L6"),0.0001,0))+MAX(X9,Z9)*0.0000001</f>
        <v>43.700104370000012</v>
      </c>
      <c r="K9" s="3" t="str">
        <f>IF(G9="Not Age Eligible","",IF(MAX(T9,V9,X9,Z9)&gt;=LOOKUP(G9,'Qualifying Scores'!$A$4:$A$7,'Qualifying Scores'!$H$4:$H$7),"P",""))</f>
        <v/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/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Scores'!H$13),AND(G9="15-16",U9&gt;='Qualifying Scores'!H$12),AND(G9="13-14",U9&gt;='Qualifying Scores'!H$11),AND(G9="11-12",U9&gt;='Qualifying Scores'!H$10)),T9,0),IF(OR(AND(G9="17-21",W9&gt;='Qualifying Scores'!H$13),AND(G9="15-16",W9&gt;='Qualifying Scores'!H$12),AND(G9="13-14",W9&gt;='Qualifying Scores'!H$11),AND(G9="11-12",W9&gt;='Qualifying Scores'!H$10)),V9,0),IF(OR(AND(G9="17-21",Y9&gt;='Qualifying Scores'!H$13),AND(G9="15-16",Y9&gt;='Qualifying Scores'!H$12),AND(G9="13-14",Y9&gt;='Qualifying Scores'!H$11),AND(G9="11-12",Y9&gt;='Qualifying Scores'!H$10)),X9,0),IF(OR(AND(G9="17-21",AA9&gt;='Qualifying Scores'!H$13),AND(G9="15-16",AA9&gt;='Qualifying Scores'!H$12),AND(G9="13-14",AA9&gt;='Qualifying Scores'!H$11),AND(G9="11-12",AA9&gt;='Qualifying Scores'!H$10)),Z9,0)))</f>
        <v>43.70000000000001</v>
      </c>
      <c r="S9" s="4">
        <f>MAX(T9,V9,X9,Z9)</f>
        <v>43.70000000000001</v>
      </c>
      <c r="T9" s="33">
        <v>41.599999999999994</v>
      </c>
      <c r="U9" s="40">
        <v>10.100000000000001</v>
      </c>
      <c r="V9" s="34">
        <v>40.099999999999994</v>
      </c>
      <c r="W9" s="40">
        <v>7.8000000000000007</v>
      </c>
      <c r="X9" s="33">
        <v>40.800000000000004</v>
      </c>
      <c r="Y9" s="40">
        <v>8.3999999999999986</v>
      </c>
      <c r="Z9" s="34">
        <v>43.70000000000001</v>
      </c>
      <c r="AA9" s="37">
        <v>10.1</v>
      </c>
    </row>
    <row r="10" spans="1:27" x14ac:dyDescent="0.2">
      <c r="A10" s="1" t="str" cm="1">
        <f t="array" ref="A10">IF(I10="","",IF(P10&lt;&gt;"",SUMPRODUCT((P$3:P$38&lt;&gt;"")*(G$3:G$38=G10)*(J$3:J$38&gt;J10)*(I$3:I$38="P"))+1,IF(O10&lt;&gt;"",SUMPRODUCT((O$3:O$38&lt;&gt;"")*(P$3:P$38="")*(G$3:G$38=G10)*(J$3:J$38&gt;J10)*(I$3:I$38="P"))+SUMPRODUCT((P$3:P$38&lt;&gt;"")*(G$3:G$38=G10)*(I$3:I$38="P"))+1,IF(N10&lt;&gt;"",SUMPRODUCT((N$3:N$38&lt;&gt;"")*(G$3:G$38=G10)*(J$3:J$38&gt;J10)*(I$3:I$38="P"))+1,IF(M10="P",SUMPRODUCT((O$3:O$38&lt;&gt;"")*(P$3:P$38="")*(G$3:G$38=G10)*(I$3:I$38="P"))+SUMPRODUCT((P$3:P$38&lt;&gt;"")*(G$3:G$38=G10)*(I$3:I$38="P"))+SUMPRODUCT((N$3:N$38&lt;&gt;"")*(G$3:G$38=G10)*(I$3:I$38="P"))+SUMPRODUCT((P$3:P$38="")*(O$3:O$38="")*(N$3:N$38="")*(M$3:M$38="P")*(G$3:G$38=G10)*(J$3:J$38&gt;J10)*(I$3:I$38="P"))+IF(H10="L5",SUMPRODUCT((P$3:P$38="")*(O$3:O$38="")*(N$3:N$38="")*(M$3:M$38="P")*(G$3:G$38=G10)*(J$3:J$38&lt;J10)*(H$3:H$38&lt;&gt;H10)*(I$3:I$38="P")),-1*SUMPRODUCT((P$3:P$38="")*(O$3:O$38="")*(N$3:N$38="")*(M$3:M$38="P")*(G$3:G$38=G10)*(J$3:J$38&gt;J10)*(H$3:H$38="L5")*(I$3:I$38="P")))+1,"")))))</f>
        <v/>
      </c>
      <c r="B10" s="1" t="str" cm="1">
        <f t="array" ref="B10">IF(P10&lt;&gt;"",SUMPRODUCT((P$3:P$37&lt;&gt;"")*(G$3:G$37=G10)*(J$3:J$37&gt;J10))+1,IF(O10&lt;&gt;"",SUMPRODUCT((O$3:O$37&lt;&gt;"")*(P$3:P$37="")*(G$3:G$37=G10)*(J$3:J$37&gt;J10))+SUMPRODUCT((P$3:P$37&lt;&gt;"")*(G$3:G$37=G10))+1,IF(N10&lt;&gt;"",SUMPRODUCT((N$3:N$37&lt;&gt;"")*(G$3:G$37=G10)*(J$3:J$37&gt;J10))+1,IF(M10="P",SUMPRODUCT((O$3:O$37&lt;&gt;"")*(P$3:P$37="")*(G$3:G$37=G10))+SUMPRODUCT((P$3:P$37&lt;&gt;"")*(G$3:G$37=G10))+SUMPRODUCT((N$3:N$37&lt;&gt;"")*(G$3:G$37=G10))+SUMPRODUCT((P$3:P$37="")*(O$3:O$37="")*(N$3:N$37="")*(M$3:M$37="P")*(G$3:G$37=G10)*(J$3:J$37&gt;J10))+IF(H10="L5",SUMPRODUCT((P$3:P$37="")*(O$3:O$37="")*(N$3:N$37="")*(M$3:M$37="P")*(G$3:G$37=G10)*(J$3:J$37&lt;J10)*(H$3:H$37&lt;&gt;H10)),-1*SUMPRODUCT((P$3:P$37="")*(O$3:O$37="")*(N$3:N$37="")*(M$3:M$37="P")*(G$3:G$37=G10)*(J$3:J$37&gt;J10)*(H$3:H$37="L5")))+1,""))))</f>
        <v/>
      </c>
      <c r="C10" s="36" t="s">
        <v>565</v>
      </c>
      <c r="D10" s="36" t="str">
        <f>IF(E10="","",VLOOKUP(E10,'Coaching Points'!A:B,2,0))</f>
        <v>AB</v>
      </c>
      <c r="E10" s="36" t="s">
        <v>91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 t="s">
        <v>604</v>
      </c>
      <c r="J10" s="4">
        <f>R10+IF(OR(H10="Junior",H10="Senior"),0.0002,IF(OR(H10="L7",H10="L6"),0.0001,0))+MAX(X10,Z10)*0.0000001</f>
        <v>43.500204349999997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/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Scores'!H$13),AND(G10="15-16",U10&gt;='Qualifying Scores'!H$12),AND(G10="13-14",U10&gt;='Qualifying Scores'!H$11),AND(G10="11-12",U10&gt;='Qualifying Scores'!H$10)),T10,0),IF(OR(AND(G10="17-21",W10&gt;='Qualifying Scores'!H$13),AND(G10="15-16",W10&gt;='Qualifying Scores'!H$12),AND(G10="13-14",W10&gt;='Qualifying Scores'!H$11),AND(G10="11-12",W10&gt;='Qualifying Scores'!H$10)),V10,0),IF(OR(AND(G10="17-21",Y10&gt;='Qualifying Scores'!H$13),AND(G10="15-16",Y10&gt;='Qualifying Scores'!H$12),AND(G10="13-14",Y10&gt;='Qualifying Scores'!H$11),AND(G10="11-12",Y10&gt;='Qualifying Scores'!H$10)),X10,0),IF(OR(AND(G10="17-21",AA10&gt;='Qualifying Scores'!H$13),AND(G10="15-16",AA10&gt;='Qualifying Scores'!H$12),AND(G10="13-14",AA10&gt;='Qualifying Scores'!H$11),AND(G10="11-12",AA10&gt;='Qualifying Scores'!H$10)),Z10,0)))</f>
        <v>43.5</v>
      </c>
      <c r="S10" s="4">
        <f>MAX(T10,V10,X10,Z10)</f>
        <v>43.5</v>
      </c>
      <c r="T10" s="33"/>
      <c r="U10" s="40"/>
      <c r="V10" s="34"/>
      <c r="W10" s="40"/>
      <c r="X10" s="33">
        <v>43.5</v>
      </c>
      <c r="Y10" s="40">
        <v>11</v>
      </c>
      <c r="Z10" s="34">
        <v>42.600000000000009</v>
      </c>
      <c r="AA10" s="37">
        <v>10</v>
      </c>
    </row>
    <row r="11" spans="1:27" x14ac:dyDescent="0.2">
      <c r="A11" s="1" t="str" cm="1">
        <f t="array" ref="A11">IF(I11="","",IF(P11&lt;&gt;"",SUMPRODUCT((P$3:P$38&lt;&gt;"")*(G$3:G$38=G11)*(J$3:J$38&gt;J11)*(I$3:I$38="P"))+1,IF(O11&lt;&gt;"",SUMPRODUCT((O$3:O$38&lt;&gt;"")*(P$3:P$38="")*(G$3:G$38=G11)*(J$3:J$38&gt;J11)*(I$3:I$38="P"))+SUMPRODUCT((P$3:P$38&lt;&gt;"")*(G$3:G$38=G11)*(I$3:I$38="P"))+1,IF(N11&lt;&gt;"",SUMPRODUCT((N$3:N$38&lt;&gt;"")*(G$3:G$38=G11)*(J$3:J$38&gt;J11)*(I$3:I$38="P"))+1,IF(M11="P",SUMPRODUCT((O$3:O$38&lt;&gt;"")*(P$3:P$38="")*(G$3:G$38=G11)*(I$3:I$38="P"))+SUMPRODUCT((P$3:P$38&lt;&gt;"")*(G$3:G$38=G11)*(I$3:I$38="P"))+SUMPRODUCT((N$3:N$38&lt;&gt;"")*(G$3:G$38=G11)*(I$3:I$38="P"))+SUMPRODUCT((P$3:P$38="")*(O$3:O$38="")*(N$3:N$38="")*(M$3:M$38="P")*(G$3:G$38=G11)*(J$3:J$38&gt;J11)*(I$3:I$38="P"))+IF(H11="L5",SUMPRODUCT((P$3:P$38="")*(O$3:O$38="")*(N$3:N$38="")*(M$3:M$38="P")*(G$3:G$38=G11)*(J$3:J$38&lt;J11)*(H$3:H$38&lt;&gt;H11)*(I$3:I$38="P")),-1*SUMPRODUCT((P$3:P$38="")*(O$3:O$38="")*(N$3:N$38="")*(M$3:M$38="P")*(G$3:G$38=G11)*(J$3:J$38&gt;J11)*(H$3:H$38="L5")*(I$3:I$38="P")))+1,"")))))</f>
        <v/>
      </c>
      <c r="B11" s="1" t="str" cm="1">
        <f t="array" ref="B11">IF(P11&lt;&gt;"",SUMPRODUCT((P$3:P$37&lt;&gt;"")*(G$3:G$37=G11)*(J$3:J$37&gt;J11))+1,IF(O11&lt;&gt;"",SUMPRODUCT((O$3:O$37&lt;&gt;"")*(P$3:P$37="")*(G$3:G$37=G11)*(J$3:J$37&gt;J11))+SUMPRODUCT((P$3:P$37&lt;&gt;"")*(G$3:G$37=G11))+1,IF(N11&lt;&gt;"",SUMPRODUCT((N$3:N$37&lt;&gt;"")*(G$3:G$37=G11)*(J$3:J$37&gt;J11))+1,IF(M11="P",SUMPRODUCT((O$3:O$37&lt;&gt;"")*(P$3:P$37="")*(G$3:G$37=G11))+SUMPRODUCT((P$3:P$37&lt;&gt;"")*(G$3:G$37=G11))+SUMPRODUCT((N$3:N$37&lt;&gt;"")*(G$3:G$37=G11))+SUMPRODUCT((P$3:P$37="")*(O$3:O$37="")*(N$3:N$37="")*(M$3:M$37="P")*(G$3:G$37=G11)*(J$3:J$37&gt;J11))+IF(H11="L5",SUMPRODUCT((P$3:P$37="")*(O$3:O$37="")*(N$3:N$37="")*(M$3:M$37="P")*(G$3:G$37=G11)*(J$3:J$37&lt;J11)*(H$3:H$37&lt;&gt;H11)),-1*SUMPRODUCT((P$3:P$37="")*(O$3:O$37="")*(N$3:N$37="")*(M$3:M$37="P")*(G$3:G$37=G11)*(J$3:J$37&gt;J11)*(H$3:H$37="L5")))+1,""))))</f>
        <v/>
      </c>
      <c r="C11" s="36" t="s">
        <v>563</v>
      </c>
      <c r="D11" s="36" t="str">
        <f>IF(E11="","",VLOOKUP(E11,'Coaching Points'!A:B,2,0))</f>
        <v>ON</v>
      </c>
      <c r="E11" s="36" t="s">
        <v>592</v>
      </c>
      <c r="F11" s="35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/>
      <c r="J11" s="4">
        <f>R11+IF(OR(H11="Junior",H11="Senior"),0.0002,IF(OR(H11="L7",H11="L6"),0.0001,0))+MAX(X11,Z11)*0.0000001</f>
        <v>43.200104320000008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Scores'!H$13),AND(G11="15-16",U11&gt;='Qualifying Scores'!H$12),AND(G11="13-14",U11&gt;='Qualifying Scores'!H$11),AND(G11="11-12",U11&gt;='Qualifying Scores'!H$10)),T11,0),IF(OR(AND(G11="17-21",W11&gt;='Qualifying Scores'!H$13),AND(G11="15-16",W11&gt;='Qualifying Scores'!H$12),AND(G11="13-14",W11&gt;='Qualifying Scores'!H$11),AND(G11="11-12",W11&gt;='Qualifying Scores'!H$10)),V11,0),IF(OR(AND(G11="17-21",Y11&gt;='Qualifying Scores'!H$13),AND(G11="15-16",Y11&gt;='Qualifying Scores'!H$12),AND(G11="13-14",Y11&gt;='Qualifying Scores'!H$11),AND(G11="11-12",Y11&gt;='Qualifying Scores'!H$10)),X11,0),IF(OR(AND(G11="17-21",AA11&gt;='Qualifying Scores'!H$13),AND(G11="15-16",AA11&gt;='Qualifying Scores'!H$12),AND(G11="13-14",AA11&gt;='Qualifying Scores'!H$11),AND(G11="11-12",AA11&gt;='Qualifying Scores'!H$10)),Z11,0)))</f>
        <v>43.2</v>
      </c>
      <c r="S11" s="4">
        <f>MAX(T11,V11,X11,Z11)</f>
        <v>43.2</v>
      </c>
      <c r="T11" s="33"/>
      <c r="U11" s="40"/>
      <c r="V11" s="34"/>
      <c r="W11" s="40"/>
      <c r="X11" s="33">
        <v>43</v>
      </c>
      <c r="Y11" s="40">
        <v>9.3999999999999986</v>
      </c>
      <c r="Z11" s="34">
        <v>43.2</v>
      </c>
      <c r="AA11" s="37">
        <v>10.199999999999999</v>
      </c>
    </row>
    <row r="12" spans="1:27" x14ac:dyDescent="0.2">
      <c r="A12" s="1" t="str" cm="1">
        <f t="array" ref="A12">IF(I12="","",IF(P12&lt;&gt;"",SUMPRODUCT((P$3:P$38&lt;&gt;"")*(G$3:G$38=G12)*(J$3:J$38&gt;J12)*(I$3:I$38="P"))+1,IF(O12&lt;&gt;"",SUMPRODUCT((O$3:O$38&lt;&gt;"")*(P$3:P$38="")*(G$3:G$38=G12)*(J$3:J$38&gt;J12)*(I$3:I$38="P"))+SUMPRODUCT((P$3:P$38&lt;&gt;"")*(G$3:G$38=G12)*(I$3:I$38="P"))+1,IF(N12&lt;&gt;"",SUMPRODUCT((N$3:N$38&lt;&gt;"")*(G$3:G$38=G12)*(J$3:J$38&gt;J12)*(I$3:I$38="P"))+1,IF(M12="P",SUMPRODUCT((O$3:O$38&lt;&gt;"")*(P$3:P$38="")*(G$3:G$38=G12)*(I$3:I$38="P"))+SUMPRODUCT((P$3:P$38&lt;&gt;"")*(G$3:G$38=G12)*(I$3:I$38="P"))+SUMPRODUCT((N$3:N$38&lt;&gt;"")*(G$3:G$38=G12)*(I$3:I$38="P"))+SUMPRODUCT((P$3:P$38="")*(O$3:O$38="")*(N$3:N$38="")*(M$3:M$38="P")*(G$3:G$38=G12)*(J$3:J$38&gt;J12)*(I$3:I$38="P"))+IF(H12="L5",SUMPRODUCT((P$3:P$38="")*(O$3:O$38="")*(N$3:N$38="")*(M$3:M$38="P")*(G$3:G$38=G12)*(J$3:J$38&lt;J12)*(H$3:H$38&lt;&gt;H12)*(I$3:I$38="P")),-1*SUMPRODUCT((P$3:P$38="")*(O$3:O$38="")*(N$3:N$38="")*(M$3:M$38="P")*(G$3:G$38=G12)*(J$3:J$38&gt;J12)*(H$3:H$38="L5")*(I$3:I$38="P")))+1,"")))))</f>
        <v/>
      </c>
      <c r="B12" s="1" t="str" cm="1">
        <f t="array" ref="B12">IF(P12&lt;&gt;"",SUMPRODUCT((P$3:P$37&lt;&gt;"")*(G$3:G$37=G12)*(J$3:J$37&gt;J12))+1,IF(O12&lt;&gt;"",SUMPRODUCT((O$3:O$37&lt;&gt;"")*(P$3:P$37="")*(G$3:G$37=G12)*(J$3:J$37&gt;J12))+SUMPRODUCT((P$3:P$37&lt;&gt;"")*(G$3:G$37=G12))+1,IF(N12&lt;&gt;"",SUMPRODUCT((N$3:N$37&lt;&gt;"")*(G$3:G$37=G12)*(J$3:J$37&gt;J12))+1,IF(M12="P",SUMPRODUCT((O$3:O$37&lt;&gt;"")*(P$3:P$37="")*(G$3:G$37=G12))+SUMPRODUCT((P$3:P$37&lt;&gt;"")*(G$3:G$37=G12))+SUMPRODUCT((N$3:N$37&lt;&gt;"")*(G$3:G$37=G12))+SUMPRODUCT((P$3:P$37="")*(O$3:O$37="")*(N$3:N$37="")*(M$3:M$37="P")*(G$3:G$37=G12)*(J$3:J$37&gt;J12))+IF(H12="L5",SUMPRODUCT((P$3:P$37="")*(O$3:O$37="")*(N$3:N$37="")*(M$3:M$37="P")*(G$3:G$37=G12)*(J$3:J$37&lt;J12)*(H$3:H$37&lt;&gt;H12)),-1*SUMPRODUCT((P$3:P$37="")*(O$3:O$37="")*(N$3:N$37="")*(M$3:M$37="P")*(G$3:G$37=G12)*(J$3:J$37&gt;J12)*(H$3:H$37="L5")))+1,""))))</f>
        <v/>
      </c>
      <c r="C12" s="36" t="s">
        <v>314</v>
      </c>
      <c r="D12" s="36" t="str">
        <f>IF(E12="","",VLOOKUP(E12,'Coaching Points'!A:B,2,0))</f>
        <v>AB</v>
      </c>
      <c r="E12" s="36" t="s">
        <v>91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42.400104240000012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Scores'!H$13),AND(G12="15-16",U12&gt;='Qualifying Scores'!H$12),AND(G12="13-14",U12&gt;='Qualifying Scores'!H$11),AND(G12="11-12",U12&gt;='Qualifying Scores'!H$10)),T12,0),IF(OR(AND(G12="17-21",W12&gt;='Qualifying Scores'!H$13),AND(G12="15-16",W12&gt;='Qualifying Scores'!H$12),AND(G12="13-14",W12&gt;='Qualifying Scores'!H$11),AND(G12="11-12",W12&gt;='Qualifying Scores'!H$10)),V12,0),IF(OR(AND(G12="17-21",Y12&gt;='Qualifying Scores'!H$13),AND(G12="15-16",Y12&gt;='Qualifying Scores'!H$12),AND(G12="13-14",Y12&gt;='Qualifying Scores'!H$11),AND(G12="11-12",Y12&gt;='Qualifying Scores'!H$10)),X12,0),IF(OR(AND(G12="17-21",AA12&gt;='Qualifying Scores'!H$13),AND(G12="15-16",AA12&gt;='Qualifying Scores'!H$12),AND(G12="13-14",AA12&gt;='Qualifying Scores'!H$11),AND(G12="11-12",AA12&gt;='Qualifying Scores'!H$10)),Z12,0)))</f>
        <v>42.400000000000006</v>
      </c>
      <c r="S12" s="4">
        <f>MAX(T12,V12,X12,Z12)</f>
        <v>42.400000000000006</v>
      </c>
      <c r="T12" s="33">
        <v>40.200000000000003</v>
      </c>
      <c r="U12" s="40">
        <v>8.7000000000000011</v>
      </c>
      <c r="V12" s="34">
        <v>39</v>
      </c>
      <c r="W12" s="40">
        <v>7.3000000000000007</v>
      </c>
      <c r="X12" s="33">
        <v>42.400000000000006</v>
      </c>
      <c r="Y12" s="40">
        <v>10.1</v>
      </c>
      <c r="Z12" s="34">
        <v>37.4</v>
      </c>
      <c r="AA12" s="37">
        <v>7.5</v>
      </c>
    </row>
    <row r="13" spans="1:27" x14ac:dyDescent="0.2">
      <c r="A13" s="1" t="str" cm="1">
        <f t="array" ref="A13">IF(I13="","",IF(P13&lt;&gt;"",SUMPRODUCT((P$3:P$38&lt;&gt;"")*(G$3:G$38=G13)*(J$3:J$38&gt;J13)*(I$3:I$38="P"))+1,IF(O13&lt;&gt;"",SUMPRODUCT((O$3:O$38&lt;&gt;"")*(P$3:P$38="")*(G$3:G$38=G13)*(J$3:J$38&gt;J13)*(I$3:I$38="P"))+SUMPRODUCT((P$3:P$38&lt;&gt;"")*(G$3:G$38=G13)*(I$3:I$38="P"))+1,IF(N13&lt;&gt;"",SUMPRODUCT((N$3:N$38&lt;&gt;"")*(G$3:G$38=G13)*(J$3:J$38&gt;J13)*(I$3:I$38="P"))+1,IF(M13="P",SUMPRODUCT((O$3:O$38&lt;&gt;"")*(P$3:P$38="")*(G$3:G$38=G13)*(I$3:I$38="P"))+SUMPRODUCT((P$3:P$38&lt;&gt;"")*(G$3:G$38=G13)*(I$3:I$38="P"))+SUMPRODUCT((N$3:N$38&lt;&gt;"")*(G$3:G$38=G13)*(I$3:I$38="P"))+SUMPRODUCT((P$3:P$38="")*(O$3:O$38="")*(N$3:N$38="")*(M$3:M$38="P")*(G$3:G$38=G13)*(J$3:J$38&gt;J13)*(I$3:I$38="P"))+IF(H13="L5",SUMPRODUCT((P$3:P$38="")*(O$3:O$38="")*(N$3:N$38="")*(M$3:M$38="P")*(G$3:G$38=G13)*(J$3:J$38&lt;J13)*(H$3:H$38&lt;&gt;H13)*(I$3:I$38="P")),-1*SUMPRODUCT((P$3:P$38="")*(O$3:O$38="")*(N$3:N$38="")*(M$3:M$38="P")*(G$3:G$38=G13)*(J$3:J$38&gt;J13)*(H$3:H$38="L5")*(I$3:I$38="P")))+1,"")))))</f>
        <v/>
      </c>
      <c r="B13" s="1" t="str" cm="1">
        <f t="array" ref="B13">IF(P13&lt;&gt;"",SUMPRODUCT((P$3:P$37&lt;&gt;"")*(G$3:G$37=G13)*(J$3:J$37&gt;J13))+1,IF(O13&lt;&gt;"",SUMPRODUCT((O$3:O$37&lt;&gt;"")*(P$3:P$37="")*(G$3:G$37=G13)*(J$3:J$37&gt;J13))+SUMPRODUCT((P$3:P$37&lt;&gt;"")*(G$3:G$37=G13))+1,IF(N13&lt;&gt;"",SUMPRODUCT((N$3:N$37&lt;&gt;"")*(G$3:G$37=G13)*(J$3:J$37&gt;J13))+1,IF(M13="P",SUMPRODUCT((O$3:O$37&lt;&gt;"")*(P$3:P$37="")*(G$3:G$37=G13))+SUMPRODUCT((P$3:P$37&lt;&gt;"")*(G$3:G$37=G13))+SUMPRODUCT((N$3:N$37&lt;&gt;"")*(G$3:G$37=G13))+SUMPRODUCT((P$3:P$37="")*(O$3:O$37="")*(N$3:N$37="")*(M$3:M$37="P")*(G$3:G$37=G13)*(J$3:J$37&gt;J13))+IF(H13="L5",SUMPRODUCT((P$3:P$37="")*(O$3:O$37="")*(N$3:N$37="")*(M$3:M$37="P")*(G$3:G$37=G13)*(J$3:J$37&lt;J13)*(H$3:H$37&lt;&gt;H13)),-1*SUMPRODUCT((P$3:P$37="")*(O$3:O$37="")*(N$3:N$37="")*(M$3:M$37="P")*(G$3:G$37=G13)*(J$3:J$37&gt;J13)*(H$3:H$37="L5")))+1,""))))</f>
        <v/>
      </c>
      <c r="C13" s="36" t="s">
        <v>407</v>
      </c>
      <c r="D13" s="36" t="str">
        <f>IF(E13="","",VLOOKUP(E13,'Coaching Points'!A:B,2,0))</f>
        <v>BC</v>
      </c>
      <c r="E13" s="36" t="s">
        <v>143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1.0429000000000001E-4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Scores'!H$13),AND(G13="15-16",U13&gt;='Qualifying Scores'!H$12),AND(G13="13-14",U13&gt;='Qualifying Scores'!H$11),AND(G13="11-12",U13&gt;='Qualifying Scores'!H$10)),T13,0),IF(OR(AND(G13="17-21",W13&gt;='Qualifying Scores'!H$13),AND(G13="15-16",W13&gt;='Qualifying Scores'!H$12),AND(G13="13-14",W13&gt;='Qualifying Scores'!H$11),AND(G13="11-12",W13&gt;='Qualifying Scores'!H$10)),V13,0),IF(OR(AND(G13="17-21",Y13&gt;='Qualifying Scores'!H$13),AND(G13="15-16",Y13&gt;='Qualifying Scores'!H$12),AND(G13="13-14",Y13&gt;='Qualifying Scores'!H$11),AND(G13="11-12",Y13&gt;='Qualifying Scores'!H$10)),X13,0),IF(OR(AND(G13="17-21",AA13&gt;='Qualifying Scores'!H$13),AND(G13="15-16",AA13&gt;='Qualifying Scores'!H$12),AND(G13="13-14",AA13&gt;='Qualifying Scores'!H$11),AND(G13="11-12",AA13&gt;='Qualifying Scores'!H$10)),Z13,0)))</f>
        <v>0</v>
      </c>
      <c r="S13" s="4">
        <f>MAX(T13,V13,X13,Z13)</f>
        <v>42.9</v>
      </c>
      <c r="T13" s="33"/>
      <c r="U13" s="40"/>
      <c r="V13" s="34"/>
      <c r="W13" s="40"/>
      <c r="X13" s="33">
        <v>37.9</v>
      </c>
      <c r="Y13" s="40">
        <v>6.3000000000000007</v>
      </c>
      <c r="Z13" s="34">
        <v>42.9</v>
      </c>
      <c r="AA13" s="37">
        <v>8.4</v>
      </c>
    </row>
    <row r="14" spans="1:27" x14ac:dyDescent="0.2">
      <c r="A14" s="1" t="str" cm="1">
        <f t="array" ref="A14">IF(I14="","",IF(P14&lt;&gt;"",SUMPRODUCT((P$3:P$38&lt;&gt;"")*(G$3:G$38=G14)*(J$3:J$38&gt;J14)*(I$3:I$38="P"))+1,IF(O14&lt;&gt;"",SUMPRODUCT((O$3:O$38&lt;&gt;"")*(P$3:P$38="")*(G$3:G$38=G14)*(J$3:J$38&gt;J14)*(I$3:I$38="P"))+SUMPRODUCT((P$3:P$38&lt;&gt;"")*(G$3:G$38=G14)*(I$3:I$38="P"))+1,IF(N14&lt;&gt;"",SUMPRODUCT((N$3:N$38&lt;&gt;"")*(G$3:G$38=G14)*(J$3:J$38&gt;J14)*(I$3:I$38="P"))+1,IF(M14="P",SUMPRODUCT((O$3:O$38&lt;&gt;"")*(P$3:P$38="")*(G$3:G$38=G14)*(I$3:I$38="P"))+SUMPRODUCT((P$3:P$38&lt;&gt;"")*(G$3:G$38=G14)*(I$3:I$38="P"))+SUMPRODUCT((N$3:N$38&lt;&gt;"")*(G$3:G$38=G14)*(I$3:I$38="P"))+SUMPRODUCT((P$3:P$38="")*(O$3:O$38="")*(N$3:N$38="")*(M$3:M$38="P")*(G$3:G$38=G14)*(J$3:J$38&gt;J14)*(I$3:I$38="P"))+IF(H14="L5",SUMPRODUCT((P$3:P$38="")*(O$3:O$38="")*(N$3:N$38="")*(M$3:M$38="P")*(G$3:G$38=G14)*(J$3:J$38&lt;J14)*(H$3:H$38&lt;&gt;H14)*(I$3:I$38="P")),-1*SUMPRODUCT((P$3:P$38="")*(O$3:O$38="")*(N$3:N$38="")*(M$3:M$38="P")*(G$3:G$38=G14)*(J$3:J$38&gt;J14)*(H$3:H$38="L5")*(I$3:I$38="P")))+1,"")))))</f>
        <v/>
      </c>
      <c r="B14" s="1" t="str" cm="1">
        <f t="array" ref="B14">IF(P14&lt;&gt;"",SUMPRODUCT((P$3:P$37&lt;&gt;"")*(G$3:G$37=G14)*(J$3:J$37&gt;J14))+1,IF(O14&lt;&gt;"",SUMPRODUCT((O$3:O$37&lt;&gt;"")*(P$3:P$37="")*(G$3:G$37=G14)*(J$3:J$37&gt;J14))+SUMPRODUCT((P$3:P$37&lt;&gt;"")*(G$3:G$37=G14))+1,IF(N14&lt;&gt;"",SUMPRODUCT((N$3:N$37&lt;&gt;"")*(G$3:G$37=G14)*(J$3:J$37&gt;J14))+1,IF(M14="P",SUMPRODUCT((O$3:O$37&lt;&gt;"")*(P$3:P$37="")*(G$3:G$37=G14))+SUMPRODUCT((P$3:P$37&lt;&gt;"")*(G$3:G$37=G14))+SUMPRODUCT((N$3:N$37&lt;&gt;"")*(G$3:G$37=G14))+SUMPRODUCT((P$3:P$37="")*(O$3:O$37="")*(N$3:N$37="")*(M$3:M$37="P")*(G$3:G$37=G14)*(J$3:J$37&gt;J14))+IF(H14="L5",SUMPRODUCT((P$3:P$37="")*(O$3:O$37="")*(N$3:N$37="")*(M$3:M$37="P")*(G$3:G$37=G14)*(J$3:J$37&lt;J14)*(H$3:H$37&lt;&gt;H14)),-1*SUMPRODUCT((P$3:P$37="")*(O$3:O$37="")*(N$3:N$37="")*(M$3:M$37="P")*(G$3:G$37=G14)*(J$3:J$37&gt;J14)*(H$3:H$37="L5")))+1,""))))</f>
        <v/>
      </c>
      <c r="C14" s="36" t="s">
        <v>315</v>
      </c>
      <c r="D14" s="36" t="str">
        <f>IF(E14="","",VLOOKUP(E14,'Coaching Points'!A:B,2,0))</f>
        <v>AB</v>
      </c>
      <c r="E14" s="36" t="s">
        <v>29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1.0403000000000001E-4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Scores'!H$13),AND(G14="15-16",U14&gt;='Qualifying Scores'!H$12),AND(G14="13-14",U14&gt;='Qualifying Scores'!H$11),AND(G14="11-12",U14&gt;='Qualifying Scores'!H$10)),T14,0),IF(OR(AND(G14="17-21",W14&gt;='Qualifying Scores'!H$13),AND(G14="15-16",W14&gt;='Qualifying Scores'!H$12),AND(G14="13-14",W14&gt;='Qualifying Scores'!H$11),AND(G14="11-12",W14&gt;='Qualifying Scores'!H$10)),V14,0),IF(OR(AND(G14="17-21",Y14&gt;='Qualifying Scores'!H$13),AND(G14="15-16",Y14&gt;='Qualifying Scores'!H$12),AND(G14="13-14",Y14&gt;='Qualifying Scores'!H$11),AND(G14="11-12",Y14&gt;='Qualifying Scores'!H$10)),X14,0),IF(OR(AND(G14="17-21",AA14&gt;='Qualifying Scores'!H$13),AND(G14="15-16",AA14&gt;='Qualifying Scores'!H$12),AND(G14="13-14",AA14&gt;='Qualifying Scores'!H$11),AND(G14="11-12",AA14&gt;='Qualifying Scores'!H$10)),Z14,0)))</f>
        <v>0</v>
      </c>
      <c r="S14" s="4">
        <f>MAX(T14,V14,X14,Z14)</f>
        <v>40.29999999999999</v>
      </c>
      <c r="T14" s="33">
        <v>38.6</v>
      </c>
      <c r="U14" s="40">
        <v>7.3000000000000007</v>
      </c>
      <c r="V14" s="34">
        <v>37.6</v>
      </c>
      <c r="W14" s="40">
        <v>7.3000000000000007</v>
      </c>
      <c r="X14" s="33">
        <v>40.29999999999999</v>
      </c>
      <c r="Y14" s="40">
        <v>7.3</v>
      </c>
      <c r="Z14" s="34">
        <v>35.5</v>
      </c>
      <c r="AA14" s="37">
        <v>5.0999999999999996</v>
      </c>
    </row>
    <row r="15" spans="1:27" x14ac:dyDescent="0.2">
      <c r="A15" s="1" t="str" cm="1">
        <f t="array" ref="A15">IF(I15="","",IF(P15&lt;&gt;"",SUMPRODUCT((P$3:P$38&lt;&gt;"")*(G$3:G$38=G15)*(J$3:J$38&gt;J15)*(I$3:I$38="P"))+1,IF(O15&lt;&gt;"",SUMPRODUCT((O$3:O$38&lt;&gt;"")*(P$3:P$38="")*(G$3:G$38=G15)*(J$3:J$38&gt;J15)*(I$3:I$38="P"))+SUMPRODUCT((P$3:P$38&lt;&gt;"")*(G$3:G$38=G15)*(I$3:I$38="P"))+1,IF(N15&lt;&gt;"",SUMPRODUCT((N$3:N$38&lt;&gt;"")*(G$3:G$38=G15)*(J$3:J$38&gt;J15)*(I$3:I$38="P"))+1,IF(M15="P",SUMPRODUCT((O$3:O$38&lt;&gt;"")*(P$3:P$38="")*(G$3:G$38=G15)*(I$3:I$38="P"))+SUMPRODUCT((P$3:P$38&lt;&gt;"")*(G$3:G$38=G15)*(I$3:I$38="P"))+SUMPRODUCT((N$3:N$38&lt;&gt;"")*(G$3:G$38=G15)*(I$3:I$38="P"))+SUMPRODUCT((P$3:P$38="")*(O$3:O$38="")*(N$3:N$38="")*(M$3:M$38="P")*(G$3:G$38=G15)*(J$3:J$38&gt;J15)*(I$3:I$38="P"))+IF(H15="L5",SUMPRODUCT((P$3:P$38="")*(O$3:O$38="")*(N$3:N$38="")*(M$3:M$38="P")*(G$3:G$38=G15)*(J$3:J$38&lt;J15)*(H$3:H$38&lt;&gt;H15)*(I$3:I$38="P")),-1*SUMPRODUCT((P$3:P$38="")*(O$3:O$38="")*(N$3:N$38="")*(M$3:M$38="P")*(G$3:G$38=G15)*(J$3:J$38&gt;J15)*(H$3:H$38="L5")*(I$3:I$38="P")))+1,"")))))</f>
        <v/>
      </c>
      <c r="B15" s="1" t="str" cm="1">
        <f t="array" ref="B15">IF(P15&lt;&gt;"",SUMPRODUCT((P$3:P$37&lt;&gt;"")*(G$3:G$37=G15)*(J$3:J$37&gt;J15))+1,IF(O15&lt;&gt;"",SUMPRODUCT((O$3:O$37&lt;&gt;"")*(P$3:P$37="")*(G$3:G$37=G15)*(J$3:J$37&gt;J15))+SUMPRODUCT((P$3:P$37&lt;&gt;"")*(G$3:G$37=G15))+1,IF(N15&lt;&gt;"",SUMPRODUCT((N$3:N$37&lt;&gt;"")*(G$3:G$37=G15)*(J$3:J$37&gt;J15))+1,IF(M15="P",SUMPRODUCT((O$3:O$37&lt;&gt;"")*(P$3:P$37="")*(G$3:G$37=G15))+SUMPRODUCT((P$3:P$37&lt;&gt;"")*(G$3:G$37=G15))+SUMPRODUCT((N$3:N$37&lt;&gt;"")*(G$3:G$37=G15))+SUMPRODUCT((P$3:P$37="")*(O$3:O$37="")*(N$3:N$37="")*(M$3:M$37="P")*(G$3:G$37=G15)*(J$3:J$37&gt;J15))+IF(H15="L5",SUMPRODUCT((P$3:P$37="")*(O$3:O$37="")*(N$3:N$37="")*(M$3:M$37="P")*(G$3:G$37=G15)*(J$3:J$37&lt;J15)*(H$3:H$37&lt;&gt;H15)),-1*SUMPRODUCT((P$3:P$37="")*(O$3:O$37="")*(N$3:N$37="")*(M$3:M$37="P")*(G$3:G$37=G15)*(J$3:J$37&gt;J15)*(H$3:H$37="L5")))+1,""))))</f>
        <v/>
      </c>
      <c r="C15" s="36" t="s">
        <v>561</v>
      </c>
      <c r="D15" s="36" t="str">
        <f>IF(E15="","",VLOOKUP(E15,'Coaching Points'!A:B,2,0))</f>
        <v>MB</v>
      </c>
      <c r="E15" s="36" t="s">
        <v>129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115</v>
      </c>
      <c r="I15" s="45"/>
      <c r="J15" s="4">
        <f>R15+IF(OR(H15="Junior",H15="Senior"),0.0002,IF(OR(H15="L7",H15="L6"),0.0001,0))+MAX(X15,Z15)*0.0000001</f>
        <v>4.34E-6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Scores'!H$13),AND(G15="15-16",U15&gt;='Qualifying Scores'!H$12),AND(G15="13-14",U15&gt;='Qualifying Scores'!H$11),AND(G15="11-12",U15&gt;='Qualifying Scores'!H$10)),T15,0),IF(OR(AND(G15="17-21",W15&gt;='Qualifying Scores'!H$13),AND(G15="15-16",W15&gt;='Qualifying Scores'!H$12),AND(G15="13-14",W15&gt;='Qualifying Scores'!H$11),AND(G15="11-12",W15&gt;='Qualifying Scores'!H$10)),V15,0),IF(OR(AND(G15="17-21",Y15&gt;='Qualifying Scores'!H$13),AND(G15="15-16",Y15&gt;='Qualifying Scores'!H$12),AND(G15="13-14",Y15&gt;='Qualifying Scores'!H$11),AND(G15="11-12",Y15&gt;='Qualifying Scores'!H$10)),X15,0),IF(OR(AND(G15="17-21",AA15&gt;='Qualifying Scores'!H$13),AND(G15="15-16",AA15&gt;='Qualifying Scores'!H$12),AND(G15="13-14",AA15&gt;='Qualifying Scores'!H$11),AND(G15="11-12",AA15&gt;='Qualifying Scores'!H$10)),Z15,0)))</f>
        <v>0</v>
      </c>
      <c r="S15" s="4">
        <f>MAX(T15,V15,X15,Z15)</f>
        <v>43.4</v>
      </c>
      <c r="T15" s="33"/>
      <c r="U15" s="40"/>
      <c r="V15" s="34"/>
      <c r="W15" s="40"/>
      <c r="X15" s="33">
        <v>43.4</v>
      </c>
      <c r="Y15" s="40">
        <v>7.3</v>
      </c>
      <c r="Z15" s="34">
        <v>43</v>
      </c>
      <c r="AA15" s="37">
        <v>7.3</v>
      </c>
    </row>
    <row r="16" spans="1:27" x14ac:dyDescent="0.2">
      <c r="A16" s="1" t="str" cm="1">
        <f t="array" ref="A16">IF(I16="","",IF(P16&lt;&gt;"",SUMPRODUCT((P$3:P$38&lt;&gt;"")*(G$3:G$38=G16)*(J$3:J$38&gt;J16)*(I$3:I$38="P"))+1,IF(O16&lt;&gt;"",SUMPRODUCT((O$3:O$38&lt;&gt;"")*(P$3:P$38="")*(G$3:G$38=G16)*(J$3:J$38&gt;J16)*(I$3:I$38="P"))+SUMPRODUCT((P$3:P$38&lt;&gt;"")*(G$3:G$38=G16)*(I$3:I$38="P"))+1,IF(N16&lt;&gt;"",SUMPRODUCT((N$3:N$38&lt;&gt;"")*(G$3:G$38=G16)*(J$3:J$38&gt;J16)*(I$3:I$38="P"))+1,IF(M16="P",SUMPRODUCT((O$3:O$38&lt;&gt;"")*(P$3:P$38="")*(G$3:G$38=G16)*(I$3:I$38="P"))+SUMPRODUCT((P$3:P$38&lt;&gt;"")*(G$3:G$38=G16)*(I$3:I$38="P"))+SUMPRODUCT((N$3:N$38&lt;&gt;"")*(G$3:G$38=G16)*(I$3:I$38="P"))+SUMPRODUCT((P$3:P$38="")*(O$3:O$38="")*(N$3:N$38="")*(M$3:M$38="P")*(G$3:G$38=G16)*(J$3:J$38&gt;J16)*(I$3:I$38="P"))+IF(H16="L5",SUMPRODUCT((P$3:P$38="")*(O$3:O$38="")*(N$3:N$38="")*(M$3:M$38="P")*(G$3:G$38=G16)*(J$3:J$38&lt;J16)*(H$3:H$38&lt;&gt;H16)*(I$3:I$38="P")),-1*SUMPRODUCT((P$3:P$38="")*(O$3:O$38="")*(N$3:N$38="")*(M$3:M$38="P")*(G$3:G$38=G16)*(J$3:J$38&gt;J16)*(H$3:H$38="L5")*(I$3:I$38="P")))+1,"")))))</f>
        <v/>
      </c>
      <c r="B16" s="1" t="str" cm="1">
        <f t="array" ref="B16">IF(P16&lt;&gt;"",SUMPRODUCT((P$3:P$37&lt;&gt;"")*(G$3:G$37=G16)*(J$3:J$37&gt;J16))+1,IF(O16&lt;&gt;"",SUMPRODUCT((O$3:O$37&lt;&gt;"")*(P$3:P$37="")*(G$3:G$37=G16)*(J$3:J$37&gt;J16))+SUMPRODUCT((P$3:P$37&lt;&gt;"")*(G$3:G$37=G16))+1,IF(N16&lt;&gt;"",SUMPRODUCT((N$3:N$37&lt;&gt;"")*(G$3:G$37=G16)*(J$3:J$37&gt;J16))+1,IF(M16="P",SUMPRODUCT((O$3:O$37&lt;&gt;"")*(P$3:P$37="")*(G$3:G$37=G16))+SUMPRODUCT((P$3:P$37&lt;&gt;"")*(G$3:G$37=G16))+SUMPRODUCT((N$3:N$37&lt;&gt;"")*(G$3:G$37=G16))+SUMPRODUCT((P$3:P$37="")*(O$3:O$37="")*(N$3:N$37="")*(M$3:M$37="P")*(G$3:G$37=G16)*(J$3:J$37&gt;J16))+IF(H16="L5",SUMPRODUCT((P$3:P$37="")*(O$3:O$37="")*(N$3:N$37="")*(M$3:M$37="P")*(G$3:G$37=G16)*(J$3:J$37&lt;J16)*(H$3:H$37&lt;&gt;H16)),-1*SUMPRODUCT((P$3:P$37="")*(O$3:O$37="")*(N$3:N$37="")*(M$3:M$37="P")*(G$3:G$37=G16)*(J$3:J$37&gt;J16)*(H$3:H$37="L5")))+1,""))))</f>
        <v/>
      </c>
      <c r="C16" s="36" t="s">
        <v>306</v>
      </c>
      <c r="D16" s="36" t="str">
        <f>IF(E16="","",VLOOKUP(E16,'Coaching Points'!A:B,2,0))</f>
        <v>QC</v>
      </c>
      <c r="E16" s="36" t="s">
        <v>307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115</v>
      </c>
      <c r="I16" s="45"/>
      <c r="J16" s="4">
        <f>R16+IF(OR(H16="Junior",H16="Senior"),0.0002,IF(OR(H16="L7",H16="L6"),0.0001,0))+MAX(X16,Z16)*0.0000001</f>
        <v>4.2400000000000001E-6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Scores'!H$13),AND(G16="15-16",U16&gt;='Qualifying Scores'!H$12),AND(G16="13-14",U16&gt;='Qualifying Scores'!H$11),AND(G16="11-12",U16&gt;='Qualifying Scores'!H$10)),T16,0),IF(OR(AND(G16="17-21",W16&gt;='Qualifying Scores'!H$13),AND(G16="15-16",W16&gt;='Qualifying Scores'!H$12),AND(G16="13-14",W16&gt;='Qualifying Scores'!H$11),AND(G16="11-12",W16&gt;='Qualifying Scores'!H$10)),V16,0),IF(OR(AND(G16="17-21",Y16&gt;='Qualifying Scores'!H$13),AND(G16="15-16",Y16&gt;='Qualifying Scores'!H$12),AND(G16="13-14",Y16&gt;='Qualifying Scores'!H$11),AND(G16="11-12",Y16&gt;='Qualifying Scores'!H$10)),X16,0),IF(OR(AND(G16="17-21",AA16&gt;='Qualifying Scores'!H$13),AND(G16="15-16",AA16&gt;='Qualifying Scores'!H$12),AND(G16="13-14",AA16&gt;='Qualifying Scores'!H$11),AND(G16="11-12",AA16&gt;='Qualifying Scores'!H$10)),Z16,0)))</f>
        <v>0</v>
      </c>
      <c r="S16" s="4">
        <f>MAX(T16,V16,X16,Z16)</f>
        <v>42.4</v>
      </c>
      <c r="T16" s="33">
        <v>38.599999999999994</v>
      </c>
      <c r="U16" s="40">
        <v>6.2</v>
      </c>
      <c r="V16" s="34">
        <v>40.200000000000003</v>
      </c>
      <c r="W16" s="40">
        <v>6.2</v>
      </c>
      <c r="X16" s="33">
        <v>41.9</v>
      </c>
      <c r="Y16" s="40">
        <v>5.6</v>
      </c>
      <c r="Z16" s="34">
        <v>42.4</v>
      </c>
      <c r="AA16" s="37">
        <v>6.2</v>
      </c>
    </row>
    <row r="17" spans="1:27" x14ac:dyDescent="0.2">
      <c r="A17" s="1" t="str" cm="1">
        <f t="array" ref="A17">IF(I17="","",IF(P17&lt;&gt;"",SUMPRODUCT((P$3:P$38&lt;&gt;"")*(G$3:G$38=G17)*(J$3:J$38&gt;J17)*(I$3:I$38="P"))+1,IF(O17&lt;&gt;"",SUMPRODUCT((O$3:O$38&lt;&gt;"")*(P$3:P$38="")*(G$3:G$38=G17)*(J$3:J$38&gt;J17)*(I$3:I$38="P"))+SUMPRODUCT((P$3:P$38&lt;&gt;"")*(G$3:G$38=G17)*(I$3:I$38="P"))+1,IF(N17&lt;&gt;"",SUMPRODUCT((N$3:N$38&lt;&gt;"")*(G$3:G$38=G17)*(J$3:J$38&gt;J17)*(I$3:I$38="P"))+1,IF(M17="P",SUMPRODUCT((O$3:O$38&lt;&gt;"")*(P$3:P$38="")*(G$3:G$38=G17)*(I$3:I$38="P"))+SUMPRODUCT((P$3:P$38&lt;&gt;"")*(G$3:G$38=G17)*(I$3:I$38="P"))+SUMPRODUCT((N$3:N$38&lt;&gt;"")*(G$3:G$38=G17)*(I$3:I$38="P"))+SUMPRODUCT((P$3:P$38="")*(O$3:O$38="")*(N$3:N$38="")*(M$3:M$38="P")*(G$3:G$38=G17)*(J$3:J$38&gt;J17)*(I$3:I$38="P"))+IF(H17="L5",SUMPRODUCT((P$3:P$38="")*(O$3:O$38="")*(N$3:N$38="")*(M$3:M$38="P")*(G$3:G$38=G17)*(J$3:J$38&lt;J17)*(H$3:H$38&lt;&gt;H17)*(I$3:I$38="P")),-1*SUMPRODUCT((P$3:P$38="")*(O$3:O$38="")*(N$3:N$38="")*(M$3:M$38="P")*(G$3:G$38=G17)*(J$3:J$38&gt;J17)*(H$3:H$38="L5")*(I$3:I$38="P")))+1,"")))))</f>
        <v/>
      </c>
      <c r="B17" s="1" t="str" cm="1">
        <f t="array" ref="B17">IF(P17&lt;&gt;"",SUMPRODUCT((P$3:P$37&lt;&gt;"")*(G$3:G$37=G17)*(J$3:J$37&gt;J17))+1,IF(O17&lt;&gt;"",SUMPRODUCT((O$3:O$37&lt;&gt;"")*(P$3:P$37="")*(G$3:G$37=G17)*(J$3:J$37&gt;J17))+SUMPRODUCT((P$3:P$37&lt;&gt;"")*(G$3:G$37=G17))+1,IF(N17&lt;&gt;"",SUMPRODUCT((N$3:N$37&lt;&gt;"")*(G$3:G$37=G17)*(J$3:J$37&gt;J17))+1,IF(M17="P",SUMPRODUCT((O$3:O$37&lt;&gt;"")*(P$3:P$37="")*(G$3:G$37=G17))+SUMPRODUCT((P$3:P$37&lt;&gt;"")*(G$3:G$37=G17))+SUMPRODUCT((N$3:N$37&lt;&gt;"")*(G$3:G$37=G17))+SUMPRODUCT((P$3:P$37="")*(O$3:O$37="")*(N$3:N$37="")*(M$3:M$37="P")*(G$3:G$37=G17)*(J$3:J$37&gt;J17))+IF(H17="L5",SUMPRODUCT((P$3:P$37="")*(O$3:O$37="")*(N$3:N$37="")*(M$3:M$37="P")*(G$3:G$37=G17)*(J$3:J$37&lt;J17)*(H$3:H$37&lt;&gt;H17)),-1*SUMPRODUCT((P$3:P$37="")*(O$3:O$37="")*(N$3:N$37="")*(M$3:M$37="P")*(G$3:G$37=G17)*(J$3:J$37&gt;J17)*(H$3:H$37="L5")))+1,""))))</f>
        <v/>
      </c>
      <c r="C17" s="36" t="s">
        <v>601</v>
      </c>
      <c r="D17" s="36" t="str">
        <f>IF(E17="","",VLOOKUP(E17,'Coaching Points'!A:B,2,0))</f>
        <v>QC</v>
      </c>
      <c r="E17" s="36" t="s">
        <v>361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115</v>
      </c>
      <c r="I17" s="45"/>
      <c r="J17" s="4">
        <f>R17+IF(OR(H17="Junior",H17="Senior"),0.0002,IF(OR(H17="L7",H17="L6"),0.0001,0))+MAX(X17,Z17)*0.0000001</f>
        <v>4.1799999999999998E-6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Scores'!H$13),AND(G17="15-16",U17&gt;='Qualifying Scores'!H$12),AND(G17="13-14",U17&gt;='Qualifying Scores'!H$11),AND(G17="11-12",U17&gt;='Qualifying Scores'!H$10)),T17,0),IF(OR(AND(G17="17-21",W17&gt;='Qualifying Scores'!H$13),AND(G17="15-16",W17&gt;='Qualifying Scores'!H$12),AND(G17="13-14",W17&gt;='Qualifying Scores'!H$11),AND(G17="11-12",W17&gt;='Qualifying Scores'!H$10)),V17,0),IF(OR(AND(G17="17-21",Y17&gt;='Qualifying Scores'!H$13),AND(G17="15-16",Y17&gt;='Qualifying Scores'!H$12),AND(G17="13-14",Y17&gt;='Qualifying Scores'!H$11),AND(G17="11-12",Y17&gt;='Qualifying Scores'!H$10)),X17,0),IF(OR(AND(G17="17-21",AA17&gt;='Qualifying Scores'!H$13),AND(G17="15-16",AA17&gt;='Qualifying Scores'!H$12),AND(G17="13-14",AA17&gt;='Qualifying Scores'!H$11),AND(G17="11-12",AA17&gt;='Qualifying Scores'!H$10)),Z17,0)))</f>
        <v>0</v>
      </c>
      <c r="S17" s="4">
        <f>MAX(T17,V17,X17,Z17)</f>
        <v>41.8</v>
      </c>
      <c r="T17" s="33"/>
      <c r="U17" s="40"/>
      <c r="V17" s="34"/>
      <c r="W17" s="40"/>
      <c r="X17" s="33">
        <v>41.8</v>
      </c>
      <c r="Y17" s="40">
        <v>7.2</v>
      </c>
      <c r="Z17" s="34">
        <v>38.4</v>
      </c>
      <c r="AA17" s="37">
        <v>5.9</v>
      </c>
    </row>
    <row r="18" spans="1:27" x14ac:dyDescent="0.2">
      <c r="A18" s="1" t="str" cm="1">
        <f t="array" ref="A18">IF(I18="","",IF(P18&lt;&gt;"",SUMPRODUCT((P$3:P$38&lt;&gt;"")*(G$3:G$38=G18)*(J$3:J$38&gt;J18)*(I$3:I$38="P"))+1,IF(O18&lt;&gt;"",SUMPRODUCT((O$3:O$38&lt;&gt;"")*(P$3:P$38="")*(G$3:G$38=G18)*(J$3:J$38&gt;J18)*(I$3:I$38="P"))+SUMPRODUCT((P$3:P$38&lt;&gt;"")*(G$3:G$38=G18)*(I$3:I$38="P"))+1,IF(N18&lt;&gt;"",SUMPRODUCT((N$3:N$38&lt;&gt;"")*(G$3:G$38=G18)*(J$3:J$38&gt;J18)*(I$3:I$38="P"))+1,IF(M18="P",SUMPRODUCT((O$3:O$38&lt;&gt;"")*(P$3:P$38="")*(G$3:G$38=G18)*(I$3:I$38="P"))+SUMPRODUCT((P$3:P$38&lt;&gt;"")*(G$3:G$38=G18)*(I$3:I$38="P"))+SUMPRODUCT((N$3:N$38&lt;&gt;"")*(G$3:G$38=G18)*(I$3:I$38="P"))+SUMPRODUCT((P$3:P$38="")*(O$3:O$38="")*(N$3:N$38="")*(M$3:M$38="P")*(G$3:G$38=G18)*(J$3:J$38&gt;J18)*(I$3:I$38="P"))+IF(H18="L5",SUMPRODUCT((P$3:P$38="")*(O$3:O$38="")*(N$3:N$38="")*(M$3:M$38="P")*(G$3:G$38=G18)*(J$3:J$38&lt;J18)*(H$3:H$38&lt;&gt;H18)*(I$3:I$38="P")),-1*SUMPRODUCT((P$3:P$38="")*(O$3:O$38="")*(N$3:N$38="")*(M$3:M$38="P")*(G$3:G$38=G18)*(J$3:J$38&gt;J18)*(H$3:H$38="L5")*(I$3:I$38="P")))+1,"")))))</f>
        <v/>
      </c>
      <c r="B18" s="1" t="str" cm="1">
        <f t="array" ref="B18">IF(P18&lt;&gt;"",SUMPRODUCT((P$3:P$37&lt;&gt;"")*(G$3:G$37=G18)*(J$3:J$37&gt;J18))+1,IF(O18&lt;&gt;"",SUMPRODUCT((O$3:O$37&lt;&gt;"")*(P$3:P$37="")*(G$3:G$37=G18)*(J$3:J$37&gt;J18))+SUMPRODUCT((P$3:P$37&lt;&gt;"")*(G$3:G$37=G18))+1,IF(N18&lt;&gt;"",SUMPRODUCT((N$3:N$37&lt;&gt;"")*(G$3:G$37=G18)*(J$3:J$37&gt;J18))+1,IF(M18="P",SUMPRODUCT((O$3:O$37&lt;&gt;"")*(P$3:P$37="")*(G$3:G$37=G18))+SUMPRODUCT((P$3:P$37&lt;&gt;"")*(G$3:G$37=G18))+SUMPRODUCT((N$3:N$37&lt;&gt;"")*(G$3:G$37=G18))+SUMPRODUCT((P$3:P$37="")*(O$3:O$37="")*(N$3:N$37="")*(M$3:M$37="P")*(G$3:G$37=G18)*(J$3:J$37&gt;J18))+IF(H18="L5",SUMPRODUCT((P$3:P$37="")*(O$3:O$37="")*(N$3:N$37="")*(M$3:M$37="P")*(G$3:G$37=G18)*(J$3:J$37&lt;J18)*(H$3:H$37&lt;&gt;H18)),-1*SUMPRODUCT((P$3:P$37="")*(O$3:O$37="")*(N$3:N$37="")*(M$3:M$37="P")*(G$3:G$37=G18)*(J$3:J$37&gt;J18)*(H$3:H$37="L5")))+1,""))))</f>
        <v/>
      </c>
      <c r="C18" s="36" t="s">
        <v>562</v>
      </c>
      <c r="D18" s="36" t="str">
        <f>IF(E18="","",VLOOKUP(E18,'Coaching Points'!A:B,2,0))</f>
        <v>QC</v>
      </c>
      <c r="E18" s="36" t="s">
        <v>3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4.0399999999999994E-6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Scores'!H$13),AND(G18="15-16",U18&gt;='Qualifying Scores'!H$12),AND(G18="13-14",U18&gt;='Qualifying Scores'!H$11),AND(G18="11-12",U18&gt;='Qualifying Scores'!H$10)),T18,0),IF(OR(AND(G18="17-21",W18&gt;='Qualifying Scores'!H$13),AND(G18="15-16",W18&gt;='Qualifying Scores'!H$12),AND(G18="13-14",W18&gt;='Qualifying Scores'!H$11),AND(G18="11-12",W18&gt;='Qualifying Scores'!H$10)),V18,0),IF(OR(AND(G18="17-21",Y18&gt;='Qualifying Scores'!H$13),AND(G18="15-16",Y18&gt;='Qualifying Scores'!H$12),AND(G18="13-14",Y18&gt;='Qualifying Scores'!H$11),AND(G18="11-12",Y18&gt;='Qualifying Scores'!H$10)),X18,0),IF(OR(AND(G18="17-21",AA18&gt;='Qualifying Scores'!H$13),AND(G18="15-16",AA18&gt;='Qualifying Scores'!H$12),AND(G18="13-14",AA18&gt;='Qualifying Scores'!H$11),AND(G18="11-12",AA18&gt;='Qualifying Scores'!H$10)),Z18,0)))</f>
        <v>0</v>
      </c>
      <c r="S18" s="4">
        <f>MAX(T18,V18,X18,Z18)</f>
        <v>40.4</v>
      </c>
      <c r="T18" s="33"/>
      <c r="U18" s="40"/>
      <c r="V18" s="34"/>
      <c r="W18" s="40"/>
      <c r="X18" s="33">
        <v>40.4</v>
      </c>
      <c r="Y18" s="40">
        <v>5.3</v>
      </c>
      <c r="Z18" s="34">
        <v>39.200000000000003</v>
      </c>
      <c r="AA18" s="37">
        <v>6</v>
      </c>
    </row>
    <row r="19" spans="1:27" x14ac:dyDescent="0.2">
      <c r="A19" s="1" t="str" cm="1">
        <f t="array" ref="A19">IF(I19="","",IF(P19&lt;&gt;"",SUMPRODUCT((P$3:P$38&lt;&gt;"")*(G$3:G$38=G19)*(J$3:J$38&gt;J19)*(I$3:I$38="P"))+1,IF(O19&lt;&gt;"",SUMPRODUCT((O$3:O$38&lt;&gt;"")*(P$3:P$38="")*(G$3:G$38=G19)*(J$3:J$38&gt;J19)*(I$3:I$38="P"))+SUMPRODUCT((P$3:P$38&lt;&gt;"")*(G$3:G$38=G19)*(I$3:I$38="P"))+1,IF(N19&lt;&gt;"",SUMPRODUCT((N$3:N$38&lt;&gt;"")*(G$3:G$38=G19)*(J$3:J$38&gt;J19)*(I$3:I$38="P"))+1,IF(M19="P",SUMPRODUCT((O$3:O$38&lt;&gt;"")*(P$3:P$38="")*(G$3:G$38=G19)*(I$3:I$38="P"))+SUMPRODUCT((P$3:P$38&lt;&gt;"")*(G$3:G$38=G19)*(I$3:I$38="P"))+SUMPRODUCT((N$3:N$38&lt;&gt;"")*(G$3:G$38=G19)*(I$3:I$38="P"))+SUMPRODUCT((P$3:P$38="")*(O$3:O$38="")*(N$3:N$38="")*(M$3:M$38="P")*(G$3:G$38=G19)*(J$3:J$38&gt;J19)*(I$3:I$38="P"))+IF(H19="L5",SUMPRODUCT((P$3:P$38="")*(O$3:O$38="")*(N$3:N$38="")*(M$3:M$38="P")*(G$3:G$38=G19)*(J$3:J$38&lt;J19)*(H$3:H$38&lt;&gt;H19)*(I$3:I$38="P")),-1*SUMPRODUCT((P$3:P$38="")*(O$3:O$38="")*(N$3:N$38="")*(M$3:M$38="P")*(G$3:G$38=G19)*(J$3:J$38&gt;J19)*(H$3:H$38="L5")*(I$3:I$38="P")))+1,"")))))</f>
        <v/>
      </c>
      <c r="B19" s="1" t="str" cm="1">
        <f t="array" ref="B19">IF(P19&lt;&gt;"",SUMPRODUCT((P$3:P$37&lt;&gt;"")*(G$3:G$37=G19)*(J$3:J$37&gt;J19))+1,IF(O19&lt;&gt;"",SUMPRODUCT((O$3:O$37&lt;&gt;"")*(P$3:P$37="")*(G$3:G$37=G19)*(J$3:J$37&gt;J19))+SUMPRODUCT((P$3:P$37&lt;&gt;"")*(G$3:G$37=G19))+1,IF(N19&lt;&gt;"",SUMPRODUCT((N$3:N$37&lt;&gt;"")*(G$3:G$37=G19)*(J$3:J$37&gt;J19))+1,IF(M19="P",SUMPRODUCT((O$3:O$37&lt;&gt;"")*(P$3:P$37="")*(G$3:G$37=G19))+SUMPRODUCT((P$3:P$37&lt;&gt;"")*(G$3:G$37=G19))+SUMPRODUCT((N$3:N$37&lt;&gt;"")*(G$3:G$37=G19))+SUMPRODUCT((P$3:P$37="")*(O$3:O$37="")*(N$3:N$37="")*(M$3:M$37="P")*(G$3:G$37=G19)*(J$3:J$37&gt;J19))+IF(H19="L5",SUMPRODUCT((P$3:P$37="")*(O$3:O$37="")*(N$3:N$37="")*(M$3:M$37="P")*(G$3:G$37=G19)*(J$3:J$37&lt;J19)*(H$3:H$37&lt;&gt;H19)),-1*SUMPRODUCT((P$3:P$37="")*(O$3:O$37="")*(N$3:N$37="")*(M$3:M$37="P")*(G$3:G$37=G19)*(J$3:J$37&gt;J19)*(H$3:H$37="L5")))+1,""))))</f>
        <v/>
      </c>
      <c r="C19" s="36" t="s">
        <v>309</v>
      </c>
      <c r="D19" s="36" t="str">
        <f>IF(E19="","",VLOOKUP(E19,'Coaching Points'!A:B,2,0))</f>
        <v>ON</v>
      </c>
      <c r="E19" s="36" t="s">
        <v>310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115</v>
      </c>
      <c r="I19" s="45"/>
      <c r="J19" s="4">
        <f>R19+IF(OR(H19="Junior",H19="Senior"),0.0002,IF(OR(H19="L7",H19="L6"),0.0001,0))+MAX(X19,Z19)*0.0000001</f>
        <v>3.9499999999999995E-6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Scores'!H$13),AND(G19="15-16",U19&gt;='Qualifying Scores'!H$12),AND(G19="13-14",U19&gt;='Qualifying Scores'!H$11),AND(G19="11-12",U19&gt;='Qualifying Scores'!H$10)),T19,0),IF(OR(AND(G19="17-21",W19&gt;='Qualifying Scores'!H$13),AND(G19="15-16",W19&gt;='Qualifying Scores'!H$12),AND(G19="13-14",W19&gt;='Qualifying Scores'!H$11),AND(G19="11-12",W19&gt;='Qualifying Scores'!H$10)),V19,0),IF(OR(AND(G19="17-21",Y19&gt;='Qualifying Scores'!H$13),AND(G19="15-16",Y19&gt;='Qualifying Scores'!H$12),AND(G19="13-14",Y19&gt;='Qualifying Scores'!H$11),AND(G19="11-12",Y19&gt;='Qualifying Scores'!H$10)),X19,0),IF(OR(AND(G19="17-21",AA19&gt;='Qualifying Scores'!H$13),AND(G19="15-16",AA19&gt;='Qualifying Scores'!H$12),AND(G19="13-14",AA19&gt;='Qualifying Scores'!H$11),AND(G19="11-12",AA19&gt;='Qualifying Scores'!H$10)),Z19,0)))</f>
        <v>0</v>
      </c>
      <c r="S19" s="4">
        <f>MAX(T19,V19,X19,Z19)</f>
        <v>39.5</v>
      </c>
      <c r="T19" s="33">
        <v>31.1</v>
      </c>
      <c r="U19" s="40">
        <v>3.9</v>
      </c>
      <c r="V19" s="34">
        <v>0</v>
      </c>
      <c r="W19" s="40">
        <v>0</v>
      </c>
      <c r="X19" s="33">
        <v>36.799999999999997</v>
      </c>
      <c r="Y19" s="40">
        <v>3.3</v>
      </c>
      <c r="Z19" s="34">
        <v>39.5</v>
      </c>
      <c r="AA19" s="37">
        <v>5.3</v>
      </c>
    </row>
    <row r="20" spans="1:27" x14ac:dyDescent="0.2">
      <c r="A20" s="1" t="str" cm="1">
        <f t="array" ref="A20">IF(I20="","",IF(P20&lt;&gt;"",SUMPRODUCT((P$3:P$38&lt;&gt;"")*(G$3:G$38=G20)*(J$3:J$38&gt;J20)*(I$3:I$38="P"))+1,IF(O20&lt;&gt;"",SUMPRODUCT((O$3:O$38&lt;&gt;"")*(P$3:P$38="")*(G$3:G$38=G20)*(J$3:J$38&gt;J20)*(I$3:I$38="P"))+SUMPRODUCT((P$3:P$38&lt;&gt;"")*(G$3:G$38=G20)*(I$3:I$38="P"))+1,IF(N20&lt;&gt;"",SUMPRODUCT((N$3:N$38&lt;&gt;"")*(G$3:G$38=G20)*(J$3:J$38&gt;J20)*(I$3:I$38="P"))+1,IF(M20="P",SUMPRODUCT((O$3:O$38&lt;&gt;"")*(P$3:P$38="")*(G$3:G$38=G20)*(I$3:I$38="P"))+SUMPRODUCT((P$3:P$38&lt;&gt;"")*(G$3:G$38=G20)*(I$3:I$38="P"))+SUMPRODUCT((N$3:N$38&lt;&gt;"")*(G$3:G$38=G20)*(I$3:I$38="P"))+SUMPRODUCT((P$3:P$38="")*(O$3:O$38="")*(N$3:N$38="")*(M$3:M$38="P")*(G$3:G$38=G20)*(J$3:J$38&gt;J20)*(I$3:I$38="P"))+IF(H20="L5",SUMPRODUCT((P$3:P$38="")*(O$3:O$38="")*(N$3:N$38="")*(M$3:M$38="P")*(G$3:G$38=G20)*(J$3:J$38&lt;J20)*(H$3:H$38&lt;&gt;H20)*(I$3:I$38="P")),-1*SUMPRODUCT((P$3:P$38="")*(O$3:O$38="")*(N$3:N$38="")*(M$3:M$38="P")*(G$3:G$38=G20)*(J$3:J$38&gt;J20)*(H$3:H$38="L5")*(I$3:I$38="P")))+1,"")))))</f>
        <v/>
      </c>
      <c r="B20" s="1" t="str" cm="1">
        <f t="array" ref="B20">IF(P20&lt;&gt;"",SUMPRODUCT((P$3:P$37&lt;&gt;"")*(G$3:G$37=G20)*(J$3:J$37&gt;J20))+1,IF(O20&lt;&gt;"",SUMPRODUCT((O$3:O$37&lt;&gt;"")*(P$3:P$37="")*(G$3:G$37=G20)*(J$3:J$37&gt;J20))+SUMPRODUCT((P$3:P$37&lt;&gt;"")*(G$3:G$37=G20))+1,IF(N20&lt;&gt;"",SUMPRODUCT((N$3:N$37&lt;&gt;"")*(G$3:G$37=G20)*(J$3:J$37&gt;J20))+1,IF(M20="P",SUMPRODUCT((O$3:O$37&lt;&gt;"")*(P$3:P$37="")*(G$3:G$37=G20))+SUMPRODUCT((P$3:P$37&lt;&gt;"")*(G$3:G$37=G20))+SUMPRODUCT((N$3:N$37&lt;&gt;"")*(G$3:G$37=G20))+SUMPRODUCT((P$3:P$37="")*(O$3:O$37="")*(N$3:N$37="")*(M$3:M$37="P")*(G$3:G$37=G20)*(J$3:J$37&gt;J20))+IF(H20="L5",SUMPRODUCT((P$3:P$37="")*(O$3:O$37="")*(N$3:N$37="")*(M$3:M$37="P")*(G$3:G$37=G20)*(J$3:J$37&lt;J20)*(H$3:H$37&lt;&gt;H20)),-1*SUMPRODUCT((P$3:P$37="")*(O$3:O$37="")*(N$3:N$37="")*(M$3:M$37="P")*(G$3:G$37=G20)*(J$3:J$37&gt;J20)*(H$3:H$37="L5")))+1,""))))</f>
        <v/>
      </c>
      <c r="C20" s="36" t="s">
        <v>311</v>
      </c>
      <c r="D20" s="36" t="str">
        <f>IF(E20="","",VLOOKUP(E20,'Coaching Points'!A:B,2,0))</f>
        <v>AB</v>
      </c>
      <c r="E20" s="36" t="s">
        <v>91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115</v>
      </c>
      <c r="I20" s="45"/>
      <c r="J20" s="4">
        <f>R20+IF(OR(H20="Junior",H20="Senior"),0.0002,IF(OR(H20="L7",H20="L6"),0.0001,0))+MAX(X20,Z20)*0.0000001</f>
        <v>3.7299999999999994E-6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Scores'!H$13),AND(G20="15-16",U20&gt;='Qualifying Scores'!H$12),AND(G20="13-14",U20&gt;='Qualifying Scores'!H$11),AND(G20="11-12",U20&gt;='Qualifying Scores'!H$10)),T20,0),IF(OR(AND(G20="17-21",W20&gt;='Qualifying Scores'!H$13),AND(G20="15-16",W20&gt;='Qualifying Scores'!H$12),AND(G20="13-14",W20&gt;='Qualifying Scores'!H$11),AND(G20="11-12",W20&gt;='Qualifying Scores'!H$10)),V20,0),IF(OR(AND(G20="17-21",Y20&gt;='Qualifying Scores'!H$13),AND(G20="15-16",Y20&gt;='Qualifying Scores'!H$12),AND(G20="13-14",Y20&gt;='Qualifying Scores'!H$11),AND(G20="11-12",Y20&gt;='Qualifying Scores'!H$10)),X20,0),IF(OR(AND(G20="17-21",AA20&gt;='Qualifying Scores'!H$13),AND(G20="15-16",AA20&gt;='Qualifying Scores'!H$12),AND(G20="13-14",AA20&gt;='Qualifying Scores'!H$11),AND(G20="11-12",AA20&gt;='Qualifying Scores'!H$10)),Z20,0)))</f>
        <v>0</v>
      </c>
      <c r="S20" s="4">
        <f>MAX(T20,V20,X20,Z20)</f>
        <v>37.299999999999997</v>
      </c>
      <c r="T20" s="33">
        <v>30.6</v>
      </c>
      <c r="U20" s="40">
        <v>2.9</v>
      </c>
      <c r="V20" s="34">
        <v>0</v>
      </c>
      <c r="W20" s="40">
        <v>0</v>
      </c>
      <c r="X20" s="33">
        <v>37.299999999999997</v>
      </c>
      <c r="Y20" s="40">
        <v>6</v>
      </c>
      <c r="Z20" s="34">
        <v>31.2</v>
      </c>
      <c r="AA20" s="37">
        <v>3.9</v>
      </c>
    </row>
    <row r="21" spans="1:27" x14ac:dyDescent="0.2">
      <c r="A21" s="1" t="str" cm="1">
        <f t="array" ref="A21">IF(I21="","",IF(P21&lt;&gt;"",SUMPRODUCT((P$3:P$38&lt;&gt;"")*(G$3:G$38=G21)*(J$3:J$38&gt;J21)*(I$3:I$38="P"))+1,IF(O21&lt;&gt;"",SUMPRODUCT((O$3:O$38&lt;&gt;"")*(P$3:P$38="")*(G$3:G$38=G21)*(J$3:J$38&gt;J21)*(I$3:I$38="P"))+SUMPRODUCT((P$3:P$38&lt;&gt;"")*(G$3:G$38=G21)*(I$3:I$38="P"))+1,IF(N21&lt;&gt;"",SUMPRODUCT((N$3:N$38&lt;&gt;"")*(G$3:G$38=G21)*(J$3:J$38&gt;J21)*(I$3:I$38="P"))+1,IF(M21="P",SUMPRODUCT((O$3:O$38&lt;&gt;"")*(P$3:P$38="")*(G$3:G$38=G21)*(I$3:I$38="P"))+SUMPRODUCT((P$3:P$38&lt;&gt;"")*(G$3:G$38=G21)*(I$3:I$38="P"))+SUMPRODUCT((N$3:N$38&lt;&gt;"")*(G$3:G$38=G21)*(I$3:I$38="P"))+SUMPRODUCT((P$3:P$38="")*(O$3:O$38="")*(N$3:N$38="")*(M$3:M$38="P")*(G$3:G$38=G21)*(J$3:J$38&gt;J21)*(I$3:I$38="P"))+IF(H21="L5",SUMPRODUCT((P$3:P$38="")*(O$3:O$38="")*(N$3:N$38="")*(M$3:M$38="P")*(G$3:G$38=G21)*(J$3:J$38&lt;J21)*(H$3:H$38&lt;&gt;H21)*(I$3:I$38="P")),-1*SUMPRODUCT((P$3:P$38="")*(O$3:O$38="")*(N$3:N$38="")*(M$3:M$38="P")*(G$3:G$38=G21)*(J$3:J$38&gt;J21)*(H$3:H$38="L5")*(I$3:I$38="P")))+1,"")))))</f>
        <v/>
      </c>
      <c r="B21" s="1" t="str" cm="1">
        <f t="array" ref="B21">IF(P21&lt;&gt;"",SUMPRODUCT((P$3:P$37&lt;&gt;"")*(G$3:G$37=G21)*(J$3:J$37&gt;J21))+1,IF(O21&lt;&gt;"",SUMPRODUCT((O$3:O$37&lt;&gt;"")*(P$3:P$37="")*(G$3:G$37=G21)*(J$3:J$37&gt;J21))+SUMPRODUCT((P$3:P$37&lt;&gt;"")*(G$3:G$37=G21))+1,IF(N21&lt;&gt;"",SUMPRODUCT((N$3:N$37&lt;&gt;"")*(G$3:G$37=G21)*(J$3:J$37&gt;J21))+1,IF(M21="P",SUMPRODUCT((O$3:O$37&lt;&gt;"")*(P$3:P$37="")*(G$3:G$37=G21))+SUMPRODUCT((P$3:P$37&lt;&gt;"")*(G$3:G$37=G21))+SUMPRODUCT((N$3:N$37&lt;&gt;"")*(G$3:G$37=G21))+SUMPRODUCT((P$3:P$37="")*(O$3:O$37="")*(N$3:N$37="")*(M$3:M$37="P")*(G$3:G$37=G21)*(J$3:J$37&gt;J21))+IF(H21="L5",SUMPRODUCT((P$3:P$37="")*(O$3:O$37="")*(N$3:N$37="")*(M$3:M$37="P")*(G$3:G$37=G21)*(J$3:J$37&lt;J21)*(H$3:H$37&lt;&gt;H21)),-1*SUMPRODUCT((P$3:P$37="")*(O$3:O$37="")*(N$3:N$37="")*(M$3:M$37="P")*(G$3:G$37=G21)*(J$3:J$37&gt;J21)*(H$3:H$37="L5")))+1,""))))</f>
        <v/>
      </c>
      <c r="C21" s="36" t="s">
        <v>192</v>
      </c>
      <c r="D21" s="36" t="str">
        <f>IF(E21="","",VLOOKUP(E21,'Coaching Points'!A:B,2,0))</f>
        <v>AB</v>
      </c>
      <c r="E21" s="36" t="s">
        <v>91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115</v>
      </c>
      <c r="I21" s="45"/>
      <c r="J21" s="4">
        <f>R21+IF(OR(H21="Junior",H21="Senior"),0.0002,IF(OR(H21="L7",H21="L6"),0.0001,0))+MAX(X21,Z21)*0.0000001</f>
        <v>3.7100000000000001E-6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Scores'!H$13),AND(G21="15-16",U21&gt;='Qualifying Scores'!H$12),AND(G21="13-14",U21&gt;='Qualifying Scores'!H$11),AND(G21="11-12",U21&gt;='Qualifying Scores'!H$10)),T21,0),IF(OR(AND(G21="17-21",W21&gt;='Qualifying Scores'!H$13),AND(G21="15-16",W21&gt;='Qualifying Scores'!H$12),AND(G21="13-14",W21&gt;='Qualifying Scores'!H$11),AND(G21="11-12",W21&gt;='Qualifying Scores'!H$10)),V21,0),IF(OR(AND(G21="17-21",Y21&gt;='Qualifying Scores'!H$13),AND(G21="15-16",Y21&gt;='Qualifying Scores'!H$12),AND(G21="13-14",Y21&gt;='Qualifying Scores'!H$11),AND(G21="11-12",Y21&gt;='Qualifying Scores'!H$10)),X21,0),IF(OR(AND(G21="17-21",AA21&gt;='Qualifying Scores'!H$13),AND(G21="15-16",AA21&gt;='Qualifying Scores'!H$12),AND(G21="13-14",AA21&gt;='Qualifying Scores'!H$11),AND(G21="11-12",AA21&gt;='Qualifying Scores'!H$10)),Z21,0)))</f>
        <v>0</v>
      </c>
      <c r="S21" s="4">
        <f>MAX(T21,V21,X21,Z21)</f>
        <v>37.1</v>
      </c>
      <c r="T21" s="33"/>
      <c r="U21" s="40"/>
      <c r="V21" s="34"/>
      <c r="W21" s="40"/>
      <c r="X21" s="33">
        <v>36.1</v>
      </c>
      <c r="Y21" s="40">
        <v>6</v>
      </c>
      <c r="Z21" s="34">
        <v>37.1</v>
      </c>
      <c r="AA21" s="37">
        <v>6</v>
      </c>
    </row>
    <row r="22" spans="1:27" x14ac:dyDescent="0.2">
      <c r="A22" s="1" t="str" cm="1">
        <f t="array" ref="A22">IF(I22="","",IF(P22&lt;&gt;"",SUMPRODUCT((P$3:P$38&lt;&gt;"")*(G$3:G$38=G22)*(J$3:J$38&gt;J22)*(I$3:I$38="P"))+1,IF(O22&lt;&gt;"",SUMPRODUCT((O$3:O$38&lt;&gt;"")*(P$3:P$38="")*(G$3:G$38=G22)*(J$3:J$38&gt;J22)*(I$3:I$38="P"))+SUMPRODUCT((P$3:P$38&lt;&gt;"")*(G$3:G$38=G22)*(I$3:I$38="P"))+1,IF(N22&lt;&gt;"",SUMPRODUCT((N$3:N$38&lt;&gt;"")*(G$3:G$38=G22)*(J$3:J$38&gt;J22)*(I$3:I$38="P"))+1,IF(M22="P",SUMPRODUCT((O$3:O$38&lt;&gt;"")*(P$3:P$38="")*(G$3:G$38=G22)*(I$3:I$38="P"))+SUMPRODUCT((P$3:P$38&lt;&gt;"")*(G$3:G$38=G22)*(I$3:I$38="P"))+SUMPRODUCT((N$3:N$38&lt;&gt;"")*(G$3:G$38=G22)*(I$3:I$38="P"))+SUMPRODUCT((P$3:P$38="")*(O$3:O$38="")*(N$3:N$38="")*(M$3:M$38="P")*(G$3:G$38=G22)*(J$3:J$38&gt;J22)*(I$3:I$38="P"))+IF(H22="L5",SUMPRODUCT((P$3:P$38="")*(O$3:O$38="")*(N$3:N$38="")*(M$3:M$38="P")*(G$3:G$38=G22)*(J$3:J$38&lt;J22)*(H$3:H$38&lt;&gt;H22)*(I$3:I$38="P")),-1*SUMPRODUCT((P$3:P$38="")*(O$3:O$38="")*(N$3:N$38="")*(M$3:M$38="P")*(G$3:G$38=G22)*(J$3:J$38&gt;J22)*(H$3:H$38="L5")*(I$3:I$38="P")))+1,"")))))</f>
        <v/>
      </c>
      <c r="B22" s="1" t="str" cm="1">
        <f t="array" ref="B22">IF(P22&lt;&gt;"",SUMPRODUCT((P$3:P$37&lt;&gt;"")*(G$3:G$37=G22)*(J$3:J$37&gt;J22))+1,IF(O22&lt;&gt;"",SUMPRODUCT((O$3:O$37&lt;&gt;"")*(P$3:P$37="")*(G$3:G$37=G22)*(J$3:J$37&gt;J22))+SUMPRODUCT((P$3:P$37&lt;&gt;"")*(G$3:G$37=G22))+1,IF(N22&lt;&gt;"",SUMPRODUCT((N$3:N$37&lt;&gt;"")*(G$3:G$37=G22)*(J$3:J$37&gt;J22))+1,IF(M22="P",SUMPRODUCT((O$3:O$37&lt;&gt;"")*(P$3:P$37="")*(G$3:G$37=G22))+SUMPRODUCT((P$3:P$37&lt;&gt;"")*(G$3:G$37=G22))+SUMPRODUCT((N$3:N$37&lt;&gt;"")*(G$3:G$37=G22))+SUMPRODUCT((P$3:P$37="")*(O$3:O$37="")*(N$3:N$37="")*(M$3:M$37="P")*(G$3:G$37=G22)*(J$3:J$37&gt;J22))+IF(H22="L5",SUMPRODUCT((P$3:P$37="")*(O$3:O$37="")*(N$3:N$37="")*(M$3:M$37="P")*(G$3:G$37=G22)*(J$3:J$37&lt;J22)*(H$3:H$37&lt;&gt;H22)),-1*SUMPRODUCT((P$3:P$37="")*(O$3:O$37="")*(N$3:N$37="")*(M$3:M$37="P")*(G$3:G$37=G22)*(J$3:J$37&gt;J22)*(H$3:H$37="L5")))+1,""))))</f>
        <v/>
      </c>
      <c r="C22" s="36" t="s">
        <v>602</v>
      </c>
      <c r="D22" s="36" t="str">
        <f>IF(E22="","",VLOOKUP(E22,'Coaching Points'!A:B,2,0))</f>
        <v>AB</v>
      </c>
      <c r="E22" s="36" t="s">
        <v>91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115</v>
      </c>
      <c r="I22" s="45"/>
      <c r="J22" s="4">
        <f>R22+IF(OR(H22="Junior",H22="Senior"),0.0002,IF(OR(H22="L7",H22="L6"),0.0001,0))+MAX(X22,Z22)*0.0000001</f>
        <v>3.6799999999999995E-6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Scores'!H$13),AND(G22="15-16",U22&gt;='Qualifying Scores'!H$12),AND(G22="13-14",U22&gt;='Qualifying Scores'!H$11),AND(G22="11-12",U22&gt;='Qualifying Scores'!H$10)),T22,0),IF(OR(AND(G22="17-21",W22&gt;='Qualifying Scores'!H$13),AND(G22="15-16",W22&gt;='Qualifying Scores'!H$12),AND(G22="13-14",W22&gt;='Qualifying Scores'!H$11),AND(G22="11-12",W22&gt;='Qualifying Scores'!H$10)),V22,0),IF(OR(AND(G22="17-21",Y22&gt;='Qualifying Scores'!H$13),AND(G22="15-16",Y22&gt;='Qualifying Scores'!H$12),AND(G22="13-14",Y22&gt;='Qualifying Scores'!H$11),AND(G22="11-12",Y22&gt;='Qualifying Scores'!H$10)),X22,0),IF(OR(AND(G22="17-21",AA22&gt;='Qualifying Scores'!H$13),AND(G22="15-16",AA22&gt;='Qualifying Scores'!H$12),AND(G22="13-14",AA22&gt;='Qualifying Scores'!H$11),AND(G22="11-12",AA22&gt;='Qualifying Scores'!H$10)),Z22,0)))</f>
        <v>0</v>
      </c>
      <c r="S22" s="4">
        <f>MAX(T22,V22,X22,Z22)</f>
        <v>36.799999999999997</v>
      </c>
      <c r="T22" s="33"/>
      <c r="U22" s="40"/>
      <c r="V22" s="34"/>
      <c r="W22" s="40"/>
      <c r="X22" s="33">
        <v>36.799999999999997</v>
      </c>
      <c r="Y22" s="40">
        <v>6.5</v>
      </c>
      <c r="Z22" s="34"/>
      <c r="AA22" s="37"/>
    </row>
    <row r="23" spans="1:27" x14ac:dyDescent="0.2">
      <c r="A23" s="1" t="str" cm="1">
        <f t="array" ref="A23">IF(I23="","",IF(P23&lt;&gt;"",SUMPRODUCT((P$3:P$38&lt;&gt;"")*(G$3:G$38=G23)*(J$3:J$38&gt;J23)*(I$3:I$38="P"))+1,IF(O23&lt;&gt;"",SUMPRODUCT((O$3:O$38&lt;&gt;"")*(P$3:P$38="")*(G$3:G$38=G23)*(J$3:J$38&gt;J23)*(I$3:I$38="P"))+SUMPRODUCT((P$3:P$38&lt;&gt;"")*(G$3:G$38=G23)*(I$3:I$38="P"))+1,IF(N23&lt;&gt;"",SUMPRODUCT((N$3:N$38&lt;&gt;"")*(G$3:G$38=G23)*(J$3:J$38&gt;J23)*(I$3:I$38="P"))+1,IF(M23="P",SUMPRODUCT((O$3:O$38&lt;&gt;"")*(P$3:P$38="")*(G$3:G$38=G23)*(I$3:I$38="P"))+SUMPRODUCT((P$3:P$38&lt;&gt;"")*(G$3:G$38=G23)*(I$3:I$38="P"))+SUMPRODUCT((N$3:N$38&lt;&gt;"")*(G$3:G$38=G23)*(I$3:I$38="P"))+SUMPRODUCT((P$3:P$38="")*(O$3:O$38="")*(N$3:N$38="")*(M$3:M$38="P")*(G$3:G$38=G23)*(J$3:J$38&gt;J23)*(I$3:I$38="P"))+IF(H23="L5",SUMPRODUCT((P$3:P$38="")*(O$3:O$38="")*(N$3:N$38="")*(M$3:M$38="P")*(G$3:G$38=G23)*(J$3:J$38&lt;J23)*(H$3:H$38&lt;&gt;H23)*(I$3:I$38="P")),-1*SUMPRODUCT((P$3:P$38="")*(O$3:O$38="")*(N$3:N$38="")*(M$3:M$38="P")*(G$3:G$38=G23)*(J$3:J$38&gt;J23)*(H$3:H$38="L5")*(I$3:I$38="P")))+1,"")))))</f>
        <v/>
      </c>
      <c r="B23" s="1" t="str" cm="1">
        <f t="array" ref="B23">IF(P23&lt;&gt;"",SUMPRODUCT((P$3:P$37&lt;&gt;"")*(G$3:G$37=G23)*(J$3:J$37&gt;J23))+1,IF(O23&lt;&gt;"",SUMPRODUCT((O$3:O$37&lt;&gt;"")*(P$3:P$37="")*(G$3:G$37=G23)*(J$3:J$37&gt;J23))+SUMPRODUCT((P$3:P$37&lt;&gt;"")*(G$3:G$37=G23))+1,IF(N23&lt;&gt;"",SUMPRODUCT((N$3:N$37&lt;&gt;"")*(G$3:G$37=G23)*(J$3:J$37&gt;J23))+1,IF(M23="P",SUMPRODUCT((O$3:O$37&lt;&gt;"")*(P$3:P$37="")*(G$3:G$37=G23))+SUMPRODUCT((P$3:P$37&lt;&gt;"")*(G$3:G$37=G23))+SUMPRODUCT((N$3:N$37&lt;&gt;"")*(G$3:G$37=G23))+SUMPRODUCT((P$3:P$37="")*(O$3:O$37="")*(N$3:N$37="")*(M$3:M$37="P")*(G$3:G$37=G23)*(J$3:J$37&gt;J23))+IF(H23="L5",SUMPRODUCT((P$3:P$37="")*(O$3:O$37="")*(N$3:N$37="")*(M$3:M$37="P")*(G$3:G$37=G23)*(J$3:J$37&lt;J23)*(H$3:H$37&lt;&gt;H23)),-1*SUMPRODUCT((P$3:P$37="")*(O$3:O$37="")*(N$3:N$37="")*(M$3:M$37="P")*(G$3:G$37=G23)*(J$3:J$37&gt;J23)*(H$3:H$37="L5")))+1,""))))</f>
        <v/>
      </c>
      <c r="C23" s="36" t="s">
        <v>190</v>
      </c>
      <c r="D23" s="36" t="str">
        <f>IF(E23="","",VLOOKUP(E23,'Coaching Points'!A:B,2,0))</f>
        <v>AB</v>
      </c>
      <c r="E23" s="36" t="s">
        <v>137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115</v>
      </c>
      <c r="I23" s="45"/>
      <c r="J23" s="4">
        <f>R23+IF(OR(H23="Junior",H23="Senior"),0.0002,IF(OR(H23="L7",H23="L6"),0.0001,0))+MAX(X23,Z23)*0.0000001</f>
        <v>3.5899999999999995E-6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Scores'!H$13),AND(G23="15-16",U23&gt;='Qualifying Scores'!H$12),AND(G23="13-14",U23&gt;='Qualifying Scores'!H$11),AND(G23="11-12",U23&gt;='Qualifying Scores'!H$10)),T23,0),IF(OR(AND(G23="17-21",W23&gt;='Qualifying Scores'!H$13),AND(G23="15-16",W23&gt;='Qualifying Scores'!H$12),AND(G23="13-14",W23&gt;='Qualifying Scores'!H$11),AND(G23="11-12",W23&gt;='Qualifying Scores'!H$10)),V23,0),IF(OR(AND(G23="17-21",Y23&gt;='Qualifying Scores'!H$13),AND(G23="15-16",Y23&gt;='Qualifying Scores'!H$12),AND(G23="13-14",Y23&gt;='Qualifying Scores'!H$11),AND(G23="11-12",Y23&gt;='Qualifying Scores'!H$10)),X23,0),IF(OR(AND(G23="17-21",AA23&gt;='Qualifying Scores'!H$13),AND(G23="15-16",AA23&gt;='Qualifying Scores'!H$12),AND(G23="13-14",AA23&gt;='Qualifying Scores'!H$11),AND(G23="11-12",AA23&gt;='Qualifying Scores'!H$10)),Z23,0)))</f>
        <v>0</v>
      </c>
      <c r="S23" s="4">
        <f>MAX(T23,V23,X23,Z23)</f>
        <v>35.9</v>
      </c>
      <c r="T23" s="33"/>
      <c r="U23" s="40"/>
      <c r="V23" s="34"/>
      <c r="W23" s="40"/>
      <c r="X23" s="33">
        <v>35.9</v>
      </c>
      <c r="Y23" s="40">
        <v>5.3</v>
      </c>
      <c r="Z23" s="34">
        <v>34.200000000000003</v>
      </c>
      <c r="AA23" s="37">
        <v>4</v>
      </c>
    </row>
    <row r="24" spans="1:27" x14ac:dyDescent="0.2">
      <c r="A24" s="1" t="str" cm="1">
        <f t="array" ref="A24">IF(I24="","",IF(P24&lt;&gt;"",SUMPRODUCT((P$3:P$38&lt;&gt;"")*(G$3:G$38=G24)*(J$3:J$38&gt;J24)*(I$3:I$38="P"))+1,IF(O24&lt;&gt;"",SUMPRODUCT((O$3:O$38&lt;&gt;"")*(P$3:P$38="")*(G$3:G$38=G24)*(J$3:J$38&gt;J24)*(I$3:I$38="P"))+SUMPRODUCT((P$3:P$38&lt;&gt;"")*(G$3:G$38=G24)*(I$3:I$38="P"))+1,IF(N24&lt;&gt;"",SUMPRODUCT((N$3:N$38&lt;&gt;"")*(G$3:G$38=G24)*(J$3:J$38&gt;J24)*(I$3:I$38="P"))+1,IF(M24="P",SUMPRODUCT((O$3:O$38&lt;&gt;"")*(P$3:P$38="")*(G$3:G$38=G24)*(I$3:I$38="P"))+SUMPRODUCT((P$3:P$38&lt;&gt;"")*(G$3:G$38=G24)*(I$3:I$38="P"))+SUMPRODUCT((N$3:N$38&lt;&gt;"")*(G$3:G$38=G24)*(I$3:I$38="P"))+SUMPRODUCT((P$3:P$38="")*(O$3:O$38="")*(N$3:N$38="")*(M$3:M$38="P")*(G$3:G$38=G24)*(J$3:J$38&gt;J24)*(I$3:I$38="P"))+IF(H24="L5",SUMPRODUCT((P$3:P$38="")*(O$3:O$38="")*(N$3:N$38="")*(M$3:M$38="P")*(G$3:G$38=G24)*(J$3:J$38&lt;J24)*(H$3:H$38&lt;&gt;H24)*(I$3:I$38="P")),-1*SUMPRODUCT((P$3:P$38="")*(O$3:O$38="")*(N$3:N$38="")*(M$3:M$38="P")*(G$3:G$38=G24)*(J$3:J$38&gt;J24)*(H$3:H$38="L5")*(I$3:I$38="P")))+1,"")))))</f>
        <v/>
      </c>
      <c r="B24" s="1" t="str" cm="1">
        <f t="array" ref="B24">IF(P24&lt;&gt;"",SUMPRODUCT((P$3:P$37&lt;&gt;"")*(G$3:G$37=G24)*(J$3:J$37&gt;J24))+1,IF(O24&lt;&gt;"",SUMPRODUCT((O$3:O$37&lt;&gt;"")*(P$3:P$37="")*(G$3:G$37=G24)*(J$3:J$37&gt;J24))+SUMPRODUCT((P$3:P$37&lt;&gt;"")*(G$3:G$37=G24))+1,IF(N24&lt;&gt;"",SUMPRODUCT((N$3:N$37&lt;&gt;"")*(G$3:G$37=G24)*(J$3:J$37&gt;J24))+1,IF(M24="P",SUMPRODUCT((O$3:O$37&lt;&gt;"")*(P$3:P$37="")*(G$3:G$37=G24))+SUMPRODUCT((P$3:P$37&lt;&gt;"")*(G$3:G$37=G24))+SUMPRODUCT((N$3:N$37&lt;&gt;"")*(G$3:G$37=G24))+SUMPRODUCT((P$3:P$37="")*(O$3:O$37="")*(N$3:N$37="")*(M$3:M$37="P")*(G$3:G$37=G24)*(J$3:J$37&gt;J24))+IF(H24="L5",SUMPRODUCT((P$3:P$37="")*(O$3:O$37="")*(N$3:N$37="")*(M$3:M$37="P")*(G$3:G$37=G24)*(J$3:J$37&lt;J24)*(H$3:H$37&lt;&gt;H24)),-1*SUMPRODUCT((P$3:P$37="")*(O$3:O$37="")*(N$3:N$37="")*(M$3:M$37="P")*(G$3:G$37=G24)*(J$3:J$37&gt;J24)*(H$3:H$37="L5")))+1,""))))</f>
        <v/>
      </c>
      <c r="C24" s="36" t="s">
        <v>308</v>
      </c>
      <c r="D24" s="36" t="str">
        <f>IF(E24="","",VLOOKUP(E24,'Coaching Points'!A:B,2,0))</f>
        <v>AB</v>
      </c>
      <c r="E24" s="36" t="s">
        <v>134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0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Scores'!H$13),AND(G24="15-16",U24&gt;='Qualifying Scores'!H$12),AND(G24="13-14",U24&gt;='Qualifying Scores'!H$11),AND(G24="11-12",U24&gt;='Qualifying Scores'!H$10)),T24,0),IF(OR(AND(G24="17-21",W24&gt;='Qualifying Scores'!H$13),AND(G24="15-16",W24&gt;='Qualifying Scores'!H$12),AND(G24="13-14",W24&gt;='Qualifying Scores'!H$11),AND(G24="11-12",W24&gt;='Qualifying Scores'!H$10)),V24,0),IF(OR(AND(G24="17-21",Y24&gt;='Qualifying Scores'!H$13),AND(G24="15-16",Y24&gt;='Qualifying Scores'!H$12),AND(G24="13-14",Y24&gt;='Qualifying Scores'!H$11),AND(G24="11-12",Y24&gt;='Qualifying Scores'!H$10)),X24,0),IF(OR(AND(G24="17-21",AA24&gt;='Qualifying Scores'!H$13),AND(G24="15-16",AA24&gt;='Qualifying Scores'!H$12),AND(G24="13-14",AA24&gt;='Qualifying Scores'!H$11),AND(G24="11-12",AA24&gt;='Qualifying Scores'!H$10)),Z24,0)))</f>
        <v>0</v>
      </c>
      <c r="S24" s="4">
        <f>MAX(T24,V24,X24,Z24)</f>
        <v>39.46</v>
      </c>
      <c r="T24" s="33">
        <v>37.299999999999997</v>
      </c>
      <c r="U24" s="40">
        <v>6.5000000000000009</v>
      </c>
      <c r="V24" s="34">
        <v>39.46</v>
      </c>
      <c r="W24" s="40">
        <v>7.6000000000000014</v>
      </c>
      <c r="X24" s="33"/>
      <c r="Y24" s="40"/>
      <c r="Z24" s="34"/>
      <c r="AA24" s="37"/>
    </row>
    <row r="25" spans="1:27" x14ac:dyDescent="0.2">
      <c r="A25" s="1" cm="1">
        <f t="array" ref="A25">IF(I25="","",IF(P25&lt;&gt;"",SUMPRODUCT((P$3:P$38&lt;&gt;"")*(G$3:G$38=G25)*(J$3:J$38&gt;J25)*(I$3:I$38="P"))+1,IF(O25&lt;&gt;"",SUMPRODUCT((O$3:O$38&lt;&gt;"")*(P$3:P$38="")*(G$3:G$38=G25)*(J$3:J$38&gt;J25)*(I$3:I$38="P"))+SUMPRODUCT((P$3:P$38&lt;&gt;"")*(G$3:G$38=G25)*(I$3:I$38="P"))+1,IF(N25&lt;&gt;"",SUMPRODUCT((N$3:N$38&lt;&gt;"")*(G$3:G$38=G25)*(J$3:J$38&gt;J25)*(I$3:I$38="P"))+1,IF(M25="P",SUMPRODUCT((O$3:O$38&lt;&gt;"")*(P$3:P$38="")*(G$3:G$38=G25)*(I$3:I$38="P"))+SUMPRODUCT((P$3:P$38&lt;&gt;"")*(G$3:G$38=G25)*(I$3:I$38="P"))+SUMPRODUCT((N$3:N$38&lt;&gt;"")*(G$3:G$38=G25)*(I$3:I$38="P"))+SUMPRODUCT((P$3:P$38="")*(O$3:O$38="")*(N$3:N$38="")*(M$3:M$38="P")*(G$3:G$38=G25)*(J$3:J$38&gt;J25)*(I$3:I$38="P"))+IF(H25="L5",SUMPRODUCT((P$3:P$38="")*(O$3:O$38="")*(N$3:N$38="")*(M$3:M$38="P")*(G$3:G$38=G25)*(J$3:J$38&lt;J25)*(H$3:H$38&lt;&gt;H25)*(I$3:I$38="P")),-1*SUMPRODUCT((P$3:P$38="")*(O$3:O$38="")*(N$3:N$38="")*(M$3:M$38="P")*(G$3:G$38=G25)*(J$3:J$38&gt;J25)*(H$3:H$38="L5")*(I$3:I$38="P")))+1,"")))))</f>
        <v>1</v>
      </c>
      <c r="B25" s="1" cm="1">
        <f t="array" ref="B25">IF(P25&lt;&gt;"",SUMPRODUCT((P$3:P$37&lt;&gt;"")*(G$3:G$37=G25)*(J$3:J$37&gt;J25))+1,IF(O25&lt;&gt;"",SUMPRODUCT((O$3:O$37&lt;&gt;"")*(P$3:P$37="")*(G$3:G$37=G25)*(J$3:J$37&gt;J25))+SUMPRODUCT((P$3:P$37&lt;&gt;"")*(G$3:G$37=G25))+1,IF(N25&lt;&gt;"",SUMPRODUCT((N$3:N$37&lt;&gt;"")*(G$3:G$37=G25)*(J$3:J$37&gt;J25))+1,IF(M25="P",SUMPRODUCT((O$3:O$37&lt;&gt;"")*(P$3:P$37="")*(G$3:G$37=G25))+SUMPRODUCT((P$3:P$37&lt;&gt;"")*(G$3:G$37=G25))+SUMPRODUCT((N$3:N$37&lt;&gt;"")*(G$3:G$37=G25))+SUMPRODUCT((P$3:P$37="")*(O$3:O$37="")*(N$3:N$37="")*(M$3:M$37="P")*(G$3:G$37=G25)*(J$3:J$37&gt;J25))+IF(H25="L5",SUMPRODUCT((P$3:P$37="")*(O$3:O$37="")*(N$3:N$37="")*(M$3:M$37="P")*(G$3:G$37=G25)*(J$3:J$37&lt;J25)*(H$3:H$37&lt;&gt;H25)),-1*SUMPRODUCT((P$3:P$37="")*(O$3:O$37="")*(N$3:N$37="")*(M$3:M$37="P")*(G$3:G$37=G25)*(J$3:J$37&gt;J25)*(H$3:H$37="L5")))+1,""))))</f>
        <v>1</v>
      </c>
      <c r="C25" s="36" t="s">
        <v>302</v>
      </c>
      <c r="D25" s="36" t="str">
        <f>IF(E25="","",VLOOKUP(E25,'Coaching Points'!A:B,2,0))</f>
        <v>ON</v>
      </c>
      <c r="E25" s="36" t="s">
        <v>303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15-16</v>
      </c>
      <c r="H25" s="39" t="s">
        <v>114</v>
      </c>
      <c r="I25" s="45" t="s">
        <v>604</v>
      </c>
      <c r="J25" s="4">
        <f>R25+IF(OR(H25="Junior",H25="Senior"),0.0002,IF(OR(H25="L7",H25="L6"),0.0001,0))+MAX(X25,Z25)*0.0000001</f>
        <v>48.400200000000005</v>
      </c>
      <c r="K25" s="3" t="str">
        <f>IF(G25="Not Age Eligible","",IF(MAX(T25,V25,X25,Z25)&gt;=LOOKUP(G25,'Qualifying Scores'!$A$4:$A$7,'Qualifying Scores'!$H$4:$H$7),"P",""))</f>
        <v>P</v>
      </c>
      <c r="L25" s="3" t="str">
        <f>IF(G25="Not Age Eligible","",IF(MAX(U25,W25,Y25,AA25)&gt;=LOOKUP(G25,'Qualifying Scores'!$A$10:$A$13,'Qualifying Scores'!$H$10:$H$13),"P",""))</f>
        <v>P</v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>P</v>
      </c>
      <c r="N25" s="39">
        <v>1</v>
      </c>
      <c r="Q25" s="49">
        <f>IF(A25&lt;5,IF(_xlfn.MAXIFS(A:A,G:G,G25)&gt;3,5-A25,_xlfn.MAXIFS(A:A,G:G,G25)+1-A25),"")</f>
        <v>1</v>
      </c>
      <c r="R25" s="4">
        <f>IF(G25="Not Age Eligible",0,MAX(IF(OR(AND(G25="17-21",U25&gt;='Qualifying Scores'!H$13),AND(G25="15-16",U25&gt;='Qualifying Scores'!H$12),AND(G25="13-14",U25&gt;='Qualifying Scores'!H$11),AND(G25="11-12",U25&gt;='Qualifying Scores'!H$10)),T25,0),IF(OR(AND(G25="17-21",W25&gt;='Qualifying Scores'!H$13),AND(G25="15-16",W25&gt;='Qualifying Scores'!H$12),AND(G25="13-14",W25&gt;='Qualifying Scores'!H$11),AND(G25="11-12",W25&gt;='Qualifying Scores'!H$10)),V25,0),IF(OR(AND(G25="17-21",Y25&gt;='Qualifying Scores'!H$13),AND(G25="15-16",Y25&gt;='Qualifying Scores'!H$12),AND(G25="13-14",Y25&gt;='Qualifying Scores'!H$11),AND(G25="11-12",Y25&gt;='Qualifying Scores'!H$10)),X25,0),IF(OR(AND(G25="17-21",AA25&gt;='Qualifying Scores'!H$13),AND(G25="15-16",AA25&gt;='Qualifying Scores'!H$12),AND(G25="13-14",AA25&gt;='Qualifying Scores'!H$11),AND(G25="11-12",AA25&gt;='Qualifying Scores'!H$10)),Z25,0)))</f>
        <v>48.400000000000006</v>
      </c>
      <c r="S25" s="4">
        <f>MAX(T25,V25,X25,Z25)</f>
        <v>48.400000000000006</v>
      </c>
      <c r="T25" s="33">
        <v>48.3</v>
      </c>
      <c r="U25" s="40">
        <v>13.200000000000001</v>
      </c>
      <c r="V25" s="34">
        <v>48.400000000000006</v>
      </c>
      <c r="W25" s="40">
        <v>12.8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$38&lt;&gt;"")*(G$3:G$38=G26)*(J$3:J$38&gt;J26)*(I$3:I$38="P"))+1,IF(O26&lt;&gt;"",SUMPRODUCT((O$3:O$38&lt;&gt;"")*(P$3:P$38="")*(G$3:G$38=G26)*(J$3:J$38&gt;J26)*(I$3:I$38="P"))+SUMPRODUCT((P$3:P$38&lt;&gt;"")*(G$3:G$38=G26)*(I$3:I$38="P"))+1,IF(N26&lt;&gt;"",SUMPRODUCT((N$3:N$38&lt;&gt;"")*(G$3:G$38=G26)*(J$3:J$38&gt;J26)*(I$3:I$38="P"))+1,IF(M26="P",SUMPRODUCT((O$3:O$38&lt;&gt;"")*(P$3:P$38="")*(G$3:G$38=G26)*(I$3:I$38="P"))+SUMPRODUCT((P$3:P$38&lt;&gt;"")*(G$3:G$38=G26)*(I$3:I$38="P"))+SUMPRODUCT((N$3:N$38&lt;&gt;"")*(G$3:G$38=G26)*(I$3:I$38="P"))+SUMPRODUCT((P$3:P$38="")*(O$3:O$38="")*(N$3:N$38="")*(M$3:M$38="P")*(G$3:G$38=G26)*(J$3:J$38&gt;J26)*(I$3:I$38="P"))+IF(H26="L5",SUMPRODUCT((P$3:P$38="")*(O$3:O$38="")*(N$3:N$38="")*(M$3:M$38="P")*(G$3:G$38=G26)*(J$3:J$38&lt;J26)*(H$3:H$38&lt;&gt;H26)*(I$3:I$38="P")),-1*SUMPRODUCT((P$3:P$38="")*(O$3:O$38="")*(N$3:N$38="")*(M$3:M$38="P")*(G$3:G$38=G26)*(J$3:J$38&gt;J26)*(H$3:H$38="L5")*(I$3:I$38="P")))+1,"")))))</f>
        <v/>
      </c>
      <c r="B26" s="1" t="str" cm="1">
        <f t="array" ref="B26">IF(P26&lt;&gt;"",SUMPRODUCT((P$3:P$37&lt;&gt;"")*(G$3:G$37=G26)*(J$3:J$37&gt;J26))+1,IF(O26&lt;&gt;"",SUMPRODUCT((O$3:O$37&lt;&gt;"")*(P$3:P$37="")*(G$3:G$37=G26)*(J$3:J$37&gt;J26))+SUMPRODUCT((P$3:P$37&lt;&gt;"")*(G$3:G$37=G26))+1,IF(N26&lt;&gt;"",SUMPRODUCT((N$3:N$37&lt;&gt;"")*(G$3:G$37=G26)*(J$3:J$37&gt;J26))+1,IF(M26="P",SUMPRODUCT((O$3:O$37&lt;&gt;"")*(P$3:P$37="")*(G$3:G$37=G26))+SUMPRODUCT((P$3:P$37&lt;&gt;"")*(G$3:G$37=G26))+SUMPRODUCT((N$3:N$37&lt;&gt;"")*(G$3:G$37=G26))+SUMPRODUCT((P$3:P$37="")*(O$3:O$37="")*(N$3:N$37="")*(M$3:M$37="P")*(G$3:G$37=G26)*(J$3:J$37&gt;J26))+IF(H26="L5",SUMPRODUCT((P$3:P$37="")*(O$3:O$37="")*(N$3:N$37="")*(M$3:M$37="P")*(G$3:G$37=G26)*(J$3:J$37&lt;J26)*(H$3:H$37&lt;&gt;H26)),-1*SUMPRODUCT((P$3:P$37="")*(O$3:O$37="")*(N$3:N$37="")*(M$3:M$37="P")*(G$3:G$37=G26)*(J$3:J$37&gt;J26)*(H$3:H$37="L5")))+1,""))))</f>
        <v/>
      </c>
      <c r="C26" s="36" t="s">
        <v>392</v>
      </c>
      <c r="D26" s="36" t="str">
        <f>IF(E26="","",VLOOKUP(E26,'Coaching Points'!A:B,2,0))</f>
        <v>QC</v>
      </c>
      <c r="E26" s="36" t="s">
        <v>579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9" t="s">
        <v>115</v>
      </c>
      <c r="I26" s="45"/>
      <c r="J26" s="4">
        <f>R26+IF(OR(H26="Junior",H26="Senior"),0.0002,IF(OR(H26="L7",H26="L6"),0.0001,0))+MAX(X26,Z26)*0.0000001</f>
        <v>41.900004189999997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>P</v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Scores'!H$13),AND(G26="15-16",U26&gt;='Qualifying Scores'!H$12),AND(G26="13-14",U26&gt;='Qualifying Scores'!H$11),AND(G26="11-12",U26&gt;='Qualifying Scores'!H$10)),T26,0),IF(OR(AND(G26="17-21",W26&gt;='Qualifying Scores'!H$13),AND(G26="15-16",W26&gt;='Qualifying Scores'!H$12),AND(G26="13-14",W26&gt;='Qualifying Scores'!H$11),AND(G26="11-12",W26&gt;='Qualifying Scores'!H$10)),V26,0),IF(OR(AND(G26="17-21",Y26&gt;='Qualifying Scores'!H$13),AND(G26="15-16",Y26&gt;='Qualifying Scores'!H$12),AND(G26="13-14",Y26&gt;='Qualifying Scores'!H$11),AND(G26="11-12",Y26&gt;='Qualifying Scores'!H$10)),X26,0),IF(OR(AND(G26="17-21",AA26&gt;='Qualifying Scores'!H$13),AND(G26="15-16",AA26&gt;='Qualifying Scores'!H$12),AND(G26="13-14",AA26&gt;='Qualifying Scores'!H$11),AND(G26="11-12",AA26&gt;='Qualifying Scores'!H$10)),Z26,0)))</f>
        <v>41.9</v>
      </c>
      <c r="S26" s="4">
        <f>MAX(T26,V26,X26,Z26)</f>
        <v>41.9</v>
      </c>
      <c r="T26" s="33"/>
      <c r="U26" s="40"/>
      <c r="V26" s="34"/>
      <c r="W26" s="40"/>
      <c r="X26" s="33">
        <v>41.9</v>
      </c>
      <c r="Y26" s="40">
        <v>7.4</v>
      </c>
      <c r="Z26" s="34">
        <v>40.700000000000003</v>
      </c>
      <c r="AA26" s="37">
        <v>7.4</v>
      </c>
    </row>
    <row r="27" spans="1:27" x14ac:dyDescent="0.2">
      <c r="A27" s="1" t="str" cm="1">
        <f t="array" ref="A27">IF(I27="","",IF(P27&lt;&gt;"",SUMPRODUCT((P$3:P$38&lt;&gt;"")*(G$3:G$38=G27)*(J$3:J$38&gt;J27)*(I$3:I$38="P"))+1,IF(O27&lt;&gt;"",SUMPRODUCT((O$3:O$38&lt;&gt;"")*(P$3:P$38="")*(G$3:G$38=G27)*(J$3:J$38&gt;J27)*(I$3:I$38="P"))+SUMPRODUCT((P$3:P$38&lt;&gt;"")*(G$3:G$38=G27)*(I$3:I$38="P"))+1,IF(N27&lt;&gt;"",SUMPRODUCT((N$3:N$38&lt;&gt;"")*(G$3:G$38=G27)*(J$3:J$38&gt;J27)*(I$3:I$38="P"))+1,IF(M27="P",SUMPRODUCT((O$3:O$38&lt;&gt;"")*(P$3:P$38="")*(G$3:G$38=G27)*(I$3:I$38="P"))+SUMPRODUCT((P$3:P$38&lt;&gt;"")*(G$3:G$38=G27)*(I$3:I$38="P"))+SUMPRODUCT((N$3:N$38&lt;&gt;"")*(G$3:G$38=G27)*(I$3:I$38="P"))+SUMPRODUCT((P$3:P$38="")*(O$3:O$38="")*(N$3:N$38="")*(M$3:M$38="P")*(G$3:G$38=G27)*(J$3:J$38&gt;J27)*(I$3:I$38="P"))+IF(H27="L5",SUMPRODUCT((P$3:P$38="")*(O$3:O$38="")*(N$3:N$38="")*(M$3:M$38="P")*(G$3:G$38=G27)*(J$3:J$38&lt;J27)*(H$3:H$38&lt;&gt;H27)*(I$3:I$38="P")),-1*SUMPRODUCT((P$3:P$38="")*(O$3:O$38="")*(N$3:N$38="")*(M$3:M$38="P")*(G$3:G$38=G27)*(J$3:J$38&gt;J27)*(H$3:H$38="L5")*(I$3:I$38="P")))+1,"")))))</f>
        <v/>
      </c>
      <c r="B27" s="1" t="str" cm="1">
        <f t="array" ref="B27">IF(P27&lt;&gt;"",SUMPRODUCT((P$3:P$37&lt;&gt;"")*(G$3:G$37=G27)*(J$3:J$37&gt;J27))+1,IF(O27&lt;&gt;"",SUMPRODUCT((O$3:O$37&lt;&gt;"")*(P$3:P$37="")*(G$3:G$37=G27)*(J$3:J$37&gt;J27))+SUMPRODUCT((P$3:P$37&lt;&gt;"")*(G$3:G$37=G27))+1,IF(N27&lt;&gt;"",SUMPRODUCT((N$3:N$37&lt;&gt;"")*(G$3:G$37=G27)*(J$3:J$37&gt;J27))+1,IF(M27="P",SUMPRODUCT((O$3:O$37&lt;&gt;"")*(P$3:P$37="")*(G$3:G$37=G27))+SUMPRODUCT((P$3:P$37&lt;&gt;"")*(G$3:G$37=G27))+SUMPRODUCT((N$3:N$37&lt;&gt;"")*(G$3:G$37=G27))+SUMPRODUCT((P$3:P$37="")*(O$3:O$37="")*(N$3:N$37="")*(M$3:M$37="P")*(G$3:G$37=G27)*(J$3:J$37&gt;J27))+IF(H27="L5",SUMPRODUCT((P$3:P$37="")*(O$3:O$37="")*(N$3:N$37="")*(M$3:M$37="P")*(G$3:G$37=G27)*(J$3:J$37&lt;J27)*(H$3:H$37&lt;&gt;H27)),-1*SUMPRODUCT((P$3:P$37="")*(O$3:O$37="")*(N$3:N$37="")*(M$3:M$37="P")*(G$3:G$37=G27)*(J$3:J$37&gt;J27)*(H$3:H$37="L5")))+1,""))))</f>
        <v/>
      </c>
      <c r="C27" s="36" t="s">
        <v>558</v>
      </c>
      <c r="D27" s="36" t="str">
        <f>IF(E27="","",VLOOKUP(E27,'Coaching Points'!A:B,2,0))</f>
        <v>QC</v>
      </c>
      <c r="E27" s="36" t="s">
        <v>589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9" t="s">
        <v>115</v>
      </c>
      <c r="I27" s="45"/>
      <c r="J27" s="4">
        <f>R27+IF(OR(H27="Junior",H27="Senior"),0.0002,IF(OR(H27="L7",H27="L6"),0.0001,0))+MAX(X27,Z27)*0.0000001</f>
        <v>4.3599999999999998E-6</v>
      </c>
      <c r="K27" s="3" t="str">
        <f>IF(G27="Not Age Eligible","",IF(MAX(T27,V27,X27,Z27)&gt;=LOOKUP(G27,'Qualifying Scores'!$A$4:$A$7,'Qualifying Scores'!$H$4:$H$7),"P",""))</f>
        <v>P</v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Scores'!H$13),AND(G27="15-16",U27&gt;='Qualifying Scores'!H$12),AND(G27="13-14",U27&gt;='Qualifying Scores'!H$11),AND(G27="11-12",U27&gt;='Qualifying Scores'!H$10)),T27,0),IF(OR(AND(G27="17-21",W27&gt;='Qualifying Scores'!H$13),AND(G27="15-16",W27&gt;='Qualifying Scores'!H$12),AND(G27="13-14",W27&gt;='Qualifying Scores'!H$11),AND(G27="11-12",W27&gt;='Qualifying Scores'!H$10)),V27,0),IF(OR(AND(G27="17-21",Y27&gt;='Qualifying Scores'!H$13),AND(G27="15-16",Y27&gt;='Qualifying Scores'!H$12),AND(G27="13-14",Y27&gt;='Qualifying Scores'!H$11),AND(G27="11-12",Y27&gt;='Qualifying Scores'!H$10)),X27,0),IF(OR(AND(G27="17-21",AA27&gt;='Qualifying Scores'!H$13),AND(G27="15-16",AA27&gt;='Qualifying Scores'!H$12),AND(G27="13-14",AA27&gt;='Qualifying Scores'!H$11),AND(G27="11-12",AA27&gt;='Qualifying Scores'!H$10)),Z27,0)))</f>
        <v>0</v>
      </c>
      <c r="S27" s="4">
        <f>MAX(T27,V27,X27,Z27)</f>
        <v>43.6</v>
      </c>
      <c r="T27" s="33"/>
      <c r="U27" s="40"/>
      <c r="V27" s="34"/>
      <c r="W27" s="40"/>
      <c r="X27" s="33">
        <v>39.4</v>
      </c>
      <c r="Y27" s="40">
        <v>6.6</v>
      </c>
      <c r="Z27" s="34">
        <v>43.6</v>
      </c>
      <c r="AA27" s="37">
        <v>6.6</v>
      </c>
    </row>
    <row r="28" spans="1:27" x14ac:dyDescent="0.2">
      <c r="A28" s="1" t="str" cm="1">
        <f t="array" ref="A28">IF(I28="","",IF(P28&lt;&gt;"",SUMPRODUCT((P$3:P$38&lt;&gt;"")*(G$3:G$38=G28)*(J$3:J$38&gt;J28)*(I$3:I$38="P"))+1,IF(O28&lt;&gt;"",SUMPRODUCT((O$3:O$38&lt;&gt;"")*(P$3:P$38="")*(G$3:G$38=G28)*(J$3:J$38&gt;J28)*(I$3:I$38="P"))+SUMPRODUCT((P$3:P$38&lt;&gt;"")*(G$3:G$38=G28)*(I$3:I$38="P"))+1,IF(N28&lt;&gt;"",SUMPRODUCT((N$3:N$38&lt;&gt;"")*(G$3:G$38=G28)*(J$3:J$38&gt;J28)*(I$3:I$38="P"))+1,IF(M28="P",SUMPRODUCT((O$3:O$38&lt;&gt;"")*(P$3:P$38="")*(G$3:G$38=G28)*(I$3:I$38="P"))+SUMPRODUCT((P$3:P$38&lt;&gt;"")*(G$3:G$38=G28)*(I$3:I$38="P"))+SUMPRODUCT((N$3:N$38&lt;&gt;"")*(G$3:G$38=G28)*(I$3:I$38="P"))+SUMPRODUCT((P$3:P$38="")*(O$3:O$38="")*(N$3:N$38="")*(M$3:M$38="P")*(G$3:G$38=G28)*(J$3:J$38&gt;J28)*(I$3:I$38="P"))+IF(H28="L5",SUMPRODUCT((P$3:P$38="")*(O$3:O$38="")*(N$3:N$38="")*(M$3:M$38="P")*(G$3:G$38=G28)*(J$3:J$38&lt;J28)*(H$3:H$38&lt;&gt;H28)*(I$3:I$38="P")),-1*SUMPRODUCT((P$3:P$38="")*(O$3:O$38="")*(N$3:N$38="")*(M$3:M$38="P")*(G$3:G$38=G28)*(J$3:J$38&gt;J28)*(H$3:H$38="L5")*(I$3:I$38="P")))+1,"")))))</f>
        <v/>
      </c>
      <c r="B28" s="1" t="str" cm="1">
        <f t="array" ref="B28">IF(P28&lt;&gt;"",SUMPRODUCT((P$3:P$37&lt;&gt;"")*(G$3:G$37=G28)*(J$3:J$37&gt;J28))+1,IF(O28&lt;&gt;"",SUMPRODUCT((O$3:O$37&lt;&gt;"")*(P$3:P$37="")*(G$3:G$37=G28)*(J$3:J$37&gt;J28))+SUMPRODUCT((P$3:P$37&lt;&gt;"")*(G$3:G$37=G28))+1,IF(N28&lt;&gt;"",SUMPRODUCT((N$3:N$37&lt;&gt;"")*(G$3:G$37=G28)*(J$3:J$37&gt;J28))+1,IF(M28="P",SUMPRODUCT((O$3:O$37&lt;&gt;"")*(P$3:P$37="")*(G$3:G$37=G28))+SUMPRODUCT((P$3:P$37&lt;&gt;"")*(G$3:G$37=G28))+SUMPRODUCT((N$3:N$37&lt;&gt;"")*(G$3:G$37=G28))+SUMPRODUCT((P$3:P$37="")*(O$3:O$37="")*(N$3:N$37="")*(M$3:M$37="P")*(G$3:G$37=G28)*(J$3:J$37&gt;J28))+IF(H28="L5",SUMPRODUCT((P$3:P$37="")*(O$3:O$37="")*(N$3:N$37="")*(M$3:M$37="P")*(G$3:G$37=G28)*(J$3:J$37&lt;J28)*(H$3:H$37&lt;&gt;H28)),-1*SUMPRODUCT((P$3:P$37="")*(O$3:O$37="")*(N$3:N$37="")*(M$3:M$37="P")*(G$3:G$37=G28)*(J$3:J$37&gt;J28)*(H$3:H$37="L5")))+1,""))))</f>
        <v/>
      </c>
      <c r="C28" s="36" t="s">
        <v>305</v>
      </c>
      <c r="D28" s="36" t="str">
        <f>IF(E28="","",VLOOKUP(E28,'Coaching Points'!A:B,2,0))</f>
        <v>QC</v>
      </c>
      <c r="E28" s="36" t="s">
        <v>361</v>
      </c>
      <c r="F28" s="35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9" t="s">
        <v>115</v>
      </c>
      <c r="I28" s="45"/>
      <c r="J28" s="4">
        <f>R28+IF(OR(H28="Junior",H28="Senior"),0.0002,IF(OR(H28="L7",H28="L6"),0.0001,0))+MAX(X28,Z28)*0.0000001</f>
        <v>4.1699999999999999E-6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Scores'!H$13),AND(G28="15-16",U28&gt;='Qualifying Scores'!H$12),AND(G28="13-14",U28&gt;='Qualifying Scores'!H$11),AND(G28="11-12",U28&gt;='Qualifying Scores'!H$10)),T28,0),IF(OR(AND(G28="17-21",W28&gt;='Qualifying Scores'!H$13),AND(G28="15-16",W28&gt;='Qualifying Scores'!H$12),AND(G28="13-14",W28&gt;='Qualifying Scores'!H$11),AND(G28="11-12",W28&gt;='Qualifying Scores'!H$10)),V28,0),IF(OR(AND(G28="17-21",Y28&gt;='Qualifying Scores'!H$13),AND(G28="15-16",Y28&gt;='Qualifying Scores'!H$12),AND(G28="13-14",Y28&gt;='Qualifying Scores'!H$11),AND(G28="11-12",Y28&gt;='Qualifying Scores'!H$10)),X28,0),IF(OR(AND(G28="17-21",AA28&gt;='Qualifying Scores'!H$13),AND(G28="15-16",AA28&gt;='Qualifying Scores'!H$12),AND(G28="13-14",AA28&gt;='Qualifying Scores'!H$11),AND(G28="11-12",AA28&gt;='Qualifying Scores'!H$10)),Z28,0)))</f>
        <v>0</v>
      </c>
      <c r="S28" s="4">
        <f>MAX(T28,V28,X28,Z28)</f>
        <v>41.7</v>
      </c>
      <c r="T28" s="33">
        <v>35.599999999999994</v>
      </c>
      <c r="U28" s="40">
        <v>4.3</v>
      </c>
      <c r="V28" s="34">
        <v>35.659999999999997</v>
      </c>
      <c r="W28" s="40">
        <v>5.2</v>
      </c>
      <c r="X28" s="33">
        <v>41.7</v>
      </c>
      <c r="Y28" s="40">
        <v>5.9</v>
      </c>
      <c r="Z28" s="34">
        <v>41.1</v>
      </c>
      <c r="AA28" s="37">
        <v>5.9</v>
      </c>
    </row>
    <row r="29" spans="1:27" x14ac:dyDescent="0.2">
      <c r="A29" s="1" t="str" cm="1">
        <f t="array" ref="A29">IF(I29="","",IF(P29&lt;&gt;"",SUMPRODUCT((P$3:P$38&lt;&gt;"")*(G$3:G$38=G29)*(J$3:J$38&gt;J29)*(I$3:I$38="P"))+1,IF(O29&lt;&gt;"",SUMPRODUCT((O$3:O$38&lt;&gt;"")*(P$3:P$38="")*(G$3:G$38=G29)*(J$3:J$38&gt;J29)*(I$3:I$38="P"))+SUMPRODUCT((P$3:P$38&lt;&gt;"")*(G$3:G$38=G29)*(I$3:I$38="P"))+1,IF(N29&lt;&gt;"",SUMPRODUCT((N$3:N$38&lt;&gt;"")*(G$3:G$38=G29)*(J$3:J$38&gt;J29)*(I$3:I$38="P"))+1,IF(M29="P",SUMPRODUCT((O$3:O$38&lt;&gt;"")*(P$3:P$38="")*(G$3:G$38=G29)*(I$3:I$38="P"))+SUMPRODUCT((P$3:P$38&lt;&gt;"")*(G$3:G$38=G29)*(I$3:I$38="P"))+SUMPRODUCT((N$3:N$38&lt;&gt;"")*(G$3:G$38=G29)*(I$3:I$38="P"))+SUMPRODUCT((P$3:P$38="")*(O$3:O$38="")*(N$3:N$38="")*(M$3:M$38="P")*(G$3:G$38=G29)*(J$3:J$38&gt;J29)*(I$3:I$38="P"))+IF(H29="L5",SUMPRODUCT((P$3:P$38="")*(O$3:O$38="")*(N$3:N$38="")*(M$3:M$38="P")*(G$3:G$38=G29)*(J$3:J$38&lt;J29)*(H$3:H$38&lt;&gt;H29)*(I$3:I$38="P")),-1*SUMPRODUCT((P$3:P$38="")*(O$3:O$38="")*(N$3:N$38="")*(M$3:M$38="P")*(G$3:G$38=G29)*(J$3:J$38&gt;J29)*(H$3:H$38="L5")*(I$3:I$38="P")))+1,"")))))</f>
        <v/>
      </c>
      <c r="B29" s="1" t="str" cm="1">
        <f t="array" ref="B29">IF(P29&lt;&gt;"",SUMPRODUCT((P$3:P$37&lt;&gt;"")*(G$3:G$37=G29)*(J$3:J$37&gt;J29))+1,IF(O29&lt;&gt;"",SUMPRODUCT((O$3:O$37&lt;&gt;"")*(P$3:P$37="")*(G$3:G$37=G29)*(J$3:J$37&gt;J29))+SUMPRODUCT((P$3:P$37&lt;&gt;"")*(G$3:G$37=G29))+1,IF(N29&lt;&gt;"",SUMPRODUCT((N$3:N$37&lt;&gt;"")*(G$3:G$37=G29)*(J$3:J$37&gt;J29))+1,IF(M29="P",SUMPRODUCT((O$3:O$37&lt;&gt;"")*(P$3:P$37="")*(G$3:G$37=G29))+SUMPRODUCT((P$3:P$37&lt;&gt;"")*(G$3:G$37=G29))+SUMPRODUCT((N$3:N$37&lt;&gt;"")*(G$3:G$37=G29))+SUMPRODUCT((P$3:P$37="")*(O$3:O$37="")*(N$3:N$37="")*(M$3:M$37="P")*(G$3:G$37=G29)*(J$3:J$37&gt;J29))+IF(H29="L5",SUMPRODUCT((P$3:P$37="")*(O$3:O$37="")*(N$3:N$37="")*(M$3:M$37="P")*(G$3:G$37=G29)*(J$3:J$37&lt;J29)*(H$3:H$37&lt;&gt;H29)),-1*SUMPRODUCT((P$3:P$37="")*(O$3:O$37="")*(N$3:N$37="")*(M$3:M$37="P")*(G$3:G$37=G29)*(J$3:J$37&gt;J29)*(H$3:H$37="L5")))+1,""))))</f>
        <v/>
      </c>
      <c r="C29" s="36" t="s">
        <v>181</v>
      </c>
      <c r="D29" s="36" t="str">
        <f>IF(E29="","",VLOOKUP(E29,'Coaching Points'!A:B,2,0))</f>
        <v>BC</v>
      </c>
      <c r="E29" s="36" t="s">
        <v>143</v>
      </c>
      <c r="F29" s="35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9" t="s">
        <v>115</v>
      </c>
      <c r="I29" s="45"/>
      <c r="J29" s="4">
        <f>R29+IF(OR(H29="Junior",H29="Senior"),0.0002,IF(OR(H29="L7",H29="L6"),0.0001,0))+MAX(X29,Z29)*0.0000001</f>
        <v>3.9600000000000002E-6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Scores'!H$13),AND(G29="15-16",U29&gt;='Qualifying Scores'!H$12),AND(G29="13-14",U29&gt;='Qualifying Scores'!H$11),AND(G29="11-12",U29&gt;='Qualifying Scores'!H$10)),T29,0),IF(OR(AND(G29="17-21",W29&gt;='Qualifying Scores'!H$13),AND(G29="15-16",W29&gt;='Qualifying Scores'!H$12),AND(G29="13-14",W29&gt;='Qualifying Scores'!H$11),AND(G29="11-12",W29&gt;='Qualifying Scores'!H$10)),V29,0),IF(OR(AND(G29="17-21",Y29&gt;='Qualifying Scores'!H$13),AND(G29="15-16",Y29&gt;='Qualifying Scores'!H$12),AND(G29="13-14",Y29&gt;='Qualifying Scores'!H$11),AND(G29="11-12",Y29&gt;='Qualifying Scores'!H$10)),X29,0),IF(OR(AND(G29="17-21",AA29&gt;='Qualifying Scores'!H$13),AND(G29="15-16",AA29&gt;='Qualifying Scores'!H$12),AND(G29="13-14",AA29&gt;='Qualifying Scores'!H$11),AND(G29="11-12",AA29&gt;='Qualifying Scores'!H$10)),Z29,0)))</f>
        <v>0</v>
      </c>
      <c r="S29" s="4">
        <f>MAX(T29,V29,X29,Z29)</f>
        <v>39.6</v>
      </c>
      <c r="T29" s="33">
        <v>34.799999999999997</v>
      </c>
      <c r="U29" s="40">
        <v>4.1999999999999993</v>
      </c>
      <c r="V29" s="34">
        <v>37.599999999999994</v>
      </c>
      <c r="W29" s="40">
        <v>5.0999999999999996</v>
      </c>
      <c r="X29" s="33">
        <v>39.6</v>
      </c>
      <c r="Y29" s="40">
        <v>5.0999999999999996</v>
      </c>
      <c r="Z29" s="34">
        <v>39.6</v>
      </c>
      <c r="AA29" s="37">
        <v>5.0999999999999996</v>
      </c>
    </row>
    <row r="30" spans="1:27" x14ac:dyDescent="0.2">
      <c r="A30" s="1" t="str" cm="1">
        <f t="array" ref="A30">IF(I30="","",IF(P30&lt;&gt;"",SUMPRODUCT((P$3:P$38&lt;&gt;"")*(G$3:G$38=G30)*(J$3:J$38&gt;J30)*(I$3:I$38="P"))+1,IF(O30&lt;&gt;"",SUMPRODUCT((O$3:O$38&lt;&gt;"")*(P$3:P$38="")*(G$3:G$38=G30)*(J$3:J$38&gt;J30)*(I$3:I$38="P"))+SUMPRODUCT((P$3:P$38&lt;&gt;"")*(G$3:G$38=G30)*(I$3:I$38="P"))+1,IF(N30&lt;&gt;"",SUMPRODUCT((N$3:N$38&lt;&gt;"")*(G$3:G$38=G30)*(J$3:J$38&gt;J30)*(I$3:I$38="P"))+1,IF(M30="P",SUMPRODUCT((O$3:O$38&lt;&gt;"")*(P$3:P$38="")*(G$3:G$38=G30)*(I$3:I$38="P"))+SUMPRODUCT((P$3:P$38&lt;&gt;"")*(G$3:G$38=G30)*(I$3:I$38="P"))+SUMPRODUCT((N$3:N$38&lt;&gt;"")*(G$3:G$38=G30)*(I$3:I$38="P"))+SUMPRODUCT((P$3:P$38="")*(O$3:O$38="")*(N$3:N$38="")*(M$3:M$38="P")*(G$3:G$38=G30)*(J$3:J$38&gt;J30)*(I$3:I$38="P"))+IF(H30="L5",SUMPRODUCT((P$3:P$38="")*(O$3:O$38="")*(N$3:N$38="")*(M$3:M$38="P")*(G$3:G$38=G30)*(J$3:J$38&lt;J30)*(H$3:H$38&lt;&gt;H30)*(I$3:I$38="P")),-1*SUMPRODUCT((P$3:P$38="")*(O$3:O$38="")*(N$3:N$38="")*(M$3:M$38="P")*(G$3:G$38=G30)*(J$3:J$38&gt;J30)*(H$3:H$38="L5")*(I$3:I$38="P")))+1,"")))))</f>
        <v/>
      </c>
      <c r="B30" s="1" t="str" cm="1">
        <f t="array" ref="B30">IF(P30&lt;&gt;"",SUMPRODUCT((P$3:P$37&lt;&gt;"")*(G$3:G$37=G30)*(J$3:J$37&gt;J30))+1,IF(O30&lt;&gt;"",SUMPRODUCT((O$3:O$37&lt;&gt;"")*(P$3:P$37="")*(G$3:G$37=G30)*(J$3:J$37&gt;J30))+SUMPRODUCT((P$3:P$37&lt;&gt;"")*(G$3:G$37=G30))+1,IF(N30&lt;&gt;"",SUMPRODUCT((N$3:N$37&lt;&gt;"")*(G$3:G$37=G30)*(J$3:J$37&gt;J30))+1,IF(M30="P",SUMPRODUCT((O$3:O$37&lt;&gt;"")*(P$3:P$37="")*(G$3:G$37=G30))+SUMPRODUCT((P$3:P$37&lt;&gt;"")*(G$3:G$37=G30))+SUMPRODUCT((N$3:N$37&lt;&gt;"")*(G$3:G$37=G30))+SUMPRODUCT((P$3:P$37="")*(O$3:O$37="")*(N$3:N$37="")*(M$3:M$37="P")*(G$3:G$37=G30)*(J$3:J$37&gt;J30))+IF(H30="L5",SUMPRODUCT((P$3:P$37="")*(O$3:O$37="")*(N$3:N$37="")*(M$3:M$37="P")*(G$3:G$37=G30)*(J$3:J$37&lt;J30)*(H$3:H$37&lt;&gt;H30)),-1*SUMPRODUCT((P$3:P$37="")*(O$3:O$37="")*(N$3:N$37="")*(M$3:M$37="P")*(G$3:G$37=G30)*(J$3:J$37&gt;J30)*(H$3:H$37="L5")))+1,""))))</f>
        <v/>
      </c>
      <c r="C30" s="36" t="s">
        <v>560</v>
      </c>
      <c r="D30" s="36" t="str">
        <f>IF(E30="","",VLOOKUP(E30,'Coaching Points'!A:B,2,0))</f>
        <v>QC</v>
      </c>
      <c r="E30" s="36" t="s">
        <v>589</v>
      </c>
      <c r="F30" s="35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15-16</v>
      </c>
      <c r="H30" s="39" t="s">
        <v>115</v>
      </c>
      <c r="I30" s="45"/>
      <c r="J30" s="4">
        <f>R30+IF(OR(H30="Junior",H30="Senior"),0.0002,IF(OR(H30="L7",H30="L6"),0.0001,0))+MAX(X30,Z30)*0.0000001</f>
        <v>3.8399999999999997E-6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Scores'!H$13),AND(G30="15-16",U30&gt;='Qualifying Scores'!H$12),AND(G30="13-14",U30&gt;='Qualifying Scores'!H$11),AND(G30="11-12",U30&gt;='Qualifying Scores'!H$10)),T30,0),IF(OR(AND(G30="17-21",W30&gt;='Qualifying Scores'!H$13),AND(G30="15-16",W30&gt;='Qualifying Scores'!H$12),AND(G30="13-14",W30&gt;='Qualifying Scores'!H$11),AND(G30="11-12",W30&gt;='Qualifying Scores'!H$10)),V30,0),IF(OR(AND(G30="17-21",Y30&gt;='Qualifying Scores'!H$13),AND(G30="15-16",Y30&gt;='Qualifying Scores'!H$12),AND(G30="13-14",Y30&gt;='Qualifying Scores'!H$11),AND(G30="11-12",Y30&gt;='Qualifying Scores'!H$10)),X30,0),IF(OR(AND(G30="17-21",AA30&gt;='Qualifying Scores'!H$13),AND(G30="15-16",AA30&gt;='Qualifying Scores'!H$12),AND(G30="13-14",AA30&gt;='Qualifying Scores'!H$11),AND(G30="11-12",AA30&gt;='Qualifying Scores'!H$10)),Z30,0)))</f>
        <v>0</v>
      </c>
      <c r="S30" s="4">
        <f>MAX(T30,V30,X30,Z30)</f>
        <v>38.4</v>
      </c>
      <c r="T30" s="33"/>
      <c r="U30" s="40"/>
      <c r="V30" s="34"/>
      <c r="W30" s="40"/>
      <c r="X30" s="33">
        <v>38.4</v>
      </c>
      <c r="Y30" s="40">
        <v>4.4000000000000004</v>
      </c>
      <c r="Z30" s="34">
        <v>37.700000000000003</v>
      </c>
      <c r="AA30" s="37">
        <v>4.8</v>
      </c>
    </row>
    <row r="31" spans="1:27" x14ac:dyDescent="0.2">
      <c r="A31" s="1" t="str" cm="1">
        <f t="array" ref="A31">IF(I31="","",IF(P31&lt;&gt;"",SUMPRODUCT((P$3:P$38&lt;&gt;"")*(G$3:G$38=G31)*(J$3:J$38&gt;J31)*(I$3:I$38="P"))+1,IF(O31&lt;&gt;"",SUMPRODUCT((O$3:O$38&lt;&gt;"")*(P$3:P$38="")*(G$3:G$38=G31)*(J$3:J$38&gt;J31)*(I$3:I$38="P"))+SUMPRODUCT((P$3:P$38&lt;&gt;"")*(G$3:G$38=G31)*(I$3:I$38="P"))+1,IF(N31&lt;&gt;"",SUMPRODUCT((N$3:N$38&lt;&gt;"")*(G$3:G$38=G31)*(J$3:J$38&gt;J31)*(I$3:I$38="P"))+1,IF(M31="P",SUMPRODUCT((O$3:O$38&lt;&gt;"")*(P$3:P$38="")*(G$3:G$38=G31)*(I$3:I$38="P"))+SUMPRODUCT((P$3:P$38&lt;&gt;"")*(G$3:G$38=G31)*(I$3:I$38="P"))+SUMPRODUCT((N$3:N$38&lt;&gt;"")*(G$3:G$38=G31)*(I$3:I$38="P"))+SUMPRODUCT((P$3:P$38="")*(O$3:O$38="")*(N$3:N$38="")*(M$3:M$38="P")*(G$3:G$38=G31)*(J$3:J$38&gt;J31)*(I$3:I$38="P"))+IF(H31="L5",SUMPRODUCT((P$3:P$38="")*(O$3:O$38="")*(N$3:N$38="")*(M$3:M$38="P")*(G$3:G$38=G31)*(J$3:J$38&lt;J31)*(H$3:H$38&lt;&gt;H31)*(I$3:I$38="P")),-1*SUMPRODUCT((P$3:P$38="")*(O$3:O$38="")*(N$3:N$38="")*(M$3:M$38="P")*(G$3:G$38=G31)*(J$3:J$38&gt;J31)*(H$3:H$38="L5")*(I$3:I$38="P")))+1,"")))))</f>
        <v/>
      </c>
      <c r="B31" s="1" t="str" cm="1">
        <f t="array" ref="B31">IF(P31&lt;&gt;"",SUMPRODUCT((P$3:P$37&lt;&gt;"")*(G$3:G$37=G31)*(J$3:J$37&gt;J31))+1,IF(O31&lt;&gt;"",SUMPRODUCT((O$3:O$37&lt;&gt;"")*(P$3:P$37="")*(G$3:G$37=G31)*(J$3:J$37&gt;J31))+SUMPRODUCT((P$3:P$37&lt;&gt;"")*(G$3:G$37=G31))+1,IF(N31&lt;&gt;"",SUMPRODUCT((N$3:N$37&lt;&gt;"")*(G$3:G$37=G31)*(J$3:J$37&gt;J31))+1,IF(M31="P",SUMPRODUCT((O$3:O$37&lt;&gt;"")*(P$3:P$37="")*(G$3:G$37=G31))+SUMPRODUCT((P$3:P$37&lt;&gt;"")*(G$3:G$37=G31))+SUMPRODUCT((N$3:N$37&lt;&gt;"")*(G$3:G$37=G31))+SUMPRODUCT((P$3:P$37="")*(O$3:O$37="")*(N$3:N$37="")*(M$3:M$37="P")*(G$3:G$37=G31)*(J$3:J$37&gt;J31))+IF(H31="L5",SUMPRODUCT((P$3:P$37="")*(O$3:O$37="")*(N$3:N$37="")*(M$3:M$37="P")*(G$3:G$37=G31)*(J$3:J$37&lt;J31)*(H$3:H$37&lt;&gt;H31)),-1*SUMPRODUCT((P$3:P$37="")*(O$3:O$37="")*(N$3:N$37="")*(M$3:M$37="P")*(G$3:G$37=G31)*(J$3:J$37&gt;J31)*(H$3:H$37="L5")))+1,""))))</f>
        <v/>
      </c>
      <c r="C31" s="36" t="s">
        <v>559</v>
      </c>
      <c r="D31" s="36" t="str">
        <f>IF(E31="","",VLOOKUP(E31,'Coaching Points'!A:B,2,0))</f>
        <v>AB</v>
      </c>
      <c r="E31" s="36" t="s">
        <v>91</v>
      </c>
      <c r="F31" s="35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15-16</v>
      </c>
      <c r="H31" s="39" t="s">
        <v>115</v>
      </c>
      <c r="I31" s="45" t="s">
        <v>604</v>
      </c>
      <c r="J31" s="4">
        <f>R31+IF(OR(H31="Junior",H31="Senior"),0.0002,IF(OR(H31="L7",H31="L6"),0.0001,0))+MAX(X31,Z31)*0.0000001</f>
        <v>3.8E-6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Scores'!H$13),AND(G31="15-16",U31&gt;='Qualifying Scores'!H$12),AND(G31="13-14",U31&gt;='Qualifying Scores'!H$11),AND(G31="11-12",U31&gt;='Qualifying Scores'!H$10)),T31,0),IF(OR(AND(G31="17-21",W31&gt;='Qualifying Scores'!H$13),AND(G31="15-16",W31&gt;='Qualifying Scores'!H$12),AND(G31="13-14",W31&gt;='Qualifying Scores'!H$11),AND(G31="11-12",W31&gt;='Qualifying Scores'!H$10)),V31,0),IF(OR(AND(G31="17-21",Y31&gt;='Qualifying Scores'!H$13),AND(G31="15-16",Y31&gt;='Qualifying Scores'!H$12),AND(G31="13-14",Y31&gt;='Qualifying Scores'!H$11),AND(G31="11-12",Y31&gt;='Qualifying Scores'!H$10)),X31,0),IF(OR(AND(G31="17-21",AA31&gt;='Qualifying Scores'!H$13),AND(G31="15-16",AA31&gt;='Qualifying Scores'!H$12),AND(G31="13-14",AA31&gt;='Qualifying Scores'!H$11),AND(G31="11-12",AA31&gt;='Qualifying Scores'!H$10)),Z31,0)))</f>
        <v>0</v>
      </c>
      <c r="S31" s="4">
        <f>MAX(T31,V31,X31,Z31)</f>
        <v>38</v>
      </c>
      <c r="T31" s="33"/>
      <c r="U31" s="40"/>
      <c r="V31" s="34"/>
      <c r="W31" s="40"/>
      <c r="X31" s="33">
        <v>38</v>
      </c>
      <c r="Y31" s="40">
        <v>5.4</v>
      </c>
      <c r="Z31" s="34">
        <v>37.4</v>
      </c>
      <c r="AA31" s="37">
        <v>5.4</v>
      </c>
    </row>
    <row r="32" spans="1:27" x14ac:dyDescent="0.2">
      <c r="A32" s="1" t="str" cm="1">
        <f t="array" ref="A32">IF(I32="","",IF(P32&lt;&gt;"",SUMPRODUCT((P$3:P$38&lt;&gt;"")*(G$3:G$38=G32)*(J$3:J$38&gt;J32)*(I$3:I$38="P"))+1,IF(O32&lt;&gt;"",SUMPRODUCT((O$3:O$38&lt;&gt;"")*(P$3:P$38="")*(G$3:G$38=G32)*(J$3:J$38&gt;J32)*(I$3:I$38="P"))+SUMPRODUCT((P$3:P$38&lt;&gt;"")*(G$3:G$38=G32)*(I$3:I$38="P"))+1,IF(N32&lt;&gt;"",SUMPRODUCT((N$3:N$38&lt;&gt;"")*(G$3:G$38=G32)*(J$3:J$38&gt;J32)*(I$3:I$38="P"))+1,IF(M32="P",SUMPRODUCT((O$3:O$38&lt;&gt;"")*(P$3:P$38="")*(G$3:G$38=G32)*(I$3:I$38="P"))+SUMPRODUCT((P$3:P$38&lt;&gt;"")*(G$3:G$38=G32)*(I$3:I$38="P"))+SUMPRODUCT((N$3:N$38&lt;&gt;"")*(G$3:G$38=G32)*(I$3:I$38="P"))+SUMPRODUCT((P$3:P$38="")*(O$3:O$38="")*(N$3:N$38="")*(M$3:M$38="P")*(G$3:G$38=G32)*(J$3:J$38&gt;J32)*(I$3:I$38="P"))+IF(H32="L5",SUMPRODUCT((P$3:P$38="")*(O$3:O$38="")*(N$3:N$38="")*(M$3:M$38="P")*(G$3:G$38=G32)*(J$3:J$38&lt;J32)*(H$3:H$38&lt;&gt;H32)*(I$3:I$38="P")),-1*SUMPRODUCT((P$3:P$38="")*(O$3:O$38="")*(N$3:N$38="")*(M$3:M$38="P")*(G$3:G$38=G32)*(J$3:J$38&gt;J32)*(H$3:H$38="L5")*(I$3:I$38="P")))+1,"")))))</f>
        <v/>
      </c>
      <c r="B32" s="1" t="str" cm="1">
        <f t="array" ref="B32">IF(P32&lt;&gt;"",SUMPRODUCT((P$3:P$37&lt;&gt;"")*(G$3:G$37=G32)*(J$3:J$37&gt;J32))+1,IF(O32&lt;&gt;"",SUMPRODUCT((O$3:O$37&lt;&gt;"")*(P$3:P$37="")*(G$3:G$37=G32)*(J$3:J$37&gt;J32))+SUMPRODUCT((P$3:P$37&lt;&gt;"")*(G$3:G$37=G32))+1,IF(N32&lt;&gt;"",SUMPRODUCT((N$3:N$37&lt;&gt;"")*(G$3:G$37=G32)*(J$3:J$37&gt;J32))+1,IF(M32="P",SUMPRODUCT((O$3:O$37&lt;&gt;"")*(P$3:P$37="")*(G$3:G$37=G32))+SUMPRODUCT((P$3:P$37&lt;&gt;"")*(G$3:G$37=G32))+SUMPRODUCT((N$3:N$37&lt;&gt;"")*(G$3:G$37=G32))+SUMPRODUCT((P$3:P$37="")*(O$3:O$37="")*(N$3:N$37="")*(M$3:M$37="P")*(G$3:G$37=G32)*(J$3:J$37&gt;J32))+IF(H32="L5",SUMPRODUCT((P$3:P$37="")*(O$3:O$37="")*(N$3:N$37="")*(M$3:M$37="P")*(G$3:G$37=G32)*(J$3:J$37&lt;J32)*(H$3:H$37&lt;&gt;H32)),-1*SUMPRODUCT((P$3:P$37="")*(O$3:O$37="")*(N$3:N$37="")*(M$3:M$37="P")*(G$3:G$37=G32)*(J$3:J$37&gt;J32)*(H$3:H$37="L5")))+1,""))))</f>
        <v/>
      </c>
      <c r="C32" s="36" t="s">
        <v>387</v>
      </c>
      <c r="D32" s="36" t="str">
        <f>IF(E32="","",VLOOKUP(E32,'Coaching Points'!A:B,2,0))</f>
        <v>AB</v>
      </c>
      <c r="E32" s="36" t="s">
        <v>29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115</v>
      </c>
      <c r="I32" s="45"/>
      <c r="J32" s="4">
        <f>R32+IF(OR(H32="Junior",H32="Senior"),0.0002,IF(OR(H32="L7",H32="L6"),0.0001,0))+MAX(X32,Z32)*0.0000001</f>
        <v>3.7499999999999997E-6</v>
      </c>
      <c r="K32" s="3" t="str">
        <f>IF(G32="Not Age Eligible","",IF(MAX(T32,V32,X32,Z32)&gt;=LOOKUP(G32,'Qualifying Scores'!$A$4:$A$7,'Qualifying Scores'!$H$4:$H$7),"P",""))</f>
        <v/>
      </c>
      <c r="L32" s="3" t="str">
        <f>IF(G32="Not Age Eligible","",IF(MAX(U32,W32,Y32,AA32)&gt;=LOOKUP(G32,'Qualifying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Scores'!H$13),AND(G32="15-16",U32&gt;='Qualifying Scores'!H$12),AND(G32="13-14",U32&gt;='Qualifying Scores'!H$11),AND(G32="11-12",U32&gt;='Qualifying Scores'!H$10)),T32,0),IF(OR(AND(G32="17-21",W32&gt;='Qualifying Scores'!H$13),AND(G32="15-16",W32&gt;='Qualifying Scores'!H$12),AND(G32="13-14",W32&gt;='Qualifying Scores'!H$11),AND(G32="11-12",W32&gt;='Qualifying Scores'!H$10)),V32,0),IF(OR(AND(G32="17-21",Y32&gt;='Qualifying Scores'!H$13),AND(G32="15-16",Y32&gt;='Qualifying Scores'!H$12),AND(G32="13-14",Y32&gt;='Qualifying Scores'!H$11),AND(G32="11-12",Y32&gt;='Qualifying Scores'!H$10)),X32,0),IF(OR(AND(G32="17-21",AA32&gt;='Qualifying Scores'!H$13),AND(G32="15-16",AA32&gt;='Qualifying Scores'!H$12),AND(G32="13-14",AA32&gt;='Qualifying Scores'!H$11),AND(G32="11-12",AA32&gt;='Qualifying Scores'!H$10)),Z32,0)))</f>
        <v>0</v>
      </c>
      <c r="S32" s="4">
        <f>MAX(T32,V32,X32,Z32)</f>
        <v>37.5</v>
      </c>
      <c r="T32" s="33"/>
      <c r="U32" s="40"/>
      <c r="V32" s="34"/>
      <c r="W32" s="40"/>
      <c r="X32" s="33">
        <v>36.5</v>
      </c>
      <c r="Y32" s="40">
        <v>5.4</v>
      </c>
      <c r="Z32" s="34">
        <v>37.5</v>
      </c>
      <c r="AA32" s="37">
        <v>5.3</v>
      </c>
    </row>
    <row r="33" spans="1:27" x14ac:dyDescent="0.2">
      <c r="A33" s="1" cm="1">
        <f t="array" ref="A33">IF(I33="","",IF(P33&lt;&gt;"",SUMPRODUCT((P$3:P$38&lt;&gt;"")*(G$3:G$38=G33)*(J$3:J$38&gt;J33)*(I$3:I$38="P"))+1,IF(O33&lt;&gt;"",SUMPRODUCT((O$3:O$38&lt;&gt;"")*(P$3:P$38="")*(G$3:G$38=G33)*(J$3:J$38&gt;J33)*(I$3:I$38="P"))+SUMPRODUCT((P$3:P$38&lt;&gt;"")*(G$3:G$38=G33)*(I$3:I$38="P"))+1,IF(N33&lt;&gt;"",SUMPRODUCT((N$3:N$38&lt;&gt;"")*(G$3:G$38=G33)*(J$3:J$38&gt;J33)*(I$3:I$38="P"))+1,IF(M33="P",SUMPRODUCT((O$3:O$38&lt;&gt;"")*(P$3:P$38="")*(G$3:G$38=G33)*(I$3:I$38="P"))+SUMPRODUCT((P$3:P$38&lt;&gt;"")*(G$3:G$38=G33)*(I$3:I$38="P"))+SUMPRODUCT((N$3:N$38&lt;&gt;"")*(G$3:G$38=G33)*(I$3:I$38="P"))+SUMPRODUCT((P$3:P$38="")*(O$3:O$38="")*(N$3:N$38="")*(M$3:M$38="P")*(G$3:G$38=G33)*(J$3:J$38&gt;J33)*(I$3:I$38="P"))+IF(H33="L5",SUMPRODUCT((P$3:P$38="")*(O$3:O$38="")*(N$3:N$38="")*(M$3:M$38="P")*(G$3:G$38=G33)*(J$3:J$38&lt;J33)*(H$3:H$38&lt;&gt;H33)*(I$3:I$38="P")),-1*SUMPRODUCT((P$3:P$38="")*(O$3:O$38="")*(N$3:N$38="")*(M$3:M$38="P")*(G$3:G$38=G33)*(J$3:J$38&gt;J33)*(H$3:H$38="L5")*(I$3:I$38="P")))+1,"")))))</f>
        <v>1</v>
      </c>
      <c r="B33" s="1" cm="1">
        <f t="array" ref="B33">IF(P33&lt;&gt;"",SUMPRODUCT((P$3:P$37&lt;&gt;"")*(G$3:G$37=G33)*(J$3:J$37&gt;J33))+1,IF(O33&lt;&gt;"",SUMPRODUCT((O$3:O$37&lt;&gt;"")*(P$3:P$37="")*(G$3:G$37=G33)*(J$3:J$37&gt;J33))+SUMPRODUCT((P$3:P$37&lt;&gt;"")*(G$3:G$37=G33))+1,IF(N33&lt;&gt;"",SUMPRODUCT((N$3:N$37&lt;&gt;"")*(G$3:G$37=G33)*(J$3:J$37&gt;J33))+1,IF(M33="P",SUMPRODUCT((O$3:O$37&lt;&gt;"")*(P$3:P$37="")*(G$3:G$37=G33))+SUMPRODUCT((P$3:P$37&lt;&gt;"")*(G$3:G$37=G33))+SUMPRODUCT((N$3:N$37&lt;&gt;"")*(G$3:G$37=G33))+SUMPRODUCT((P$3:P$37="")*(O$3:O$37="")*(N$3:N$37="")*(M$3:M$37="P")*(G$3:G$37=G33)*(J$3:J$37&gt;J33))+IF(H33="L5",SUMPRODUCT((P$3:P$37="")*(O$3:O$37="")*(N$3:N$37="")*(M$3:M$37="P")*(G$3:G$37=G33)*(J$3:J$37&lt;J33)*(H$3:H$37&lt;&gt;H33)),-1*SUMPRODUCT((P$3:P$37="")*(O$3:O$37="")*(N$3:N$37="")*(M$3:M$37="P")*(G$3:G$37=G33)*(J$3:J$37&gt;J33)*(H$3:H$37="L5")))+1,""))))</f>
        <v>1</v>
      </c>
      <c r="C33" s="36" t="s">
        <v>556</v>
      </c>
      <c r="D33" s="36" t="str">
        <f>IF(E33="","",VLOOKUP(E33,'Coaching Points'!A:B,2,0))</f>
        <v>ON</v>
      </c>
      <c r="E33" s="36" t="s">
        <v>592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9" t="s">
        <v>115</v>
      </c>
      <c r="I33" s="45" t="s">
        <v>604</v>
      </c>
      <c r="J33" s="4">
        <f>R33+IF(OR(H33="Junior",H33="Senior"),0.0002,IF(OR(H33="L7",H33="L6"),0.0001,0))+MAX(X33,Z33)*0.0000001</f>
        <v>42.300004229999999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Q33" s="49">
        <f>IF(A33&lt;5,IF(_xlfn.MAXIFS(A:A,G:G,G33)&gt;3,5-A33,_xlfn.MAXIFS(A:A,G:G,G33)+1-A33),"")</f>
        <v>1</v>
      </c>
      <c r="R33" s="4">
        <f>IF(G33="Not Age Eligible",0,MAX(IF(OR(AND(G33="17-21",U33&gt;='Qualifying Scores'!H$13),AND(G33="15-16",U33&gt;='Qualifying Scores'!H$12),AND(G33="13-14",U33&gt;='Qualifying Scores'!H$11),AND(G33="11-12",U33&gt;='Qualifying Scores'!H$10)),T33,0),IF(OR(AND(G33="17-21",W33&gt;='Qualifying Scores'!H$13),AND(G33="15-16",W33&gt;='Qualifying Scores'!H$12),AND(G33="13-14",W33&gt;='Qualifying Scores'!H$11),AND(G33="11-12",W33&gt;='Qualifying Scores'!H$10)),V33,0),IF(OR(AND(G33="17-21",Y33&gt;='Qualifying Scores'!H$13),AND(G33="15-16",Y33&gt;='Qualifying Scores'!H$12),AND(G33="13-14",Y33&gt;='Qualifying Scores'!H$11),AND(G33="11-12",Y33&gt;='Qualifying Scores'!H$10)),X33,0),IF(OR(AND(G33="17-21",AA33&gt;='Qualifying Scores'!H$13),AND(G33="15-16",AA33&gt;='Qualifying Scores'!H$12),AND(G33="13-14",AA33&gt;='Qualifying Scores'!H$11),AND(G33="11-12",AA33&gt;='Qualifying Scores'!H$10)),Z33,0)))</f>
        <v>42.3</v>
      </c>
      <c r="S33" s="4">
        <f>MAX(T33,V33,X33,Z33)</f>
        <v>42.3</v>
      </c>
      <c r="T33" s="33"/>
      <c r="U33" s="40"/>
      <c r="V33" s="34"/>
      <c r="W33" s="40"/>
      <c r="X33" s="33">
        <v>41.1</v>
      </c>
      <c r="Y33" s="40">
        <v>7.3</v>
      </c>
      <c r="Z33" s="34">
        <v>42.3</v>
      </c>
      <c r="AA33" s="37">
        <v>6.6</v>
      </c>
    </row>
    <row r="34" spans="1:27" x14ac:dyDescent="0.2">
      <c r="A34" s="1" t="str" cm="1">
        <f t="array" ref="A34">IF(I34="","",IF(P34&lt;&gt;"",SUMPRODUCT((P$3:P$38&lt;&gt;"")*(G$3:G$38=G34)*(J$3:J$38&gt;J34)*(I$3:I$38="P"))+1,IF(O34&lt;&gt;"",SUMPRODUCT((O$3:O$38&lt;&gt;"")*(P$3:P$38="")*(G$3:G$38=G34)*(J$3:J$38&gt;J34)*(I$3:I$38="P"))+SUMPRODUCT((P$3:P$38&lt;&gt;"")*(G$3:G$38=G34)*(I$3:I$38="P"))+1,IF(N34&lt;&gt;"",SUMPRODUCT((N$3:N$38&lt;&gt;"")*(G$3:G$38=G34)*(J$3:J$38&gt;J34)*(I$3:I$38="P"))+1,IF(M34="P",SUMPRODUCT((O$3:O$38&lt;&gt;"")*(P$3:P$38="")*(G$3:G$38=G34)*(I$3:I$38="P"))+SUMPRODUCT((P$3:P$38&lt;&gt;"")*(G$3:G$38=G34)*(I$3:I$38="P"))+SUMPRODUCT((N$3:N$38&lt;&gt;"")*(G$3:G$38=G34)*(I$3:I$38="P"))+SUMPRODUCT((P$3:P$38="")*(O$3:O$38="")*(N$3:N$38="")*(M$3:M$38="P")*(G$3:G$38=G34)*(J$3:J$38&gt;J34)*(I$3:I$38="P"))+IF(H34="L5",SUMPRODUCT((P$3:P$38="")*(O$3:O$38="")*(N$3:N$38="")*(M$3:M$38="P")*(G$3:G$38=G34)*(J$3:J$38&lt;J34)*(H$3:H$38&lt;&gt;H34)*(I$3:I$38="P")),-1*SUMPRODUCT((P$3:P$38="")*(O$3:O$38="")*(N$3:N$38="")*(M$3:M$38="P")*(G$3:G$38=G34)*(J$3:J$38&gt;J34)*(H$3:H$38="L5")*(I$3:I$38="P")))+1,"")))))</f>
        <v/>
      </c>
      <c r="B34" s="1" t="str" cm="1">
        <f t="array" ref="B34">IF(P34&lt;&gt;"",SUMPRODUCT((P$3:P$37&lt;&gt;"")*(G$3:G$37=G34)*(J$3:J$37&gt;J34))+1,IF(O34&lt;&gt;"",SUMPRODUCT((O$3:O$37&lt;&gt;"")*(P$3:P$37="")*(G$3:G$37=G34)*(J$3:J$37&gt;J34))+SUMPRODUCT((P$3:P$37&lt;&gt;"")*(G$3:G$37=G34))+1,IF(N34&lt;&gt;"",SUMPRODUCT((N$3:N$37&lt;&gt;"")*(G$3:G$37=G34)*(J$3:J$37&gt;J34))+1,IF(M34="P",SUMPRODUCT((O$3:O$37&lt;&gt;"")*(P$3:P$37="")*(G$3:G$37=G34))+SUMPRODUCT((P$3:P$37&lt;&gt;"")*(G$3:G$37=G34))+SUMPRODUCT((N$3:N$37&lt;&gt;"")*(G$3:G$37=G34))+SUMPRODUCT((P$3:P$37="")*(O$3:O$37="")*(N$3:N$37="")*(M$3:M$37="P")*(G$3:G$37=G34)*(J$3:J$37&gt;J34))+IF(H34="L5",SUMPRODUCT((P$3:P$37="")*(O$3:O$37="")*(N$3:N$37="")*(M$3:M$37="P")*(G$3:G$37=G34)*(J$3:J$37&lt;J34)*(H$3:H$37&lt;&gt;H34)),-1*SUMPRODUCT((P$3:P$37="")*(O$3:O$37="")*(N$3:N$37="")*(M$3:M$37="P")*(G$3:G$37=G34)*(J$3:J$37&gt;J34)*(H$3:H$37="L5")))+1,""))))</f>
        <v/>
      </c>
      <c r="C34" s="36" t="s">
        <v>176</v>
      </c>
      <c r="D34" s="36" t="str">
        <f>IF(E34="","",VLOOKUP(E34,'Coaching Points'!A:B,2,0))</f>
        <v>ON</v>
      </c>
      <c r="E34" s="36" t="s">
        <v>48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13-14</v>
      </c>
      <c r="H34" s="39" t="s">
        <v>115</v>
      </c>
      <c r="I34" s="45" t="s">
        <v>604</v>
      </c>
      <c r="J34" s="4">
        <f>R34+IF(OR(H34="Junior",H34="Senior"),0.0002,IF(OR(H34="L7",H34="L6"),0.0001,0))+MAX(X34,Z34)*0.0000001</f>
        <v>40.860004085999996</v>
      </c>
      <c r="K34" s="3" t="str">
        <f>IF(G34="Not Age Eligible","",IF(MAX(T34,V34,X34,Z34)&gt;=LOOKUP(G34,'Qualifying Scores'!$A$4:$A$7,'Qualifying Scores'!$H$4:$H$7),"P",""))</f>
        <v/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Scores'!H$13),AND(G34="15-16",U34&gt;='Qualifying Scores'!H$12),AND(G34="13-14",U34&gt;='Qualifying Scores'!H$11),AND(G34="11-12",U34&gt;='Qualifying Scores'!H$10)),T34,0),IF(OR(AND(G34="17-21",W34&gt;='Qualifying Scores'!H$13),AND(G34="15-16",W34&gt;='Qualifying Scores'!H$12),AND(G34="13-14",W34&gt;='Qualifying Scores'!H$11),AND(G34="11-12",W34&gt;='Qualifying Scores'!H$10)),V34,0),IF(OR(AND(G34="17-21",Y34&gt;='Qualifying Scores'!H$13),AND(G34="15-16",Y34&gt;='Qualifying Scores'!H$12),AND(G34="13-14",Y34&gt;='Qualifying Scores'!H$11),AND(G34="11-12",Y34&gt;='Qualifying Scores'!H$10)),X34,0),IF(OR(AND(G34="17-21",AA34&gt;='Qualifying Scores'!H$13),AND(G34="15-16",AA34&gt;='Qualifying Scores'!H$12),AND(G34="13-14",AA34&gt;='Qualifying Scores'!H$11),AND(G34="11-12",AA34&gt;='Qualifying Scores'!H$10)),Z34,0)))</f>
        <v>40.86</v>
      </c>
      <c r="S34" s="4">
        <f>MAX(T34,V34,X34,Z34)</f>
        <v>40.86</v>
      </c>
      <c r="T34" s="33">
        <v>39.5</v>
      </c>
      <c r="U34" s="40">
        <v>6.2</v>
      </c>
      <c r="V34" s="34">
        <v>0</v>
      </c>
      <c r="W34" s="40">
        <v>0</v>
      </c>
      <c r="X34" s="33">
        <v>40.86</v>
      </c>
      <c r="Y34" s="40">
        <v>7.6</v>
      </c>
      <c r="Z34" s="34">
        <v>39.200000000000003</v>
      </c>
      <c r="AA34" s="37">
        <v>7.4</v>
      </c>
    </row>
    <row r="35" spans="1:27" x14ac:dyDescent="0.2">
      <c r="A35" s="1" t="str" cm="1">
        <f t="array" ref="A35">IF(I35="","",IF(P35&lt;&gt;"",SUMPRODUCT((P$3:P$38&lt;&gt;"")*(G$3:G$38=G35)*(J$3:J$38&gt;J35)*(I$3:I$38="P"))+1,IF(O35&lt;&gt;"",SUMPRODUCT((O$3:O$38&lt;&gt;"")*(P$3:P$38="")*(G$3:G$38=G35)*(J$3:J$38&gt;J35)*(I$3:I$38="P"))+SUMPRODUCT((P$3:P$38&lt;&gt;"")*(G$3:G$38=G35)*(I$3:I$38="P"))+1,IF(N35&lt;&gt;"",SUMPRODUCT((N$3:N$38&lt;&gt;"")*(G$3:G$38=G35)*(J$3:J$38&gt;J35)*(I$3:I$38="P"))+1,IF(M35="P",SUMPRODUCT((O$3:O$38&lt;&gt;"")*(P$3:P$38="")*(G$3:G$38=G35)*(I$3:I$38="P"))+SUMPRODUCT((P$3:P$38&lt;&gt;"")*(G$3:G$38=G35)*(I$3:I$38="P"))+SUMPRODUCT((N$3:N$38&lt;&gt;"")*(G$3:G$38=G35)*(I$3:I$38="P"))+SUMPRODUCT((P$3:P$38="")*(O$3:O$38="")*(N$3:N$38="")*(M$3:M$38="P")*(G$3:G$38=G35)*(J$3:J$38&gt;J35)*(I$3:I$38="P"))+IF(H35="L5",SUMPRODUCT((P$3:P$38="")*(O$3:O$38="")*(N$3:N$38="")*(M$3:M$38="P")*(G$3:G$38=G35)*(J$3:J$38&lt;J35)*(H$3:H$38&lt;&gt;H35)*(I$3:I$38="P")),-1*SUMPRODUCT((P$3:P$38="")*(O$3:O$38="")*(N$3:N$38="")*(M$3:M$38="P")*(G$3:G$38=G35)*(J$3:J$38&gt;J35)*(H$3:H$38="L5")*(I$3:I$38="P")))+1,"")))))</f>
        <v/>
      </c>
      <c r="B35" s="1" t="str" cm="1">
        <f t="array" ref="B35">IF(P35&lt;&gt;"",SUMPRODUCT((P$3:P$37&lt;&gt;"")*(G$3:G$37=G35)*(J$3:J$37&gt;J35))+1,IF(O35&lt;&gt;"",SUMPRODUCT((O$3:O$37&lt;&gt;"")*(P$3:P$37="")*(G$3:G$37=G35)*(J$3:J$37&gt;J35))+SUMPRODUCT((P$3:P$37&lt;&gt;"")*(G$3:G$37=G35))+1,IF(N35&lt;&gt;"",SUMPRODUCT((N$3:N$37&lt;&gt;"")*(G$3:G$37=G35)*(J$3:J$37&gt;J35))+1,IF(M35="P",SUMPRODUCT((O$3:O$37&lt;&gt;"")*(P$3:P$37="")*(G$3:G$37=G35))+SUMPRODUCT((P$3:P$37&lt;&gt;"")*(G$3:G$37=G35))+SUMPRODUCT((N$3:N$37&lt;&gt;"")*(G$3:G$37=G35))+SUMPRODUCT((P$3:P$37="")*(O$3:O$37="")*(N$3:N$37="")*(M$3:M$37="P")*(G$3:G$37=G35)*(J$3:J$37&gt;J35))+IF(H35="L5",SUMPRODUCT((P$3:P$37="")*(O$3:O$37="")*(N$3:N$37="")*(M$3:M$37="P")*(G$3:G$37=G35)*(J$3:J$37&lt;J35)*(H$3:H$37&lt;&gt;H35)),-1*SUMPRODUCT((P$3:P$37="")*(O$3:O$37="")*(N$3:N$37="")*(M$3:M$37="P")*(G$3:G$37=G35)*(J$3:J$37&gt;J35)*(H$3:H$37="L5")))+1,""))))</f>
        <v/>
      </c>
      <c r="C35" s="36" t="s">
        <v>304</v>
      </c>
      <c r="D35" s="36" t="str">
        <f>IF(E35="","",VLOOKUP(E35,'Coaching Points'!A:B,2,0))</f>
        <v>AB</v>
      </c>
      <c r="E35" s="36" t="s">
        <v>91</v>
      </c>
      <c r="F35" s="35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13-14</v>
      </c>
      <c r="H35" s="39" t="s">
        <v>115</v>
      </c>
      <c r="I35" s="45" t="s">
        <v>604</v>
      </c>
      <c r="J35" s="4">
        <f>R35+IF(OR(H35="Junior",H35="Senior"),0.0002,IF(OR(H35="L7",H35="L6"),0.0001,0))+MAX(X35,Z35)*0.0000001</f>
        <v>40.600004060000003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Scores'!H$13),AND(G35="15-16",U35&gt;='Qualifying Scores'!H$12),AND(G35="13-14",U35&gt;='Qualifying Scores'!H$11),AND(G35="11-12",U35&gt;='Qualifying Scores'!H$10)),T35,0),IF(OR(AND(G35="17-21",W35&gt;='Qualifying Scores'!H$13),AND(G35="15-16",W35&gt;='Qualifying Scores'!H$12),AND(G35="13-14",W35&gt;='Qualifying Scores'!H$11),AND(G35="11-12",W35&gt;='Qualifying Scores'!H$10)),V35,0),IF(OR(AND(G35="17-21",Y35&gt;='Qualifying Scores'!H$13),AND(G35="15-16",Y35&gt;='Qualifying Scores'!H$12),AND(G35="13-14",Y35&gt;='Qualifying Scores'!H$11),AND(G35="11-12",Y35&gt;='Qualifying Scores'!H$10)),X35,0),IF(OR(AND(G35="17-21",AA35&gt;='Qualifying Scores'!H$13),AND(G35="15-16",AA35&gt;='Qualifying Scores'!H$12),AND(G35="13-14",AA35&gt;='Qualifying Scores'!H$11),AND(G35="11-12",AA35&gt;='Qualifying Scores'!H$10)),Z35,0)))</f>
        <v>40.6</v>
      </c>
      <c r="S35" s="4">
        <f>MAX(T35,V35,X35,Z35)</f>
        <v>40.6</v>
      </c>
      <c r="T35" s="33">
        <v>33</v>
      </c>
      <c r="U35" s="40">
        <v>5.8000000000000007</v>
      </c>
      <c r="V35" s="34">
        <v>0</v>
      </c>
      <c r="W35" s="40">
        <v>0</v>
      </c>
      <c r="X35" s="33">
        <v>40.6</v>
      </c>
      <c r="Y35" s="40">
        <v>7.1</v>
      </c>
      <c r="Z35" s="34">
        <v>40.4</v>
      </c>
      <c r="AA35" s="37">
        <v>7.1</v>
      </c>
    </row>
    <row r="36" spans="1:27" x14ac:dyDescent="0.2">
      <c r="A36" s="1" t="str" cm="1">
        <f t="array" ref="A36">IF(I36="","",IF(P36&lt;&gt;"",SUMPRODUCT((P$3:P$38&lt;&gt;"")*(G$3:G$38=G36)*(J$3:J$38&gt;J36)*(I$3:I$38="P"))+1,IF(O36&lt;&gt;"",SUMPRODUCT((O$3:O$38&lt;&gt;"")*(P$3:P$38="")*(G$3:G$38=G36)*(J$3:J$38&gt;J36)*(I$3:I$38="P"))+SUMPRODUCT((P$3:P$38&lt;&gt;"")*(G$3:G$38=G36)*(I$3:I$38="P"))+1,IF(N36&lt;&gt;"",SUMPRODUCT((N$3:N$38&lt;&gt;"")*(G$3:G$38=G36)*(J$3:J$38&gt;J36)*(I$3:I$38="P"))+1,IF(M36="P",SUMPRODUCT((O$3:O$38&lt;&gt;"")*(P$3:P$38="")*(G$3:G$38=G36)*(I$3:I$38="P"))+SUMPRODUCT((P$3:P$38&lt;&gt;"")*(G$3:G$38=G36)*(I$3:I$38="P"))+SUMPRODUCT((N$3:N$38&lt;&gt;"")*(G$3:G$38=G36)*(I$3:I$38="P"))+SUMPRODUCT((P$3:P$38="")*(O$3:O$38="")*(N$3:N$38="")*(M$3:M$38="P")*(G$3:G$38=G36)*(J$3:J$38&gt;J36)*(I$3:I$38="P"))+IF(H36="L5",SUMPRODUCT((P$3:P$38="")*(O$3:O$38="")*(N$3:N$38="")*(M$3:M$38="P")*(G$3:G$38=G36)*(J$3:J$38&lt;J36)*(H$3:H$38&lt;&gt;H36)*(I$3:I$38="P")),-1*SUMPRODUCT((P$3:P$38="")*(O$3:O$38="")*(N$3:N$38="")*(M$3:M$38="P")*(G$3:G$38=G36)*(J$3:J$38&gt;J36)*(H$3:H$38="L5")*(I$3:I$38="P")))+1,"")))))</f>
        <v/>
      </c>
      <c r="B36" s="1" t="str" cm="1">
        <f t="array" ref="B36">IF(P36&lt;&gt;"",SUMPRODUCT((P$3:P$37&lt;&gt;"")*(G$3:G$37=G36)*(J$3:J$37&gt;J36))+1,IF(O36&lt;&gt;"",SUMPRODUCT((O$3:O$37&lt;&gt;"")*(P$3:P$37="")*(G$3:G$37=G36)*(J$3:J$37&gt;J36))+SUMPRODUCT((P$3:P$37&lt;&gt;"")*(G$3:G$37=G36))+1,IF(N36&lt;&gt;"",SUMPRODUCT((N$3:N$37&lt;&gt;"")*(G$3:G$37=G36)*(J$3:J$37&gt;J36))+1,IF(M36="P",SUMPRODUCT((O$3:O$37&lt;&gt;"")*(P$3:P$37="")*(G$3:G$37=G36))+SUMPRODUCT((P$3:P$37&lt;&gt;"")*(G$3:G$37=G36))+SUMPRODUCT((N$3:N$37&lt;&gt;"")*(G$3:G$37=G36))+SUMPRODUCT((P$3:P$37="")*(O$3:O$37="")*(N$3:N$37="")*(M$3:M$37="P")*(G$3:G$37=G36)*(J$3:J$37&gt;J36))+IF(H36="L5",SUMPRODUCT((P$3:P$37="")*(O$3:O$37="")*(N$3:N$37="")*(M$3:M$37="P")*(G$3:G$37=G36)*(J$3:J$37&lt;J36)*(H$3:H$37&lt;&gt;H36)),-1*SUMPRODUCT((P$3:P$37="")*(O$3:O$37="")*(N$3:N$37="")*(M$3:M$37="P")*(G$3:G$37=G36)*(J$3:J$37&gt;J36)*(H$3:H$37="L5")))+1,""))))</f>
        <v/>
      </c>
      <c r="C36" s="36" t="s">
        <v>177</v>
      </c>
      <c r="D36" s="36" t="str">
        <f>IF(E36="","",VLOOKUP(E36,'Coaching Points'!A:B,2,0))</f>
        <v>AB</v>
      </c>
      <c r="E36" s="36" t="s">
        <v>91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13-14</v>
      </c>
      <c r="H36" s="39" t="s">
        <v>115</v>
      </c>
      <c r="I36" s="45"/>
      <c r="J36" s="4">
        <f>R36+IF(OR(H36="Junior",H36="Senior"),0.0002,IF(OR(H36="L7",H36="L6"),0.0001,0))+MAX(X36,Z36)*0.0000001</f>
        <v>36.900003829999996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Scores'!H$13),AND(G36="15-16",U36&gt;='Qualifying Scores'!H$12),AND(G36="13-14",U36&gt;='Qualifying Scores'!H$11),AND(G36="11-12",U36&gt;='Qualifying Scores'!H$10)),T36,0),IF(OR(AND(G36="17-21",W36&gt;='Qualifying Scores'!H$13),AND(G36="15-16",W36&gt;='Qualifying Scores'!H$12),AND(G36="13-14",W36&gt;='Qualifying Scores'!H$11),AND(G36="11-12",W36&gt;='Qualifying Scores'!H$10)),V36,0),IF(OR(AND(G36="17-21",Y36&gt;='Qualifying Scores'!H$13),AND(G36="15-16",Y36&gt;='Qualifying Scores'!H$12),AND(G36="13-14",Y36&gt;='Qualifying Scores'!H$11),AND(G36="11-12",Y36&gt;='Qualifying Scores'!H$10)),X36,0),IF(OR(AND(G36="17-21",AA36&gt;='Qualifying Scores'!H$13),AND(G36="15-16",AA36&gt;='Qualifying Scores'!H$12),AND(G36="13-14",AA36&gt;='Qualifying Scores'!H$11),AND(G36="11-12",AA36&gt;='Qualifying Scores'!H$10)),Z36,0)))</f>
        <v>36.9</v>
      </c>
      <c r="S36" s="4">
        <f>MAX(T36,V36,X36,Z36)</f>
        <v>38.299999999999997</v>
      </c>
      <c r="T36" s="33">
        <v>37.6</v>
      </c>
      <c r="U36" s="40">
        <v>5.3000000000000007</v>
      </c>
      <c r="V36" s="34">
        <v>34.200000000000003</v>
      </c>
      <c r="W36" s="40">
        <v>5.3000000000000007</v>
      </c>
      <c r="X36" s="33">
        <v>38.299999999999997</v>
      </c>
      <c r="Y36" s="40">
        <v>6</v>
      </c>
      <c r="Z36" s="34">
        <v>36.9</v>
      </c>
      <c r="AA36" s="37">
        <v>6.7</v>
      </c>
    </row>
    <row r="37" spans="1:27" x14ac:dyDescent="0.2">
      <c r="A37" s="1" t="str" cm="1">
        <f t="array" ref="A37">IF(I37="","",IF(P37&lt;&gt;"",SUMPRODUCT((P$3:P$38&lt;&gt;"")*(G$3:G$38=G37)*(J$3:J$38&gt;J37)*(I$3:I$38="P"))+1,IF(O37&lt;&gt;"",SUMPRODUCT((O$3:O$38&lt;&gt;"")*(P$3:P$38="")*(G$3:G$38=G37)*(J$3:J$38&gt;J37)*(I$3:I$38="P"))+SUMPRODUCT((P$3:P$38&lt;&gt;"")*(G$3:G$38=G37)*(I$3:I$38="P"))+1,IF(N37&lt;&gt;"",SUMPRODUCT((N$3:N$38&lt;&gt;"")*(G$3:G$38=G37)*(J$3:J$38&gt;J37)*(I$3:I$38="P"))+1,IF(M37="P",SUMPRODUCT((O$3:O$38&lt;&gt;"")*(P$3:P$38="")*(G$3:G$38=G37)*(I$3:I$38="P"))+SUMPRODUCT((P$3:P$38&lt;&gt;"")*(G$3:G$38=G37)*(I$3:I$38="P"))+SUMPRODUCT((N$3:N$38&lt;&gt;"")*(G$3:G$38=G37)*(I$3:I$38="P"))+SUMPRODUCT((P$3:P$38="")*(O$3:O$38="")*(N$3:N$38="")*(M$3:M$38="P")*(G$3:G$38=G37)*(J$3:J$38&gt;J37)*(I$3:I$38="P"))+IF(H37="L5",SUMPRODUCT((P$3:P$38="")*(O$3:O$38="")*(N$3:N$38="")*(M$3:M$38="P")*(G$3:G$38=G37)*(J$3:J$38&lt;J37)*(H$3:H$38&lt;&gt;H37)*(I$3:I$38="P")),-1*SUMPRODUCT((P$3:P$38="")*(O$3:O$38="")*(N$3:N$38="")*(M$3:M$38="P")*(G$3:G$38=G37)*(J$3:J$38&gt;J37)*(H$3:H$38="L5")*(I$3:I$38="P")))+1,"")))))</f>
        <v/>
      </c>
      <c r="B37" s="1" t="str" cm="1">
        <f t="array" ref="B37">IF(P37&lt;&gt;"",SUMPRODUCT((P$3:P$37&lt;&gt;"")*(G$3:G$37=G37)*(J$3:J$37&gt;J37))+1,IF(O37&lt;&gt;"",SUMPRODUCT((O$3:O$37&lt;&gt;"")*(P$3:P$37="")*(G$3:G$37=G37)*(J$3:J$37&gt;J37))+SUMPRODUCT((P$3:P$37&lt;&gt;"")*(G$3:G$37=G37))+1,IF(N37&lt;&gt;"",SUMPRODUCT((N$3:N$37&lt;&gt;"")*(G$3:G$37=G37)*(J$3:J$37&gt;J37))+1,IF(M37="P",SUMPRODUCT((O$3:O$37&lt;&gt;"")*(P$3:P$37="")*(G$3:G$37=G37))+SUMPRODUCT((P$3:P$37&lt;&gt;"")*(G$3:G$37=G37))+SUMPRODUCT((N$3:N$37&lt;&gt;"")*(G$3:G$37=G37))+SUMPRODUCT((P$3:P$37="")*(O$3:O$37="")*(N$3:N$37="")*(M$3:M$37="P")*(G$3:G$37=G37)*(J$3:J$37&gt;J37))+IF(H37="L5",SUMPRODUCT((P$3:P$37="")*(O$3:O$37="")*(N$3:N$37="")*(M$3:M$37="P")*(G$3:G$37=G37)*(J$3:J$37&lt;J37)*(H$3:H$37&lt;&gt;H37)),-1*SUMPRODUCT((P$3:P$37="")*(O$3:O$37="")*(N$3:N$37="")*(M$3:M$37="P")*(G$3:G$37=G37)*(J$3:J$37&gt;J37)*(H$3:H$37="L5")))+1,""))))</f>
        <v/>
      </c>
      <c r="C37" s="36" t="s">
        <v>175</v>
      </c>
      <c r="D37" s="36" t="str">
        <f>IF(E37="","",VLOOKUP(E37,'Coaching Points'!A:B,2,0))</f>
        <v>AB</v>
      </c>
      <c r="E37" s="36" t="s">
        <v>137</v>
      </c>
      <c r="F37" s="35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13-14</v>
      </c>
      <c r="H37" s="39" t="s">
        <v>115</v>
      </c>
      <c r="I37" s="45"/>
      <c r="J37" s="4">
        <f>R37+IF(OR(H37="Junior",H37="Senior"),0.0002,IF(OR(H37="L7",H37="L6"),0.0001,0))+MAX(X37,Z37)*0.0000001</f>
        <v>3.6659999999999993E-6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Scores'!H$13),AND(G37="15-16",U37&gt;='Qualifying Scores'!H$12),AND(G37="13-14",U37&gt;='Qualifying Scores'!H$11),AND(G37="11-12",U37&gt;='Qualifying Scores'!H$10)),T37,0),IF(OR(AND(G37="17-21",W37&gt;='Qualifying Scores'!H$13),AND(G37="15-16",W37&gt;='Qualifying Scores'!H$12),AND(G37="13-14",W37&gt;='Qualifying Scores'!H$11),AND(G37="11-12",W37&gt;='Qualifying Scores'!H$10)),V37,0),IF(OR(AND(G37="17-21",Y37&gt;='Qualifying Scores'!H$13),AND(G37="15-16",Y37&gt;='Qualifying Scores'!H$12),AND(G37="13-14",Y37&gt;='Qualifying Scores'!H$11),AND(G37="11-12",Y37&gt;='Qualifying Scores'!H$10)),X37,0),IF(OR(AND(G37="17-21",AA37&gt;='Qualifying Scores'!H$13),AND(G37="15-16",AA37&gt;='Qualifying Scores'!H$12),AND(G37="13-14",AA37&gt;='Qualifying Scores'!H$11),AND(G37="11-12",AA37&gt;='Qualifying Scores'!H$10)),Z37,0)))</f>
        <v>0</v>
      </c>
      <c r="S37" s="4">
        <f>MAX(T37,V37,X37,Z37)</f>
        <v>36.659999999999997</v>
      </c>
      <c r="T37" s="33">
        <v>35.099999999999994</v>
      </c>
      <c r="U37" s="40">
        <v>4.7999999999999989</v>
      </c>
      <c r="V37" s="34">
        <v>35.700000000000003</v>
      </c>
      <c r="W37" s="40">
        <v>4.7999999999999989</v>
      </c>
      <c r="X37" s="33">
        <v>36.659999999999997</v>
      </c>
      <c r="Y37" s="40">
        <v>4.5999999999999996</v>
      </c>
      <c r="Z37" s="34">
        <v>34.5</v>
      </c>
      <c r="AA37" s="37">
        <v>3.5</v>
      </c>
    </row>
    <row r="38" spans="1:27" x14ac:dyDescent="0.2">
      <c r="A38" s="1" t="str" cm="1">
        <f t="array" ref="A38">IF(I38="","",IF(P38&lt;&gt;"",SUMPRODUCT((P$3:P$38&lt;&gt;"")*(G$3:G$38=G38)*(J$3:J$38&gt;J38)*(I$3:I$38="P"))+1,IF(O38&lt;&gt;"",SUMPRODUCT((O$3:O$38&lt;&gt;"")*(P$3:P$38="")*(G$3:G$38=G38)*(J$3:J$38&gt;J38)*(I$3:I$38="P"))+SUMPRODUCT((P$3:P$38&lt;&gt;"")*(G$3:G$38=G38)*(I$3:I$38="P"))+1,IF(N38&lt;&gt;"",SUMPRODUCT((N$3:N$38&lt;&gt;"")*(G$3:G$38=G38)*(J$3:J$38&gt;J38)*(I$3:I$38="P"))+1,IF(M38="P",SUMPRODUCT((O$3:O$38&lt;&gt;"")*(P$3:P$38="")*(G$3:G$38=G38)*(I$3:I$38="P"))+SUMPRODUCT((P$3:P$38&lt;&gt;"")*(G$3:G$38=G38)*(I$3:I$38="P"))+SUMPRODUCT((N$3:N$38&lt;&gt;"")*(G$3:G$38=G38)*(I$3:I$38="P"))+SUMPRODUCT((P$3:P$38="")*(O$3:O$38="")*(N$3:N$38="")*(M$3:M$38="P")*(G$3:G$38=G38)*(J$3:J$38&gt;J38)*(I$3:I$38="P"))+IF(H38="L5",SUMPRODUCT((P$3:P$38="")*(O$3:O$38="")*(N$3:N$38="")*(M$3:M$38="P")*(G$3:G$38=G38)*(J$3:J$38&lt;J38)*(H$3:H$38&lt;&gt;H38)*(I$3:I$38="P")),-1*SUMPRODUCT((P$3:P$38="")*(O$3:O$38="")*(N$3:N$38="")*(M$3:M$38="P")*(G$3:G$38=G38)*(J$3:J$38&gt;J38)*(H$3:H$38="L5")*(I$3:I$38="P")))+1,"")))))</f>
        <v/>
      </c>
      <c r="B38" s="1" cm="1">
        <f t="array" ref="B38">IF(P38&lt;&gt;"",SUMPRODUCT((P$3:P$37&lt;&gt;"")*(G$3:G$37=G38)*(J$3:J$37&gt;J38))+1,IF(O38&lt;&gt;"",SUMPRODUCT((O$3:O$37&lt;&gt;"")*(P$3:P$37="")*(G$3:G$37=G38)*(J$3:J$37&gt;J38))+SUMPRODUCT((P$3:P$37&lt;&gt;"")*(G$3:G$37=G38))+1,IF(N38&lt;&gt;"",SUMPRODUCT((N$3:N$37&lt;&gt;"")*(G$3:G$37=G38)*(J$3:J$37&gt;J38))+1,IF(M38="P",SUMPRODUCT((O$3:O$37&lt;&gt;"")*(P$3:P$37="")*(G$3:G$37=G38))+SUMPRODUCT((P$3:P$37&lt;&gt;"")*(G$3:G$37=G38))+SUMPRODUCT((N$3:N$37&lt;&gt;"")*(G$3:G$37=G38))+SUMPRODUCT((P$3:P$37="")*(O$3:O$37="")*(N$3:N$37="")*(M$3:M$37="P")*(G$3:G$37=G38)*(J$3:J$37&gt;J38))+IF(H38="L5",SUMPRODUCT((P$3:P$37="")*(O$3:O$37="")*(N$3:N$37="")*(M$3:M$37="P")*(G$3:G$37=G38)*(J$3:J$37&lt;J38)*(H$3:H$37&lt;&gt;H38)),-1*SUMPRODUCT((P$3:P$37="")*(O$3:O$37="")*(N$3:N$37="")*(M$3:M$37="P")*(G$3:G$37=G38)*(J$3:J$37&gt;J38)*(H$3:H$37="L5")))+1,""))))</f>
        <v>1</v>
      </c>
      <c r="C38" s="36" t="s">
        <v>557</v>
      </c>
      <c r="D38" s="36" t="str">
        <f>IF(E38="","",VLOOKUP(E38,'Coaching Points'!A:B,2,0))</f>
        <v>ON</v>
      </c>
      <c r="E38" s="36" t="s">
        <v>303</v>
      </c>
      <c r="F38" s="35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11-12</v>
      </c>
      <c r="H38" s="39" t="s">
        <v>115</v>
      </c>
      <c r="I38" s="45"/>
      <c r="J38" s="4">
        <f>R38+IF(OR(H38="Junior",H38="Senior"),0.0002,IF(OR(H38="L7",H38="L6"),0.0001,0))+MAX(X38,Z38)*0.0000001</f>
        <v>40.200004020000002</v>
      </c>
      <c r="K38" s="3" t="str">
        <f>IF(G38="Not Age Eligible","",IF(MAX(T38,V38,X38,Z38)&gt;=LOOKUP(G38,'Qualifying Scores'!$A$4:$A$7,'Qualifying Scores'!$H$4:$H$7),"P",""))</f>
        <v>P</v>
      </c>
      <c r="L38" s="3" t="str">
        <f>IF(G38="Not Age Eligible","",IF(MAX(U38,W38,Y38,AA38)&gt;=LOOKUP(G38,'Qualifying Scores'!$A$10:$A$13,'Qualifying Scores'!$H$10:$H$13),"P",""))</f>
        <v>P</v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>P</v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Scores'!H$13),AND(G38="15-16",U38&gt;='Qualifying Scores'!H$12),AND(G38="13-14",U38&gt;='Qualifying Scores'!H$11),AND(G38="11-12",U38&gt;='Qualifying Scores'!H$10)),T38,0),IF(OR(AND(G38="17-21",W38&gt;='Qualifying Scores'!H$13),AND(G38="15-16",W38&gt;='Qualifying Scores'!H$12),AND(G38="13-14",W38&gt;='Qualifying Scores'!H$11),AND(G38="11-12",W38&gt;='Qualifying Scores'!H$10)),V38,0),IF(OR(AND(G38="17-21",Y38&gt;='Qualifying Scores'!H$13),AND(G38="15-16",Y38&gt;='Qualifying Scores'!H$12),AND(G38="13-14",Y38&gt;='Qualifying Scores'!H$11),AND(G38="11-12",Y38&gt;='Qualifying Scores'!H$10)),X38,0),IF(OR(AND(G38="17-21",AA38&gt;='Qualifying Scores'!H$13),AND(G38="15-16",AA38&gt;='Qualifying Scores'!H$12),AND(G38="13-14",AA38&gt;='Qualifying Scores'!H$11),AND(G38="11-12",AA38&gt;='Qualifying Scores'!H$10)),Z38,0)))</f>
        <v>40.200000000000003</v>
      </c>
      <c r="S38" s="4">
        <f>MAX(T38,V38,X38,Z38)</f>
        <v>40.200000000000003</v>
      </c>
      <c r="T38" s="33"/>
      <c r="U38" s="40"/>
      <c r="V38" s="34"/>
      <c r="W38" s="40"/>
      <c r="X38" s="33">
        <v>40.200000000000003</v>
      </c>
      <c r="Y38" s="40">
        <v>6.2</v>
      </c>
      <c r="Z38" s="34">
        <v>38.1</v>
      </c>
      <c r="AA38" s="37">
        <v>6.8</v>
      </c>
    </row>
    <row r="39" spans="1:27" x14ac:dyDescent="0.2">
      <c r="R39" s="4"/>
      <c r="S39" s="4"/>
      <c r="T39" s="33"/>
      <c r="U39" s="40"/>
      <c r="V39" s="34"/>
      <c r="W39" s="40"/>
      <c r="X39" s="33"/>
      <c r="Y39" s="40"/>
      <c r="Z39" s="34"/>
      <c r="AA39" s="37"/>
    </row>
    <row r="40" spans="1:27" x14ac:dyDescent="0.2">
      <c r="R40" s="4"/>
      <c r="S40" s="4"/>
      <c r="T40" s="33"/>
      <c r="U40" s="40"/>
      <c r="V40" s="34"/>
      <c r="W40" s="40"/>
      <c r="X40" s="33"/>
      <c r="Y40" s="40"/>
      <c r="Z40" s="34"/>
      <c r="AA40" s="37"/>
    </row>
    <row r="41" spans="1:27" x14ac:dyDescent="0.2">
      <c r="R41" s="4"/>
      <c r="S41" s="4"/>
      <c r="T41" s="33"/>
      <c r="U41" s="40"/>
      <c r="V41" s="34"/>
      <c r="W41" s="40"/>
      <c r="X41" s="33"/>
      <c r="Y41" s="40"/>
      <c r="Z41" s="34"/>
      <c r="AA41" s="37"/>
    </row>
    <row r="42" spans="1:27" x14ac:dyDescent="0.2">
      <c r="R42" s="4"/>
      <c r="S42" s="4"/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R43" s="4"/>
      <c r="S43" s="4"/>
      <c r="T43" s="33"/>
      <c r="U43" s="40"/>
      <c r="V43" s="34"/>
      <c r="W43" s="40"/>
      <c r="X43" s="33"/>
      <c r="Y43" s="40"/>
      <c r="Z43" s="34"/>
      <c r="AA43" s="37"/>
    </row>
    <row r="44" spans="1:27" x14ac:dyDescent="0.2">
      <c r="R44" s="4"/>
      <c r="S44" s="4"/>
      <c r="T44" s="33"/>
      <c r="U44" s="40"/>
      <c r="V44" s="34"/>
      <c r="W44" s="40"/>
      <c r="X44" s="33"/>
      <c r="Y44" s="40"/>
      <c r="Z44" s="34"/>
      <c r="AA44" s="37"/>
    </row>
    <row r="45" spans="1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8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8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  <row r="65" spans="18:27" x14ac:dyDescent="0.2">
      <c r="R65" s="4"/>
      <c r="S65" s="4"/>
      <c r="T65" s="33"/>
      <c r="U65" s="40"/>
      <c r="V65" s="34"/>
      <c r="W65" s="40"/>
      <c r="X65" s="33"/>
      <c r="Y65" s="40"/>
      <c r="Z65" s="34"/>
      <c r="AA65" s="37"/>
    </row>
    <row r="66" spans="18:27" x14ac:dyDescent="0.2">
      <c r="R66" s="4"/>
      <c r="S66" s="4"/>
      <c r="T66" s="33"/>
      <c r="U66" s="40"/>
      <c r="V66" s="34"/>
      <c r="W66" s="40"/>
      <c r="X66" s="33"/>
      <c r="Y66" s="40"/>
      <c r="Z66" s="34"/>
      <c r="AA66" s="37"/>
    </row>
    <row r="67" spans="18:27" x14ac:dyDescent="0.2">
      <c r="R67" s="4"/>
      <c r="S67" s="4"/>
      <c r="T67" s="33"/>
      <c r="U67" s="40"/>
      <c r="V67" s="34"/>
      <c r="W67" s="40"/>
      <c r="X67" s="33"/>
      <c r="Y67" s="40"/>
      <c r="Z67" s="34"/>
      <c r="AA67" s="37"/>
    </row>
    <row r="68" spans="18:27" x14ac:dyDescent="0.2">
      <c r="R68" s="4"/>
      <c r="S68" s="4"/>
      <c r="T68" s="33"/>
      <c r="U68" s="40"/>
      <c r="V68" s="34"/>
      <c r="W68" s="40"/>
      <c r="X68" s="33"/>
      <c r="Y68" s="40"/>
      <c r="Z68" s="34"/>
      <c r="AA68" s="37"/>
    </row>
    <row r="69" spans="18:27" x14ac:dyDescent="0.2">
      <c r="R69" s="4"/>
      <c r="S69" s="4"/>
      <c r="T69" s="33"/>
      <c r="U69" s="40"/>
      <c r="V69" s="34"/>
      <c r="W69" s="40"/>
      <c r="X69" s="33"/>
      <c r="Y69" s="40"/>
      <c r="Z69" s="34"/>
      <c r="AA69" s="37"/>
    </row>
    <row r="70" spans="18:27" x14ac:dyDescent="0.2">
      <c r="R70" s="4"/>
      <c r="S70" s="4"/>
      <c r="T70" s="33"/>
      <c r="U70" s="40"/>
      <c r="V70" s="34"/>
      <c r="W70" s="40"/>
      <c r="X70" s="33"/>
      <c r="Y70" s="40"/>
      <c r="Z70" s="34"/>
      <c r="AA70" s="37"/>
    </row>
    <row r="71" spans="18:27" x14ac:dyDescent="0.2">
      <c r="R71" s="4"/>
      <c r="S71" s="4"/>
      <c r="T71" s="33"/>
      <c r="U71" s="40"/>
      <c r="V71" s="34"/>
      <c r="W71" s="40"/>
      <c r="X71" s="33"/>
      <c r="Y71" s="40"/>
      <c r="Z71" s="34"/>
      <c r="AA71" s="37"/>
    </row>
    <row r="72" spans="18:27" x14ac:dyDescent="0.2">
      <c r="R72" s="4"/>
      <c r="S72" s="4"/>
      <c r="T72" s="33"/>
      <c r="U72" s="40"/>
      <c r="V72" s="34"/>
      <c r="W72" s="40"/>
      <c r="X72" s="33"/>
      <c r="Y72" s="40"/>
      <c r="Z72" s="34"/>
      <c r="AA72" s="37"/>
    </row>
    <row r="73" spans="18:27" x14ac:dyDescent="0.2">
      <c r="R73" s="4"/>
      <c r="S73" s="4"/>
      <c r="T73" s="33"/>
      <c r="U73" s="40"/>
      <c r="V73" s="34"/>
      <c r="W73" s="40"/>
      <c r="X73" s="33"/>
      <c r="Y73" s="40"/>
      <c r="Z73" s="34"/>
      <c r="AA73" s="37"/>
    </row>
    <row r="74" spans="18:27" x14ac:dyDescent="0.2">
      <c r="R74" s="4"/>
      <c r="S74" s="4"/>
      <c r="T74" s="33"/>
      <c r="U74" s="40"/>
      <c r="V74" s="34"/>
      <c r="W74" s="40"/>
      <c r="X74" s="33"/>
      <c r="Y74" s="40"/>
      <c r="Z74" s="34"/>
      <c r="AA7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38">
      <sortCondition descending="1" ref="G1:G3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7" priority="17">
      <formula>IF($G1="17-21",1,0)</formula>
    </cfRule>
    <cfRule type="expression" dxfId="6" priority="18">
      <formula>IF($G1="15-16",1,0)</formula>
    </cfRule>
    <cfRule type="expression" dxfId="5" priority="19">
      <formula>IF($G1="13-14",1,0)</formula>
    </cfRule>
    <cfRule type="expression" dxfId="4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9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$79&lt;&gt;"")*(G$3:G$79=G3)*(J$3:J$79&gt;J3)*(I$3:I$79="P"))+1,IF(O3&lt;&gt;"",SUMPRODUCT((O$3:O$79&lt;&gt;"")*(P$3:P$79="")*(G$3:G$79=G3)*(J$3:J$79&gt;J3)*(I$3:I$79="P"))+SUMPRODUCT((P$3:P$79&lt;&gt;"")*(G$3:G$79=G3)*(I$3:I$79="P"))+1,IF(N3&lt;&gt;"",SUMPRODUCT((N$3:N$79&lt;&gt;"")*(G$3:G$79=G3)*(J$3:J$79&gt;J3)*(I$3:I$79="P"))+1,IF(M3="P",SUMPRODUCT((O$3:O$79&lt;&gt;"")*(P$3:P$79="")*(G$3:G$79=G3)*(I$3:I$79="P"))+SUMPRODUCT((P$3:P$79&lt;&gt;"")*(G$3:G$79=G3)*(I$3:I$79="P"))+SUMPRODUCT((N$3:N$79&lt;&gt;"")*(G$3:G$79=G3)*(I$3:I$79="P"))+SUMPRODUCT((P$3:P$79="")*(O$3:O$79="")*(N$3:N$79="")*(M$3:M$79="P")*(G$3:G$79=G3)*(J$3:J$79&gt;J3)*(I$3:I$79="P"))+IF(H3="L5",SUMPRODUCT((P$3:P$79="")*(O$3:O$79="")*(N$3:N$79="")*(M$3:M$79="P")*(G$3:G$79=G3)*(J$3:J$79&lt;J3)*(H$3:H$79&lt;&gt;H3)*(I$3:I$79="P")),-1*SUMPRODUCT((P$3:P$79="")*(O$3:O$79="")*(N$3:N$79="")*(M$3:M$79="P")*(G$3:G$79=G3)*(J$3:J$79&gt;J3)*(H$3:H$79="L5")*(I$3:I$79="P")))+1,"")))))</f>
        <v>1</v>
      </c>
      <c r="B3" s="1" cm="1">
        <f t="array" ref="B3">IF(P3&lt;&gt;"",SUMPRODUCT((P$3:P$79&lt;&gt;"")*(G$3:G$79=G3)*(J$3:J$79&gt;J3))+1,IF(O3&lt;&gt;"",SUMPRODUCT((O$3:O$79&lt;&gt;"")*(P$3:P$79="")*(G$3:G$79=G3)*(J$3:J$79&gt;J3))+SUMPRODUCT((P$3:P$79&lt;&gt;"")*(G$3:G$79=G3))+1,IF(N3&lt;&gt;"",SUMPRODUCT((N$3:N$79&lt;&gt;"")*(G$3:G$79=G3)*(J$3:J$79&gt;J3))+1,IF(M3="P",SUMPRODUCT((O$3:O$79&lt;&gt;"")*(P$3:P$79="")*(G$3:G$79=G3))+SUMPRODUCT((P$3:P$79&lt;&gt;"")*(G$3:G$79=G3))+SUMPRODUCT((N$3:N$79&lt;&gt;"")*(G$3:G$79=G3))+SUMPRODUCT((P$3:P$79="")*(O$3:O$79="")*(N$3:N$79="")*(M$3:M$79="P")*(G$3:G$79=G3)*(J$3:J$79&gt;J3))+IF(H3="L5",SUMPRODUCT((P$3:P$79="")*(O$3:O$79="")*(N$3:N$79="")*(M$3:M$79="P")*(G$3:G$79=G3)*(J$3:J$79&lt;J3)*(H$3:H$79&lt;&gt;H3)),-1*SUMPRODUCT((P$3:P$79="")*(O$3:O$79="")*(N$3:N$79="")*(M$3:M$79="P")*(G$3:G$79=G3)*(J$3:J$79&gt;J3)*(H$3:H$79="L5")))+1,""))))</f>
        <v>3</v>
      </c>
      <c r="C3" s="36" t="s">
        <v>339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43.20020431999999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2</v>
      </c>
      <c r="P3" s="39">
        <v>2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Scores'!I$13),AND(G3="15-16",U3&gt;='Qualifying Scores'!I$12),AND(G3="13-14",U3&gt;='Qualifying Scores'!I$11),AND(G3="11-12",U3&gt;='Qualifying Scores'!I$10)),T3,0),IF(OR(AND(G3="17-21",W3&gt;='Qualifying Scores'!I$13),AND(G3="15-16",W3&gt;='Qualifying Scores'!I$12),AND(G3="13-14",W3&gt;='Qualifying Scores'!I$11),AND(G3="11-12",W3&gt;='Qualifying Scores'!I$10)),V3,0),IF(OR(AND(G3="17-21",Y3&gt;='Qualifying Scores'!I$13),AND(G3="15-16",Y3&gt;='Qualifying Scores'!I$12),AND(G3="13-14",Y3&gt;='Qualifying Scores'!I$11),AND(G3="11-12",Y3&gt;='Qualifying Scores'!I$10)),X3,0),IF(OR(AND(G3="17-21",AA3&gt;='Qualifying Scores'!I$13),AND(G3="15-16",AA3&gt;='Qualifying Scores'!I$12),AND(G3="13-14",AA3&gt;='Qualifying Scores'!I$11),AND(G3="11-12",AA3&gt;='Qualifying Scores'!I$10)),Z3,0)))</f>
        <v>43.199999999999989</v>
      </c>
      <c r="S3" s="4">
        <f>MAX(T3,V3,X3,Z3)</f>
        <v>43.199999999999989</v>
      </c>
      <c r="T3" s="33">
        <v>42.099999999999994</v>
      </c>
      <c r="U3" s="40">
        <v>8</v>
      </c>
      <c r="V3" s="34">
        <v>42.34</v>
      </c>
      <c r="W3" s="40">
        <v>8</v>
      </c>
      <c r="X3" s="33">
        <v>43.199999999999989</v>
      </c>
      <c r="Y3" s="40">
        <v>8.3999999999999986</v>
      </c>
      <c r="Z3" s="34">
        <v>40.400000000000006</v>
      </c>
      <c r="AA3" s="37">
        <v>7.3999999999999995</v>
      </c>
    </row>
    <row r="4" spans="1:27" x14ac:dyDescent="0.2">
      <c r="A4" s="1" cm="1">
        <f t="array" ref="A4">IF(I4="","",IF(P4&lt;&gt;"",SUMPRODUCT((P$3:P$79&lt;&gt;"")*(G$3:G$79=G4)*(J$3:J$79&gt;J4)*(I$3:I$79="P"))+1,IF(O4&lt;&gt;"",SUMPRODUCT((O$3:O$79&lt;&gt;"")*(P$3:P$79="")*(G$3:G$79=G4)*(J$3:J$79&gt;J4)*(I$3:I$79="P"))+SUMPRODUCT((P$3:P$79&lt;&gt;"")*(G$3:G$79=G4)*(I$3:I$79="P"))+1,IF(N4&lt;&gt;"",SUMPRODUCT((N$3:N$79&lt;&gt;"")*(G$3:G$79=G4)*(J$3:J$79&gt;J4)*(I$3:I$79="P"))+1,IF(M4="P",SUMPRODUCT((O$3:O$79&lt;&gt;"")*(P$3:P$79="")*(G$3:G$79=G4)*(I$3:I$79="P"))+SUMPRODUCT((P$3:P$79&lt;&gt;"")*(G$3:G$79=G4)*(I$3:I$79="P"))+SUMPRODUCT((N$3:N$79&lt;&gt;"")*(G$3:G$79=G4)*(I$3:I$79="P"))+SUMPRODUCT((P$3:P$79="")*(O$3:O$79="")*(N$3:N$79="")*(M$3:M$79="P")*(G$3:G$79=G4)*(J$3:J$79&gt;J4)*(I$3:I$79="P"))+IF(H4="L5",SUMPRODUCT((P$3:P$79="")*(O$3:O$79="")*(N$3:N$79="")*(M$3:M$79="P")*(G$3:G$79=G4)*(J$3:J$79&lt;J4)*(H$3:H$79&lt;&gt;H4)*(I$3:I$79="P")),-1*SUMPRODUCT((P$3:P$79="")*(O$3:O$79="")*(N$3:N$79="")*(M$3:M$79="P")*(G$3:G$79=G4)*(J$3:J$79&gt;J4)*(H$3:H$79="L5")*(I$3:I$79="P")))+1,"")))))</f>
        <v>2</v>
      </c>
      <c r="B4" s="1" cm="1">
        <f t="array" ref="B4">IF(P4&lt;&gt;"",SUMPRODUCT((P$3:P$79&lt;&gt;"")*(G$3:G$79=G4)*(J$3:J$79&gt;J4))+1,IF(O4&lt;&gt;"",SUMPRODUCT((O$3:O$79&lt;&gt;"")*(P$3:P$79="")*(G$3:G$79=G4)*(J$3:J$79&gt;J4))+SUMPRODUCT((P$3:P$79&lt;&gt;"")*(G$3:G$79=G4))+1,IF(N4&lt;&gt;"",SUMPRODUCT((N$3:N$79&lt;&gt;"")*(G$3:G$79=G4)*(J$3:J$79&gt;J4))+1,IF(M4="P",SUMPRODUCT((O$3:O$79&lt;&gt;"")*(P$3:P$79="")*(G$3:G$79=G4))+SUMPRODUCT((P$3:P$79&lt;&gt;"")*(G$3:G$79=G4))+SUMPRODUCT((N$3:N$79&lt;&gt;"")*(G$3:G$79=G4))+SUMPRODUCT((P$3:P$79="")*(O$3:O$79="")*(N$3:N$79="")*(M$3:M$79="P")*(G$3:G$79=G4)*(J$3:J$79&gt;J4))+IF(H4="L5",SUMPRODUCT((P$3:P$79="")*(O$3:O$79="")*(N$3:N$79="")*(M$3:M$79="P")*(G$3:G$79=G4)*(J$3:J$79&lt;J4)*(H$3:H$79&lt;&gt;H4)),-1*SUMPRODUCT((P$3:P$79="")*(O$3:O$79="")*(N$3:N$79="")*(M$3:M$79="P")*(G$3:G$79=G4)*(J$3:J$79&gt;J4)*(H$3:H$79="L5")))+1,""))))</f>
        <v>4</v>
      </c>
      <c r="C4" s="36" t="s">
        <v>341</v>
      </c>
      <c r="D4" s="36" t="str">
        <f>IF(E4="","",VLOOKUP(E4,'Coaching Points'!A:B,2,0))</f>
        <v>ON</v>
      </c>
      <c r="E4" s="36" t="s">
        <v>320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43.100204310000002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3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Scores'!I$13),AND(G4="15-16",U4&gt;='Qualifying Scores'!I$12),AND(G4="13-14",U4&gt;='Qualifying Scores'!I$11),AND(G4="11-12",U4&gt;='Qualifying Scores'!I$10)),T4,0),IF(OR(AND(G4="17-21",W4&gt;='Qualifying Scores'!I$13),AND(G4="15-16",W4&gt;='Qualifying Scores'!I$12),AND(G4="13-14",W4&gt;='Qualifying Scores'!I$11),AND(G4="11-12",W4&gt;='Qualifying Scores'!I$10)),V4,0),IF(OR(AND(G4="17-21",Y4&gt;='Qualifying Scores'!I$13),AND(G4="15-16",Y4&gt;='Qualifying Scores'!I$12),AND(G4="13-14",Y4&gt;='Qualifying Scores'!I$11),AND(G4="11-12",Y4&gt;='Qualifying Scores'!I$10)),X4,0),IF(OR(AND(G4="17-21",AA4&gt;='Qualifying Scores'!I$13),AND(G4="15-16",AA4&gt;='Qualifying Scores'!I$12),AND(G4="13-14",AA4&gt;='Qualifying Scores'!I$11),AND(G4="11-12",AA4&gt;='Qualifying Scores'!I$10)),Z4,0)))</f>
        <v>43.1</v>
      </c>
      <c r="S4" s="4">
        <f>MAX(T4,V4,X4,Z4)</f>
        <v>43.1</v>
      </c>
      <c r="T4" s="33">
        <v>41.599999999999994</v>
      </c>
      <c r="U4" s="40">
        <v>8</v>
      </c>
      <c r="V4" s="34">
        <v>42.16</v>
      </c>
      <c r="W4" s="40">
        <v>8</v>
      </c>
      <c r="X4" s="33">
        <v>43.1</v>
      </c>
      <c r="Y4" s="40">
        <v>8.3999999999999986</v>
      </c>
      <c r="Z4" s="34">
        <v>42.399999999999991</v>
      </c>
      <c r="AA4" s="37">
        <v>8.3999999999999986</v>
      </c>
    </row>
    <row r="5" spans="1:27" x14ac:dyDescent="0.2">
      <c r="A5" s="1" cm="1">
        <f t="array" ref="A5">IF(I5="","",IF(P5&lt;&gt;"",SUMPRODUCT((P$3:P$79&lt;&gt;"")*(G$3:G$79=G5)*(J$3:J$79&gt;J5)*(I$3:I$79="P"))+1,IF(O5&lt;&gt;"",SUMPRODUCT((O$3:O$79&lt;&gt;"")*(P$3:P$79="")*(G$3:G$79=G5)*(J$3:J$79&gt;J5)*(I$3:I$79="P"))+SUMPRODUCT((P$3:P$79&lt;&gt;"")*(G$3:G$79=G5)*(I$3:I$79="P"))+1,IF(N5&lt;&gt;"",SUMPRODUCT((N$3:N$79&lt;&gt;"")*(G$3:G$79=G5)*(J$3:J$79&gt;J5)*(I$3:I$79="P"))+1,IF(M5="P",SUMPRODUCT((O$3:O$79&lt;&gt;"")*(P$3:P$79="")*(G$3:G$79=G5)*(I$3:I$79="P"))+SUMPRODUCT((P$3:P$79&lt;&gt;"")*(G$3:G$79=G5)*(I$3:I$79="P"))+SUMPRODUCT((N$3:N$79&lt;&gt;"")*(G$3:G$79=G5)*(I$3:I$79="P"))+SUMPRODUCT((P$3:P$79="")*(O$3:O$79="")*(N$3:N$79="")*(M$3:M$79="P")*(G$3:G$79=G5)*(J$3:J$79&gt;J5)*(I$3:I$79="P"))+IF(H5="L5",SUMPRODUCT((P$3:P$79="")*(O$3:O$79="")*(N$3:N$79="")*(M$3:M$79="P")*(G$3:G$79=G5)*(J$3:J$79&lt;J5)*(H$3:H$79&lt;&gt;H5)*(I$3:I$79="P")),-1*SUMPRODUCT((P$3:P$79="")*(O$3:O$79="")*(N$3:N$79="")*(M$3:M$79="P")*(G$3:G$79=G5)*(J$3:J$79&gt;J5)*(H$3:H$79="L5")*(I$3:I$79="P")))+1,"")))))</f>
        <v>3</v>
      </c>
      <c r="B5" s="1" cm="1">
        <f t="array" ref="B5">IF(P5&lt;&gt;"",SUMPRODUCT((P$3:P$79&lt;&gt;"")*(G$3:G$79=G5)*(J$3:J$79&gt;J5))+1,IF(O5&lt;&gt;"",SUMPRODUCT((O$3:O$79&lt;&gt;"")*(P$3:P$79="")*(G$3:G$79=G5)*(J$3:J$79&gt;J5))+SUMPRODUCT((P$3:P$79&lt;&gt;"")*(G$3:G$79=G5))+1,IF(N5&lt;&gt;"",SUMPRODUCT((N$3:N$79&lt;&gt;"")*(G$3:G$79=G5)*(J$3:J$79&gt;J5))+1,IF(M5="P",SUMPRODUCT((O$3:O$79&lt;&gt;"")*(P$3:P$79="")*(G$3:G$79=G5))+SUMPRODUCT((P$3:P$79&lt;&gt;"")*(G$3:G$79=G5))+SUMPRODUCT((N$3:N$79&lt;&gt;"")*(G$3:G$79=G5))+SUMPRODUCT((P$3:P$79="")*(O$3:O$79="")*(N$3:N$79="")*(M$3:M$79="P")*(G$3:G$79=G5)*(J$3:J$79&gt;J5))+IF(H5="L5",SUMPRODUCT((P$3:P$79="")*(O$3:O$79="")*(N$3:N$79="")*(M$3:M$79="P")*(G$3:G$79=G5)*(J$3:J$79&lt;J5)*(H$3:H$79&lt;&gt;H5)),-1*SUMPRODUCT((P$3:P$79="")*(O$3:O$79="")*(N$3:N$79="")*(M$3:M$79="P")*(G$3:G$79=G5)*(J$3:J$79&gt;J5)*(H$3:H$79="L5")))+1,""))))</f>
        <v>6</v>
      </c>
      <c r="C5" s="36" t="s">
        <v>554</v>
      </c>
      <c r="D5" s="36" t="str">
        <f>IF(E5="","",VLOOKUP(E5,'Coaching Points'!A:B,2,0))</f>
        <v>AB</v>
      </c>
      <c r="E5" s="36" t="s">
        <v>91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117</v>
      </c>
      <c r="I5" s="45" t="s">
        <v>604</v>
      </c>
      <c r="J5" s="4">
        <f>R5+IF(OR(H5="Junior",H5="Senior"),0.0002,IF(OR(H5="L7",H5="L6"),0.0001,0))+MAX(X5,Z5)*0.0000001</f>
        <v>43.100104310000006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Scores'!I$13),AND(G5="15-16",U5&gt;='Qualifying Scores'!I$12),AND(G5="13-14",U5&gt;='Qualifying Scores'!I$11),AND(G5="11-12",U5&gt;='Qualifying Scores'!I$10)),T5,0),IF(OR(AND(G5="17-21",W5&gt;='Qualifying Scores'!I$13),AND(G5="15-16",W5&gt;='Qualifying Scores'!I$12),AND(G5="13-14",W5&gt;='Qualifying Scores'!I$11),AND(G5="11-12",W5&gt;='Qualifying Scores'!I$10)),V5,0),IF(OR(AND(G5="17-21",Y5&gt;='Qualifying Scores'!I$13),AND(G5="15-16",Y5&gt;='Qualifying Scores'!I$12),AND(G5="13-14",Y5&gt;='Qualifying Scores'!I$11),AND(G5="11-12",Y5&gt;='Qualifying Scores'!I$10)),X5,0),IF(OR(AND(G5="17-21",AA5&gt;='Qualifying Scores'!I$13),AND(G5="15-16",AA5&gt;='Qualifying Scores'!I$12),AND(G5="13-14",AA5&gt;='Qualifying Scores'!I$11),AND(G5="11-12",AA5&gt;='Qualifying Scores'!I$10)),Z5,0)))</f>
        <v>43.1</v>
      </c>
      <c r="S5" s="4">
        <f>MAX(T5,V5,X5,Z5)</f>
        <v>43.1</v>
      </c>
      <c r="T5" s="33"/>
      <c r="U5" s="40"/>
      <c r="V5" s="34"/>
      <c r="W5" s="40"/>
      <c r="X5" s="33">
        <v>43.1</v>
      </c>
      <c r="Y5" s="40">
        <v>8</v>
      </c>
      <c r="Z5" s="34">
        <v>39.699999999999996</v>
      </c>
      <c r="AA5" s="37">
        <v>5.8</v>
      </c>
    </row>
    <row r="6" spans="1:27" x14ac:dyDescent="0.2">
      <c r="A6" s="1" cm="1">
        <f t="array" ref="A6">IF(I6="","",IF(P6&lt;&gt;"",SUMPRODUCT((P$3:P$79&lt;&gt;"")*(G$3:G$79=G6)*(J$3:J$79&gt;J6)*(I$3:I$79="P"))+1,IF(O6&lt;&gt;"",SUMPRODUCT((O$3:O$79&lt;&gt;"")*(P$3:P$79="")*(G$3:G$79=G6)*(J$3:J$79&gt;J6)*(I$3:I$79="P"))+SUMPRODUCT((P$3:P$79&lt;&gt;"")*(G$3:G$79=G6)*(I$3:I$79="P"))+1,IF(N6&lt;&gt;"",SUMPRODUCT((N$3:N$79&lt;&gt;"")*(G$3:G$79=G6)*(J$3:J$79&gt;J6)*(I$3:I$79="P"))+1,IF(M6="P",SUMPRODUCT((O$3:O$79&lt;&gt;"")*(P$3:P$79="")*(G$3:G$79=G6)*(I$3:I$79="P"))+SUMPRODUCT((P$3:P$79&lt;&gt;"")*(G$3:G$79=G6)*(I$3:I$79="P"))+SUMPRODUCT((N$3:N$79&lt;&gt;"")*(G$3:G$79=G6)*(I$3:I$79="P"))+SUMPRODUCT((P$3:P$79="")*(O$3:O$79="")*(N$3:N$79="")*(M$3:M$79="P")*(G$3:G$79=G6)*(J$3:J$79&gt;J6)*(I$3:I$79="P"))+IF(H6="L5",SUMPRODUCT((P$3:P$79="")*(O$3:O$79="")*(N$3:N$79="")*(M$3:M$79="P")*(G$3:G$79=G6)*(J$3:J$79&lt;J6)*(H$3:H$79&lt;&gt;H6)*(I$3:I$79="P")),-1*SUMPRODUCT((P$3:P$79="")*(O$3:O$79="")*(N$3:N$79="")*(M$3:M$79="P")*(G$3:G$79=G6)*(J$3:J$79&gt;J6)*(H$3:H$79="L5")*(I$3:I$79="P")))+1,"")))))</f>
        <v>4</v>
      </c>
      <c r="B6" s="1" cm="1">
        <f t="array" ref="B6">IF(P6&lt;&gt;"",SUMPRODUCT((P$3:P$79&lt;&gt;"")*(G$3:G$79=G6)*(J$3:J$79&gt;J6))+1,IF(O6&lt;&gt;"",SUMPRODUCT((O$3:O$79&lt;&gt;"")*(P$3:P$79="")*(G$3:G$79=G6)*(J$3:J$79&gt;J6))+SUMPRODUCT((P$3:P$79&lt;&gt;"")*(G$3:G$79=G6))+1,IF(N6&lt;&gt;"",SUMPRODUCT((N$3:N$79&lt;&gt;"")*(G$3:G$79=G6)*(J$3:J$79&gt;J6))+1,IF(M6="P",SUMPRODUCT((O$3:O$79&lt;&gt;"")*(P$3:P$79="")*(G$3:G$79=G6))+SUMPRODUCT((P$3:P$79&lt;&gt;"")*(G$3:G$79=G6))+SUMPRODUCT((N$3:N$79&lt;&gt;"")*(G$3:G$79=G6))+SUMPRODUCT((P$3:P$79="")*(O$3:O$79="")*(N$3:N$79="")*(M$3:M$79="P")*(G$3:G$79=G6)*(J$3:J$79&gt;J6))+IF(H6="L5",SUMPRODUCT((P$3:P$79="")*(O$3:O$79="")*(N$3:N$79="")*(M$3:M$79="P")*(G$3:G$79=G6)*(J$3:J$79&lt;J6)*(H$3:H$79&lt;&gt;H6)),-1*SUMPRODUCT((P$3:P$79="")*(O$3:O$79="")*(N$3:N$79="")*(M$3:M$79="P")*(G$3:G$79=G6)*(J$3:J$79&gt;J6)*(H$3:H$79="L5")))+1,""))))</f>
        <v>8</v>
      </c>
      <c r="C6" s="36" t="s">
        <v>340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>R6+IF(OR(H6="Junior",H6="Senior"),0.0002,IF(OR(H6="L7",H6="L6"),0.0001,0))+MAX(X6,Z6)*0.0000001</f>
        <v>42.200104179999997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Scores'!I$13),AND(G6="15-16",U6&gt;='Qualifying Scores'!I$12),AND(G6="13-14",U6&gt;='Qualifying Scores'!I$11),AND(G6="11-12",U6&gt;='Qualifying Scores'!I$10)),T6,0),IF(OR(AND(G6="17-21",W6&gt;='Qualifying Scores'!I$13),AND(G6="15-16",W6&gt;='Qualifying Scores'!I$12),AND(G6="13-14",W6&gt;='Qualifying Scores'!I$11),AND(G6="11-12",W6&gt;='Qualifying Scores'!I$10)),V6,0),IF(OR(AND(G6="17-21",Y6&gt;='Qualifying Scores'!I$13),AND(G6="15-16",Y6&gt;='Qualifying Scores'!I$12),AND(G6="13-14",Y6&gt;='Qualifying Scores'!I$11),AND(G6="11-12",Y6&gt;='Qualifying Scores'!I$10)),X6,0),IF(OR(AND(G6="17-21",AA6&gt;='Qualifying Scores'!I$13),AND(G6="15-16",AA6&gt;='Qualifying Scores'!I$12),AND(G6="13-14",AA6&gt;='Qualifying Scores'!I$11),AND(G6="11-12",AA6&gt;='Qualifying Scores'!I$10)),Z6,0)))</f>
        <v>42.199999999999996</v>
      </c>
      <c r="S6" s="4">
        <f>MAX(T6,V6,X6,Z6)</f>
        <v>42.199999999999996</v>
      </c>
      <c r="T6" s="33">
        <v>41.58</v>
      </c>
      <c r="U6" s="40">
        <v>7.6</v>
      </c>
      <c r="V6" s="34">
        <v>42.199999999999996</v>
      </c>
      <c r="W6" s="40">
        <v>8</v>
      </c>
      <c r="X6" s="33">
        <v>41.800000000000004</v>
      </c>
      <c r="Y6" s="40">
        <v>8</v>
      </c>
      <c r="Z6" s="34">
        <v>37.799999999999997</v>
      </c>
      <c r="AA6" s="37">
        <v>5.8</v>
      </c>
    </row>
    <row r="7" spans="1:27" x14ac:dyDescent="0.2">
      <c r="A7" s="1" t="str" cm="1">
        <f t="array" ref="A7">IF(I7="","",IF(P7&lt;&gt;"",SUMPRODUCT((P$3:P$79&lt;&gt;"")*(G$3:G$79=G7)*(J$3:J$79&gt;J7)*(I$3:I$79="P"))+1,IF(O7&lt;&gt;"",SUMPRODUCT((O$3:O$79&lt;&gt;"")*(P$3:P$79="")*(G$3:G$79=G7)*(J$3:J$79&gt;J7)*(I$3:I$79="P"))+SUMPRODUCT((P$3:P$79&lt;&gt;"")*(G$3:G$79=G7)*(I$3:I$79="P"))+1,IF(N7&lt;&gt;"",SUMPRODUCT((N$3:N$79&lt;&gt;"")*(G$3:G$79=G7)*(J$3:J$79&gt;J7)*(I$3:I$79="P"))+1,IF(M7="P",SUMPRODUCT((O$3:O$79&lt;&gt;"")*(P$3:P$79="")*(G$3:G$79=G7)*(I$3:I$79="P"))+SUMPRODUCT((P$3:P$79&lt;&gt;"")*(G$3:G$79=G7)*(I$3:I$79="P"))+SUMPRODUCT((N$3:N$79&lt;&gt;"")*(G$3:G$79=G7)*(I$3:I$79="P"))+SUMPRODUCT((P$3:P$79="")*(O$3:O$79="")*(N$3:N$79="")*(M$3:M$79="P")*(G$3:G$79=G7)*(J$3:J$79&gt;J7)*(I$3:I$79="P"))+IF(H7="L5",SUMPRODUCT((P$3:P$79="")*(O$3:O$79="")*(N$3:N$79="")*(M$3:M$79="P")*(G$3:G$79=G7)*(J$3:J$79&lt;J7)*(H$3:H$79&lt;&gt;H7)*(I$3:I$79="P")),-1*SUMPRODUCT((P$3:P$79="")*(O$3:O$79="")*(N$3:N$79="")*(M$3:M$79="P")*(G$3:G$79=G7)*(J$3:J$79&gt;J7)*(H$3:H$79="L5")*(I$3:I$79="P")))+1,"")))))</f>
        <v/>
      </c>
      <c r="B7" s="1" cm="1">
        <f t="array" ref="B7">IF(P7&lt;&gt;"",SUMPRODUCT((P$3:P$79&lt;&gt;"")*(G$3:G$79=G7)*(J$3:J$79&gt;J7))+1,IF(O7&lt;&gt;"",SUMPRODUCT((O$3:O$79&lt;&gt;"")*(P$3:P$79="")*(G$3:G$79=G7)*(J$3:J$79&gt;J7))+SUMPRODUCT((P$3:P$79&lt;&gt;"")*(G$3:G$79=G7))+1,IF(N7&lt;&gt;"",SUMPRODUCT((N$3:N$79&lt;&gt;"")*(G$3:G$79=G7)*(J$3:J$79&gt;J7))+1,IF(M7="P",SUMPRODUCT((O$3:O$79&lt;&gt;"")*(P$3:P$79="")*(G$3:G$79=G7))+SUMPRODUCT((P$3:P$79&lt;&gt;"")*(G$3:G$79=G7))+SUMPRODUCT((N$3:N$79&lt;&gt;"")*(G$3:G$79=G7))+SUMPRODUCT((P$3:P$79="")*(O$3:O$79="")*(N$3:N$79="")*(M$3:M$79="P")*(G$3:G$79=G7)*(J$3:J$79&gt;J7))+IF(H7="L5",SUMPRODUCT((P$3:P$79="")*(O$3:O$79="")*(N$3:N$79="")*(M$3:M$79="P")*(G$3:G$79=G7)*(J$3:J$79&lt;J7)*(H$3:H$79&lt;&gt;H7)),-1*SUMPRODUCT((P$3:P$79="")*(O$3:O$79="")*(N$3:N$79="")*(M$3:M$79="P")*(G$3:G$79=G7)*(J$3:J$79&gt;J7)*(H$3:H$79="L5")))+1,""))))</f>
        <v>1</v>
      </c>
      <c r="C7" s="36" t="s">
        <v>351</v>
      </c>
      <c r="D7" s="36" t="str">
        <f>IF(E7="","",VLOOKUP(E7,'Coaching Points'!A:B,2,0))</f>
        <v>BC</v>
      </c>
      <c r="E7" s="36" t="s">
        <v>143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44.400204439999996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O7" s="39">
        <v>4</v>
      </c>
      <c r="P7" s="39">
        <v>3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Scores'!I$13),AND(G7="15-16",U7&gt;='Qualifying Scores'!I$12),AND(G7="13-14",U7&gt;='Qualifying Scores'!I$11),AND(G7="11-12",U7&gt;='Qualifying Scores'!I$10)),T7,0),IF(OR(AND(G7="17-21",W7&gt;='Qualifying Scores'!I$13),AND(G7="15-16",W7&gt;='Qualifying Scores'!I$12),AND(G7="13-14",W7&gt;='Qualifying Scores'!I$11),AND(G7="11-12",W7&gt;='Qualifying Scores'!I$10)),V7,0),IF(OR(AND(G7="17-21",Y7&gt;='Qualifying Scores'!I$13),AND(G7="15-16",Y7&gt;='Qualifying Scores'!I$12),AND(G7="13-14",Y7&gt;='Qualifying Scores'!I$11),AND(G7="11-12",Y7&gt;='Qualifying Scores'!I$10)),X7,0),IF(OR(AND(G7="17-21",AA7&gt;='Qualifying Scores'!I$13),AND(G7="15-16",AA7&gt;='Qualifying Scores'!I$12),AND(G7="13-14",AA7&gt;='Qualifying Scores'!I$11),AND(G7="11-12",AA7&gt;='Qualifying Scores'!I$10)),Z7,0)))</f>
        <v>44.4</v>
      </c>
      <c r="S7" s="4">
        <f>MAX(T7,V7,X7,Z7)</f>
        <v>44.4</v>
      </c>
      <c r="T7" s="33">
        <v>38.900000000000006</v>
      </c>
      <c r="U7" s="40">
        <v>5.8</v>
      </c>
      <c r="V7" s="34">
        <v>40.56</v>
      </c>
      <c r="W7" s="40">
        <v>8.6</v>
      </c>
      <c r="X7" s="33">
        <v>39.599999999999994</v>
      </c>
      <c r="Y7" s="40">
        <v>5.8</v>
      </c>
      <c r="Z7" s="34">
        <v>44.4</v>
      </c>
      <c r="AA7" s="37">
        <v>9.3000000000000007</v>
      </c>
    </row>
    <row r="8" spans="1:27" x14ac:dyDescent="0.2">
      <c r="A8" s="1" t="str" cm="1">
        <f t="array" ref="A8">IF(I8="","",IF(P8&lt;&gt;"",SUMPRODUCT((P$3:P$79&lt;&gt;"")*(G$3:G$79=G8)*(J$3:J$79&gt;J8)*(I$3:I$79="P"))+1,IF(O8&lt;&gt;"",SUMPRODUCT((O$3:O$79&lt;&gt;"")*(P$3:P$79="")*(G$3:G$79=G8)*(J$3:J$79&gt;J8)*(I$3:I$79="P"))+SUMPRODUCT((P$3:P$79&lt;&gt;"")*(G$3:G$79=G8)*(I$3:I$79="P"))+1,IF(N8&lt;&gt;"",SUMPRODUCT((N$3:N$79&lt;&gt;"")*(G$3:G$79=G8)*(J$3:J$79&gt;J8)*(I$3:I$79="P"))+1,IF(M8="P",SUMPRODUCT((O$3:O$79&lt;&gt;"")*(P$3:P$79="")*(G$3:G$79=G8)*(I$3:I$79="P"))+SUMPRODUCT((P$3:P$79&lt;&gt;"")*(G$3:G$79=G8)*(I$3:I$79="P"))+SUMPRODUCT((N$3:N$79&lt;&gt;"")*(G$3:G$79=G8)*(I$3:I$79="P"))+SUMPRODUCT((P$3:P$79="")*(O$3:O$79="")*(N$3:N$79="")*(M$3:M$79="P")*(G$3:G$79=G8)*(J$3:J$79&gt;J8)*(I$3:I$79="P"))+IF(H8="L5",SUMPRODUCT((P$3:P$79="")*(O$3:O$79="")*(N$3:N$79="")*(M$3:M$79="P")*(G$3:G$79=G8)*(J$3:J$79&lt;J8)*(H$3:H$79&lt;&gt;H8)*(I$3:I$79="P")),-1*SUMPRODUCT((P$3:P$79="")*(O$3:O$79="")*(N$3:N$79="")*(M$3:M$79="P")*(G$3:G$79=G8)*(J$3:J$79&gt;J8)*(H$3:H$79="L5")*(I$3:I$79="P")))+1,"")))))</f>
        <v/>
      </c>
      <c r="B8" s="1" cm="1">
        <f t="array" ref="B8">IF(P8&lt;&gt;"",SUMPRODUCT((P$3:P$79&lt;&gt;"")*(G$3:G$79=G8)*(J$3:J$79&gt;J8))+1,IF(O8&lt;&gt;"",SUMPRODUCT((O$3:O$79&lt;&gt;"")*(P$3:P$79="")*(G$3:G$79=G8)*(J$3:J$79&gt;J8))+SUMPRODUCT((P$3:P$79&lt;&gt;"")*(G$3:G$79=G8))+1,IF(N8&lt;&gt;"",SUMPRODUCT((N$3:N$79&lt;&gt;"")*(G$3:G$79=G8)*(J$3:J$79&gt;J8))+1,IF(M8="P",SUMPRODUCT((O$3:O$79&lt;&gt;"")*(P$3:P$79="")*(G$3:G$79=G8))+SUMPRODUCT((P$3:P$79&lt;&gt;"")*(G$3:G$79=G8))+SUMPRODUCT((N$3:N$79&lt;&gt;"")*(G$3:G$79=G8))+SUMPRODUCT((P$3:P$79="")*(O$3:O$79="")*(N$3:N$79="")*(M$3:M$79="P")*(G$3:G$79=G8)*(J$3:J$79&gt;J8))+IF(H8="L5",SUMPRODUCT((P$3:P$79="")*(O$3:O$79="")*(N$3:N$79="")*(M$3:M$79="P")*(G$3:G$79=G8)*(J$3:J$79&lt;J8)*(H$3:H$79&lt;&gt;H8)),-1*SUMPRODUCT((P$3:P$79="")*(O$3:O$79="")*(N$3:N$79="")*(M$3:M$79="P")*(G$3:G$79=G8)*(J$3:J$79&gt;J8)*(H$3:H$79="L5")))+1,""))))</f>
        <v>2</v>
      </c>
      <c r="C8" s="36" t="s">
        <v>350</v>
      </c>
      <c r="D8" s="36" t="str">
        <f>IF(E8="","",VLOOKUP(E8,'Coaching Points'!A:B,2,0))</f>
        <v>ON</v>
      </c>
      <c r="E8" s="36" t="s">
        <v>320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44.200200000000002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O8" s="39">
        <v>1</v>
      </c>
      <c r="P8" s="39">
        <v>1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Scores'!I$13),AND(G8="15-16",U8&gt;='Qualifying Scores'!I$12),AND(G8="13-14",U8&gt;='Qualifying Scores'!I$11),AND(G8="11-12",U8&gt;='Qualifying Scores'!I$10)),T8,0),IF(OR(AND(G8="17-21",W8&gt;='Qualifying Scores'!I$13),AND(G8="15-16",W8&gt;='Qualifying Scores'!I$12),AND(G8="13-14",W8&gt;='Qualifying Scores'!I$11),AND(G8="11-12",W8&gt;='Qualifying Scores'!I$10)),V8,0),IF(OR(AND(G8="17-21",Y8&gt;='Qualifying Scores'!I$13),AND(G8="15-16",Y8&gt;='Qualifying Scores'!I$12),AND(G8="13-14",Y8&gt;='Qualifying Scores'!I$11),AND(G8="11-12",Y8&gt;='Qualifying Scores'!I$10)),X8,0),IF(OR(AND(G8="17-21",AA8&gt;='Qualifying Scores'!I$13),AND(G8="15-16",AA8&gt;='Qualifying Scores'!I$12),AND(G8="13-14",AA8&gt;='Qualifying Scores'!I$11),AND(G8="11-12",AA8&gt;='Qualifying Scores'!I$10)),Z8,0)))</f>
        <v>44.2</v>
      </c>
      <c r="S8" s="4">
        <f>MAX(T8,V8,X8,Z8)</f>
        <v>44.2</v>
      </c>
      <c r="T8" s="33">
        <v>44.2</v>
      </c>
      <c r="U8" s="40">
        <v>8.1</v>
      </c>
      <c r="V8" s="34">
        <v>43.739999999999995</v>
      </c>
      <c r="W8" s="40">
        <v>8.1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$79&lt;&gt;"")*(G$3:G$79=G9)*(J$3:J$79&gt;J9)*(I$3:I$79="P"))+1,IF(O9&lt;&gt;"",SUMPRODUCT((O$3:O$79&lt;&gt;"")*(P$3:P$79="")*(G$3:G$79=G9)*(J$3:J$79&gt;J9)*(I$3:I$79="P"))+SUMPRODUCT((P$3:P$79&lt;&gt;"")*(G$3:G$79=G9)*(I$3:I$79="P"))+1,IF(N9&lt;&gt;"",SUMPRODUCT((N$3:N$79&lt;&gt;"")*(G$3:G$79=G9)*(J$3:J$79&gt;J9)*(I$3:I$79="P"))+1,IF(M9="P",SUMPRODUCT((O$3:O$79&lt;&gt;"")*(P$3:P$79="")*(G$3:G$79=G9)*(I$3:I$79="P"))+SUMPRODUCT((P$3:P$79&lt;&gt;"")*(G$3:G$79=G9)*(I$3:I$79="P"))+SUMPRODUCT((N$3:N$79&lt;&gt;"")*(G$3:G$79=G9)*(I$3:I$79="P"))+SUMPRODUCT((P$3:P$79="")*(O$3:O$79="")*(N$3:N$79="")*(M$3:M$79="P")*(G$3:G$79=G9)*(J$3:J$79&gt;J9)*(I$3:I$79="P"))+IF(H9="L5",SUMPRODUCT((P$3:P$79="")*(O$3:O$79="")*(N$3:N$79="")*(M$3:M$79="P")*(G$3:G$79=G9)*(J$3:J$79&lt;J9)*(H$3:H$79&lt;&gt;H9)*(I$3:I$79="P")),-1*SUMPRODUCT((P$3:P$79="")*(O$3:O$79="")*(N$3:N$79="")*(M$3:M$79="P")*(G$3:G$79=G9)*(J$3:J$79&gt;J9)*(H$3:H$79="L5")*(I$3:I$79="P")))+1,"")))))</f>
        <v/>
      </c>
      <c r="B9" s="1" cm="1">
        <f t="array" ref="B9">IF(P9&lt;&gt;"",SUMPRODUCT((P$3:P$79&lt;&gt;"")*(G$3:G$79=G9)*(J$3:J$79&gt;J9))+1,IF(O9&lt;&gt;"",SUMPRODUCT((O$3:O$79&lt;&gt;"")*(P$3:P$79="")*(G$3:G$79=G9)*(J$3:J$79&gt;J9))+SUMPRODUCT((P$3:P$79&lt;&gt;"")*(G$3:G$79=G9))+1,IF(N9&lt;&gt;"",SUMPRODUCT((N$3:N$79&lt;&gt;"")*(G$3:G$79=G9)*(J$3:J$79&gt;J9))+1,IF(M9="P",SUMPRODUCT((O$3:O$79&lt;&gt;"")*(P$3:P$79="")*(G$3:G$79=G9))+SUMPRODUCT((P$3:P$79&lt;&gt;"")*(G$3:G$79=G9))+SUMPRODUCT((N$3:N$79&lt;&gt;"")*(G$3:G$79=G9))+SUMPRODUCT((P$3:P$79="")*(O$3:O$79="")*(N$3:N$79="")*(M$3:M$79="P")*(G$3:G$79=G9)*(J$3:J$79&gt;J9))+IF(H9="L5",SUMPRODUCT((P$3:P$79="")*(O$3:O$79="")*(N$3:N$79="")*(M$3:M$79="P")*(G$3:G$79=G9)*(J$3:J$79&lt;J9)*(H$3:H$79&lt;&gt;H9)),-1*SUMPRODUCT((P$3:P$79="")*(O$3:O$79="")*(N$3:N$79="")*(M$3:M$79="P")*(G$3:G$79=G9)*(J$3:J$79&gt;J9)*(H$3:H$79="L5")))+1,""))))</f>
        <v>5</v>
      </c>
      <c r="C9" s="36" t="s">
        <v>555</v>
      </c>
      <c r="D9" s="36" t="str">
        <f>IF(E9="","",VLOOKUP(E9,'Coaching Points'!A:B,2,0))</f>
        <v>ON</v>
      </c>
      <c r="E9" s="36" t="s">
        <v>320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44.200204420000006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Scores'!I$13),AND(G9="15-16",U9&gt;='Qualifying Scores'!I$12),AND(G9="13-14",U9&gt;='Qualifying Scores'!I$11),AND(G9="11-12",U9&gt;='Qualifying Scores'!I$10)),T9,0),IF(OR(AND(G9="17-21",W9&gt;='Qualifying Scores'!I$13),AND(G9="15-16",W9&gt;='Qualifying Scores'!I$12),AND(G9="13-14",W9&gt;='Qualifying Scores'!I$11),AND(G9="11-12",W9&gt;='Qualifying Scores'!I$10)),V9,0),IF(OR(AND(G9="17-21",Y9&gt;='Qualifying Scores'!I$13),AND(G9="15-16",Y9&gt;='Qualifying Scores'!I$12),AND(G9="13-14",Y9&gt;='Qualifying Scores'!I$11),AND(G9="11-12",Y9&gt;='Qualifying Scores'!I$10)),X9,0),IF(OR(AND(G9="17-21",AA9&gt;='Qualifying Scores'!I$13),AND(G9="15-16",AA9&gt;='Qualifying Scores'!I$12),AND(G9="13-14",AA9&gt;='Qualifying Scores'!I$11),AND(G9="11-12",AA9&gt;='Qualifying Scores'!I$10)),Z9,0)))</f>
        <v>44.2</v>
      </c>
      <c r="S9" s="4">
        <f>MAX(T9,V9,X9,Z9)</f>
        <v>44.2</v>
      </c>
      <c r="T9" s="33"/>
      <c r="U9" s="40"/>
      <c r="V9" s="34"/>
      <c r="W9" s="40"/>
      <c r="X9" s="33">
        <v>43.6</v>
      </c>
      <c r="Y9" s="40">
        <v>8.3999999999999986</v>
      </c>
      <c r="Z9" s="34">
        <v>44.2</v>
      </c>
      <c r="AA9" s="37">
        <v>8.3999999999999986</v>
      </c>
    </row>
    <row r="10" spans="1:27" x14ac:dyDescent="0.2">
      <c r="A10" s="1" t="str" cm="1">
        <f t="array" ref="A10">IF(I10="","",IF(P10&lt;&gt;"",SUMPRODUCT((P$3:P$79&lt;&gt;"")*(G$3:G$79=G10)*(J$3:J$79&gt;J10)*(I$3:I$79="P"))+1,IF(O10&lt;&gt;"",SUMPRODUCT((O$3:O$79&lt;&gt;"")*(P$3:P$79="")*(G$3:G$79=G10)*(J$3:J$79&gt;J10)*(I$3:I$79="P"))+SUMPRODUCT((P$3:P$79&lt;&gt;"")*(G$3:G$79=G10)*(I$3:I$79="P"))+1,IF(N10&lt;&gt;"",SUMPRODUCT((N$3:N$79&lt;&gt;"")*(G$3:G$79=G10)*(J$3:J$79&gt;J10)*(I$3:I$79="P"))+1,IF(M10="P",SUMPRODUCT((O$3:O$79&lt;&gt;"")*(P$3:P$79="")*(G$3:G$79=G10)*(I$3:I$79="P"))+SUMPRODUCT((P$3:P$79&lt;&gt;"")*(G$3:G$79=G10)*(I$3:I$79="P"))+SUMPRODUCT((N$3:N$79&lt;&gt;"")*(G$3:G$79=G10)*(I$3:I$79="P"))+SUMPRODUCT((P$3:P$79="")*(O$3:O$79="")*(N$3:N$79="")*(M$3:M$79="P")*(G$3:G$79=G10)*(J$3:J$79&gt;J10)*(I$3:I$79="P"))+IF(H10="L5",SUMPRODUCT((P$3:P$79="")*(O$3:O$79="")*(N$3:N$79="")*(M$3:M$79="P")*(G$3:G$79=G10)*(J$3:J$79&lt;J10)*(H$3:H$79&lt;&gt;H10)*(I$3:I$79="P")),-1*SUMPRODUCT((P$3:P$79="")*(O$3:O$79="")*(N$3:N$79="")*(M$3:M$79="P")*(G$3:G$79=G10)*(J$3:J$79&gt;J10)*(H$3:H$79="L5")*(I$3:I$79="P")))+1,"")))))</f>
        <v/>
      </c>
      <c r="B10" s="1" cm="1">
        <f t="array" ref="B10">IF(P10&lt;&gt;"",SUMPRODUCT((P$3:P$79&lt;&gt;"")*(G$3:G$79=G10)*(J$3:J$79&gt;J10))+1,IF(O10&lt;&gt;"",SUMPRODUCT((O$3:O$79&lt;&gt;"")*(P$3:P$79="")*(G$3:G$79=G10)*(J$3:J$79&gt;J10))+SUMPRODUCT((P$3:P$79&lt;&gt;"")*(G$3:G$79=G10))+1,IF(N10&lt;&gt;"",SUMPRODUCT((N$3:N$79&lt;&gt;"")*(G$3:G$79=G10)*(J$3:J$79&gt;J10))+1,IF(M10="P",SUMPRODUCT((O$3:O$79&lt;&gt;"")*(P$3:P$79="")*(G$3:G$79=G10))+SUMPRODUCT((P$3:P$79&lt;&gt;"")*(G$3:G$79=G10))+SUMPRODUCT((N$3:N$79&lt;&gt;"")*(G$3:G$79=G10))+SUMPRODUCT((P$3:P$79="")*(O$3:O$79="")*(N$3:N$79="")*(M$3:M$79="P")*(G$3:G$79=G10)*(J$3:J$79&gt;J10))+IF(H10="L5",SUMPRODUCT((P$3:P$79="")*(O$3:O$79="")*(N$3:N$79="")*(M$3:M$79="P")*(G$3:G$79=G10)*(J$3:J$79&lt;J10)*(H$3:H$79&lt;&gt;H10)),-1*SUMPRODUCT((P$3:P$79="")*(O$3:O$79="")*(N$3:N$79="")*(M$3:M$79="P")*(G$3:G$79=G10)*(J$3:J$79&gt;J10)*(H$3:H$79="L5")))+1,""))))</f>
        <v>7</v>
      </c>
      <c r="C10" s="36" t="s">
        <v>342</v>
      </c>
      <c r="D10" s="36" t="str">
        <f>IF(E10="","",VLOOKUP(E10,'Coaching Points'!A:B,2,0))</f>
        <v>ON</v>
      </c>
      <c r="E10" s="36" t="s">
        <v>320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/>
      <c r="J10" s="4">
        <f>R10+IF(OR(H10="Junior",H10="Senior"),0.0002,IF(OR(H10="L7",H10="L6"),0.0001,0))+MAX(X10,Z10)*0.0000001</f>
        <v>42.220100000000002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Scores'!I$13),AND(G10="15-16",U10&gt;='Qualifying Scores'!I$12),AND(G10="13-14",U10&gt;='Qualifying Scores'!I$11),AND(G10="11-12",U10&gt;='Qualifying Scores'!I$10)),T10,0),IF(OR(AND(G10="17-21",W10&gt;='Qualifying Scores'!I$13),AND(G10="15-16",W10&gt;='Qualifying Scores'!I$12),AND(G10="13-14",W10&gt;='Qualifying Scores'!I$11),AND(G10="11-12",W10&gt;='Qualifying Scores'!I$10)),V10,0),IF(OR(AND(G10="17-21",Y10&gt;='Qualifying Scores'!I$13),AND(G10="15-16",Y10&gt;='Qualifying Scores'!I$12),AND(G10="13-14",Y10&gt;='Qualifying Scores'!I$11),AND(G10="11-12",Y10&gt;='Qualifying Scores'!I$10)),X10,0),IF(OR(AND(G10="17-21",AA10&gt;='Qualifying Scores'!I$13),AND(G10="15-16",AA10&gt;='Qualifying Scores'!I$12),AND(G10="13-14",AA10&gt;='Qualifying Scores'!I$11),AND(G10="11-12",AA10&gt;='Qualifying Scores'!I$10)),Z10,0)))</f>
        <v>42.22</v>
      </c>
      <c r="S10" s="4">
        <f>MAX(T10,V10,X10,Z10)</f>
        <v>42.22</v>
      </c>
      <c r="T10" s="33">
        <v>42.22</v>
      </c>
      <c r="U10" s="40">
        <v>8</v>
      </c>
      <c r="V10" s="34">
        <v>41.86</v>
      </c>
      <c r="W10" s="40">
        <v>8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$79&lt;&gt;"")*(G$3:G$79=G11)*(J$3:J$79&gt;J11)*(I$3:I$79="P"))+1,IF(O11&lt;&gt;"",SUMPRODUCT((O$3:O$79&lt;&gt;"")*(P$3:P$79="")*(G$3:G$79=G11)*(J$3:J$79&gt;J11)*(I$3:I$79="P"))+SUMPRODUCT((P$3:P$79&lt;&gt;"")*(G$3:G$79=G11)*(I$3:I$79="P"))+1,IF(N11&lt;&gt;"",SUMPRODUCT((N$3:N$79&lt;&gt;"")*(G$3:G$79=G11)*(J$3:J$79&gt;J11)*(I$3:I$79="P"))+1,IF(M11="P",SUMPRODUCT((O$3:O$79&lt;&gt;"")*(P$3:P$79="")*(G$3:G$79=G11)*(I$3:I$79="P"))+SUMPRODUCT((P$3:P$79&lt;&gt;"")*(G$3:G$79=G11)*(I$3:I$79="P"))+SUMPRODUCT((N$3:N$79&lt;&gt;"")*(G$3:G$79=G11)*(I$3:I$79="P"))+SUMPRODUCT((P$3:P$79="")*(O$3:O$79="")*(N$3:N$79="")*(M$3:M$79="P")*(G$3:G$79=G11)*(J$3:J$79&gt;J11)*(I$3:I$79="P"))+IF(H11="L5",SUMPRODUCT((P$3:P$79="")*(O$3:O$79="")*(N$3:N$79="")*(M$3:M$79="P")*(G$3:G$79=G11)*(J$3:J$79&lt;J11)*(H$3:H$79&lt;&gt;H11)*(I$3:I$79="P")),-1*SUMPRODUCT((P$3:P$79="")*(O$3:O$79="")*(N$3:N$79="")*(M$3:M$79="P")*(G$3:G$79=G11)*(J$3:J$79&gt;J11)*(H$3:H$79="L5")*(I$3:I$79="P")))+1,"")))))</f>
        <v/>
      </c>
      <c r="B11" s="1" t="str" cm="1">
        <f t="array" ref="B11">IF(P11&lt;&gt;"",SUMPRODUCT((P$3:P$79&lt;&gt;"")*(G$3:G$79=G11)*(J$3:J$79&gt;J11))+1,IF(O11&lt;&gt;"",SUMPRODUCT((O$3:O$79&lt;&gt;"")*(P$3:P$79="")*(G$3:G$79=G11)*(J$3:J$79&gt;J11))+SUMPRODUCT((P$3:P$79&lt;&gt;"")*(G$3:G$79=G11))+1,IF(N11&lt;&gt;"",SUMPRODUCT((N$3:N$79&lt;&gt;"")*(G$3:G$79=G11)*(J$3:J$79&gt;J11))+1,IF(M11="P",SUMPRODUCT((O$3:O$79&lt;&gt;"")*(P$3:P$79="")*(G$3:G$79=G11))+SUMPRODUCT((P$3:P$79&lt;&gt;"")*(G$3:G$79=G11))+SUMPRODUCT((N$3:N$79&lt;&gt;"")*(G$3:G$79=G11))+SUMPRODUCT((P$3:P$79="")*(O$3:O$79="")*(N$3:N$79="")*(M$3:M$79="P")*(G$3:G$79=G11)*(J$3:J$79&gt;J11))+IF(H11="L5",SUMPRODUCT((P$3:P$79="")*(O$3:O$79="")*(N$3:N$79="")*(M$3:M$79="P")*(G$3:G$79=G11)*(J$3:J$79&lt;J11)*(H$3:H$79&lt;&gt;H11)),-1*SUMPRODUCT((P$3:P$79="")*(O$3:O$79="")*(N$3:N$79="")*(M$3:M$79="P")*(G$3:G$79=G11)*(J$3:J$79&gt;J11)*(H$3:H$79="L5")))+1,""))))</f>
        <v/>
      </c>
      <c r="C11" s="36" t="s">
        <v>343</v>
      </c>
      <c r="D11" s="36" t="str">
        <f>IF(E11="","",VLOOKUP(E11,'Coaching Points'!A:B,2,0))</f>
        <v>BC</v>
      </c>
      <c r="E11" s="36" t="s">
        <v>80</v>
      </c>
      <c r="F11" s="35">
        <v>2001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R11+IF(OR(H11="Junior",H11="Senior"),0.0002,IF(OR(H11="L7",H11="L6"),0.0001,0))+MAX(X11,Z11)*0.0000001</f>
        <v>41.520103450000001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Scores'!I$13),AND(G11="15-16",U11&gt;='Qualifying Scores'!I$12),AND(G11="13-14",U11&gt;='Qualifying Scores'!I$11),AND(G11="11-12",U11&gt;='Qualifying Scores'!I$10)),T11,0),IF(OR(AND(G11="17-21",W11&gt;='Qualifying Scores'!I$13),AND(G11="15-16",W11&gt;='Qualifying Scores'!I$12),AND(G11="13-14",W11&gt;='Qualifying Scores'!I$11),AND(G11="11-12",W11&gt;='Qualifying Scores'!I$10)),V11,0),IF(OR(AND(G11="17-21",Y11&gt;='Qualifying Scores'!I$13),AND(G11="15-16",Y11&gt;='Qualifying Scores'!I$12),AND(G11="13-14",Y11&gt;='Qualifying Scores'!I$11),AND(G11="11-12",Y11&gt;='Qualifying Scores'!I$10)),X11,0),IF(OR(AND(G11="17-21",AA11&gt;='Qualifying Scores'!I$13),AND(G11="15-16",AA11&gt;='Qualifying Scores'!I$12),AND(G11="13-14",AA11&gt;='Qualifying Scores'!I$11),AND(G11="11-12",AA11&gt;='Qualifying Scores'!I$10)),Z11,0)))</f>
        <v>41.519999999999996</v>
      </c>
      <c r="S11" s="4">
        <f>MAX(T11,V11,X11,Z11)</f>
        <v>41.519999999999996</v>
      </c>
      <c r="T11" s="33">
        <v>39.700000000000003</v>
      </c>
      <c r="U11" s="40">
        <v>8</v>
      </c>
      <c r="V11" s="34">
        <v>41.519999999999996</v>
      </c>
      <c r="W11" s="40">
        <v>8</v>
      </c>
      <c r="X11" s="33">
        <v>34.499999999999993</v>
      </c>
      <c r="Y11" s="40">
        <v>3.0999999999999996</v>
      </c>
      <c r="Z11" s="34"/>
      <c r="AA11" s="37"/>
    </row>
    <row r="12" spans="1:27" x14ac:dyDescent="0.2">
      <c r="A12" s="1" t="str" cm="1">
        <f t="array" ref="A12">IF(I12="","",IF(P12&lt;&gt;"",SUMPRODUCT((P$3:P$79&lt;&gt;"")*(G$3:G$79=G12)*(J$3:J$79&gt;J12)*(I$3:I$79="P"))+1,IF(O12&lt;&gt;"",SUMPRODUCT((O$3:O$79&lt;&gt;"")*(P$3:P$79="")*(G$3:G$79=G12)*(J$3:J$79&gt;J12)*(I$3:I$79="P"))+SUMPRODUCT((P$3:P$79&lt;&gt;"")*(G$3:G$79=G12)*(I$3:I$79="P"))+1,IF(N12&lt;&gt;"",SUMPRODUCT((N$3:N$79&lt;&gt;"")*(G$3:G$79=G12)*(J$3:J$79&gt;J12)*(I$3:I$79="P"))+1,IF(M12="P",SUMPRODUCT((O$3:O$79&lt;&gt;"")*(P$3:P$79="")*(G$3:G$79=G12)*(I$3:I$79="P"))+SUMPRODUCT((P$3:P$79&lt;&gt;"")*(G$3:G$79=G12)*(I$3:I$79="P"))+SUMPRODUCT((N$3:N$79&lt;&gt;"")*(G$3:G$79=G12)*(I$3:I$79="P"))+SUMPRODUCT((P$3:P$79="")*(O$3:O$79="")*(N$3:N$79="")*(M$3:M$79="P")*(G$3:G$79=G12)*(J$3:J$79&gt;J12)*(I$3:I$79="P"))+IF(H12="L5",SUMPRODUCT((P$3:P$79="")*(O$3:O$79="")*(N$3:N$79="")*(M$3:M$79="P")*(G$3:G$79=G12)*(J$3:J$79&lt;J12)*(H$3:H$79&lt;&gt;H12)*(I$3:I$79="P")),-1*SUMPRODUCT((P$3:P$79="")*(O$3:O$79="")*(N$3:N$79="")*(M$3:M$79="P")*(G$3:G$79=G12)*(J$3:J$79&gt;J12)*(H$3:H$79="L5")*(I$3:I$79="P")))+1,"")))))</f>
        <v/>
      </c>
      <c r="B12" s="1" t="str" cm="1">
        <f t="array" ref="B12">IF(P12&lt;&gt;"",SUMPRODUCT((P$3:P$79&lt;&gt;"")*(G$3:G$79=G12)*(J$3:J$79&gt;J12))+1,IF(O12&lt;&gt;"",SUMPRODUCT((O$3:O$79&lt;&gt;"")*(P$3:P$79="")*(G$3:G$79=G12)*(J$3:J$79&gt;J12))+SUMPRODUCT((P$3:P$79&lt;&gt;"")*(G$3:G$79=G12))+1,IF(N12&lt;&gt;"",SUMPRODUCT((N$3:N$79&lt;&gt;"")*(G$3:G$79=G12)*(J$3:J$79&gt;J12))+1,IF(M12="P",SUMPRODUCT((O$3:O$79&lt;&gt;"")*(P$3:P$79="")*(G$3:G$79=G12))+SUMPRODUCT((P$3:P$79&lt;&gt;"")*(G$3:G$79=G12))+SUMPRODUCT((N$3:N$79&lt;&gt;"")*(G$3:G$79=G12))+SUMPRODUCT((P$3:P$79="")*(O$3:O$79="")*(N$3:N$79="")*(M$3:M$79="P")*(G$3:G$79=G12)*(J$3:J$79&gt;J12))+IF(H12="L5",SUMPRODUCT((P$3:P$79="")*(O$3:O$79="")*(N$3:N$79="")*(M$3:M$79="P")*(G$3:G$79=G12)*(J$3:J$79&lt;J12)*(H$3:H$79&lt;&gt;H12)),-1*SUMPRODUCT((P$3:P$79="")*(O$3:O$79="")*(N$3:N$79="")*(M$3:M$79="P")*(G$3:G$79=G12)*(J$3:J$79&gt;J12)*(H$3:H$79="L5")))+1,""))))</f>
        <v/>
      </c>
      <c r="C12" s="36" t="s">
        <v>346</v>
      </c>
      <c r="D12" s="36" t="str">
        <f>IF(E12="","",VLOOKUP(E12,'Coaching Points'!A:B,2,0))</f>
        <v>SK</v>
      </c>
      <c r="E12" s="36" t="s">
        <v>70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41.400104140000003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Scores'!I$13),AND(G12="15-16",U12&gt;='Qualifying Scores'!I$12),AND(G12="13-14",U12&gt;='Qualifying Scores'!I$11),AND(G12="11-12",U12&gt;='Qualifying Scores'!I$10)),T12,0),IF(OR(AND(G12="17-21",W12&gt;='Qualifying Scores'!I$13),AND(G12="15-16",W12&gt;='Qualifying Scores'!I$12),AND(G12="13-14",W12&gt;='Qualifying Scores'!I$11),AND(G12="11-12",W12&gt;='Qualifying Scores'!I$10)),V12,0),IF(OR(AND(G12="17-21",Y12&gt;='Qualifying Scores'!I$13),AND(G12="15-16",Y12&gt;='Qualifying Scores'!I$12),AND(G12="13-14",Y12&gt;='Qualifying Scores'!I$11),AND(G12="11-12",Y12&gt;='Qualifying Scores'!I$10)),X12,0),IF(OR(AND(G12="17-21",AA12&gt;='Qualifying Scores'!I$13),AND(G12="15-16",AA12&gt;='Qualifying Scores'!I$12),AND(G12="13-14",AA12&gt;='Qualifying Scores'!I$11),AND(G12="11-12",AA12&gt;='Qualifying Scores'!I$10)),Z12,0)))</f>
        <v>41.4</v>
      </c>
      <c r="S12" s="4">
        <f>MAX(T12,V12,X12,Z12)</f>
        <v>41.4</v>
      </c>
      <c r="T12" s="33">
        <v>38.76</v>
      </c>
      <c r="U12" s="40">
        <v>6.1</v>
      </c>
      <c r="V12" s="34">
        <v>39.299999999999997</v>
      </c>
      <c r="W12" s="40">
        <v>6.1</v>
      </c>
      <c r="X12" s="33">
        <v>41.099999999999994</v>
      </c>
      <c r="Y12" s="40">
        <v>6.3</v>
      </c>
      <c r="Z12" s="34">
        <v>41.4</v>
      </c>
      <c r="AA12" s="37">
        <v>7.1999999999999993</v>
      </c>
    </row>
    <row r="13" spans="1:27" x14ac:dyDescent="0.2">
      <c r="A13" s="1" t="str" cm="1">
        <f t="array" ref="A13">IF(I13="","",IF(P13&lt;&gt;"",SUMPRODUCT((P$3:P$79&lt;&gt;"")*(G$3:G$79=G13)*(J$3:J$79&gt;J13)*(I$3:I$79="P"))+1,IF(O13&lt;&gt;"",SUMPRODUCT((O$3:O$79&lt;&gt;"")*(P$3:P$79="")*(G$3:G$79=G13)*(J$3:J$79&gt;J13)*(I$3:I$79="P"))+SUMPRODUCT((P$3:P$79&lt;&gt;"")*(G$3:G$79=G13)*(I$3:I$79="P"))+1,IF(N13&lt;&gt;"",SUMPRODUCT((N$3:N$79&lt;&gt;"")*(G$3:G$79=G13)*(J$3:J$79&gt;J13)*(I$3:I$79="P"))+1,IF(M13="P",SUMPRODUCT((O$3:O$79&lt;&gt;"")*(P$3:P$79="")*(G$3:G$79=G13)*(I$3:I$79="P"))+SUMPRODUCT((P$3:P$79&lt;&gt;"")*(G$3:G$79=G13)*(I$3:I$79="P"))+SUMPRODUCT((N$3:N$79&lt;&gt;"")*(G$3:G$79=G13)*(I$3:I$79="P"))+SUMPRODUCT((P$3:P$79="")*(O$3:O$79="")*(N$3:N$79="")*(M$3:M$79="P")*(G$3:G$79=G13)*(J$3:J$79&gt;J13)*(I$3:I$79="P"))+IF(H13="L5",SUMPRODUCT((P$3:P$79="")*(O$3:O$79="")*(N$3:N$79="")*(M$3:M$79="P")*(G$3:G$79=G13)*(J$3:J$79&lt;J13)*(H$3:H$79&lt;&gt;H13)*(I$3:I$79="P")),-1*SUMPRODUCT((P$3:P$79="")*(O$3:O$79="")*(N$3:N$79="")*(M$3:M$79="P")*(G$3:G$79=G13)*(J$3:J$79&gt;J13)*(H$3:H$79="L5")*(I$3:I$79="P")))+1,"")))))</f>
        <v/>
      </c>
      <c r="B13" s="1" t="str" cm="1">
        <f t="array" ref="B13">IF(P13&lt;&gt;"",SUMPRODUCT((P$3:P$79&lt;&gt;"")*(G$3:G$79=G13)*(J$3:J$79&gt;J13))+1,IF(O13&lt;&gt;"",SUMPRODUCT((O$3:O$79&lt;&gt;"")*(P$3:P$79="")*(G$3:G$79=G13)*(J$3:J$79&gt;J13))+SUMPRODUCT((P$3:P$79&lt;&gt;"")*(G$3:G$79=G13))+1,IF(N13&lt;&gt;"",SUMPRODUCT((N$3:N$79&lt;&gt;"")*(G$3:G$79=G13)*(J$3:J$79&gt;J13))+1,IF(M13="P",SUMPRODUCT((O$3:O$79&lt;&gt;"")*(P$3:P$79="")*(G$3:G$79=G13))+SUMPRODUCT((P$3:P$79&lt;&gt;"")*(G$3:G$79=G13))+SUMPRODUCT((N$3:N$79&lt;&gt;"")*(G$3:G$79=G13))+SUMPRODUCT((P$3:P$79="")*(O$3:O$79="")*(N$3:N$79="")*(M$3:M$79="P")*(G$3:G$79=G13)*(J$3:J$79&gt;J13))+IF(H13="L5",SUMPRODUCT((P$3:P$79="")*(O$3:O$79="")*(N$3:N$79="")*(M$3:M$79="P")*(G$3:G$79=G13)*(J$3:J$79&lt;J13)*(H$3:H$79&lt;&gt;H13)),-1*SUMPRODUCT((P$3:P$79="")*(O$3:O$79="")*(N$3:N$79="")*(M$3:M$79="P")*(G$3:G$79=G13)*(J$3:J$79&gt;J13)*(H$3:H$79="L5")))+1,""))))</f>
        <v/>
      </c>
      <c r="C13" s="36" t="s">
        <v>344</v>
      </c>
      <c r="D13" s="36" t="str">
        <f>IF(E13="","",VLOOKUP(E13,'Coaching Points'!A:B,2,0))</f>
        <v>ON</v>
      </c>
      <c r="E13" s="36" t="s">
        <v>310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R13+IF(OR(H13="Junior",H13="Senior"),0.0002,IF(OR(H13="L7",H13="L6"),0.0001,0))+MAX(X13,Z13)*0.0000001</f>
        <v>40.900103319999999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Scores'!I$13),AND(G13="15-16",U13&gt;='Qualifying Scores'!I$12),AND(G13="13-14",U13&gt;='Qualifying Scores'!I$11),AND(G13="11-12",U13&gt;='Qualifying Scores'!I$10)),T13,0),IF(OR(AND(G13="17-21",W13&gt;='Qualifying Scores'!I$13),AND(G13="15-16",W13&gt;='Qualifying Scores'!I$12),AND(G13="13-14",W13&gt;='Qualifying Scores'!I$11),AND(G13="11-12",W13&gt;='Qualifying Scores'!I$10)),V13,0),IF(OR(AND(G13="17-21",Y13&gt;='Qualifying Scores'!I$13),AND(G13="15-16",Y13&gt;='Qualifying Scores'!I$12),AND(G13="13-14",Y13&gt;='Qualifying Scores'!I$11),AND(G13="11-12",Y13&gt;='Qualifying Scores'!I$10)),X13,0),IF(OR(AND(G13="17-21",AA13&gt;='Qualifying Scores'!I$13),AND(G13="15-16",AA13&gt;='Qualifying Scores'!I$12),AND(G13="13-14",AA13&gt;='Qualifying Scores'!I$11),AND(G13="11-12",AA13&gt;='Qualifying Scores'!I$10)),Z13,0)))</f>
        <v>40.9</v>
      </c>
      <c r="S13" s="4">
        <f>MAX(T13,V13,X13,Z13)</f>
        <v>40.9</v>
      </c>
      <c r="T13" s="33">
        <v>39.1</v>
      </c>
      <c r="U13" s="40">
        <v>7.3000000000000007</v>
      </c>
      <c r="V13" s="34">
        <v>40.9</v>
      </c>
      <c r="W13" s="40">
        <v>7.3000000000000007</v>
      </c>
      <c r="X13" s="33">
        <v>33.199999999999996</v>
      </c>
      <c r="Y13" s="40">
        <v>3.8</v>
      </c>
      <c r="Z13" s="34"/>
      <c r="AA13" s="37"/>
    </row>
    <row r="14" spans="1:27" x14ac:dyDescent="0.2">
      <c r="A14" s="1" t="str" cm="1">
        <f t="array" ref="A14">IF(I14="","",IF(P14&lt;&gt;"",SUMPRODUCT((P$3:P$79&lt;&gt;"")*(G$3:G$79=G14)*(J$3:J$79&gt;J14)*(I$3:I$79="P"))+1,IF(O14&lt;&gt;"",SUMPRODUCT((O$3:O$79&lt;&gt;"")*(P$3:P$79="")*(G$3:G$79=G14)*(J$3:J$79&gt;J14)*(I$3:I$79="P"))+SUMPRODUCT((P$3:P$79&lt;&gt;"")*(G$3:G$79=G14)*(I$3:I$79="P"))+1,IF(N14&lt;&gt;"",SUMPRODUCT((N$3:N$79&lt;&gt;"")*(G$3:G$79=G14)*(J$3:J$79&gt;J14)*(I$3:I$79="P"))+1,IF(M14="P",SUMPRODUCT((O$3:O$79&lt;&gt;"")*(P$3:P$79="")*(G$3:G$79=G14)*(I$3:I$79="P"))+SUMPRODUCT((P$3:P$79&lt;&gt;"")*(G$3:G$79=G14)*(I$3:I$79="P"))+SUMPRODUCT((N$3:N$79&lt;&gt;"")*(G$3:G$79=G14)*(I$3:I$79="P"))+SUMPRODUCT((P$3:P$79="")*(O$3:O$79="")*(N$3:N$79="")*(M$3:M$79="P")*(G$3:G$79=G14)*(J$3:J$79&gt;J14)*(I$3:I$79="P"))+IF(H14="L5",SUMPRODUCT((P$3:P$79="")*(O$3:O$79="")*(N$3:N$79="")*(M$3:M$79="P")*(G$3:G$79=G14)*(J$3:J$79&lt;J14)*(H$3:H$79&lt;&gt;H14)*(I$3:I$79="P")),-1*SUMPRODUCT((P$3:P$79="")*(O$3:O$79="")*(N$3:N$79="")*(M$3:M$79="P")*(G$3:G$79=G14)*(J$3:J$79&gt;J14)*(H$3:H$79="L5")*(I$3:I$79="P")))+1,"")))))</f>
        <v/>
      </c>
      <c r="B14" s="1" t="str" cm="1">
        <f t="array" ref="B14">IF(P14&lt;&gt;"",SUMPRODUCT((P$3:P$79&lt;&gt;"")*(G$3:G$79=G14)*(J$3:J$79&gt;J14))+1,IF(O14&lt;&gt;"",SUMPRODUCT((O$3:O$79&lt;&gt;"")*(P$3:P$79="")*(G$3:G$79=G14)*(J$3:J$79&gt;J14))+SUMPRODUCT((P$3:P$79&lt;&gt;"")*(G$3:G$79=G14))+1,IF(N14&lt;&gt;"",SUMPRODUCT((N$3:N$79&lt;&gt;"")*(G$3:G$79=G14)*(J$3:J$79&gt;J14))+1,IF(M14="P",SUMPRODUCT((O$3:O$79&lt;&gt;"")*(P$3:P$79="")*(G$3:G$79=G14))+SUMPRODUCT((P$3:P$79&lt;&gt;"")*(G$3:G$79=G14))+SUMPRODUCT((N$3:N$79&lt;&gt;"")*(G$3:G$79=G14))+SUMPRODUCT((P$3:P$79="")*(O$3:O$79="")*(N$3:N$79="")*(M$3:M$79="P")*(G$3:G$79=G14)*(J$3:J$79&gt;J14))+IF(H14="L5",SUMPRODUCT((P$3:P$79="")*(O$3:O$79="")*(N$3:N$79="")*(M$3:M$79="P")*(G$3:G$79=G14)*(J$3:J$79&lt;J14)*(H$3:H$79&lt;&gt;H14)),-1*SUMPRODUCT((P$3:P$79="")*(O$3:O$79="")*(N$3:N$79="")*(M$3:M$79="P")*(G$3:G$79=G14)*(J$3:J$79&gt;J14)*(H$3:H$79="L5")))+1,""))))</f>
        <v/>
      </c>
      <c r="C14" s="36" t="s">
        <v>329</v>
      </c>
      <c r="D14" s="36" t="str">
        <f>IF(E14="","",VLOOKUP(E14,'Coaching Points'!A:B,2,0))</f>
        <v>ON</v>
      </c>
      <c r="E14" s="36" t="s">
        <v>320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40.700104070000002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>P</v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Scores'!I$13),AND(G14="15-16",U14&gt;='Qualifying Scores'!I$12),AND(G14="13-14",U14&gt;='Qualifying Scores'!I$11),AND(G14="11-12",U14&gt;='Qualifying Scores'!I$10)),T14,0),IF(OR(AND(G14="17-21",W14&gt;='Qualifying Scores'!I$13),AND(G14="15-16",W14&gt;='Qualifying Scores'!I$12),AND(G14="13-14",W14&gt;='Qualifying Scores'!I$11),AND(G14="11-12",W14&gt;='Qualifying Scores'!I$10)),V14,0),IF(OR(AND(G14="17-21",Y14&gt;='Qualifying Scores'!I$13),AND(G14="15-16",Y14&gt;='Qualifying Scores'!I$12),AND(G14="13-14",Y14&gt;='Qualifying Scores'!I$11),AND(G14="11-12",Y14&gt;='Qualifying Scores'!I$10)),X14,0),IF(OR(AND(G14="17-21",AA14&gt;='Qualifying Scores'!I$13),AND(G14="15-16",AA14&gt;='Qualifying Scores'!I$12),AND(G14="13-14",AA14&gt;='Qualifying Scores'!I$11),AND(G14="11-12",AA14&gt;='Qualifying Scores'!I$10)),Z14,0)))</f>
        <v>40.699999999999996</v>
      </c>
      <c r="S14" s="4">
        <f>MAX(T14,V14,X14,Z14)</f>
        <v>40.699999999999996</v>
      </c>
      <c r="T14" s="33">
        <v>39.480000000000004</v>
      </c>
      <c r="U14" s="40">
        <v>6.4</v>
      </c>
      <c r="V14" s="34">
        <v>35.200000000000003</v>
      </c>
      <c r="W14" s="40">
        <v>4.2</v>
      </c>
      <c r="X14" s="33">
        <v>40.699999999999996</v>
      </c>
      <c r="Y14" s="40">
        <v>7.3</v>
      </c>
      <c r="Z14" s="34">
        <v>40.099999999999994</v>
      </c>
      <c r="AA14" s="37">
        <v>7.3</v>
      </c>
    </row>
    <row r="15" spans="1:27" x14ac:dyDescent="0.2">
      <c r="A15" s="1" t="str" cm="1">
        <f t="array" ref="A15">IF(I15="","",IF(P15&lt;&gt;"",SUMPRODUCT((P$3:P$79&lt;&gt;"")*(G$3:G$79=G15)*(J$3:J$79&gt;J15)*(I$3:I$79="P"))+1,IF(O15&lt;&gt;"",SUMPRODUCT((O$3:O$79&lt;&gt;"")*(P$3:P$79="")*(G$3:G$79=G15)*(J$3:J$79&gt;J15)*(I$3:I$79="P"))+SUMPRODUCT((P$3:P$79&lt;&gt;"")*(G$3:G$79=G15)*(I$3:I$79="P"))+1,IF(N15&lt;&gt;"",SUMPRODUCT((N$3:N$79&lt;&gt;"")*(G$3:G$79=G15)*(J$3:J$79&gt;J15)*(I$3:I$79="P"))+1,IF(M15="P",SUMPRODUCT((O$3:O$79&lt;&gt;"")*(P$3:P$79="")*(G$3:G$79=G15)*(I$3:I$79="P"))+SUMPRODUCT((P$3:P$79&lt;&gt;"")*(G$3:G$79=G15)*(I$3:I$79="P"))+SUMPRODUCT((N$3:N$79&lt;&gt;"")*(G$3:G$79=G15)*(I$3:I$79="P"))+SUMPRODUCT((P$3:P$79="")*(O$3:O$79="")*(N$3:N$79="")*(M$3:M$79="P")*(G$3:G$79=G15)*(J$3:J$79&gt;J15)*(I$3:I$79="P"))+IF(H15="L5",SUMPRODUCT((P$3:P$79="")*(O$3:O$79="")*(N$3:N$79="")*(M$3:M$79="P")*(G$3:G$79=G15)*(J$3:J$79&lt;J15)*(H$3:H$79&lt;&gt;H15)*(I$3:I$79="P")),-1*SUMPRODUCT((P$3:P$79="")*(O$3:O$79="")*(N$3:N$79="")*(M$3:M$79="P")*(G$3:G$79=G15)*(J$3:J$79&gt;J15)*(H$3:H$79="L5")*(I$3:I$79="P")))+1,"")))))</f>
        <v/>
      </c>
      <c r="B15" s="1" t="str" cm="1">
        <f t="array" ref="B15">IF(P15&lt;&gt;"",SUMPRODUCT((P$3:P$79&lt;&gt;"")*(G$3:G$79=G15)*(J$3:J$79&gt;J15))+1,IF(O15&lt;&gt;"",SUMPRODUCT((O$3:O$79&lt;&gt;"")*(P$3:P$79="")*(G$3:G$79=G15)*(J$3:J$79&gt;J15))+SUMPRODUCT((P$3:P$79&lt;&gt;"")*(G$3:G$79=G15))+1,IF(N15&lt;&gt;"",SUMPRODUCT((N$3:N$79&lt;&gt;"")*(G$3:G$79=G15)*(J$3:J$79&gt;J15))+1,IF(M15="P",SUMPRODUCT((O$3:O$79&lt;&gt;"")*(P$3:P$79="")*(G$3:G$79=G15))+SUMPRODUCT((P$3:P$79&lt;&gt;"")*(G$3:G$79=G15))+SUMPRODUCT((N$3:N$79&lt;&gt;"")*(G$3:G$79=G15))+SUMPRODUCT((P$3:P$79="")*(O$3:O$79="")*(N$3:N$79="")*(M$3:M$79="P")*(G$3:G$79=G15)*(J$3:J$79&gt;J15))+IF(H15="L5",SUMPRODUCT((P$3:P$79="")*(O$3:O$79="")*(N$3:N$79="")*(M$3:M$79="P")*(G$3:G$79=G15)*(J$3:J$79&lt;J15)*(H$3:H$79&lt;&gt;H15)),-1*SUMPRODUCT((P$3:P$79="")*(O$3:O$79="")*(N$3:N$79="")*(M$3:M$79="P")*(G$3:G$79=G15)*(J$3:J$79&gt;J15)*(H$3:H$79="L5")))+1,""))))</f>
        <v/>
      </c>
      <c r="C15" s="36" t="s">
        <v>347</v>
      </c>
      <c r="D15" s="36" t="str">
        <f>IF(E15="","",VLOOKUP(E15,'Coaching Points'!A:B,2,0))</f>
        <v>ON</v>
      </c>
      <c r="E15" s="36" t="s">
        <v>310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168</v>
      </c>
      <c r="I15" s="45"/>
      <c r="J15" s="4">
        <f>R15+IF(OR(H15="Junior",H15="Senior"),0.0002,IF(OR(H15="L7",H15="L6"),0.0001,0))+MAX(X15,Z15)*0.0000001</f>
        <v>39.000203579999997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Scores'!I$13),AND(G15="15-16",U15&gt;='Qualifying Scores'!I$12),AND(G15="13-14",U15&gt;='Qualifying Scores'!I$11),AND(G15="11-12",U15&gt;='Qualifying Scores'!I$10)),T15,0),IF(OR(AND(G15="17-21",W15&gt;='Qualifying Scores'!I$13),AND(G15="15-16",W15&gt;='Qualifying Scores'!I$12),AND(G15="13-14",W15&gt;='Qualifying Scores'!I$11),AND(G15="11-12",W15&gt;='Qualifying Scores'!I$10)),V15,0),IF(OR(AND(G15="17-21",Y15&gt;='Qualifying Scores'!I$13),AND(G15="15-16",Y15&gt;='Qualifying Scores'!I$12),AND(G15="13-14",Y15&gt;='Qualifying Scores'!I$11),AND(G15="11-12",Y15&gt;='Qualifying Scores'!I$10)),X15,0),IF(OR(AND(G15="17-21",AA15&gt;='Qualifying Scores'!I$13),AND(G15="15-16",AA15&gt;='Qualifying Scores'!I$12),AND(G15="13-14",AA15&gt;='Qualifying Scores'!I$11),AND(G15="11-12",AA15&gt;='Qualifying Scores'!I$10)),Z15,0)))</f>
        <v>39</v>
      </c>
      <c r="S15" s="4">
        <f>MAX(T15,V15,X15,Z15)</f>
        <v>39</v>
      </c>
      <c r="T15" s="33">
        <v>39</v>
      </c>
      <c r="U15" s="40">
        <v>7.3000000000000007</v>
      </c>
      <c r="V15" s="34">
        <v>36.200000000000003</v>
      </c>
      <c r="W15" s="40">
        <v>5.0999999999999996</v>
      </c>
      <c r="X15" s="33">
        <v>35.800000000000004</v>
      </c>
      <c r="Y15" s="40">
        <v>4.5999999999999996</v>
      </c>
      <c r="Z15" s="34"/>
      <c r="AA15" s="37"/>
    </row>
    <row r="16" spans="1:27" x14ac:dyDescent="0.2">
      <c r="A16" s="1" t="str" cm="1">
        <f t="array" ref="A16">IF(I16="","",IF(P16&lt;&gt;"",SUMPRODUCT((P$3:P$79&lt;&gt;"")*(G$3:G$79=G16)*(J$3:J$79&gt;J16)*(I$3:I$79="P"))+1,IF(O16&lt;&gt;"",SUMPRODUCT((O$3:O$79&lt;&gt;"")*(P$3:P$79="")*(G$3:G$79=G16)*(J$3:J$79&gt;J16)*(I$3:I$79="P"))+SUMPRODUCT((P$3:P$79&lt;&gt;"")*(G$3:G$79=G16)*(I$3:I$79="P"))+1,IF(N16&lt;&gt;"",SUMPRODUCT((N$3:N$79&lt;&gt;"")*(G$3:G$79=G16)*(J$3:J$79&gt;J16)*(I$3:I$79="P"))+1,IF(M16="P",SUMPRODUCT((O$3:O$79&lt;&gt;"")*(P$3:P$79="")*(G$3:G$79=G16)*(I$3:I$79="P"))+SUMPRODUCT((P$3:P$79&lt;&gt;"")*(G$3:G$79=G16)*(I$3:I$79="P"))+SUMPRODUCT((N$3:N$79&lt;&gt;"")*(G$3:G$79=G16)*(I$3:I$79="P"))+SUMPRODUCT((P$3:P$79="")*(O$3:O$79="")*(N$3:N$79="")*(M$3:M$79="P")*(G$3:G$79=G16)*(J$3:J$79&gt;J16)*(I$3:I$79="P"))+IF(H16="L5",SUMPRODUCT((P$3:P$79="")*(O$3:O$79="")*(N$3:N$79="")*(M$3:M$79="P")*(G$3:G$79=G16)*(J$3:J$79&lt;J16)*(H$3:H$79&lt;&gt;H16)*(I$3:I$79="P")),-1*SUMPRODUCT((P$3:P$79="")*(O$3:O$79="")*(N$3:N$79="")*(M$3:M$79="P")*(G$3:G$79=G16)*(J$3:J$79&gt;J16)*(H$3:H$79="L5")*(I$3:I$79="P")))+1,"")))))</f>
        <v/>
      </c>
      <c r="B16" s="1" t="str" cm="1">
        <f t="array" ref="B16">IF(P16&lt;&gt;"",SUMPRODUCT((P$3:P$79&lt;&gt;"")*(G$3:G$79=G16)*(J$3:J$79&gt;J16))+1,IF(O16&lt;&gt;"",SUMPRODUCT((O$3:O$79&lt;&gt;"")*(P$3:P$79="")*(G$3:G$79=G16)*(J$3:J$79&gt;J16))+SUMPRODUCT((P$3:P$79&lt;&gt;"")*(G$3:G$79=G16))+1,IF(N16&lt;&gt;"",SUMPRODUCT((N$3:N$79&lt;&gt;"")*(G$3:G$79=G16)*(J$3:J$79&gt;J16))+1,IF(M16="P",SUMPRODUCT((O$3:O$79&lt;&gt;"")*(P$3:P$79="")*(G$3:G$79=G16))+SUMPRODUCT((P$3:P$79&lt;&gt;"")*(G$3:G$79=G16))+SUMPRODUCT((N$3:N$79&lt;&gt;"")*(G$3:G$79=G16))+SUMPRODUCT((P$3:P$79="")*(O$3:O$79="")*(N$3:N$79="")*(M$3:M$79="P")*(G$3:G$79=G16)*(J$3:J$79&gt;J16))+IF(H16="L5",SUMPRODUCT((P$3:P$79="")*(O$3:O$79="")*(N$3:N$79="")*(M$3:M$79="P")*(G$3:G$79=G16)*(J$3:J$79&lt;J16)*(H$3:H$79&lt;&gt;H16)),-1*SUMPRODUCT((P$3:P$79="")*(O$3:O$79="")*(N$3:N$79="")*(M$3:M$79="P")*(G$3:G$79=G16)*(J$3:J$79&gt;J16)*(H$3:H$79="L5")))+1,""))))</f>
        <v/>
      </c>
      <c r="C16" s="36" t="s">
        <v>286</v>
      </c>
      <c r="D16" s="36" t="str">
        <f>IF(E16="","",VLOOKUP(E16,'Coaching Points'!A:B,2,0))</f>
        <v>BC</v>
      </c>
      <c r="E16" s="36" t="s">
        <v>42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1.0407E-4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Scores'!I$13),AND(G16="15-16",U16&gt;='Qualifying Scores'!I$12),AND(G16="13-14",U16&gt;='Qualifying Scores'!I$11),AND(G16="11-12",U16&gt;='Qualifying Scores'!I$10)),T16,0),IF(OR(AND(G16="17-21",W16&gt;='Qualifying Scores'!I$13),AND(G16="15-16",W16&gt;='Qualifying Scores'!I$12),AND(G16="13-14",W16&gt;='Qualifying Scores'!I$11),AND(G16="11-12",W16&gt;='Qualifying Scores'!I$10)),V16,0),IF(OR(AND(G16="17-21",Y16&gt;='Qualifying Scores'!I$13),AND(G16="15-16",Y16&gt;='Qualifying Scores'!I$12),AND(G16="13-14",Y16&gt;='Qualifying Scores'!I$11),AND(G16="11-12",Y16&gt;='Qualifying Scores'!I$10)),X16,0),IF(OR(AND(G16="17-21",AA16&gt;='Qualifying Scores'!I$13),AND(G16="15-16",AA16&gt;='Qualifying Scores'!I$12),AND(G16="13-14",AA16&gt;='Qualifying Scores'!I$11),AND(G16="11-12",AA16&gt;='Qualifying Scores'!I$10)),Z16,0)))</f>
        <v>0</v>
      </c>
      <c r="S16" s="4">
        <f>MAX(T16,V16,X16,Z16)</f>
        <v>40.699999999999996</v>
      </c>
      <c r="T16" s="33"/>
      <c r="U16" s="40"/>
      <c r="V16" s="34"/>
      <c r="W16" s="40"/>
      <c r="X16" s="33">
        <v>40.699999999999996</v>
      </c>
      <c r="Y16" s="40">
        <v>6.5</v>
      </c>
      <c r="Z16" s="34">
        <v>39.9</v>
      </c>
      <c r="AA16" s="37">
        <v>6.5</v>
      </c>
    </row>
    <row r="17" spans="1:27" x14ac:dyDescent="0.2">
      <c r="A17" s="1" t="str" cm="1">
        <f t="array" ref="A17">IF(I17="","",IF(P17&lt;&gt;"",SUMPRODUCT((P$3:P$79&lt;&gt;"")*(G$3:G$79=G17)*(J$3:J$79&gt;J17)*(I$3:I$79="P"))+1,IF(O17&lt;&gt;"",SUMPRODUCT((O$3:O$79&lt;&gt;"")*(P$3:P$79="")*(G$3:G$79=G17)*(J$3:J$79&gt;J17)*(I$3:I$79="P"))+SUMPRODUCT((P$3:P$79&lt;&gt;"")*(G$3:G$79=G17)*(I$3:I$79="P"))+1,IF(N17&lt;&gt;"",SUMPRODUCT((N$3:N$79&lt;&gt;"")*(G$3:G$79=G17)*(J$3:J$79&gt;J17)*(I$3:I$79="P"))+1,IF(M17="P",SUMPRODUCT((O$3:O$79&lt;&gt;"")*(P$3:P$79="")*(G$3:G$79=G17)*(I$3:I$79="P"))+SUMPRODUCT((P$3:P$79&lt;&gt;"")*(G$3:G$79=G17)*(I$3:I$79="P"))+SUMPRODUCT((N$3:N$79&lt;&gt;"")*(G$3:G$79=G17)*(I$3:I$79="P"))+SUMPRODUCT((P$3:P$79="")*(O$3:O$79="")*(N$3:N$79="")*(M$3:M$79="P")*(G$3:G$79=G17)*(J$3:J$79&gt;J17)*(I$3:I$79="P"))+IF(H17="L5",SUMPRODUCT((P$3:P$79="")*(O$3:O$79="")*(N$3:N$79="")*(M$3:M$79="P")*(G$3:G$79=G17)*(J$3:J$79&lt;J17)*(H$3:H$79&lt;&gt;H17)*(I$3:I$79="P")),-1*SUMPRODUCT((P$3:P$79="")*(O$3:O$79="")*(N$3:N$79="")*(M$3:M$79="P")*(G$3:G$79=G17)*(J$3:J$79&gt;J17)*(H$3:H$79="L5")*(I$3:I$79="P")))+1,"")))))</f>
        <v/>
      </c>
      <c r="B17" s="1" t="str" cm="1">
        <f t="array" ref="B17">IF(P17&lt;&gt;"",SUMPRODUCT((P$3:P$79&lt;&gt;"")*(G$3:G$79=G17)*(J$3:J$79&gt;J17))+1,IF(O17&lt;&gt;"",SUMPRODUCT((O$3:O$79&lt;&gt;"")*(P$3:P$79="")*(G$3:G$79=G17)*(J$3:J$79&gt;J17))+SUMPRODUCT((P$3:P$79&lt;&gt;"")*(G$3:G$79=G17))+1,IF(N17&lt;&gt;"",SUMPRODUCT((N$3:N$79&lt;&gt;"")*(G$3:G$79=G17)*(J$3:J$79&gt;J17))+1,IF(M17="P",SUMPRODUCT((O$3:O$79&lt;&gt;"")*(P$3:P$79="")*(G$3:G$79=G17))+SUMPRODUCT((P$3:P$79&lt;&gt;"")*(G$3:G$79=G17))+SUMPRODUCT((N$3:N$79&lt;&gt;"")*(G$3:G$79=G17))+SUMPRODUCT((P$3:P$79="")*(O$3:O$79="")*(N$3:N$79="")*(M$3:M$79="P")*(G$3:G$79=G17)*(J$3:J$79&gt;J17))+IF(H17="L5",SUMPRODUCT((P$3:P$79="")*(O$3:O$79="")*(N$3:N$79="")*(M$3:M$79="P")*(G$3:G$79=G17)*(J$3:J$79&lt;J17)*(H$3:H$79&lt;&gt;H17)),-1*SUMPRODUCT((P$3:P$79="")*(O$3:O$79="")*(N$3:N$79="")*(M$3:M$79="P")*(G$3:G$79=G17)*(J$3:J$79&gt;J17)*(H$3:H$79="L5")))+1,""))))</f>
        <v/>
      </c>
      <c r="C17" s="36" t="s">
        <v>348</v>
      </c>
      <c r="D17" s="36" t="str">
        <f>IF(E17="","",VLOOKUP(E17,'Coaching Points'!A:B,2,0))</f>
        <v>ON</v>
      </c>
      <c r="E17" s="36" t="s">
        <v>48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 t="s">
        <v>604</v>
      </c>
      <c r="J17" s="4">
        <f>R17+IF(OR(H17="Junior",H17="Senior"),0.0002,IF(OR(H17="L7",H17="L6"),0.0001,0))+MAX(X17,Z17)*0.0000001</f>
        <v>1.0406E-4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Scores'!I$13),AND(G17="15-16",U17&gt;='Qualifying Scores'!I$12),AND(G17="13-14",U17&gt;='Qualifying Scores'!I$11),AND(G17="11-12",U17&gt;='Qualifying Scores'!I$10)),T17,0),IF(OR(AND(G17="17-21",W17&gt;='Qualifying Scores'!I$13),AND(G17="15-16",W17&gt;='Qualifying Scores'!I$12),AND(G17="13-14",W17&gt;='Qualifying Scores'!I$11),AND(G17="11-12",W17&gt;='Qualifying Scores'!I$10)),V17,0),IF(OR(AND(G17="17-21",Y17&gt;='Qualifying Scores'!I$13),AND(G17="15-16",Y17&gt;='Qualifying Scores'!I$12),AND(G17="13-14",Y17&gt;='Qualifying Scores'!I$11),AND(G17="11-12",Y17&gt;='Qualifying Scores'!I$10)),X17,0),IF(OR(AND(G17="17-21",AA17&gt;='Qualifying Scores'!I$13),AND(G17="15-16",AA17&gt;='Qualifying Scores'!I$12),AND(G17="13-14",AA17&gt;='Qualifying Scores'!I$11),AND(G17="11-12",AA17&gt;='Qualifying Scores'!I$10)),Z17,0)))</f>
        <v>0</v>
      </c>
      <c r="S17" s="4">
        <f>MAX(T17,V17,X17,Z17)</f>
        <v>40.599999999999994</v>
      </c>
      <c r="T17" s="33">
        <v>37.1</v>
      </c>
      <c r="U17" s="40">
        <v>6.4</v>
      </c>
      <c r="V17" s="34">
        <v>0</v>
      </c>
      <c r="W17" s="40">
        <v>0</v>
      </c>
      <c r="X17" s="33">
        <v>36.599999999999994</v>
      </c>
      <c r="Y17" s="40">
        <v>4.4000000000000004</v>
      </c>
      <c r="Z17" s="34">
        <v>40.599999999999994</v>
      </c>
      <c r="AA17" s="37">
        <v>6.2</v>
      </c>
    </row>
    <row r="18" spans="1:27" x14ac:dyDescent="0.2">
      <c r="A18" s="1" t="str" cm="1">
        <f t="array" ref="A18">IF(I18="","",IF(P18&lt;&gt;"",SUMPRODUCT((P$3:P$79&lt;&gt;"")*(G$3:G$79=G18)*(J$3:J$79&gt;J18)*(I$3:I$79="P"))+1,IF(O18&lt;&gt;"",SUMPRODUCT((O$3:O$79&lt;&gt;"")*(P$3:P$79="")*(G$3:G$79=G18)*(J$3:J$79&gt;J18)*(I$3:I$79="P"))+SUMPRODUCT((P$3:P$79&lt;&gt;"")*(G$3:G$79=G18)*(I$3:I$79="P"))+1,IF(N18&lt;&gt;"",SUMPRODUCT((N$3:N$79&lt;&gt;"")*(G$3:G$79=G18)*(J$3:J$79&gt;J18)*(I$3:I$79="P"))+1,IF(M18="P",SUMPRODUCT((O$3:O$79&lt;&gt;"")*(P$3:P$79="")*(G$3:G$79=G18)*(I$3:I$79="P"))+SUMPRODUCT((P$3:P$79&lt;&gt;"")*(G$3:G$79=G18)*(I$3:I$79="P"))+SUMPRODUCT((N$3:N$79&lt;&gt;"")*(G$3:G$79=G18)*(I$3:I$79="P"))+SUMPRODUCT((P$3:P$79="")*(O$3:O$79="")*(N$3:N$79="")*(M$3:M$79="P")*(G$3:G$79=G18)*(J$3:J$79&gt;J18)*(I$3:I$79="P"))+IF(H18="L5",SUMPRODUCT((P$3:P$79="")*(O$3:O$79="")*(N$3:N$79="")*(M$3:M$79="P")*(G$3:G$79=G18)*(J$3:J$79&lt;J18)*(H$3:H$79&lt;&gt;H18)*(I$3:I$79="P")),-1*SUMPRODUCT((P$3:P$79="")*(O$3:O$79="")*(N$3:N$79="")*(M$3:M$79="P")*(G$3:G$79=G18)*(J$3:J$79&gt;J18)*(H$3:H$79="L5")*(I$3:I$79="P")))+1,"")))))</f>
        <v/>
      </c>
      <c r="B18" s="1" t="str" cm="1">
        <f t="array" ref="B18">IF(P18&lt;&gt;"",SUMPRODUCT((P$3:P$79&lt;&gt;"")*(G$3:G$79=G18)*(J$3:J$79&gt;J18))+1,IF(O18&lt;&gt;"",SUMPRODUCT((O$3:O$79&lt;&gt;"")*(P$3:P$79="")*(G$3:G$79=G18)*(J$3:J$79&gt;J18))+SUMPRODUCT((P$3:P$79&lt;&gt;"")*(G$3:G$79=G18))+1,IF(N18&lt;&gt;"",SUMPRODUCT((N$3:N$79&lt;&gt;"")*(G$3:G$79=G18)*(J$3:J$79&gt;J18))+1,IF(M18="P",SUMPRODUCT((O$3:O$79&lt;&gt;"")*(P$3:P$79="")*(G$3:G$79=G18))+SUMPRODUCT((P$3:P$79&lt;&gt;"")*(G$3:G$79=G18))+SUMPRODUCT((N$3:N$79&lt;&gt;"")*(G$3:G$79=G18))+SUMPRODUCT((P$3:P$79="")*(O$3:O$79="")*(N$3:N$79="")*(M$3:M$79="P")*(G$3:G$79=G18)*(J$3:J$79&gt;J18))+IF(H18="L5",SUMPRODUCT((P$3:P$79="")*(O$3:O$79="")*(N$3:N$79="")*(M$3:M$79="P")*(G$3:G$79=G18)*(J$3:J$79&lt;J18)*(H$3:H$79&lt;&gt;H18)),-1*SUMPRODUCT((P$3:P$79="")*(O$3:O$79="")*(N$3:N$79="")*(M$3:M$79="P")*(G$3:G$79=G18)*(J$3:J$79&gt;J18)*(H$3:H$79="L5")))+1,""))))</f>
        <v/>
      </c>
      <c r="C18" s="36" t="s">
        <v>345</v>
      </c>
      <c r="D18" s="36" t="str">
        <f>IF(E18="","",VLOOKUP(E18,'Coaching Points'!A:B,2,0))</f>
        <v>QC</v>
      </c>
      <c r="E18" s="36" t="s">
        <v>361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1.039E-4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Scores'!I$13),AND(G18="15-16",U18&gt;='Qualifying Scores'!I$12),AND(G18="13-14",U18&gt;='Qualifying Scores'!I$11),AND(G18="11-12",U18&gt;='Qualifying Scores'!I$10)),T18,0),IF(OR(AND(G18="17-21",W18&gt;='Qualifying Scores'!I$13),AND(G18="15-16",W18&gt;='Qualifying Scores'!I$12),AND(G18="13-14",W18&gt;='Qualifying Scores'!I$11),AND(G18="11-12",W18&gt;='Qualifying Scores'!I$10)),V18,0),IF(OR(AND(G18="17-21",Y18&gt;='Qualifying Scores'!I$13),AND(G18="15-16",Y18&gt;='Qualifying Scores'!I$12),AND(G18="13-14",Y18&gt;='Qualifying Scores'!I$11),AND(G18="11-12",Y18&gt;='Qualifying Scores'!I$10)),X18,0),IF(OR(AND(G18="17-21",AA18&gt;='Qualifying Scores'!I$13),AND(G18="15-16",AA18&gt;='Qualifying Scores'!I$12),AND(G18="13-14",AA18&gt;='Qualifying Scores'!I$11),AND(G18="11-12",AA18&gt;='Qualifying Scores'!I$10)),Z18,0)))</f>
        <v>0</v>
      </c>
      <c r="S18" s="4">
        <f>MAX(T18,V18,X18,Z18)</f>
        <v>39.78</v>
      </c>
      <c r="T18" s="33">
        <v>37.959999999999994</v>
      </c>
      <c r="U18" s="40">
        <v>6</v>
      </c>
      <c r="V18" s="34">
        <v>39.78</v>
      </c>
      <c r="W18" s="40">
        <v>6</v>
      </c>
      <c r="X18" s="33">
        <v>38.299999999999997</v>
      </c>
      <c r="Y18" s="40">
        <v>4.4000000000000004</v>
      </c>
      <c r="Z18" s="34">
        <v>39</v>
      </c>
      <c r="AA18" s="37">
        <v>6.4</v>
      </c>
    </row>
    <row r="19" spans="1:27" x14ac:dyDescent="0.2">
      <c r="A19" s="1" t="str" cm="1">
        <f t="array" ref="A19">IF(I19="","",IF(P19&lt;&gt;"",SUMPRODUCT((P$3:P$79&lt;&gt;"")*(G$3:G$79=G19)*(J$3:J$79&gt;J19)*(I$3:I$79="P"))+1,IF(O19&lt;&gt;"",SUMPRODUCT((O$3:O$79&lt;&gt;"")*(P$3:P$79="")*(G$3:G$79=G19)*(J$3:J$79&gt;J19)*(I$3:I$79="P"))+SUMPRODUCT((P$3:P$79&lt;&gt;"")*(G$3:G$79=G19)*(I$3:I$79="P"))+1,IF(N19&lt;&gt;"",SUMPRODUCT((N$3:N$79&lt;&gt;"")*(G$3:G$79=G19)*(J$3:J$79&gt;J19)*(I$3:I$79="P"))+1,IF(M19="P",SUMPRODUCT((O$3:O$79&lt;&gt;"")*(P$3:P$79="")*(G$3:G$79=G19)*(I$3:I$79="P"))+SUMPRODUCT((P$3:P$79&lt;&gt;"")*(G$3:G$79=G19)*(I$3:I$79="P"))+SUMPRODUCT((N$3:N$79&lt;&gt;"")*(G$3:G$79=G19)*(I$3:I$79="P"))+SUMPRODUCT((P$3:P$79="")*(O$3:O$79="")*(N$3:N$79="")*(M$3:M$79="P")*(G$3:G$79=G19)*(J$3:J$79&gt;J19)*(I$3:I$79="P"))+IF(H19="L5",SUMPRODUCT((P$3:P$79="")*(O$3:O$79="")*(N$3:N$79="")*(M$3:M$79="P")*(G$3:G$79=G19)*(J$3:J$79&lt;J19)*(H$3:H$79&lt;&gt;H19)*(I$3:I$79="P")),-1*SUMPRODUCT((P$3:P$79="")*(O$3:O$79="")*(N$3:N$79="")*(M$3:M$79="P")*(G$3:G$79=G19)*(J$3:J$79&gt;J19)*(H$3:H$79="L5")*(I$3:I$79="P")))+1,"")))))</f>
        <v/>
      </c>
      <c r="B19" s="1" t="str" cm="1">
        <f t="array" ref="B19">IF(P19&lt;&gt;"",SUMPRODUCT((P$3:P$79&lt;&gt;"")*(G$3:G$79=G19)*(J$3:J$79&gt;J19))+1,IF(O19&lt;&gt;"",SUMPRODUCT((O$3:O$79&lt;&gt;"")*(P$3:P$79="")*(G$3:G$79=G19)*(J$3:J$79&gt;J19))+SUMPRODUCT((P$3:P$79&lt;&gt;"")*(G$3:G$79=G19))+1,IF(N19&lt;&gt;"",SUMPRODUCT((N$3:N$79&lt;&gt;"")*(G$3:G$79=G19)*(J$3:J$79&gt;J19))+1,IF(M19="P",SUMPRODUCT((O$3:O$79&lt;&gt;"")*(P$3:P$79="")*(G$3:G$79=G19))+SUMPRODUCT((P$3:P$79&lt;&gt;"")*(G$3:G$79=G19))+SUMPRODUCT((N$3:N$79&lt;&gt;"")*(G$3:G$79=G19))+SUMPRODUCT((P$3:P$79="")*(O$3:O$79="")*(N$3:N$79="")*(M$3:M$79="P")*(G$3:G$79=G19)*(J$3:J$79&gt;J19))+IF(H19="L5",SUMPRODUCT((P$3:P$79="")*(O$3:O$79="")*(N$3:N$79="")*(M$3:M$79="P")*(G$3:G$79=G19)*(J$3:J$79&lt;J19)*(H$3:H$79&lt;&gt;H19)),-1*SUMPRODUCT((P$3:P$79="")*(O$3:O$79="")*(N$3:N$79="")*(M$3:M$79="P")*(G$3:G$79=G19)*(J$3:J$79&gt;J19)*(H$3:H$79="L5")))+1,""))))</f>
        <v/>
      </c>
      <c r="C19" s="36" t="s">
        <v>288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R19+IF(OR(H19="Junior",H19="Senior"),0.0002,IF(OR(H19="L7",H19="L6"),0.0001,0))+MAX(X19,Z19)*0.0000001</f>
        <v>1.0379000000000001E-4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Scores'!I$13),AND(G19="15-16",U19&gt;='Qualifying Scores'!I$12),AND(G19="13-14",U19&gt;='Qualifying Scores'!I$11),AND(G19="11-12",U19&gt;='Qualifying Scores'!I$10)),T19,0),IF(OR(AND(G19="17-21",W19&gt;='Qualifying Scores'!I$13),AND(G19="15-16",W19&gt;='Qualifying Scores'!I$12),AND(G19="13-14",W19&gt;='Qualifying Scores'!I$11),AND(G19="11-12",W19&gt;='Qualifying Scores'!I$10)),V19,0),IF(OR(AND(G19="17-21",Y19&gt;='Qualifying Scores'!I$13),AND(G19="15-16",Y19&gt;='Qualifying Scores'!I$12),AND(G19="13-14",Y19&gt;='Qualifying Scores'!I$11),AND(G19="11-12",Y19&gt;='Qualifying Scores'!I$10)),X19,0),IF(OR(AND(G19="17-21",AA19&gt;='Qualifying Scores'!I$13),AND(G19="15-16",AA19&gt;='Qualifying Scores'!I$12),AND(G19="13-14",AA19&gt;='Qualifying Scores'!I$11),AND(G19="11-12",AA19&gt;='Qualifying Scores'!I$10)),Z19,0)))</f>
        <v>0</v>
      </c>
      <c r="S19" s="4">
        <f>MAX(T19,V19,X19,Z19)</f>
        <v>40.800000000000004</v>
      </c>
      <c r="T19" s="33">
        <v>40.800000000000004</v>
      </c>
      <c r="U19" s="40">
        <v>6.9</v>
      </c>
      <c r="V19" s="34">
        <v>39.5</v>
      </c>
      <c r="W19" s="40">
        <v>6.5000000000000009</v>
      </c>
      <c r="X19" s="33">
        <v>37.900000000000006</v>
      </c>
      <c r="Y19" s="40">
        <v>4.9000000000000004</v>
      </c>
      <c r="Z19" s="34">
        <v>37.9</v>
      </c>
      <c r="AA19" s="37">
        <v>6</v>
      </c>
    </row>
    <row r="20" spans="1:27" x14ac:dyDescent="0.2">
      <c r="A20" s="1" t="str" cm="1">
        <f t="array" ref="A20">IF(I20="","",IF(P20&lt;&gt;"",SUMPRODUCT((P$3:P$79&lt;&gt;"")*(G$3:G$79=G20)*(J$3:J$79&gt;J20)*(I$3:I$79="P"))+1,IF(O20&lt;&gt;"",SUMPRODUCT((O$3:O$79&lt;&gt;"")*(P$3:P$79="")*(G$3:G$79=G20)*(J$3:J$79&gt;J20)*(I$3:I$79="P"))+SUMPRODUCT((P$3:P$79&lt;&gt;"")*(G$3:G$79=G20)*(I$3:I$79="P"))+1,IF(N20&lt;&gt;"",SUMPRODUCT((N$3:N$79&lt;&gt;"")*(G$3:G$79=G20)*(J$3:J$79&gt;J20)*(I$3:I$79="P"))+1,IF(M20="P",SUMPRODUCT((O$3:O$79&lt;&gt;"")*(P$3:P$79="")*(G$3:G$79=G20)*(I$3:I$79="P"))+SUMPRODUCT((P$3:P$79&lt;&gt;"")*(G$3:G$79=G20)*(I$3:I$79="P"))+SUMPRODUCT((N$3:N$79&lt;&gt;"")*(G$3:G$79=G20)*(I$3:I$79="P"))+SUMPRODUCT((P$3:P$79="")*(O$3:O$79="")*(N$3:N$79="")*(M$3:M$79="P")*(G$3:G$79=G20)*(J$3:J$79&gt;J20)*(I$3:I$79="P"))+IF(H20="L5",SUMPRODUCT((P$3:P$79="")*(O$3:O$79="")*(N$3:N$79="")*(M$3:M$79="P")*(G$3:G$79=G20)*(J$3:J$79&lt;J20)*(H$3:H$79&lt;&gt;H20)*(I$3:I$79="P")),-1*SUMPRODUCT((P$3:P$79="")*(O$3:O$79="")*(N$3:N$79="")*(M$3:M$79="P")*(G$3:G$79=G20)*(J$3:J$79&gt;J20)*(H$3:H$79="L5")*(I$3:I$79="P")))+1,"")))))</f>
        <v/>
      </c>
      <c r="B20" s="1" t="str" cm="1">
        <f t="array" ref="B20">IF(P20&lt;&gt;"",SUMPRODUCT((P$3:P$79&lt;&gt;"")*(G$3:G$79=G20)*(J$3:J$79&gt;J20))+1,IF(O20&lt;&gt;"",SUMPRODUCT((O$3:O$79&lt;&gt;"")*(P$3:P$79="")*(G$3:G$79=G20)*(J$3:J$79&gt;J20))+SUMPRODUCT((P$3:P$79&lt;&gt;"")*(G$3:G$79=G20))+1,IF(N20&lt;&gt;"",SUMPRODUCT((N$3:N$79&lt;&gt;"")*(G$3:G$79=G20)*(J$3:J$79&gt;J20))+1,IF(M20="P",SUMPRODUCT((O$3:O$79&lt;&gt;"")*(P$3:P$79="")*(G$3:G$79=G20))+SUMPRODUCT((P$3:P$79&lt;&gt;"")*(G$3:G$79=G20))+SUMPRODUCT((N$3:N$79&lt;&gt;"")*(G$3:G$79=G20))+SUMPRODUCT((P$3:P$79="")*(O$3:O$79="")*(N$3:N$79="")*(M$3:M$79="P")*(G$3:G$79=G20)*(J$3:J$79&gt;J20))+IF(H20="L5",SUMPRODUCT((P$3:P$79="")*(O$3:O$79="")*(N$3:N$79="")*(M$3:M$79="P")*(G$3:G$79=G20)*(J$3:J$79&lt;J20)*(H$3:H$79&lt;&gt;H20)),-1*SUMPRODUCT((P$3:P$79="")*(O$3:O$79="")*(N$3:N$79="")*(M$3:M$79="P")*(G$3:G$79=G20)*(J$3:J$79&gt;J20)*(H$3:H$79="L5")))+1,""))))</f>
        <v/>
      </c>
      <c r="C20" s="36" t="s">
        <v>275</v>
      </c>
      <c r="D20" s="36" t="str">
        <f>IF(E20="","",VLOOKUP(E20,'Coaching Points'!A:B,2,0))</f>
        <v>BC</v>
      </c>
      <c r="E20" s="36" t="s">
        <v>84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1.0375E-4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Scores'!I$13),AND(G20="15-16",U20&gt;='Qualifying Scores'!I$12),AND(G20="13-14",U20&gt;='Qualifying Scores'!I$11),AND(G20="11-12",U20&gt;='Qualifying Scores'!I$10)),T20,0),IF(OR(AND(G20="17-21",W20&gt;='Qualifying Scores'!I$13),AND(G20="15-16",W20&gt;='Qualifying Scores'!I$12),AND(G20="13-14",W20&gt;='Qualifying Scores'!I$11),AND(G20="11-12",W20&gt;='Qualifying Scores'!I$10)),V20,0),IF(OR(AND(G20="17-21",Y20&gt;='Qualifying Scores'!I$13),AND(G20="15-16",Y20&gt;='Qualifying Scores'!I$12),AND(G20="13-14",Y20&gt;='Qualifying Scores'!I$11),AND(G20="11-12",Y20&gt;='Qualifying Scores'!I$10)),X20,0),IF(OR(AND(G20="17-21",AA20&gt;='Qualifying Scores'!I$13),AND(G20="15-16",AA20&gt;='Qualifying Scores'!I$12),AND(G20="13-14",AA20&gt;='Qualifying Scores'!I$11),AND(G20="11-12",AA20&gt;='Qualifying Scores'!I$10)),Z20,0)))</f>
        <v>0</v>
      </c>
      <c r="S20" s="4">
        <f>MAX(T20,V20,X20,Z20)</f>
        <v>37.499999999999993</v>
      </c>
      <c r="T20" s="33">
        <v>34.700000000000003</v>
      </c>
      <c r="U20" s="40">
        <v>4</v>
      </c>
      <c r="V20" s="34">
        <v>0</v>
      </c>
      <c r="W20" s="40">
        <v>0</v>
      </c>
      <c r="X20" s="33">
        <v>37.499999999999993</v>
      </c>
      <c r="Y20" s="40">
        <v>6.1</v>
      </c>
      <c r="Z20" s="34">
        <v>37.29999999999999</v>
      </c>
      <c r="AA20" s="37">
        <v>6.1</v>
      </c>
    </row>
    <row r="21" spans="1:27" x14ac:dyDescent="0.2">
      <c r="A21" s="1" t="str" cm="1">
        <f t="array" ref="A21">IF(I21="","",IF(P21&lt;&gt;"",SUMPRODUCT((P$3:P$79&lt;&gt;"")*(G$3:G$79=G21)*(J$3:J$79&gt;J21)*(I$3:I$79="P"))+1,IF(O21&lt;&gt;"",SUMPRODUCT((O$3:O$79&lt;&gt;"")*(P$3:P$79="")*(G$3:G$79=G21)*(J$3:J$79&gt;J21)*(I$3:I$79="P"))+SUMPRODUCT((P$3:P$79&lt;&gt;"")*(G$3:G$79=G21)*(I$3:I$79="P"))+1,IF(N21&lt;&gt;"",SUMPRODUCT((N$3:N$79&lt;&gt;"")*(G$3:G$79=G21)*(J$3:J$79&gt;J21)*(I$3:I$79="P"))+1,IF(M21="P",SUMPRODUCT((O$3:O$79&lt;&gt;"")*(P$3:P$79="")*(G$3:G$79=G21)*(I$3:I$79="P"))+SUMPRODUCT((P$3:P$79&lt;&gt;"")*(G$3:G$79=G21)*(I$3:I$79="P"))+SUMPRODUCT((N$3:N$79&lt;&gt;"")*(G$3:G$79=G21)*(I$3:I$79="P"))+SUMPRODUCT((P$3:P$79="")*(O$3:O$79="")*(N$3:N$79="")*(M$3:M$79="P")*(G$3:G$79=G21)*(J$3:J$79&gt;J21)*(I$3:I$79="P"))+IF(H21="L5",SUMPRODUCT((P$3:P$79="")*(O$3:O$79="")*(N$3:N$79="")*(M$3:M$79="P")*(G$3:G$79=G21)*(J$3:J$79&lt;J21)*(H$3:H$79&lt;&gt;H21)*(I$3:I$79="P")),-1*SUMPRODUCT((P$3:P$79="")*(O$3:O$79="")*(N$3:N$79="")*(M$3:M$79="P")*(G$3:G$79=G21)*(J$3:J$79&gt;J21)*(H$3:H$79="L5")*(I$3:I$79="P")))+1,"")))))</f>
        <v/>
      </c>
      <c r="B21" s="1" t="str" cm="1">
        <f t="array" ref="B21">IF(P21&lt;&gt;"",SUMPRODUCT((P$3:P$79&lt;&gt;"")*(G$3:G$79=G21)*(J$3:J$79&gt;J21))+1,IF(O21&lt;&gt;"",SUMPRODUCT((O$3:O$79&lt;&gt;"")*(P$3:P$79="")*(G$3:G$79=G21)*(J$3:J$79&gt;J21))+SUMPRODUCT((P$3:P$79&lt;&gt;"")*(G$3:G$79=G21))+1,IF(N21&lt;&gt;"",SUMPRODUCT((N$3:N$79&lt;&gt;"")*(G$3:G$79=G21)*(J$3:J$79&gt;J21))+1,IF(M21="P",SUMPRODUCT((O$3:O$79&lt;&gt;"")*(P$3:P$79="")*(G$3:G$79=G21))+SUMPRODUCT((P$3:P$79&lt;&gt;"")*(G$3:G$79=G21))+SUMPRODUCT((N$3:N$79&lt;&gt;"")*(G$3:G$79=G21))+SUMPRODUCT((P$3:P$79="")*(O$3:O$79="")*(N$3:N$79="")*(M$3:M$79="P")*(G$3:G$79=G21)*(J$3:J$79&gt;J21))+IF(H21="L5",SUMPRODUCT((P$3:P$79="")*(O$3:O$79="")*(N$3:N$79="")*(M$3:M$79="P")*(G$3:G$79=G21)*(J$3:J$79&lt;J21)*(H$3:H$79&lt;&gt;H21)),-1*SUMPRODUCT((P$3:P$79="")*(O$3:O$79="")*(N$3:N$79="")*(M$3:M$79="P")*(G$3:G$79=G21)*(J$3:J$79&gt;J21)*(H$3:H$79="L5")))+1,""))))</f>
        <v/>
      </c>
      <c r="C21" s="36" t="s">
        <v>297</v>
      </c>
      <c r="D21" s="36" t="str">
        <f>IF(E21="","",VLOOKUP(E21,'Coaching Points'!A:B,2,0))</f>
        <v>BC</v>
      </c>
      <c r="E21" s="36" t="s">
        <v>42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1.0355000000000001E-4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Scores'!I$13),AND(G21="15-16",U21&gt;='Qualifying Scores'!I$12),AND(G21="13-14",U21&gt;='Qualifying Scores'!I$11),AND(G21="11-12",U21&gt;='Qualifying Scores'!I$10)),T21,0),IF(OR(AND(G21="17-21",W21&gt;='Qualifying Scores'!I$13),AND(G21="15-16",W21&gt;='Qualifying Scores'!I$12),AND(G21="13-14",W21&gt;='Qualifying Scores'!I$11),AND(G21="11-12",W21&gt;='Qualifying Scores'!I$10)),V21,0),IF(OR(AND(G21="17-21",Y21&gt;='Qualifying Scores'!I$13),AND(G21="15-16",Y21&gt;='Qualifying Scores'!I$12),AND(G21="13-14",Y21&gt;='Qualifying Scores'!I$11),AND(G21="11-12",Y21&gt;='Qualifying Scores'!I$10)),X21,0),IF(OR(AND(G21="17-21",AA21&gt;='Qualifying Scores'!I$13),AND(G21="15-16",AA21&gt;='Qualifying Scores'!I$12),AND(G21="13-14",AA21&gt;='Qualifying Scores'!I$11),AND(G21="11-12",AA21&gt;='Qualifying Scores'!I$10)),Z21,0)))</f>
        <v>0</v>
      </c>
      <c r="S21" s="4">
        <f>MAX(T21,V21,X21,Z21)</f>
        <v>35.5</v>
      </c>
      <c r="T21" s="33">
        <v>33.799999999999997</v>
      </c>
      <c r="U21" s="40">
        <v>4.9000000000000004</v>
      </c>
      <c r="V21" s="34">
        <v>0</v>
      </c>
      <c r="W21" s="40">
        <v>0</v>
      </c>
      <c r="X21" s="33">
        <v>35.5</v>
      </c>
      <c r="Y21" s="40">
        <v>6.7</v>
      </c>
      <c r="Z21" s="34"/>
      <c r="AA21" s="37"/>
    </row>
    <row r="22" spans="1:27" x14ac:dyDescent="0.2">
      <c r="A22" s="1" t="str" cm="1">
        <f t="array" ref="A22">IF(I22="","",IF(P22&lt;&gt;"",SUMPRODUCT((P$3:P$79&lt;&gt;"")*(G$3:G$79=G22)*(J$3:J$79&gt;J22)*(I$3:I$79="P"))+1,IF(O22&lt;&gt;"",SUMPRODUCT((O$3:O$79&lt;&gt;"")*(P$3:P$79="")*(G$3:G$79=G22)*(J$3:J$79&gt;J22)*(I$3:I$79="P"))+SUMPRODUCT((P$3:P$79&lt;&gt;"")*(G$3:G$79=G22)*(I$3:I$79="P"))+1,IF(N22&lt;&gt;"",SUMPRODUCT((N$3:N$79&lt;&gt;"")*(G$3:G$79=G22)*(J$3:J$79&gt;J22)*(I$3:I$79="P"))+1,IF(M22="P",SUMPRODUCT((O$3:O$79&lt;&gt;"")*(P$3:P$79="")*(G$3:G$79=G22)*(I$3:I$79="P"))+SUMPRODUCT((P$3:P$79&lt;&gt;"")*(G$3:G$79=G22)*(I$3:I$79="P"))+SUMPRODUCT((N$3:N$79&lt;&gt;"")*(G$3:G$79=G22)*(I$3:I$79="P"))+SUMPRODUCT((P$3:P$79="")*(O$3:O$79="")*(N$3:N$79="")*(M$3:M$79="P")*(G$3:G$79=G22)*(J$3:J$79&gt;J22)*(I$3:I$79="P"))+IF(H22="L5",SUMPRODUCT((P$3:P$79="")*(O$3:O$79="")*(N$3:N$79="")*(M$3:M$79="P")*(G$3:G$79=G22)*(J$3:J$79&lt;J22)*(H$3:H$79&lt;&gt;H22)*(I$3:I$79="P")),-1*SUMPRODUCT((P$3:P$79="")*(O$3:O$79="")*(N$3:N$79="")*(M$3:M$79="P")*(G$3:G$79=G22)*(J$3:J$79&gt;J22)*(H$3:H$79="L5")*(I$3:I$79="P")))+1,"")))))</f>
        <v/>
      </c>
      <c r="B22" s="1" t="str" cm="1">
        <f t="array" ref="B22">IF(P22&lt;&gt;"",SUMPRODUCT((P$3:P$79&lt;&gt;"")*(G$3:G$79=G22)*(J$3:J$79&gt;J22))+1,IF(O22&lt;&gt;"",SUMPRODUCT((O$3:O$79&lt;&gt;"")*(P$3:P$79="")*(G$3:G$79=G22)*(J$3:J$79&gt;J22))+SUMPRODUCT((P$3:P$79&lt;&gt;"")*(G$3:G$79=G22))+1,IF(N22&lt;&gt;"",SUMPRODUCT((N$3:N$79&lt;&gt;"")*(G$3:G$79=G22)*(J$3:J$79&gt;J22))+1,IF(M22="P",SUMPRODUCT((O$3:O$79&lt;&gt;"")*(P$3:P$79="")*(G$3:G$79=G22))+SUMPRODUCT((P$3:P$79&lt;&gt;"")*(G$3:G$79=G22))+SUMPRODUCT((N$3:N$79&lt;&gt;"")*(G$3:G$79=G22))+SUMPRODUCT((P$3:P$79="")*(O$3:O$79="")*(N$3:N$79="")*(M$3:M$79="P")*(G$3:G$79=G22)*(J$3:J$79&gt;J22))+IF(H22="L5",SUMPRODUCT((P$3:P$79="")*(O$3:O$79="")*(N$3:N$79="")*(M$3:M$79="P")*(G$3:G$79=G22)*(J$3:J$79&lt;J22)*(H$3:H$79&lt;&gt;H22)),-1*SUMPRODUCT((P$3:P$79="")*(O$3:O$79="")*(N$3:N$79="")*(M$3:M$79="P")*(G$3:G$79=G22)*(J$3:J$79&gt;J22)*(H$3:H$79="L5")))+1,""))))</f>
        <v/>
      </c>
      <c r="C22" s="36" t="s">
        <v>349</v>
      </c>
      <c r="D22" s="36" t="str">
        <f>IF(E22="","",VLOOKUP(E22,'Coaching Points'!A:B,2,0))</f>
        <v>AB</v>
      </c>
      <c r="E22" s="36" t="s">
        <v>29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R22+IF(OR(H22="Junior",H22="Senior"),0.0002,IF(OR(H22="L7",H22="L6"),0.0001,0))+MAX(X22,Z22)*0.0000001</f>
        <v>1E-4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Scores'!I$13),AND(G22="15-16",U22&gt;='Qualifying Scores'!I$12),AND(G22="13-14",U22&gt;='Qualifying Scores'!I$11),AND(G22="11-12",U22&gt;='Qualifying Scores'!I$10)),T22,0),IF(OR(AND(G22="17-21",W22&gt;='Qualifying Scores'!I$13),AND(G22="15-16",W22&gt;='Qualifying Scores'!I$12),AND(G22="13-14",W22&gt;='Qualifying Scores'!I$11),AND(G22="11-12",W22&gt;='Qualifying Scores'!I$10)),V22,0),IF(OR(AND(G22="17-21",Y22&gt;='Qualifying Scores'!I$13),AND(G22="15-16",Y22&gt;='Qualifying Scores'!I$12),AND(G22="13-14",Y22&gt;='Qualifying Scores'!I$11),AND(G22="11-12",Y22&gt;='Qualifying Scores'!I$10)),X22,0),IF(OR(AND(G22="17-21",AA22&gt;='Qualifying Scores'!I$13),AND(G22="15-16",AA22&gt;='Qualifying Scores'!I$12),AND(G22="13-14",AA22&gt;='Qualifying Scores'!I$11),AND(G22="11-12",AA22&gt;='Qualifying Scores'!I$10)),Z22,0)))</f>
        <v>0</v>
      </c>
      <c r="S22" s="4">
        <f>MAX(T22,V22,X22,Z22)</f>
        <v>35.700000000000003</v>
      </c>
      <c r="T22" s="33">
        <v>35.700000000000003</v>
      </c>
      <c r="U22" s="40">
        <v>5.2</v>
      </c>
      <c r="V22" s="34">
        <v>0</v>
      </c>
      <c r="W22" s="40">
        <v>0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$79&lt;&gt;"")*(G$3:G$79=G23)*(J$3:J$79&gt;J23)*(I$3:I$79="P"))+1,IF(O23&lt;&gt;"",SUMPRODUCT((O$3:O$79&lt;&gt;"")*(P$3:P$79="")*(G$3:G$79=G23)*(J$3:J$79&gt;J23)*(I$3:I$79="P"))+SUMPRODUCT((P$3:P$79&lt;&gt;"")*(G$3:G$79=G23)*(I$3:I$79="P"))+1,IF(N23&lt;&gt;"",SUMPRODUCT((N$3:N$79&lt;&gt;"")*(G$3:G$79=G23)*(J$3:J$79&gt;J23)*(I$3:I$79="P"))+1,IF(M23="P",SUMPRODUCT((O$3:O$79&lt;&gt;"")*(P$3:P$79="")*(G$3:G$79=G23)*(I$3:I$79="P"))+SUMPRODUCT((P$3:P$79&lt;&gt;"")*(G$3:G$79=G23)*(I$3:I$79="P"))+SUMPRODUCT((N$3:N$79&lt;&gt;"")*(G$3:G$79=G23)*(I$3:I$79="P"))+SUMPRODUCT((P$3:P$79="")*(O$3:O$79="")*(N$3:N$79="")*(M$3:M$79="P")*(G$3:G$79=G23)*(J$3:J$79&gt;J23)*(I$3:I$79="P"))+IF(H23="L5",SUMPRODUCT((P$3:P$79="")*(O$3:O$79="")*(N$3:N$79="")*(M$3:M$79="P")*(G$3:G$79=G23)*(J$3:J$79&lt;J23)*(H$3:H$79&lt;&gt;H23)*(I$3:I$79="P")),-1*SUMPRODUCT((P$3:P$79="")*(O$3:O$79="")*(N$3:N$79="")*(M$3:M$79="P")*(G$3:G$79=G23)*(J$3:J$79&gt;J23)*(H$3:H$79="L5")*(I$3:I$79="P")))+1,"")))))</f>
        <v/>
      </c>
      <c r="B23" s="1" t="str" cm="1">
        <f t="array" ref="B23">IF(P23&lt;&gt;"",SUMPRODUCT((P$3:P$79&lt;&gt;"")*(G$3:G$79=G23)*(J$3:J$79&gt;J23))+1,IF(O23&lt;&gt;"",SUMPRODUCT((O$3:O$79&lt;&gt;"")*(P$3:P$79="")*(G$3:G$79=G23)*(J$3:J$79&gt;J23))+SUMPRODUCT((P$3:P$79&lt;&gt;"")*(G$3:G$79=G23))+1,IF(N23&lt;&gt;"",SUMPRODUCT((N$3:N$79&lt;&gt;"")*(G$3:G$79=G23)*(J$3:J$79&gt;J23))+1,IF(M23="P",SUMPRODUCT((O$3:O$79&lt;&gt;"")*(P$3:P$79="")*(G$3:G$79=G23))+SUMPRODUCT((P$3:P$79&lt;&gt;"")*(G$3:G$79=G23))+SUMPRODUCT((N$3:N$79&lt;&gt;"")*(G$3:G$79=G23))+SUMPRODUCT((P$3:P$79="")*(O$3:O$79="")*(N$3:N$79="")*(M$3:M$79="P")*(G$3:G$79=G23)*(J$3:J$79&gt;J23))+IF(H23="L5",SUMPRODUCT((P$3:P$79="")*(O$3:O$79="")*(N$3:N$79="")*(M$3:M$79="P")*(G$3:G$79=G23)*(J$3:J$79&lt;J23)*(H$3:H$79&lt;&gt;H23)),-1*SUMPRODUCT((P$3:P$79="")*(O$3:O$79="")*(N$3:N$79="")*(M$3:M$79="P")*(G$3:G$79=G23)*(J$3:J$79&gt;J23)*(H$3:H$79="L5")))+1,""))))</f>
        <v/>
      </c>
      <c r="C23" s="36" t="s">
        <v>553</v>
      </c>
      <c r="D23" s="36" t="str">
        <f>IF(E23="","",VLOOKUP(E23,'Coaching Points'!A:B,2,0))</f>
        <v>AB</v>
      </c>
      <c r="E23" s="36" t="s">
        <v>91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1E-4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Scores'!I$13),AND(G23="15-16",U23&gt;='Qualifying Scores'!I$12),AND(G23="13-14",U23&gt;='Qualifying Scores'!I$11),AND(G23="11-12",U23&gt;='Qualifying Scores'!I$10)),T23,0),IF(OR(AND(G23="17-21",W23&gt;='Qualifying Scores'!I$13),AND(G23="15-16",W23&gt;='Qualifying Scores'!I$12),AND(G23="13-14",W23&gt;='Qualifying Scores'!I$11),AND(G23="11-12",W23&gt;='Qualifying Scores'!I$10)),V23,0),IF(OR(AND(G23="17-21",Y23&gt;='Qualifying Scores'!I$13),AND(G23="15-16",Y23&gt;='Qualifying Scores'!I$12),AND(G23="13-14",Y23&gt;='Qualifying Scores'!I$11),AND(G23="11-12",Y23&gt;='Qualifying Scores'!I$10)),X23,0),IF(OR(AND(G23="17-21",AA23&gt;='Qualifying Scores'!I$13),AND(G23="15-16",AA23&gt;='Qualifying Scores'!I$12),AND(G23="13-14",AA23&gt;='Qualifying Scores'!I$11),AND(G23="11-12",AA23&gt;='Qualifying Scores'!I$10)),Z23,0)))</f>
        <v>0</v>
      </c>
      <c r="S23" s="4">
        <f>MAX(T23,V23,X23,Z23)</f>
        <v>0</v>
      </c>
      <c r="T23" s="33"/>
      <c r="U23" s="40"/>
      <c r="V23" s="34"/>
      <c r="W23" s="40"/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$79&lt;&gt;"")*(G$3:G$79=G24)*(J$3:J$79&gt;J24)*(I$3:I$79="P"))+1,IF(O24&lt;&gt;"",SUMPRODUCT((O$3:O$79&lt;&gt;"")*(P$3:P$79="")*(G$3:G$79=G24)*(J$3:J$79&gt;J24)*(I$3:I$79="P"))+SUMPRODUCT((P$3:P$79&lt;&gt;"")*(G$3:G$79=G24)*(I$3:I$79="P"))+1,IF(N24&lt;&gt;"",SUMPRODUCT((N$3:N$79&lt;&gt;"")*(G$3:G$79=G24)*(J$3:J$79&gt;J24)*(I$3:I$79="P"))+1,IF(M24="P",SUMPRODUCT((O$3:O$79&lt;&gt;"")*(P$3:P$79="")*(G$3:G$79=G24)*(I$3:I$79="P"))+SUMPRODUCT((P$3:P$79&lt;&gt;"")*(G$3:G$79=G24)*(I$3:I$79="P"))+SUMPRODUCT((N$3:N$79&lt;&gt;"")*(G$3:G$79=G24)*(I$3:I$79="P"))+SUMPRODUCT((P$3:P$79="")*(O$3:O$79="")*(N$3:N$79="")*(M$3:M$79="P")*(G$3:G$79=G24)*(J$3:J$79&gt;J24)*(I$3:I$79="P"))+IF(H24="L5",SUMPRODUCT((P$3:P$79="")*(O$3:O$79="")*(N$3:N$79="")*(M$3:M$79="P")*(G$3:G$79=G24)*(J$3:J$79&lt;J24)*(H$3:H$79&lt;&gt;H24)*(I$3:I$79="P")),-1*SUMPRODUCT((P$3:P$79="")*(O$3:O$79="")*(N$3:N$79="")*(M$3:M$79="P")*(G$3:G$79=G24)*(J$3:J$79&gt;J24)*(H$3:H$79="L5")*(I$3:I$79="P")))+1,"")))))</f>
        <v/>
      </c>
      <c r="B24" s="1" t="str" cm="1">
        <f t="array" ref="B24">IF(P24&lt;&gt;"",SUMPRODUCT((P$3:P$79&lt;&gt;"")*(G$3:G$79=G24)*(J$3:J$79&gt;J24))+1,IF(O24&lt;&gt;"",SUMPRODUCT((O$3:O$79&lt;&gt;"")*(P$3:P$79="")*(G$3:G$79=G24)*(J$3:J$79&gt;J24))+SUMPRODUCT((P$3:P$79&lt;&gt;"")*(G$3:G$79=G24))+1,IF(N24&lt;&gt;"",SUMPRODUCT((N$3:N$79&lt;&gt;"")*(G$3:G$79=G24)*(J$3:J$79&gt;J24))+1,IF(M24="P",SUMPRODUCT((O$3:O$79&lt;&gt;"")*(P$3:P$79="")*(G$3:G$79=G24))+SUMPRODUCT((P$3:P$79&lt;&gt;"")*(G$3:G$79=G24))+SUMPRODUCT((N$3:N$79&lt;&gt;"")*(G$3:G$79=G24))+SUMPRODUCT((P$3:P$79="")*(O$3:O$79="")*(N$3:N$79="")*(M$3:M$79="P")*(G$3:G$79=G24)*(J$3:J$79&gt;J24))+IF(H24="L5",SUMPRODUCT((P$3:P$79="")*(O$3:O$79="")*(N$3:N$79="")*(M$3:M$79="P")*(G$3:G$79=G24)*(J$3:J$79&lt;J24)*(H$3:H$79&lt;&gt;H24)),-1*SUMPRODUCT((P$3:P$79="")*(O$3:O$79="")*(N$3:N$79="")*(M$3:M$79="P")*(G$3:G$79=G24)*(J$3:J$79&gt;J24)*(H$3:H$79="L5")))+1,""))))</f>
        <v/>
      </c>
      <c r="C24" s="36" t="s">
        <v>326</v>
      </c>
      <c r="D24" s="36" t="str">
        <f>IF(E24="","",VLOOKUP(E24,'Coaching Points'!A:B,2,0))</f>
        <v>ON</v>
      </c>
      <c r="E24" s="36" t="s">
        <v>320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4.1699999999999999E-6</v>
      </c>
      <c r="K24" s="3" t="str">
        <f>IF(G24="Not Age Eligible","",IF(MAX(T24,V24,X24,Z24)&gt;=LOOKUP(G24,'Qualifying Scores'!$A$4:$A$7,'Qualifying Scores'!$I$4:$I$7),"P",""))</f>
        <v>P</v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Scores'!I$13),AND(G24="15-16",U24&gt;='Qualifying Scores'!I$12),AND(G24="13-14",U24&gt;='Qualifying Scores'!I$11),AND(G24="11-12",U24&gt;='Qualifying Scores'!I$10)),T24,0),IF(OR(AND(G24="17-21",W24&gt;='Qualifying Scores'!I$13),AND(G24="15-16",W24&gt;='Qualifying Scores'!I$12),AND(G24="13-14",W24&gt;='Qualifying Scores'!I$11),AND(G24="11-12",W24&gt;='Qualifying Scores'!I$10)),V24,0),IF(OR(AND(G24="17-21",Y24&gt;='Qualifying Scores'!I$13),AND(G24="15-16",Y24&gt;='Qualifying Scores'!I$12),AND(G24="13-14",Y24&gt;='Qualifying Scores'!I$11),AND(G24="11-12",Y24&gt;='Qualifying Scores'!I$10)),X24,0),IF(OR(AND(G24="17-21",AA24&gt;='Qualifying Scores'!I$13),AND(G24="15-16",AA24&gt;='Qualifying Scores'!I$12),AND(G24="13-14",AA24&gt;='Qualifying Scores'!I$11),AND(G24="11-12",AA24&gt;='Qualifying Scores'!I$10)),Z24,0)))</f>
        <v>0</v>
      </c>
      <c r="S24" s="4">
        <f>MAX(T24,V24,X24,Z24)</f>
        <v>41.7</v>
      </c>
      <c r="T24" s="33">
        <v>38.700000000000003</v>
      </c>
      <c r="U24" s="40">
        <v>4.5999999999999996</v>
      </c>
      <c r="V24" s="34">
        <v>36.520000000000003</v>
      </c>
      <c r="W24" s="40">
        <v>4.5999999999999996</v>
      </c>
      <c r="X24" s="33">
        <v>41.7</v>
      </c>
      <c r="Y24" s="40">
        <v>5.7</v>
      </c>
      <c r="Z24" s="34">
        <v>40.5</v>
      </c>
      <c r="AA24" s="37">
        <v>5.7</v>
      </c>
    </row>
    <row r="25" spans="1:27" x14ac:dyDescent="0.2">
      <c r="A25" s="1" t="str" cm="1">
        <f t="array" ref="A25">IF(I25="","",IF(P25&lt;&gt;"",SUMPRODUCT((P$3:P$79&lt;&gt;"")*(G$3:G$79=G25)*(J$3:J$79&gt;J25)*(I$3:I$79="P"))+1,IF(O25&lt;&gt;"",SUMPRODUCT((O$3:O$79&lt;&gt;"")*(P$3:P$79="")*(G$3:G$79=G25)*(J$3:J$79&gt;J25)*(I$3:I$79="P"))+SUMPRODUCT((P$3:P$79&lt;&gt;"")*(G$3:G$79=G25)*(I$3:I$79="P"))+1,IF(N25&lt;&gt;"",SUMPRODUCT((N$3:N$79&lt;&gt;"")*(G$3:G$79=G25)*(J$3:J$79&gt;J25)*(I$3:I$79="P"))+1,IF(M25="P",SUMPRODUCT((O$3:O$79&lt;&gt;"")*(P$3:P$79="")*(G$3:G$79=G25)*(I$3:I$79="P"))+SUMPRODUCT((P$3:P$79&lt;&gt;"")*(G$3:G$79=G25)*(I$3:I$79="P"))+SUMPRODUCT((N$3:N$79&lt;&gt;"")*(G$3:G$79=G25)*(I$3:I$79="P"))+SUMPRODUCT((P$3:P$79="")*(O$3:O$79="")*(N$3:N$79="")*(M$3:M$79="P")*(G$3:G$79=G25)*(J$3:J$79&gt;J25)*(I$3:I$79="P"))+IF(H25="L5",SUMPRODUCT((P$3:P$79="")*(O$3:O$79="")*(N$3:N$79="")*(M$3:M$79="P")*(G$3:G$79=G25)*(J$3:J$79&lt;J25)*(H$3:H$79&lt;&gt;H25)*(I$3:I$79="P")),-1*SUMPRODUCT((P$3:P$79="")*(O$3:O$79="")*(N$3:N$79="")*(M$3:M$79="P")*(G$3:G$79=G25)*(J$3:J$79&gt;J25)*(H$3:H$79="L5")*(I$3:I$79="P")))+1,"")))))</f>
        <v/>
      </c>
      <c r="B25" s="1" t="str" cm="1">
        <f t="array" ref="B25">IF(P25&lt;&gt;"",SUMPRODUCT((P$3:P$79&lt;&gt;"")*(G$3:G$79=G25)*(J$3:J$79&gt;J25))+1,IF(O25&lt;&gt;"",SUMPRODUCT((O$3:O$79&lt;&gt;"")*(P$3:P$79="")*(G$3:G$79=G25)*(J$3:J$79&gt;J25))+SUMPRODUCT((P$3:P$79&lt;&gt;"")*(G$3:G$79=G25))+1,IF(N25&lt;&gt;"",SUMPRODUCT((N$3:N$79&lt;&gt;"")*(G$3:G$79=G25)*(J$3:J$79&gt;J25))+1,IF(M25="P",SUMPRODUCT((O$3:O$79&lt;&gt;"")*(P$3:P$79="")*(G$3:G$79=G25))+SUMPRODUCT((P$3:P$79&lt;&gt;"")*(G$3:G$79=G25))+SUMPRODUCT((N$3:N$79&lt;&gt;"")*(G$3:G$79=G25))+SUMPRODUCT((P$3:P$79="")*(O$3:O$79="")*(N$3:N$79="")*(M$3:M$79="P")*(G$3:G$79=G25)*(J$3:J$79&gt;J25))+IF(H25="L5",SUMPRODUCT((P$3:P$79="")*(O$3:O$79="")*(N$3:N$79="")*(M$3:M$79="P")*(G$3:G$79=G25)*(J$3:J$79&lt;J25)*(H$3:H$79&lt;&gt;H25)),-1*SUMPRODUCT((P$3:P$79="")*(O$3:O$79="")*(N$3:N$79="")*(M$3:M$79="P")*(G$3:G$79=G25)*(J$3:J$79&gt;J25)*(H$3:H$79="L5")))+1,""))))</f>
        <v/>
      </c>
      <c r="C25" s="36" t="s">
        <v>324</v>
      </c>
      <c r="D25" s="36" t="str">
        <f>IF(E25="","",VLOOKUP(E25,'Coaching Points'!A:B,2,0))</f>
        <v>ON</v>
      </c>
      <c r="E25" s="36" t="s">
        <v>48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115</v>
      </c>
      <c r="I25" s="45" t="s">
        <v>604</v>
      </c>
      <c r="J25" s="4">
        <f>R25+IF(OR(H25="Junior",H25="Senior"),0.0002,IF(OR(H25="L7",H25="L6"),0.0001,0))+MAX(X25,Z25)*0.0000001</f>
        <v>4.1099999999999996E-6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Scores'!I$13),AND(G25="15-16",U25&gt;='Qualifying Scores'!I$12),AND(G25="13-14",U25&gt;='Qualifying Scores'!I$11),AND(G25="11-12",U25&gt;='Qualifying Scores'!I$10)),T25,0),IF(OR(AND(G25="17-21",W25&gt;='Qualifying Scores'!I$13),AND(G25="15-16",W25&gt;='Qualifying Scores'!I$12),AND(G25="13-14",W25&gt;='Qualifying Scores'!I$11),AND(G25="11-12",W25&gt;='Qualifying Scores'!I$10)),V25,0),IF(OR(AND(G25="17-21",Y25&gt;='Qualifying Scores'!I$13),AND(G25="15-16",Y25&gt;='Qualifying Scores'!I$12),AND(G25="13-14",Y25&gt;='Qualifying Scores'!I$11),AND(G25="11-12",Y25&gt;='Qualifying Scores'!I$10)),X25,0),IF(OR(AND(G25="17-21",AA25&gt;='Qualifying Scores'!I$13),AND(G25="15-16",AA25&gt;='Qualifying Scores'!I$12),AND(G25="13-14",AA25&gt;='Qualifying Scores'!I$11),AND(G25="11-12",AA25&gt;='Qualifying Scores'!I$10)),Z25,0)))</f>
        <v>0</v>
      </c>
      <c r="S25" s="4">
        <f>MAX(T25,V25,X25,Z25)</f>
        <v>41.1</v>
      </c>
      <c r="T25" s="33">
        <v>37.94</v>
      </c>
      <c r="U25" s="40">
        <v>4.9000000000000004</v>
      </c>
      <c r="V25" s="34">
        <v>37.799999999999997</v>
      </c>
      <c r="W25" s="40">
        <v>6.2</v>
      </c>
      <c r="X25" s="33">
        <v>41.1</v>
      </c>
      <c r="Y25" s="40">
        <v>6.6</v>
      </c>
      <c r="Z25" s="34">
        <v>41.1</v>
      </c>
      <c r="AA25" s="37">
        <v>6.7</v>
      </c>
    </row>
    <row r="26" spans="1:27" x14ac:dyDescent="0.2">
      <c r="A26" s="1" t="str" cm="1">
        <f t="array" ref="A26">IF(I26="","",IF(P26&lt;&gt;"",SUMPRODUCT((P$3:P$79&lt;&gt;"")*(G$3:G$79=G26)*(J$3:J$79&gt;J26)*(I$3:I$79="P"))+1,IF(O26&lt;&gt;"",SUMPRODUCT((O$3:O$79&lt;&gt;"")*(P$3:P$79="")*(G$3:G$79=G26)*(J$3:J$79&gt;J26)*(I$3:I$79="P"))+SUMPRODUCT((P$3:P$79&lt;&gt;"")*(G$3:G$79=G26)*(I$3:I$79="P"))+1,IF(N26&lt;&gt;"",SUMPRODUCT((N$3:N$79&lt;&gt;"")*(G$3:G$79=G26)*(J$3:J$79&gt;J26)*(I$3:I$79="P"))+1,IF(M26="P",SUMPRODUCT((O$3:O$79&lt;&gt;"")*(P$3:P$79="")*(G$3:G$79=G26)*(I$3:I$79="P"))+SUMPRODUCT((P$3:P$79&lt;&gt;"")*(G$3:G$79=G26)*(I$3:I$79="P"))+SUMPRODUCT((N$3:N$79&lt;&gt;"")*(G$3:G$79=G26)*(I$3:I$79="P"))+SUMPRODUCT((P$3:P$79="")*(O$3:O$79="")*(N$3:N$79="")*(M$3:M$79="P")*(G$3:G$79=G26)*(J$3:J$79&gt;J26)*(I$3:I$79="P"))+IF(H26="L5",SUMPRODUCT((P$3:P$79="")*(O$3:O$79="")*(N$3:N$79="")*(M$3:M$79="P")*(G$3:G$79=G26)*(J$3:J$79&lt;J26)*(H$3:H$79&lt;&gt;H26)*(I$3:I$79="P")),-1*SUMPRODUCT((P$3:P$79="")*(O$3:O$79="")*(N$3:N$79="")*(M$3:M$79="P")*(G$3:G$79=G26)*(J$3:J$79&gt;J26)*(H$3:H$79="L5")*(I$3:I$79="P")))+1,"")))))</f>
        <v/>
      </c>
      <c r="B26" s="1" t="str" cm="1">
        <f t="array" ref="B26">IF(P26&lt;&gt;"",SUMPRODUCT((P$3:P$79&lt;&gt;"")*(G$3:G$79=G26)*(J$3:J$79&gt;J26))+1,IF(O26&lt;&gt;"",SUMPRODUCT((O$3:O$79&lt;&gt;"")*(P$3:P$79="")*(G$3:G$79=G26)*(J$3:J$79&gt;J26))+SUMPRODUCT((P$3:P$79&lt;&gt;"")*(G$3:G$79=G26))+1,IF(N26&lt;&gt;"",SUMPRODUCT((N$3:N$79&lt;&gt;"")*(G$3:G$79=G26)*(J$3:J$79&gt;J26))+1,IF(M26="P",SUMPRODUCT((O$3:O$79&lt;&gt;"")*(P$3:P$79="")*(G$3:G$79=G26))+SUMPRODUCT((P$3:P$79&lt;&gt;"")*(G$3:G$79=G26))+SUMPRODUCT((N$3:N$79&lt;&gt;"")*(G$3:G$79=G26))+SUMPRODUCT((P$3:P$79="")*(O$3:O$79="")*(N$3:N$79="")*(M$3:M$79="P")*(G$3:G$79=G26)*(J$3:J$79&gt;J26))+IF(H26="L5",SUMPRODUCT((P$3:P$79="")*(O$3:O$79="")*(N$3:N$79="")*(M$3:M$79="P")*(G$3:G$79=G26)*(J$3:J$79&lt;J26)*(H$3:H$79&lt;&gt;H26)),-1*SUMPRODUCT((P$3:P$79="")*(O$3:O$79="")*(N$3:N$79="")*(M$3:M$79="P")*(G$3:G$79=G26)*(J$3:J$79&gt;J26)*(H$3:H$79="L5")))+1,""))))</f>
        <v/>
      </c>
      <c r="C26" s="36" t="s">
        <v>530</v>
      </c>
      <c r="D26" s="36" t="s">
        <v>354</v>
      </c>
      <c r="E26" s="36" t="s">
        <v>89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115</v>
      </c>
      <c r="I26" s="45"/>
      <c r="J26" s="4">
        <f>R26+IF(OR(H26="Junior",H26="Senior"),0.0002,IF(OR(H26="L7",H26="L6"),0.0001,0))+MAX(X26,Z26)*0.0000001</f>
        <v>4.0799999999999999E-6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Scores'!I$13),AND(G26="15-16",U26&gt;='Qualifying Scores'!I$12),AND(G26="13-14",U26&gt;='Qualifying Scores'!I$11),AND(G26="11-12",U26&gt;='Qualifying Scores'!I$10)),T26,0),IF(OR(AND(G26="17-21",W26&gt;='Qualifying Scores'!I$13),AND(G26="15-16",W26&gt;='Qualifying Scores'!I$12),AND(G26="13-14",W26&gt;='Qualifying Scores'!I$11),AND(G26="11-12",W26&gt;='Qualifying Scores'!I$10)),V26,0),IF(OR(AND(G26="17-21",Y26&gt;='Qualifying Scores'!I$13),AND(G26="15-16",Y26&gt;='Qualifying Scores'!I$12),AND(G26="13-14",Y26&gt;='Qualifying Scores'!I$11),AND(G26="11-12",Y26&gt;='Qualifying Scores'!I$10)),X26,0),IF(OR(AND(G26="17-21",AA26&gt;='Qualifying Scores'!I$13),AND(G26="15-16",AA26&gt;='Qualifying Scores'!I$12),AND(G26="13-14",AA26&gt;='Qualifying Scores'!I$11),AND(G26="11-12",AA26&gt;='Qualifying Scores'!I$10)),Z26,0)))</f>
        <v>0</v>
      </c>
      <c r="S26" s="4">
        <f>MAX(T26,V26,X26,Z26)</f>
        <v>40.799999999999997</v>
      </c>
      <c r="T26" s="33"/>
      <c r="U26" s="40"/>
      <c r="V26" s="34"/>
      <c r="W26" s="40"/>
      <c r="X26" s="33">
        <v>40.799999999999997</v>
      </c>
      <c r="Y26" s="40">
        <v>5.5</v>
      </c>
      <c r="Z26" s="34">
        <v>40.4</v>
      </c>
      <c r="AA26" s="37">
        <v>5.5</v>
      </c>
    </row>
    <row r="27" spans="1:27" x14ac:dyDescent="0.2">
      <c r="A27" s="1" t="str" cm="1">
        <f t="array" ref="A27">IF(I27="","",IF(P27&lt;&gt;"",SUMPRODUCT((P$3:P$79&lt;&gt;"")*(G$3:G$79=G27)*(J$3:J$79&gt;J27)*(I$3:I$79="P"))+1,IF(O27&lt;&gt;"",SUMPRODUCT((O$3:O$79&lt;&gt;"")*(P$3:P$79="")*(G$3:G$79=G27)*(J$3:J$79&gt;J27)*(I$3:I$79="P"))+SUMPRODUCT((P$3:P$79&lt;&gt;"")*(G$3:G$79=G27)*(I$3:I$79="P"))+1,IF(N27&lt;&gt;"",SUMPRODUCT((N$3:N$79&lt;&gt;"")*(G$3:G$79=G27)*(J$3:J$79&gt;J27)*(I$3:I$79="P"))+1,IF(M27="P",SUMPRODUCT((O$3:O$79&lt;&gt;"")*(P$3:P$79="")*(G$3:G$79=G27)*(I$3:I$79="P"))+SUMPRODUCT((P$3:P$79&lt;&gt;"")*(G$3:G$79=G27)*(I$3:I$79="P"))+SUMPRODUCT((N$3:N$79&lt;&gt;"")*(G$3:G$79=G27)*(I$3:I$79="P"))+SUMPRODUCT((P$3:P$79="")*(O$3:O$79="")*(N$3:N$79="")*(M$3:M$79="P")*(G$3:G$79=G27)*(J$3:J$79&gt;J27)*(I$3:I$79="P"))+IF(H27="L5",SUMPRODUCT((P$3:P$79="")*(O$3:O$79="")*(N$3:N$79="")*(M$3:M$79="P")*(G$3:G$79=G27)*(J$3:J$79&lt;J27)*(H$3:H$79&lt;&gt;H27)*(I$3:I$79="P")),-1*SUMPRODUCT((P$3:P$79="")*(O$3:O$79="")*(N$3:N$79="")*(M$3:M$79="P")*(G$3:G$79=G27)*(J$3:J$79&gt;J27)*(H$3:H$79="L5")*(I$3:I$79="P")))+1,"")))))</f>
        <v/>
      </c>
      <c r="B27" s="1" t="str" cm="1">
        <f t="array" ref="B27">IF(P27&lt;&gt;"",SUMPRODUCT((P$3:P$79&lt;&gt;"")*(G$3:G$79=G27)*(J$3:J$79&gt;J27))+1,IF(O27&lt;&gt;"",SUMPRODUCT((O$3:O$79&lt;&gt;"")*(P$3:P$79="")*(G$3:G$79=G27)*(J$3:J$79&gt;J27))+SUMPRODUCT((P$3:P$79&lt;&gt;"")*(G$3:G$79=G27))+1,IF(N27&lt;&gt;"",SUMPRODUCT((N$3:N$79&lt;&gt;"")*(G$3:G$79=G27)*(J$3:J$79&gt;J27))+1,IF(M27="P",SUMPRODUCT((O$3:O$79&lt;&gt;"")*(P$3:P$79="")*(G$3:G$79=G27))+SUMPRODUCT((P$3:P$79&lt;&gt;"")*(G$3:G$79=G27))+SUMPRODUCT((N$3:N$79&lt;&gt;"")*(G$3:G$79=G27))+SUMPRODUCT((P$3:P$79="")*(O$3:O$79="")*(N$3:N$79="")*(M$3:M$79="P")*(G$3:G$79=G27)*(J$3:J$79&gt;J27))+IF(H27="L5",SUMPRODUCT((P$3:P$79="")*(O$3:O$79="")*(N$3:N$79="")*(M$3:M$79="P")*(G$3:G$79=G27)*(J$3:J$79&lt;J27)*(H$3:H$79&lt;&gt;H27)),-1*SUMPRODUCT((P$3:P$79="")*(O$3:O$79="")*(N$3:N$79="")*(M$3:M$79="P")*(G$3:G$79=G27)*(J$3:J$79&gt;J27)*(H$3:H$79="L5")))+1,""))))</f>
        <v/>
      </c>
      <c r="C27" s="36" t="s">
        <v>331</v>
      </c>
      <c r="D27" s="36" t="str">
        <f>IF(E27="","",VLOOKUP(E27,'Coaching Points'!A:B,2,0))</f>
        <v>QC</v>
      </c>
      <c r="E27" s="36" t="s">
        <v>3</v>
      </c>
      <c r="F27" s="35">
        <v>2001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115</v>
      </c>
      <c r="I27" s="45"/>
      <c r="J27" s="4">
        <f>R27+IF(OR(H27="Junior",H27="Senior"),0.0002,IF(OR(H27="L7",H27="L6"),0.0001,0))+MAX(X27,Z27)*0.0000001</f>
        <v>4.0799999999999999E-6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Scores'!I$13),AND(G27="15-16",U27&gt;='Qualifying Scores'!I$12),AND(G27="13-14",U27&gt;='Qualifying Scores'!I$11),AND(G27="11-12",U27&gt;='Qualifying Scores'!I$10)),T27,0),IF(OR(AND(G27="17-21",W27&gt;='Qualifying Scores'!I$13),AND(G27="15-16",W27&gt;='Qualifying Scores'!I$12),AND(G27="13-14",W27&gt;='Qualifying Scores'!I$11),AND(G27="11-12",W27&gt;='Qualifying Scores'!I$10)),V27,0),IF(OR(AND(G27="17-21",Y27&gt;='Qualifying Scores'!I$13),AND(G27="15-16",Y27&gt;='Qualifying Scores'!I$12),AND(G27="13-14",Y27&gt;='Qualifying Scores'!I$11),AND(G27="11-12",Y27&gt;='Qualifying Scores'!I$10)),X27,0),IF(OR(AND(G27="17-21",AA27&gt;='Qualifying Scores'!I$13),AND(G27="15-16",AA27&gt;='Qualifying Scores'!I$12),AND(G27="13-14",AA27&gt;='Qualifying Scores'!I$11),AND(G27="11-12",AA27&gt;='Qualifying Scores'!I$10)),Z27,0)))</f>
        <v>0</v>
      </c>
      <c r="S27" s="4">
        <f>MAX(T27,V27,X27,Z27)</f>
        <v>40.799999999999997</v>
      </c>
      <c r="T27" s="33">
        <v>36.56</v>
      </c>
      <c r="U27" s="40">
        <v>4.4000000000000004</v>
      </c>
      <c r="V27" s="34">
        <v>0</v>
      </c>
      <c r="W27" s="40">
        <v>0</v>
      </c>
      <c r="X27" s="33">
        <v>40.700000000000003</v>
      </c>
      <c r="Y27" s="40">
        <v>4.4000000000000004</v>
      </c>
      <c r="Z27" s="34">
        <v>40.799999999999997</v>
      </c>
      <c r="AA27" s="37">
        <v>4.8</v>
      </c>
    </row>
    <row r="28" spans="1:27" x14ac:dyDescent="0.2">
      <c r="A28" s="1" t="str" cm="1">
        <f t="array" ref="A28">IF(I28="","",IF(P28&lt;&gt;"",SUMPRODUCT((P$3:P$79&lt;&gt;"")*(G$3:G$79=G28)*(J$3:J$79&gt;J28)*(I$3:I$79="P"))+1,IF(O28&lt;&gt;"",SUMPRODUCT((O$3:O$79&lt;&gt;"")*(P$3:P$79="")*(G$3:G$79=G28)*(J$3:J$79&gt;J28)*(I$3:I$79="P"))+SUMPRODUCT((P$3:P$79&lt;&gt;"")*(G$3:G$79=G28)*(I$3:I$79="P"))+1,IF(N28&lt;&gt;"",SUMPRODUCT((N$3:N$79&lt;&gt;"")*(G$3:G$79=G28)*(J$3:J$79&gt;J28)*(I$3:I$79="P"))+1,IF(M28="P",SUMPRODUCT((O$3:O$79&lt;&gt;"")*(P$3:P$79="")*(G$3:G$79=G28)*(I$3:I$79="P"))+SUMPRODUCT((P$3:P$79&lt;&gt;"")*(G$3:G$79=G28)*(I$3:I$79="P"))+SUMPRODUCT((N$3:N$79&lt;&gt;"")*(G$3:G$79=G28)*(I$3:I$79="P"))+SUMPRODUCT((P$3:P$79="")*(O$3:O$79="")*(N$3:N$79="")*(M$3:M$79="P")*(G$3:G$79=G28)*(J$3:J$79&gt;J28)*(I$3:I$79="P"))+IF(H28="L5",SUMPRODUCT((P$3:P$79="")*(O$3:O$79="")*(N$3:N$79="")*(M$3:M$79="P")*(G$3:G$79=G28)*(J$3:J$79&lt;J28)*(H$3:H$79&lt;&gt;H28)*(I$3:I$79="P")),-1*SUMPRODUCT((P$3:P$79="")*(O$3:O$79="")*(N$3:N$79="")*(M$3:M$79="P")*(G$3:G$79=G28)*(J$3:J$79&gt;J28)*(H$3:H$79="L5")*(I$3:I$79="P")))+1,"")))))</f>
        <v/>
      </c>
      <c r="B28" s="1" t="str" cm="1">
        <f t="array" ref="B28">IF(P28&lt;&gt;"",SUMPRODUCT((P$3:P$79&lt;&gt;"")*(G$3:G$79=G28)*(J$3:J$79&gt;J28))+1,IF(O28&lt;&gt;"",SUMPRODUCT((O$3:O$79&lt;&gt;"")*(P$3:P$79="")*(G$3:G$79=G28)*(J$3:J$79&gt;J28))+SUMPRODUCT((P$3:P$79&lt;&gt;"")*(G$3:G$79=G28))+1,IF(N28&lt;&gt;"",SUMPRODUCT((N$3:N$79&lt;&gt;"")*(G$3:G$79=G28)*(J$3:J$79&gt;J28))+1,IF(M28="P",SUMPRODUCT((O$3:O$79&lt;&gt;"")*(P$3:P$79="")*(G$3:G$79=G28))+SUMPRODUCT((P$3:P$79&lt;&gt;"")*(G$3:G$79=G28))+SUMPRODUCT((N$3:N$79&lt;&gt;"")*(G$3:G$79=G28))+SUMPRODUCT((P$3:P$79="")*(O$3:O$79="")*(N$3:N$79="")*(M$3:M$79="P")*(G$3:G$79=G28)*(J$3:J$79&gt;J28))+IF(H28="L5",SUMPRODUCT((P$3:P$79="")*(O$3:O$79="")*(N$3:N$79="")*(M$3:M$79="P")*(G$3:G$79=G28)*(J$3:J$79&lt;J28)*(H$3:H$79&lt;&gt;H28)),-1*SUMPRODUCT((P$3:P$79="")*(O$3:O$79="")*(N$3:N$79="")*(M$3:M$79="P")*(G$3:G$79=G28)*(J$3:J$79&gt;J28)*(H$3:H$79="L5")))+1,""))))</f>
        <v/>
      </c>
      <c r="C28" s="36" t="s">
        <v>325</v>
      </c>
      <c r="D28" s="36" t="str">
        <f>IF(E28="","",VLOOKUP(E28,'Coaching Points'!A:B,2,0))</f>
        <v>ON</v>
      </c>
      <c r="E28" s="36" t="s">
        <v>310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4.0299999999999995E-6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Scores'!I$13),AND(G28="15-16",U28&gt;='Qualifying Scores'!I$12),AND(G28="13-14",U28&gt;='Qualifying Scores'!I$11),AND(G28="11-12",U28&gt;='Qualifying Scores'!I$10)),T28,0),IF(OR(AND(G28="17-21",W28&gt;='Qualifying Scores'!I$13),AND(G28="15-16",W28&gt;='Qualifying Scores'!I$12),AND(G28="13-14",W28&gt;='Qualifying Scores'!I$11),AND(G28="11-12",W28&gt;='Qualifying Scores'!I$10)),V28,0),IF(OR(AND(G28="17-21",Y28&gt;='Qualifying Scores'!I$13),AND(G28="15-16",Y28&gt;='Qualifying Scores'!I$12),AND(G28="13-14",Y28&gt;='Qualifying Scores'!I$11),AND(G28="11-12",Y28&gt;='Qualifying Scores'!I$10)),X28,0),IF(OR(AND(G28="17-21",AA28&gt;='Qualifying Scores'!I$13),AND(G28="15-16",AA28&gt;='Qualifying Scores'!I$12),AND(G28="13-14",AA28&gt;='Qualifying Scores'!I$11),AND(G28="11-12",AA28&gt;='Qualifying Scores'!I$10)),Z28,0)))</f>
        <v>0</v>
      </c>
      <c r="S28" s="4">
        <f>MAX(T28,V28,X28,Z28)</f>
        <v>40.299999999999997</v>
      </c>
      <c r="T28" s="33">
        <v>39.200000000000003</v>
      </c>
      <c r="U28" s="40">
        <v>5.3</v>
      </c>
      <c r="V28" s="34">
        <v>37.1</v>
      </c>
      <c r="W28" s="40">
        <v>4.5999999999999996</v>
      </c>
      <c r="X28" s="33">
        <v>40.299999999999997</v>
      </c>
      <c r="Y28" s="40">
        <v>6</v>
      </c>
      <c r="Z28" s="34">
        <v>37.4</v>
      </c>
      <c r="AA28" s="37">
        <v>5.2</v>
      </c>
    </row>
    <row r="29" spans="1:27" x14ac:dyDescent="0.2">
      <c r="A29" s="1" t="str" cm="1">
        <f t="array" ref="A29">IF(I29="","",IF(P29&lt;&gt;"",SUMPRODUCT((P$3:P$79&lt;&gt;"")*(G$3:G$79=G29)*(J$3:J$79&gt;J29)*(I$3:I$79="P"))+1,IF(O29&lt;&gt;"",SUMPRODUCT((O$3:O$79&lt;&gt;"")*(P$3:P$79="")*(G$3:G$79=G29)*(J$3:J$79&gt;J29)*(I$3:I$79="P"))+SUMPRODUCT((P$3:P$79&lt;&gt;"")*(G$3:G$79=G29)*(I$3:I$79="P"))+1,IF(N29&lt;&gt;"",SUMPRODUCT((N$3:N$79&lt;&gt;"")*(G$3:G$79=G29)*(J$3:J$79&gt;J29)*(I$3:I$79="P"))+1,IF(M29="P",SUMPRODUCT((O$3:O$79&lt;&gt;"")*(P$3:P$79="")*(G$3:G$79=G29)*(I$3:I$79="P"))+SUMPRODUCT((P$3:P$79&lt;&gt;"")*(G$3:G$79=G29)*(I$3:I$79="P"))+SUMPRODUCT((N$3:N$79&lt;&gt;"")*(G$3:G$79=G29)*(I$3:I$79="P"))+SUMPRODUCT((P$3:P$79="")*(O$3:O$79="")*(N$3:N$79="")*(M$3:M$79="P")*(G$3:G$79=G29)*(J$3:J$79&gt;J29)*(I$3:I$79="P"))+IF(H29="L5",SUMPRODUCT((P$3:P$79="")*(O$3:O$79="")*(N$3:N$79="")*(M$3:M$79="P")*(G$3:G$79=G29)*(J$3:J$79&lt;J29)*(H$3:H$79&lt;&gt;H29)*(I$3:I$79="P")),-1*SUMPRODUCT((P$3:P$79="")*(O$3:O$79="")*(N$3:N$79="")*(M$3:M$79="P")*(G$3:G$79=G29)*(J$3:J$79&gt;J29)*(H$3:H$79="L5")*(I$3:I$79="P")))+1,"")))))</f>
        <v/>
      </c>
      <c r="B29" s="1" t="str" cm="1">
        <f t="array" ref="B29">IF(P29&lt;&gt;"",SUMPRODUCT((P$3:P$79&lt;&gt;"")*(G$3:G$79=G29)*(J$3:J$79&gt;J29))+1,IF(O29&lt;&gt;"",SUMPRODUCT((O$3:O$79&lt;&gt;"")*(P$3:P$79="")*(G$3:G$79=G29)*(J$3:J$79&gt;J29))+SUMPRODUCT((P$3:P$79&lt;&gt;"")*(G$3:G$79=G29))+1,IF(N29&lt;&gt;"",SUMPRODUCT((N$3:N$79&lt;&gt;"")*(G$3:G$79=G29)*(J$3:J$79&gt;J29))+1,IF(M29="P",SUMPRODUCT((O$3:O$79&lt;&gt;"")*(P$3:P$79="")*(G$3:G$79=G29))+SUMPRODUCT((P$3:P$79&lt;&gt;"")*(G$3:G$79=G29))+SUMPRODUCT((N$3:N$79&lt;&gt;"")*(G$3:G$79=G29))+SUMPRODUCT((P$3:P$79="")*(O$3:O$79="")*(N$3:N$79="")*(M$3:M$79="P")*(G$3:G$79=G29)*(J$3:J$79&gt;J29))+IF(H29="L5",SUMPRODUCT((P$3:P$79="")*(O$3:O$79="")*(N$3:N$79="")*(M$3:M$79="P")*(G$3:G$79=G29)*(J$3:J$79&lt;J29)*(H$3:H$79&lt;&gt;H29)),-1*SUMPRODUCT((P$3:P$79="")*(O$3:O$79="")*(N$3:N$79="")*(M$3:M$79="P")*(G$3:G$79=G29)*(J$3:J$79&gt;J29)*(H$3:H$79="L5")))+1,""))))</f>
        <v/>
      </c>
      <c r="C29" s="36" t="s">
        <v>528</v>
      </c>
      <c r="D29" s="36" t="s">
        <v>354</v>
      </c>
      <c r="E29" s="36" t="s">
        <v>89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3.9799999999999992E-6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Scores'!I$13),AND(G29="15-16",U29&gt;='Qualifying Scores'!I$12),AND(G29="13-14",U29&gt;='Qualifying Scores'!I$11),AND(G29="11-12",U29&gt;='Qualifying Scores'!I$10)),T29,0),IF(OR(AND(G29="17-21",W29&gt;='Qualifying Scores'!I$13),AND(G29="15-16",W29&gt;='Qualifying Scores'!I$12),AND(G29="13-14",W29&gt;='Qualifying Scores'!I$11),AND(G29="11-12",W29&gt;='Qualifying Scores'!I$10)),V29,0),IF(OR(AND(G29="17-21",Y29&gt;='Qualifying Scores'!I$13),AND(G29="15-16",Y29&gt;='Qualifying Scores'!I$12),AND(G29="13-14",Y29&gt;='Qualifying Scores'!I$11),AND(G29="11-12",Y29&gt;='Qualifying Scores'!I$10)),X29,0),IF(OR(AND(G29="17-21",AA29&gt;='Qualifying Scores'!I$13),AND(G29="15-16",AA29&gt;='Qualifying Scores'!I$12),AND(G29="13-14",AA29&gt;='Qualifying Scores'!I$11),AND(G29="11-12",AA29&gt;='Qualifying Scores'!I$10)),Z29,0)))</f>
        <v>0</v>
      </c>
      <c r="S29" s="4">
        <f>MAX(T29,V29,X29,Z29)</f>
        <v>39.799999999999997</v>
      </c>
      <c r="T29" s="33"/>
      <c r="U29" s="40"/>
      <c r="V29" s="34"/>
      <c r="W29" s="40"/>
      <c r="X29" s="33">
        <v>39</v>
      </c>
      <c r="Y29" s="40">
        <v>5.3</v>
      </c>
      <c r="Z29" s="34">
        <v>39.799999999999997</v>
      </c>
      <c r="AA29" s="37">
        <v>5.3</v>
      </c>
    </row>
    <row r="30" spans="1:27" x14ac:dyDescent="0.2">
      <c r="A30" s="1" t="str" cm="1">
        <f t="array" ref="A30">IF(I30="","",IF(P30&lt;&gt;"",SUMPRODUCT((P$3:P$79&lt;&gt;"")*(G$3:G$79=G30)*(J$3:J$79&gt;J30)*(I$3:I$79="P"))+1,IF(O30&lt;&gt;"",SUMPRODUCT((O$3:O$79&lt;&gt;"")*(P$3:P$79="")*(G$3:G$79=G30)*(J$3:J$79&gt;J30)*(I$3:I$79="P"))+SUMPRODUCT((P$3:P$79&lt;&gt;"")*(G$3:G$79=G30)*(I$3:I$79="P"))+1,IF(N30&lt;&gt;"",SUMPRODUCT((N$3:N$79&lt;&gt;"")*(G$3:G$79=G30)*(J$3:J$79&gt;J30)*(I$3:I$79="P"))+1,IF(M30="P",SUMPRODUCT((O$3:O$79&lt;&gt;"")*(P$3:P$79="")*(G$3:G$79=G30)*(I$3:I$79="P"))+SUMPRODUCT((P$3:P$79&lt;&gt;"")*(G$3:G$79=G30)*(I$3:I$79="P"))+SUMPRODUCT((N$3:N$79&lt;&gt;"")*(G$3:G$79=G30)*(I$3:I$79="P"))+SUMPRODUCT((P$3:P$79="")*(O$3:O$79="")*(N$3:N$79="")*(M$3:M$79="P")*(G$3:G$79=G30)*(J$3:J$79&gt;J30)*(I$3:I$79="P"))+IF(H30="L5",SUMPRODUCT((P$3:P$79="")*(O$3:O$79="")*(N$3:N$79="")*(M$3:M$79="P")*(G$3:G$79=G30)*(J$3:J$79&lt;J30)*(H$3:H$79&lt;&gt;H30)*(I$3:I$79="P")),-1*SUMPRODUCT((P$3:P$79="")*(O$3:O$79="")*(N$3:N$79="")*(M$3:M$79="P")*(G$3:G$79=G30)*(J$3:J$79&gt;J30)*(H$3:H$79="L5")*(I$3:I$79="P")))+1,"")))))</f>
        <v/>
      </c>
      <c r="B30" s="1" t="str" cm="1">
        <f t="array" ref="B30">IF(P30&lt;&gt;"",SUMPRODUCT((P$3:P$79&lt;&gt;"")*(G$3:G$79=G30)*(J$3:J$79&gt;J30))+1,IF(O30&lt;&gt;"",SUMPRODUCT((O$3:O$79&lt;&gt;"")*(P$3:P$79="")*(G$3:G$79=G30)*(J$3:J$79&gt;J30))+SUMPRODUCT((P$3:P$79&lt;&gt;"")*(G$3:G$79=G30))+1,IF(N30&lt;&gt;"",SUMPRODUCT((N$3:N$79&lt;&gt;"")*(G$3:G$79=G30)*(J$3:J$79&gt;J30))+1,IF(M30="P",SUMPRODUCT((O$3:O$79&lt;&gt;"")*(P$3:P$79="")*(G$3:G$79=G30))+SUMPRODUCT((P$3:P$79&lt;&gt;"")*(G$3:G$79=G30))+SUMPRODUCT((N$3:N$79&lt;&gt;"")*(G$3:G$79=G30))+SUMPRODUCT((P$3:P$79="")*(O$3:O$79="")*(N$3:N$79="")*(M$3:M$79="P")*(G$3:G$79=G30)*(J$3:J$79&gt;J30))+IF(H30="L5",SUMPRODUCT((P$3:P$79="")*(O$3:O$79="")*(N$3:N$79="")*(M$3:M$79="P")*(G$3:G$79=G30)*(J$3:J$79&lt;J30)*(H$3:H$79&lt;&gt;H30)),-1*SUMPRODUCT((P$3:P$79="")*(O$3:O$79="")*(N$3:N$79="")*(M$3:M$79="P")*(G$3:G$79=G30)*(J$3:J$79&gt;J30)*(H$3:H$79="L5")))+1,""))))</f>
        <v/>
      </c>
      <c r="C30" s="36" t="s">
        <v>330</v>
      </c>
      <c r="D30" s="36" t="str">
        <f>IF(E30="","",VLOOKUP(E30,'Coaching Points'!A:B,2,0))</f>
        <v>SK</v>
      </c>
      <c r="E30" s="36" t="s">
        <v>46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3.9700000000000001E-6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Scores'!I$13),AND(G30="15-16",U30&gt;='Qualifying Scores'!I$12),AND(G30="13-14",U30&gt;='Qualifying Scores'!I$11),AND(G30="11-12",U30&gt;='Qualifying Scores'!I$10)),T30,0),IF(OR(AND(G30="17-21",W30&gt;='Qualifying Scores'!I$13),AND(G30="15-16",W30&gt;='Qualifying Scores'!I$12),AND(G30="13-14",W30&gt;='Qualifying Scores'!I$11),AND(G30="11-12",W30&gt;='Qualifying Scores'!I$10)),V30,0),IF(OR(AND(G30="17-21",Y30&gt;='Qualifying Scores'!I$13),AND(G30="15-16",Y30&gt;='Qualifying Scores'!I$12),AND(G30="13-14",Y30&gt;='Qualifying Scores'!I$11),AND(G30="11-12",Y30&gt;='Qualifying Scores'!I$10)),X30,0),IF(OR(AND(G30="17-21",AA30&gt;='Qualifying Scores'!I$13),AND(G30="15-16",AA30&gt;='Qualifying Scores'!I$12),AND(G30="13-14",AA30&gt;='Qualifying Scores'!I$11),AND(G30="11-12",AA30&gt;='Qualifying Scores'!I$10)),Z30,0)))</f>
        <v>0</v>
      </c>
      <c r="S30" s="4">
        <f>MAX(T30,V30,X30,Z30)</f>
        <v>39.700000000000003</v>
      </c>
      <c r="T30" s="33">
        <v>37.400000000000006</v>
      </c>
      <c r="U30" s="40">
        <v>4.4000000000000004</v>
      </c>
      <c r="V30" s="34">
        <v>34.9</v>
      </c>
      <c r="W30" s="40">
        <v>4.5</v>
      </c>
      <c r="X30" s="33">
        <v>38.9</v>
      </c>
      <c r="Y30" s="40">
        <v>5.8</v>
      </c>
      <c r="Z30" s="34">
        <v>39.700000000000003</v>
      </c>
      <c r="AA30" s="37">
        <v>5.8</v>
      </c>
    </row>
    <row r="31" spans="1:27" x14ac:dyDescent="0.2">
      <c r="A31" s="1" t="str" cm="1">
        <f t="array" ref="A31">IF(I31="","",IF(P31&lt;&gt;"",SUMPRODUCT((P$3:P$79&lt;&gt;"")*(G$3:G$79=G31)*(J$3:J$79&gt;J31)*(I$3:I$79="P"))+1,IF(O31&lt;&gt;"",SUMPRODUCT((O$3:O$79&lt;&gt;"")*(P$3:P$79="")*(G$3:G$79=G31)*(J$3:J$79&gt;J31)*(I$3:I$79="P"))+SUMPRODUCT((P$3:P$79&lt;&gt;"")*(G$3:G$79=G31)*(I$3:I$79="P"))+1,IF(N31&lt;&gt;"",SUMPRODUCT((N$3:N$79&lt;&gt;"")*(G$3:G$79=G31)*(J$3:J$79&gt;J31)*(I$3:I$79="P"))+1,IF(M31="P",SUMPRODUCT((O$3:O$79&lt;&gt;"")*(P$3:P$79="")*(G$3:G$79=G31)*(I$3:I$79="P"))+SUMPRODUCT((P$3:P$79&lt;&gt;"")*(G$3:G$79=G31)*(I$3:I$79="P"))+SUMPRODUCT((N$3:N$79&lt;&gt;"")*(G$3:G$79=G31)*(I$3:I$79="P"))+SUMPRODUCT((P$3:P$79="")*(O$3:O$79="")*(N$3:N$79="")*(M$3:M$79="P")*(G$3:G$79=G31)*(J$3:J$79&gt;J31)*(I$3:I$79="P"))+IF(H31="L5",SUMPRODUCT((P$3:P$79="")*(O$3:O$79="")*(N$3:N$79="")*(M$3:M$79="P")*(G$3:G$79=G31)*(J$3:J$79&lt;J31)*(H$3:H$79&lt;&gt;H31)*(I$3:I$79="P")),-1*SUMPRODUCT((P$3:P$79="")*(O$3:O$79="")*(N$3:N$79="")*(M$3:M$79="P")*(G$3:G$79=G31)*(J$3:J$79&gt;J31)*(H$3:H$79="L5")*(I$3:I$79="P")))+1,"")))))</f>
        <v/>
      </c>
      <c r="B31" s="1" t="str" cm="1">
        <f t="array" ref="B31">IF(P31&lt;&gt;"",SUMPRODUCT((P$3:P$79&lt;&gt;"")*(G$3:G$79=G31)*(J$3:J$79&gt;J31))+1,IF(O31&lt;&gt;"",SUMPRODUCT((O$3:O$79&lt;&gt;"")*(P$3:P$79="")*(G$3:G$79=G31)*(J$3:J$79&gt;J31))+SUMPRODUCT((P$3:P$79&lt;&gt;"")*(G$3:G$79=G31))+1,IF(N31&lt;&gt;"",SUMPRODUCT((N$3:N$79&lt;&gt;"")*(G$3:G$79=G31)*(J$3:J$79&gt;J31))+1,IF(M31="P",SUMPRODUCT((O$3:O$79&lt;&gt;"")*(P$3:P$79="")*(G$3:G$79=G31))+SUMPRODUCT((P$3:P$79&lt;&gt;"")*(G$3:G$79=G31))+SUMPRODUCT((N$3:N$79&lt;&gt;"")*(G$3:G$79=G31))+SUMPRODUCT((P$3:P$79="")*(O$3:O$79="")*(N$3:N$79="")*(M$3:M$79="P")*(G$3:G$79=G31)*(J$3:J$79&gt;J31))+IF(H31="L5",SUMPRODUCT((P$3:P$79="")*(O$3:O$79="")*(N$3:N$79="")*(M$3:M$79="P")*(G$3:G$79=G31)*(J$3:J$79&lt;J31)*(H$3:H$79&lt;&gt;H31)),-1*SUMPRODUCT((P$3:P$79="")*(O$3:O$79="")*(N$3:N$79="")*(M$3:M$79="P")*(G$3:G$79=G31)*(J$3:J$79&gt;J31)*(H$3:H$79="L5")))+1,""))))</f>
        <v/>
      </c>
      <c r="C31" s="36" t="s">
        <v>593</v>
      </c>
      <c r="D31" s="36" t="s">
        <v>352</v>
      </c>
      <c r="E31" s="36" t="s">
        <v>310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3.9499999999999995E-6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Scores'!I$13),AND(G31="15-16",U31&gt;='Qualifying Scores'!I$12),AND(G31="13-14",U31&gt;='Qualifying Scores'!I$11),AND(G31="11-12",U31&gt;='Qualifying Scores'!I$10)),T31,0),IF(OR(AND(G31="17-21",W31&gt;='Qualifying Scores'!I$13),AND(G31="15-16",W31&gt;='Qualifying Scores'!I$12),AND(G31="13-14",W31&gt;='Qualifying Scores'!I$11),AND(G31="11-12",W31&gt;='Qualifying Scores'!I$10)),V31,0),IF(OR(AND(G31="17-21",Y31&gt;='Qualifying Scores'!I$13),AND(G31="15-16",Y31&gt;='Qualifying Scores'!I$12),AND(G31="13-14",Y31&gt;='Qualifying Scores'!I$11),AND(G31="11-12",Y31&gt;='Qualifying Scores'!I$10)),X31,0),IF(OR(AND(G31="17-21",AA31&gt;='Qualifying Scores'!I$13),AND(G31="15-16",AA31&gt;='Qualifying Scores'!I$12),AND(G31="13-14",AA31&gt;='Qualifying Scores'!I$11),AND(G31="11-12",AA31&gt;='Qualifying Scores'!I$10)),Z31,0)))</f>
        <v>0</v>
      </c>
      <c r="S31" s="4">
        <f>MAX(T31,V31,X31,Z31)</f>
        <v>39.5</v>
      </c>
      <c r="T31" s="33"/>
      <c r="U31" s="40"/>
      <c r="V31" s="34"/>
      <c r="W31" s="40"/>
      <c r="X31" s="33">
        <v>39.200000000000003</v>
      </c>
      <c r="Y31" s="40">
        <v>4.4000000000000004</v>
      </c>
      <c r="Z31" s="34">
        <v>39.5</v>
      </c>
      <c r="AA31" s="37">
        <v>4.4000000000000004</v>
      </c>
    </row>
    <row r="32" spans="1:27" x14ac:dyDescent="0.2">
      <c r="A32" s="1" t="str" cm="1">
        <f t="array" ref="A32">IF(I32="","",IF(P32&lt;&gt;"",SUMPRODUCT((P$3:P$79&lt;&gt;"")*(G$3:G$79=G32)*(J$3:J$79&gt;J32)*(I$3:I$79="P"))+1,IF(O32&lt;&gt;"",SUMPRODUCT((O$3:O$79&lt;&gt;"")*(P$3:P$79="")*(G$3:G$79=G32)*(J$3:J$79&gt;J32)*(I$3:I$79="P"))+SUMPRODUCT((P$3:P$79&lt;&gt;"")*(G$3:G$79=G32)*(I$3:I$79="P"))+1,IF(N32&lt;&gt;"",SUMPRODUCT((N$3:N$79&lt;&gt;"")*(G$3:G$79=G32)*(J$3:J$79&gt;J32)*(I$3:I$79="P"))+1,IF(M32="P",SUMPRODUCT((O$3:O$79&lt;&gt;"")*(P$3:P$79="")*(G$3:G$79=G32)*(I$3:I$79="P"))+SUMPRODUCT((P$3:P$79&lt;&gt;"")*(G$3:G$79=G32)*(I$3:I$79="P"))+SUMPRODUCT((N$3:N$79&lt;&gt;"")*(G$3:G$79=G32)*(I$3:I$79="P"))+SUMPRODUCT((P$3:P$79="")*(O$3:O$79="")*(N$3:N$79="")*(M$3:M$79="P")*(G$3:G$79=G32)*(J$3:J$79&gt;J32)*(I$3:I$79="P"))+IF(H32="L5",SUMPRODUCT((P$3:P$79="")*(O$3:O$79="")*(N$3:N$79="")*(M$3:M$79="P")*(G$3:G$79=G32)*(J$3:J$79&lt;J32)*(H$3:H$79&lt;&gt;H32)*(I$3:I$79="P")),-1*SUMPRODUCT((P$3:P$79="")*(O$3:O$79="")*(N$3:N$79="")*(M$3:M$79="P")*(G$3:G$79=G32)*(J$3:J$79&gt;J32)*(H$3:H$79="L5")*(I$3:I$79="P")))+1,"")))))</f>
        <v/>
      </c>
      <c r="B32" s="1" t="str" cm="1">
        <f t="array" ref="B32">IF(P32&lt;&gt;"",SUMPRODUCT((P$3:P$79&lt;&gt;"")*(G$3:G$79=G32)*(J$3:J$79&gt;J32))+1,IF(O32&lt;&gt;"",SUMPRODUCT((O$3:O$79&lt;&gt;"")*(P$3:P$79="")*(G$3:G$79=G32)*(J$3:J$79&gt;J32))+SUMPRODUCT((P$3:P$79&lt;&gt;"")*(G$3:G$79=G32))+1,IF(N32&lt;&gt;"",SUMPRODUCT((N$3:N$79&lt;&gt;"")*(G$3:G$79=G32)*(J$3:J$79&gt;J32))+1,IF(M32="P",SUMPRODUCT((O$3:O$79&lt;&gt;"")*(P$3:P$79="")*(G$3:G$79=G32))+SUMPRODUCT((P$3:P$79&lt;&gt;"")*(G$3:G$79=G32))+SUMPRODUCT((N$3:N$79&lt;&gt;"")*(G$3:G$79=G32))+SUMPRODUCT((P$3:P$79="")*(O$3:O$79="")*(N$3:N$79="")*(M$3:M$79="P")*(G$3:G$79=G32)*(J$3:J$79&gt;J32))+IF(H32="L5",SUMPRODUCT((P$3:P$79="")*(O$3:O$79="")*(N$3:N$79="")*(M$3:M$79="P")*(G$3:G$79=G32)*(J$3:J$79&lt;J32)*(H$3:H$79&lt;&gt;H32)),-1*SUMPRODUCT((P$3:P$79="")*(O$3:O$79="")*(N$3:N$79="")*(M$3:M$79="P")*(G$3:G$79=G32)*(J$3:J$79&gt;J32)*(H$3:H$79="L5")))+1,""))))</f>
        <v/>
      </c>
      <c r="C32" s="36" t="s">
        <v>336</v>
      </c>
      <c r="D32" s="36" t="str">
        <f>IF(E32="","",VLOOKUP(E32,'Coaching Points'!A:B,2,0))</f>
        <v>ON</v>
      </c>
      <c r="E32" s="36" t="s">
        <v>48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3.9399999999999995E-6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Scores'!I$13),AND(G32="15-16",U32&gt;='Qualifying Scores'!I$12),AND(G32="13-14",U32&gt;='Qualifying Scores'!I$11),AND(G32="11-12",U32&gt;='Qualifying Scores'!I$10)),T32,0),IF(OR(AND(G32="17-21",W32&gt;='Qualifying Scores'!I$13),AND(G32="15-16",W32&gt;='Qualifying Scores'!I$12),AND(G32="13-14",W32&gt;='Qualifying Scores'!I$11),AND(G32="11-12",W32&gt;='Qualifying Scores'!I$10)),V32,0),IF(OR(AND(G32="17-21",Y32&gt;='Qualifying Scores'!I$13),AND(G32="15-16",Y32&gt;='Qualifying Scores'!I$12),AND(G32="13-14",Y32&gt;='Qualifying Scores'!I$11),AND(G32="11-12",Y32&gt;='Qualifying Scores'!I$10)),X32,0),IF(OR(AND(G32="17-21",AA32&gt;='Qualifying Scores'!I$13),AND(G32="15-16",AA32&gt;='Qualifying Scores'!I$12),AND(G32="13-14",AA32&gt;='Qualifying Scores'!I$11),AND(G32="11-12",AA32&gt;='Qualifying Scores'!I$10)),Z32,0)))</f>
        <v>0</v>
      </c>
      <c r="S32" s="4">
        <f>MAX(T32,V32,X32,Z32)</f>
        <v>39.4</v>
      </c>
      <c r="T32" s="33">
        <v>32.900000000000006</v>
      </c>
      <c r="U32" s="40">
        <v>4</v>
      </c>
      <c r="V32" s="34">
        <v>0</v>
      </c>
      <c r="W32" s="40">
        <v>0</v>
      </c>
      <c r="X32" s="33">
        <v>38.5</v>
      </c>
      <c r="Y32" s="40">
        <v>5.5</v>
      </c>
      <c r="Z32" s="34">
        <v>39.4</v>
      </c>
      <c r="AA32" s="37">
        <v>5.3</v>
      </c>
    </row>
    <row r="33" spans="1:27" x14ac:dyDescent="0.2">
      <c r="A33" s="1" t="str" cm="1">
        <f t="array" ref="A33">IF(I33="","",IF(P33&lt;&gt;"",SUMPRODUCT((P$3:P$79&lt;&gt;"")*(G$3:G$79=G33)*(J$3:J$79&gt;J33)*(I$3:I$79="P"))+1,IF(O33&lt;&gt;"",SUMPRODUCT((O$3:O$79&lt;&gt;"")*(P$3:P$79="")*(G$3:G$79=G33)*(J$3:J$79&gt;J33)*(I$3:I$79="P"))+SUMPRODUCT((P$3:P$79&lt;&gt;"")*(G$3:G$79=G33)*(I$3:I$79="P"))+1,IF(N33&lt;&gt;"",SUMPRODUCT((N$3:N$79&lt;&gt;"")*(G$3:G$79=G33)*(J$3:J$79&gt;J33)*(I$3:I$79="P"))+1,IF(M33="P",SUMPRODUCT((O$3:O$79&lt;&gt;"")*(P$3:P$79="")*(G$3:G$79=G33)*(I$3:I$79="P"))+SUMPRODUCT((P$3:P$79&lt;&gt;"")*(G$3:G$79=G33)*(I$3:I$79="P"))+SUMPRODUCT((N$3:N$79&lt;&gt;"")*(G$3:G$79=G33)*(I$3:I$79="P"))+SUMPRODUCT((P$3:P$79="")*(O$3:O$79="")*(N$3:N$79="")*(M$3:M$79="P")*(G$3:G$79=G33)*(J$3:J$79&gt;J33)*(I$3:I$79="P"))+IF(H33="L5",SUMPRODUCT((P$3:P$79="")*(O$3:O$79="")*(N$3:N$79="")*(M$3:M$79="P")*(G$3:G$79=G33)*(J$3:J$79&lt;J33)*(H$3:H$79&lt;&gt;H33)*(I$3:I$79="P")),-1*SUMPRODUCT((P$3:P$79="")*(O$3:O$79="")*(N$3:N$79="")*(M$3:M$79="P")*(G$3:G$79=G33)*(J$3:J$79&gt;J33)*(H$3:H$79="L5")*(I$3:I$79="P")))+1,"")))))</f>
        <v/>
      </c>
      <c r="B33" s="1" t="str" cm="1">
        <f t="array" ref="B33">IF(P33&lt;&gt;"",SUMPRODUCT((P$3:P$79&lt;&gt;"")*(G$3:G$79=G33)*(J$3:J$79&gt;J33))+1,IF(O33&lt;&gt;"",SUMPRODUCT((O$3:O$79&lt;&gt;"")*(P$3:P$79="")*(G$3:G$79=G33)*(J$3:J$79&gt;J33))+SUMPRODUCT((P$3:P$79&lt;&gt;"")*(G$3:G$79=G33))+1,IF(N33&lt;&gt;"",SUMPRODUCT((N$3:N$79&lt;&gt;"")*(G$3:G$79=G33)*(J$3:J$79&gt;J33))+1,IF(M33="P",SUMPRODUCT((O$3:O$79&lt;&gt;"")*(P$3:P$79="")*(G$3:G$79=G33))+SUMPRODUCT((P$3:P$79&lt;&gt;"")*(G$3:G$79=G33))+SUMPRODUCT((N$3:N$79&lt;&gt;"")*(G$3:G$79=G33))+SUMPRODUCT((P$3:P$79="")*(O$3:O$79="")*(N$3:N$79="")*(M$3:M$79="P")*(G$3:G$79=G33)*(J$3:J$79&gt;J33))+IF(H33="L5",SUMPRODUCT((P$3:P$79="")*(O$3:O$79="")*(N$3:N$79="")*(M$3:M$79="P")*(G$3:G$79=G33)*(J$3:J$79&lt;J33)*(H$3:H$79&lt;&gt;H33)),-1*SUMPRODUCT((P$3:P$79="")*(O$3:O$79="")*(N$3:N$79="")*(M$3:M$79="P")*(G$3:G$79=G33)*(J$3:J$79&gt;J33)*(H$3:H$79="L5")))+1,""))))</f>
        <v/>
      </c>
      <c r="C33" s="36" t="s">
        <v>527</v>
      </c>
      <c r="D33" s="36" t="s">
        <v>354</v>
      </c>
      <c r="E33" s="36" t="s">
        <v>89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3.8399999999999997E-6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Scores'!I$13),AND(G33="15-16",U33&gt;='Qualifying Scores'!I$12),AND(G33="13-14",U33&gt;='Qualifying Scores'!I$11),AND(G33="11-12",U33&gt;='Qualifying Scores'!I$10)),T33,0),IF(OR(AND(G33="17-21",W33&gt;='Qualifying Scores'!I$13),AND(G33="15-16",W33&gt;='Qualifying Scores'!I$12),AND(G33="13-14",W33&gt;='Qualifying Scores'!I$11),AND(G33="11-12",W33&gt;='Qualifying Scores'!I$10)),V33,0),IF(OR(AND(G33="17-21",Y33&gt;='Qualifying Scores'!I$13),AND(G33="15-16",Y33&gt;='Qualifying Scores'!I$12),AND(G33="13-14",Y33&gt;='Qualifying Scores'!I$11),AND(G33="11-12",Y33&gt;='Qualifying Scores'!I$10)),X33,0),IF(OR(AND(G33="17-21",AA33&gt;='Qualifying Scores'!I$13),AND(G33="15-16",AA33&gt;='Qualifying Scores'!I$12),AND(G33="13-14",AA33&gt;='Qualifying Scores'!I$11),AND(G33="11-12",AA33&gt;='Qualifying Scores'!I$10)),Z33,0)))</f>
        <v>0</v>
      </c>
      <c r="S33" s="4">
        <f>MAX(T33,V33,X33,Z33)</f>
        <v>38.4</v>
      </c>
      <c r="T33" s="33"/>
      <c r="U33" s="40"/>
      <c r="V33" s="34"/>
      <c r="W33" s="40"/>
      <c r="X33" s="33">
        <v>38.4</v>
      </c>
      <c r="Y33" s="40">
        <v>4.4000000000000004</v>
      </c>
      <c r="Z33" s="34"/>
      <c r="AA33" s="37"/>
    </row>
    <row r="34" spans="1:27" x14ac:dyDescent="0.2">
      <c r="A34" s="1" t="str" cm="1">
        <f t="array" ref="A34">IF(I34="","",IF(P34&lt;&gt;"",SUMPRODUCT((P$3:P$79&lt;&gt;"")*(G$3:G$79=G34)*(J$3:J$79&gt;J34)*(I$3:I$79="P"))+1,IF(O34&lt;&gt;"",SUMPRODUCT((O$3:O$79&lt;&gt;"")*(P$3:P$79="")*(G$3:G$79=G34)*(J$3:J$79&gt;J34)*(I$3:I$79="P"))+SUMPRODUCT((P$3:P$79&lt;&gt;"")*(G$3:G$79=G34)*(I$3:I$79="P"))+1,IF(N34&lt;&gt;"",SUMPRODUCT((N$3:N$79&lt;&gt;"")*(G$3:G$79=G34)*(J$3:J$79&gt;J34)*(I$3:I$79="P"))+1,IF(M34="P",SUMPRODUCT((O$3:O$79&lt;&gt;"")*(P$3:P$79="")*(G$3:G$79=G34)*(I$3:I$79="P"))+SUMPRODUCT((P$3:P$79&lt;&gt;"")*(G$3:G$79=G34)*(I$3:I$79="P"))+SUMPRODUCT((N$3:N$79&lt;&gt;"")*(G$3:G$79=G34)*(I$3:I$79="P"))+SUMPRODUCT((P$3:P$79="")*(O$3:O$79="")*(N$3:N$79="")*(M$3:M$79="P")*(G$3:G$79=G34)*(J$3:J$79&gt;J34)*(I$3:I$79="P"))+IF(H34="L5",SUMPRODUCT((P$3:P$79="")*(O$3:O$79="")*(N$3:N$79="")*(M$3:M$79="P")*(G$3:G$79=G34)*(J$3:J$79&lt;J34)*(H$3:H$79&lt;&gt;H34)*(I$3:I$79="P")),-1*SUMPRODUCT((P$3:P$79="")*(O$3:O$79="")*(N$3:N$79="")*(M$3:M$79="P")*(G$3:G$79=G34)*(J$3:J$79&gt;J34)*(H$3:H$79="L5")*(I$3:I$79="P")))+1,"")))))</f>
        <v/>
      </c>
      <c r="B34" s="1" t="str" cm="1">
        <f t="array" ref="B34">IF(P34&lt;&gt;"",SUMPRODUCT((P$3:P$79&lt;&gt;"")*(G$3:G$79=G34)*(J$3:J$79&gt;J34))+1,IF(O34&lt;&gt;"",SUMPRODUCT((O$3:O$79&lt;&gt;"")*(P$3:P$79="")*(G$3:G$79=G34)*(J$3:J$79&gt;J34))+SUMPRODUCT((P$3:P$79&lt;&gt;"")*(G$3:G$79=G34))+1,IF(N34&lt;&gt;"",SUMPRODUCT((N$3:N$79&lt;&gt;"")*(G$3:G$79=G34)*(J$3:J$79&gt;J34))+1,IF(M34="P",SUMPRODUCT((O$3:O$79&lt;&gt;"")*(P$3:P$79="")*(G$3:G$79=G34))+SUMPRODUCT((P$3:P$79&lt;&gt;"")*(G$3:G$79=G34))+SUMPRODUCT((N$3:N$79&lt;&gt;"")*(G$3:G$79=G34))+SUMPRODUCT((P$3:P$79="")*(O$3:O$79="")*(N$3:N$79="")*(M$3:M$79="P")*(G$3:G$79=G34)*(J$3:J$79&gt;J34))+IF(H34="L5",SUMPRODUCT((P$3:P$79="")*(O$3:O$79="")*(N$3:N$79="")*(M$3:M$79="P")*(G$3:G$79=G34)*(J$3:J$79&lt;J34)*(H$3:H$79&lt;&gt;H34)),-1*SUMPRODUCT((P$3:P$79="")*(O$3:O$79="")*(N$3:N$79="")*(M$3:M$79="P")*(G$3:G$79=G34)*(J$3:J$79&gt;J34)*(H$3:H$79="L5")))+1,""))))</f>
        <v/>
      </c>
      <c r="C34" s="36" t="s">
        <v>327</v>
      </c>
      <c r="D34" s="36" t="str">
        <f>IF(E34="","",VLOOKUP(E34,'Coaching Points'!A:B,2,0))</f>
        <v>SK</v>
      </c>
      <c r="E34" s="36" t="s">
        <v>70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3.8299999999999998E-6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Scores'!I$13),AND(G34="15-16",U34&gt;='Qualifying Scores'!I$12),AND(G34="13-14",U34&gt;='Qualifying Scores'!I$11),AND(G34="11-12",U34&gt;='Qualifying Scores'!I$10)),T34,0),IF(OR(AND(G34="17-21",W34&gt;='Qualifying Scores'!I$13),AND(G34="15-16",W34&gt;='Qualifying Scores'!I$12),AND(G34="13-14",W34&gt;='Qualifying Scores'!I$11),AND(G34="11-12",W34&gt;='Qualifying Scores'!I$10)),V34,0),IF(OR(AND(G34="17-21",Y34&gt;='Qualifying Scores'!I$13),AND(G34="15-16",Y34&gt;='Qualifying Scores'!I$12),AND(G34="13-14",Y34&gt;='Qualifying Scores'!I$11),AND(G34="11-12",Y34&gt;='Qualifying Scores'!I$10)),X34,0),IF(OR(AND(G34="17-21",AA34&gt;='Qualifying Scores'!I$13),AND(G34="15-16",AA34&gt;='Qualifying Scores'!I$12),AND(G34="13-14",AA34&gt;='Qualifying Scores'!I$11),AND(G34="11-12",AA34&gt;='Qualifying Scores'!I$10)),Z34,0)))</f>
        <v>0</v>
      </c>
      <c r="S34" s="4">
        <f>MAX(T34,V34,X34,Z34)</f>
        <v>38.299999999999997</v>
      </c>
      <c r="T34" s="33">
        <v>37.800000000000004</v>
      </c>
      <c r="U34" s="40">
        <v>4.5999999999999996</v>
      </c>
      <c r="V34" s="34">
        <v>36.180000000000007</v>
      </c>
      <c r="W34" s="40">
        <v>4.5999999999999996</v>
      </c>
      <c r="X34" s="33">
        <v>38.299999999999997</v>
      </c>
      <c r="Y34" s="40">
        <v>4.5999999999999996</v>
      </c>
      <c r="Z34" s="34"/>
      <c r="AA34" s="37"/>
    </row>
    <row r="35" spans="1:27" x14ac:dyDescent="0.2">
      <c r="A35" s="1" t="str" cm="1">
        <f t="array" ref="A35">IF(I35="","",IF(P35&lt;&gt;"",SUMPRODUCT((P$3:P$79&lt;&gt;"")*(G$3:G$79=G35)*(J$3:J$79&gt;J35)*(I$3:I$79="P"))+1,IF(O35&lt;&gt;"",SUMPRODUCT((O$3:O$79&lt;&gt;"")*(P$3:P$79="")*(G$3:G$79=G35)*(J$3:J$79&gt;J35)*(I$3:I$79="P"))+SUMPRODUCT((P$3:P$79&lt;&gt;"")*(G$3:G$79=G35)*(I$3:I$79="P"))+1,IF(N35&lt;&gt;"",SUMPRODUCT((N$3:N$79&lt;&gt;"")*(G$3:G$79=G35)*(J$3:J$79&gt;J35)*(I$3:I$79="P"))+1,IF(M35="P",SUMPRODUCT((O$3:O$79&lt;&gt;"")*(P$3:P$79="")*(G$3:G$79=G35)*(I$3:I$79="P"))+SUMPRODUCT((P$3:P$79&lt;&gt;"")*(G$3:G$79=G35)*(I$3:I$79="P"))+SUMPRODUCT((N$3:N$79&lt;&gt;"")*(G$3:G$79=G35)*(I$3:I$79="P"))+SUMPRODUCT((P$3:P$79="")*(O$3:O$79="")*(N$3:N$79="")*(M$3:M$79="P")*(G$3:G$79=G35)*(J$3:J$79&gt;J35)*(I$3:I$79="P"))+IF(H35="L5",SUMPRODUCT((P$3:P$79="")*(O$3:O$79="")*(N$3:N$79="")*(M$3:M$79="P")*(G$3:G$79=G35)*(J$3:J$79&lt;J35)*(H$3:H$79&lt;&gt;H35)*(I$3:I$79="P")),-1*SUMPRODUCT((P$3:P$79="")*(O$3:O$79="")*(N$3:N$79="")*(M$3:M$79="P")*(G$3:G$79=G35)*(J$3:J$79&gt;J35)*(H$3:H$79="L5")*(I$3:I$79="P")))+1,"")))))</f>
        <v/>
      </c>
      <c r="B35" s="1" t="str" cm="1">
        <f t="array" ref="B35">IF(P35&lt;&gt;"",SUMPRODUCT((P$3:P$79&lt;&gt;"")*(G$3:G$79=G35)*(J$3:J$79&gt;J35))+1,IF(O35&lt;&gt;"",SUMPRODUCT((O$3:O$79&lt;&gt;"")*(P$3:P$79="")*(G$3:G$79=G35)*(J$3:J$79&gt;J35))+SUMPRODUCT((P$3:P$79&lt;&gt;"")*(G$3:G$79=G35))+1,IF(N35&lt;&gt;"",SUMPRODUCT((N$3:N$79&lt;&gt;"")*(G$3:G$79=G35)*(J$3:J$79&gt;J35))+1,IF(M35="P",SUMPRODUCT((O$3:O$79&lt;&gt;"")*(P$3:P$79="")*(G$3:G$79=G35))+SUMPRODUCT((P$3:P$79&lt;&gt;"")*(G$3:G$79=G35))+SUMPRODUCT((N$3:N$79&lt;&gt;"")*(G$3:G$79=G35))+SUMPRODUCT((P$3:P$79="")*(O$3:O$79="")*(N$3:N$79="")*(M$3:M$79="P")*(G$3:G$79=G35)*(J$3:J$79&gt;J35))+IF(H35="L5",SUMPRODUCT((P$3:P$79="")*(O$3:O$79="")*(N$3:N$79="")*(M$3:M$79="P")*(G$3:G$79=G35)*(J$3:J$79&lt;J35)*(H$3:H$79&lt;&gt;H35)),-1*SUMPRODUCT((P$3:P$79="")*(O$3:O$79="")*(N$3:N$79="")*(M$3:M$79="P")*(G$3:G$79=G35)*(J$3:J$79&gt;J35)*(H$3:H$79="L5")))+1,""))))</f>
        <v/>
      </c>
      <c r="C35" s="36" t="s">
        <v>328</v>
      </c>
      <c r="D35" s="36" t="str">
        <f>IF(E35="","",VLOOKUP(E35,'Coaching Points'!A:B,2,0))</f>
        <v>SK</v>
      </c>
      <c r="E35" s="36" t="s">
        <v>46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3.8099999999999999E-6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Scores'!I$13),AND(G35="15-16",U35&gt;='Qualifying Scores'!I$12),AND(G35="13-14",U35&gt;='Qualifying Scores'!I$11),AND(G35="11-12",U35&gt;='Qualifying Scores'!I$10)),T35,0),IF(OR(AND(G35="17-21",W35&gt;='Qualifying Scores'!I$13),AND(G35="15-16",W35&gt;='Qualifying Scores'!I$12),AND(G35="13-14",W35&gt;='Qualifying Scores'!I$11),AND(G35="11-12",W35&gt;='Qualifying Scores'!I$10)),V35,0),IF(OR(AND(G35="17-21",Y35&gt;='Qualifying Scores'!I$13),AND(G35="15-16",Y35&gt;='Qualifying Scores'!I$12),AND(G35="13-14",Y35&gt;='Qualifying Scores'!I$11),AND(G35="11-12",Y35&gt;='Qualifying Scores'!I$10)),X35,0),IF(OR(AND(G35="17-21",AA35&gt;='Qualifying Scores'!I$13),AND(G35="15-16",AA35&gt;='Qualifying Scores'!I$12),AND(G35="13-14",AA35&gt;='Qualifying Scores'!I$11),AND(G35="11-12",AA35&gt;='Qualifying Scores'!I$10)),Z35,0)))</f>
        <v>0</v>
      </c>
      <c r="S35" s="4">
        <f>MAX(T35,V35,X35,Z35)</f>
        <v>38.1</v>
      </c>
      <c r="T35" s="33">
        <v>37.78</v>
      </c>
      <c r="U35" s="40">
        <v>4.5999999999999996</v>
      </c>
      <c r="V35" s="34">
        <v>36.119999999999997</v>
      </c>
      <c r="W35" s="40">
        <v>4.5999999999999996</v>
      </c>
      <c r="X35" s="33">
        <v>38.1</v>
      </c>
      <c r="Y35" s="40">
        <v>4.5999999999999996</v>
      </c>
      <c r="Z35" s="34"/>
      <c r="AA35" s="37"/>
    </row>
    <row r="36" spans="1:27" x14ac:dyDescent="0.2">
      <c r="A36" s="1" t="str" cm="1">
        <f t="array" ref="A36">IF(I36="","",IF(P36&lt;&gt;"",SUMPRODUCT((P$3:P$79&lt;&gt;"")*(G$3:G$79=G36)*(J$3:J$79&gt;J36)*(I$3:I$79="P"))+1,IF(O36&lt;&gt;"",SUMPRODUCT((O$3:O$79&lt;&gt;"")*(P$3:P$79="")*(G$3:G$79=G36)*(J$3:J$79&gt;J36)*(I$3:I$79="P"))+SUMPRODUCT((P$3:P$79&lt;&gt;"")*(G$3:G$79=G36)*(I$3:I$79="P"))+1,IF(N36&lt;&gt;"",SUMPRODUCT((N$3:N$79&lt;&gt;"")*(G$3:G$79=G36)*(J$3:J$79&gt;J36)*(I$3:I$79="P"))+1,IF(M36="P",SUMPRODUCT((O$3:O$79&lt;&gt;"")*(P$3:P$79="")*(G$3:G$79=G36)*(I$3:I$79="P"))+SUMPRODUCT((P$3:P$79&lt;&gt;"")*(G$3:G$79=G36)*(I$3:I$79="P"))+SUMPRODUCT((N$3:N$79&lt;&gt;"")*(G$3:G$79=G36)*(I$3:I$79="P"))+SUMPRODUCT((P$3:P$79="")*(O$3:O$79="")*(N$3:N$79="")*(M$3:M$79="P")*(G$3:G$79=G36)*(J$3:J$79&gt;J36)*(I$3:I$79="P"))+IF(H36="L5",SUMPRODUCT((P$3:P$79="")*(O$3:O$79="")*(N$3:N$79="")*(M$3:M$79="P")*(G$3:G$79=G36)*(J$3:J$79&lt;J36)*(H$3:H$79&lt;&gt;H36)*(I$3:I$79="P")),-1*SUMPRODUCT((P$3:P$79="")*(O$3:O$79="")*(N$3:N$79="")*(M$3:M$79="P")*(G$3:G$79=G36)*(J$3:J$79&gt;J36)*(H$3:H$79="L5")*(I$3:I$79="P")))+1,"")))))</f>
        <v/>
      </c>
      <c r="B36" s="1" t="str" cm="1">
        <f t="array" ref="B36">IF(P36&lt;&gt;"",SUMPRODUCT((P$3:P$79&lt;&gt;"")*(G$3:G$79=G36)*(J$3:J$79&gt;J36))+1,IF(O36&lt;&gt;"",SUMPRODUCT((O$3:O$79&lt;&gt;"")*(P$3:P$79="")*(G$3:G$79=G36)*(J$3:J$79&gt;J36))+SUMPRODUCT((P$3:P$79&lt;&gt;"")*(G$3:G$79=G36))+1,IF(N36&lt;&gt;"",SUMPRODUCT((N$3:N$79&lt;&gt;"")*(G$3:G$79=G36)*(J$3:J$79&gt;J36))+1,IF(M36="P",SUMPRODUCT((O$3:O$79&lt;&gt;"")*(P$3:P$79="")*(G$3:G$79=G36))+SUMPRODUCT((P$3:P$79&lt;&gt;"")*(G$3:G$79=G36))+SUMPRODUCT((N$3:N$79&lt;&gt;"")*(G$3:G$79=G36))+SUMPRODUCT((P$3:P$79="")*(O$3:O$79="")*(N$3:N$79="")*(M$3:M$79="P")*(G$3:G$79=G36)*(J$3:J$79&gt;J36))+IF(H36="L5",SUMPRODUCT((P$3:P$79="")*(O$3:O$79="")*(N$3:N$79="")*(M$3:M$79="P")*(G$3:G$79=G36)*(J$3:J$79&lt;J36)*(H$3:H$79&lt;&gt;H36)),-1*SUMPRODUCT((P$3:P$79="")*(O$3:O$79="")*(N$3:N$79="")*(M$3:M$79="P")*(G$3:G$79=G36)*(J$3:J$79&gt;J36)*(H$3:H$79="L5")))+1,""))))</f>
        <v/>
      </c>
      <c r="C36" s="36" t="s">
        <v>546</v>
      </c>
      <c r="D36" s="36" t="str">
        <f>IF(E36="","",VLOOKUP(E36,'Coaching Points'!A:B,2,0))</f>
        <v>QC</v>
      </c>
      <c r="E36" s="36" t="s">
        <v>171</v>
      </c>
      <c r="F36" s="35">
        <v>2001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3.7799999999999994E-6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Scores'!I$13),AND(G36="15-16",U36&gt;='Qualifying Scores'!I$12),AND(G36="13-14",U36&gt;='Qualifying Scores'!I$11),AND(G36="11-12",U36&gt;='Qualifying Scores'!I$10)),T36,0),IF(OR(AND(G36="17-21",W36&gt;='Qualifying Scores'!I$13),AND(G36="15-16",W36&gt;='Qualifying Scores'!I$12),AND(G36="13-14",W36&gt;='Qualifying Scores'!I$11),AND(G36="11-12",W36&gt;='Qualifying Scores'!I$10)),V36,0),IF(OR(AND(G36="17-21",Y36&gt;='Qualifying Scores'!I$13),AND(G36="15-16",Y36&gt;='Qualifying Scores'!I$12),AND(G36="13-14",Y36&gt;='Qualifying Scores'!I$11),AND(G36="11-12",Y36&gt;='Qualifying Scores'!I$10)),X36,0),IF(OR(AND(G36="17-21",AA36&gt;='Qualifying Scores'!I$13),AND(G36="15-16",AA36&gt;='Qualifying Scores'!I$12),AND(G36="13-14",AA36&gt;='Qualifying Scores'!I$11),AND(G36="11-12",AA36&gt;='Qualifying Scores'!I$10)),Z36,0)))</f>
        <v>0</v>
      </c>
      <c r="S36" s="4">
        <f>MAX(T36,V36,X36,Z36)</f>
        <v>37.799999999999997</v>
      </c>
      <c r="T36" s="33"/>
      <c r="U36" s="40"/>
      <c r="V36" s="34"/>
      <c r="W36" s="40"/>
      <c r="X36" s="33">
        <v>37.799999999999997</v>
      </c>
      <c r="Y36" s="40">
        <v>4.2</v>
      </c>
      <c r="Z36" s="34"/>
      <c r="AA36" s="37"/>
    </row>
    <row r="37" spans="1:27" x14ac:dyDescent="0.2">
      <c r="A37" s="1" t="str" cm="1">
        <f t="array" ref="A37">IF(I37="","",IF(P37&lt;&gt;"",SUMPRODUCT((P$3:P$79&lt;&gt;"")*(G$3:G$79=G37)*(J$3:J$79&gt;J37)*(I$3:I$79="P"))+1,IF(O37&lt;&gt;"",SUMPRODUCT((O$3:O$79&lt;&gt;"")*(P$3:P$79="")*(G$3:G$79=G37)*(J$3:J$79&gt;J37)*(I$3:I$79="P"))+SUMPRODUCT((P$3:P$79&lt;&gt;"")*(G$3:G$79=G37)*(I$3:I$79="P"))+1,IF(N37&lt;&gt;"",SUMPRODUCT((N$3:N$79&lt;&gt;"")*(G$3:G$79=G37)*(J$3:J$79&gt;J37)*(I$3:I$79="P"))+1,IF(M37="P",SUMPRODUCT((O$3:O$79&lt;&gt;"")*(P$3:P$79="")*(G$3:G$79=G37)*(I$3:I$79="P"))+SUMPRODUCT((P$3:P$79&lt;&gt;"")*(G$3:G$79=G37)*(I$3:I$79="P"))+SUMPRODUCT((N$3:N$79&lt;&gt;"")*(G$3:G$79=G37)*(I$3:I$79="P"))+SUMPRODUCT((P$3:P$79="")*(O$3:O$79="")*(N$3:N$79="")*(M$3:M$79="P")*(G$3:G$79=G37)*(J$3:J$79&gt;J37)*(I$3:I$79="P"))+IF(H37="L5",SUMPRODUCT((P$3:P$79="")*(O$3:O$79="")*(N$3:N$79="")*(M$3:M$79="P")*(G$3:G$79=G37)*(J$3:J$79&lt;J37)*(H$3:H$79&lt;&gt;H37)*(I$3:I$79="P")),-1*SUMPRODUCT((P$3:P$79="")*(O$3:O$79="")*(N$3:N$79="")*(M$3:M$79="P")*(G$3:G$79=G37)*(J$3:J$79&gt;J37)*(H$3:H$79="L5")*(I$3:I$79="P")))+1,"")))))</f>
        <v/>
      </c>
      <c r="B37" s="1" t="str" cm="1">
        <f t="array" ref="B37">IF(P37&lt;&gt;"",SUMPRODUCT((P$3:P$79&lt;&gt;"")*(G$3:G$79=G37)*(J$3:J$79&gt;J37))+1,IF(O37&lt;&gt;"",SUMPRODUCT((O$3:O$79&lt;&gt;"")*(P$3:P$79="")*(G$3:G$79=G37)*(J$3:J$79&gt;J37))+SUMPRODUCT((P$3:P$79&lt;&gt;"")*(G$3:G$79=G37))+1,IF(N37&lt;&gt;"",SUMPRODUCT((N$3:N$79&lt;&gt;"")*(G$3:G$79=G37)*(J$3:J$79&gt;J37))+1,IF(M37="P",SUMPRODUCT((O$3:O$79&lt;&gt;"")*(P$3:P$79="")*(G$3:G$79=G37))+SUMPRODUCT((P$3:P$79&lt;&gt;"")*(G$3:G$79=G37))+SUMPRODUCT((N$3:N$79&lt;&gt;"")*(G$3:G$79=G37))+SUMPRODUCT((P$3:P$79="")*(O$3:O$79="")*(N$3:N$79="")*(M$3:M$79="P")*(G$3:G$79=G37)*(J$3:J$79&gt;J37))+IF(H37="L5",SUMPRODUCT((P$3:P$79="")*(O$3:O$79="")*(N$3:N$79="")*(M$3:M$79="P")*(G$3:G$79=G37)*(J$3:J$79&lt;J37)*(H$3:H$79&lt;&gt;H37)),-1*SUMPRODUCT((P$3:P$79="")*(O$3:O$79="")*(N$3:N$79="")*(M$3:M$79="P")*(G$3:G$79=G37)*(J$3:J$79&gt;J37)*(H$3:H$79="L5")))+1,""))))</f>
        <v/>
      </c>
      <c r="C37" s="36" t="s">
        <v>289</v>
      </c>
      <c r="D37" s="36" t="str">
        <f>IF(E37="","",VLOOKUP(E37,'Coaching Points'!A:B,2,0))</f>
        <v>AB</v>
      </c>
      <c r="E37" s="36" t="s">
        <v>29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3.7299999999999994E-6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Scores'!I$13),AND(G37="15-16",U37&gt;='Qualifying Scores'!I$12),AND(G37="13-14",U37&gt;='Qualifying Scores'!I$11),AND(G37="11-12",U37&gt;='Qualifying Scores'!I$10)),T37,0),IF(OR(AND(G37="17-21",W37&gt;='Qualifying Scores'!I$13),AND(G37="15-16",W37&gt;='Qualifying Scores'!I$12),AND(G37="13-14",W37&gt;='Qualifying Scores'!I$11),AND(G37="11-12",W37&gt;='Qualifying Scores'!I$10)),V37,0),IF(OR(AND(G37="17-21",Y37&gt;='Qualifying Scores'!I$13),AND(G37="15-16",Y37&gt;='Qualifying Scores'!I$12),AND(G37="13-14",Y37&gt;='Qualifying Scores'!I$11),AND(G37="11-12",Y37&gt;='Qualifying Scores'!I$10)),X37,0),IF(OR(AND(G37="17-21",AA37&gt;='Qualifying Scores'!I$13),AND(G37="15-16",AA37&gt;='Qualifying Scores'!I$12),AND(G37="13-14",AA37&gt;='Qualifying Scores'!I$11),AND(G37="11-12",AA37&gt;='Qualifying Scores'!I$10)),Z37,0)))</f>
        <v>0</v>
      </c>
      <c r="S37" s="4">
        <f>MAX(T37,V37,X37,Z37)</f>
        <v>37.299999999999997</v>
      </c>
      <c r="T37" s="33">
        <v>36.299999999999997</v>
      </c>
      <c r="U37" s="40">
        <v>4.5999999999999996</v>
      </c>
      <c r="V37" s="34">
        <v>0</v>
      </c>
      <c r="W37" s="40">
        <v>0</v>
      </c>
      <c r="X37" s="33">
        <v>37.299999999999997</v>
      </c>
      <c r="Y37" s="40">
        <v>4.2</v>
      </c>
      <c r="Z37" s="34"/>
      <c r="AA37" s="37"/>
    </row>
    <row r="38" spans="1:27" x14ac:dyDescent="0.2">
      <c r="A38" s="1" t="str" cm="1">
        <f t="array" ref="A38">IF(I38="","",IF(P38&lt;&gt;"",SUMPRODUCT((P$3:P$79&lt;&gt;"")*(G$3:G$79=G38)*(J$3:J$79&gt;J38)*(I$3:I$79="P"))+1,IF(O38&lt;&gt;"",SUMPRODUCT((O$3:O$79&lt;&gt;"")*(P$3:P$79="")*(G$3:G$79=G38)*(J$3:J$79&gt;J38)*(I$3:I$79="P"))+SUMPRODUCT((P$3:P$79&lt;&gt;"")*(G$3:G$79=G38)*(I$3:I$79="P"))+1,IF(N38&lt;&gt;"",SUMPRODUCT((N$3:N$79&lt;&gt;"")*(G$3:G$79=G38)*(J$3:J$79&gt;J38)*(I$3:I$79="P"))+1,IF(M38="P",SUMPRODUCT((O$3:O$79&lt;&gt;"")*(P$3:P$79="")*(G$3:G$79=G38)*(I$3:I$79="P"))+SUMPRODUCT((P$3:P$79&lt;&gt;"")*(G$3:G$79=G38)*(I$3:I$79="P"))+SUMPRODUCT((N$3:N$79&lt;&gt;"")*(G$3:G$79=G38)*(I$3:I$79="P"))+SUMPRODUCT((P$3:P$79="")*(O$3:O$79="")*(N$3:N$79="")*(M$3:M$79="P")*(G$3:G$79=G38)*(J$3:J$79&gt;J38)*(I$3:I$79="P"))+IF(H38="L5",SUMPRODUCT((P$3:P$79="")*(O$3:O$79="")*(N$3:N$79="")*(M$3:M$79="P")*(G$3:G$79=G38)*(J$3:J$79&lt;J38)*(H$3:H$79&lt;&gt;H38)*(I$3:I$79="P")),-1*SUMPRODUCT((P$3:P$79="")*(O$3:O$79="")*(N$3:N$79="")*(M$3:M$79="P")*(G$3:G$79=G38)*(J$3:J$79&gt;J38)*(H$3:H$79="L5")*(I$3:I$79="P")))+1,"")))))</f>
        <v/>
      </c>
      <c r="B38" s="1" t="str" cm="1">
        <f t="array" ref="B38">IF(P38&lt;&gt;"",SUMPRODUCT((P$3:P$79&lt;&gt;"")*(G$3:G$79=G38)*(J$3:J$79&gt;J38))+1,IF(O38&lt;&gt;"",SUMPRODUCT((O$3:O$79&lt;&gt;"")*(P$3:P$79="")*(G$3:G$79=G38)*(J$3:J$79&gt;J38))+SUMPRODUCT((P$3:P$79&lt;&gt;"")*(G$3:G$79=G38))+1,IF(N38&lt;&gt;"",SUMPRODUCT((N$3:N$79&lt;&gt;"")*(G$3:G$79=G38)*(J$3:J$79&gt;J38))+1,IF(M38="P",SUMPRODUCT((O$3:O$79&lt;&gt;"")*(P$3:P$79="")*(G$3:G$79=G38))+SUMPRODUCT((P$3:P$79&lt;&gt;"")*(G$3:G$79=G38))+SUMPRODUCT((N$3:N$79&lt;&gt;"")*(G$3:G$79=G38))+SUMPRODUCT((P$3:P$79="")*(O$3:O$79="")*(N$3:N$79="")*(M$3:M$79="P")*(G$3:G$79=G38)*(J$3:J$79&gt;J38))+IF(H38="L5",SUMPRODUCT((P$3:P$79="")*(O$3:O$79="")*(N$3:N$79="")*(M$3:M$79="P")*(G$3:G$79=G38)*(J$3:J$79&lt;J38)*(H$3:H$79&lt;&gt;H38)),-1*SUMPRODUCT((P$3:P$79="")*(O$3:O$79="")*(N$3:N$79="")*(M$3:M$79="P")*(G$3:G$79=G38)*(J$3:J$79&gt;J38)*(H$3:H$79="L5")))+1,""))))</f>
        <v/>
      </c>
      <c r="C38" s="36" t="s">
        <v>532</v>
      </c>
      <c r="D38" s="36" t="s">
        <v>354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3.6899999999999998E-6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Scores'!I$13),AND(G38="15-16",U38&gt;='Qualifying Scores'!I$12),AND(G38="13-14",U38&gt;='Qualifying Scores'!I$11),AND(G38="11-12",U38&gt;='Qualifying Scores'!I$10)),T38,0),IF(OR(AND(G38="17-21",W38&gt;='Qualifying Scores'!I$13),AND(G38="15-16",W38&gt;='Qualifying Scores'!I$12),AND(G38="13-14",W38&gt;='Qualifying Scores'!I$11),AND(G38="11-12",W38&gt;='Qualifying Scores'!I$10)),V38,0),IF(OR(AND(G38="17-21",Y38&gt;='Qualifying Scores'!I$13),AND(G38="15-16",Y38&gt;='Qualifying Scores'!I$12),AND(G38="13-14",Y38&gt;='Qualifying Scores'!I$11),AND(G38="11-12",Y38&gt;='Qualifying Scores'!I$10)),X38,0),IF(OR(AND(G38="17-21",AA38&gt;='Qualifying Scores'!I$13),AND(G38="15-16",AA38&gt;='Qualifying Scores'!I$12),AND(G38="13-14",AA38&gt;='Qualifying Scores'!I$11),AND(G38="11-12",AA38&gt;='Qualifying Scores'!I$10)),Z38,0)))</f>
        <v>0</v>
      </c>
      <c r="S38" s="4">
        <f>MAX(T38,V38,X38,Z38)</f>
        <v>36.9</v>
      </c>
      <c r="T38" s="33"/>
      <c r="U38" s="40"/>
      <c r="V38" s="34"/>
      <c r="W38" s="40"/>
      <c r="X38" s="33">
        <v>36.9</v>
      </c>
      <c r="Y38" s="40">
        <v>5.7</v>
      </c>
      <c r="Z38" s="34"/>
      <c r="AA38" s="37"/>
    </row>
    <row r="39" spans="1:27" x14ac:dyDescent="0.2">
      <c r="A39" s="1" t="str" cm="1">
        <f t="array" ref="A39">IF(I39="","",IF(P39&lt;&gt;"",SUMPRODUCT((P$3:P$79&lt;&gt;"")*(G$3:G$79=G39)*(J$3:J$79&gt;J39)*(I$3:I$79="P"))+1,IF(O39&lt;&gt;"",SUMPRODUCT((O$3:O$79&lt;&gt;"")*(P$3:P$79="")*(G$3:G$79=G39)*(J$3:J$79&gt;J39)*(I$3:I$79="P"))+SUMPRODUCT((P$3:P$79&lt;&gt;"")*(G$3:G$79=G39)*(I$3:I$79="P"))+1,IF(N39&lt;&gt;"",SUMPRODUCT((N$3:N$79&lt;&gt;"")*(G$3:G$79=G39)*(J$3:J$79&gt;J39)*(I$3:I$79="P"))+1,IF(M39="P",SUMPRODUCT((O$3:O$79&lt;&gt;"")*(P$3:P$79="")*(G$3:G$79=G39)*(I$3:I$79="P"))+SUMPRODUCT((P$3:P$79&lt;&gt;"")*(G$3:G$79=G39)*(I$3:I$79="P"))+SUMPRODUCT((N$3:N$79&lt;&gt;"")*(G$3:G$79=G39)*(I$3:I$79="P"))+SUMPRODUCT((P$3:P$79="")*(O$3:O$79="")*(N$3:N$79="")*(M$3:M$79="P")*(G$3:G$79=G39)*(J$3:J$79&gt;J39)*(I$3:I$79="P"))+IF(H39="L5",SUMPRODUCT((P$3:P$79="")*(O$3:O$79="")*(N$3:N$79="")*(M$3:M$79="P")*(G$3:G$79=G39)*(J$3:J$79&lt;J39)*(H$3:H$79&lt;&gt;H39)*(I$3:I$79="P")),-1*SUMPRODUCT((P$3:P$79="")*(O$3:O$79="")*(N$3:N$79="")*(M$3:M$79="P")*(G$3:G$79=G39)*(J$3:J$79&gt;J39)*(H$3:H$79="L5")*(I$3:I$79="P")))+1,"")))))</f>
        <v/>
      </c>
      <c r="B39" s="1" t="str" cm="1">
        <f t="array" ref="B39">IF(P39&lt;&gt;"",SUMPRODUCT((P$3:P$79&lt;&gt;"")*(G$3:G$79=G39)*(J$3:J$79&gt;J39))+1,IF(O39&lt;&gt;"",SUMPRODUCT((O$3:O$79&lt;&gt;"")*(P$3:P$79="")*(G$3:G$79=G39)*(J$3:J$79&gt;J39))+SUMPRODUCT((P$3:P$79&lt;&gt;"")*(G$3:G$79=G39))+1,IF(N39&lt;&gt;"",SUMPRODUCT((N$3:N$79&lt;&gt;"")*(G$3:G$79=G39)*(J$3:J$79&gt;J39))+1,IF(M39="P",SUMPRODUCT((O$3:O$79&lt;&gt;"")*(P$3:P$79="")*(G$3:G$79=G39))+SUMPRODUCT((P$3:P$79&lt;&gt;"")*(G$3:G$79=G39))+SUMPRODUCT((N$3:N$79&lt;&gt;"")*(G$3:G$79=G39))+SUMPRODUCT((P$3:P$79="")*(O$3:O$79="")*(N$3:N$79="")*(M$3:M$79="P")*(G$3:G$79=G39)*(J$3:J$79&gt;J39))+IF(H39="L5",SUMPRODUCT((P$3:P$79="")*(O$3:O$79="")*(N$3:N$79="")*(M$3:M$79="P")*(G$3:G$79=G39)*(J$3:J$79&lt;J39)*(H$3:H$79&lt;&gt;H39)),-1*SUMPRODUCT((P$3:P$79="")*(O$3:O$79="")*(N$3:N$79="")*(M$3:M$79="P")*(G$3:G$79=G39)*(J$3:J$79&gt;J39)*(H$3:H$79="L5")))+1,""))))</f>
        <v/>
      </c>
      <c r="C39" s="36" t="s">
        <v>551</v>
      </c>
      <c r="D39" s="36" t="s">
        <v>355</v>
      </c>
      <c r="E39" s="36" t="s">
        <v>171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3.6600000000000001E-6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Scores'!I$13),AND(G39="15-16",U39&gt;='Qualifying Scores'!I$12),AND(G39="13-14",U39&gt;='Qualifying Scores'!I$11),AND(G39="11-12",U39&gt;='Qualifying Scores'!I$10)),T39,0),IF(OR(AND(G39="17-21",W39&gt;='Qualifying Scores'!I$13),AND(G39="15-16",W39&gt;='Qualifying Scores'!I$12),AND(G39="13-14",W39&gt;='Qualifying Scores'!I$11),AND(G39="11-12",W39&gt;='Qualifying Scores'!I$10)),V39,0),IF(OR(AND(G39="17-21",Y39&gt;='Qualifying Scores'!I$13),AND(G39="15-16",Y39&gt;='Qualifying Scores'!I$12),AND(G39="13-14",Y39&gt;='Qualifying Scores'!I$11),AND(G39="11-12",Y39&gt;='Qualifying Scores'!I$10)),X39,0),IF(OR(AND(G39="17-21",AA39&gt;='Qualifying Scores'!I$13),AND(G39="15-16",AA39&gt;='Qualifying Scores'!I$12),AND(G39="13-14",AA39&gt;='Qualifying Scores'!I$11),AND(G39="11-12",AA39&gt;='Qualifying Scores'!I$10)),Z39,0)))</f>
        <v>0</v>
      </c>
      <c r="S39" s="4">
        <f>MAX(T39,V39,X39,Z39)</f>
        <v>36.6</v>
      </c>
      <c r="T39" s="33"/>
      <c r="U39" s="40"/>
      <c r="V39" s="34"/>
      <c r="W39" s="40"/>
      <c r="X39" s="33">
        <v>36.6</v>
      </c>
      <c r="Y39" s="40">
        <v>4.5</v>
      </c>
      <c r="Z39" s="34"/>
      <c r="AA39" s="37"/>
    </row>
    <row r="40" spans="1:27" x14ac:dyDescent="0.2">
      <c r="A40" s="1" t="str" cm="1">
        <f t="array" ref="A40">IF(I40="","",IF(P40&lt;&gt;"",SUMPRODUCT((P$3:P$79&lt;&gt;"")*(G$3:G$79=G40)*(J$3:J$79&gt;J40)*(I$3:I$79="P"))+1,IF(O40&lt;&gt;"",SUMPRODUCT((O$3:O$79&lt;&gt;"")*(P$3:P$79="")*(G$3:G$79=G40)*(J$3:J$79&gt;J40)*(I$3:I$79="P"))+SUMPRODUCT((P$3:P$79&lt;&gt;"")*(G$3:G$79=G40)*(I$3:I$79="P"))+1,IF(N40&lt;&gt;"",SUMPRODUCT((N$3:N$79&lt;&gt;"")*(G$3:G$79=G40)*(J$3:J$79&gt;J40)*(I$3:I$79="P"))+1,IF(M40="P",SUMPRODUCT((O$3:O$79&lt;&gt;"")*(P$3:P$79="")*(G$3:G$79=G40)*(I$3:I$79="P"))+SUMPRODUCT((P$3:P$79&lt;&gt;"")*(G$3:G$79=G40)*(I$3:I$79="P"))+SUMPRODUCT((N$3:N$79&lt;&gt;"")*(G$3:G$79=G40)*(I$3:I$79="P"))+SUMPRODUCT((P$3:P$79="")*(O$3:O$79="")*(N$3:N$79="")*(M$3:M$79="P")*(G$3:G$79=G40)*(J$3:J$79&gt;J40)*(I$3:I$79="P"))+IF(H40="L5",SUMPRODUCT((P$3:P$79="")*(O$3:O$79="")*(N$3:N$79="")*(M$3:M$79="P")*(G$3:G$79=G40)*(J$3:J$79&lt;J40)*(H$3:H$79&lt;&gt;H40)*(I$3:I$79="P")),-1*SUMPRODUCT((P$3:P$79="")*(O$3:O$79="")*(N$3:N$79="")*(M$3:M$79="P")*(G$3:G$79=G40)*(J$3:J$79&gt;J40)*(H$3:H$79="L5")*(I$3:I$79="P")))+1,"")))))</f>
        <v/>
      </c>
      <c r="B40" s="1" t="str" cm="1">
        <f t="array" ref="B40">IF(P40&lt;&gt;"",SUMPRODUCT((P$3:P$79&lt;&gt;"")*(G$3:G$79=G40)*(J$3:J$79&gt;J40))+1,IF(O40&lt;&gt;"",SUMPRODUCT((O$3:O$79&lt;&gt;"")*(P$3:P$79="")*(G$3:G$79=G40)*(J$3:J$79&gt;J40))+SUMPRODUCT((P$3:P$79&lt;&gt;"")*(G$3:G$79=G40))+1,IF(N40&lt;&gt;"",SUMPRODUCT((N$3:N$79&lt;&gt;"")*(G$3:G$79=G40)*(J$3:J$79&gt;J40))+1,IF(M40="P",SUMPRODUCT((O$3:O$79&lt;&gt;"")*(P$3:P$79="")*(G$3:G$79=G40))+SUMPRODUCT((P$3:P$79&lt;&gt;"")*(G$3:G$79=G40))+SUMPRODUCT((N$3:N$79&lt;&gt;"")*(G$3:G$79=G40))+SUMPRODUCT((P$3:P$79="")*(O$3:O$79="")*(N$3:N$79="")*(M$3:M$79="P")*(G$3:G$79=G40)*(J$3:J$79&gt;J40))+IF(H40="L5",SUMPRODUCT((P$3:P$79="")*(O$3:O$79="")*(N$3:N$79="")*(M$3:M$79="P")*(G$3:G$79=G40)*(J$3:J$79&lt;J40)*(H$3:H$79&lt;&gt;H40)),-1*SUMPRODUCT((P$3:P$79="")*(O$3:O$79="")*(N$3:N$79="")*(M$3:M$79="P")*(G$3:G$79=G40)*(J$3:J$79&gt;J40)*(H$3:H$79="L5")))+1,""))))</f>
        <v/>
      </c>
      <c r="C40" s="36" t="s">
        <v>550</v>
      </c>
      <c r="D40" s="36" t="s">
        <v>352</v>
      </c>
      <c r="E40" s="36" t="s">
        <v>576</v>
      </c>
      <c r="F40" s="35">
        <v>2002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3.6100000000000002E-6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Scores'!I$13),AND(G40="15-16",U40&gt;='Qualifying Scores'!I$12),AND(G40="13-14",U40&gt;='Qualifying Scores'!I$11),AND(G40="11-12",U40&gt;='Qualifying Scores'!I$10)),T40,0),IF(OR(AND(G40="17-21",W40&gt;='Qualifying Scores'!I$13),AND(G40="15-16",W40&gt;='Qualifying Scores'!I$12),AND(G40="13-14",W40&gt;='Qualifying Scores'!I$11),AND(G40="11-12",W40&gt;='Qualifying Scores'!I$10)),V40,0),IF(OR(AND(G40="17-21",Y40&gt;='Qualifying Scores'!I$13),AND(G40="15-16",Y40&gt;='Qualifying Scores'!I$12),AND(G40="13-14",Y40&gt;='Qualifying Scores'!I$11),AND(G40="11-12",Y40&gt;='Qualifying Scores'!I$10)),X40,0),IF(OR(AND(G40="17-21",AA40&gt;='Qualifying Scores'!I$13),AND(G40="15-16",AA40&gt;='Qualifying Scores'!I$12),AND(G40="13-14",AA40&gt;='Qualifying Scores'!I$11),AND(G40="11-12",AA40&gt;='Qualifying Scores'!I$10)),Z40,0)))</f>
        <v>0</v>
      </c>
      <c r="S40" s="4">
        <f>MAX(T40,V40,X40,Z40)</f>
        <v>36.1</v>
      </c>
      <c r="T40" s="33"/>
      <c r="U40" s="40"/>
      <c r="V40" s="34"/>
      <c r="W40" s="40"/>
      <c r="X40" s="33">
        <v>36.1</v>
      </c>
      <c r="Y40" s="40">
        <v>4.2</v>
      </c>
      <c r="Z40" s="34"/>
      <c r="AA40" s="37"/>
    </row>
    <row r="41" spans="1:27" x14ac:dyDescent="0.2">
      <c r="A41" s="1" t="str" cm="1">
        <f t="array" ref="A41">IF(I41="","",IF(P41&lt;&gt;"",SUMPRODUCT((P$3:P$79&lt;&gt;"")*(G$3:G$79=G41)*(J$3:J$79&gt;J41)*(I$3:I$79="P"))+1,IF(O41&lt;&gt;"",SUMPRODUCT((O$3:O$79&lt;&gt;"")*(P$3:P$79="")*(G$3:G$79=G41)*(J$3:J$79&gt;J41)*(I$3:I$79="P"))+SUMPRODUCT((P$3:P$79&lt;&gt;"")*(G$3:G$79=G41)*(I$3:I$79="P"))+1,IF(N41&lt;&gt;"",SUMPRODUCT((N$3:N$79&lt;&gt;"")*(G$3:G$79=G41)*(J$3:J$79&gt;J41)*(I$3:I$79="P"))+1,IF(M41="P",SUMPRODUCT((O$3:O$79&lt;&gt;"")*(P$3:P$79="")*(G$3:G$79=G41)*(I$3:I$79="P"))+SUMPRODUCT((P$3:P$79&lt;&gt;"")*(G$3:G$79=G41)*(I$3:I$79="P"))+SUMPRODUCT((N$3:N$79&lt;&gt;"")*(G$3:G$79=G41)*(I$3:I$79="P"))+SUMPRODUCT((P$3:P$79="")*(O$3:O$79="")*(N$3:N$79="")*(M$3:M$79="P")*(G$3:G$79=G41)*(J$3:J$79&gt;J41)*(I$3:I$79="P"))+IF(H41="L5",SUMPRODUCT((P$3:P$79="")*(O$3:O$79="")*(N$3:N$79="")*(M$3:M$79="P")*(G$3:G$79=G41)*(J$3:J$79&lt;J41)*(H$3:H$79&lt;&gt;H41)*(I$3:I$79="P")),-1*SUMPRODUCT((P$3:P$79="")*(O$3:O$79="")*(N$3:N$79="")*(M$3:M$79="P")*(G$3:G$79=G41)*(J$3:J$79&gt;J41)*(H$3:H$79="L5")*(I$3:I$79="P")))+1,"")))))</f>
        <v/>
      </c>
      <c r="B41" s="1" t="str" cm="1">
        <f t="array" ref="B41">IF(P41&lt;&gt;"",SUMPRODUCT((P$3:P$79&lt;&gt;"")*(G$3:G$79=G41)*(J$3:J$79&gt;J41))+1,IF(O41&lt;&gt;"",SUMPRODUCT((O$3:O$79&lt;&gt;"")*(P$3:P$79="")*(G$3:G$79=G41)*(J$3:J$79&gt;J41))+SUMPRODUCT((P$3:P$79&lt;&gt;"")*(G$3:G$79=G41))+1,IF(N41&lt;&gt;"",SUMPRODUCT((N$3:N$79&lt;&gt;"")*(G$3:G$79=G41)*(J$3:J$79&gt;J41))+1,IF(M41="P",SUMPRODUCT((O$3:O$79&lt;&gt;"")*(P$3:P$79="")*(G$3:G$79=G41))+SUMPRODUCT((P$3:P$79&lt;&gt;"")*(G$3:G$79=G41))+SUMPRODUCT((N$3:N$79&lt;&gt;"")*(G$3:G$79=G41))+SUMPRODUCT((P$3:P$79="")*(O$3:O$79="")*(N$3:N$79="")*(M$3:M$79="P")*(G$3:G$79=G41)*(J$3:J$79&gt;J41))+IF(H41="L5",SUMPRODUCT((P$3:P$79="")*(O$3:O$79="")*(N$3:N$79="")*(M$3:M$79="P")*(G$3:G$79=G41)*(J$3:J$79&lt;J41)*(H$3:H$79&lt;&gt;H41)),-1*SUMPRODUCT((P$3:P$79="")*(O$3:O$79="")*(N$3:N$79="")*(M$3:M$79="P")*(G$3:G$79=G41)*(J$3:J$79&gt;J41)*(H$3:H$79="L5")))+1,""))))</f>
        <v/>
      </c>
      <c r="C41" s="36" t="s">
        <v>334</v>
      </c>
      <c r="D41" s="36" t="str">
        <f>IF(E41="","",VLOOKUP(E41,'Coaching Points'!A:B,2,0))</f>
        <v>AB</v>
      </c>
      <c r="E41" s="36" t="s">
        <v>89</v>
      </c>
      <c r="F41" s="35">
        <v>2002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 t="s">
        <v>604</v>
      </c>
      <c r="J41" s="4">
        <f>R41+IF(OR(H41="Junior",H41="Senior"),0.0002,IF(OR(H41="L7",H41="L6"),0.0001,0))+MAX(X41,Z41)*0.0000001</f>
        <v>3.5700000000000001E-6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Scores'!I$13),AND(G41="15-16",U41&gt;='Qualifying Scores'!I$12),AND(G41="13-14",U41&gt;='Qualifying Scores'!I$11),AND(G41="11-12",U41&gt;='Qualifying Scores'!I$10)),T41,0),IF(OR(AND(G41="17-21",W41&gt;='Qualifying Scores'!I$13),AND(G41="15-16",W41&gt;='Qualifying Scores'!I$12),AND(G41="13-14",W41&gt;='Qualifying Scores'!I$11),AND(G41="11-12",W41&gt;='Qualifying Scores'!I$10)),V41,0),IF(OR(AND(G41="17-21",Y41&gt;='Qualifying Scores'!I$13),AND(G41="15-16",Y41&gt;='Qualifying Scores'!I$12),AND(G41="13-14",Y41&gt;='Qualifying Scores'!I$11),AND(G41="11-12",Y41&gt;='Qualifying Scores'!I$10)),X41,0),IF(OR(AND(G41="17-21",AA41&gt;='Qualifying Scores'!I$13),AND(G41="15-16",AA41&gt;='Qualifying Scores'!I$12),AND(G41="13-14",AA41&gt;='Qualifying Scores'!I$11),AND(G41="11-12",AA41&gt;='Qualifying Scores'!I$10)),Z41,0)))</f>
        <v>0</v>
      </c>
      <c r="S41" s="4">
        <f>MAX(T41,V41,X41,Z41)</f>
        <v>35.700000000000003</v>
      </c>
      <c r="T41" s="33">
        <v>34.799999999999997</v>
      </c>
      <c r="U41" s="40">
        <v>4.2</v>
      </c>
      <c r="V41" s="34">
        <v>0</v>
      </c>
      <c r="W41" s="40">
        <v>0</v>
      </c>
      <c r="X41" s="33">
        <v>35.700000000000003</v>
      </c>
      <c r="Y41" s="40">
        <v>6</v>
      </c>
      <c r="Z41" s="34"/>
      <c r="AA41" s="37"/>
    </row>
    <row r="42" spans="1:27" x14ac:dyDescent="0.2">
      <c r="A42" s="1" t="str" cm="1">
        <f t="array" ref="A42">IF(I42="","",IF(P42&lt;&gt;"",SUMPRODUCT((P$3:P$79&lt;&gt;"")*(G$3:G$79=G42)*(J$3:J$79&gt;J42)*(I$3:I$79="P"))+1,IF(O42&lt;&gt;"",SUMPRODUCT((O$3:O$79&lt;&gt;"")*(P$3:P$79="")*(G$3:G$79=G42)*(J$3:J$79&gt;J42)*(I$3:I$79="P"))+SUMPRODUCT((P$3:P$79&lt;&gt;"")*(G$3:G$79=G42)*(I$3:I$79="P"))+1,IF(N42&lt;&gt;"",SUMPRODUCT((N$3:N$79&lt;&gt;"")*(G$3:G$79=G42)*(J$3:J$79&gt;J42)*(I$3:I$79="P"))+1,IF(M42="P",SUMPRODUCT((O$3:O$79&lt;&gt;"")*(P$3:P$79="")*(G$3:G$79=G42)*(I$3:I$79="P"))+SUMPRODUCT((P$3:P$79&lt;&gt;"")*(G$3:G$79=G42)*(I$3:I$79="P"))+SUMPRODUCT((N$3:N$79&lt;&gt;"")*(G$3:G$79=G42)*(I$3:I$79="P"))+SUMPRODUCT((P$3:P$79="")*(O$3:O$79="")*(N$3:N$79="")*(M$3:M$79="P")*(G$3:G$79=G42)*(J$3:J$79&gt;J42)*(I$3:I$79="P"))+IF(H42="L5",SUMPRODUCT((P$3:P$79="")*(O$3:O$79="")*(N$3:N$79="")*(M$3:M$79="P")*(G$3:G$79=G42)*(J$3:J$79&lt;J42)*(H$3:H$79&lt;&gt;H42)*(I$3:I$79="P")),-1*SUMPRODUCT((P$3:P$79="")*(O$3:O$79="")*(N$3:N$79="")*(M$3:M$79="P")*(G$3:G$79=G42)*(J$3:J$79&gt;J42)*(H$3:H$79="L5")*(I$3:I$79="P")))+1,"")))))</f>
        <v/>
      </c>
      <c r="B42" s="1" t="str" cm="1">
        <f t="array" ref="B42">IF(P42&lt;&gt;"",SUMPRODUCT((P$3:P$79&lt;&gt;"")*(G$3:G$79=G42)*(J$3:J$79&gt;J42))+1,IF(O42&lt;&gt;"",SUMPRODUCT((O$3:O$79&lt;&gt;"")*(P$3:P$79="")*(G$3:G$79=G42)*(J$3:J$79&gt;J42))+SUMPRODUCT((P$3:P$79&lt;&gt;"")*(G$3:G$79=G42))+1,IF(N42&lt;&gt;"",SUMPRODUCT((N$3:N$79&lt;&gt;"")*(G$3:G$79=G42)*(J$3:J$79&gt;J42))+1,IF(M42="P",SUMPRODUCT((O$3:O$79&lt;&gt;"")*(P$3:P$79="")*(G$3:G$79=G42))+SUMPRODUCT((P$3:P$79&lt;&gt;"")*(G$3:G$79=G42))+SUMPRODUCT((N$3:N$79&lt;&gt;"")*(G$3:G$79=G42))+SUMPRODUCT((P$3:P$79="")*(O$3:O$79="")*(N$3:N$79="")*(M$3:M$79="P")*(G$3:G$79=G42)*(J$3:J$79&gt;J42))+IF(H42="L5",SUMPRODUCT((P$3:P$79="")*(O$3:O$79="")*(N$3:N$79="")*(M$3:M$79="P")*(G$3:G$79=G42)*(J$3:J$79&lt;J42)*(H$3:H$79&lt;&gt;H42)),-1*SUMPRODUCT((P$3:P$79="")*(O$3:O$79="")*(N$3:N$79="")*(M$3:M$79="P")*(G$3:G$79=G42)*(J$3:J$79&gt;J42)*(H$3:H$79="L5")))+1,""))))</f>
        <v/>
      </c>
      <c r="C42" s="36" t="s">
        <v>549</v>
      </c>
      <c r="D42" s="36" t="s">
        <v>355</v>
      </c>
      <c r="E42" s="36" t="s">
        <v>171</v>
      </c>
      <c r="F42" s="35">
        <v>2002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3.5399999999999996E-6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Scores'!I$13),AND(G42="15-16",U42&gt;='Qualifying Scores'!I$12),AND(G42="13-14",U42&gt;='Qualifying Scores'!I$11),AND(G42="11-12",U42&gt;='Qualifying Scores'!I$10)),T42,0),IF(OR(AND(G42="17-21",W42&gt;='Qualifying Scores'!I$13),AND(G42="15-16",W42&gt;='Qualifying Scores'!I$12),AND(G42="13-14",W42&gt;='Qualifying Scores'!I$11),AND(G42="11-12",W42&gt;='Qualifying Scores'!I$10)),V42,0),IF(OR(AND(G42="17-21",Y42&gt;='Qualifying Scores'!I$13),AND(G42="15-16",Y42&gt;='Qualifying Scores'!I$12),AND(G42="13-14",Y42&gt;='Qualifying Scores'!I$11),AND(G42="11-12",Y42&gt;='Qualifying Scores'!I$10)),X42,0),IF(OR(AND(G42="17-21",AA42&gt;='Qualifying Scores'!I$13),AND(G42="15-16",AA42&gt;='Qualifying Scores'!I$12),AND(G42="13-14",AA42&gt;='Qualifying Scores'!I$11),AND(G42="11-12",AA42&gt;='Qualifying Scores'!I$10)),Z42,0)))</f>
        <v>0</v>
      </c>
      <c r="S42" s="4">
        <f>MAX(T42,V42,X42,Z42)</f>
        <v>35.4</v>
      </c>
      <c r="T42" s="33"/>
      <c r="U42" s="40"/>
      <c r="V42" s="34"/>
      <c r="W42" s="40"/>
      <c r="X42" s="33">
        <v>35.4</v>
      </c>
      <c r="Y42" s="40">
        <v>3.3</v>
      </c>
      <c r="Z42" s="34"/>
      <c r="AA42" s="37"/>
    </row>
    <row r="43" spans="1:27" x14ac:dyDescent="0.2">
      <c r="A43" s="1" t="str" cm="1">
        <f t="array" ref="A43">IF(I43="","",IF(P43&lt;&gt;"",SUMPRODUCT((P$3:P$79&lt;&gt;"")*(G$3:G$79=G43)*(J$3:J$79&gt;J43)*(I$3:I$79="P"))+1,IF(O43&lt;&gt;"",SUMPRODUCT((O$3:O$79&lt;&gt;"")*(P$3:P$79="")*(G$3:G$79=G43)*(J$3:J$79&gt;J43)*(I$3:I$79="P"))+SUMPRODUCT((P$3:P$79&lt;&gt;"")*(G$3:G$79=G43)*(I$3:I$79="P"))+1,IF(N43&lt;&gt;"",SUMPRODUCT((N$3:N$79&lt;&gt;"")*(G$3:G$79=G43)*(J$3:J$79&gt;J43)*(I$3:I$79="P"))+1,IF(M43="P",SUMPRODUCT((O$3:O$79&lt;&gt;"")*(P$3:P$79="")*(G$3:G$79=G43)*(I$3:I$79="P"))+SUMPRODUCT((P$3:P$79&lt;&gt;"")*(G$3:G$79=G43)*(I$3:I$79="P"))+SUMPRODUCT((N$3:N$79&lt;&gt;"")*(G$3:G$79=G43)*(I$3:I$79="P"))+SUMPRODUCT((P$3:P$79="")*(O$3:O$79="")*(N$3:N$79="")*(M$3:M$79="P")*(G$3:G$79=G43)*(J$3:J$79&gt;J43)*(I$3:I$79="P"))+IF(H43="L5",SUMPRODUCT((P$3:P$79="")*(O$3:O$79="")*(N$3:N$79="")*(M$3:M$79="P")*(G$3:G$79=G43)*(J$3:J$79&lt;J43)*(H$3:H$79&lt;&gt;H43)*(I$3:I$79="P")),-1*SUMPRODUCT((P$3:P$79="")*(O$3:O$79="")*(N$3:N$79="")*(M$3:M$79="P")*(G$3:G$79=G43)*(J$3:J$79&gt;J43)*(H$3:H$79="L5")*(I$3:I$79="P")))+1,"")))))</f>
        <v/>
      </c>
      <c r="B43" s="1" t="str" cm="1">
        <f t="array" ref="B43">IF(P43&lt;&gt;"",SUMPRODUCT((P$3:P$79&lt;&gt;"")*(G$3:G$79=G43)*(J$3:J$79&gt;J43))+1,IF(O43&lt;&gt;"",SUMPRODUCT((O$3:O$79&lt;&gt;"")*(P$3:P$79="")*(G$3:G$79=G43)*(J$3:J$79&gt;J43))+SUMPRODUCT((P$3:P$79&lt;&gt;"")*(G$3:G$79=G43))+1,IF(N43&lt;&gt;"",SUMPRODUCT((N$3:N$79&lt;&gt;"")*(G$3:G$79=G43)*(J$3:J$79&gt;J43))+1,IF(M43="P",SUMPRODUCT((O$3:O$79&lt;&gt;"")*(P$3:P$79="")*(G$3:G$79=G43))+SUMPRODUCT((P$3:P$79&lt;&gt;"")*(G$3:G$79=G43))+SUMPRODUCT((N$3:N$79&lt;&gt;"")*(G$3:G$79=G43))+SUMPRODUCT((P$3:P$79="")*(O$3:O$79="")*(N$3:N$79="")*(M$3:M$79="P")*(G$3:G$79=G43)*(J$3:J$79&gt;J43))+IF(H43="L5",SUMPRODUCT((P$3:P$79="")*(O$3:O$79="")*(N$3:N$79="")*(M$3:M$79="P")*(G$3:G$79=G43)*(J$3:J$79&lt;J43)*(H$3:H$79&lt;&gt;H43)),-1*SUMPRODUCT((P$3:P$79="")*(O$3:O$79="")*(N$3:N$79="")*(M$3:M$79="P")*(G$3:G$79=G43)*(J$3:J$79&gt;J43)*(H$3:H$79="L5")))+1,""))))</f>
        <v/>
      </c>
      <c r="C43" s="36" t="s">
        <v>263</v>
      </c>
      <c r="D43" s="36" t="s">
        <v>356</v>
      </c>
      <c r="E43" s="36" t="s">
        <v>47</v>
      </c>
      <c r="F43" s="35">
        <v>2004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3.5099999999999999E-6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Scores'!I$13),AND(G43="15-16",U43&gt;='Qualifying Scores'!I$12),AND(G43="13-14",U43&gt;='Qualifying Scores'!I$11),AND(G43="11-12",U43&gt;='Qualifying Scores'!I$10)),T43,0),IF(OR(AND(G43="17-21",W43&gt;='Qualifying Scores'!I$13),AND(G43="15-16",W43&gt;='Qualifying Scores'!I$12),AND(G43="13-14",W43&gt;='Qualifying Scores'!I$11),AND(G43="11-12",W43&gt;='Qualifying Scores'!I$10)),V43,0),IF(OR(AND(G43="17-21",Y43&gt;='Qualifying Scores'!I$13),AND(G43="15-16",Y43&gt;='Qualifying Scores'!I$12),AND(G43="13-14",Y43&gt;='Qualifying Scores'!I$11),AND(G43="11-12",Y43&gt;='Qualifying Scores'!I$10)),X43,0),IF(OR(AND(G43="17-21",AA43&gt;='Qualifying Scores'!I$13),AND(G43="15-16",AA43&gt;='Qualifying Scores'!I$12),AND(G43="13-14",AA43&gt;='Qualifying Scores'!I$11),AND(G43="11-12",AA43&gt;='Qualifying Scores'!I$10)),Z43,0)))</f>
        <v>0</v>
      </c>
      <c r="S43" s="4">
        <f>MAX(T43,V43,X43,Z43)</f>
        <v>35.1</v>
      </c>
      <c r="T43" s="33"/>
      <c r="U43" s="40"/>
      <c r="V43" s="34"/>
      <c r="W43" s="40"/>
      <c r="X43" s="33">
        <v>35.1</v>
      </c>
      <c r="Y43" s="40">
        <v>3.2</v>
      </c>
      <c r="Z43" s="34"/>
      <c r="AA43" s="37"/>
    </row>
    <row r="44" spans="1:27" x14ac:dyDescent="0.2">
      <c r="A44" s="1" t="str" cm="1">
        <f t="array" ref="A44">IF(I44="","",IF(P44&lt;&gt;"",SUMPRODUCT((P$3:P$79&lt;&gt;"")*(G$3:G$79=G44)*(J$3:J$79&gt;J44)*(I$3:I$79="P"))+1,IF(O44&lt;&gt;"",SUMPRODUCT((O$3:O$79&lt;&gt;"")*(P$3:P$79="")*(G$3:G$79=G44)*(J$3:J$79&gt;J44)*(I$3:I$79="P"))+SUMPRODUCT((P$3:P$79&lt;&gt;"")*(G$3:G$79=G44)*(I$3:I$79="P"))+1,IF(N44&lt;&gt;"",SUMPRODUCT((N$3:N$79&lt;&gt;"")*(G$3:G$79=G44)*(J$3:J$79&gt;J44)*(I$3:I$79="P"))+1,IF(M44="P",SUMPRODUCT((O$3:O$79&lt;&gt;"")*(P$3:P$79="")*(G$3:G$79=G44)*(I$3:I$79="P"))+SUMPRODUCT((P$3:P$79&lt;&gt;"")*(G$3:G$79=G44)*(I$3:I$79="P"))+SUMPRODUCT((N$3:N$79&lt;&gt;"")*(G$3:G$79=G44)*(I$3:I$79="P"))+SUMPRODUCT((P$3:P$79="")*(O$3:O$79="")*(N$3:N$79="")*(M$3:M$79="P")*(G$3:G$79=G44)*(J$3:J$79&gt;J44)*(I$3:I$79="P"))+IF(H44="L5",SUMPRODUCT((P$3:P$79="")*(O$3:O$79="")*(N$3:N$79="")*(M$3:M$79="P")*(G$3:G$79=G44)*(J$3:J$79&lt;J44)*(H$3:H$79&lt;&gt;H44)*(I$3:I$79="P")),-1*SUMPRODUCT((P$3:P$79="")*(O$3:O$79="")*(N$3:N$79="")*(M$3:M$79="P")*(G$3:G$79=G44)*(J$3:J$79&gt;J44)*(H$3:H$79="L5")*(I$3:I$79="P")))+1,"")))))</f>
        <v/>
      </c>
      <c r="B44" s="1" t="str" cm="1">
        <f t="array" ref="B44">IF(P44&lt;&gt;"",SUMPRODUCT((P$3:P$79&lt;&gt;"")*(G$3:G$79=G44)*(J$3:J$79&gt;J44))+1,IF(O44&lt;&gt;"",SUMPRODUCT((O$3:O$79&lt;&gt;"")*(P$3:P$79="")*(G$3:G$79=G44)*(J$3:J$79&gt;J44))+SUMPRODUCT((P$3:P$79&lt;&gt;"")*(G$3:G$79=G44))+1,IF(N44&lt;&gt;"",SUMPRODUCT((N$3:N$79&lt;&gt;"")*(G$3:G$79=G44)*(J$3:J$79&gt;J44))+1,IF(M44="P",SUMPRODUCT((O$3:O$79&lt;&gt;"")*(P$3:P$79="")*(G$3:G$79=G44))+SUMPRODUCT((P$3:P$79&lt;&gt;"")*(G$3:G$79=G44))+SUMPRODUCT((N$3:N$79&lt;&gt;"")*(G$3:G$79=G44))+SUMPRODUCT((P$3:P$79="")*(O$3:O$79="")*(N$3:N$79="")*(M$3:M$79="P")*(G$3:G$79=G44)*(J$3:J$79&gt;J44))+IF(H44="L5",SUMPRODUCT((P$3:P$79="")*(O$3:O$79="")*(N$3:N$79="")*(M$3:M$79="P")*(G$3:G$79=G44)*(J$3:J$79&lt;J44)*(H$3:H$79&lt;&gt;H44)),-1*SUMPRODUCT((P$3:P$79="")*(O$3:O$79="")*(N$3:N$79="")*(M$3:M$79="P")*(G$3:G$79=G44)*(J$3:J$79&gt;J44)*(H$3:H$79="L5")))+1,""))))</f>
        <v/>
      </c>
      <c r="C44" s="36" t="s">
        <v>271</v>
      </c>
      <c r="D44" s="36" t="str">
        <f>IF(E44="","",VLOOKUP(E44,'Coaching Points'!A:B,2,0))</f>
        <v>AB</v>
      </c>
      <c r="E44" s="36" t="s">
        <v>29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3.4799999999999997E-6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Scores'!I$13),AND(G44="15-16",U44&gt;='Qualifying Scores'!I$12),AND(G44="13-14",U44&gt;='Qualifying Scores'!I$11),AND(G44="11-12",U44&gt;='Qualifying Scores'!I$10)),T44,0),IF(OR(AND(G44="17-21",W44&gt;='Qualifying Scores'!I$13),AND(G44="15-16",W44&gt;='Qualifying Scores'!I$12),AND(G44="13-14",W44&gt;='Qualifying Scores'!I$11),AND(G44="11-12",W44&gt;='Qualifying Scores'!I$10)),V44,0),IF(OR(AND(G44="17-21",Y44&gt;='Qualifying Scores'!I$13),AND(G44="15-16",Y44&gt;='Qualifying Scores'!I$12),AND(G44="13-14",Y44&gt;='Qualifying Scores'!I$11),AND(G44="11-12",Y44&gt;='Qualifying Scores'!I$10)),X44,0),IF(OR(AND(G44="17-21",AA44&gt;='Qualifying Scores'!I$13),AND(G44="15-16",AA44&gt;='Qualifying Scores'!I$12),AND(G44="13-14",AA44&gt;='Qualifying Scores'!I$11),AND(G44="11-12",AA44&gt;='Qualifying Scores'!I$10)),Z44,0)))</f>
        <v>0</v>
      </c>
      <c r="S44" s="4">
        <f>MAX(T44,V44,X44,Z44)</f>
        <v>37.06</v>
      </c>
      <c r="T44" s="33">
        <v>36.799999999999997</v>
      </c>
      <c r="U44" s="40">
        <v>5.3</v>
      </c>
      <c r="V44" s="34">
        <v>37.06</v>
      </c>
      <c r="W44" s="40">
        <v>5.3999999999999995</v>
      </c>
      <c r="X44" s="33">
        <v>34.799999999999997</v>
      </c>
      <c r="Y44" s="40">
        <v>4.7</v>
      </c>
      <c r="Z44" s="34"/>
      <c r="AA44" s="37"/>
    </row>
    <row r="45" spans="1:27" x14ac:dyDescent="0.2">
      <c r="A45" s="1" t="str" cm="1">
        <f t="array" ref="A45">IF(I45="","",IF(P45&lt;&gt;"",SUMPRODUCT((P$3:P$79&lt;&gt;"")*(G$3:G$79=G45)*(J$3:J$79&gt;J45)*(I$3:I$79="P"))+1,IF(O45&lt;&gt;"",SUMPRODUCT((O$3:O$79&lt;&gt;"")*(P$3:P$79="")*(G$3:G$79=G45)*(J$3:J$79&gt;J45)*(I$3:I$79="P"))+SUMPRODUCT((P$3:P$79&lt;&gt;"")*(G$3:G$79=G45)*(I$3:I$79="P"))+1,IF(N45&lt;&gt;"",SUMPRODUCT((N$3:N$79&lt;&gt;"")*(G$3:G$79=G45)*(J$3:J$79&gt;J45)*(I$3:I$79="P"))+1,IF(M45="P",SUMPRODUCT((O$3:O$79&lt;&gt;"")*(P$3:P$79="")*(G$3:G$79=G45)*(I$3:I$79="P"))+SUMPRODUCT((P$3:P$79&lt;&gt;"")*(G$3:G$79=G45)*(I$3:I$79="P"))+SUMPRODUCT((N$3:N$79&lt;&gt;"")*(G$3:G$79=G45)*(I$3:I$79="P"))+SUMPRODUCT((P$3:P$79="")*(O$3:O$79="")*(N$3:N$79="")*(M$3:M$79="P")*(G$3:G$79=G45)*(J$3:J$79&gt;J45)*(I$3:I$79="P"))+IF(H45="L5",SUMPRODUCT((P$3:P$79="")*(O$3:O$79="")*(N$3:N$79="")*(M$3:M$79="P")*(G$3:G$79=G45)*(J$3:J$79&lt;J45)*(H$3:H$79&lt;&gt;H45)*(I$3:I$79="P")),-1*SUMPRODUCT((P$3:P$79="")*(O$3:O$79="")*(N$3:N$79="")*(M$3:M$79="P")*(G$3:G$79=G45)*(J$3:J$79&gt;J45)*(H$3:H$79="L5")*(I$3:I$79="P")))+1,"")))))</f>
        <v/>
      </c>
      <c r="B45" s="1" t="str" cm="1">
        <f t="array" ref="B45">IF(P45&lt;&gt;"",SUMPRODUCT((P$3:P$79&lt;&gt;"")*(G$3:G$79=G45)*(J$3:J$79&gt;J45))+1,IF(O45&lt;&gt;"",SUMPRODUCT((O$3:O$79&lt;&gt;"")*(P$3:P$79="")*(G$3:G$79=G45)*(J$3:J$79&gt;J45))+SUMPRODUCT((P$3:P$79&lt;&gt;"")*(G$3:G$79=G45))+1,IF(N45&lt;&gt;"",SUMPRODUCT((N$3:N$79&lt;&gt;"")*(G$3:G$79=G45)*(J$3:J$79&gt;J45))+1,IF(M45="P",SUMPRODUCT((O$3:O$79&lt;&gt;"")*(P$3:P$79="")*(G$3:G$79=G45))+SUMPRODUCT((P$3:P$79&lt;&gt;"")*(G$3:G$79=G45))+SUMPRODUCT((N$3:N$79&lt;&gt;"")*(G$3:G$79=G45))+SUMPRODUCT((P$3:P$79="")*(O$3:O$79="")*(N$3:N$79="")*(M$3:M$79="P")*(G$3:G$79=G45)*(J$3:J$79&gt;J45))+IF(H45="L5",SUMPRODUCT((P$3:P$79="")*(O$3:O$79="")*(N$3:N$79="")*(M$3:M$79="P")*(G$3:G$79=G45)*(J$3:J$79&lt;J45)*(H$3:H$79&lt;&gt;H45)),-1*SUMPRODUCT((P$3:P$79="")*(O$3:O$79="")*(N$3:N$79="")*(M$3:M$79="P")*(G$3:G$79=G45)*(J$3:J$79&gt;J45)*(H$3:H$79="L5")))+1,""))))</f>
        <v/>
      </c>
      <c r="C45" s="36" t="s">
        <v>547</v>
      </c>
      <c r="D45" s="36" t="s">
        <v>355</v>
      </c>
      <c r="E45" s="36" t="s">
        <v>171</v>
      </c>
      <c r="F45" s="35">
        <v>2001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3.36E-6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Scores'!I$13),AND(G45="15-16",U45&gt;='Qualifying Scores'!I$12),AND(G45="13-14",U45&gt;='Qualifying Scores'!I$11),AND(G45="11-12",U45&gt;='Qualifying Scores'!I$10)),T45,0),IF(OR(AND(G45="17-21",W45&gt;='Qualifying Scores'!I$13),AND(G45="15-16",W45&gt;='Qualifying Scores'!I$12),AND(G45="13-14",W45&gt;='Qualifying Scores'!I$11),AND(G45="11-12",W45&gt;='Qualifying Scores'!I$10)),V45,0),IF(OR(AND(G45="17-21",Y45&gt;='Qualifying Scores'!I$13),AND(G45="15-16",Y45&gt;='Qualifying Scores'!I$12),AND(G45="13-14",Y45&gt;='Qualifying Scores'!I$11),AND(G45="11-12",Y45&gt;='Qualifying Scores'!I$10)),X45,0),IF(OR(AND(G45="17-21",AA45&gt;='Qualifying Scores'!I$13),AND(G45="15-16",AA45&gt;='Qualifying Scores'!I$12),AND(G45="13-14",AA45&gt;='Qualifying Scores'!I$11),AND(G45="11-12",AA45&gt;='Qualifying Scores'!I$10)),Z45,0)))</f>
        <v>0</v>
      </c>
      <c r="S45" s="4">
        <f>MAX(T45,V45,X45,Z45)</f>
        <v>33.6</v>
      </c>
      <c r="T45" s="33"/>
      <c r="U45" s="40"/>
      <c r="V45" s="34"/>
      <c r="W45" s="40"/>
      <c r="X45" s="33">
        <v>33.6</v>
      </c>
      <c r="Y45" s="40">
        <v>3.7</v>
      </c>
      <c r="Z45" s="34"/>
      <c r="AA45" s="37"/>
    </row>
    <row r="46" spans="1:27" x14ac:dyDescent="0.2">
      <c r="A46" s="1" t="str" cm="1">
        <f t="array" ref="A46">IF(I46="","",IF(P46&lt;&gt;"",SUMPRODUCT((P$3:P$79&lt;&gt;"")*(G$3:G$79=G46)*(J$3:J$79&gt;J46)*(I$3:I$79="P"))+1,IF(O46&lt;&gt;"",SUMPRODUCT((O$3:O$79&lt;&gt;"")*(P$3:P$79="")*(G$3:G$79=G46)*(J$3:J$79&gt;J46)*(I$3:I$79="P"))+SUMPRODUCT((P$3:P$79&lt;&gt;"")*(G$3:G$79=G46)*(I$3:I$79="P"))+1,IF(N46&lt;&gt;"",SUMPRODUCT((N$3:N$79&lt;&gt;"")*(G$3:G$79=G46)*(J$3:J$79&gt;J46)*(I$3:I$79="P"))+1,IF(M46="P",SUMPRODUCT((O$3:O$79&lt;&gt;"")*(P$3:P$79="")*(G$3:G$79=G46)*(I$3:I$79="P"))+SUMPRODUCT((P$3:P$79&lt;&gt;"")*(G$3:G$79=G46)*(I$3:I$79="P"))+SUMPRODUCT((N$3:N$79&lt;&gt;"")*(G$3:G$79=G46)*(I$3:I$79="P"))+SUMPRODUCT((P$3:P$79="")*(O$3:O$79="")*(N$3:N$79="")*(M$3:M$79="P")*(G$3:G$79=G46)*(J$3:J$79&gt;J46)*(I$3:I$79="P"))+IF(H46="L5",SUMPRODUCT((P$3:P$79="")*(O$3:O$79="")*(N$3:N$79="")*(M$3:M$79="P")*(G$3:G$79=G46)*(J$3:J$79&lt;J46)*(H$3:H$79&lt;&gt;H46)*(I$3:I$79="P")),-1*SUMPRODUCT((P$3:P$79="")*(O$3:O$79="")*(N$3:N$79="")*(M$3:M$79="P")*(G$3:G$79=G46)*(J$3:J$79&gt;J46)*(H$3:H$79="L5")*(I$3:I$79="P")))+1,"")))))</f>
        <v/>
      </c>
      <c r="B46" s="1" t="str" cm="1">
        <f t="array" ref="B46">IF(P46&lt;&gt;"",SUMPRODUCT((P$3:P$79&lt;&gt;"")*(G$3:G$79=G46)*(J$3:J$79&gt;J46))+1,IF(O46&lt;&gt;"",SUMPRODUCT((O$3:O$79&lt;&gt;"")*(P$3:P$79="")*(G$3:G$79=G46)*(J$3:J$79&gt;J46))+SUMPRODUCT((P$3:P$79&lt;&gt;"")*(G$3:G$79=G46))+1,IF(N46&lt;&gt;"",SUMPRODUCT((N$3:N$79&lt;&gt;"")*(G$3:G$79=G46)*(J$3:J$79&gt;J46))+1,IF(M46="P",SUMPRODUCT((O$3:O$79&lt;&gt;"")*(P$3:P$79="")*(G$3:G$79=G46))+SUMPRODUCT((P$3:P$79&lt;&gt;"")*(G$3:G$79=G46))+SUMPRODUCT((N$3:N$79&lt;&gt;"")*(G$3:G$79=G46))+SUMPRODUCT((P$3:P$79="")*(O$3:O$79="")*(N$3:N$79="")*(M$3:M$79="P")*(G$3:G$79=G46)*(J$3:J$79&gt;J46))+IF(H46="L5",SUMPRODUCT((P$3:P$79="")*(O$3:O$79="")*(N$3:N$79="")*(M$3:M$79="P")*(G$3:G$79=G46)*(J$3:J$79&lt;J46)*(H$3:H$79&lt;&gt;H46)),-1*SUMPRODUCT((P$3:P$79="")*(O$3:O$79="")*(N$3:N$79="")*(M$3:M$79="P")*(G$3:G$79=G46)*(J$3:J$79&gt;J46)*(H$3:H$79="L5")))+1,""))))</f>
        <v/>
      </c>
      <c r="C46" s="36" t="s">
        <v>294</v>
      </c>
      <c r="D46" s="36" t="str">
        <f>IF(E46="","",VLOOKUP(E46,'Coaching Points'!A:B,2,0))</f>
        <v>AB</v>
      </c>
      <c r="E46" s="36" t="s">
        <v>29</v>
      </c>
      <c r="F46" s="35">
        <v>2004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3.3399999999999998E-6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Scores'!I$13),AND(G46="15-16",U46&gt;='Qualifying Scores'!I$12),AND(G46="13-14",U46&gt;='Qualifying Scores'!I$11),AND(G46="11-12",U46&gt;='Qualifying Scores'!I$10)),T46,0),IF(OR(AND(G46="17-21",W46&gt;='Qualifying Scores'!I$13),AND(G46="15-16",W46&gt;='Qualifying Scores'!I$12),AND(G46="13-14",W46&gt;='Qualifying Scores'!I$11),AND(G46="11-12",W46&gt;='Qualifying Scores'!I$10)),V46,0),IF(OR(AND(G46="17-21",Y46&gt;='Qualifying Scores'!I$13),AND(G46="15-16",Y46&gt;='Qualifying Scores'!I$12),AND(G46="13-14",Y46&gt;='Qualifying Scores'!I$11),AND(G46="11-12",Y46&gt;='Qualifying Scores'!I$10)),X46,0),IF(OR(AND(G46="17-21",AA46&gt;='Qualifying Scores'!I$13),AND(G46="15-16",AA46&gt;='Qualifying Scores'!I$12),AND(G46="13-14",AA46&gt;='Qualifying Scores'!I$11),AND(G46="11-12",AA46&gt;='Qualifying Scores'!I$10)),Z46,0)))</f>
        <v>0</v>
      </c>
      <c r="S46" s="4">
        <f>MAX(T46,V46,X46,Z46)</f>
        <v>38.14</v>
      </c>
      <c r="T46" s="33">
        <v>38.14</v>
      </c>
      <c r="U46" s="40">
        <v>6.5</v>
      </c>
      <c r="V46" s="34">
        <v>36.400000000000006</v>
      </c>
      <c r="W46" s="40">
        <v>6.8000000000000007</v>
      </c>
      <c r="X46" s="33">
        <v>33.4</v>
      </c>
      <c r="Y46" s="40">
        <v>5</v>
      </c>
      <c r="Z46" s="34"/>
      <c r="AA46" s="37"/>
    </row>
    <row r="47" spans="1:27" x14ac:dyDescent="0.2">
      <c r="A47" s="1" t="str" cm="1">
        <f t="array" ref="A47">IF(I47="","",IF(P47&lt;&gt;"",SUMPRODUCT((P$3:P$79&lt;&gt;"")*(G$3:G$79=G47)*(J$3:J$79&gt;J47)*(I$3:I$79="P"))+1,IF(O47&lt;&gt;"",SUMPRODUCT((O$3:O$79&lt;&gt;"")*(P$3:P$79="")*(G$3:G$79=G47)*(J$3:J$79&gt;J47)*(I$3:I$79="P"))+SUMPRODUCT((P$3:P$79&lt;&gt;"")*(G$3:G$79=G47)*(I$3:I$79="P"))+1,IF(N47&lt;&gt;"",SUMPRODUCT((N$3:N$79&lt;&gt;"")*(G$3:G$79=G47)*(J$3:J$79&gt;J47)*(I$3:I$79="P"))+1,IF(M47="P",SUMPRODUCT((O$3:O$79&lt;&gt;"")*(P$3:P$79="")*(G$3:G$79=G47)*(I$3:I$79="P"))+SUMPRODUCT((P$3:P$79&lt;&gt;"")*(G$3:G$79=G47)*(I$3:I$79="P"))+SUMPRODUCT((N$3:N$79&lt;&gt;"")*(G$3:G$79=G47)*(I$3:I$79="P"))+SUMPRODUCT((P$3:P$79="")*(O$3:O$79="")*(N$3:N$79="")*(M$3:M$79="P")*(G$3:G$79=G47)*(J$3:J$79&gt;J47)*(I$3:I$79="P"))+IF(H47="L5",SUMPRODUCT((P$3:P$79="")*(O$3:O$79="")*(N$3:N$79="")*(M$3:M$79="P")*(G$3:G$79=G47)*(J$3:J$79&lt;J47)*(H$3:H$79&lt;&gt;H47)*(I$3:I$79="P")),-1*SUMPRODUCT((P$3:P$79="")*(O$3:O$79="")*(N$3:N$79="")*(M$3:M$79="P")*(G$3:G$79=G47)*(J$3:J$79&gt;J47)*(H$3:H$79="L5")*(I$3:I$79="P")))+1,"")))))</f>
        <v/>
      </c>
      <c r="B47" s="1" t="str" cm="1">
        <f t="array" ref="B47">IF(P47&lt;&gt;"",SUMPRODUCT((P$3:P$79&lt;&gt;"")*(G$3:G$79=G47)*(J$3:J$79&gt;J47))+1,IF(O47&lt;&gt;"",SUMPRODUCT((O$3:O$79&lt;&gt;"")*(P$3:P$79="")*(G$3:G$79=G47)*(J$3:J$79&gt;J47))+SUMPRODUCT((P$3:P$79&lt;&gt;"")*(G$3:G$79=G47))+1,IF(N47&lt;&gt;"",SUMPRODUCT((N$3:N$79&lt;&gt;"")*(G$3:G$79=G47)*(J$3:J$79&gt;J47))+1,IF(M47="P",SUMPRODUCT((O$3:O$79&lt;&gt;"")*(P$3:P$79="")*(G$3:G$79=G47))+SUMPRODUCT((P$3:P$79&lt;&gt;"")*(G$3:G$79=G47))+SUMPRODUCT((N$3:N$79&lt;&gt;"")*(G$3:G$79=G47))+SUMPRODUCT((P$3:P$79="")*(O$3:O$79="")*(N$3:N$79="")*(M$3:M$79="P")*(G$3:G$79=G47)*(J$3:J$79&gt;J47))+IF(H47="L5",SUMPRODUCT((P$3:P$79="")*(O$3:O$79="")*(N$3:N$79="")*(M$3:M$79="P")*(G$3:G$79=G47)*(J$3:J$79&lt;J47)*(H$3:H$79&lt;&gt;H47)),-1*SUMPRODUCT((P$3:P$79="")*(O$3:O$79="")*(N$3:N$79="")*(M$3:M$79="P")*(G$3:G$79=G47)*(J$3:J$79&gt;J47)*(H$3:H$79="L5")))+1,""))))</f>
        <v/>
      </c>
      <c r="C47" s="36" t="s">
        <v>337</v>
      </c>
      <c r="D47" s="36" t="str">
        <f>IF(E47="","",VLOOKUP(E47,'Coaching Points'!A:B,2,0))</f>
        <v>SK</v>
      </c>
      <c r="E47" s="36" t="s">
        <v>70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3.3399999999999998E-6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Scores'!I$13),AND(G47="15-16",U47&gt;='Qualifying Scores'!I$12),AND(G47="13-14",U47&gt;='Qualifying Scores'!I$11),AND(G47="11-12",U47&gt;='Qualifying Scores'!I$10)),T47,0),IF(OR(AND(G47="17-21",W47&gt;='Qualifying Scores'!I$13),AND(G47="15-16",W47&gt;='Qualifying Scores'!I$12),AND(G47="13-14",W47&gt;='Qualifying Scores'!I$11),AND(G47="11-12",W47&gt;='Qualifying Scores'!I$10)),V47,0),IF(OR(AND(G47="17-21",Y47&gt;='Qualifying Scores'!I$13),AND(G47="15-16",Y47&gt;='Qualifying Scores'!I$12),AND(G47="13-14",Y47&gt;='Qualifying Scores'!I$11),AND(G47="11-12",Y47&gt;='Qualifying Scores'!I$10)),X47,0),IF(OR(AND(G47="17-21",AA47&gt;='Qualifying Scores'!I$13),AND(G47="15-16",AA47&gt;='Qualifying Scores'!I$12),AND(G47="13-14",AA47&gt;='Qualifying Scores'!I$11),AND(G47="11-12",AA47&gt;='Qualifying Scores'!I$10)),Z47,0)))</f>
        <v>0</v>
      </c>
      <c r="S47" s="4">
        <f>MAX(T47,V47,X47,Z47)</f>
        <v>33.4</v>
      </c>
      <c r="T47" s="33">
        <v>32.06</v>
      </c>
      <c r="U47" s="40">
        <v>3.8</v>
      </c>
      <c r="V47" s="34">
        <v>0</v>
      </c>
      <c r="W47" s="40">
        <v>0</v>
      </c>
      <c r="X47" s="33">
        <v>33.4</v>
      </c>
      <c r="Y47" s="40">
        <v>2.2999999999999998</v>
      </c>
      <c r="Z47" s="34"/>
      <c r="AA47" s="37"/>
    </row>
    <row r="48" spans="1:27" x14ac:dyDescent="0.2">
      <c r="A48" s="1" t="str" cm="1">
        <f t="array" ref="A48">IF(I48="","",IF(P48&lt;&gt;"",SUMPRODUCT((P$3:P$79&lt;&gt;"")*(G$3:G$79=G48)*(J$3:J$79&gt;J48)*(I$3:I$79="P"))+1,IF(O48&lt;&gt;"",SUMPRODUCT((O$3:O$79&lt;&gt;"")*(P$3:P$79="")*(G$3:G$79=G48)*(J$3:J$79&gt;J48)*(I$3:I$79="P"))+SUMPRODUCT((P$3:P$79&lt;&gt;"")*(G$3:G$79=G48)*(I$3:I$79="P"))+1,IF(N48&lt;&gt;"",SUMPRODUCT((N$3:N$79&lt;&gt;"")*(G$3:G$79=G48)*(J$3:J$79&gt;J48)*(I$3:I$79="P"))+1,IF(M48="P",SUMPRODUCT((O$3:O$79&lt;&gt;"")*(P$3:P$79="")*(G$3:G$79=G48)*(I$3:I$79="P"))+SUMPRODUCT((P$3:P$79&lt;&gt;"")*(G$3:G$79=G48)*(I$3:I$79="P"))+SUMPRODUCT((N$3:N$79&lt;&gt;"")*(G$3:G$79=G48)*(I$3:I$79="P"))+SUMPRODUCT((P$3:P$79="")*(O$3:O$79="")*(N$3:N$79="")*(M$3:M$79="P")*(G$3:G$79=G48)*(J$3:J$79&gt;J48)*(I$3:I$79="P"))+IF(H48="L5",SUMPRODUCT((P$3:P$79="")*(O$3:O$79="")*(N$3:N$79="")*(M$3:M$79="P")*(G$3:G$79=G48)*(J$3:J$79&lt;J48)*(H$3:H$79&lt;&gt;H48)*(I$3:I$79="P")),-1*SUMPRODUCT((P$3:P$79="")*(O$3:O$79="")*(N$3:N$79="")*(M$3:M$79="P")*(G$3:G$79=G48)*(J$3:J$79&gt;J48)*(H$3:H$79="L5")*(I$3:I$79="P")))+1,"")))))</f>
        <v/>
      </c>
      <c r="B48" s="1" t="str" cm="1">
        <f t="array" ref="B48">IF(P48&lt;&gt;"",SUMPRODUCT((P$3:P$79&lt;&gt;"")*(G$3:G$79=G48)*(J$3:J$79&gt;J48))+1,IF(O48&lt;&gt;"",SUMPRODUCT((O$3:O$79&lt;&gt;"")*(P$3:P$79="")*(G$3:G$79=G48)*(J$3:J$79&gt;J48))+SUMPRODUCT((P$3:P$79&lt;&gt;"")*(G$3:G$79=G48))+1,IF(N48&lt;&gt;"",SUMPRODUCT((N$3:N$79&lt;&gt;"")*(G$3:G$79=G48)*(J$3:J$79&gt;J48))+1,IF(M48="P",SUMPRODUCT((O$3:O$79&lt;&gt;"")*(P$3:P$79="")*(G$3:G$79=G48))+SUMPRODUCT((P$3:P$79&lt;&gt;"")*(G$3:G$79=G48))+SUMPRODUCT((N$3:N$79&lt;&gt;"")*(G$3:G$79=G48))+SUMPRODUCT((P$3:P$79="")*(O$3:O$79="")*(N$3:N$79="")*(M$3:M$79="P")*(G$3:G$79=G48)*(J$3:J$79&gt;J48))+IF(H48="L5",SUMPRODUCT((P$3:P$79="")*(O$3:O$79="")*(N$3:N$79="")*(M$3:M$79="P")*(G$3:G$79=G48)*(J$3:J$79&lt;J48)*(H$3:H$79&lt;&gt;H48)),-1*SUMPRODUCT((P$3:P$79="")*(O$3:O$79="")*(N$3:N$79="")*(M$3:M$79="P")*(G$3:G$79=G48)*(J$3:J$79&gt;J48)*(H$3:H$79="L5")))+1,""))))</f>
        <v/>
      </c>
      <c r="C48" s="36" t="s">
        <v>545</v>
      </c>
      <c r="D48" s="36" t="str">
        <f>IF(E48="","",VLOOKUP(E48,'Coaching Points'!A:B,2,0))</f>
        <v>BC</v>
      </c>
      <c r="E48" s="36" t="s">
        <v>143</v>
      </c>
      <c r="F48" s="35">
        <v>2005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3.32E-6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Scores'!I$13),AND(G48="15-16",U48&gt;='Qualifying Scores'!I$12),AND(G48="13-14",U48&gt;='Qualifying Scores'!I$11),AND(G48="11-12",U48&gt;='Qualifying Scores'!I$10)),T48,0),IF(OR(AND(G48="17-21",W48&gt;='Qualifying Scores'!I$13),AND(G48="15-16",W48&gt;='Qualifying Scores'!I$12),AND(G48="13-14",W48&gt;='Qualifying Scores'!I$11),AND(G48="11-12",W48&gt;='Qualifying Scores'!I$10)),V48,0),IF(OR(AND(G48="17-21",Y48&gt;='Qualifying Scores'!I$13),AND(G48="15-16",Y48&gt;='Qualifying Scores'!I$12),AND(G48="13-14",Y48&gt;='Qualifying Scores'!I$11),AND(G48="11-12",Y48&gt;='Qualifying Scores'!I$10)),X48,0),IF(OR(AND(G48="17-21",AA48&gt;='Qualifying Scores'!I$13),AND(G48="15-16",AA48&gt;='Qualifying Scores'!I$12),AND(G48="13-14",AA48&gt;='Qualifying Scores'!I$11),AND(G48="11-12",AA48&gt;='Qualifying Scores'!I$10)),Z48,0)))</f>
        <v>0</v>
      </c>
      <c r="S48" s="4">
        <f>MAX(T48,V48,X48,Z48)</f>
        <v>33.200000000000003</v>
      </c>
      <c r="T48" s="33"/>
      <c r="U48" s="40"/>
      <c r="V48" s="34"/>
      <c r="W48" s="40"/>
      <c r="X48" s="33">
        <v>33.200000000000003</v>
      </c>
      <c r="Y48" s="40">
        <v>3.7</v>
      </c>
      <c r="Z48" s="34"/>
      <c r="AA48" s="37"/>
    </row>
    <row r="49" spans="1:27" x14ac:dyDescent="0.2">
      <c r="A49" s="1" t="str" cm="1">
        <f t="array" ref="A49">IF(I49="","",IF(P49&lt;&gt;"",SUMPRODUCT((P$3:P$79&lt;&gt;"")*(G$3:G$79=G49)*(J$3:J$79&gt;J49)*(I$3:I$79="P"))+1,IF(O49&lt;&gt;"",SUMPRODUCT((O$3:O$79&lt;&gt;"")*(P$3:P$79="")*(G$3:G$79=G49)*(J$3:J$79&gt;J49)*(I$3:I$79="P"))+SUMPRODUCT((P$3:P$79&lt;&gt;"")*(G$3:G$79=G49)*(I$3:I$79="P"))+1,IF(N49&lt;&gt;"",SUMPRODUCT((N$3:N$79&lt;&gt;"")*(G$3:G$79=G49)*(J$3:J$79&gt;J49)*(I$3:I$79="P"))+1,IF(M49="P",SUMPRODUCT((O$3:O$79&lt;&gt;"")*(P$3:P$79="")*(G$3:G$79=G49)*(I$3:I$79="P"))+SUMPRODUCT((P$3:P$79&lt;&gt;"")*(G$3:G$79=G49)*(I$3:I$79="P"))+SUMPRODUCT((N$3:N$79&lt;&gt;"")*(G$3:G$79=G49)*(I$3:I$79="P"))+SUMPRODUCT((P$3:P$79="")*(O$3:O$79="")*(N$3:N$79="")*(M$3:M$79="P")*(G$3:G$79=G49)*(J$3:J$79&gt;J49)*(I$3:I$79="P"))+IF(H49="L5",SUMPRODUCT((P$3:P$79="")*(O$3:O$79="")*(N$3:N$79="")*(M$3:M$79="P")*(G$3:G$79=G49)*(J$3:J$79&lt;J49)*(H$3:H$79&lt;&gt;H49)*(I$3:I$79="P")),-1*SUMPRODUCT((P$3:P$79="")*(O$3:O$79="")*(N$3:N$79="")*(M$3:M$79="P")*(G$3:G$79=G49)*(J$3:J$79&gt;J49)*(H$3:H$79="L5")*(I$3:I$79="P")))+1,"")))))</f>
        <v/>
      </c>
      <c r="B49" s="1" t="str" cm="1">
        <f t="array" ref="B49">IF(P49&lt;&gt;"",SUMPRODUCT((P$3:P$79&lt;&gt;"")*(G$3:G$79=G49)*(J$3:J$79&gt;J49))+1,IF(O49&lt;&gt;"",SUMPRODUCT((O$3:O$79&lt;&gt;"")*(P$3:P$79="")*(G$3:G$79=G49)*(J$3:J$79&gt;J49))+SUMPRODUCT((P$3:P$79&lt;&gt;"")*(G$3:G$79=G49))+1,IF(N49&lt;&gt;"",SUMPRODUCT((N$3:N$79&lt;&gt;"")*(G$3:G$79=G49)*(J$3:J$79&gt;J49))+1,IF(M49="P",SUMPRODUCT((O$3:O$79&lt;&gt;"")*(P$3:P$79="")*(G$3:G$79=G49))+SUMPRODUCT((P$3:P$79&lt;&gt;"")*(G$3:G$79=G49))+SUMPRODUCT((N$3:N$79&lt;&gt;"")*(G$3:G$79=G49))+SUMPRODUCT((P$3:P$79="")*(O$3:O$79="")*(N$3:N$79="")*(M$3:M$79="P")*(G$3:G$79=G49)*(J$3:J$79&gt;J49))+IF(H49="L5",SUMPRODUCT((P$3:P$79="")*(O$3:O$79="")*(N$3:N$79="")*(M$3:M$79="P")*(G$3:G$79=G49)*(J$3:J$79&lt;J49)*(H$3:H$79&lt;&gt;H49)),-1*SUMPRODUCT((P$3:P$79="")*(O$3:O$79="")*(N$3:N$79="")*(M$3:M$79="P")*(G$3:G$79=G49)*(J$3:J$79&gt;J49)*(H$3:H$79="L5")))+1,""))))</f>
        <v/>
      </c>
      <c r="C49" s="36" t="s">
        <v>548</v>
      </c>
      <c r="D49" s="36" t="s">
        <v>354</v>
      </c>
      <c r="E49" s="36" t="s">
        <v>61</v>
      </c>
      <c r="F49" s="35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3.27E-6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Scores'!I$13),AND(G49="15-16",U49&gt;='Qualifying Scores'!I$12),AND(G49="13-14",U49&gt;='Qualifying Scores'!I$11),AND(G49="11-12",U49&gt;='Qualifying Scores'!I$10)),T49,0),IF(OR(AND(G49="17-21",W49&gt;='Qualifying Scores'!I$13),AND(G49="15-16",W49&gt;='Qualifying Scores'!I$12),AND(G49="13-14",W49&gt;='Qualifying Scores'!I$11),AND(G49="11-12",W49&gt;='Qualifying Scores'!I$10)),V49,0),IF(OR(AND(G49="17-21",Y49&gt;='Qualifying Scores'!I$13),AND(G49="15-16",Y49&gt;='Qualifying Scores'!I$12),AND(G49="13-14",Y49&gt;='Qualifying Scores'!I$11),AND(G49="11-12",Y49&gt;='Qualifying Scores'!I$10)),X49,0),IF(OR(AND(G49="17-21",AA49&gt;='Qualifying Scores'!I$13),AND(G49="15-16",AA49&gt;='Qualifying Scores'!I$12),AND(G49="13-14",AA49&gt;='Qualifying Scores'!I$11),AND(G49="11-12",AA49&gt;='Qualifying Scores'!I$10)),Z49,0)))</f>
        <v>0</v>
      </c>
      <c r="S49" s="4">
        <f>MAX(T49,V49,X49,Z49)</f>
        <v>32.700000000000003</v>
      </c>
      <c r="T49" s="33"/>
      <c r="U49" s="40"/>
      <c r="V49" s="34"/>
      <c r="W49" s="40"/>
      <c r="X49" s="33">
        <v>32.700000000000003</v>
      </c>
      <c r="Y49" s="40">
        <v>3</v>
      </c>
      <c r="Z49" s="34"/>
      <c r="AA49" s="37"/>
    </row>
    <row r="50" spans="1:27" x14ac:dyDescent="0.2">
      <c r="A50" s="1" t="str" cm="1">
        <f t="array" ref="A50">IF(I50="","",IF(P50&lt;&gt;"",SUMPRODUCT((P$3:P$79&lt;&gt;"")*(G$3:G$79=G50)*(J$3:J$79&gt;J50)*(I$3:I$79="P"))+1,IF(O50&lt;&gt;"",SUMPRODUCT((O$3:O$79&lt;&gt;"")*(P$3:P$79="")*(G$3:G$79=G50)*(J$3:J$79&gt;J50)*(I$3:I$79="P"))+SUMPRODUCT((P$3:P$79&lt;&gt;"")*(G$3:G$79=G50)*(I$3:I$79="P"))+1,IF(N50&lt;&gt;"",SUMPRODUCT((N$3:N$79&lt;&gt;"")*(G$3:G$79=G50)*(J$3:J$79&gt;J50)*(I$3:I$79="P"))+1,IF(M50="P",SUMPRODUCT((O$3:O$79&lt;&gt;"")*(P$3:P$79="")*(G$3:G$79=G50)*(I$3:I$79="P"))+SUMPRODUCT((P$3:P$79&lt;&gt;"")*(G$3:G$79=G50)*(I$3:I$79="P"))+SUMPRODUCT((N$3:N$79&lt;&gt;"")*(G$3:G$79=G50)*(I$3:I$79="P"))+SUMPRODUCT((P$3:P$79="")*(O$3:O$79="")*(N$3:N$79="")*(M$3:M$79="P")*(G$3:G$79=G50)*(J$3:J$79&gt;J50)*(I$3:I$79="P"))+IF(H50="L5",SUMPRODUCT((P$3:P$79="")*(O$3:O$79="")*(N$3:N$79="")*(M$3:M$79="P")*(G$3:G$79=G50)*(J$3:J$79&lt;J50)*(H$3:H$79&lt;&gt;H50)*(I$3:I$79="P")),-1*SUMPRODUCT((P$3:P$79="")*(O$3:O$79="")*(N$3:N$79="")*(M$3:M$79="P")*(G$3:G$79=G50)*(J$3:J$79&gt;J50)*(H$3:H$79="L5")*(I$3:I$79="P")))+1,"")))))</f>
        <v/>
      </c>
      <c r="B50" s="1" t="str" cm="1">
        <f t="array" ref="B50">IF(P50&lt;&gt;"",SUMPRODUCT((P$3:P$79&lt;&gt;"")*(G$3:G$79=G50)*(J$3:J$79&gt;J50))+1,IF(O50&lt;&gt;"",SUMPRODUCT((O$3:O$79&lt;&gt;"")*(P$3:P$79="")*(G$3:G$79=G50)*(J$3:J$79&gt;J50))+SUMPRODUCT((P$3:P$79&lt;&gt;"")*(G$3:G$79=G50))+1,IF(N50&lt;&gt;"",SUMPRODUCT((N$3:N$79&lt;&gt;"")*(G$3:G$79=G50)*(J$3:J$79&gt;J50))+1,IF(M50="P",SUMPRODUCT((O$3:O$79&lt;&gt;"")*(P$3:P$79="")*(G$3:G$79=G50))+SUMPRODUCT((P$3:P$79&lt;&gt;"")*(G$3:G$79=G50))+SUMPRODUCT((N$3:N$79&lt;&gt;"")*(G$3:G$79=G50))+SUMPRODUCT((P$3:P$79="")*(O$3:O$79="")*(N$3:N$79="")*(M$3:M$79="P")*(G$3:G$79=G50)*(J$3:J$79&gt;J50))+IF(H50="L5",SUMPRODUCT((P$3:P$79="")*(O$3:O$79="")*(N$3:N$79="")*(M$3:M$79="P")*(G$3:G$79=G50)*(J$3:J$79&lt;J50)*(H$3:H$79&lt;&gt;H50)),-1*SUMPRODUCT((P$3:P$79="")*(O$3:O$79="")*(N$3:N$79="")*(M$3:M$79="P")*(G$3:G$79=G50)*(J$3:J$79&gt;J50)*(H$3:H$79="L5")))+1,""))))</f>
        <v/>
      </c>
      <c r="C50" s="36" t="s">
        <v>338</v>
      </c>
      <c r="D50" s="36" t="str">
        <f>IF(E50="","",VLOOKUP(E50,'Coaching Points'!A:B,2,0))</f>
        <v>BC</v>
      </c>
      <c r="E50" s="36" t="s">
        <v>42</v>
      </c>
      <c r="F50" s="35">
        <v>2003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2.9499999999999997E-6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Scores'!I$13),AND(G50="15-16",U50&gt;='Qualifying Scores'!I$12),AND(G50="13-14",U50&gt;='Qualifying Scores'!I$11),AND(G50="11-12",U50&gt;='Qualifying Scores'!I$10)),T50,0),IF(OR(AND(G50="17-21",W50&gt;='Qualifying Scores'!I$13),AND(G50="15-16",W50&gt;='Qualifying Scores'!I$12),AND(G50="13-14",W50&gt;='Qualifying Scores'!I$11),AND(G50="11-12",W50&gt;='Qualifying Scores'!I$10)),V50,0),IF(OR(AND(G50="17-21",Y50&gt;='Qualifying Scores'!I$13),AND(G50="15-16",Y50&gt;='Qualifying Scores'!I$12),AND(G50="13-14",Y50&gt;='Qualifying Scores'!I$11),AND(G50="11-12",Y50&gt;='Qualifying Scores'!I$10)),X50,0),IF(OR(AND(G50="17-21",AA50&gt;='Qualifying Scores'!I$13),AND(G50="15-16",AA50&gt;='Qualifying Scores'!I$12),AND(G50="13-14",AA50&gt;='Qualifying Scores'!I$11),AND(G50="11-12",AA50&gt;='Qualifying Scores'!I$10)),Z50,0)))</f>
        <v>0</v>
      </c>
      <c r="S50" s="4">
        <f>MAX(T50,V50,X50,Z50)</f>
        <v>30.92</v>
      </c>
      <c r="T50" s="33">
        <v>30.92</v>
      </c>
      <c r="U50" s="40">
        <v>4.9000000000000004</v>
      </c>
      <c r="V50" s="34">
        <v>0</v>
      </c>
      <c r="W50" s="40">
        <v>0</v>
      </c>
      <c r="X50" s="33">
        <v>29.5</v>
      </c>
      <c r="Y50" s="40">
        <v>2.8</v>
      </c>
      <c r="Z50" s="34"/>
      <c r="AA50" s="37"/>
    </row>
    <row r="51" spans="1:27" x14ac:dyDescent="0.2">
      <c r="A51" s="1" t="str" cm="1">
        <f t="array" ref="A51">IF(I51="","",IF(P51&lt;&gt;"",SUMPRODUCT((P$3:P$79&lt;&gt;"")*(G$3:G$79=G51)*(J$3:J$79&gt;J51)*(I$3:I$79="P"))+1,IF(O51&lt;&gt;"",SUMPRODUCT((O$3:O$79&lt;&gt;"")*(P$3:P$79="")*(G$3:G$79=G51)*(J$3:J$79&gt;J51)*(I$3:I$79="P"))+SUMPRODUCT((P$3:P$79&lt;&gt;"")*(G$3:G$79=G51)*(I$3:I$79="P"))+1,IF(N51&lt;&gt;"",SUMPRODUCT((N$3:N$79&lt;&gt;"")*(G$3:G$79=G51)*(J$3:J$79&gt;J51)*(I$3:I$79="P"))+1,IF(M51="P",SUMPRODUCT((O$3:O$79&lt;&gt;"")*(P$3:P$79="")*(G$3:G$79=G51)*(I$3:I$79="P"))+SUMPRODUCT((P$3:P$79&lt;&gt;"")*(G$3:G$79=G51)*(I$3:I$79="P"))+SUMPRODUCT((N$3:N$79&lt;&gt;"")*(G$3:G$79=G51)*(I$3:I$79="P"))+SUMPRODUCT((P$3:P$79="")*(O$3:O$79="")*(N$3:N$79="")*(M$3:M$79="P")*(G$3:G$79=G51)*(J$3:J$79&gt;J51)*(I$3:I$79="P"))+IF(H51="L5",SUMPRODUCT((P$3:P$79="")*(O$3:O$79="")*(N$3:N$79="")*(M$3:M$79="P")*(G$3:G$79=G51)*(J$3:J$79&lt;J51)*(H$3:H$79&lt;&gt;H51)*(I$3:I$79="P")),-1*SUMPRODUCT((P$3:P$79="")*(O$3:O$79="")*(N$3:N$79="")*(M$3:M$79="P")*(G$3:G$79=G51)*(J$3:J$79&gt;J51)*(H$3:H$79="L5")*(I$3:I$79="P")))+1,"")))))</f>
        <v/>
      </c>
      <c r="B51" s="1" t="str" cm="1">
        <f t="array" ref="B51">IF(P51&lt;&gt;"",SUMPRODUCT((P$3:P$79&lt;&gt;"")*(G$3:G$79=G51)*(J$3:J$79&gt;J51))+1,IF(O51&lt;&gt;"",SUMPRODUCT((O$3:O$79&lt;&gt;"")*(P$3:P$79="")*(G$3:G$79=G51)*(J$3:J$79&gt;J51))+SUMPRODUCT((P$3:P$79&lt;&gt;"")*(G$3:G$79=G51))+1,IF(N51&lt;&gt;"",SUMPRODUCT((N$3:N$79&lt;&gt;"")*(G$3:G$79=G51)*(J$3:J$79&gt;J51))+1,IF(M51="P",SUMPRODUCT((O$3:O$79&lt;&gt;"")*(P$3:P$79="")*(G$3:G$79=G51))+SUMPRODUCT((P$3:P$79&lt;&gt;"")*(G$3:G$79=G51))+SUMPRODUCT((N$3:N$79&lt;&gt;"")*(G$3:G$79=G51))+SUMPRODUCT((P$3:P$79="")*(O$3:O$79="")*(N$3:N$79="")*(M$3:M$79="P")*(G$3:G$79=G51)*(J$3:J$79&gt;J51))+IF(H51="L5",SUMPRODUCT((P$3:P$79="")*(O$3:O$79="")*(N$3:N$79="")*(M$3:M$79="P")*(G$3:G$79=G51)*(J$3:J$79&lt;J51)*(H$3:H$79&lt;&gt;H51)),-1*SUMPRODUCT((P$3:P$79="")*(O$3:O$79="")*(N$3:N$79="")*(M$3:M$79="P")*(G$3:G$79=G51)*(J$3:J$79&gt;J51)*(H$3:H$79="L5")))+1,""))))</f>
        <v/>
      </c>
      <c r="C51" s="36" t="s">
        <v>373</v>
      </c>
      <c r="D51" s="36" t="str">
        <f>IF(E51="","",VLOOKUP(E51,'Coaching Points'!A:B,2,0))</f>
        <v>ON</v>
      </c>
      <c r="E51" s="36" t="s">
        <v>320</v>
      </c>
      <c r="F51" s="35">
        <v>2004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0</v>
      </c>
      <c r="K51" s="3" t="str">
        <f>IF(G51="Not Age Eligible","",IF(MAX(T51,V51,X51,Z51)&gt;=LOOKUP(G51,'Qualifying Scores'!$A$4:$A$7,'Qualifying Scores'!$I$4:$I$7),"P",""))</f>
        <v/>
      </c>
      <c r="L51" s="3" t="str">
        <f>IF(G51="Not Age Eligible","",IF(MAX(U51,W51,Y51,AA51)&gt;=LOOKUP(G51,'Qualifying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Scores'!I$13),AND(G51="15-16",U51&gt;='Qualifying Scores'!I$12),AND(G51="13-14",U51&gt;='Qualifying Scores'!I$11),AND(G51="11-12",U51&gt;='Qualifying Scores'!I$10)),T51,0),IF(OR(AND(G51="17-21",W51&gt;='Qualifying Scores'!I$13),AND(G51="15-16",W51&gt;='Qualifying Scores'!I$12),AND(G51="13-14",W51&gt;='Qualifying Scores'!I$11),AND(G51="11-12",W51&gt;='Qualifying Scores'!I$10)),V51,0),IF(OR(AND(G51="17-21",Y51&gt;='Qualifying Scores'!I$13),AND(G51="15-16",Y51&gt;='Qualifying Scores'!I$12),AND(G51="13-14",Y51&gt;='Qualifying Scores'!I$11),AND(G51="11-12",Y51&gt;='Qualifying Scores'!I$10)),X51,0),IF(OR(AND(G51="17-21",AA51&gt;='Qualifying Scores'!I$13),AND(G51="15-16",AA51&gt;='Qualifying Scores'!I$12),AND(G51="13-14",AA51&gt;='Qualifying Scores'!I$11),AND(G51="11-12",AA51&gt;='Qualifying Scores'!I$10)),Z51,0)))</f>
        <v>0</v>
      </c>
      <c r="S51" s="4">
        <f>MAX(T51,V51,X51,Z51)</f>
        <v>37.700000000000003</v>
      </c>
      <c r="T51" s="33">
        <v>37.700000000000003</v>
      </c>
      <c r="U51" s="40">
        <v>4.5999999999999996</v>
      </c>
      <c r="V51" s="34">
        <v>36.799999999999997</v>
      </c>
      <c r="W51" s="40">
        <v>4.5999999999999996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$79&lt;&gt;"")*(G$3:G$79=G52)*(J$3:J$79&gt;J52)*(I$3:I$79="P"))+1,IF(O52&lt;&gt;"",SUMPRODUCT((O$3:O$79&lt;&gt;"")*(P$3:P$79="")*(G$3:G$79=G52)*(J$3:J$79&gt;J52)*(I$3:I$79="P"))+SUMPRODUCT((P$3:P$79&lt;&gt;"")*(G$3:G$79=G52)*(I$3:I$79="P"))+1,IF(N52&lt;&gt;"",SUMPRODUCT((N$3:N$79&lt;&gt;"")*(G$3:G$79=G52)*(J$3:J$79&gt;J52)*(I$3:I$79="P"))+1,IF(M52="P",SUMPRODUCT((O$3:O$79&lt;&gt;"")*(P$3:P$79="")*(G$3:G$79=G52)*(I$3:I$79="P"))+SUMPRODUCT((P$3:P$79&lt;&gt;"")*(G$3:G$79=G52)*(I$3:I$79="P"))+SUMPRODUCT((N$3:N$79&lt;&gt;"")*(G$3:G$79=G52)*(I$3:I$79="P"))+SUMPRODUCT((P$3:P$79="")*(O$3:O$79="")*(N$3:N$79="")*(M$3:M$79="P")*(G$3:G$79=G52)*(J$3:J$79&gt;J52)*(I$3:I$79="P"))+IF(H52="L5",SUMPRODUCT((P$3:P$79="")*(O$3:O$79="")*(N$3:N$79="")*(M$3:M$79="P")*(G$3:G$79=G52)*(J$3:J$79&lt;J52)*(H$3:H$79&lt;&gt;H52)*(I$3:I$79="P")),-1*SUMPRODUCT((P$3:P$79="")*(O$3:O$79="")*(N$3:N$79="")*(M$3:M$79="P")*(G$3:G$79=G52)*(J$3:J$79&gt;J52)*(H$3:H$79="L5")*(I$3:I$79="P")))+1,"")))))</f>
        <v/>
      </c>
      <c r="B52" s="1" t="str" cm="1">
        <f t="array" ref="B52">IF(P52&lt;&gt;"",SUMPRODUCT((P$3:P$79&lt;&gt;"")*(G$3:G$79=G52)*(J$3:J$79&gt;J52))+1,IF(O52&lt;&gt;"",SUMPRODUCT((O$3:O$79&lt;&gt;"")*(P$3:P$79="")*(G$3:G$79=G52)*(J$3:J$79&gt;J52))+SUMPRODUCT((P$3:P$79&lt;&gt;"")*(G$3:G$79=G52))+1,IF(N52&lt;&gt;"",SUMPRODUCT((N$3:N$79&lt;&gt;"")*(G$3:G$79=G52)*(J$3:J$79&gt;J52))+1,IF(M52="P",SUMPRODUCT((O$3:O$79&lt;&gt;"")*(P$3:P$79="")*(G$3:G$79=G52))+SUMPRODUCT((P$3:P$79&lt;&gt;"")*(G$3:G$79=G52))+SUMPRODUCT((N$3:N$79&lt;&gt;"")*(G$3:G$79=G52))+SUMPRODUCT((P$3:P$79="")*(O$3:O$79="")*(N$3:N$79="")*(M$3:M$79="P")*(G$3:G$79=G52)*(J$3:J$79&gt;J52))+IF(H52="L5",SUMPRODUCT((P$3:P$79="")*(O$3:O$79="")*(N$3:N$79="")*(M$3:M$79="P")*(G$3:G$79=G52)*(J$3:J$79&lt;J52)*(H$3:H$79&lt;&gt;H52)),-1*SUMPRODUCT((P$3:P$79="")*(O$3:O$79="")*(N$3:N$79="")*(M$3:M$79="P")*(G$3:G$79=G52)*(J$3:J$79&gt;J52)*(H$3:H$79="L5")))+1,""))))</f>
        <v/>
      </c>
      <c r="C52" s="36" t="s">
        <v>332</v>
      </c>
      <c r="D52" s="36" t="str">
        <f>IF(E52="","",VLOOKUP(E52,'Coaching Points'!A:B,2,0))</f>
        <v>ON</v>
      </c>
      <c r="E52" s="36" t="s">
        <v>333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R52+IF(OR(H52="Junior",H52="Senior"),0.0002,IF(OR(H52="L7",H52="L6"),0.0001,0))+MAX(X52,Z52)*0.0000001</f>
        <v>0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Scores'!I$13),AND(G52="15-16",U52&gt;='Qualifying Scores'!I$12),AND(G52="13-14",U52&gt;='Qualifying Scores'!I$11),AND(G52="11-12",U52&gt;='Qualifying Scores'!I$10)),T52,0),IF(OR(AND(G52="17-21",W52&gt;='Qualifying Scores'!I$13),AND(G52="15-16",W52&gt;='Qualifying Scores'!I$12),AND(G52="13-14",W52&gt;='Qualifying Scores'!I$11),AND(G52="11-12",W52&gt;='Qualifying Scores'!I$10)),V52,0),IF(OR(AND(G52="17-21",Y52&gt;='Qualifying Scores'!I$13),AND(G52="15-16",Y52&gt;='Qualifying Scores'!I$12),AND(G52="13-14",Y52&gt;='Qualifying Scores'!I$11),AND(G52="11-12",Y52&gt;='Qualifying Scores'!I$10)),X52,0),IF(OR(AND(G52="17-21",AA52&gt;='Qualifying Scores'!I$13),AND(G52="15-16",AA52&gt;='Qualifying Scores'!I$12),AND(G52="13-14",AA52&gt;='Qualifying Scores'!I$11),AND(G52="11-12",AA52&gt;='Qualifying Scores'!I$10)),Z52,0)))</f>
        <v>0</v>
      </c>
      <c r="S52" s="4">
        <f>MAX(T52,V52,X52,Z52)</f>
        <v>35.4</v>
      </c>
      <c r="T52" s="33">
        <v>35.4</v>
      </c>
      <c r="U52" s="40">
        <v>4</v>
      </c>
      <c r="V52" s="34">
        <v>0</v>
      </c>
      <c r="W52" s="40">
        <v>0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$79&lt;&gt;"")*(G$3:G$79=G53)*(J$3:J$79&gt;J53)*(I$3:I$79="P"))+1,IF(O53&lt;&gt;"",SUMPRODUCT((O$3:O$79&lt;&gt;"")*(P$3:P$79="")*(G$3:G$79=G53)*(J$3:J$79&gt;J53)*(I$3:I$79="P"))+SUMPRODUCT((P$3:P$79&lt;&gt;"")*(G$3:G$79=G53)*(I$3:I$79="P"))+1,IF(N53&lt;&gt;"",SUMPRODUCT((N$3:N$79&lt;&gt;"")*(G$3:G$79=G53)*(J$3:J$79&gt;J53)*(I$3:I$79="P"))+1,IF(M53="P",SUMPRODUCT((O$3:O$79&lt;&gt;"")*(P$3:P$79="")*(G$3:G$79=G53)*(I$3:I$79="P"))+SUMPRODUCT((P$3:P$79&lt;&gt;"")*(G$3:G$79=G53)*(I$3:I$79="P"))+SUMPRODUCT((N$3:N$79&lt;&gt;"")*(G$3:G$79=G53)*(I$3:I$79="P"))+SUMPRODUCT((P$3:P$79="")*(O$3:O$79="")*(N$3:N$79="")*(M$3:M$79="P")*(G$3:G$79=G53)*(J$3:J$79&gt;J53)*(I$3:I$79="P"))+IF(H53="L5",SUMPRODUCT((P$3:P$79="")*(O$3:O$79="")*(N$3:N$79="")*(M$3:M$79="P")*(G$3:G$79=G53)*(J$3:J$79&lt;J53)*(H$3:H$79&lt;&gt;H53)*(I$3:I$79="P")),-1*SUMPRODUCT((P$3:P$79="")*(O$3:O$79="")*(N$3:N$79="")*(M$3:M$79="P")*(G$3:G$79=G53)*(J$3:J$79&gt;J53)*(H$3:H$79="L5")*(I$3:I$79="P")))+1,"")))))</f>
        <v/>
      </c>
      <c r="B53" s="1" t="str" cm="1">
        <f t="array" ref="B53">IF(P53&lt;&gt;"",SUMPRODUCT((P$3:P$79&lt;&gt;"")*(G$3:G$79=G53)*(J$3:J$79&gt;J53))+1,IF(O53&lt;&gt;"",SUMPRODUCT((O$3:O$79&lt;&gt;"")*(P$3:P$79="")*(G$3:G$79=G53)*(J$3:J$79&gt;J53))+SUMPRODUCT((P$3:P$79&lt;&gt;"")*(G$3:G$79=G53))+1,IF(N53&lt;&gt;"",SUMPRODUCT((N$3:N$79&lt;&gt;"")*(G$3:G$79=G53)*(J$3:J$79&gt;J53))+1,IF(M53="P",SUMPRODUCT((O$3:O$79&lt;&gt;"")*(P$3:P$79="")*(G$3:G$79=G53))+SUMPRODUCT((P$3:P$79&lt;&gt;"")*(G$3:G$79=G53))+SUMPRODUCT((N$3:N$79&lt;&gt;"")*(G$3:G$79=G53))+SUMPRODUCT((P$3:P$79="")*(O$3:O$79="")*(N$3:N$79="")*(M$3:M$79="P")*(G$3:G$79=G53)*(J$3:J$79&gt;J53))+IF(H53="L5",SUMPRODUCT((P$3:P$79="")*(O$3:O$79="")*(N$3:N$79="")*(M$3:M$79="P")*(G$3:G$79=G53)*(J$3:J$79&lt;J53)*(H$3:H$79&lt;&gt;H53)),-1*SUMPRODUCT((P$3:P$79="")*(O$3:O$79="")*(N$3:N$79="")*(M$3:M$79="P")*(G$3:G$79=G53)*(J$3:J$79&gt;J53)*(H$3:H$79="L5")))+1,""))))</f>
        <v/>
      </c>
      <c r="C53" s="36" t="s">
        <v>335</v>
      </c>
      <c r="D53" s="36" t="str">
        <f>IF(E53="","",VLOOKUP(E53,'Coaching Points'!A:B,2,0))</f>
        <v>BC</v>
      </c>
      <c r="E53" s="36" t="s">
        <v>76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R53+IF(OR(H53="Junior",H53="Senior"),0.0002,IF(OR(H53="L7",H53="L6"),0.0001,0))+MAX(X53,Z53)*0.0000001</f>
        <v>0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Scores'!I$13),AND(G53="15-16",U53&gt;='Qualifying Scores'!I$12),AND(G53="13-14",U53&gt;='Qualifying Scores'!I$11),AND(G53="11-12",U53&gt;='Qualifying Scores'!I$10)),T53,0),IF(OR(AND(G53="17-21",W53&gt;='Qualifying Scores'!I$13),AND(G53="15-16",W53&gt;='Qualifying Scores'!I$12),AND(G53="13-14",W53&gt;='Qualifying Scores'!I$11),AND(G53="11-12",W53&gt;='Qualifying Scores'!I$10)),V53,0),IF(OR(AND(G53="17-21",Y53&gt;='Qualifying Scores'!I$13),AND(G53="15-16",Y53&gt;='Qualifying Scores'!I$12),AND(G53="13-14",Y53&gt;='Qualifying Scores'!I$11),AND(G53="11-12",Y53&gt;='Qualifying Scores'!I$10)),X53,0),IF(OR(AND(G53="17-21",AA53&gt;='Qualifying Scores'!I$13),AND(G53="15-16",AA53&gt;='Qualifying Scores'!I$12),AND(G53="13-14",AA53&gt;='Qualifying Scores'!I$11),AND(G53="11-12",AA53&gt;='Qualifying Scores'!I$10)),Z53,0)))</f>
        <v>0</v>
      </c>
      <c r="S53" s="4">
        <f>MAX(T53,V53,X53,Z53)</f>
        <v>34.519999999999996</v>
      </c>
      <c r="T53" s="33">
        <v>34.519999999999996</v>
      </c>
      <c r="U53" s="40">
        <v>5.8</v>
      </c>
      <c r="V53" s="34">
        <v>0</v>
      </c>
      <c r="W53" s="40">
        <v>0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$79&lt;&gt;"")*(G$3:G$79=G54)*(J$3:J$79&gt;J54)*(I$3:I$79="P"))+1,IF(O54&lt;&gt;"",SUMPRODUCT((O$3:O$79&lt;&gt;"")*(P$3:P$79="")*(G$3:G$79=G54)*(J$3:J$79&gt;J54)*(I$3:I$79="P"))+SUMPRODUCT((P$3:P$79&lt;&gt;"")*(G$3:G$79=G54)*(I$3:I$79="P"))+1,IF(N54&lt;&gt;"",SUMPRODUCT((N$3:N$79&lt;&gt;"")*(G$3:G$79=G54)*(J$3:J$79&gt;J54)*(I$3:I$79="P"))+1,IF(M54="P",SUMPRODUCT((O$3:O$79&lt;&gt;"")*(P$3:P$79="")*(G$3:G$79=G54)*(I$3:I$79="P"))+SUMPRODUCT((P$3:P$79&lt;&gt;"")*(G$3:G$79=G54)*(I$3:I$79="P"))+SUMPRODUCT((N$3:N$79&lt;&gt;"")*(G$3:G$79=G54)*(I$3:I$79="P"))+SUMPRODUCT((P$3:P$79="")*(O$3:O$79="")*(N$3:N$79="")*(M$3:M$79="P")*(G$3:G$79=G54)*(J$3:J$79&gt;J54)*(I$3:I$79="P"))+IF(H54="L5",SUMPRODUCT((P$3:P$79="")*(O$3:O$79="")*(N$3:N$79="")*(M$3:M$79="P")*(G$3:G$79=G54)*(J$3:J$79&lt;J54)*(H$3:H$79&lt;&gt;H54)*(I$3:I$79="P")),-1*SUMPRODUCT((P$3:P$79="")*(O$3:O$79="")*(N$3:N$79="")*(M$3:M$79="P")*(G$3:G$79=G54)*(J$3:J$79&gt;J54)*(H$3:H$79="L5")*(I$3:I$79="P")))+1,"")))))</f>
        <v/>
      </c>
      <c r="B54" s="1" t="str" cm="1">
        <f t="array" ref="B54">IF(P54&lt;&gt;"",SUMPRODUCT((P$3:P$79&lt;&gt;"")*(G$3:G$79=G54)*(J$3:J$79&gt;J54))+1,IF(O54&lt;&gt;"",SUMPRODUCT((O$3:O$79&lt;&gt;"")*(P$3:P$79="")*(G$3:G$79=G54)*(J$3:J$79&gt;J54))+SUMPRODUCT((P$3:P$79&lt;&gt;"")*(G$3:G$79=G54))+1,IF(N54&lt;&gt;"",SUMPRODUCT((N$3:N$79&lt;&gt;"")*(G$3:G$79=G54)*(J$3:J$79&gt;J54))+1,IF(M54="P",SUMPRODUCT((O$3:O$79&lt;&gt;"")*(P$3:P$79="")*(G$3:G$79=G54))+SUMPRODUCT((P$3:P$79&lt;&gt;"")*(G$3:G$79=G54))+SUMPRODUCT((N$3:N$79&lt;&gt;"")*(G$3:G$79=G54))+SUMPRODUCT((P$3:P$79="")*(O$3:O$79="")*(N$3:N$79="")*(M$3:M$79="P")*(G$3:G$79=G54)*(J$3:J$79&gt;J54))+IF(H54="L5",SUMPRODUCT((P$3:P$79="")*(O$3:O$79="")*(N$3:N$79="")*(M$3:M$79="P")*(G$3:G$79=G54)*(J$3:J$79&lt;J54)*(H$3:H$79&lt;&gt;H54)),-1*SUMPRODUCT((P$3:P$79="")*(O$3:O$79="")*(N$3:N$79="")*(M$3:M$79="P")*(G$3:G$79=G54)*(J$3:J$79&gt;J54)*(H$3:H$79="L5")))+1,""))))</f>
        <v/>
      </c>
      <c r="C54" s="36" t="s">
        <v>433</v>
      </c>
      <c r="D54" s="36" t="s">
        <v>354</v>
      </c>
      <c r="E54" s="36" t="s">
        <v>89</v>
      </c>
      <c r="F54" s="35">
        <v>2003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R54+IF(OR(H54="Junior",H54="Senior"),0.0002,IF(OR(H54="L7",H54="L6"),0.0001,0))+MAX(X54,Z54)*0.0000001</f>
        <v>0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Scores'!I$13),AND(G54="15-16",U54&gt;='Qualifying Scores'!I$12),AND(G54="13-14",U54&gt;='Qualifying Scores'!I$11),AND(G54="11-12",U54&gt;='Qualifying Scores'!I$10)),T54,0),IF(OR(AND(G54="17-21",W54&gt;='Qualifying Scores'!I$13),AND(G54="15-16",W54&gt;='Qualifying Scores'!I$12),AND(G54="13-14",W54&gt;='Qualifying Scores'!I$11),AND(G54="11-12",W54&gt;='Qualifying Scores'!I$10)),V54,0),IF(OR(AND(G54="17-21",Y54&gt;='Qualifying Scores'!I$13),AND(G54="15-16",Y54&gt;='Qualifying Scores'!I$12),AND(G54="13-14",Y54&gt;='Qualifying Scores'!I$11),AND(G54="11-12",Y54&gt;='Qualifying Scores'!I$10)),X54,0),IF(OR(AND(G54="17-21",AA54&gt;='Qualifying Scores'!I$13),AND(G54="15-16",AA54&gt;='Qualifying Scores'!I$12),AND(G54="13-14",AA54&gt;='Qualifying Scores'!I$11),AND(G54="11-12",AA54&gt;='Qualifying Scores'!I$10)),Z54,0)))</f>
        <v>0</v>
      </c>
      <c r="S54" s="4">
        <f>MAX(T54,V54,X54,Z54)</f>
        <v>0</v>
      </c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A55" s="1" cm="1">
        <f t="array" ref="A55">IF(I55="","",IF(P55&lt;&gt;"",SUMPRODUCT((P$3:P$79&lt;&gt;"")*(G$3:G$79=G55)*(J$3:J$79&gt;J55)*(I$3:I$79="P"))+1,IF(O55&lt;&gt;"",SUMPRODUCT((O$3:O$79&lt;&gt;"")*(P$3:P$79="")*(G$3:G$79=G55)*(J$3:J$79&gt;J55)*(I$3:I$79="P"))+SUMPRODUCT((P$3:P$79&lt;&gt;"")*(G$3:G$79=G55)*(I$3:I$79="P"))+1,IF(N55&lt;&gt;"",SUMPRODUCT((N$3:N$79&lt;&gt;"")*(G$3:G$79=G55)*(J$3:J$79&gt;J55)*(I$3:I$79="P"))+1,IF(M55="P",SUMPRODUCT((O$3:O$79&lt;&gt;"")*(P$3:P$79="")*(G$3:G$79=G55)*(I$3:I$79="P"))+SUMPRODUCT((P$3:P$79&lt;&gt;"")*(G$3:G$79=G55)*(I$3:I$79="P"))+SUMPRODUCT((N$3:N$79&lt;&gt;"")*(G$3:G$79=G55)*(I$3:I$79="P"))+SUMPRODUCT((P$3:P$79="")*(O$3:O$79="")*(N$3:N$79="")*(M$3:M$79="P")*(G$3:G$79=G55)*(J$3:J$79&gt;J55)*(I$3:I$79="P"))+IF(H55="L5",SUMPRODUCT((P$3:P$79="")*(O$3:O$79="")*(N$3:N$79="")*(M$3:M$79="P")*(G$3:G$79=G55)*(J$3:J$79&lt;J55)*(H$3:H$79&lt;&gt;H55)*(I$3:I$79="P")),-1*SUMPRODUCT((P$3:P$79="")*(O$3:O$79="")*(N$3:N$79="")*(M$3:M$79="P")*(G$3:G$79=G55)*(J$3:J$79&gt;J55)*(H$3:H$79="L5")*(I$3:I$79="P")))+1,"")))))</f>
        <v>1</v>
      </c>
      <c r="B55" s="1" cm="1">
        <f t="array" ref="B55">IF(P55&lt;&gt;"",SUMPRODUCT((P$3:P$79&lt;&gt;"")*(G$3:G$79=G55)*(J$3:J$79&gt;J55))+1,IF(O55&lt;&gt;"",SUMPRODUCT((O$3:O$79&lt;&gt;"")*(P$3:P$79="")*(G$3:G$79=G55)*(J$3:J$79&gt;J55))+SUMPRODUCT((P$3:P$79&lt;&gt;"")*(G$3:G$79=G55))+1,IF(N55&lt;&gt;"",SUMPRODUCT((N$3:N$79&lt;&gt;"")*(G$3:G$79=G55)*(J$3:J$79&gt;J55))+1,IF(M55="P",SUMPRODUCT((O$3:O$79&lt;&gt;"")*(P$3:P$79="")*(G$3:G$79=G55))+SUMPRODUCT((P$3:P$79&lt;&gt;"")*(G$3:G$79=G55))+SUMPRODUCT((N$3:N$79&lt;&gt;"")*(G$3:G$79=G55))+SUMPRODUCT((P$3:P$79="")*(O$3:O$79="")*(N$3:N$79="")*(M$3:M$79="P")*(G$3:G$79=G55)*(J$3:J$79&gt;J55))+IF(H55="L5",SUMPRODUCT((P$3:P$79="")*(O$3:O$79="")*(N$3:N$79="")*(M$3:M$79="P")*(G$3:G$79=G55)*(J$3:J$79&lt;J55)*(H$3:H$79&lt;&gt;H55)),-1*SUMPRODUCT((P$3:P$79="")*(O$3:O$79="")*(N$3:N$79="")*(M$3:M$79="P")*(G$3:G$79=G55)*(J$3:J$79&gt;J55)*(H$3:H$79="L5")))+1,""))))</f>
        <v>1</v>
      </c>
      <c r="C55" s="36" t="s">
        <v>318</v>
      </c>
      <c r="D55" s="36" t="str">
        <f>IF(E55="","",VLOOKUP(E55,'Coaching Points'!A:B,2,0))</f>
        <v>AB</v>
      </c>
      <c r="E55" s="36" t="s">
        <v>61</v>
      </c>
      <c r="F55" s="35">
        <v>2006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R55+IF(OR(H55="Junior",H55="Senior"),0.0002,IF(OR(H55="L7",H55="L6"),0.0001,0))+MAX(X55,Z55)*0.0000001</f>
        <v>43.800204380000004</v>
      </c>
      <c r="K55" s="3" t="str">
        <f>IF(G55="Not Age Eligible","",IF(MAX(T55,V55,X55,Z55)&gt;=LOOKUP(G55,'Qualifying Scores'!$A$4:$A$7,'Qualifying Scores'!$I$4:$I$7),"P",""))</f>
        <v>P</v>
      </c>
      <c r="L55" s="3" t="str">
        <f>IF(G55="Not Age Eligible","",IF(MAX(U55,W55,Y55,AA55)&gt;=LOOKUP(G55,'Qualifying Scores'!$A$10:$A$13,'Qualifying Scores'!$I$10:$I$13),"P",""))</f>
        <v>P</v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>P</v>
      </c>
      <c r="N55" s="39">
        <v>2</v>
      </c>
      <c r="Q55" s="49">
        <f>IF(A55&lt;5,IF(_xlfn.MAXIFS(A:A,G:G,G55)&gt;3,5-A55,_xlfn.MAXIFS(A:A,G:G,G55)+1-A55),"")</f>
        <v>1</v>
      </c>
      <c r="R55" s="4">
        <f>IF(G55="Not Age Eligible",0,MAX(IF(OR(AND(G55="17-21",U55&gt;='Qualifying Scores'!I$13),AND(G55="15-16",U55&gt;='Qualifying Scores'!I$12),AND(G55="13-14",U55&gt;='Qualifying Scores'!I$11),AND(G55="11-12",U55&gt;='Qualifying Scores'!I$10)),T55,0),IF(OR(AND(G55="17-21",W55&gt;='Qualifying Scores'!I$13),AND(G55="15-16",W55&gt;='Qualifying Scores'!I$12),AND(G55="13-14",W55&gt;='Qualifying Scores'!I$11),AND(G55="11-12",W55&gt;='Qualifying Scores'!I$10)),V55,0),IF(OR(AND(G55="17-21",Y55&gt;='Qualifying Scores'!I$13),AND(G55="15-16",Y55&gt;='Qualifying Scores'!I$12),AND(G55="13-14",Y55&gt;='Qualifying Scores'!I$11),AND(G55="11-12",Y55&gt;='Qualifying Scores'!I$10)),X55,0),IF(OR(AND(G55="17-21",AA55&gt;='Qualifying Scores'!I$13),AND(G55="15-16",AA55&gt;='Qualifying Scores'!I$12),AND(G55="13-14",AA55&gt;='Qualifying Scores'!I$11),AND(G55="11-12",AA55&gt;='Qualifying Scores'!I$10)),Z55,0)))</f>
        <v>43.800000000000004</v>
      </c>
      <c r="S55" s="4">
        <f>MAX(T55,V55,X55,Z55)</f>
        <v>43.800000000000004</v>
      </c>
      <c r="T55" s="33">
        <v>38.4</v>
      </c>
      <c r="U55" s="40">
        <v>7.3000000000000007</v>
      </c>
      <c r="V55" s="34">
        <v>41.7</v>
      </c>
      <c r="W55" s="40">
        <v>7.3000000000000007</v>
      </c>
      <c r="X55" s="33">
        <v>43.300000000000004</v>
      </c>
      <c r="Y55" s="40">
        <v>8.4</v>
      </c>
      <c r="Z55" s="34">
        <v>43.800000000000004</v>
      </c>
      <c r="AA55" s="37">
        <v>8.4</v>
      </c>
    </row>
    <row r="56" spans="1:27" x14ac:dyDescent="0.2">
      <c r="A56" s="1" t="str" cm="1">
        <f t="array" ref="A56">IF(I56="","",IF(P56&lt;&gt;"",SUMPRODUCT((P$3:P$79&lt;&gt;"")*(G$3:G$79=G56)*(J$3:J$79&gt;J56)*(I$3:I$79="P"))+1,IF(O56&lt;&gt;"",SUMPRODUCT((O$3:O$79&lt;&gt;"")*(P$3:P$79="")*(G$3:G$79=G56)*(J$3:J$79&gt;J56)*(I$3:I$79="P"))+SUMPRODUCT((P$3:P$79&lt;&gt;"")*(G$3:G$79=G56)*(I$3:I$79="P"))+1,IF(N56&lt;&gt;"",SUMPRODUCT((N$3:N$79&lt;&gt;"")*(G$3:G$79=G56)*(J$3:J$79&gt;J56)*(I$3:I$79="P"))+1,IF(M56="P",SUMPRODUCT((O$3:O$79&lt;&gt;"")*(P$3:P$79="")*(G$3:G$79=G56)*(I$3:I$79="P"))+SUMPRODUCT((P$3:P$79&lt;&gt;"")*(G$3:G$79=G56)*(I$3:I$79="P"))+SUMPRODUCT((N$3:N$79&lt;&gt;"")*(G$3:G$79=G56)*(I$3:I$79="P"))+SUMPRODUCT((P$3:P$79="")*(O$3:O$79="")*(N$3:N$79="")*(M$3:M$79="P")*(G$3:G$79=G56)*(J$3:J$79&gt;J56)*(I$3:I$79="P"))+IF(H56="L5",SUMPRODUCT((P$3:P$79="")*(O$3:O$79="")*(N$3:N$79="")*(M$3:M$79="P")*(G$3:G$79=G56)*(J$3:J$79&lt;J56)*(H$3:H$79&lt;&gt;H56)*(I$3:I$79="P")),-1*SUMPRODUCT((P$3:P$79="")*(O$3:O$79="")*(N$3:N$79="")*(M$3:M$79="P")*(G$3:G$79=G56)*(J$3:J$79&gt;J56)*(H$3:H$79="L5")*(I$3:I$79="P")))+1,"")))))</f>
        <v/>
      </c>
      <c r="B56" s="1" t="str" cm="1">
        <f t="array" ref="B56">IF(P56&lt;&gt;"",SUMPRODUCT((P$3:P$79&lt;&gt;"")*(G$3:G$79=G56)*(J$3:J$79&gt;J56))+1,IF(O56&lt;&gt;"",SUMPRODUCT((O$3:O$79&lt;&gt;"")*(P$3:P$79="")*(G$3:G$79=G56)*(J$3:J$79&gt;J56))+SUMPRODUCT((P$3:P$79&lt;&gt;"")*(G$3:G$79=G56))+1,IF(N56&lt;&gt;"",SUMPRODUCT((N$3:N$79&lt;&gt;"")*(G$3:G$79=G56)*(J$3:J$79&gt;J56))+1,IF(M56="P",SUMPRODUCT((O$3:O$79&lt;&gt;"")*(P$3:P$79="")*(G$3:G$79=G56))+SUMPRODUCT((P$3:P$79&lt;&gt;"")*(G$3:G$79=G56))+SUMPRODUCT((N$3:N$79&lt;&gt;"")*(G$3:G$79=G56))+SUMPRODUCT((P$3:P$79="")*(O$3:O$79="")*(N$3:N$79="")*(M$3:M$79="P")*(G$3:G$79=G56)*(J$3:J$79&gt;J56))+IF(H56="L5",SUMPRODUCT((P$3:P$79="")*(O$3:O$79="")*(N$3:N$79="")*(M$3:M$79="P")*(G$3:G$79=G56)*(J$3:J$79&lt;J56)*(H$3:H$79&lt;&gt;H56)),-1*SUMPRODUCT((P$3:P$79="")*(O$3:O$79="")*(N$3:N$79="")*(M$3:M$79="P")*(G$3:G$79=G56)*(J$3:J$79&gt;J56)*(H$3:H$79="L5")))+1,""))))</f>
        <v/>
      </c>
      <c r="C56" s="36" t="s">
        <v>552</v>
      </c>
      <c r="D56" s="36" t="str">
        <f>IF(E56="","",VLOOKUP(E56,'Coaching Points'!A:B,2,0))</f>
        <v>ON</v>
      </c>
      <c r="E56" s="36" t="s">
        <v>320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R56+IF(OR(H56="Junior",H56="Senior"),0.0002,IF(OR(H56="L7",H56="L6"),0.0001,0))+MAX(X56,Z56)*0.0000001</f>
        <v>1.0406E-4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Scores'!I$13),AND(G56="15-16",U56&gt;='Qualifying Scores'!I$12),AND(G56="13-14",U56&gt;='Qualifying Scores'!I$11),AND(G56="11-12",U56&gt;='Qualifying Scores'!I$10)),T56,0),IF(OR(AND(G56="17-21",W56&gt;='Qualifying Scores'!I$13),AND(G56="15-16",W56&gt;='Qualifying Scores'!I$12),AND(G56="13-14",W56&gt;='Qualifying Scores'!I$11),AND(G56="11-12",W56&gt;='Qualifying Scores'!I$10)),V56,0),IF(OR(AND(G56="17-21",Y56&gt;='Qualifying Scores'!I$13),AND(G56="15-16",Y56&gt;='Qualifying Scores'!I$12),AND(G56="13-14",Y56&gt;='Qualifying Scores'!I$11),AND(G56="11-12",Y56&gt;='Qualifying Scores'!I$10)),X56,0),IF(OR(AND(G56="17-21",AA56&gt;='Qualifying Scores'!I$13),AND(G56="15-16",AA56&gt;='Qualifying Scores'!I$12),AND(G56="13-14",AA56&gt;='Qualifying Scores'!I$11),AND(G56="11-12",AA56&gt;='Qualifying Scores'!I$10)),Z56,0)))</f>
        <v>0</v>
      </c>
      <c r="S56" s="4">
        <f>MAX(T56,V56,X56,Z56)</f>
        <v>40.6</v>
      </c>
      <c r="T56" s="33"/>
      <c r="U56" s="40"/>
      <c r="V56" s="34"/>
      <c r="W56" s="40"/>
      <c r="X56" s="33">
        <v>40.6</v>
      </c>
      <c r="Y56" s="40">
        <v>6.4</v>
      </c>
      <c r="Z56" s="34">
        <v>39.6</v>
      </c>
      <c r="AA56" s="37">
        <v>6.4</v>
      </c>
    </row>
    <row r="57" spans="1:27" x14ac:dyDescent="0.2">
      <c r="A57" s="1" t="str" cm="1">
        <f t="array" ref="A57">IF(I57="","",IF(P57&lt;&gt;"",SUMPRODUCT((P$3:P$79&lt;&gt;"")*(G$3:G$79=G57)*(J$3:J$79&gt;J57)*(I$3:I$79="P"))+1,IF(O57&lt;&gt;"",SUMPRODUCT((O$3:O$79&lt;&gt;"")*(P$3:P$79="")*(G$3:G$79=G57)*(J$3:J$79&gt;J57)*(I$3:I$79="P"))+SUMPRODUCT((P$3:P$79&lt;&gt;"")*(G$3:G$79=G57)*(I$3:I$79="P"))+1,IF(N57&lt;&gt;"",SUMPRODUCT((N$3:N$79&lt;&gt;"")*(G$3:G$79=G57)*(J$3:J$79&gt;J57)*(I$3:I$79="P"))+1,IF(M57="P",SUMPRODUCT((O$3:O$79&lt;&gt;"")*(P$3:P$79="")*(G$3:G$79=G57)*(I$3:I$79="P"))+SUMPRODUCT((P$3:P$79&lt;&gt;"")*(G$3:G$79=G57)*(I$3:I$79="P"))+SUMPRODUCT((N$3:N$79&lt;&gt;"")*(G$3:G$79=G57)*(I$3:I$79="P"))+SUMPRODUCT((P$3:P$79="")*(O$3:O$79="")*(N$3:N$79="")*(M$3:M$79="P")*(G$3:G$79=G57)*(J$3:J$79&gt;J57)*(I$3:I$79="P"))+IF(H57="L5",SUMPRODUCT((P$3:P$79="")*(O$3:O$79="")*(N$3:N$79="")*(M$3:M$79="P")*(G$3:G$79=G57)*(J$3:J$79&lt;J57)*(H$3:H$79&lt;&gt;H57)*(I$3:I$79="P")),-1*SUMPRODUCT((P$3:P$79="")*(O$3:O$79="")*(N$3:N$79="")*(M$3:M$79="P")*(G$3:G$79=G57)*(J$3:J$79&gt;J57)*(H$3:H$79="L5")*(I$3:I$79="P")))+1,"")))))</f>
        <v/>
      </c>
      <c r="B57" s="1" t="str" cm="1">
        <f t="array" ref="B57">IF(P57&lt;&gt;"",SUMPRODUCT((P$3:P$79&lt;&gt;"")*(G$3:G$79=G57)*(J$3:J$79&gt;J57))+1,IF(O57&lt;&gt;"",SUMPRODUCT((O$3:O$79&lt;&gt;"")*(P$3:P$79="")*(G$3:G$79=G57)*(J$3:J$79&gt;J57))+SUMPRODUCT((P$3:P$79&lt;&gt;"")*(G$3:G$79=G57))+1,IF(N57&lt;&gt;"",SUMPRODUCT((N$3:N$79&lt;&gt;"")*(G$3:G$79=G57)*(J$3:J$79&gt;J57))+1,IF(M57="P",SUMPRODUCT((O$3:O$79&lt;&gt;"")*(P$3:P$79="")*(G$3:G$79=G57))+SUMPRODUCT((P$3:P$79&lt;&gt;"")*(G$3:G$79=G57))+SUMPRODUCT((N$3:N$79&lt;&gt;"")*(G$3:G$79=G57))+SUMPRODUCT((P$3:P$79="")*(O$3:O$79="")*(N$3:N$79="")*(M$3:M$79="P")*(G$3:G$79=G57)*(J$3:J$79&gt;J57))+IF(H57="L5",SUMPRODUCT((P$3:P$79="")*(O$3:O$79="")*(N$3:N$79="")*(M$3:M$79="P")*(G$3:G$79=G57)*(J$3:J$79&lt;J57)*(H$3:H$79&lt;&gt;H57)),-1*SUMPRODUCT((P$3:P$79="")*(O$3:O$79="")*(N$3:N$79="")*(M$3:M$79="P")*(G$3:G$79=G57)*(J$3:J$79&gt;J57)*(H$3:H$79="L5")))+1,""))))</f>
        <v/>
      </c>
      <c r="C57" s="36" t="s">
        <v>236</v>
      </c>
      <c r="D57" s="36" t="str">
        <f>IF(E57="","",VLOOKUP(E57,'Coaching Points'!A:B,2,0))</f>
        <v>AB</v>
      </c>
      <c r="E57" s="36" t="s">
        <v>29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4.1099999999999996E-6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Scores'!I$13),AND(G57="15-16",U57&gt;='Qualifying Scores'!I$12),AND(G57="13-14",U57&gt;='Qualifying Scores'!I$11),AND(G57="11-12",U57&gt;='Qualifying Scores'!I$10)),T57,0),IF(OR(AND(G57="17-21",W57&gt;='Qualifying Scores'!I$13),AND(G57="15-16",W57&gt;='Qualifying Scores'!I$12),AND(G57="13-14",W57&gt;='Qualifying Scores'!I$11),AND(G57="11-12",W57&gt;='Qualifying Scores'!I$10)),V57,0),IF(OR(AND(G57="17-21",Y57&gt;='Qualifying Scores'!I$13),AND(G57="15-16",Y57&gt;='Qualifying Scores'!I$12),AND(G57="13-14",Y57&gt;='Qualifying Scores'!I$11),AND(G57="11-12",Y57&gt;='Qualifying Scores'!I$10)),X57,0),IF(OR(AND(G57="17-21",AA57&gt;='Qualifying Scores'!I$13),AND(G57="15-16",AA57&gt;='Qualifying Scores'!I$12),AND(G57="13-14",AA57&gt;='Qualifying Scores'!I$11),AND(G57="11-12",AA57&gt;='Qualifying Scores'!I$10)),Z57,0)))</f>
        <v>0</v>
      </c>
      <c r="S57" s="4">
        <f>MAX(T57,V57,X57,Z57)</f>
        <v>41.1</v>
      </c>
      <c r="T57" s="33">
        <v>34.6</v>
      </c>
      <c r="U57" s="40">
        <v>3.3999999999999995</v>
      </c>
      <c r="V57" s="34">
        <v>38.019999999999996</v>
      </c>
      <c r="W57" s="40">
        <v>4.4000000000000004</v>
      </c>
      <c r="X57" s="33">
        <v>39.799999999999997</v>
      </c>
      <c r="Y57" s="40">
        <v>5.2</v>
      </c>
      <c r="Z57" s="34">
        <v>41.1</v>
      </c>
      <c r="AA57" s="37">
        <v>5.3</v>
      </c>
    </row>
    <row r="58" spans="1:27" x14ac:dyDescent="0.2">
      <c r="A58" s="1" t="str" cm="1">
        <f t="array" ref="A58">IF(I58="","",IF(P58&lt;&gt;"",SUMPRODUCT((P$3:P$79&lt;&gt;"")*(G$3:G$79=G58)*(J$3:J$79&gt;J58)*(I$3:I$79="P"))+1,IF(O58&lt;&gt;"",SUMPRODUCT((O$3:O$79&lt;&gt;"")*(P$3:P$79="")*(G$3:G$79=G58)*(J$3:J$79&gt;J58)*(I$3:I$79="P"))+SUMPRODUCT((P$3:P$79&lt;&gt;"")*(G$3:G$79=G58)*(I$3:I$79="P"))+1,IF(N58&lt;&gt;"",SUMPRODUCT((N$3:N$79&lt;&gt;"")*(G$3:G$79=G58)*(J$3:J$79&gt;J58)*(I$3:I$79="P"))+1,IF(M58="P",SUMPRODUCT((O$3:O$79&lt;&gt;"")*(P$3:P$79="")*(G$3:G$79=G58)*(I$3:I$79="P"))+SUMPRODUCT((P$3:P$79&lt;&gt;"")*(G$3:G$79=G58)*(I$3:I$79="P"))+SUMPRODUCT((N$3:N$79&lt;&gt;"")*(G$3:G$79=G58)*(I$3:I$79="P"))+SUMPRODUCT((P$3:P$79="")*(O$3:O$79="")*(N$3:N$79="")*(M$3:M$79="P")*(G$3:G$79=G58)*(J$3:J$79&gt;J58)*(I$3:I$79="P"))+IF(H58="L5",SUMPRODUCT((P$3:P$79="")*(O$3:O$79="")*(N$3:N$79="")*(M$3:M$79="P")*(G$3:G$79=G58)*(J$3:J$79&lt;J58)*(H$3:H$79&lt;&gt;H58)*(I$3:I$79="P")),-1*SUMPRODUCT((P$3:P$79="")*(O$3:O$79="")*(N$3:N$79="")*(M$3:M$79="P")*(G$3:G$79=G58)*(J$3:J$79&gt;J58)*(H$3:H$79="L5")*(I$3:I$79="P")))+1,"")))))</f>
        <v/>
      </c>
      <c r="B58" s="1" t="str" cm="1">
        <f t="array" ref="B58">IF(P58&lt;&gt;"",SUMPRODUCT((P$3:P$79&lt;&gt;"")*(G$3:G$79=G58)*(J$3:J$79&gt;J58))+1,IF(O58&lt;&gt;"",SUMPRODUCT((O$3:O$79&lt;&gt;"")*(P$3:P$79="")*(G$3:G$79=G58)*(J$3:J$79&gt;J58))+SUMPRODUCT((P$3:P$79&lt;&gt;"")*(G$3:G$79=G58))+1,IF(N58&lt;&gt;"",SUMPRODUCT((N$3:N$79&lt;&gt;"")*(G$3:G$79=G58)*(J$3:J$79&gt;J58))+1,IF(M58="P",SUMPRODUCT((O$3:O$79&lt;&gt;"")*(P$3:P$79="")*(G$3:G$79=G58))+SUMPRODUCT((P$3:P$79&lt;&gt;"")*(G$3:G$79=G58))+SUMPRODUCT((N$3:N$79&lt;&gt;"")*(G$3:G$79=G58))+SUMPRODUCT((P$3:P$79="")*(O$3:O$79="")*(N$3:N$79="")*(M$3:M$79="P")*(G$3:G$79=G58)*(J$3:J$79&gt;J58))+IF(H58="L5",SUMPRODUCT((P$3:P$79="")*(O$3:O$79="")*(N$3:N$79="")*(M$3:M$79="P")*(G$3:G$79=G58)*(J$3:J$79&lt;J58)*(H$3:H$79&lt;&gt;H58)),-1*SUMPRODUCT((P$3:P$79="")*(O$3:O$79="")*(N$3:N$79="")*(M$3:M$79="P")*(G$3:G$79=G58)*(J$3:J$79&gt;J58)*(H$3:H$79="L5")))+1,""))))</f>
        <v/>
      </c>
      <c r="C58" s="36" t="s">
        <v>321</v>
      </c>
      <c r="D58" s="36" t="str">
        <f>IF(E58="","",VLOOKUP(E58,'Coaching Points'!A:B,2,0))</f>
        <v>ON</v>
      </c>
      <c r="E58" s="36" t="s">
        <v>48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 t="s">
        <v>604</v>
      </c>
      <c r="J58" s="4">
        <f>R58+IF(OR(H58="Junior",H58="Senior"),0.0002,IF(OR(H58="L7",H58="L6"),0.0001,0))+MAX(X58,Z58)*0.0000001</f>
        <v>4.07E-6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Scores'!I$13),AND(G58="15-16",U58&gt;='Qualifying Scores'!I$12),AND(G58="13-14",U58&gt;='Qualifying Scores'!I$11),AND(G58="11-12",U58&gt;='Qualifying Scores'!I$10)),T58,0),IF(OR(AND(G58="17-21",W58&gt;='Qualifying Scores'!I$13),AND(G58="15-16",W58&gt;='Qualifying Scores'!I$12),AND(G58="13-14",W58&gt;='Qualifying Scores'!I$11),AND(G58="11-12",W58&gt;='Qualifying Scores'!I$10)),V58,0),IF(OR(AND(G58="17-21",Y58&gt;='Qualifying Scores'!I$13),AND(G58="15-16",Y58&gt;='Qualifying Scores'!I$12),AND(G58="13-14",Y58&gt;='Qualifying Scores'!I$11),AND(G58="11-12",Y58&gt;='Qualifying Scores'!I$10)),X58,0),IF(OR(AND(G58="17-21",AA58&gt;='Qualifying Scores'!I$13),AND(G58="15-16",AA58&gt;='Qualifying Scores'!I$12),AND(G58="13-14",AA58&gt;='Qualifying Scores'!I$11),AND(G58="11-12",AA58&gt;='Qualifying Scores'!I$10)),Z58,0)))</f>
        <v>0</v>
      </c>
      <c r="S58" s="4">
        <f>MAX(T58,V58,X58,Z58)</f>
        <v>40.700000000000003</v>
      </c>
      <c r="T58" s="33">
        <v>37.900000000000006</v>
      </c>
      <c r="U58" s="40">
        <v>4.4000000000000004</v>
      </c>
      <c r="V58" s="34">
        <v>36.299999999999997</v>
      </c>
      <c r="W58" s="40">
        <v>4.4000000000000004</v>
      </c>
      <c r="X58" s="33">
        <v>40.700000000000003</v>
      </c>
      <c r="Y58" s="40">
        <v>5.8</v>
      </c>
      <c r="Z58" s="34">
        <v>38.799999999999997</v>
      </c>
      <c r="AA58" s="37">
        <v>5.8</v>
      </c>
    </row>
    <row r="59" spans="1:27" x14ac:dyDescent="0.2">
      <c r="A59" s="1" t="str" cm="1">
        <f t="array" ref="A59">IF(I59="","",IF(P59&lt;&gt;"",SUMPRODUCT((P$3:P$79&lt;&gt;"")*(G$3:G$79=G59)*(J$3:J$79&gt;J59)*(I$3:I$79="P"))+1,IF(O59&lt;&gt;"",SUMPRODUCT((O$3:O$79&lt;&gt;"")*(P$3:P$79="")*(G$3:G$79=G59)*(J$3:J$79&gt;J59)*(I$3:I$79="P"))+SUMPRODUCT((P$3:P$79&lt;&gt;"")*(G$3:G$79=G59)*(I$3:I$79="P"))+1,IF(N59&lt;&gt;"",SUMPRODUCT((N$3:N$79&lt;&gt;"")*(G$3:G$79=G59)*(J$3:J$79&gt;J59)*(I$3:I$79="P"))+1,IF(M59="P",SUMPRODUCT((O$3:O$79&lt;&gt;"")*(P$3:P$79="")*(G$3:G$79=G59)*(I$3:I$79="P"))+SUMPRODUCT((P$3:P$79&lt;&gt;"")*(G$3:G$79=G59)*(I$3:I$79="P"))+SUMPRODUCT((N$3:N$79&lt;&gt;"")*(G$3:G$79=G59)*(I$3:I$79="P"))+SUMPRODUCT((P$3:P$79="")*(O$3:O$79="")*(N$3:N$79="")*(M$3:M$79="P")*(G$3:G$79=G59)*(J$3:J$79&gt;J59)*(I$3:I$79="P"))+IF(H59="L5",SUMPRODUCT((P$3:P$79="")*(O$3:O$79="")*(N$3:N$79="")*(M$3:M$79="P")*(G$3:G$79=G59)*(J$3:J$79&lt;J59)*(H$3:H$79&lt;&gt;H59)*(I$3:I$79="P")),-1*SUMPRODUCT((P$3:P$79="")*(O$3:O$79="")*(N$3:N$79="")*(M$3:M$79="P")*(G$3:G$79=G59)*(J$3:J$79&gt;J59)*(H$3:H$79="L5")*(I$3:I$79="P")))+1,"")))))</f>
        <v/>
      </c>
      <c r="B59" s="1" t="str" cm="1">
        <f t="array" ref="B59">IF(P59&lt;&gt;"",SUMPRODUCT((P$3:P$79&lt;&gt;"")*(G$3:G$79=G59)*(J$3:J$79&gt;J59))+1,IF(O59&lt;&gt;"",SUMPRODUCT((O$3:O$79&lt;&gt;"")*(P$3:P$79="")*(G$3:G$79=G59)*(J$3:J$79&gt;J59))+SUMPRODUCT((P$3:P$79&lt;&gt;"")*(G$3:G$79=G59))+1,IF(N59&lt;&gt;"",SUMPRODUCT((N$3:N$79&lt;&gt;"")*(G$3:G$79=G59)*(J$3:J$79&gt;J59))+1,IF(M59="P",SUMPRODUCT((O$3:O$79&lt;&gt;"")*(P$3:P$79="")*(G$3:G$79=G59))+SUMPRODUCT((P$3:P$79&lt;&gt;"")*(G$3:G$79=G59))+SUMPRODUCT((N$3:N$79&lt;&gt;"")*(G$3:G$79=G59))+SUMPRODUCT((P$3:P$79="")*(O$3:O$79="")*(N$3:N$79="")*(M$3:M$79="P")*(G$3:G$79=G59)*(J$3:J$79&gt;J59))+IF(H59="L5",SUMPRODUCT((P$3:P$79="")*(O$3:O$79="")*(N$3:N$79="")*(M$3:M$79="P")*(G$3:G$79=G59)*(J$3:J$79&lt;J59)*(H$3:H$79&lt;&gt;H59)),-1*SUMPRODUCT((P$3:P$79="")*(O$3:O$79="")*(N$3:N$79="")*(M$3:M$79="P")*(G$3:G$79=G59)*(J$3:J$79&gt;J59)*(H$3:H$79="L5")))+1,""))))</f>
        <v/>
      </c>
      <c r="C59" s="36" t="s">
        <v>543</v>
      </c>
      <c r="D59" s="36" t="str">
        <f>IF(E59="","",VLOOKUP(E59,'Coaching Points'!A:B,2,0))</f>
        <v>ON</v>
      </c>
      <c r="E59" s="36" t="s">
        <v>303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3.89E-6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Scores'!I$13),AND(G59="15-16",U59&gt;='Qualifying Scores'!I$12),AND(G59="13-14",U59&gt;='Qualifying Scores'!I$11),AND(G59="11-12",U59&gt;='Qualifying Scores'!I$10)),T59,0),IF(OR(AND(G59="17-21",W59&gt;='Qualifying Scores'!I$13),AND(G59="15-16",W59&gt;='Qualifying Scores'!I$12),AND(G59="13-14",W59&gt;='Qualifying Scores'!I$11),AND(G59="11-12",W59&gt;='Qualifying Scores'!I$10)),V59,0),IF(OR(AND(G59="17-21",Y59&gt;='Qualifying Scores'!I$13),AND(G59="15-16",Y59&gt;='Qualifying Scores'!I$12),AND(G59="13-14",Y59&gt;='Qualifying Scores'!I$11),AND(G59="11-12",Y59&gt;='Qualifying Scores'!I$10)),X59,0),IF(OR(AND(G59="17-21",AA59&gt;='Qualifying Scores'!I$13),AND(G59="15-16",AA59&gt;='Qualifying Scores'!I$12),AND(G59="13-14",AA59&gt;='Qualifying Scores'!I$11),AND(G59="11-12",AA59&gt;='Qualifying Scores'!I$10)),Z59,0)))</f>
        <v>0</v>
      </c>
      <c r="S59" s="4">
        <f>MAX(T59,V59,X59,Z59)</f>
        <v>38.9</v>
      </c>
      <c r="T59" s="33"/>
      <c r="U59" s="40"/>
      <c r="V59" s="34"/>
      <c r="W59" s="40"/>
      <c r="X59" s="33">
        <v>38.9</v>
      </c>
      <c r="Y59" s="40">
        <v>4.4000000000000004</v>
      </c>
      <c r="Z59" s="34">
        <v>37.6</v>
      </c>
      <c r="AA59" s="37">
        <v>4.4000000000000004</v>
      </c>
    </row>
    <row r="60" spans="1:27" x14ac:dyDescent="0.2">
      <c r="A60" s="1" t="str" cm="1">
        <f t="array" ref="A60">IF(I60="","",IF(P60&lt;&gt;"",SUMPRODUCT((P$3:P$79&lt;&gt;"")*(G$3:G$79=G60)*(J$3:J$79&gt;J60)*(I$3:I$79="P"))+1,IF(O60&lt;&gt;"",SUMPRODUCT((O$3:O$79&lt;&gt;"")*(P$3:P$79="")*(G$3:G$79=G60)*(J$3:J$79&gt;J60)*(I$3:I$79="P"))+SUMPRODUCT((P$3:P$79&lt;&gt;"")*(G$3:G$79=G60)*(I$3:I$79="P"))+1,IF(N60&lt;&gt;"",SUMPRODUCT((N$3:N$79&lt;&gt;"")*(G$3:G$79=G60)*(J$3:J$79&gt;J60)*(I$3:I$79="P"))+1,IF(M60="P",SUMPRODUCT((O$3:O$79&lt;&gt;"")*(P$3:P$79="")*(G$3:G$79=G60)*(I$3:I$79="P"))+SUMPRODUCT((P$3:P$79&lt;&gt;"")*(G$3:G$79=G60)*(I$3:I$79="P"))+SUMPRODUCT((N$3:N$79&lt;&gt;"")*(G$3:G$79=G60)*(I$3:I$79="P"))+SUMPRODUCT((P$3:P$79="")*(O$3:O$79="")*(N$3:N$79="")*(M$3:M$79="P")*(G$3:G$79=G60)*(J$3:J$79&gt;J60)*(I$3:I$79="P"))+IF(H60="L5",SUMPRODUCT((P$3:P$79="")*(O$3:O$79="")*(N$3:N$79="")*(M$3:M$79="P")*(G$3:G$79=G60)*(J$3:J$79&lt;J60)*(H$3:H$79&lt;&gt;H60)*(I$3:I$79="P")),-1*SUMPRODUCT((P$3:P$79="")*(O$3:O$79="")*(N$3:N$79="")*(M$3:M$79="P")*(G$3:G$79=G60)*(J$3:J$79&gt;J60)*(H$3:H$79="L5")*(I$3:I$79="P")))+1,"")))))</f>
        <v/>
      </c>
      <c r="B60" s="1" t="str" cm="1">
        <f t="array" ref="B60">IF(P60&lt;&gt;"",SUMPRODUCT((P$3:P$79&lt;&gt;"")*(G$3:G$79=G60)*(J$3:J$79&gt;J60))+1,IF(O60&lt;&gt;"",SUMPRODUCT((O$3:O$79&lt;&gt;"")*(P$3:P$79="")*(G$3:G$79=G60)*(J$3:J$79&gt;J60))+SUMPRODUCT((P$3:P$79&lt;&gt;"")*(G$3:G$79=G60))+1,IF(N60&lt;&gt;"",SUMPRODUCT((N$3:N$79&lt;&gt;"")*(G$3:G$79=G60)*(J$3:J$79&gt;J60))+1,IF(M60="P",SUMPRODUCT((O$3:O$79&lt;&gt;"")*(P$3:P$79="")*(G$3:G$79=G60))+SUMPRODUCT((P$3:P$79&lt;&gt;"")*(G$3:G$79=G60))+SUMPRODUCT((N$3:N$79&lt;&gt;"")*(G$3:G$79=G60))+SUMPRODUCT((P$3:P$79="")*(O$3:O$79="")*(N$3:N$79="")*(M$3:M$79="P")*(G$3:G$79=G60)*(J$3:J$79&gt;J60))+IF(H60="L5",SUMPRODUCT((P$3:P$79="")*(O$3:O$79="")*(N$3:N$79="")*(M$3:M$79="P")*(G$3:G$79=G60)*(J$3:J$79&lt;J60)*(H$3:H$79&lt;&gt;H60)),-1*SUMPRODUCT((P$3:P$79="")*(O$3:O$79="")*(N$3:N$79="")*(M$3:M$79="P")*(G$3:G$79=G60)*(J$3:J$79&gt;J60)*(H$3:H$79="L5")))+1,""))))</f>
        <v/>
      </c>
      <c r="C60" s="36" t="s">
        <v>322</v>
      </c>
      <c r="D60" s="36" t="str">
        <f>IF(E60="","",VLOOKUP(E60,'Coaching Points'!A:B,2,0))</f>
        <v>BC</v>
      </c>
      <c r="E60" s="36" t="s">
        <v>59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3.8399999999999997E-6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Scores'!I$13),AND(G60="15-16",U60&gt;='Qualifying Scores'!I$12),AND(G60="13-14",U60&gt;='Qualifying Scores'!I$11),AND(G60="11-12",U60&gt;='Qualifying Scores'!I$10)),T60,0),IF(OR(AND(G60="17-21",W60&gt;='Qualifying Scores'!I$13),AND(G60="15-16",W60&gt;='Qualifying Scores'!I$12),AND(G60="13-14",W60&gt;='Qualifying Scores'!I$11),AND(G60="11-12",W60&gt;='Qualifying Scores'!I$10)),V60,0),IF(OR(AND(G60="17-21",Y60&gt;='Qualifying Scores'!I$13),AND(G60="15-16",Y60&gt;='Qualifying Scores'!I$12),AND(G60="13-14",Y60&gt;='Qualifying Scores'!I$11),AND(G60="11-12",Y60&gt;='Qualifying Scores'!I$10)),X60,0),IF(OR(AND(G60="17-21",AA60&gt;='Qualifying Scores'!I$13),AND(G60="15-16",AA60&gt;='Qualifying Scores'!I$12),AND(G60="13-14",AA60&gt;='Qualifying Scores'!I$11),AND(G60="11-12",AA60&gt;='Qualifying Scores'!I$10)),Z60,0)))</f>
        <v>0</v>
      </c>
      <c r="S60" s="4">
        <f>MAX(T60,V60,X60,Z60)</f>
        <v>38.4</v>
      </c>
      <c r="T60" s="33">
        <v>35</v>
      </c>
      <c r="U60" s="40">
        <v>5.0999999999999996</v>
      </c>
      <c r="V60" s="34">
        <v>35.299999999999997</v>
      </c>
      <c r="W60" s="40">
        <v>5.5</v>
      </c>
      <c r="X60" s="33">
        <v>38.4</v>
      </c>
      <c r="Y60" s="40">
        <v>5.6</v>
      </c>
      <c r="Z60" s="34">
        <v>37</v>
      </c>
      <c r="AA60" s="37">
        <v>5.6</v>
      </c>
    </row>
    <row r="61" spans="1:27" x14ac:dyDescent="0.2">
      <c r="A61" s="1" t="str" cm="1">
        <f t="array" ref="A61">IF(I61="","",IF(P61&lt;&gt;"",SUMPRODUCT((P$3:P$79&lt;&gt;"")*(G$3:G$79=G61)*(J$3:J$79&gt;J61)*(I$3:I$79="P"))+1,IF(O61&lt;&gt;"",SUMPRODUCT((O$3:O$79&lt;&gt;"")*(P$3:P$79="")*(G$3:G$79=G61)*(J$3:J$79&gt;J61)*(I$3:I$79="P"))+SUMPRODUCT((P$3:P$79&lt;&gt;"")*(G$3:G$79=G61)*(I$3:I$79="P"))+1,IF(N61&lt;&gt;"",SUMPRODUCT((N$3:N$79&lt;&gt;"")*(G$3:G$79=G61)*(J$3:J$79&gt;J61)*(I$3:I$79="P"))+1,IF(M61="P",SUMPRODUCT((O$3:O$79&lt;&gt;"")*(P$3:P$79="")*(G$3:G$79=G61)*(I$3:I$79="P"))+SUMPRODUCT((P$3:P$79&lt;&gt;"")*(G$3:G$79=G61)*(I$3:I$79="P"))+SUMPRODUCT((N$3:N$79&lt;&gt;"")*(G$3:G$79=G61)*(I$3:I$79="P"))+SUMPRODUCT((P$3:P$79="")*(O$3:O$79="")*(N$3:N$79="")*(M$3:M$79="P")*(G$3:G$79=G61)*(J$3:J$79&gt;J61)*(I$3:I$79="P"))+IF(H61="L5",SUMPRODUCT((P$3:P$79="")*(O$3:O$79="")*(N$3:N$79="")*(M$3:M$79="P")*(G$3:G$79=G61)*(J$3:J$79&lt;J61)*(H$3:H$79&lt;&gt;H61)*(I$3:I$79="P")),-1*SUMPRODUCT((P$3:P$79="")*(O$3:O$79="")*(N$3:N$79="")*(M$3:M$79="P")*(G$3:G$79=G61)*(J$3:J$79&gt;J61)*(H$3:H$79="L5")*(I$3:I$79="P")))+1,"")))))</f>
        <v/>
      </c>
      <c r="B61" s="1" t="str" cm="1">
        <f t="array" ref="B61">IF(P61&lt;&gt;"",SUMPRODUCT((P$3:P$79&lt;&gt;"")*(G$3:G$79=G61)*(J$3:J$79&gt;J61))+1,IF(O61&lt;&gt;"",SUMPRODUCT((O$3:O$79&lt;&gt;"")*(P$3:P$79="")*(G$3:G$79=G61)*(J$3:J$79&gt;J61))+SUMPRODUCT((P$3:P$79&lt;&gt;"")*(G$3:G$79=G61))+1,IF(N61&lt;&gt;"",SUMPRODUCT((N$3:N$79&lt;&gt;"")*(G$3:G$79=G61)*(J$3:J$79&gt;J61))+1,IF(M61="P",SUMPRODUCT((O$3:O$79&lt;&gt;"")*(P$3:P$79="")*(G$3:G$79=G61))+SUMPRODUCT((P$3:P$79&lt;&gt;"")*(G$3:G$79=G61))+SUMPRODUCT((N$3:N$79&lt;&gt;"")*(G$3:G$79=G61))+SUMPRODUCT((P$3:P$79="")*(O$3:O$79="")*(N$3:N$79="")*(M$3:M$79="P")*(G$3:G$79=G61)*(J$3:J$79&gt;J61))+IF(H61="L5",SUMPRODUCT((P$3:P$79="")*(O$3:O$79="")*(N$3:N$79="")*(M$3:M$79="P")*(G$3:G$79=G61)*(J$3:J$79&lt;J61)*(H$3:H$79&lt;&gt;H61)),-1*SUMPRODUCT((P$3:P$79="")*(O$3:O$79="")*(N$3:N$79="")*(M$3:M$79="P")*(G$3:G$79=G61)*(J$3:J$79&gt;J61)*(H$3:H$79="L5")))+1,""))))</f>
        <v/>
      </c>
      <c r="C61" s="36" t="s">
        <v>544</v>
      </c>
      <c r="D61" s="36" t="s">
        <v>357</v>
      </c>
      <c r="E61" s="36" t="s">
        <v>257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3.8299999999999998E-6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Scores'!I$13),AND(G61="15-16",U61&gt;='Qualifying Scores'!I$12),AND(G61="13-14",U61&gt;='Qualifying Scores'!I$11),AND(G61="11-12",U61&gt;='Qualifying Scores'!I$10)),T61,0),IF(OR(AND(G61="17-21",W61&gt;='Qualifying Scores'!I$13),AND(G61="15-16",W61&gt;='Qualifying Scores'!I$12),AND(G61="13-14",W61&gt;='Qualifying Scores'!I$11),AND(G61="11-12",W61&gt;='Qualifying Scores'!I$10)),V61,0),IF(OR(AND(G61="17-21",Y61&gt;='Qualifying Scores'!I$13),AND(G61="15-16",Y61&gt;='Qualifying Scores'!I$12),AND(G61="13-14",Y61&gt;='Qualifying Scores'!I$11),AND(G61="11-12",Y61&gt;='Qualifying Scores'!I$10)),X61,0),IF(OR(AND(G61="17-21",AA61&gt;='Qualifying Scores'!I$13),AND(G61="15-16",AA61&gt;='Qualifying Scores'!I$12),AND(G61="13-14",AA61&gt;='Qualifying Scores'!I$11),AND(G61="11-12",AA61&gt;='Qualifying Scores'!I$10)),Z61,0)))</f>
        <v>0</v>
      </c>
      <c r="S61" s="4">
        <f>MAX(T61,V61,X61,Z61)</f>
        <v>38.299999999999997</v>
      </c>
      <c r="T61" s="33"/>
      <c r="U61" s="40"/>
      <c r="V61" s="34"/>
      <c r="W61" s="40"/>
      <c r="X61" s="33">
        <v>38.299999999999997</v>
      </c>
      <c r="Y61" s="40">
        <v>6.1</v>
      </c>
      <c r="Z61" s="34">
        <v>36.9</v>
      </c>
      <c r="AA61" s="37">
        <v>6.1</v>
      </c>
    </row>
    <row r="62" spans="1:27" x14ac:dyDescent="0.2">
      <c r="A62" s="1" t="str" cm="1">
        <f t="array" ref="A62">IF(I62="","",IF(P62&lt;&gt;"",SUMPRODUCT((P$3:P$79&lt;&gt;"")*(G$3:G$79=G62)*(J$3:J$79&gt;J62)*(I$3:I$79="P"))+1,IF(O62&lt;&gt;"",SUMPRODUCT((O$3:O$79&lt;&gt;"")*(P$3:P$79="")*(G$3:G$79=G62)*(J$3:J$79&gt;J62)*(I$3:I$79="P"))+SUMPRODUCT((P$3:P$79&lt;&gt;"")*(G$3:G$79=G62)*(I$3:I$79="P"))+1,IF(N62&lt;&gt;"",SUMPRODUCT((N$3:N$79&lt;&gt;"")*(G$3:G$79=G62)*(J$3:J$79&gt;J62)*(I$3:I$79="P"))+1,IF(M62="P",SUMPRODUCT((O$3:O$79&lt;&gt;"")*(P$3:P$79="")*(G$3:G$79=G62)*(I$3:I$79="P"))+SUMPRODUCT((P$3:P$79&lt;&gt;"")*(G$3:G$79=G62)*(I$3:I$79="P"))+SUMPRODUCT((N$3:N$79&lt;&gt;"")*(G$3:G$79=G62)*(I$3:I$79="P"))+SUMPRODUCT((P$3:P$79="")*(O$3:O$79="")*(N$3:N$79="")*(M$3:M$79="P")*(G$3:G$79=G62)*(J$3:J$79&gt;J62)*(I$3:I$79="P"))+IF(H62="L5",SUMPRODUCT((P$3:P$79="")*(O$3:O$79="")*(N$3:N$79="")*(M$3:M$79="P")*(G$3:G$79=G62)*(J$3:J$79&lt;J62)*(H$3:H$79&lt;&gt;H62)*(I$3:I$79="P")),-1*SUMPRODUCT((P$3:P$79="")*(O$3:O$79="")*(N$3:N$79="")*(M$3:M$79="P")*(G$3:G$79=G62)*(J$3:J$79&gt;J62)*(H$3:H$79="L5")*(I$3:I$79="P")))+1,"")))))</f>
        <v/>
      </c>
      <c r="B62" s="1" t="str" cm="1">
        <f t="array" ref="B62">IF(P62&lt;&gt;"",SUMPRODUCT((P$3:P$79&lt;&gt;"")*(G$3:G$79=G62)*(J$3:J$79&gt;J62))+1,IF(O62&lt;&gt;"",SUMPRODUCT((O$3:O$79&lt;&gt;"")*(P$3:P$79="")*(G$3:G$79=G62)*(J$3:J$79&gt;J62))+SUMPRODUCT((P$3:P$79&lt;&gt;"")*(G$3:G$79=G62))+1,IF(N62&lt;&gt;"",SUMPRODUCT((N$3:N$79&lt;&gt;"")*(G$3:G$79=G62)*(J$3:J$79&gt;J62))+1,IF(M62="P",SUMPRODUCT((O$3:O$79&lt;&gt;"")*(P$3:P$79="")*(G$3:G$79=G62))+SUMPRODUCT((P$3:P$79&lt;&gt;"")*(G$3:G$79=G62))+SUMPRODUCT((N$3:N$79&lt;&gt;"")*(G$3:G$79=G62))+SUMPRODUCT((P$3:P$79="")*(O$3:O$79="")*(N$3:N$79="")*(M$3:M$79="P")*(G$3:G$79=G62)*(J$3:J$79&gt;J62))+IF(H62="L5",SUMPRODUCT((P$3:P$79="")*(O$3:O$79="")*(N$3:N$79="")*(M$3:M$79="P")*(G$3:G$79=G62)*(J$3:J$79&lt;J62)*(H$3:H$79&lt;&gt;H62)),-1*SUMPRODUCT((P$3:P$79="")*(O$3:O$79="")*(N$3:N$79="")*(M$3:M$79="P")*(G$3:G$79=G62)*(J$3:J$79&gt;J62)*(H$3:H$79="L5")))+1,""))))</f>
        <v/>
      </c>
      <c r="C62" s="36" t="s">
        <v>246</v>
      </c>
      <c r="D62" s="36" t="str">
        <f>IF(E62="","",VLOOKUP(E62,'Coaching Points'!A:B,2,0))</f>
        <v>BC</v>
      </c>
      <c r="E62" s="36" t="s">
        <v>80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3.72E-6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Scores'!I$13),AND(G62="15-16",U62&gt;='Qualifying Scores'!I$12),AND(G62="13-14",U62&gt;='Qualifying Scores'!I$11),AND(G62="11-12",U62&gt;='Qualifying Scores'!I$10)),T62,0),IF(OR(AND(G62="17-21",W62&gt;='Qualifying Scores'!I$13),AND(G62="15-16",W62&gt;='Qualifying Scores'!I$12),AND(G62="13-14",W62&gt;='Qualifying Scores'!I$11),AND(G62="11-12",W62&gt;='Qualifying Scores'!I$10)),V62,0),IF(OR(AND(G62="17-21",Y62&gt;='Qualifying Scores'!I$13),AND(G62="15-16",Y62&gt;='Qualifying Scores'!I$12),AND(G62="13-14",Y62&gt;='Qualifying Scores'!I$11),AND(G62="11-12",Y62&gt;='Qualifying Scores'!I$10)),X62,0),IF(OR(AND(G62="17-21",AA62&gt;='Qualifying Scores'!I$13),AND(G62="15-16",AA62&gt;='Qualifying Scores'!I$12),AND(G62="13-14",AA62&gt;='Qualifying Scores'!I$11),AND(G62="11-12",AA62&gt;='Qualifying Scores'!I$10)),Z62,0)))</f>
        <v>0</v>
      </c>
      <c r="S62" s="4">
        <f>MAX(T62,V62,X62,Z62)</f>
        <v>39</v>
      </c>
      <c r="T62" s="33">
        <v>39</v>
      </c>
      <c r="U62" s="40">
        <v>5.0999999999999996</v>
      </c>
      <c r="V62" s="34">
        <v>27.7</v>
      </c>
      <c r="W62" s="40">
        <v>4</v>
      </c>
      <c r="X62" s="33">
        <v>34.200000000000003</v>
      </c>
      <c r="Y62" s="40">
        <v>5.4</v>
      </c>
      <c r="Z62" s="34">
        <v>37.200000000000003</v>
      </c>
      <c r="AA62" s="37">
        <v>6.4</v>
      </c>
    </row>
    <row r="63" spans="1:27" x14ac:dyDescent="0.2">
      <c r="A63" s="1" t="str" cm="1">
        <f t="array" ref="A63">IF(I63="","",IF(P63&lt;&gt;"",SUMPRODUCT((P$3:P$79&lt;&gt;"")*(G$3:G$79=G63)*(J$3:J$79&gt;J63)*(I$3:I$79="P"))+1,IF(O63&lt;&gt;"",SUMPRODUCT((O$3:O$79&lt;&gt;"")*(P$3:P$79="")*(G$3:G$79=G63)*(J$3:J$79&gt;J63)*(I$3:I$79="P"))+SUMPRODUCT((P$3:P$79&lt;&gt;"")*(G$3:G$79=G63)*(I$3:I$79="P"))+1,IF(N63&lt;&gt;"",SUMPRODUCT((N$3:N$79&lt;&gt;"")*(G$3:G$79=G63)*(J$3:J$79&gt;J63)*(I$3:I$79="P"))+1,IF(M63="P",SUMPRODUCT((O$3:O$79&lt;&gt;"")*(P$3:P$79="")*(G$3:G$79=G63)*(I$3:I$79="P"))+SUMPRODUCT((P$3:P$79&lt;&gt;"")*(G$3:G$79=G63)*(I$3:I$79="P"))+SUMPRODUCT((N$3:N$79&lt;&gt;"")*(G$3:G$79=G63)*(I$3:I$79="P"))+SUMPRODUCT((P$3:P$79="")*(O$3:O$79="")*(N$3:N$79="")*(M$3:M$79="P")*(G$3:G$79=G63)*(J$3:J$79&gt;J63)*(I$3:I$79="P"))+IF(H63="L5",SUMPRODUCT((P$3:P$79="")*(O$3:O$79="")*(N$3:N$79="")*(M$3:M$79="P")*(G$3:G$79=G63)*(J$3:J$79&lt;J63)*(H$3:H$79&lt;&gt;H63)*(I$3:I$79="P")),-1*SUMPRODUCT((P$3:P$79="")*(O$3:O$79="")*(N$3:N$79="")*(M$3:M$79="P")*(G$3:G$79=G63)*(J$3:J$79&gt;J63)*(H$3:H$79="L5")*(I$3:I$79="P")))+1,"")))))</f>
        <v/>
      </c>
      <c r="B63" s="1" t="str" cm="1">
        <f t="array" ref="B63">IF(P63&lt;&gt;"",SUMPRODUCT((P$3:P$79&lt;&gt;"")*(G$3:G$79=G63)*(J$3:J$79&gt;J63))+1,IF(O63&lt;&gt;"",SUMPRODUCT((O$3:O$79&lt;&gt;"")*(P$3:P$79="")*(G$3:G$79=G63)*(J$3:J$79&gt;J63))+SUMPRODUCT((P$3:P$79&lt;&gt;"")*(G$3:G$79=G63))+1,IF(N63&lt;&gt;"",SUMPRODUCT((N$3:N$79&lt;&gt;"")*(G$3:G$79=G63)*(J$3:J$79&gt;J63))+1,IF(M63="P",SUMPRODUCT((O$3:O$79&lt;&gt;"")*(P$3:P$79="")*(G$3:G$79=G63))+SUMPRODUCT((P$3:P$79&lt;&gt;"")*(G$3:G$79=G63))+SUMPRODUCT((N$3:N$79&lt;&gt;"")*(G$3:G$79=G63))+SUMPRODUCT((P$3:P$79="")*(O$3:O$79="")*(N$3:N$79="")*(M$3:M$79="P")*(G$3:G$79=G63)*(J$3:J$79&gt;J63))+IF(H63="L5",SUMPRODUCT((P$3:P$79="")*(O$3:O$79="")*(N$3:N$79="")*(M$3:M$79="P")*(G$3:G$79=G63)*(J$3:J$79&lt;J63)*(H$3:H$79&lt;&gt;H63)),-1*SUMPRODUCT((P$3:P$79="")*(O$3:O$79="")*(N$3:N$79="")*(M$3:M$79="P")*(G$3:G$79=G63)*(J$3:J$79&gt;J63)*(H$3:H$79="L5")))+1,""))))</f>
        <v/>
      </c>
      <c r="C63" s="36" t="s">
        <v>523</v>
      </c>
      <c r="D63" s="36" t="s">
        <v>352</v>
      </c>
      <c r="E63" s="36" t="s">
        <v>48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 t="s">
        <v>604</v>
      </c>
      <c r="J63" s="4">
        <f>R63+IF(OR(H63="Junior",H63="Senior"),0.0002,IF(OR(H63="L7",H63="L6"),0.0001,0))+MAX(X63,Z63)*0.0000001</f>
        <v>3.6999999999999997E-6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Scores'!I$13),AND(G63="15-16",U63&gt;='Qualifying Scores'!I$12),AND(G63="13-14",U63&gt;='Qualifying Scores'!I$11),AND(G63="11-12",U63&gt;='Qualifying Scores'!I$10)),T63,0),IF(OR(AND(G63="17-21",W63&gt;='Qualifying Scores'!I$13),AND(G63="15-16",W63&gt;='Qualifying Scores'!I$12),AND(G63="13-14",W63&gt;='Qualifying Scores'!I$11),AND(G63="11-12",W63&gt;='Qualifying Scores'!I$10)),V63,0),IF(OR(AND(G63="17-21",Y63&gt;='Qualifying Scores'!I$13),AND(G63="15-16",Y63&gt;='Qualifying Scores'!I$12),AND(G63="13-14",Y63&gt;='Qualifying Scores'!I$11),AND(G63="11-12",Y63&gt;='Qualifying Scores'!I$10)),X63,0),IF(OR(AND(G63="17-21",AA63&gt;='Qualifying Scores'!I$13),AND(G63="15-16",AA63&gt;='Qualifying Scores'!I$12),AND(G63="13-14",AA63&gt;='Qualifying Scores'!I$11),AND(G63="11-12",AA63&gt;='Qualifying Scores'!I$10)),Z63,0)))</f>
        <v>0</v>
      </c>
      <c r="S63" s="4">
        <f>MAX(T63,V63,X63,Z63)</f>
        <v>37</v>
      </c>
      <c r="T63" s="33"/>
      <c r="U63" s="40"/>
      <c r="V63" s="34"/>
      <c r="W63" s="40"/>
      <c r="X63" s="33">
        <v>36.799999999999997</v>
      </c>
      <c r="Y63" s="40">
        <v>4.8</v>
      </c>
      <c r="Z63" s="34">
        <v>37</v>
      </c>
      <c r="AA63" s="37">
        <v>4.8</v>
      </c>
    </row>
    <row r="64" spans="1:27" x14ac:dyDescent="0.2">
      <c r="A64" s="1" t="str" cm="1">
        <f t="array" ref="A64">IF(I64="","",IF(P64&lt;&gt;"",SUMPRODUCT((P$3:P$79&lt;&gt;"")*(G$3:G$79=G64)*(J$3:J$79&gt;J64)*(I$3:I$79="P"))+1,IF(O64&lt;&gt;"",SUMPRODUCT((O$3:O$79&lt;&gt;"")*(P$3:P$79="")*(G$3:G$79=G64)*(J$3:J$79&gt;J64)*(I$3:I$79="P"))+SUMPRODUCT((P$3:P$79&lt;&gt;"")*(G$3:G$79=G64)*(I$3:I$79="P"))+1,IF(N64&lt;&gt;"",SUMPRODUCT((N$3:N$79&lt;&gt;"")*(G$3:G$79=G64)*(J$3:J$79&gt;J64)*(I$3:I$79="P"))+1,IF(M64="P",SUMPRODUCT((O$3:O$79&lt;&gt;"")*(P$3:P$79="")*(G$3:G$79=G64)*(I$3:I$79="P"))+SUMPRODUCT((P$3:P$79&lt;&gt;"")*(G$3:G$79=G64)*(I$3:I$79="P"))+SUMPRODUCT((N$3:N$79&lt;&gt;"")*(G$3:G$79=G64)*(I$3:I$79="P"))+SUMPRODUCT((P$3:P$79="")*(O$3:O$79="")*(N$3:N$79="")*(M$3:M$79="P")*(G$3:G$79=G64)*(J$3:J$79&gt;J64)*(I$3:I$79="P"))+IF(H64="L5",SUMPRODUCT((P$3:P$79="")*(O$3:O$79="")*(N$3:N$79="")*(M$3:M$79="P")*(G$3:G$79=G64)*(J$3:J$79&lt;J64)*(H$3:H$79&lt;&gt;H64)*(I$3:I$79="P")),-1*SUMPRODUCT((P$3:P$79="")*(O$3:O$79="")*(N$3:N$79="")*(M$3:M$79="P")*(G$3:G$79=G64)*(J$3:J$79&gt;J64)*(H$3:H$79="L5")*(I$3:I$79="P")))+1,"")))))</f>
        <v/>
      </c>
      <c r="B64" s="1" t="str" cm="1">
        <f t="array" ref="B64">IF(P64&lt;&gt;"",SUMPRODUCT((P$3:P$79&lt;&gt;"")*(G$3:G$79=G64)*(J$3:J$79&gt;J64))+1,IF(O64&lt;&gt;"",SUMPRODUCT((O$3:O$79&lt;&gt;"")*(P$3:P$79="")*(G$3:G$79=G64)*(J$3:J$79&gt;J64))+SUMPRODUCT((P$3:P$79&lt;&gt;"")*(G$3:G$79=G64))+1,IF(N64&lt;&gt;"",SUMPRODUCT((N$3:N$79&lt;&gt;"")*(G$3:G$79=G64)*(J$3:J$79&gt;J64))+1,IF(M64="P",SUMPRODUCT((O$3:O$79&lt;&gt;"")*(P$3:P$79="")*(G$3:G$79=G64))+SUMPRODUCT((P$3:P$79&lt;&gt;"")*(G$3:G$79=G64))+SUMPRODUCT((N$3:N$79&lt;&gt;"")*(G$3:G$79=G64))+SUMPRODUCT((P$3:P$79="")*(O$3:O$79="")*(N$3:N$79="")*(M$3:M$79="P")*(G$3:G$79=G64)*(J$3:J$79&gt;J64))+IF(H64="L5",SUMPRODUCT((P$3:P$79="")*(O$3:O$79="")*(N$3:N$79="")*(M$3:M$79="P")*(G$3:G$79=G64)*(J$3:J$79&lt;J64)*(H$3:H$79&lt;&gt;H64)),-1*SUMPRODUCT((P$3:P$79="")*(O$3:O$79="")*(N$3:N$79="")*(M$3:M$79="P")*(G$3:G$79=G64)*(J$3:J$79&gt;J64)*(H$3:H$79="L5")))+1,""))))</f>
        <v/>
      </c>
      <c r="C64" s="36" t="s">
        <v>248</v>
      </c>
      <c r="D64" s="36" t="str">
        <f>IF(E64="","",VLOOKUP(E64,'Coaching Points'!A:B,2,0))</f>
        <v>AB</v>
      </c>
      <c r="E64" s="36" t="s">
        <v>29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3.6499999999999998E-6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Scores'!I$13),AND(G64="15-16",U64&gt;='Qualifying Scores'!I$12),AND(G64="13-14",U64&gt;='Qualifying Scores'!I$11),AND(G64="11-12",U64&gt;='Qualifying Scores'!I$10)),T64,0),IF(OR(AND(G64="17-21",W64&gt;='Qualifying Scores'!I$13),AND(G64="15-16",W64&gt;='Qualifying Scores'!I$12),AND(G64="13-14",W64&gt;='Qualifying Scores'!I$11),AND(G64="11-12",W64&gt;='Qualifying Scores'!I$10)),V64,0),IF(OR(AND(G64="17-21",Y64&gt;='Qualifying Scores'!I$13),AND(G64="15-16",Y64&gt;='Qualifying Scores'!I$12),AND(G64="13-14",Y64&gt;='Qualifying Scores'!I$11),AND(G64="11-12",Y64&gt;='Qualifying Scores'!I$10)),X64,0),IF(OR(AND(G64="17-21",AA64&gt;='Qualifying Scores'!I$13),AND(G64="15-16",AA64&gt;='Qualifying Scores'!I$12),AND(G64="13-14",AA64&gt;='Qualifying Scores'!I$11),AND(G64="11-12",AA64&gt;='Qualifying Scores'!I$10)),Z64,0)))</f>
        <v>0</v>
      </c>
      <c r="S64" s="4">
        <f>MAX(T64,V64,X64,Z64)</f>
        <v>36.799999999999997</v>
      </c>
      <c r="T64" s="33">
        <v>36.799999999999997</v>
      </c>
      <c r="U64" s="40">
        <v>4.5999999999999996</v>
      </c>
      <c r="V64" s="34">
        <v>33.739999999999995</v>
      </c>
      <c r="W64" s="40">
        <v>4.5999999999999996</v>
      </c>
      <c r="X64" s="33">
        <v>36.5</v>
      </c>
      <c r="Y64" s="40">
        <v>4.5999999999999996</v>
      </c>
      <c r="Z64" s="34">
        <v>33.200000000000003</v>
      </c>
      <c r="AA64" s="37">
        <v>4.4000000000000004</v>
      </c>
    </row>
    <row r="65" spans="1:27" x14ac:dyDescent="0.2">
      <c r="A65" s="1" t="str" cm="1">
        <f t="array" ref="A65">IF(I65="","",IF(P65&lt;&gt;"",SUMPRODUCT((P$3:P$79&lt;&gt;"")*(G$3:G$79=G65)*(J$3:J$79&gt;J65)*(I$3:I$79="P"))+1,IF(O65&lt;&gt;"",SUMPRODUCT((O$3:O$79&lt;&gt;"")*(P$3:P$79="")*(G$3:G$79=G65)*(J$3:J$79&gt;J65)*(I$3:I$79="P"))+SUMPRODUCT((P$3:P$79&lt;&gt;"")*(G$3:G$79=G65)*(I$3:I$79="P"))+1,IF(N65&lt;&gt;"",SUMPRODUCT((N$3:N$79&lt;&gt;"")*(G$3:G$79=G65)*(J$3:J$79&gt;J65)*(I$3:I$79="P"))+1,IF(M65="P",SUMPRODUCT((O$3:O$79&lt;&gt;"")*(P$3:P$79="")*(G$3:G$79=G65)*(I$3:I$79="P"))+SUMPRODUCT((P$3:P$79&lt;&gt;"")*(G$3:G$79=G65)*(I$3:I$79="P"))+SUMPRODUCT((N$3:N$79&lt;&gt;"")*(G$3:G$79=G65)*(I$3:I$79="P"))+SUMPRODUCT((P$3:P$79="")*(O$3:O$79="")*(N$3:N$79="")*(M$3:M$79="P")*(G$3:G$79=G65)*(J$3:J$79&gt;J65)*(I$3:I$79="P"))+IF(H65="L5",SUMPRODUCT((P$3:P$79="")*(O$3:O$79="")*(N$3:N$79="")*(M$3:M$79="P")*(G$3:G$79=G65)*(J$3:J$79&lt;J65)*(H$3:H$79&lt;&gt;H65)*(I$3:I$79="P")),-1*SUMPRODUCT((P$3:P$79="")*(O$3:O$79="")*(N$3:N$79="")*(M$3:M$79="P")*(G$3:G$79=G65)*(J$3:J$79&gt;J65)*(H$3:H$79="L5")*(I$3:I$79="P")))+1,"")))))</f>
        <v/>
      </c>
      <c r="B65" s="1" t="str" cm="1">
        <f t="array" ref="B65">IF(P65&lt;&gt;"",SUMPRODUCT((P$3:P$79&lt;&gt;"")*(G$3:G$79=G65)*(J$3:J$79&gt;J65))+1,IF(O65&lt;&gt;"",SUMPRODUCT((O$3:O$79&lt;&gt;"")*(P$3:P$79="")*(G$3:G$79=G65)*(J$3:J$79&gt;J65))+SUMPRODUCT((P$3:P$79&lt;&gt;"")*(G$3:G$79=G65))+1,IF(N65&lt;&gt;"",SUMPRODUCT((N$3:N$79&lt;&gt;"")*(G$3:G$79=G65)*(J$3:J$79&gt;J65))+1,IF(M65="P",SUMPRODUCT((O$3:O$79&lt;&gt;"")*(P$3:P$79="")*(G$3:G$79=G65))+SUMPRODUCT((P$3:P$79&lt;&gt;"")*(G$3:G$79=G65))+SUMPRODUCT((N$3:N$79&lt;&gt;"")*(G$3:G$79=G65))+SUMPRODUCT((P$3:P$79="")*(O$3:O$79="")*(N$3:N$79="")*(M$3:M$79="P")*(G$3:G$79=G65)*(J$3:J$79&gt;J65))+IF(H65="L5",SUMPRODUCT((P$3:P$79="")*(O$3:O$79="")*(N$3:N$79="")*(M$3:M$79="P")*(G$3:G$79=G65)*(J$3:J$79&lt;J65)*(H$3:H$79&lt;&gt;H65)),-1*SUMPRODUCT((P$3:P$79="")*(O$3:O$79="")*(N$3:N$79="")*(M$3:M$79="P")*(G$3:G$79=G65)*(J$3:J$79&gt;J65)*(H$3:H$79="L5")))+1,""))))</f>
        <v/>
      </c>
      <c r="C65" s="36" t="s">
        <v>525</v>
      </c>
      <c r="D65" s="36" t="s">
        <v>352</v>
      </c>
      <c r="E65" s="36" t="s">
        <v>48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3.6100000000000002E-6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Scores'!I$13),AND(G65="15-16",U65&gt;='Qualifying Scores'!I$12),AND(G65="13-14",U65&gt;='Qualifying Scores'!I$11),AND(G65="11-12",U65&gt;='Qualifying Scores'!I$10)),T65,0),IF(OR(AND(G65="17-21",W65&gt;='Qualifying Scores'!I$13),AND(G65="15-16",W65&gt;='Qualifying Scores'!I$12),AND(G65="13-14",W65&gt;='Qualifying Scores'!I$11),AND(G65="11-12",W65&gt;='Qualifying Scores'!I$10)),V65,0),IF(OR(AND(G65="17-21",Y65&gt;='Qualifying Scores'!I$13),AND(G65="15-16",Y65&gt;='Qualifying Scores'!I$12),AND(G65="13-14",Y65&gt;='Qualifying Scores'!I$11),AND(G65="11-12",Y65&gt;='Qualifying Scores'!I$10)),X65,0),IF(OR(AND(G65="17-21",AA65&gt;='Qualifying Scores'!I$13),AND(G65="15-16",AA65&gt;='Qualifying Scores'!I$12),AND(G65="13-14",AA65&gt;='Qualifying Scores'!I$11),AND(G65="11-12",AA65&gt;='Qualifying Scores'!I$10)),Z65,0)))</f>
        <v>0</v>
      </c>
      <c r="S65" s="4">
        <f>MAX(T65,V65,X65,Z65)</f>
        <v>36.1</v>
      </c>
      <c r="T65" s="33"/>
      <c r="U65" s="40"/>
      <c r="V65" s="34"/>
      <c r="W65" s="40"/>
      <c r="X65" s="33">
        <v>35.5</v>
      </c>
      <c r="Y65" s="40">
        <v>3.3</v>
      </c>
      <c r="Z65" s="34">
        <v>36.1</v>
      </c>
      <c r="AA65" s="37">
        <v>4.4000000000000004</v>
      </c>
    </row>
    <row r="66" spans="1:27" x14ac:dyDescent="0.2">
      <c r="A66" s="1" t="str" cm="1">
        <f t="array" ref="A66">IF(I66="","",IF(P66&lt;&gt;"",SUMPRODUCT((P$3:P$79&lt;&gt;"")*(G$3:G$79=G66)*(J$3:J$79&gt;J66)*(I$3:I$79="P"))+1,IF(O66&lt;&gt;"",SUMPRODUCT((O$3:O$79&lt;&gt;"")*(P$3:P$79="")*(G$3:G$79=G66)*(J$3:J$79&gt;J66)*(I$3:I$79="P"))+SUMPRODUCT((P$3:P$79&lt;&gt;"")*(G$3:G$79=G66)*(I$3:I$79="P"))+1,IF(N66&lt;&gt;"",SUMPRODUCT((N$3:N$79&lt;&gt;"")*(G$3:G$79=G66)*(J$3:J$79&gt;J66)*(I$3:I$79="P"))+1,IF(M66="P",SUMPRODUCT((O$3:O$79&lt;&gt;"")*(P$3:P$79="")*(G$3:G$79=G66)*(I$3:I$79="P"))+SUMPRODUCT((P$3:P$79&lt;&gt;"")*(G$3:G$79=G66)*(I$3:I$79="P"))+SUMPRODUCT((N$3:N$79&lt;&gt;"")*(G$3:G$79=G66)*(I$3:I$79="P"))+SUMPRODUCT((P$3:P$79="")*(O$3:O$79="")*(N$3:N$79="")*(M$3:M$79="P")*(G$3:G$79=G66)*(J$3:J$79&gt;J66)*(I$3:I$79="P"))+IF(H66="L5",SUMPRODUCT((P$3:P$79="")*(O$3:O$79="")*(N$3:N$79="")*(M$3:M$79="P")*(G$3:G$79=G66)*(J$3:J$79&lt;J66)*(H$3:H$79&lt;&gt;H66)*(I$3:I$79="P")),-1*SUMPRODUCT((P$3:P$79="")*(O$3:O$79="")*(N$3:N$79="")*(M$3:M$79="P")*(G$3:G$79=G66)*(J$3:J$79&gt;J66)*(H$3:H$79="L5")*(I$3:I$79="P")))+1,"")))))</f>
        <v/>
      </c>
      <c r="B66" s="1" t="str" cm="1">
        <f t="array" ref="B66">IF(P66&lt;&gt;"",SUMPRODUCT((P$3:P$79&lt;&gt;"")*(G$3:G$79=G66)*(J$3:J$79&gt;J66))+1,IF(O66&lt;&gt;"",SUMPRODUCT((O$3:O$79&lt;&gt;"")*(P$3:P$79="")*(G$3:G$79=G66)*(J$3:J$79&gt;J66))+SUMPRODUCT((P$3:P$79&lt;&gt;"")*(G$3:G$79=G66))+1,IF(N66&lt;&gt;"",SUMPRODUCT((N$3:N$79&lt;&gt;"")*(G$3:G$79=G66)*(J$3:J$79&gt;J66))+1,IF(M66="P",SUMPRODUCT((O$3:O$79&lt;&gt;"")*(P$3:P$79="")*(G$3:G$79=G66))+SUMPRODUCT((P$3:P$79&lt;&gt;"")*(G$3:G$79=G66))+SUMPRODUCT((N$3:N$79&lt;&gt;"")*(G$3:G$79=G66))+SUMPRODUCT((P$3:P$79="")*(O$3:O$79="")*(N$3:N$79="")*(M$3:M$79="P")*(G$3:G$79=G66)*(J$3:J$79&gt;J66))+IF(H66="L5",SUMPRODUCT((P$3:P$79="")*(O$3:O$79="")*(N$3:N$79="")*(M$3:M$79="P")*(G$3:G$79=G66)*(J$3:J$79&lt;J66)*(H$3:H$79&lt;&gt;H66)),-1*SUMPRODUCT((P$3:P$79="")*(O$3:O$79="")*(N$3:N$79="")*(M$3:M$79="P")*(G$3:G$79=G66)*(J$3:J$79&gt;J66)*(H$3:H$79="L5")))+1,""))))</f>
        <v/>
      </c>
      <c r="C66" s="36" t="s">
        <v>542</v>
      </c>
      <c r="D66" s="36" t="s">
        <v>354</v>
      </c>
      <c r="E66" s="36" t="s">
        <v>591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3.3999999999999996E-6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Scores'!I$13),AND(G66="15-16",U66&gt;='Qualifying Scores'!I$12),AND(G66="13-14",U66&gt;='Qualifying Scores'!I$11),AND(G66="11-12",U66&gt;='Qualifying Scores'!I$10)),T66,0),IF(OR(AND(G66="17-21",W66&gt;='Qualifying Scores'!I$13),AND(G66="15-16",W66&gt;='Qualifying Scores'!I$12),AND(G66="13-14",W66&gt;='Qualifying Scores'!I$11),AND(G66="11-12",W66&gt;='Qualifying Scores'!I$10)),V66,0),IF(OR(AND(G66="17-21",Y66&gt;='Qualifying Scores'!I$13),AND(G66="15-16",Y66&gt;='Qualifying Scores'!I$12),AND(G66="13-14",Y66&gt;='Qualifying Scores'!I$11),AND(G66="11-12",Y66&gt;='Qualifying Scores'!I$10)),X66,0),IF(OR(AND(G66="17-21",AA66&gt;='Qualifying Scores'!I$13),AND(G66="15-16",AA66&gt;='Qualifying Scores'!I$12),AND(G66="13-14",AA66&gt;='Qualifying Scores'!I$11),AND(G66="11-12",AA66&gt;='Qualifying Scores'!I$10)),Z66,0)))</f>
        <v>0</v>
      </c>
      <c r="S66" s="4">
        <f>MAX(T66,V66,X66,Z66)</f>
        <v>34</v>
      </c>
      <c r="T66" s="33"/>
      <c r="U66" s="40"/>
      <c r="V66" s="34"/>
      <c r="W66" s="40"/>
      <c r="X66" s="33">
        <v>34</v>
      </c>
      <c r="Y66" s="40">
        <v>4.7</v>
      </c>
      <c r="Z66" s="34">
        <v>33.6</v>
      </c>
      <c r="AA66" s="37">
        <v>4.7</v>
      </c>
    </row>
    <row r="67" spans="1:27" x14ac:dyDescent="0.2">
      <c r="A67" s="1" t="str" cm="1">
        <f t="array" ref="A67">IF(I67="","",IF(P67&lt;&gt;"",SUMPRODUCT((P$3:P$79&lt;&gt;"")*(G$3:G$79=G67)*(J$3:J$79&gt;J67)*(I$3:I$79="P"))+1,IF(O67&lt;&gt;"",SUMPRODUCT((O$3:O$79&lt;&gt;"")*(P$3:P$79="")*(G$3:G$79=G67)*(J$3:J$79&gt;J67)*(I$3:I$79="P"))+SUMPRODUCT((P$3:P$79&lt;&gt;"")*(G$3:G$79=G67)*(I$3:I$79="P"))+1,IF(N67&lt;&gt;"",SUMPRODUCT((N$3:N$79&lt;&gt;"")*(G$3:G$79=G67)*(J$3:J$79&gt;J67)*(I$3:I$79="P"))+1,IF(M67="P",SUMPRODUCT((O$3:O$79&lt;&gt;"")*(P$3:P$79="")*(G$3:G$79=G67)*(I$3:I$79="P"))+SUMPRODUCT((P$3:P$79&lt;&gt;"")*(G$3:G$79=G67)*(I$3:I$79="P"))+SUMPRODUCT((N$3:N$79&lt;&gt;"")*(G$3:G$79=G67)*(I$3:I$79="P"))+SUMPRODUCT((P$3:P$79="")*(O$3:O$79="")*(N$3:N$79="")*(M$3:M$79="P")*(G$3:G$79=G67)*(J$3:J$79&gt;J67)*(I$3:I$79="P"))+IF(H67="L5",SUMPRODUCT((P$3:P$79="")*(O$3:O$79="")*(N$3:N$79="")*(M$3:M$79="P")*(G$3:G$79=G67)*(J$3:J$79&lt;J67)*(H$3:H$79&lt;&gt;H67)*(I$3:I$79="P")),-1*SUMPRODUCT((P$3:P$79="")*(O$3:O$79="")*(N$3:N$79="")*(M$3:M$79="P")*(G$3:G$79=G67)*(J$3:J$79&gt;J67)*(H$3:H$79="L5")*(I$3:I$79="P")))+1,"")))))</f>
        <v/>
      </c>
      <c r="B67" s="1" t="str" cm="1">
        <f t="array" ref="B67">IF(P67&lt;&gt;"",SUMPRODUCT((P$3:P$79&lt;&gt;"")*(G$3:G$79=G67)*(J$3:J$79&gt;J67))+1,IF(O67&lt;&gt;"",SUMPRODUCT((O$3:O$79&lt;&gt;"")*(P$3:P$79="")*(G$3:G$79=G67)*(J$3:J$79&gt;J67))+SUMPRODUCT((P$3:P$79&lt;&gt;"")*(G$3:G$79=G67))+1,IF(N67&lt;&gt;"",SUMPRODUCT((N$3:N$79&lt;&gt;"")*(G$3:G$79=G67)*(J$3:J$79&gt;J67))+1,IF(M67="P",SUMPRODUCT((O$3:O$79&lt;&gt;"")*(P$3:P$79="")*(G$3:G$79=G67))+SUMPRODUCT((P$3:P$79&lt;&gt;"")*(G$3:G$79=G67))+SUMPRODUCT((N$3:N$79&lt;&gt;"")*(G$3:G$79=G67))+SUMPRODUCT((P$3:P$79="")*(O$3:O$79="")*(N$3:N$79="")*(M$3:M$79="P")*(G$3:G$79=G67)*(J$3:J$79&gt;J67))+IF(H67="L5",SUMPRODUCT((P$3:P$79="")*(O$3:O$79="")*(N$3:N$79="")*(M$3:M$79="P")*(G$3:G$79=G67)*(J$3:J$79&lt;J67)*(H$3:H$79&lt;&gt;H67)),-1*SUMPRODUCT((P$3:P$79="")*(O$3:O$79="")*(N$3:N$79="")*(M$3:M$79="P")*(G$3:G$79=G67)*(J$3:J$79&gt;J67)*(H$3:H$79="L5")))+1,""))))</f>
        <v/>
      </c>
      <c r="C67" s="36" t="s">
        <v>541</v>
      </c>
      <c r="D67" s="36" t="s">
        <v>352</v>
      </c>
      <c r="E67" s="36" t="s">
        <v>48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3.2999999999999997E-6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Scores'!I$13),AND(G67="15-16",U67&gt;='Qualifying Scores'!I$12),AND(G67="13-14",U67&gt;='Qualifying Scores'!I$11),AND(G67="11-12",U67&gt;='Qualifying Scores'!I$10)),T67,0),IF(OR(AND(G67="17-21",W67&gt;='Qualifying Scores'!I$13),AND(G67="15-16",W67&gt;='Qualifying Scores'!I$12),AND(G67="13-14",W67&gt;='Qualifying Scores'!I$11),AND(G67="11-12",W67&gt;='Qualifying Scores'!I$10)),V67,0),IF(OR(AND(G67="17-21",Y67&gt;='Qualifying Scores'!I$13),AND(G67="15-16",Y67&gt;='Qualifying Scores'!I$12),AND(G67="13-14",Y67&gt;='Qualifying Scores'!I$11),AND(G67="11-12",Y67&gt;='Qualifying Scores'!I$10)),X67,0),IF(OR(AND(G67="17-21",AA67&gt;='Qualifying Scores'!I$13),AND(G67="15-16",AA67&gt;='Qualifying Scores'!I$12),AND(G67="13-14",AA67&gt;='Qualifying Scores'!I$11),AND(G67="11-12",AA67&gt;='Qualifying Scores'!I$10)),Z67,0)))</f>
        <v>0</v>
      </c>
      <c r="S67" s="4">
        <f>MAX(T67,V67,X67,Z67)</f>
        <v>33</v>
      </c>
      <c r="T67" s="33"/>
      <c r="U67" s="40"/>
      <c r="V67" s="34"/>
      <c r="W67" s="40"/>
      <c r="X67" s="33">
        <v>33</v>
      </c>
      <c r="Y67" s="40">
        <v>3.5</v>
      </c>
      <c r="Z67" s="34"/>
      <c r="AA67" s="37"/>
    </row>
    <row r="68" spans="1:27" x14ac:dyDescent="0.2">
      <c r="A68" s="1" t="str" cm="1">
        <f t="array" ref="A68">IF(I68="","",IF(P68&lt;&gt;"",SUMPRODUCT((P$3:P$79&lt;&gt;"")*(G$3:G$79=G68)*(J$3:J$79&gt;J68)*(I$3:I$79="P"))+1,IF(O68&lt;&gt;"",SUMPRODUCT((O$3:O$79&lt;&gt;"")*(P$3:P$79="")*(G$3:G$79=G68)*(J$3:J$79&gt;J68)*(I$3:I$79="P"))+SUMPRODUCT((P$3:P$79&lt;&gt;"")*(G$3:G$79=G68)*(I$3:I$79="P"))+1,IF(N68&lt;&gt;"",SUMPRODUCT((N$3:N$79&lt;&gt;"")*(G$3:G$79=G68)*(J$3:J$79&gt;J68)*(I$3:I$79="P"))+1,IF(M68="P",SUMPRODUCT((O$3:O$79&lt;&gt;"")*(P$3:P$79="")*(G$3:G$79=G68)*(I$3:I$79="P"))+SUMPRODUCT((P$3:P$79&lt;&gt;"")*(G$3:G$79=G68)*(I$3:I$79="P"))+SUMPRODUCT((N$3:N$79&lt;&gt;"")*(G$3:G$79=G68)*(I$3:I$79="P"))+SUMPRODUCT((P$3:P$79="")*(O$3:O$79="")*(N$3:N$79="")*(M$3:M$79="P")*(G$3:G$79=G68)*(J$3:J$79&gt;J68)*(I$3:I$79="P"))+IF(H68="L5",SUMPRODUCT((P$3:P$79="")*(O$3:O$79="")*(N$3:N$79="")*(M$3:M$79="P")*(G$3:G$79=G68)*(J$3:J$79&lt;J68)*(H$3:H$79&lt;&gt;H68)*(I$3:I$79="P")),-1*SUMPRODUCT((P$3:P$79="")*(O$3:O$79="")*(N$3:N$79="")*(M$3:M$79="P")*(G$3:G$79=G68)*(J$3:J$79&gt;J68)*(H$3:H$79="L5")*(I$3:I$79="P")))+1,"")))))</f>
        <v/>
      </c>
      <c r="B68" s="1" t="str" cm="1">
        <f t="array" ref="B68">IF(P68&lt;&gt;"",SUMPRODUCT((P$3:P$79&lt;&gt;"")*(G$3:G$79=G68)*(J$3:J$79&gt;J68))+1,IF(O68&lt;&gt;"",SUMPRODUCT((O$3:O$79&lt;&gt;"")*(P$3:P$79="")*(G$3:G$79=G68)*(J$3:J$79&gt;J68))+SUMPRODUCT((P$3:P$79&lt;&gt;"")*(G$3:G$79=G68))+1,IF(N68&lt;&gt;"",SUMPRODUCT((N$3:N$79&lt;&gt;"")*(G$3:G$79=G68)*(J$3:J$79&gt;J68))+1,IF(M68="P",SUMPRODUCT((O$3:O$79&lt;&gt;"")*(P$3:P$79="")*(G$3:G$79=G68))+SUMPRODUCT((P$3:P$79&lt;&gt;"")*(G$3:G$79=G68))+SUMPRODUCT((N$3:N$79&lt;&gt;"")*(G$3:G$79=G68))+SUMPRODUCT((P$3:P$79="")*(O$3:O$79="")*(N$3:N$79="")*(M$3:M$79="P")*(G$3:G$79=G68)*(J$3:J$79&gt;J68))+IF(H68="L5",SUMPRODUCT((P$3:P$79="")*(O$3:O$79="")*(N$3:N$79="")*(M$3:M$79="P")*(G$3:G$79=G68)*(J$3:J$79&lt;J68)*(H$3:H$79&lt;&gt;H68)),-1*SUMPRODUCT((P$3:P$79="")*(O$3:O$79="")*(N$3:N$79="")*(M$3:M$79="P")*(G$3:G$79=G68)*(J$3:J$79&gt;J68)*(H$3:H$79="L5")))+1,""))))</f>
        <v/>
      </c>
      <c r="C68" s="36" t="s">
        <v>540</v>
      </c>
      <c r="D68" s="36" t="s">
        <v>357</v>
      </c>
      <c r="E68" s="36" t="s">
        <v>257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/>
      <c r="J68" s="4">
        <f>R68+IF(OR(H68="Junior",H68="Senior"),0.0002,IF(OR(H68="L7",H68="L6"),0.0001,0))+MAX(X68,Z68)*0.0000001</f>
        <v>3.1899999999999995E-6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Scores'!I$13),AND(G68="15-16",U68&gt;='Qualifying Scores'!I$12),AND(G68="13-14",U68&gt;='Qualifying Scores'!I$11),AND(G68="11-12",U68&gt;='Qualifying Scores'!I$10)),T68,0),IF(OR(AND(G68="17-21",W68&gt;='Qualifying Scores'!I$13),AND(G68="15-16",W68&gt;='Qualifying Scores'!I$12),AND(G68="13-14",W68&gt;='Qualifying Scores'!I$11),AND(G68="11-12",W68&gt;='Qualifying Scores'!I$10)),V68,0),IF(OR(AND(G68="17-21",Y68&gt;='Qualifying Scores'!I$13),AND(G68="15-16",Y68&gt;='Qualifying Scores'!I$12),AND(G68="13-14",Y68&gt;='Qualifying Scores'!I$11),AND(G68="11-12",Y68&gt;='Qualifying Scores'!I$10)),X68,0),IF(OR(AND(G68="17-21",AA68&gt;='Qualifying Scores'!I$13),AND(G68="15-16",AA68&gt;='Qualifying Scores'!I$12),AND(G68="13-14",AA68&gt;='Qualifying Scores'!I$11),AND(G68="11-12",AA68&gt;='Qualifying Scores'!I$10)),Z68,0)))</f>
        <v>0</v>
      </c>
      <c r="S68" s="4">
        <f>MAX(T68,V68,X68,Z68)</f>
        <v>31.9</v>
      </c>
      <c r="T68" s="33"/>
      <c r="U68" s="40"/>
      <c r="V68" s="34"/>
      <c r="W68" s="40"/>
      <c r="X68" s="33">
        <v>31.9</v>
      </c>
      <c r="Y68" s="40">
        <v>4.7</v>
      </c>
      <c r="Z68" s="34"/>
      <c r="AA68" s="37"/>
    </row>
    <row r="69" spans="1:27" x14ac:dyDescent="0.2">
      <c r="A69" s="1" t="str" cm="1">
        <f t="array" ref="A69">IF(I69="","",IF(P69&lt;&gt;"",SUMPRODUCT((P$3:P$79&lt;&gt;"")*(G$3:G$79=G69)*(J$3:J$79&gt;J69)*(I$3:I$79="P"))+1,IF(O69&lt;&gt;"",SUMPRODUCT((O$3:O$79&lt;&gt;"")*(P$3:P$79="")*(G$3:G$79=G69)*(J$3:J$79&gt;J69)*(I$3:I$79="P"))+SUMPRODUCT((P$3:P$79&lt;&gt;"")*(G$3:G$79=G69)*(I$3:I$79="P"))+1,IF(N69&lt;&gt;"",SUMPRODUCT((N$3:N$79&lt;&gt;"")*(G$3:G$79=G69)*(J$3:J$79&gt;J69)*(I$3:I$79="P"))+1,IF(M69="P",SUMPRODUCT((O$3:O$79&lt;&gt;"")*(P$3:P$79="")*(G$3:G$79=G69)*(I$3:I$79="P"))+SUMPRODUCT((P$3:P$79&lt;&gt;"")*(G$3:G$79=G69)*(I$3:I$79="P"))+SUMPRODUCT((N$3:N$79&lt;&gt;"")*(G$3:G$79=G69)*(I$3:I$79="P"))+SUMPRODUCT((P$3:P$79="")*(O$3:O$79="")*(N$3:N$79="")*(M$3:M$79="P")*(G$3:G$79=G69)*(J$3:J$79&gt;J69)*(I$3:I$79="P"))+IF(H69="L5",SUMPRODUCT((P$3:P$79="")*(O$3:O$79="")*(N$3:N$79="")*(M$3:M$79="P")*(G$3:G$79=G69)*(J$3:J$79&lt;J69)*(H$3:H$79&lt;&gt;H69)*(I$3:I$79="P")),-1*SUMPRODUCT((P$3:P$79="")*(O$3:O$79="")*(N$3:N$79="")*(M$3:M$79="P")*(G$3:G$79=G69)*(J$3:J$79&gt;J69)*(H$3:H$79="L5")*(I$3:I$79="P")))+1,"")))))</f>
        <v/>
      </c>
      <c r="B69" s="1" t="str" cm="1">
        <f t="array" ref="B69">IF(P69&lt;&gt;"",SUMPRODUCT((P$3:P$79&lt;&gt;"")*(G$3:G$79=G69)*(J$3:J$79&gt;J69))+1,IF(O69&lt;&gt;"",SUMPRODUCT((O$3:O$79&lt;&gt;"")*(P$3:P$79="")*(G$3:G$79=G69)*(J$3:J$79&gt;J69))+SUMPRODUCT((P$3:P$79&lt;&gt;"")*(G$3:G$79=G69))+1,IF(N69&lt;&gt;"",SUMPRODUCT((N$3:N$79&lt;&gt;"")*(G$3:G$79=G69)*(J$3:J$79&gt;J69))+1,IF(M69="P",SUMPRODUCT((O$3:O$79&lt;&gt;"")*(P$3:P$79="")*(G$3:G$79=G69))+SUMPRODUCT((P$3:P$79&lt;&gt;"")*(G$3:G$79=G69))+SUMPRODUCT((N$3:N$79&lt;&gt;"")*(G$3:G$79=G69))+SUMPRODUCT((P$3:P$79="")*(O$3:O$79="")*(N$3:N$79="")*(M$3:M$79="P")*(G$3:G$79=G69)*(J$3:J$79&gt;J69))+IF(H69="L5",SUMPRODUCT((P$3:P$79="")*(O$3:O$79="")*(N$3:N$79="")*(M$3:M$79="P")*(G$3:G$79=G69)*(J$3:J$79&lt;J69)*(H$3:H$79&lt;&gt;H69)),-1*SUMPRODUCT((P$3:P$79="")*(O$3:O$79="")*(N$3:N$79="")*(M$3:M$79="P")*(G$3:G$79=G69)*(J$3:J$79&gt;J69)*(H$3:H$79="L5")))+1,""))))</f>
        <v/>
      </c>
      <c r="C69" s="36" t="s">
        <v>323</v>
      </c>
      <c r="D69" s="36" t="str">
        <f>IF(E69="","",VLOOKUP(E69,'Coaching Points'!A:B,2,0))</f>
        <v>AB</v>
      </c>
      <c r="E69" s="36" t="s">
        <v>29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3.0199999999999999E-6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Scores'!I$13),AND(G69="15-16",U69&gt;='Qualifying Scores'!I$12),AND(G69="13-14",U69&gt;='Qualifying Scores'!I$11),AND(G69="11-12",U69&gt;='Qualifying Scores'!I$10)),T69,0),IF(OR(AND(G69="17-21",W69&gt;='Qualifying Scores'!I$13),AND(G69="15-16",W69&gt;='Qualifying Scores'!I$12),AND(G69="13-14",W69&gt;='Qualifying Scores'!I$11),AND(G69="11-12",W69&gt;='Qualifying Scores'!I$10)),V69,0),IF(OR(AND(G69="17-21",Y69&gt;='Qualifying Scores'!I$13),AND(G69="15-16",Y69&gt;='Qualifying Scores'!I$12),AND(G69="13-14",Y69&gt;='Qualifying Scores'!I$11),AND(G69="11-12",Y69&gt;='Qualifying Scores'!I$10)),X69,0),IF(OR(AND(G69="17-21",AA69&gt;='Qualifying Scores'!I$13),AND(G69="15-16",AA69&gt;='Qualifying Scores'!I$12),AND(G69="13-14",AA69&gt;='Qualifying Scores'!I$11),AND(G69="11-12",AA69&gt;='Qualifying Scores'!I$10)),Z69,0)))</f>
        <v>0</v>
      </c>
      <c r="S69" s="4">
        <f>MAX(T69,V69,X69,Z69)</f>
        <v>37.1</v>
      </c>
      <c r="T69" s="33">
        <v>37.1</v>
      </c>
      <c r="U69" s="40">
        <v>4.6999999999999993</v>
      </c>
      <c r="V69" s="34">
        <v>34.28</v>
      </c>
      <c r="W69" s="40">
        <v>3.5999999999999996</v>
      </c>
      <c r="X69" s="33">
        <v>30.2</v>
      </c>
      <c r="Y69" s="40">
        <v>2.9</v>
      </c>
      <c r="Z69" s="34"/>
      <c r="AA69" s="37"/>
    </row>
    <row r="70" spans="1:27" x14ac:dyDescent="0.2">
      <c r="A70" s="1" cm="1">
        <f t="array" ref="A70">IF(I70="","",IF(P70&lt;&gt;"",SUMPRODUCT((P$3:P$79&lt;&gt;"")*(G$3:G$79=G70)*(J$3:J$79&gt;J70)*(I$3:I$79="P"))+1,IF(O70&lt;&gt;"",SUMPRODUCT((O$3:O$79&lt;&gt;"")*(P$3:P$79="")*(G$3:G$79=G70)*(J$3:J$79&gt;J70)*(I$3:I$79="P"))+SUMPRODUCT((P$3:P$79&lt;&gt;"")*(G$3:G$79=G70)*(I$3:I$79="P"))+1,IF(N70&lt;&gt;"",SUMPRODUCT((N$3:N$79&lt;&gt;"")*(G$3:G$79=G70)*(J$3:J$79&gt;J70)*(I$3:I$79="P"))+1,IF(M70="P",SUMPRODUCT((O$3:O$79&lt;&gt;"")*(P$3:P$79="")*(G$3:G$79=G70)*(I$3:I$79="P"))+SUMPRODUCT((P$3:P$79&lt;&gt;"")*(G$3:G$79=G70)*(I$3:I$79="P"))+SUMPRODUCT((N$3:N$79&lt;&gt;"")*(G$3:G$79=G70)*(I$3:I$79="P"))+SUMPRODUCT((P$3:P$79="")*(O$3:O$79="")*(N$3:N$79="")*(M$3:M$79="P")*(G$3:G$79=G70)*(J$3:J$79&gt;J70)*(I$3:I$79="P"))+IF(H70="L5",SUMPRODUCT((P$3:P$79="")*(O$3:O$79="")*(N$3:N$79="")*(M$3:M$79="P")*(G$3:G$79=G70)*(J$3:J$79&lt;J70)*(H$3:H$79&lt;&gt;H70)*(I$3:I$79="P")),-1*SUMPRODUCT((P$3:P$79="")*(O$3:O$79="")*(N$3:N$79="")*(M$3:M$79="P")*(G$3:G$79=G70)*(J$3:J$79&gt;J70)*(H$3:H$79="L5")*(I$3:I$79="P")))+1,"")))))</f>
        <v>1</v>
      </c>
      <c r="B70" s="1" cm="1">
        <f t="array" ref="B70">IF(P70&lt;&gt;"",SUMPRODUCT((P$3:P$79&lt;&gt;"")*(G$3:G$79=G70)*(J$3:J$79&gt;J70))+1,IF(O70&lt;&gt;"",SUMPRODUCT((O$3:O$79&lt;&gt;"")*(P$3:P$79="")*(G$3:G$79=G70)*(J$3:J$79&gt;J70))+SUMPRODUCT((P$3:P$79&lt;&gt;"")*(G$3:G$79=G70))+1,IF(N70&lt;&gt;"",SUMPRODUCT((N$3:N$79&lt;&gt;"")*(G$3:G$79=G70)*(J$3:J$79&gt;J70))+1,IF(M70="P",SUMPRODUCT((O$3:O$79&lt;&gt;"")*(P$3:P$79="")*(G$3:G$79=G70))+SUMPRODUCT((P$3:P$79&lt;&gt;"")*(G$3:G$79=G70))+SUMPRODUCT((N$3:N$79&lt;&gt;"")*(G$3:G$79=G70))+SUMPRODUCT((P$3:P$79="")*(O$3:O$79="")*(N$3:N$79="")*(M$3:M$79="P")*(G$3:G$79=G70)*(J$3:J$79&gt;J70))+IF(H70="L5",SUMPRODUCT((P$3:P$79="")*(O$3:O$79="")*(N$3:N$79="")*(M$3:M$79="P")*(G$3:G$79=G70)*(J$3:J$79&lt;J70)*(H$3:H$79&lt;&gt;H70)),-1*SUMPRODUCT((P$3:P$79="")*(O$3:O$79="")*(N$3:N$79="")*(M$3:M$79="P")*(G$3:G$79=G70)*(J$3:J$79&gt;J70)*(H$3:H$79="L5")))+1,""))))</f>
        <v>1</v>
      </c>
      <c r="C70" s="36" t="s">
        <v>277</v>
      </c>
      <c r="D70" s="36" t="str">
        <f>IF(E70="","",VLOOKUP(E70,'Coaching Points'!A:B,2,0))</f>
        <v>BC</v>
      </c>
      <c r="E70" s="36" t="s">
        <v>59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114</v>
      </c>
      <c r="I70" s="45" t="s">
        <v>604</v>
      </c>
      <c r="J70" s="4">
        <f>R70+IF(OR(H70="Junior",H70="Senior"),0.0002,IF(OR(H70="L7",H70="L6"),0.0001,0))+MAX(X70,Z70)*0.0000001</f>
        <v>42.900204209999998</v>
      </c>
      <c r="K70" s="3" t="str">
        <f>IF(G70="Not Age Eligible","",IF(MAX(T70,V70,X70,Z70)&gt;=LOOKUP(G70,'Qualifying Scores'!$A$4:$A$7,'Qualifying Scores'!$I$4:$I$7),"P",""))</f>
        <v>P</v>
      </c>
      <c r="L70" s="3" t="str">
        <f>IF(G70="Not Age Eligible","",IF(MAX(U70,W70,Y70,AA70)&gt;=LOOKUP(G70,'Qualifying Scores'!$A$10:$A$13,'Qualifying Scores'!$I$10:$I$13),"P",""))</f>
        <v>P</v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>P</v>
      </c>
      <c r="N70" s="39">
        <v>1</v>
      </c>
      <c r="Q70" s="49">
        <f>IF(A70&lt;5,IF(_xlfn.MAXIFS(A:A,G:G,G70)&gt;3,5-A70,_xlfn.MAXIFS(A:A,G:G,G70)+1-A70),"")</f>
        <v>1</v>
      </c>
      <c r="R70" s="4">
        <f>IF(G70="Not Age Eligible",0,MAX(IF(OR(AND(G70="17-21",U70&gt;='Qualifying Scores'!I$13),AND(G70="15-16",U70&gt;='Qualifying Scores'!I$12),AND(G70="13-14",U70&gt;='Qualifying Scores'!I$11),AND(G70="11-12",U70&gt;='Qualifying Scores'!I$10)),T70,0),IF(OR(AND(G70="17-21",W70&gt;='Qualifying Scores'!I$13),AND(G70="15-16",W70&gt;='Qualifying Scores'!I$12),AND(G70="13-14",W70&gt;='Qualifying Scores'!I$11),AND(G70="11-12",W70&gt;='Qualifying Scores'!I$10)),V70,0),IF(OR(AND(G70="17-21",Y70&gt;='Qualifying Scores'!I$13),AND(G70="15-16",Y70&gt;='Qualifying Scores'!I$12),AND(G70="13-14",Y70&gt;='Qualifying Scores'!I$11),AND(G70="11-12",Y70&gt;='Qualifying Scores'!I$10)),X70,0),IF(OR(AND(G70="17-21",AA70&gt;='Qualifying Scores'!I$13),AND(G70="15-16",AA70&gt;='Qualifying Scores'!I$12),AND(G70="13-14",AA70&gt;='Qualifying Scores'!I$11),AND(G70="11-12",AA70&gt;='Qualifying Scores'!I$10)),Z70,0)))</f>
        <v>42.9</v>
      </c>
      <c r="S70" s="4">
        <f>MAX(T70,V70,X70,Z70)</f>
        <v>42.9</v>
      </c>
      <c r="T70" s="33">
        <v>42.9</v>
      </c>
      <c r="U70" s="40">
        <v>8</v>
      </c>
      <c r="V70" s="34">
        <v>42</v>
      </c>
      <c r="W70" s="40">
        <v>8</v>
      </c>
      <c r="X70" s="33">
        <v>41.79999999999999</v>
      </c>
      <c r="Y70" s="40">
        <v>8</v>
      </c>
      <c r="Z70" s="34">
        <v>42.099999999999994</v>
      </c>
      <c r="AA70" s="37">
        <v>7.8</v>
      </c>
    </row>
    <row r="71" spans="1:27" x14ac:dyDescent="0.2">
      <c r="A71" s="1" t="str" cm="1">
        <f t="array" ref="A71">IF(I71="","",IF(P71&lt;&gt;"",SUMPRODUCT((P$3:P$79&lt;&gt;"")*(G$3:G$79=G71)*(J$3:J$79&gt;J71)*(I$3:I$79="P"))+1,IF(O71&lt;&gt;"",SUMPRODUCT((O$3:O$79&lt;&gt;"")*(P$3:P$79="")*(G$3:G$79=G71)*(J$3:J$79&gt;J71)*(I$3:I$79="P"))+SUMPRODUCT((P$3:P$79&lt;&gt;"")*(G$3:G$79=G71)*(I$3:I$79="P"))+1,IF(N71&lt;&gt;"",SUMPRODUCT((N$3:N$79&lt;&gt;"")*(G$3:G$79=G71)*(J$3:J$79&gt;J71)*(I$3:I$79="P"))+1,IF(M71="P",SUMPRODUCT((O$3:O$79&lt;&gt;"")*(P$3:P$79="")*(G$3:G$79=G71)*(I$3:I$79="P"))+SUMPRODUCT((P$3:P$79&lt;&gt;"")*(G$3:G$79=G71)*(I$3:I$79="P"))+SUMPRODUCT((N$3:N$79&lt;&gt;"")*(G$3:G$79=G71)*(I$3:I$79="P"))+SUMPRODUCT((P$3:P$79="")*(O$3:O$79="")*(N$3:N$79="")*(M$3:M$79="P")*(G$3:G$79=G71)*(J$3:J$79&gt;J71)*(I$3:I$79="P"))+IF(H71="L5",SUMPRODUCT((P$3:P$79="")*(O$3:O$79="")*(N$3:N$79="")*(M$3:M$79="P")*(G$3:G$79=G71)*(J$3:J$79&lt;J71)*(H$3:H$79&lt;&gt;H71)*(I$3:I$79="P")),-1*SUMPRODUCT((P$3:P$79="")*(O$3:O$79="")*(N$3:N$79="")*(M$3:M$79="P")*(G$3:G$79=G71)*(J$3:J$79&gt;J71)*(H$3:H$79="L5")*(I$3:I$79="P")))+1,"")))))</f>
        <v/>
      </c>
      <c r="B71" s="1" t="str" cm="1">
        <f t="array" ref="B71">IF(P71&lt;&gt;"",SUMPRODUCT((P$3:P$79&lt;&gt;"")*(G$3:G$79=G71)*(J$3:J$79&gt;J71))+1,IF(O71&lt;&gt;"",SUMPRODUCT((O$3:O$79&lt;&gt;"")*(P$3:P$79="")*(G$3:G$79=G71)*(J$3:J$79&gt;J71))+SUMPRODUCT((P$3:P$79&lt;&gt;"")*(G$3:G$79=G71))+1,IF(N71&lt;&gt;"",SUMPRODUCT((N$3:N$79&lt;&gt;"")*(G$3:G$79=G71)*(J$3:J$79&gt;J71))+1,IF(M71="P",SUMPRODUCT((O$3:O$79&lt;&gt;"")*(P$3:P$79="")*(G$3:G$79=G71))+SUMPRODUCT((P$3:P$79&lt;&gt;"")*(G$3:G$79=G71))+SUMPRODUCT((N$3:N$79&lt;&gt;"")*(G$3:G$79=G71))+SUMPRODUCT((P$3:P$79="")*(O$3:O$79="")*(N$3:N$79="")*(M$3:M$79="P")*(G$3:G$79=G71)*(J$3:J$79&gt;J71))+IF(H71="L5",SUMPRODUCT((P$3:P$79="")*(O$3:O$79="")*(N$3:N$79="")*(M$3:M$79="P")*(G$3:G$79=G71)*(J$3:J$79&lt;J71)*(H$3:H$79&lt;&gt;H71)),-1*SUMPRODUCT((P$3:P$79="")*(O$3:O$79="")*(N$3:N$79="")*(M$3:M$79="P")*(G$3:G$79=G71)*(J$3:J$79&gt;J71)*(H$3:H$79="L5")))+1,""))))</f>
        <v/>
      </c>
      <c r="C71" s="36" t="s">
        <v>537</v>
      </c>
      <c r="D71" s="36" t="s">
        <v>354</v>
      </c>
      <c r="E71" s="36" t="s">
        <v>61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3.8700000000000002E-6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Scores'!I$13),AND(G71="15-16",U71&gt;='Qualifying Scores'!I$12),AND(G71="13-14",U71&gt;='Qualifying Scores'!I$11),AND(G71="11-12",U71&gt;='Qualifying Scores'!I$10)),T71,0),IF(OR(AND(G71="17-21",W71&gt;='Qualifying Scores'!I$13),AND(G71="15-16",W71&gt;='Qualifying Scores'!I$12),AND(G71="13-14",W71&gt;='Qualifying Scores'!I$11),AND(G71="11-12",W71&gt;='Qualifying Scores'!I$10)),V71,0),IF(OR(AND(G71="17-21",Y71&gt;='Qualifying Scores'!I$13),AND(G71="15-16",Y71&gt;='Qualifying Scores'!I$12),AND(G71="13-14",Y71&gt;='Qualifying Scores'!I$11),AND(G71="11-12",Y71&gt;='Qualifying Scores'!I$10)),X71,0),IF(OR(AND(G71="17-21",AA71&gt;='Qualifying Scores'!I$13),AND(G71="15-16",AA71&gt;='Qualifying Scores'!I$12),AND(G71="13-14",AA71&gt;='Qualifying Scores'!I$11),AND(G71="11-12",AA71&gt;='Qualifying Scores'!I$10)),Z71,0)))</f>
        <v>0</v>
      </c>
      <c r="S71" s="4">
        <f>MAX(T71,V71,X71,Z71)</f>
        <v>38.700000000000003</v>
      </c>
      <c r="T71" s="33"/>
      <c r="U71" s="40"/>
      <c r="V71" s="34"/>
      <c r="W71" s="40"/>
      <c r="X71" s="33">
        <v>33.5</v>
      </c>
      <c r="Y71" s="40">
        <v>4.5999999999999996</v>
      </c>
      <c r="Z71" s="34">
        <v>38.700000000000003</v>
      </c>
      <c r="AA71" s="37">
        <v>6.2</v>
      </c>
    </row>
    <row r="72" spans="1:27" x14ac:dyDescent="0.2">
      <c r="A72" s="1" t="str" cm="1">
        <f t="array" ref="A72">IF(I72="","",IF(P72&lt;&gt;"",SUMPRODUCT((P$3:P$79&lt;&gt;"")*(G$3:G$79=G72)*(J$3:J$79&gt;J72)*(I$3:I$79="P"))+1,IF(O72&lt;&gt;"",SUMPRODUCT((O$3:O$79&lt;&gt;"")*(P$3:P$79="")*(G$3:G$79=G72)*(J$3:J$79&gt;J72)*(I$3:I$79="P"))+SUMPRODUCT((P$3:P$79&lt;&gt;"")*(G$3:G$79=G72)*(I$3:I$79="P"))+1,IF(N72&lt;&gt;"",SUMPRODUCT((N$3:N$79&lt;&gt;"")*(G$3:G$79=G72)*(J$3:J$79&gt;J72)*(I$3:I$79="P"))+1,IF(M72="P",SUMPRODUCT((O$3:O$79&lt;&gt;"")*(P$3:P$79="")*(G$3:G$79=G72)*(I$3:I$79="P"))+SUMPRODUCT((P$3:P$79&lt;&gt;"")*(G$3:G$79=G72)*(I$3:I$79="P"))+SUMPRODUCT((N$3:N$79&lt;&gt;"")*(G$3:G$79=G72)*(I$3:I$79="P"))+SUMPRODUCT((P$3:P$79="")*(O$3:O$79="")*(N$3:N$79="")*(M$3:M$79="P")*(G$3:G$79=G72)*(J$3:J$79&gt;J72)*(I$3:I$79="P"))+IF(H72="L5",SUMPRODUCT((P$3:P$79="")*(O$3:O$79="")*(N$3:N$79="")*(M$3:M$79="P")*(G$3:G$79=G72)*(J$3:J$79&lt;J72)*(H$3:H$79&lt;&gt;H72)*(I$3:I$79="P")),-1*SUMPRODUCT((P$3:P$79="")*(O$3:O$79="")*(N$3:N$79="")*(M$3:M$79="P")*(G$3:G$79=G72)*(J$3:J$79&gt;J72)*(H$3:H$79="L5")*(I$3:I$79="P")))+1,"")))))</f>
        <v/>
      </c>
      <c r="B72" s="1" t="str" cm="1">
        <f t="array" ref="B72">IF(P72&lt;&gt;"",SUMPRODUCT((P$3:P$79&lt;&gt;"")*(G$3:G$79=G72)*(J$3:J$79&gt;J72))+1,IF(O72&lt;&gt;"",SUMPRODUCT((O$3:O$79&lt;&gt;"")*(P$3:P$79="")*(G$3:G$79=G72)*(J$3:J$79&gt;J72))+SUMPRODUCT((P$3:P$79&lt;&gt;"")*(G$3:G$79=G72))+1,IF(N72&lt;&gt;"",SUMPRODUCT((N$3:N$79&lt;&gt;"")*(G$3:G$79=G72)*(J$3:J$79&gt;J72))+1,IF(M72="P",SUMPRODUCT((O$3:O$79&lt;&gt;"")*(P$3:P$79="")*(G$3:G$79=G72))+SUMPRODUCT((P$3:P$79&lt;&gt;"")*(G$3:G$79=G72))+SUMPRODUCT((N$3:N$79&lt;&gt;"")*(G$3:G$79=G72))+SUMPRODUCT((P$3:P$79="")*(O$3:O$79="")*(N$3:N$79="")*(M$3:M$79="P")*(G$3:G$79=G72)*(J$3:J$79&gt;J72))+IF(H72="L5",SUMPRODUCT((P$3:P$79="")*(O$3:O$79="")*(N$3:N$79="")*(M$3:M$79="P")*(G$3:G$79=G72)*(J$3:J$79&lt;J72)*(H$3:H$79&lt;&gt;H72)),-1*SUMPRODUCT((P$3:P$79="")*(O$3:O$79="")*(N$3:N$79="")*(M$3:M$79="P")*(G$3:G$79=G72)*(J$3:J$79&gt;J72)*(H$3:H$79="L5")))+1,""))))</f>
        <v/>
      </c>
      <c r="C72" s="36" t="s">
        <v>534</v>
      </c>
      <c r="D72" s="36" t="s">
        <v>352</v>
      </c>
      <c r="E72" s="36" t="s">
        <v>576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/>
      <c r="J72" s="4">
        <f>R72+IF(OR(H72="Junior",H72="Senior"),0.0002,IF(OR(H72="L7",H72="L6"),0.0001,0))+MAX(X72,Z72)*0.0000001</f>
        <v>3.7499999999999997E-6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Scores'!I$13),AND(G72="15-16",U72&gt;='Qualifying Scores'!I$12),AND(G72="13-14",U72&gt;='Qualifying Scores'!I$11),AND(G72="11-12",U72&gt;='Qualifying Scores'!I$10)),T72,0),IF(OR(AND(G72="17-21",W72&gt;='Qualifying Scores'!I$13),AND(G72="15-16",W72&gt;='Qualifying Scores'!I$12),AND(G72="13-14",W72&gt;='Qualifying Scores'!I$11),AND(G72="11-12",W72&gt;='Qualifying Scores'!I$10)),V72,0),IF(OR(AND(G72="17-21",Y72&gt;='Qualifying Scores'!I$13),AND(G72="15-16",Y72&gt;='Qualifying Scores'!I$12),AND(G72="13-14",Y72&gt;='Qualifying Scores'!I$11),AND(G72="11-12",Y72&gt;='Qualifying Scores'!I$10)),X72,0),IF(OR(AND(G72="17-21",AA72&gt;='Qualifying Scores'!I$13),AND(G72="15-16",AA72&gt;='Qualifying Scores'!I$12),AND(G72="13-14",AA72&gt;='Qualifying Scores'!I$11),AND(G72="11-12",AA72&gt;='Qualifying Scores'!I$10)),Z72,0)))</f>
        <v>0</v>
      </c>
      <c r="S72" s="4">
        <f>MAX(T72,V72,X72,Z72)</f>
        <v>37.5</v>
      </c>
      <c r="T72" s="33"/>
      <c r="U72" s="40"/>
      <c r="V72" s="34"/>
      <c r="W72" s="40"/>
      <c r="X72" s="33">
        <v>37.200000000000003</v>
      </c>
      <c r="Y72" s="40">
        <v>5.5</v>
      </c>
      <c r="Z72" s="34">
        <v>37.5</v>
      </c>
      <c r="AA72" s="37">
        <v>5.5</v>
      </c>
    </row>
    <row r="73" spans="1:27" x14ac:dyDescent="0.2">
      <c r="A73" s="1" t="str" cm="1">
        <f t="array" ref="A73">IF(I73="","",IF(P73&lt;&gt;"",SUMPRODUCT((P$3:P$79&lt;&gt;"")*(G$3:G$79=G73)*(J$3:J$79&gt;J73)*(I$3:I$79="P"))+1,IF(O73&lt;&gt;"",SUMPRODUCT((O$3:O$79&lt;&gt;"")*(P$3:P$79="")*(G$3:G$79=G73)*(J$3:J$79&gt;J73)*(I$3:I$79="P"))+SUMPRODUCT((P$3:P$79&lt;&gt;"")*(G$3:G$79=G73)*(I$3:I$79="P"))+1,IF(N73&lt;&gt;"",SUMPRODUCT((N$3:N$79&lt;&gt;"")*(G$3:G$79=G73)*(J$3:J$79&gt;J73)*(I$3:I$79="P"))+1,IF(M73="P",SUMPRODUCT((O$3:O$79&lt;&gt;"")*(P$3:P$79="")*(G$3:G$79=G73)*(I$3:I$79="P"))+SUMPRODUCT((P$3:P$79&lt;&gt;"")*(G$3:G$79=G73)*(I$3:I$79="P"))+SUMPRODUCT((N$3:N$79&lt;&gt;"")*(G$3:G$79=G73)*(I$3:I$79="P"))+SUMPRODUCT((P$3:P$79="")*(O$3:O$79="")*(N$3:N$79="")*(M$3:M$79="P")*(G$3:G$79=G73)*(J$3:J$79&gt;J73)*(I$3:I$79="P"))+IF(H73="L5",SUMPRODUCT((P$3:P$79="")*(O$3:O$79="")*(N$3:N$79="")*(M$3:M$79="P")*(G$3:G$79=G73)*(J$3:J$79&lt;J73)*(H$3:H$79&lt;&gt;H73)*(I$3:I$79="P")),-1*SUMPRODUCT((P$3:P$79="")*(O$3:O$79="")*(N$3:N$79="")*(M$3:M$79="P")*(G$3:G$79=G73)*(J$3:J$79&gt;J73)*(H$3:H$79="L5")*(I$3:I$79="P")))+1,"")))))</f>
        <v/>
      </c>
      <c r="B73" s="1" t="str" cm="1">
        <f t="array" ref="B73">IF(P73&lt;&gt;"",SUMPRODUCT((P$3:P$79&lt;&gt;"")*(G$3:G$79=G73)*(J$3:J$79&gt;J73))+1,IF(O73&lt;&gt;"",SUMPRODUCT((O$3:O$79&lt;&gt;"")*(P$3:P$79="")*(G$3:G$79=G73)*(J$3:J$79&gt;J73))+SUMPRODUCT((P$3:P$79&lt;&gt;"")*(G$3:G$79=G73))+1,IF(N73&lt;&gt;"",SUMPRODUCT((N$3:N$79&lt;&gt;"")*(G$3:G$79=G73)*(J$3:J$79&gt;J73))+1,IF(M73="P",SUMPRODUCT((O$3:O$79&lt;&gt;"")*(P$3:P$79="")*(G$3:G$79=G73))+SUMPRODUCT((P$3:P$79&lt;&gt;"")*(G$3:G$79=G73))+SUMPRODUCT((N$3:N$79&lt;&gt;"")*(G$3:G$79=G73))+SUMPRODUCT((P$3:P$79="")*(O$3:O$79="")*(N$3:N$79="")*(M$3:M$79="P")*(G$3:G$79=G73)*(J$3:J$79&gt;J73))+IF(H73="L5",SUMPRODUCT((P$3:P$79="")*(O$3:O$79="")*(N$3:N$79="")*(M$3:M$79="P")*(G$3:G$79=G73)*(J$3:J$79&lt;J73)*(H$3:H$79&lt;&gt;H73)),-1*SUMPRODUCT((P$3:P$79="")*(O$3:O$79="")*(N$3:N$79="")*(M$3:M$79="P")*(G$3:G$79=G73)*(J$3:J$79&gt;J73)*(H$3:H$79="L5")))+1,""))))</f>
        <v/>
      </c>
      <c r="C73" s="36" t="s">
        <v>232</v>
      </c>
      <c r="D73" s="36" t="s">
        <v>356</v>
      </c>
      <c r="E73" s="36" t="s">
        <v>91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3.7399999999999998E-6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Scores'!I$13),AND(G73="15-16",U73&gt;='Qualifying Scores'!I$12),AND(G73="13-14",U73&gt;='Qualifying Scores'!I$11),AND(G73="11-12",U73&gt;='Qualifying Scores'!I$10)),T73,0),IF(OR(AND(G73="17-21",W73&gt;='Qualifying Scores'!I$13),AND(G73="15-16",W73&gt;='Qualifying Scores'!I$12),AND(G73="13-14",W73&gt;='Qualifying Scores'!I$11),AND(G73="11-12",W73&gt;='Qualifying Scores'!I$10)),V73,0),IF(OR(AND(G73="17-21",Y73&gt;='Qualifying Scores'!I$13),AND(G73="15-16",Y73&gt;='Qualifying Scores'!I$12),AND(G73="13-14",Y73&gt;='Qualifying Scores'!I$11),AND(G73="11-12",Y73&gt;='Qualifying Scores'!I$10)),X73,0),IF(OR(AND(G73="17-21",AA73&gt;='Qualifying Scores'!I$13),AND(G73="15-16",AA73&gt;='Qualifying Scores'!I$12),AND(G73="13-14",AA73&gt;='Qualifying Scores'!I$11),AND(G73="11-12",AA73&gt;='Qualifying Scores'!I$10)),Z73,0)))</f>
        <v>0</v>
      </c>
      <c r="S73" s="4">
        <f>MAX(T73,V73,X73,Z73)</f>
        <v>37.4</v>
      </c>
      <c r="T73" s="33"/>
      <c r="U73" s="40"/>
      <c r="V73" s="34"/>
      <c r="W73" s="40"/>
      <c r="X73" s="33">
        <v>37.4</v>
      </c>
      <c r="Y73" s="40">
        <v>4.4000000000000004</v>
      </c>
      <c r="Z73" s="34">
        <v>36.200000000000003</v>
      </c>
      <c r="AA73" s="37">
        <v>4.4000000000000004</v>
      </c>
    </row>
    <row r="74" spans="1:27" x14ac:dyDescent="0.2">
      <c r="A74" s="1" t="str" cm="1">
        <f t="array" ref="A74">IF(I74="","",IF(P74&lt;&gt;"",SUMPRODUCT((P$3:P$79&lt;&gt;"")*(G$3:G$79=G74)*(J$3:J$79&gt;J74)*(I$3:I$79="P"))+1,IF(O74&lt;&gt;"",SUMPRODUCT((O$3:O$79&lt;&gt;"")*(P$3:P$79="")*(G$3:G$79=G74)*(J$3:J$79&gt;J74)*(I$3:I$79="P"))+SUMPRODUCT((P$3:P$79&lt;&gt;"")*(G$3:G$79=G74)*(I$3:I$79="P"))+1,IF(N74&lt;&gt;"",SUMPRODUCT((N$3:N$79&lt;&gt;"")*(G$3:G$79=G74)*(J$3:J$79&gt;J74)*(I$3:I$79="P"))+1,IF(M74="P",SUMPRODUCT((O$3:O$79&lt;&gt;"")*(P$3:P$79="")*(G$3:G$79=G74)*(I$3:I$79="P"))+SUMPRODUCT((P$3:P$79&lt;&gt;"")*(G$3:G$79=G74)*(I$3:I$79="P"))+SUMPRODUCT((N$3:N$79&lt;&gt;"")*(G$3:G$79=G74)*(I$3:I$79="P"))+SUMPRODUCT((P$3:P$79="")*(O$3:O$79="")*(N$3:N$79="")*(M$3:M$79="P")*(G$3:G$79=G74)*(J$3:J$79&gt;J74)*(I$3:I$79="P"))+IF(H74="L5",SUMPRODUCT((P$3:P$79="")*(O$3:O$79="")*(N$3:N$79="")*(M$3:M$79="P")*(G$3:G$79=G74)*(J$3:J$79&lt;J74)*(H$3:H$79&lt;&gt;H74)*(I$3:I$79="P")),-1*SUMPRODUCT((P$3:P$79="")*(O$3:O$79="")*(N$3:N$79="")*(M$3:M$79="P")*(G$3:G$79=G74)*(J$3:J$79&gt;J74)*(H$3:H$79="L5")*(I$3:I$79="P")))+1,"")))))</f>
        <v/>
      </c>
      <c r="B74" s="1" t="str" cm="1">
        <f t="array" ref="B74">IF(P74&lt;&gt;"",SUMPRODUCT((P$3:P$79&lt;&gt;"")*(G$3:G$79=G74)*(J$3:J$79&gt;J74))+1,IF(O74&lt;&gt;"",SUMPRODUCT((O$3:O$79&lt;&gt;"")*(P$3:P$79="")*(G$3:G$79=G74)*(J$3:J$79&gt;J74))+SUMPRODUCT((P$3:P$79&lt;&gt;"")*(G$3:G$79=G74))+1,IF(N74&lt;&gt;"",SUMPRODUCT((N$3:N$79&lt;&gt;"")*(G$3:G$79=G74)*(J$3:J$79&gt;J74))+1,IF(M74="P",SUMPRODUCT((O$3:O$79&lt;&gt;"")*(P$3:P$79="")*(G$3:G$79=G74))+SUMPRODUCT((P$3:P$79&lt;&gt;"")*(G$3:G$79=G74))+SUMPRODUCT((N$3:N$79&lt;&gt;"")*(G$3:G$79=G74))+SUMPRODUCT((P$3:P$79="")*(O$3:O$79="")*(N$3:N$79="")*(M$3:M$79="P")*(G$3:G$79=G74)*(J$3:J$79&gt;J74))+IF(H74="L5",SUMPRODUCT((P$3:P$79="")*(O$3:O$79="")*(N$3:N$79="")*(M$3:M$79="P")*(G$3:G$79=G74)*(J$3:J$79&lt;J74)*(H$3:H$79&lt;&gt;H74)),-1*SUMPRODUCT((P$3:P$79="")*(O$3:O$79="")*(N$3:N$79="")*(M$3:M$79="P")*(G$3:G$79=G74)*(J$3:J$79&gt;J74)*(H$3:H$79="L5")))+1,""))))</f>
        <v/>
      </c>
      <c r="C74" s="36" t="s">
        <v>319</v>
      </c>
      <c r="D74" s="36" t="str">
        <f>IF(E74="","",VLOOKUP(E74,'Coaching Points'!A:B,2,0))</f>
        <v>AB</v>
      </c>
      <c r="E74" s="36" t="s">
        <v>89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3.7299999999999994E-6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Scores'!I$13),AND(G74="15-16",U74&gt;='Qualifying Scores'!I$12),AND(G74="13-14",U74&gt;='Qualifying Scores'!I$11),AND(G74="11-12",U74&gt;='Qualifying Scores'!I$10)),T74,0),IF(OR(AND(G74="17-21",W74&gt;='Qualifying Scores'!I$13),AND(G74="15-16",W74&gt;='Qualifying Scores'!I$12),AND(G74="13-14",W74&gt;='Qualifying Scores'!I$11),AND(G74="11-12",W74&gt;='Qualifying Scores'!I$10)),V74,0),IF(OR(AND(G74="17-21",Y74&gt;='Qualifying Scores'!I$13),AND(G74="15-16",Y74&gt;='Qualifying Scores'!I$12),AND(G74="13-14",Y74&gt;='Qualifying Scores'!I$11),AND(G74="11-12",Y74&gt;='Qualifying Scores'!I$10)),X74,0),IF(OR(AND(G74="17-21",AA74&gt;='Qualifying Scores'!I$13),AND(G74="15-16",AA74&gt;='Qualifying Scores'!I$12),AND(G74="13-14",AA74&gt;='Qualifying Scores'!I$11),AND(G74="11-12",AA74&gt;='Qualifying Scores'!I$10)),Z74,0)))</f>
        <v>0</v>
      </c>
      <c r="S74" s="4">
        <f>MAX(T74,V74,X74,Z74)</f>
        <v>37.5</v>
      </c>
      <c r="T74" s="33">
        <v>37.5</v>
      </c>
      <c r="U74" s="40">
        <v>5.1999999999999993</v>
      </c>
      <c r="V74" s="34">
        <v>37.5</v>
      </c>
      <c r="W74" s="40">
        <v>5.1999999999999993</v>
      </c>
      <c r="X74" s="33">
        <v>34.4</v>
      </c>
      <c r="Y74" s="40">
        <v>3.2</v>
      </c>
      <c r="Z74" s="34">
        <v>37.299999999999997</v>
      </c>
      <c r="AA74" s="37">
        <v>6.3</v>
      </c>
    </row>
    <row r="75" spans="1:27" x14ac:dyDescent="0.2">
      <c r="A75" s="1" t="str" cm="1">
        <f t="array" ref="A75">IF(I75="","",IF(P75&lt;&gt;"",SUMPRODUCT((P$3:P$79&lt;&gt;"")*(G$3:G$79=G75)*(J$3:J$79&gt;J75)*(I$3:I$79="P"))+1,IF(O75&lt;&gt;"",SUMPRODUCT((O$3:O$79&lt;&gt;"")*(P$3:P$79="")*(G$3:G$79=G75)*(J$3:J$79&gt;J75)*(I$3:I$79="P"))+SUMPRODUCT((P$3:P$79&lt;&gt;"")*(G$3:G$79=G75)*(I$3:I$79="P"))+1,IF(N75&lt;&gt;"",SUMPRODUCT((N$3:N$79&lt;&gt;"")*(G$3:G$79=G75)*(J$3:J$79&gt;J75)*(I$3:I$79="P"))+1,IF(M75="P",SUMPRODUCT((O$3:O$79&lt;&gt;"")*(P$3:P$79="")*(G$3:G$79=G75)*(I$3:I$79="P"))+SUMPRODUCT((P$3:P$79&lt;&gt;"")*(G$3:G$79=G75)*(I$3:I$79="P"))+SUMPRODUCT((N$3:N$79&lt;&gt;"")*(G$3:G$79=G75)*(I$3:I$79="P"))+SUMPRODUCT((P$3:P$79="")*(O$3:O$79="")*(N$3:N$79="")*(M$3:M$79="P")*(G$3:G$79=G75)*(J$3:J$79&gt;J75)*(I$3:I$79="P"))+IF(H75="L5",SUMPRODUCT((P$3:P$79="")*(O$3:O$79="")*(N$3:N$79="")*(M$3:M$79="P")*(G$3:G$79=G75)*(J$3:J$79&lt;J75)*(H$3:H$79&lt;&gt;H75)*(I$3:I$79="P")),-1*SUMPRODUCT((P$3:P$79="")*(O$3:O$79="")*(N$3:N$79="")*(M$3:M$79="P")*(G$3:G$79=G75)*(J$3:J$79&gt;J75)*(H$3:H$79="L5")*(I$3:I$79="P")))+1,"")))))</f>
        <v/>
      </c>
      <c r="B75" s="1" t="str" cm="1">
        <f t="array" ref="B75">IF(P75&lt;&gt;"",SUMPRODUCT((P$3:P$79&lt;&gt;"")*(G$3:G$79=G75)*(J$3:J$79&gt;J75))+1,IF(O75&lt;&gt;"",SUMPRODUCT((O$3:O$79&lt;&gt;"")*(P$3:P$79="")*(G$3:G$79=G75)*(J$3:J$79&gt;J75))+SUMPRODUCT((P$3:P$79&lt;&gt;"")*(G$3:G$79=G75))+1,IF(N75&lt;&gt;"",SUMPRODUCT((N$3:N$79&lt;&gt;"")*(G$3:G$79=G75)*(J$3:J$79&gt;J75))+1,IF(M75="P",SUMPRODUCT((O$3:O$79&lt;&gt;"")*(P$3:P$79="")*(G$3:G$79=G75))+SUMPRODUCT((P$3:P$79&lt;&gt;"")*(G$3:G$79=G75))+SUMPRODUCT((N$3:N$79&lt;&gt;"")*(G$3:G$79=G75))+SUMPRODUCT((P$3:P$79="")*(O$3:O$79="")*(N$3:N$79="")*(M$3:M$79="P")*(G$3:G$79=G75)*(J$3:J$79&gt;J75))+IF(H75="L5",SUMPRODUCT((P$3:P$79="")*(O$3:O$79="")*(N$3:N$79="")*(M$3:M$79="P")*(G$3:G$79=G75)*(J$3:J$79&lt;J75)*(H$3:H$79&lt;&gt;H75)),-1*SUMPRODUCT((P$3:P$79="")*(O$3:O$79="")*(N$3:N$79="")*(M$3:M$79="P")*(G$3:G$79=G75)*(J$3:J$79&gt;J75)*(H$3:H$79="L5")))+1,""))))</f>
        <v/>
      </c>
      <c r="C75" s="36" t="s">
        <v>372</v>
      </c>
      <c r="D75" s="36" t="str">
        <f>IF(E75="","",VLOOKUP(E75,'Coaching Points'!A:B,2,0))</f>
        <v>ON</v>
      </c>
      <c r="E75" s="36" t="s">
        <v>320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3.6799999999999995E-6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Scores'!I$13),AND(G75="15-16",U75&gt;='Qualifying Scores'!I$12),AND(G75="13-14",U75&gt;='Qualifying Scores'!I$11),AND(G75="11-12",U75&gt;='Qualifying Scores'!I$10)),T75,0),IF(OR(AND(G75="17-21",W75&gt;='Qualifying Scores'!I$13),AND(G75="15-16",W75&gt;='Qualifying Scores'!I$12),AND(G75="13-14",W75&gt;='Qualifying Scores'!I$11),AND(G75="11-12",W75&gt;='Qualifying Scores'!I$10)),V75,0),IF(OR(AND(G75="17-21",Y75&gt;='Qualifying Scores'!I$13),AND(G75="15-16",Y75&gt;='Qualifying Scores'!I$12),AND(G75="13-14",Y75&gt;='Qualifying Scores'!I$11),AND(G75="11-12",Y75&gt;='Qualifying Scores'!I$10)),X75,0),IF(OR(AND(G75="17-21",AA75&gt;='Qualifying Scores'!I$13),AND(G75="15-16",AA75&gt;='Qualifying Scores'!I$12),AND(G75="13-14",AA75&gt;='Qualifying Scores'!I$11),AND(G75="11-12",AA75&gt;='Qualifying Scores'!I$10)),Z75,0)))</f>
        <v>0</v>
      </c>
      <c r="S75" s="4">
        <f>MAX(T75,V75,X75,Z75)</f>
        <v>37.6</v>
      </c>
      <c r="T75" s="33">
        <v>37.6</v>
      </c>
      <c r="U75" s="40">
        <v>4.5999999999999996</v>
      </c>
      <c r="V75" s="34">
        <v>37</v>
      </c>
      <c r="W75" s="40">
        <v>4.5999999999999996</v>
      </c>
      <c r="X75" s="33">
        <v>36.799999999999997</v>
      </c>
      <c r="Y75" s="40">
        <v>4.5999999999999996</v>
      </c>
      <c r="Z75" s="34">
        <v>14.8</v>
      </c>
      <c r="AA75" s="37">
        <v>1.1000000000000001</v>
      </c>
    </row>
    <row r="76" spans="1:27" x14ac:dyDescent="0.2">
      <c r="A76" s="1" t="str" cm="1">
        <f t="array" ref="A76">IF(I76="","",IF(P76&lt;&gt;"",SUMPRODUCT((P$3:P$79&lt;&gt;"")*(G$3:G$79=G76)*(J$3:J$79&gt;J76)*(I$3:I$79="P"))+1,IF(O76&lt;&gt;"",SUMPRODUCT((O$3:O$79&lt;&gt;"")*(P$3:P$79="")*(G$3:G$79=G76)*(J$3:J$79&gt;J76)*(I$3:I$79="P"))+SUMPRODUCT((P$3:P$79&lt;&gt;"")*(G$3:G$79=G76)*(I$3:I$79="P"))+1,IF(N76&lt;&gt;"",SUMPRODUCT((N$3:N$79&lt;&gt;"")*(G$3:G$79=G76)*(J$3:J$79&gt;J76)*(I$3:I$79="P"))+1,IF(M76="P",SUMPRODUCT((O$3:O$79&lt;&gt;"")*(P$3:P$79="")*(G$3:G$79=G76)*(I$3:I$79="P"))+SUMPRODUCT((P$3:P$79&lt;&gt;"")*(G$3:G$79=G76)*(I$3:I$79="P"))+SUMPRODUCT((N$3:N$79&lt;&gt;"")*(G$3:G$79=G76)*(I$3:I$79="P"))+SUMPRODUCT((P$3:P$79="")*(O$3:O$79="")*(N$3:N$79="")*(M$3:M$79="P")*(G$3:G$79=G76)*(J$3:J$79&gt;J76)*(I$3:I$79="P"))+IF(H76="L5",SUMPRODUCT((P$3:P$79="")*(O$3:O$79="")*(N$3:N$79="")*(M$3:M$79="P")*(G$3:G$79=G76)*(J$3:J$79&lt;J76)*(H$3:H$79&lt;&gt;H76)*(I$3:I$79="P")),-1*SUMPRODUCT((P$3:P$79="")*(O$3:O$79="")*(N$3:N$79="")*(M$3:M$79="P")*(G$3:G$79=G76)*(J$3:J$79&gt;J76)*(H$3:H$79="L5")*(I$3:I$79="P")))+1,"")))))</f>
        <v/>
      </c>
      <c r="B76" s="1" t="str" cm="1">
        <f t="array" ref="B76">IF(P76&lt;&gt;"",SUMPRODUCT((P$3:P$79&lt;&gt;"")*(G$3:G$79=G76)*(J$3:J$79&gt;J76))+1,IF(O76&lt;&gt;"",SUMPRODUCT((O$3:O$79&lt;&gt;"")*(P$3:P$79="")*(G$3:G$79=G76)*(J$3:J$79&gt;J76))+SUMPRODUCT((P$3:P$79&lt;&gt;"")*(G$3:G$79=G76))+1,IF(N76&lt;&gt;"",SUMPRODUCT((N$3:N$79&lt;&gt;"")*(G$3:G$79=G76)*(J$3:J$79&gt;J76))+1,IF(M76="P",SUMPRODUCT((O$3:O$79&lt;&gt;"")*(P$3:P$79="")*(G$3:G$79=G76))+SUMPRODUCT((P$3:P$79&lt;&gt;"")*(G$3:G$79=G76))+SUMPRODUCT((N$3:N$79&lt;&gt;"")*(G$3:G$79=G76))+SUMPRODUCT((P$3:P$79="")*(O$3:O$79="")*(N$3:N$79="")*(M$3:M$79="P")*(G$3:G$79=G76)*(J$3:J$79&gt;J76))+IF(H76="L5",SUMPRODUCT((P$3:P$79="")*(O$3:O$79="")*(N$3:N$79="")*(M$3:M$79="P")*(G$3:G$79=G76)*(J$3:J$79&lt;J76)*(H$3:H$79&lt;&gt;H76)),-1*SUMPRODUCT((P$3:P$79="")*(O$3:O$79="")*(N$3:N$79="")*(M$3:M$79="P")*(G$3:G$79=G76)*(J$3:J$79&gt;J76)*(H$3:H$79="L5")))+1,""))))</f>
        <v/>
      </c>
      <c r="C76" s="36" t="s">
        <v>536</v>
      </c>
      <c r="D76" s="36" t="s">
        <v>352</v>
      </c>
      <c r="E76" s="36" t="s">
        <v>576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9" t="s">
        <v>115</v>
      </c>
      <c r="I76" s="45"/>
      <c r="J76" s="4">
        <f>R76+IF(OR(H76="Junior",H76="Senior"),0.0002,IF(OR(H76="L7",H76="L6"),0.0001,0))+MAX(X76,Z76)*0.0000001</f>
        <v>3.67E-6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Scores'!I$13),AND(G76="15-16",U76&gt;='Qualifying Scores'!I$12),AND(G76="13-14",U76&gt;='Qualifying Scores'!I$11),AND(G76="11-12",U76&gt;='Qualifying Scores'!I$10)),T76,0),IF(OR(AND(G76="17-21",W76&gt;='Qualifying Scores'!I$13),AND(G76="15-16",W76&gt;='Qualifying Scores'!I$12),AND(G76="13-14",W76&gt;='Qualifying Scores'!I$11),AND(G76="11-12",W76&gt;='Qualifying Scores'!I$10)),V76,0),IF(OR(AND(G76="17-21",Y76&gt;='Qualifying Scores'!I$13),AND(G76="15-16",Y76&gt;='Qualifying Scores'!I$12),AND(G76="13-14",Y76&gt;='Qualifying Scores'!I$11),AND(G76="11-12",Y76&gt;='Qualifying Scores'!I$10)),X76,0),IF(OR(AND(G76="17-21",AA76&gt;='Qualifying Scores'!I$13),AND(G76="15-16",AA76&gt;='Qualifying Scores'!I$12),AND(G76="13-14",AA76&gt;='Qualifying Scores'!I$11),AND(G76="11-12",AA76&gt;='Qualifying Scores'!I$10)),Z76,0)))</f>
        <v>0</v>
      </c>
      <c r="S76" s="4">
        <f>MAX(T76,V76,X76,Z76)</f>
        <v>36.700000000000003</v>
      </c>
      <c r="T76" s="33"/>
      <c r="U76" s="40"/>
      <c r="V76" s="34"/>
      <c r="W76" s="40"/>
      <c r="X76" s="33">
        <v>35.4</v>
      </c>
      <c r="Y76" s="40">
        <v>4.3</v>
      </c>
      <c r="Z76" s="34">
        <v>36.700000000000003</v>
      </c>
      <c r="AA76" s="37">
        <v>4.3</v>
      </c>
    </row>
    <row r="77" spans="1:27" x14ac:dyDescent="0.2">
      <c r="A77" s="1" t="str" cm="1">
        <f t="array" ref="A77">IF(I77="","",IF(P77&lt;&gt;"",SUMPRODUCT((P$3:P$79&lt;&gt;"")*(G$3:G$79=G77)*(J$3:J$79&gt;J77)*(I$3:I$79="P"))+1,IF(O77&lt;&gt;"",SUMPRODUCT((O$3:O$79&lt;&gt;"")*(P$3:P$79="")*(G$3:G$79=G77)*(J$3:J$79&gt;J77)*(I$3:I$79="P"))+SUMPRODUCT((P$3:P$79&lt;&gt;"")*(G$3:G$79=G77)*(I$3:I$79="P"))+1,IF(N77&lt;&gt;"",SUMPRODUCT((N$3:N$79&lt;&gt;"")*(G$3:G$79=G77)*(J$3:J$79&gt;J77)*(I$3:I$79="P"))+1,IF(M77="P",SUMPRODUCT((O$3:O$79&lt;&gt;"")*(P$3:P$79="")*(G$3:G$79=G77)*(I$3:I$79="P"))+SUMPRODUCT((P$3:P$79&lt;&gt;"")*(G$3:G$79=G77)*(I$3:I$79="P"))+SUMPRODUCT((N$3:N$79&lt;&gt;"")*(G$3:G$79=G77)*(I$3:I$79="P"))+SUMPRODUCT((P$3:P$79="")*(O$3:O$79="")*(N$3:N$79="")*(M$3:M$79="P")*(G$3:G$79=G77)*(J$3:J$79&gt;J77)*(I$3:I$79="P"))+IF(H77="L5",SUMPRODUCT((P$3:P$79="")*(O$3:O$79="")*(N$3:N$79="")*(M$3:M$79="P")*(G$3:G$79=G77)*(J$3:J$79&lt;J77)*(H$3:H$79&lt;&gt;H77)*(I$3:I$79="P")),-1*SUMPRODUCT((P$3:P$79="")*(O$3:O$79="")*(N$3:N$79="")*(M$3:M$79="P")*(G$3:G$79=G77)*(J$3:J$79&gt;J77)*(H$3:H$79="L5")*(I$3:I$79="P")))+1,"")))))</f>
        <v/>
      </c>
      <c r="B77" s="1" t="str" cm="1">
        <f t="array" ref="B77">IF(P77&lt;&gt;"",SUMPRODUCT((P$3:P$79&lt;&gt;"")*(G$3:G$79=G77)*(J$3:J$79&gt;J77))+1,IF(O77&lt;&gt;"",SUMPRODUCT((O$3:O$79&lt;&gt;"")*(P$3:P$79="")*(G$3:G$79=G77)*(J$3:J$79&gt;J77))+SUMPRODUCT((P$3:P$79&lt;&gt;"")*(G$3:G$79=G77))+1,IF(N77&lt;&gt;"",SUMPRODUCT((N$3:N$79&lt;&gt;"")*(G$3:G$79=G77)*(J$3:J$79&gt;J77))+1,IF(M77="P",SUMPRODUCT((O$3:O$79&lt;&gt;"")*(P$3:P$79="")*(G$3:G$79=G77))+SUMPRODUCT((P$3:P$79&lt;&gt;"")*(G$3:G$79=G77))+SUMPRODUCT((N$3:N$79&lt;&gt;"")*(G$3:G$79=G77))+SUMPRODUCT((P$3:P$79="")*(O$3:O$79="")*(N$3:N$79="")*(M$3:M$79="P")*(G$3:G$79=G77)*(J$3:J$79&gt;J77))+IF(H77="L5",SUMPRODUCT((P$3:P$79="")*(O$3:O$79="")*(N$3:N$79="")*(M$3:M$79="P")*(G$3:G$79=G77)*(J$3:J$79&lt;J77)*(H$3:H$79&lt;&gt;H77)),-1*SUMPRODUCT((P$3:P$79="")*(O$3:O$79="")*(N$3:N$79="")*(M$3:M$79="P")*(G$3:G$79=G77)*(J$3:J$79&gt;J77)*(H$3:H$79="L5")))+1,""))))</f>
        <v/>
      </c>
      <c r="C77" s="36" t="s">
        <v>538</v>
      </c>
      <c r="D77" s="36" t="s">
        <v>352</v>
      </c>
      <c r="E77" s="36" t="s">
        <v>589</v>
      </c>
      <c r="F77" s="35">
        <v>2009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9" t="s">
        <v>115</v>
      </c>
      <c r="I77" s="45"/>
      <c r="J77" s="4">
        <f>R77+IF(OR(H77="Junior",H77="Senior"),0.0002,IF(OR(H77="L7",H77="L6"),0.0001,0))+MAX(X77,Z77)*0.0000001</f>
        <v>3.6600000000000001E-6</v>
      </c>
      <c r="K77" s="3" t="str">
        <f>IF(G77="Not Age Eligible","",IF(MAX(T77,V77,X77,Z77)&gt;=LOOKUP(G77,'Qualifying Scores'!$A$4:$A$7,'Qualifying Scores'!$I$4:$I$7),"P",""))</f>
        <v/>
      </c>
      <c r="L77" s="3" t="str">
        <f>IF(G77="Not Age Eligible","",IF(MAX(U77,W77,Y77,AA77)&gt;=LOOKUP(G77,'Qualifying Scores'!$A$10:$A$13,'Qualifying Scores'!$I$10:$I$13),"P",""))</f>
        <v/>
      </c>
      <c r="M77" s="3" t="str">
        <f>IF(G77="Not Age Eligible","",IF(OR(AND(T77&gt;=LOOKUP(G77,'Qualifying Scores'!$A$4:$A$7,'Qualifying Scores'!$I$4:$I$7),U77&gt;=LOOKUP(G77,'Qualifying Scores'!$A$10:$A$13,'Qualifying Scores'!$I$10:$I$13)),AND(X77&gt;=LOOKUP(G77,'Qualifying Scores'!$A$4:$A$7,'Qualifying Scores'!$I$4:$I$7),Y77&gt;=LOOKUP(G77,'Qualifying Scores'!$A$10:$A$13,'Qualifying Scores'!$I$10:$I$13)),AND(V77&gt;=LOOKUP(G77,'Qualifying Scores'!$A$4:$A$7,'Qualifying Scores'!$I$4:$I$7),W77&gt;=LOOKUP(G77,'Qualifying Scores'!$A$10:$A$13,'Qualifying Scores'!$I$10:$I$13)),AND(Z77&gt;=LOOKUP(G77,'Qualifying Scores'!$A$4:$A$7,'Qualifying Scores'!$I$4:$I$7),AA77&gt;=LOOKUP(G77,'Qualifying Scores'!$A$10:$A$13,'Qualifying Scores'!$I$10:$I$13))),"P",""))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Scores'!I$13),AND(G77="15-16",U77&gt;='Qualifying Scores'!I$12),AND(G77="13-14",U77&gt;='Qualifying Scores'!I$11),AND(G77="11-12",U77&gt;='Qualifying Scores'!I$10)),T77,0),IF(OR(AND(G77="17-21",W77&gt;='Qualifying Scores'!I$13),AND(G77="15-16",W77&gt;='Qualifying Scores'!I$12),AND(G77="13-14",W77&gt;='Qualifying Scores'!I$11),AND(G77="11-12",W77&gt;='Qualifying Scores'!I$10)),V77,0),IF(OR(AND(G77="17-21",Y77&gt;='Qualifying Scores'!I$13),AND(G77="15-16",Y77&gt;='Qualifying Scores'!I$12),AND(G77="13-14",Y77&gt;='Qualifying Scores'!I$11),AND(G77="11-12",Y77&gt;='Qualifying Scores'!I$10)),X77,0),IF(OR(AND(G77="17-21",AA77&gt;='Qualifying Scores'!I$13),AND(G77="15-16",AA77&gt;='Qualifying Scores'!I$12),AND(G77="13-14",AA77&gt;='Qualifying Scores'!I$11),AND(G77="11-12",AA77&gt;='Qualifying Scores'!I$10)),Z77,0)))</f>
        <v>0</v>
      </c>
      <c r="S77" s="4">
        <f>MAX(T77,V77,X77,Z77)</f>
        <v>36.6</v>
      </c>
      <c r="T77" s="33"/>
      <c r="U77" s="40"/>
      <c r="V77" s="34"/>
      <c r="W77" s="40"/>
      <c r="X77" s="33">
        <v>36.6</v>
      </c>
      <c r="Y77" s="40">
        <v>4.5999999999999996</v>
      </c>
      <c r="Z77" s="34">
        <v>35.9</v>
      </c>
      <c r="AA77" s="37">
        <v>4.4000000000000004</v>
      </c>
    </row>
    <row r="78" spans="1:27" x14ac:dyDescent="0.2">
      <c r="A78" s="1" t="str" cm="1">
        <f t="array" ref="A78">IF(I78="","",IF(P78&lt;&gt;"",SUMPRODUCT((P$3:P$79&lt;&gt;"")*(G$3:G$79=G78)*(J$3:J$79&gt;J78)*(I$3:I$79="P"))+1,IF(O78&lt;&gt;"",SUMPRODUCT((O$3:O$79&lt;&gt;"")*(P$3:P$79="")*(G$3:G$79=G78)*(J$3:J$79&gt;J78)*(I$3:I$79="P"))+SUMPRODUCT((P$3:P$79&lt;&gt;"")*(G$3:G$79=G78)*(I$3:I$79="P"))+1,IF(N78&lt;&gt;"",SUMPRODUCT((N$3:N$79&lt;&gt;"")*(G$3:G$79=G78)*(J$3:J$79&gt;J78)*(I$3:I$79="P"))+1,IF(M78="P",SUMPRODUCT((O$3:O$79&lt;&gt;"")*(P$3:P$79="")*(G$3:G$79=G78)*(I$3:I$79="P"))+SUMPRODUCT((P$3:P$79&lt;&gt;"")*(G$3:G$79=G78)*(I$3:I$79="P"))+SUMPRODUCT((N$3:N$79&lt;&gt;"")*(G$3:G$79=G78)*(I$3:I$79="P"))+SUMPRODUCT((P$3:P$79="")*(O$3:O$79="")*(N$3:N$79="")*(M$3:M$79="P")*(G$3:G$79=G78)*(J$3:J$79&gt;J78)*(I$3:I$79="P"))+IF(H78="L5",SUMPRODUCT((P$3:P$79="")*(O$3:O$79="")*(N$3:N$79="")*(M$3:M$79="P")*(G$3:G$79=G78)*(J$3:J$79&lt;J78)*(H$3:H$79&lt;&gt;H78)*(I$3:I$79="P")),-1*SUMPRODUCT((P$3:P$79="")*(O$3:O$79="")*(N$3:N$79="")*(M$3:M$79="P")*(G$3:G$79=G78)*(J$3:J$79&gt;J78)*(H$3:H$79="L5")*(I$3:I$79="P")))+1,"")))))</f>
        <v/>
      </c>
      <c r="B78" s="1" t="str" cm="1">
        <f t="array" ref="B78">IF(P78&lt;&gt;"",SUMPRODUCT((P$3:P$79&lt;&gt;"")*(G$3:G$79=G78)*(J$3:J$79&gt;J78))+1,IF(O78&lt;&gt;"",SUMPRODUCT((O$3:O$79&lt;&gt;"")*(P$3:P$79="")*(G$3:G$79=G78)*(J$3:J$79&gt;J78))+SUMPRODUCT((P$3:P$79&lt;&gt;"")*(G$3:G$79=G78))+1,IF(N78&lt;&gt;"",SUMPRODUCT((N$3:N$79&lt;&gt;"")*(G$3:G$79=G78)*(J$3:J$79&gt;J78))+1,IF(M78="P",SUMPRODUCT((O$3:O$79&lt;&gt;"")*(P$3:P$79="")*(G$3:G$79=G78))+SUMPRODUCT((P$3:P$79&lt;&gt;"")*(G$3:G$79=G78))+SUMPRODUCT((N$3:N$79&lt;&gt;"")*(G$3:G$79=G78))+SUMPRODUCT((P$3:P$79="")*(O$3:O$79="")*(N$3:N$79="")*(M$3:M$79="P")*(G$3:G$79=G78)*(J$3:J$79&gt;J78))+IF(H78="L5",SUMPRODUCT((P$3:P$79="")*(O$3:O$79="")*(N$3:N$79="")*(M$3:M$79="P")*(G$3:G$79=G78)*(J$3:J$79&lt;J78)*(H$3:H$79&lt;&gt;H78)),-1*SUMPRODUCT((P$3:P$79="")*(O$3:O$79="")*(N$3:N$79="")*(M$3:M$79="P")*(G$3:G$79=G78)*(J$3:J$79&gt;J78)*(H$3:H$79="L5")))+1,""))))</f>
        <v/>
      </c>
      <c r="C78" s="36" t="s">
        <v>535</v>
      </c>
      <c r="D78" s="36" t="s">
        <v>352</v>
      </c>
      <c r="E78" s="36" t="s">
        <v>310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9" t="s">
        <v>115</v>
      </c>
      <c r="I78" s="45"/>
      <c r="J78" s="4">
        <f>R78+IF(OR(H78="Junior",H78="Senior"),0.0002,IF(OR(H78="L7",H78="L6"),0.0001,0))+MAX(X78,Z78)*0.0000001</f>
        <v>3.1E-6</v>
      </c>
      <c r="K78" s="3" t="str">
        <f>IF(G78="Not Age Eligible","",IF(MAX(T78,V78,X78,Z78)&gt;=LOOKUP(G78,'Qualifying Scores'!$A$4:$A$7,'Qualifying Scores'!$I$4:$I$7),"P",""))</f>
        <v/>
      </c>
      <c r="L78" s="3" t="str">
        <f>IF(G78="Not Age Eligible","",IF(MAX(U78,W78,Y78,AA78)&gt;=LOOKUP(G78,'Qualifying Scores'!$A$10:$A$13,'Qualifying Scores'!$I$10:$I$13),"P",""))</f>
        <v/>
      </c>
      <c r="M78" s="3" t="str">
        <f>IF(G78="Not Age Eligible","",IF(OR(AND(T78&gt;=LOOKUP(G78,'Qualifying Scores'!$A$4:$A$7,'Qualifying Scores'!$I$4:$I$7),U78&gt;=LOOKUP(G78,'Qualifying Scores'!$A$10:$A$13,'Qualifying Scores'!$I$10:$I$13)),AND(X78&gt;=LOOKUP(G78,'Qualifying Scores'!$A$4:$A$7,'Qualifying Scores'!$I$4:$I$7),Y78&gt;=LOOKUP(G78,'Qualifying Scores'!$A$10:$A$13,'Qualifying Scores'!$I$10:$I$13)),AND(V78&gt;=LOOKUP(G78,'Qualifying Scores'!$A$4:$A$7,'Qualifying Scores'!$I$4:$I$7),W78&gt;=LOOKUP(G78,'Qualifying Scores'!$A$10:$A$13,'Qualifying Scores'!$I$10:$I$13)),AND(Z78&gt;=LOOKUP(G78,'Qualifying Scores'!$A$4:$A$7,'Qualifying Scores'!$I$4:$I$7),AA78&gt;=LOOKUP(G78,'Qualifying Scores'!$A$10:$A$13,'Qualifying Scores'!$I$10:$I$13))),"P",""))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Scores'!I$13),AND(G78="15-16",U78&gt;='Qualifying Scores'!I$12),AND(G78="13-14",U78&gt;='Qualifying Scores'!I$11),AND(G78="11-12",U78&gt;='Qualifying Scores'!I$10)),T78,0),IF(OR(AND(G78="17-21",W78&gt;='Qualifying Scores'!I$13),AND(G78="15-16",W78&gt;='Qualifying Scores'!I$12),AND(G78="13-14",W78&gt;='Qualifying Scores'!I$11),AND(G78="11-12",W78&gt;='Qualifying Scores'!I$10)),V78,0),IF(OR(AND(G78="17-21",Y78&gt;='Qualifying Scores'!I$13),AND(G78="15-16",Y78&gt;='Qualifying Scores'!I$12),AND(G78="13-14",Y78&gt;='Qualifying Scores'!I$11),AND(G78="11-12",Y78&gt;='Qualifying Scores'!I$10)),X78,0),IF(OR(AND(G78="17-21",AA78&gt;='Qualifying Scores'!I$13),AND(G78="15-16",AA78&gt;='Qualifying Scores'!I$12),AND(G78="13-14",AA78&gt;='Qualifying Scores'!I$11),AND(G78="11-12",AA78&gt;='Qualifying Scores'!I$10)),Z78,0)))</f>
        <v>0</v>
      </c>
      <c r="S78" s="4">
        <f>MAX(T78,V78,X78,Z78)</f>
        <v>31</v>
      </c>
      <c r="T78" s="33"/>
      <c r="U78" s="40"/>
      <c r="V78" s="34"/>
      <c r="W78" s="40"/>
      <c r="X78" s="33">
        <v>31</v>
      </c>
      <c r="Y78" s="40">
        <v>3</v>
      </c>
      <c r="Z78" s="34"/>
      <c r="AA78" s="37"/>
    </row>
    <row r="79" spans="1:27" x14ac:dyDescent="0.2">
      <c r="A79" s="1" t="str" cm="1">
        <f t="array" ref="A79">IF(I79="","",IF(P79&lt;&gt;"",SUMPRODUCT((P$3:P$79&lt;&gt;"")*(G$3:G$79=G79)*(J$3:J$79&gt;J79)*(I$3:I$79="P"))+1,IF(O79&lt;&gt;"",SUMPRODUCT((O$3:O$79&lt;&gt;"")*(P$3:P$79="")*(G$3:G$79=G79)*(J$3:J$79&gt;J79)*(I$3:I$79="P"))+SUMPRODUCT((P$3:P$79&lt;&gt;"")*(G$3:G$79=G79)*(I$3:I$79="P"))+1,IF(N79&lt;&gt;"",SUMPRODUCT((N$3:N$79&lt;&gt;"")*(G$3:G$79=G79)*(J$3:J$79&gt;J79)*(I$3:I$79="P"))+1,IF(M79="P",SUMPRODUCT((O$3:O$79&lt;&gt;"")*(P$3:P$79="")*(G$3:G$79=G79)*(I$3:I$79="P"))+SUMPRODUCT((P$3:P$79&lt;&gt;"")*(G$3:G$79=G79)*(I$3:I$79="P"))+SUMPRODUCT((N$3:N$79&lt;&gt;"")*(G$3:G$79=G79)*(I$3:I$79="P"))+SUMPRODUCT((P$3:P$79="")*(O$3:O$79="")*(N$3:N$79="")*(M$3:M$79="P")*(G$3:G$79=G79)*(J$3:J$79&gt;J79)*(I$3:I$79="P"))+IF(H79="L5",SUMPRODUCT((P$3:P$79="")*(O$3:O$79="")*(N$3:N$79="")*(M$3:M$79="P")*(G$3:G$79=G79)*(J$3:J$79&lt;J79)*(H$3:H$79&lt;&gt;H79)*(I$3:I$79="P")),-1*SUMPRODUCT((P$3:P$79="")*(O$3:O$79="")*(N$3:N$79="")*(M$3:M$79="P")*(G$3:G$79=G79)*(J$3:J$79&gt;J79)*(H$3:H$79="L5")*(I$3:I$79="P")))+1,"")))))</f>
        <v/>
      </c>
      <c r="B79" s="1" cm="1">
        <f t="array" ref="B79">IF(P79&lt;&gt;"",SUMPRODUCT((P$3:P$79&lt;&gt;"")*(G$3:G$79=G79)*(J$3:J$79&gt;J79))+1,IF(O79&lt;&gt;"",SUMPRODUCT((O$3:O$79&lt;&gt;"")*(P$3:P$79="")*(G$3:G$79=G79)*(J$3:J$79&gt;J79))+SUMPRODUCT((P$3:P$79&lt;&gt;"")*(G$3:G$79=G79))+1,IF(N79&lt;&gt;"",SUMPRODUCT((N$3:N$79&lt;&gt;"")*(G$3:G$79=G79)*(J$3:J$79&gt;J79))+1,IF(M79="P",SUMPRODUCT((O$3:O$79&lt;&gt;"")*(P$3:P$79="")*(G$3:G$79=G79))+SUMPRODUCT((P$3:P$79&lt;&gt;"")*(G$3:G$79=G79))+SUMPRODUCT((N$3:N$79&lt;&gt;"")*(G$3:G$79=G79))+SUMPRODUCT((P$3:P$79="")*(O$3:O$79="")*(N$3:N$79="")*(M$3:M$79="P")*(G$3:G$79=G79)*(J$3:J$79&gt;J79))+IF(H79="L5",SUMPRODUCT((P$3:P$79="")*(O$3:O$79="")*(N$3:N$79="")*(M$3:M$79="P")*(G$3:G$79=G79)*(J$3:J$79&lt;J79)*(H$3:H$79&lt;&gt;H79)),-1*SUMPRODUCT((P$3:P$79="")*(O$3:O$79="")*(N$3:N$79="")*(M$3:M$79="P")*(G$3:G$79=G79)*(J$3:J$79&gt;J79)*(H$3:H$79="L5")))+1,""))))</f>
        <v>1</v>
      </c>
      <c r="C79" s="36" t="s">
        <v>539</v>
      </c>
      <c r="D79" s="36" t="s">
        <v>352</v>
      </c>
      <c r="E79" s="36" t="s">
        <v>320</v>
      </c>
      <c r="F79" s="35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11-12</v>
      </c>
      <c r="H79" s="39" t="s">
        <v>115</v>
      </c>
      <c r="I79" s="45"/>
      <c r="J79" s="4">
        <f>R79+IF(OR(H79="Junior",H79="Senior"),0.0002,IF(OR(H79="L7",H79="L6"),0.0001,0))+MAX(X79,Z79)*0.0000001</f>
        <v>40.200004020000002</v>
      </c>
      <c r="K79" s="3" t="str">
        <f>IF(G79="Not Age Eligible","",IF(MAX(T79,V79,X79,Z79)&gt;=LOOKUP(G79,'Qualifying Scores'!$A$4:$A$7,'Qualifying Scores'!$I$4:$I$7),"P",""))</f>
        <v>P</v>
      </c>
      <c r="L79" s="3" t="str">
        <f>IF(G79="Not Age Eligible","",IF(MAX(U79,W79,Y79,AA79)&gt;=LOOKUP(G79,'Qualifying Scores'!$A$10:$A$13,'Qualifying Scores'!$I$10:$I$13),"P",""))</f>
        <v>P</v>
      </c>
      <c r="M79" s="3" t="str">
        <f>IF(G79="Not Age Eligible","",IF(OR(AND(T79&gt;=LOOKUP(G79,'Qualifying Scores'!$A$4:$A$7,'Qualifying Scores'!$I$4:$I$7),U79&gt;=LOOKUP(G79,'Qualifying Scores'!$A$10:$A$13,'Qualifying Scores'!$I$10:$I$13)),AND(X79&gt;=LOOKUP(G79,'Qualifying Scores'!$A$4:$A$7,'Qualifying Scores'!$I$4:$I$7),Y79&gt;=LOOKUP(G79,'Qualifying Scores'!$A$10:$A$13,'Qualifying Scores'!$I$10:$I$13)),AND(V79&gt;=LOOKUP(G79,'Qualifying Scores'!$A$4:$A$7,'Qualifying Scores'!$I$4:$I$7),W79&gt;=LOOKUP(G79,'Qualifying Scores'!$A$10:$A$13,'Qualifying Scores'!$I$10:$I$13)),AND(Z79&gt;=LOOKUP(G79,'Qualifying Scores'!$A$4:$A$7,'Qualifying Scores'!$I$4:$I$7),AA79&gt;=LOOKUP(G79,'Qualifying Scores'!$A$10:$A$13,'Qualifying Scores'!$I$10:$I$13))),"P",""))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Scores'!I$13),AND(G79="15-16",U79&gt;='Qualifying Scores'!I$12),AND(G79="13-14",U79&gt;='Qualifying Scores'!I$11),AND(G79="11-12",U79&gt;='Qualifying Scores'!I$10)),T79,0),IF(OR(AND(G79="17-21",W79&gt;='Qualifying Scores'!I$13),AND(G79="15-16",W79&gt;='Qualifying Scores'!I$12),AND(G79="13-14",W79&gt;='Qualifying Scores'!I$11),AND(G79="11-12",W79&gt;='Qualifying Scores'!I$10)),V79,0),IF(OR(AND(G79="17-21",Y79&gt;='Qualifying Scores'!I$13),AND(G79="15-16",Y79&gt;='Qualifying Scores'!I$12),AND(G79="13-14",Y79&gt;='Qualifying Scores'!I$11),AND(G79="11-12",Y79&gt;='Qualifying Scores'!I$10)),X79,0),IF(OR(AND(G79="17-21",AA79&gt;='Qualifying Scores'!I$13),AND(G79="15-16",AA79&gt;='Qualifying Scores'!I$12),AND(G79="13-14",AA79&gt;='Qualifying Scores'!I$11),AND(G79="11-12",AA79&gt;='Qualifying Scores'!I$10)),Z79,0)))</f>
        <v>40.200000000000003</v>
      </c>
      <c r="S79" s="4">
        <f>MAX(T79,V79,X79,Z79)</f>
        <v>40.200000000000003</v>
      </c>
      <c r="T79" s="33"/>
      <c r="U79" s="40"/>
      <c r="V79" s="34"/>
      <c r="W79" s="40"/>
      <c r="X79" s="33">
        <v>40.200000000000003</v>
      </c>
      <c r="Y79" s="40">
        <v>6</v>
      </c>
      <c r="Z79" s="34">
        <v>39</v>
      </c>
      <c r="AA79" s="37">
        <v>6</v>
      </c>
    </row>
    <row r="80" spans="1:27" x14ac:dyDescent="0.2">
      <c r="R80" s="4"/>
      <c r="S80" s="4"/>
      <c r="T80" s="33"/>
      <c r="U80" s="40"/>
      <c r="V80" s="34"/>
      <c r="W80" s="40"/>
      <c r="X80" s="33"/>
      <c r="Y80" s="40"/>
      <c r="Z80" s="34"/>
      <c r="AA80" s="37"/>
    </row>
    <row r="81" spans="18:27" x14ac:dyDescent="0.2">
      <c r="R81" s="4"/>
      <c r="S81" s="4"/>
      <c r="T81" s="33"/>
      <c r="U81" s="40"/>
      <c r="V81" s="34"/>
      <c r="W81" s="40"/>
      <c r="X81" s="33"/>
      <c r="Y81" s="40"/>
      <c r="Z81" s="34"/>
      <c r="AA81" s="37"/>
    </row>
    <row r="82" spans="18:27" x14ac:dyDescent="0.2">
      <c r="R82" s="4"/>
      <c r="S82" s="4"/>
      <c r="T82" s="33"/>
      <c r="U82" s="40"/>
      <c r="V82" s="34"/>
      <c r="W82" s="40"/>
      <c r="X82" s="33"/>
      <c r="Y82" s="40"/>
      <c r="Z82" s="34"/>
      <c r="AA82" s="37"/>
    </row>
    <row r="83" spans="18:27" x14ac:dyDescent="0.2">
      <c r="R83" s="4"/>
      <c r="S83" s="4"/>
      <c r="T83" s="33"/>
      <c r="U83" s="40"/>
      <c r="V83" s="34"/>
      <c r="W83" s="40"/>
      <c r="X83" s="33"/>
      <c r="Y83" s="40"/>
      <c r="Z83" s="34"/>
      <c r="AA83" s="37"/>
    </row>
    <row r="84" spans="18:27" x14ac:dyDescent="0.2">
      <c r="R84" s="4"/>
      <c r="S84" s="4"/>
      <c r="T84" s="33"/>
      <c r="U84" s="40"/>
      <c r="V84" s="34"/>
      <c r="W84" s="40"/>
      <c r="X84" s="33"/>
      <c r="Y84" s="40"/>
      <c r="Z84" s="34"/>
      <c r="AA84" s="37"/>
    </row>
    <row r="85" spans="18:27" x14ac:dyDescent="0.2">
      <c r="R85" s="4"/>
      <c r="S85" s="4"/>
      <c r="T85" s="33"/>
      <c r="U85" s="40"/>
      <c r="V85" s="34"/>
      <c r="W85" s="40"/>
      <c r="X85" s="33"/>
      <c r="Y85" s="40"/>
      <c r="Z85" s="34"/>
      <c r="AA85" s="37"/>
    </row>
    <row r="86" spans="18:27" x14ac:dyDescent="0.2">
      <c r="R86" s="4"/>
      <c r="S86" s="4"/>
      <c r="T86" s="33"/>
      <c r="U86" s="40"/>
      <c r="V86" s="34"/>
      <c r="W86" s="40"/>
      <c r="X86" s="33"/>
      <c r="Y86" s="40"/>
      <c r="Z86" s="34"/>
      <c r="AA86" s="37"/>
    </row>
    <row r="87" spans="18:27" x14ac:dyDescent="0.2">
      <c r="R87" s="4"/>
      <c r="S87" s="4"/>
      <c r="T87" s="33"/>
      <c r="U87" s="40"/>
      <c r="V87" s="34"/>
      <c r="W87" s="40"/>
      <c r="X87" s="33"/>
      <c r="Y87" s="40"/>
      <c r="Z87" s="34"/>
      <c r="AA87" s="37"/>
    </row>
    <row r="88" spans="18:27" x14ac:dyDescent="0.2">
      <c r="R88" s="4"/>
      <c r="S88" s="4"/>
      <c r="T88" s="33"/>
      <c r="U88" s="40"/>
      <c r="V88" s="34"/>
      <c r="W88" s="40"/>
      <c r="X88" s="33"/>
      <c r="Y88" s="40"/>
      <c r="Z88" s="34"/>
      <c r="AA88" s="37"/>
    </row>
    <row r="89" spans="18:27" x14ac:dyDescent="0.2">
      <c r="R89" s="4"/>
      <c r="S89" s="4"/>
      <c r="T89" s="33"/>
      <c r="U89" s="40"/>
      <c r="V89" s="34"/>
      <c r="W89" s="40"/>
      <c r="X89" s="33"/>
      <c r="Y89" s="40"/>
      <c r="Z89" s="34"/>
      <c r="AA89" s="37"/>
    </row>
    <row r="90" spans="18:27" x14ac:dyDescent="0.2">
      <c r="R90" s="4"/>
      <c r="S90" s="4"/>
      <c r="T90" s="33"/>
      <c r="U90" s="40"/>
      <c r="V90" s="34"/>
      <c r="W90" s="40"/>
      <c r="X90" s="33"/>
      <c r="Y90" s="40"/>
      <c r="Z90" s="34"/>
      <c r="AA90" s="37"/>
    </row>
    <row r="91" spans="18:27" x14ac:dyDescent="0.2">
      <c r="R91" s="4"/>
      <c r="S91" s="4"/>
      <c r="T91" s="33"/>
      <c r="U91" s="40"/>
      <c r="V91" s="34"/>
      <c r="W91" s="40"/>
      <c r="X91" s="33"/>
      <c r="Y91" s="40"/>
      <c r="Z91" s="34"/>
      <c r="AA91" s="37"/>
    </row>
    <row r="92" spans="18:27" x14ac:dyDescent="0.2">
      <c r="R92" s="4"/>
      <c r="S92" s="4"/>
      <c r="T92" s="33"/>
      <c r="U92" s="40"/>
      <c r="V92" s="34"/>
      <c r="W92" s="40"/>
      <c r="X92" s="33"/>
      <c r="Y92" s="40"/>
      <c r="Z92" s="34"/>
      <c r="AA92" s="37"/>
    </row>
    <row r="93" spans="18:27" x14ac:dyDescent="0.2">
      <c r="R93" s="4"/>
      <c r="S93" s="4"/>
      <c r="T93" s="33"/>
      <c r="U93" s="40"/>
      <c r="V93" s="34"/>
      <c r="W93" s="40"/>
      <c r="X93" s="33"/>
      <c r="Y93" s="40"/>
      <c r="Z93" s="34"/>
      <c r="AA93" s="37"/>
    </row>
    <row r="94" spans="18:27" x14ac:dyDescent="0.2">
      <c r="R94" s="4"/>
      <c r="S94" s="4"/>
      <c r="T94" s="33"/>
      <c r="U94" s="40"/>
      <c r="V94" s="34"/>
      <c r="W94" s="40"/>
      <c r="X94" s="33"/>
      <c r="Y94" s="40"/>
      <c r="Z94" s="34"/>
      <c r="AA94" s="37"/>
    </row>
    <row r="95" spans="18:27" x14ac:dyDescent="0.2">
      <c r="R95" s="4"/>
      <c r="S95" s="4"/>
      <c r="T95" s="33"/>
      <c r="U95" s="40"/>
      <c r="V95" s="34"/>
      <c r="W95" s="40"/>
      <c r="X95" s="33"/>
      <c r="Y95" s="40"/>
      <c r="Z95" s="34"/>
      <c r="AA95" s="37"/>
    </row>
    <row r="96" spans="18:27" x14ac:dyDescent="0.2">
      <c r="R96" s="4"/>
      <c r="S96" s="4"/>
      <c r="T96" s="33"/>
      <c r="U96" s="40"/>
      <c r="V96" s="34"/>
      <c r="W96" s="40"/>
      <c r="X96" s="33"/>
      <c r="Y96" s="40"/>
      <c r="Z96" s="34"/>
      <c r="AA96" s="37"/>
    </row>
    <row r="97" spans="18:27" x14ac:dyDescent="0.2">
      <c r="R97" s="4"/>
      <c r="S97" s="4"/>
      <c r="T97" s="33"/>
      <c r="U97" s="40"/>
      <c r="V97" s="34"/>
      <c r="W97" s="40"/>
      <c r="X97" s="33"/>
      <c r="Y97" s="40"/>
      <c r="Z97" s="34"/>
      <c r="AA97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9">
      <sortCondition descending="1" ref="G1:G8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3" priority="1">
      <formula>IF($G1="17-21",1,0)</formula>
    </cfRule>
    <cfRule type="expression" dxfId="2" priority="2">
      <formula>IF($G1="15-16",1,0)</formula>
    </cfRule>
    <cfRule type="expression" dxfId="1" priority="3">
      <formula>IF($G1="13-14",1,0)</formula>
    </cfRule>
    <cfRule type="expression" dxfId="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2022-08-03T17:55:49Z</dcterms:modified>
</cp:coreProperties>
</file>