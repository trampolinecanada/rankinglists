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C0642C8-686C-BE4E-8E0A-287728A1B085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A69" i="14" a="1"/>
  <c r="A69" i="14" s="1"/>
  <c r="Q69" i="14" s="1"/>
  <c r="D69" i="14"/>
  <c r="G69" i="14"/>
  <c r="L69" i="14" s="1"/>
  <c r="R69" i="14"/>
  <c r="S69" i="14" s="1"/>
  <c r="A71" i="14" a="1"/>
  <c r="A71" i="14" s="1"/>
  <c r="Q71" i="14" s="1"/>
  <c r="D71" i="14"/>
  <c r="G71" i="14"/>
  <c r="L71" i="14" s="1"/>
  <c r="R71" i="14"/>
  <c r="A77" i="14" a="1"/>
  <c r="A77" i="14" s="1"/>
  <c r="Q77" i="14" s="1"/>
  <c r="D77" i="14"/>
  <c r="G77" i="14"/>
  <c r="K77" i="14" s="1"/>
  <c r="R77" i="14"/>
  <c r="S77" i="14" s="1"/>
  <c r="A79" i="14" a="1"/>
  <c r="A79" i="14" s="1"/>
  <c r="Q79" i="14" s="1"/>
  <c r="D79" i="14"/>
  <c r="G79" i="14"/>
  <c r="M79" i="14" s="1"/>
  <c r="B79" i="14" s="1" a="1"/>
  <c r="B79" i="14" s="1"/>
  <c r="R79" i="14"/>
  <c r="S79" i="14" s="1"/>
  <c r="J79" i="14" s="1"/>
  <c r="A86" i="14" a="1"/>
  <c r="A86" i="14" s="1"/>
  <c r="Q86" i="14" s="1"/>
  <c r="D86" i="14"/>
  <c r="G86" i="14"/>
  <c r="M86" i="14" s="1"/>
  <c r="R86" i="14"/>
  <c r="S86" i="14" s="1"/>
  <c r="A88" i="14" a="1"/>
  <c r="A88" i="14" s="1"/>
  <c r="Q88" i="14" s="1"/>
  <c r="D88" i="14"/>
  <c r="G88" i="14"/>
  <c r="K88" i="14" s="1"/>
  <c r="R88" i="14"/>
  <c r="A89" i="14" a="1"/>
  <c r="A89" i="14" s="1"/>
  <c r="Q89" i="14" s="1"/>
  <c r="D89" i="14"/>
  <c r="G89" i="14"/>
  <c r="L89" i="14" s="1"/>
  <c r="R89" i="14"/>
  <c r="A90" i="14" a="1"/>
  <c r="A90" i="14" s="1"/>
  <c r="Q90" i="14" s="1"/>
  <c r="D90" i="14"/>
  <c r="G90" i="14"/>
  <c r="K90" i="14" s="1"/>
  <c r="R90" i="14"/>
  <c r="S90" i="14" s="1"/>
  <c r="A91" i="14" a="1"/>
  <c r="A91" i="14" s="1"/>
  <c r="Q91" i="14" s="1"/>
  <c r="D91" i="14"/>
  <c r="G91" i="14"/>
  <c r="L91" i="14" s="1"/>
  <c r="R91" i="14"/>
  <c r="S91" i="14" s="1"/>
  <c r="J91" i="14" s="1"/>
  <c r="D68" i="14"/>
  <c r="A68" i="14" a="1"/>
  <c r="A68" i="14" s="1"/>
  <c r="Q68" i="14" s="1"/>
  <c r="G68" i="14"/>
  <c r="L68" i="14" s="1"/>
  <c r="R68" i="14"/>
  <c r="K69" i="14" l="1"/>
  <c r="M90" i="14"/>
  <c r="L90" i="14"/>
  <c r="K89" i="14"/>
  <c r="K86" i="14"/>
  <c r="K91" i="14"/>
  <c r="L79" i="14"/>
  <c r="K79" i="14"/>
  <c r="L86" i="14"/>
  <c r="K71" i="14"/>
  <c r="J69" i="14"/>
  <c r="S71" i="14"/>
  <c r="J71" i="14" s="1"/>
  <c r="J90" i="14"/>
  <c r="S89" i="14"/>
  <c r="J89" i="14" s="1"/>
  <c r="S88" i="14"/>
  <c r="J88" i="14" s="1"/>
  <c r="J77" i="14"/>
  <c r="M89" i="14"/>
  <c r="M71" i="14"/>
  <c r="M77" i="14"/>
  <c r="B77" i="14" s="1" a="1"/>
  <c r="B77" i="14" s="1"/>
  <c r="M88" i="14"/>
  <c r="J86" i="14"/>
  <c r="L77" i="14"/>
  <c r="M91" i="14"/>
  <c r="L88" i="14"/>
  <c r="M69" i="14"/>
  <c r="S68" i="14"/>
  <c r="J68" i="14" s="1"/>
  <c r="K68" i="14"/>
  <c r="M68" i="14"/>
  <c r="B68" i="14" s="1" a="1"/>
  <c r="B68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3" i="16" a="1"/>
  <c r="A3" i="16" s="1"/>
  <c r="A4" i="15" a="1"/>
  <c r="A4" i="15" s="1"/>
  <c r="A5" i="15" a="1"/>
  <c r="A5" i="15" s="1"/>
  <c r="A6" i="15" a="1"/>
  <c r="A6" i="15" s="1"/>
  <c r="Q6" i="15" s="1"/>
  <c r="A7" i="15" a="1"/>
  <c r="A7" i="15" s="1"/>
  <c r="A8" i="15" a="1"/>
  <c r="A8" i="15" s="1"/>
  <c r="Q8" i="15" s="1"/>
  <c r="A9" i="15" a="1"/>
  <c r="A9" i="15" s="1"/>
  <c r="A10" i="15" a="1"/>
  <c r="A10" i="15" s="1"/>
  <c r="A11" i="15" a="1"/>
  <c r="A11" i="15" s="1"/>
  <c r="A12" i="15" a="1"/>
  <c r="A12" i="15" s="1"/>
  <c r="A27" i="15" a="1"/>
  <c r="A27" i="15" s="1"/>
  <c r="A13" i="15" a="1"/>
  <c r="A13" i="15" s="1"/>
  <c r="A14" i="15" a="1"/>
  <c r="A14" i="15" s="1"/>
  <c r="Q14" i="15" s="1"/>
  <c r="A15" i="15" a="1"/>
  <c r="A15" i="15" s="1"/>
  <c r="Q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43" i="15" a="1"/>
  <c r="A43" i="15" s="1"/>
  <c r="A44" i="15" a="1"/>
  <c r="A44" i="15" s="1"/>
  <c r="A45" i="15" a="1"/>
  <c r="A45" i="15" s="1"/>
  <c r="Q45" i="15" s="1"/>
  <c r="A46" i="15" a="1"/>
  <c r="A46" i="15" s="1"/>
  <c r="Q46" i="15" s="1"/>
  <c r="A47" i="15" a="1"/>
  <c r="A47" i="15" s="1"/>
  <c r="A48" i="15" a="1"/>
  <c r="A48" i="15" s="1"/>
  <c r="A49" i="15" a="1"/>
  <c r="A49" i="15" s="1"/>
  <c r="Q49" i="15" s="1"/>
  <c r="A3" i="15" a="1"/>
  <c r="A3" i="15" s="1"/>
  <c r="C39" i="17"/>
  <c r="D39" i="17" s="1"/>
  <c r="E39" i="17"/>
  <c r="F39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A76" i="16" a="1"/>
  <c r="A76" i="16" s="1"/>
  <c r="Q76" i="16" s="1"/>
  <c r="G76" i="16"/>
  <c r="M76" i="16" s="1"/>
  <c r="B76" i="16" s="1" a="1"/>
  <c r="B76" i="16" s="1"/>
  <c r="R76" i="16"/>
  <c r="S76" i="16" s="1"/>
  <c r="J76" i="16" s="1"/>
  <c r="A74" i="16" a="1"/>
  <c r="A74" i="16" s="1"/>
  <c r="Q74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A60" i="16" a="1"/>
  <c r="A60" i="16" s="1"/>
  <c r="Q60" i="16" s="1"/>
  <c r="G60" i="16"/>
  <c r="M60" i="16" s="1"/>
  <c r="B60" i="16" s="1" a="1"/>
  <c r="B60" i="16" s="1"/>
  <c r="R60" i="16"/>
  <c r="S60" i="16" s="1"/>
  <c r="J60" i="16" s="1"/>
  <c r="A62" i="16" a="1"/>
  <c r="A62" i="16" s="1"/>
  <c r="Q62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A7" i="16" a="1"/>
  <c r="A7" i="16" s="1"/>
  <c r="Q7" i="16" s="1"/>
  <c r="G7" i="16"/>
  <c r="L7" i="16" s="1"/>
  <c r="R7" i="16"/>
  <c r="S7" i="16" s="1"/>
  <c r="A32" i="16" a="1"/>
  <c r="A32" i="16" s="1"/>
  <c r="Q32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A42" i="16" a="1"/>
  <c r="A42" i="16" s="1"/>
  <c r="Q42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A44" i="16" a="1"/>
  <c r="A44" i="16" s="1"/>
  <c r="Q44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A72" i="16" a="1"/>
  <c r="A72" i="16" s="1"/>
  <c r="Q72" i="16" s="1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A15" i="16" a="1"/>
  <c r="A15" i="16" s="1"/>
  <c r="Q15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7" i="15"/>
  <c r="D8" i="15"/>
  <c r="D9" i="15"/>
  <c r="D10" i="15"/>
  <c r="D11" i="15"/>
  <c r="D12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6" i="15"/>
  <c r="D4" i="15"/>
  <c r="D5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8" i="15"/>
  <c r="L8" i="15" s="1"/>
  <c r="R8" i="15"/>
  <c r="S8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6" i="15"/>
  <c r="M6" i="15" s="1"/>
  <c r="R6" i="15"/>
  <c r="S6" i="15" s="1"/>
  <c r="J6" i="15" s="1"/>
  <c r="G20" i="17" l="1"/>
  <c r="H20" i="17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6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9" i="17"/>
  <c r="H39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B74" i="16" s="1" a="1"/>
  <c r="B74" i="16" s="1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B62" i="16" s="1" a="1"/>
  <c r="B62" i="16" s="1"/>
  <c r="K60" i="16"/>
  <c r="K74" i="16"/>
  <c r="K15" i="16"/>
  <c r="L40" i="16"/>
  <c r="L37" i="16"/>
  <c r="K32" i="16"/>
  <c r="K62" i="16"/>
  <c r="L75" i="16"/>
  <c r="J32" i="16"/>
  <c r="M8" i="15"/>
  <c r="K8" i="15"/>
  <c r="L46" i="15"/>
  <c r="K46" i="15"/>
  <c r="L49" i="15"/>
  <c r="K49" i="15"/>
  <c r="M45" i="15"/>
  <c r="B45" i="15" s="1" a="1"/>
  <c r="B45" i="15" s="1"/>
  <c r="J8" i="15"/>
  <c r="J15" i="15"/>
  <c r="J45" i="15"/>
  <c r="K45" i="15"/>
  <c r="M15" i="15"/>
  <c r="B15" i="15" s="1" a="1"/>
  <c r="B15" i="15" s="1"/>
  <c r="L14" i="15"/>
  <c r="L6" i="15"/>
  <c r="K15" i="15"/>
  <c r="K14" i="15"/>
  <c r="A4" i="16" l="1" a="1"/>
  <c r="A4" i="16" s="1"/>
  <c r="A5" i="16" a="1"/>
  <c r="A5" i="16" s="1"/>
  <c r="A6" i="16" a="1"/>
  <c r="A6" i="16" s="1"/>
  <c r="A10" i="16" a="1"/>
  <c r="A10" i="16" s="1"/>
  <c r="A8" i="16" a="1"/>
  <c r="A8" i="16" s="1"/>
  <c r="A9" i="16" a="1"/>
  <c r="A9" i="16" s="1"/>
  <c r="A11" i="16" a="1"/>
  <c r="A11" i="16" s="1"/>
  <c r="A12" i="16" a="1"/>
  <c r="A12" i="16" s="1"/>
  <c r="A13" i="16" a="1"/>
  <c r="A13" i="16" s="1"/>
  <c r="A14" i="16" a="1"/>
  <c r="A14" i="16" s="1"/>
  <c r="A16" i="16" a="1"/>
  <c r="A16" i="16" s="1"/>
  <c r="A17" i="16" a="1"/>
  <c r="A17" i="16" s="1"/>
  <c r="A18" i="16" a="1"/>
  <c r="A18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3" i="16" a="1"/>
  <c r="A33" i="16" s="1"/>
  <c r="A34" i="16" a="1"/>
  <c r="A34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1" i="16" a="1"/>
  <c r="A51" i="16" s="1"/>
  <c r="A52" i="16" a="1"/>
  <c r="A52" i="16" s="1"/>
  <c r="A53" i="16" a="1"/>
  <c r="A53" i="16" s="1"/>
  <c r="A55" i="16" a="1"/>
  <c r="A55" i="16" s="1"/>
  <c r="A56" i="16" a="1"/>
  <c r="A56" i="16" s="1"/>
  <c r="A58" i="16" a="1"/>
  <c r="A58" i="16" s="1"/>
  <c r="A61" i="16" a="1"/>
  <c r="A61" i="16" s="1"/>
  <c r="A63" i="16" a="1"/>
  <c r="A63" i="16" s="1"/>
  <c r="A68" i="16" a="1"/>
  <c r="A68" i="16" s="1"/>
  <c r="Q24" i="15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Q8" i="14" s="1"/>
  <c r="A9" i="14" a="1"/>
  <c r="A9" i="14" s="1"/>
  <c r="A10" i="14" a="1"/>
  <c r="A10" i="14" s="1"/>
  <c r="A11" i="14" a="1"/>
  <c r="A11" i="14" s="1"/>
  <c r="A12" i="14" a="1"/>
  <c r="A12" i="14" s="1"/>
  <c r="A13" i="14" a="1"/>
  <c r="A13" i="14" s="1"/>
  <c r="A14" i="14" a="1"/>
  <c r="A14" i="14" s="1"/>
  <c r="A15" i="14" a="1"/>
  <c r="A15" i="14" s="1"/>
  <c r="A16" i="14" a="1"/>
  <c r="A16" i="14" s="1"/>
  <c r="A17" i="14" a="1"/>
  <c r="A17" i="14" s="1"/>
  <c r="A19" i="14" a="1"/>
  <c r="A19" i="14" s="1"/>
  <c r="A18" i="14" a="1"/>
  <c r="A18" i="14" s="1"/>
  <c r="A21" i="14" a="1"/>
  <c r="A21" i="14" s="1"/>
  <c r="A22" i="14" a="1"/>
  <c r="A22" i="14" s="1"/>
  <c r="A23" i="14" a="1"/>
  <c r="A23" i="14" s="1"/>
  <c r="Q23" i="14" s="1"/>
  <c r="A24" i="14" a="1"/>
  <c r="A24" i="14" s="1"/>
  <c r="A25" i="14" a="1"/>
  <c r="A25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0" i="14" a="1"/>
  <c r="A20" i="14" s="1"/>
  <c r="A32" i="14" a="1"/>
  <c r="A32" i="14" s="1"/>
  <c r="A33" i="14" a="1"/>
  <c r="A33" i="14" s="1"/>
  <c r="Q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43" i="14" a="1"/>
  <c r="A43" i="14" s="1"/>
  <c r="Q43" i="14" s="1"/>
  <c r="A44" i="14" a="1"/>
  <c r="A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8" i="14" a="1"/>
  <c r="A48" i="14" s="1"/>
  <c r="Q48" i="14" s="1"/>
  <c r="A49" i="14" a="1"/>
  <c r="A49" i="14" s="1"/>
  <c r="Q49" i="14" s="1"/>
  <c r="A50" i="14" a="1"/>
  <c r="A50" i="14" s="1"/>
  <c r="Q50" i="14" s="1"/>
  <c r="A51" i="14" a="1"/>
  <c r="A51" i="14" s="1"/>
  <c r="Q51" i="14" s="1"/>
  <c r="E45" i="17" s="1"/>
  <c r="F45" i="17" s="1"/>
  <c r="A52" i="14" a="1"/>
  <c r="A52" i="14" s="1"/>
  <c r="A53" i="14" a="1"/>
  <c r="A53" i="14" s="1"/>
  <c r="Q53" i="14" s="1"/>
  <c r="A54" i="14" a="1"/>
  <c r="A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Q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7" i="14" a="1"/>
  <c r="A67" i="14" s="1"/>
  <c r="A70" i="14" a="1"/>
  <c r="A70" i="14" s="1"/>
  <c r="A72" i="14" a="1"/>
  <c r="A72" i="14" s="1"/>
  <c r="A73" i="14" a="1"/>
  <c r="A73" i="14" s="1"/>
  <c r="A76" i="14" a="1"/>
  <c r="A76" i="14" s="1"/>
  <c r="A78" i="14" a="1"/>
  <c r="A78" i="14" s="1"/>
  <c r="A66" i="14" a="1"/>
  <c r="A66" i="14" s="1"/>
  <c r="A80" i="14" a="1"/>
  <c r="A80" i="14" s="1"/>
  <c r="A81" i="14" a="1"/>
  <c r="A81" i="14" s="1"/>
  <c r="A83" i="14" a="1"/>
  <c r="A83" i="14" s="1"/>
  <c r="A87" i="14" a="1"/>
  <c r="A87" i="14" s="1"/>
  <c r="Q87" i="14" s="1"/>
  <c r="A75" i="14" a="1"/>
  <c r="A75" i="14" s="1"/>
  <c r="A82" i="14" a="1"/>
  <c r="A82" i="14" s="1"/>
  <c r="A84" i="14" a="1"/>
  <c r="A84" i="14" s="1"/>
  <c r="A74" i="14" a="1"/>
  <c r="A74" i="14" s="1"/>
  <c r="A85" i="14" a="1"/>
  <c r="A85" i="14" s="1"/>
  <c r="A92" i="14" a="1"/>
  <c r="A92" i="14" s="1"/>
  <c r="A93" i="14" a="1"/>
  <c r="A93" i="14" s="1"/>
  <c r="A94" i="14" a="1"/>
  <c r="A94" i="14" s="1"/>
  <c r="A95" i="14" a="1"/>
  <c r="A95" i="14" s="1"/>
  <c r="A96" i="14" a="1"/>
  <c r="A96" i="14" s="1"/>
  <c r="A97" i="14" a="1"/>
  <c r="A97" i="14" s="1"/>
  <c r="A98" i="14" a="1"/>
  <c r="A98" i="14" s="1"/>
  <c r="Q98" i="14" s="1"/>
  <c r="A99" i="14" a="1"/>
  <c r="A99" i="14" s="1"/>
  <c r="Q99" i="14" s="1"/>
  <c r="A100" i="14" a="1"/>
  <c r="A100" i="14" s="1"/>
  <c r="Q100" i="14" s="1"/>
  <c r="A101" i="14" a="1"/>
  <c r="A101" i="14" s="1"/>
  <c r="A102" i="14" a="1"/>
  <c r="A102" i="14" s="1"/>
  <c r="Q102" i="14" s="1"/>
  <c r="A103" i="14" a="1"/>
  <c r="A103" i="14" s="1"/>
  <c r="A104" i="14" a="1"/>
  <c r="A104" i="14" s="1"/>
  <c r="Q104" i="14" s="1"/>
  <c r="A105" i="14" a="1"/>
  <c r="A105" i="14" s="1"/>
  <c r="Q105" i="14" s="1"/>
  <c r="A3" i="14" a="1"/>
  <c r="A3" i="14" s="1"/>
  <c r="A4" i="6" a="1"/>
  <c r="A4" i="6" s="1"/>
  <c r="A5" i="6" a="1"/>
  <c r="A5" i="6" s="1"/>
  <c r="A6" i="6" a="1"/>
  <c r="A6" i="6" s="1"/>
  <c r="A9" i="6" a="1"/>
  <c r="A9" i="6" s="1"/>
  <c r="Q9" i="6" s="1"/>
  <c r="A20" i="6" a="1"/>
  <c r="A20" i="6" s="1"/>
  <c r="A10" i="6" a="1"/>
  <c r="A10" i="6" s="1"/>
  <c r="A11" i="6" a="1"/>
  <c r="A11" i="6" s="1"/>
  <c r="A12" i="6" a="1"/>
  <c r="A12" i="6" s="1"/>
  <c r="A7" i="6" a="1"/>
  <c r="A7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2" i="6" a="1"/>
  <c r="A22" i="6" s="1"/>
  <c r="A21" i="6" a="1"/>
  <c r="A21" i="6" s="1"/>
  <c r="A8" i="6" a="1"/>
  <c r="A8" i="6" s="1"/>
  <c r="Q8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Q27" i="6" s="1"/>
  <c r="A28" i="6" a="1"/>
  <c r="A28" i="6" s="1"/>
  <c r="A29" i="6" a="1"/>
  <c r="A29" i="6" s="1"/>
  <c r="Q29" i="6" s="1"/>
  <c r="A30" i="6" a="1"/>
  <c r="A30" i="6" s="1"/>
  <c r="A31" i="6" a="1"/>
  <c r="A31" i="6" s="1"/>
  <c r="A32" i="6" a="1"/>
  <c r="A32" i="6" s="1"/>
  <c r="Q32" i="6" s="1"/>
  <c r="A33" i="6" a="1"/>
  <c r="A33" i="6" s="1"/>
  <c r="A34" i="6" a="1"/>
  <c r="A34" i="6" s="1"/>
  <c r="Q34" i="6" s="1"/>
  <c r="E38" i="17" s="1"/>
  <c r="F38" i="17" s="1"/>
  <c r="A35" i="6" a="1"/>
  <c r="A35" i="6" s="1"/>
  <c r="Q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Q46" i="6" s="1"/>
  <c r="A47" i="6" a="1"/>
  <c r="A47" i="6" s="1"/>
  <c r="Q47" i="6" s="1"/>
  <c r="A48" i="6" a="1"/>
  <c r="A48" i="6" s="1"/>
  <c r="Q48" i="6" s="1"/>
  <c r="A49" i="6" a="1"/>
  <c r="A49" i="6" s="1"/>
  <c r="Q49" i="6" s="1"/>
  <c r="E3" i="17" s="1"/>
  <c r="F3" i="17" s="1"/>
  <c r="A50" i="6" a="1"/>
  <c r="A50" i="6" s="1"/>
  <c r="Q50" i="6" s="1"/>
  <c r="A51" i="6" a="1"/>
  <c r="A51" i="6" s="1"/>
  <c r="Q51" i="6" s="1"/>
  <c r="A52" i="6" a="1"/>
  <c r="A52" i="6" s="1"/>
  <c r="Q52" i="6" s="1"/>
  <c r="A53" i="6" a="1"/>
  <c r="A53" i="6" s="1"/>
  <c r="A54" i="6" a="1"/>
  <c r="A54" i="6" s="1"/>
  <c r="Q54" i="6" s="1"/>
  <c r="A55" i="6" a="1"/>
  <c r="A55" i="6" s="1"/>
  <c r="Q55" i="6" s="1"/>
  <c r="A56" i="6" a="1"/>
  <c r="A56" i="6" s="1"/>
  <c r="Q56" i="6" s="1"/>
  <c r="A57" i="6" a="1"/>
  <c r="A57" i="6" s="1"/>
  <c r="A58" i="6" a="1"/>
  <c r="A58" i="6" s="1"/>
  <c r="Q58" i="6" s="1"/>
  <c r="A59" i="6" a="1"/>
  <c r="A59" i="6" s="1"/>
  <c r="A60" i="6" a="1"/>
  <c r="A60" i="6" s="1"/>
  <c r="A61" i="6" a="1"/>
  <c r="A61" i="6" s="1"/>
  <c r="A63" i="6" a="1"/>
  <c r="A63" i="6" s="1"/>
  <c r="A65" i="6" a="1"/>
  <c r="A65" i="6" s="1"/>
  <c r="A62" i="6" a="1"/>
  <c r="A62" i="6" s="1"/>
  <c r="A64" i="6" a="1"/>
  <c r="A64" i="6" s="1"/>
  <c r="A66" i="6" a="1"/>
  <c r="A66" i="6" s="1"/>
  <c r="Q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Q72" i="6" s="1"/>
  <c r="A73" i="6" a="1"/>
  <c r="A73" i="6" s="1"/>
  <c r="A74" i="6" a="1"/>
  <c r="A74" i="6" s="1"/>
  <c r="A75" i="6" a="1"/>
  <c r="A75" i="6" s="1"/>
  <c r="Q75" i="6" s="1"/>
  <c r="A76" i="6" a="1"/>
  <c r="A76" i="6" s="1"/>
  <c r="A77" i="6" a="1"/>
  <c r="A77" i="6" s="1"/>
  <c r="A78" i="6" a="1"/>
  <c r="A78" i="6" s="1"/>
  <c r="A79" i="6" a="1"/>
  <c r="A79" i="6" s="1"/>
  <c r="Q79" i="6" s="1"/>
  <c r="E31" i="17" s="1"/>
  <c r="F31" i="17" s="1"/>
  <c r="A80" i="6" a="1"/>
  <c r="A80" i="6" s="1"/>
  <c r="Q80" i="6" s="1"/>
  <c r="A81" i="6" a="1"/>
  <c r="A81" i="6" s="1"/>
  <c r="Q81" i="6" s="1"/>
  <c r="A82" i="6" a="1"/>
  <c r="A82" i="6" s="1"/>
  <c r="Q82" i="6" s="1"/>
  <c r="A83" i="6" a="1"/>
  <c r="A83" i="6" s="1"/>
  <c r="Q83" i="6" s="1"/>
  <c r="A84" i="6" a="1"/>
  <c r="A84" i="6" s="1"/>
  <c r="Q84" i="6" s="1"/>
  <c r="A85" i="6" a="1"/>
  <c r="A85" i="6" s="1"/>
  <c r="Q85" i="6" s="1"/>
  <c r="A86" i="6" a="1"/>
  <c r="A86" i="6" s="1"/>
  <c r="Q86" i="6" s="1"/>
  <c r="A87" i="6" a="1"/>
  <c r="A87" i="6" s="1"/>
  <c r="Q87" i="6" s="1"/>
  <c r="A88" i="6" a="1"/>
  <c r="A88" i="6" s="1"/>
  <c r="A89" i="6" a="1"/>
  <c r="A89" i="6" s="1"/>
  <c r="A90" i="6" a="1"/>
  <c r="A90" i="6" s="1"/>
  <c r="A91" i="6" a="1"/>
  <c r="A91" i="6" s="1"/>
  <c r="Q91" i="6" s="1"/>
  <c r="A92" i="6" a="1"/>
  <c r="A92" i="6" s="1"/>
  <c r="Q92" i="6" s="1"/>
  <c r="A93" i="6" a="1"/>
  <c r="A93" i="6" s="1"/>
  <c r="A94" i="6" a="1"/>
  <c r="A94" i="6" s="1"/>
  <c r="A95" i="6" a="1"/>
  <c r="A95" i="6" s="1"/>
  <c r="A96" i="6" a="1"/>
  <c r="A96" i="6" s="1"/>
  <c r="Q96" i="6" s="1"/>
  <c r="A97" i="6" a="1"/>
  <c r="A97" i="6" s="1"/>
  <c r="Q97" i="6" s="1"/>
  <c r="A98" i="6" a="1"/>
  <c r="A98" i="6" s="1"/>
  <c r="A99" i="6" a="1"/>
  <c r="A99" i="6" s="1"/>
  <c r="Q99" i="6" s="1"/>
  <c r="A3" i="6" a="1"/>
  <c r="A3" i="6" s="1"/>
  <c r="A4" i="13" a="1"/>
  <c r="A4" i="13" s="1"/>
  <c r="R4" i="13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3" i="13" a="1"/>
  <c r="A23" i="13" s="1"/>
  <c r="R23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39" i="13" a="1"/>
  <c r="A39" i="13" s="1"/>
  <c r="R39" i="13" s="1"/>
  <c r="A35" i="13" a="1"/>
  <c r="A35" i="13" s="1"/>
  <c r="A40" i="13" a="1"/>
  <c r="A40" i="13" s="1"/>
  <c r="R40" i="13" s="1"/>
  <c r="A41" i="13" a="1"/>
  <c r="A41" i="13" s="1"/>
  <c r="R41" i="13" s="1"/>
  <c r="A42" i="13" a="1"/>
  <c r="A42" i="13" s="1"/>
  <c r="R42" i="13" s="1"/>
  <c r="A43" i="13" a="1"/>
  <c r="A43" i="13" s="1"/>
  <c r="R43" i="13" s="1"/>
  <c r="A44" i="13" a="1"/>
  <c r="A44" i="13" s="1"/>
  <c r="R44" i="13" s="1"/>
  <c r="A45" i="13" a="1"/>
  <c r="A45" i="13" s="1"/>
  <c r="A46" i="13" a="1"/>
  <c r="A46" i="13" s="1"/>
  <c r="R46" i="13" s="1"/>
  <c r="A3" i="13" a="1"/>
  <c r="A3" i="13" s="1"/>
  <c r="A4" i="12" a="1"/>
  <c r="A4" i="12" s="1"/>
  <c r="R4" i="12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6" i="12" a="1"/>
  <c r="A16" i="12" s="1"/>
  <c r="R16" i="12" s="1"/>
  <c r="A14" i="12" a="1"/>
  <c r="A14" i="12" s="1"/>
  <c r="A15" i="12" a="1"/>
  <c r="A15" i="12" s="1"/>
  <c r="R15" i="12" s="1"/>
  <c r="A17" i="12" a="1"/>
  <c r="A17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3" i="12" a="1"/>
  <c r="A23" i="12" s="1"/>
  <c r="R23" i="12" s="1"/>
  <c r="A25" i="12" a="1"/>
  <c r="A25" i="12" s="1"/>
  <c r="R25" i="12" s="1"/>
  <c r="A24" i="12" a="1"/>
  <c r="A24" i="12" s="1"/>
  <c r="R24" i="12" s="1"/>
  <c r="A26" i="12" a="1"/>
  <c r="A26" i="12" s="1"/>
  <c r="R26" i="12" s="1"/>
  <c r="A27" i="12" a="1"/>
  <c r="A27" i="12" s="1"/>
  <c r="A28" i="12" a="1"/>
  <c r="A28" i="12" s="1"/>
  <c r="R28" i="12" s="1"/>
  <c r="A29" i="12" a="1"/>
  <c r="A29" i="12" s="1"/>
  <c r="R29" i="12" s="1"/>
  <c r="A30" i="12" a="1"/>
  <c r="A30" i="12" s="1"/>
  <c r="R30" i="12" s="1"/>
  <c r="A3" i="12" a="1"/>
  <c r="A3" i="12" s="1"/>
  <c r="A5" i="11" a="1"/>
  <c r="A5" i="11" s="1"/>
  <c r="A4" i="11" a="1"/>
  <c r="A4" i="11" s="1"/>
  <c r="Q4" i="11" s="1"/>
  <c r="A6" i="11" a="1"/>
  <c r="A6" i="11" s="1"/>
  <c r="A8" i="11" a="1"/>
  <c r="A8" i="11" s="1"/>
  <c r="Q8" i="11" s="1"/>
  <c r="A15" i="11" a="1"/>
  <c r="A15" i="11" s="1"/>
  <c r="Q15" i="11" s="1"/>
  <c r="A16" i="11" a="1"/>
  <c r="A16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28" i="11" a="1"/>
  <c r="A28" i="11" s="1"/>
  <c r="A29" i="11" a="1"/>
  <c r="A29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2" i="11" a="1"/>
  <c r="A42" i="11" s="1"/>
  <c r="A43" i="11" a="1"/>
  <c r="A43" i="11" s="1"/>
  <c r="A45" i="11" a="1"/>
  <c r="A45" i="11" s="1"/>
  <c r="A46" i="11" a="1"/>
  <c r="A46" i="11" s="1"/>
  <c r="A47" i="11" a="1"/>
  <c r="A47" i="11" s="1"/>
  <c r="A48" i="11" a="1"/>
  <c r="A48" i="11" s="1"/>
  <c r="Q48" i="11" s="1"/>
  <c r="A49" i="11" a="1"/>
  <c r="A49" i="11" s="1"/>
  <c r="Q49" i="11" s="1"/>
  <c r="A50" i="11" a="1"/>
  <c r="A50" i="11" s="1"/>
  <c r="A51" i="11" a="1"/>
  <c r="A51" i="11" s="1"/>
  <c r="A52" i="11" a="1"/>
  <c r="A52" i="11" s="1"/>
  <c r="Q52" i="11" s="1"/>
  <c r="C58" i="17" s="1"/>
  <c r="D58" i="17" s="1"/>
  <c r="A53" i="11" a="1"/>
  <c r="A53" i="11" s="1"/>
  <c r="Q53" i="11" s="1"/>
  <c r="A54" i="11" a="1"/>
  <c r="A54" i="11" s="1"/>
  <c r="Q54" i="11" s="1"/>
  <c r="A55" i="11" a="1"/>
  <c r="A55" i="11" s="1"/>
  <c r="A44" i="11" a="1"/>
  <c r="A44" i="11" s="1"/>
  <c r="A56" i="11" a="1"/>
  <c r="A56" i="11" s="1"/>
  <c r="Q56" i="11" s="1"/>
  <c r="A57" i="11" a="1"/>
  <c r="A57" i="11" s="1"/>
  <c r="A58" i="11" a="1"/>
  <c r="A58" i="11" s="1"/>
  <c r="A60" i="11" a="1"/>
  <c r="A60" i="11" s="1"/>
  <c r="Q60" i="11" s="1"/>
  <c r="A26" i="11" a="1"/>
  <c r="A26" i="11" s="1"/>
  <c r="A61" i="11" a="1"/>
  <c r="A61" i="11" s="1"/>
  <c r="Q61" i="11" s="1"/>
  <c r="A62" i="11" a="1"/>
  <c r="A62" i="11" s="1"/>
  <c r="A63" i="11" a="1"/>
  <c r="A63" i="11" s="1"/>
  <c r="Q63" i="11" s="1"/>
  <c r="A64" i="11" a="1"/>
  <c r="A64" i="11" s="1"/>
  <c r="A65" i="11" a="1"/>
  <c r="A65" i="11" s="1"/>
  <c r="A66" i="11" a="1"/>
  <c r="A66" i="11" s="1"/>
  <c r="A67" i="11" a="1"/>
  <c r="A67" i="11" s="1"/>
  <c r="Q67" i="11" s="1"/>
  <c r="A68" i="11" a="1"/>
  <c r="A68" i="11" s="1"/>
  <c r="Q68" i="11" s="1"/>
  <c r="C35" i="17" s="1"/>
  <c r="D35" i="17" s="1"/>
  <c r="A69" i="11" a="1"/>
  <c r="A69" i="11" s="1"/>
  <c r="A70" i="11" a="1"/>
  <c r="A70" i="11" s="1"/>
  <c r="A71" i="11" a="1"/>
  <c r="A71" i="11" s="1"/>
  <c r="A73" i="11" a="1"/>
  <c r="A73" i="11" s="1"/>
  <c r="A27" i="11" a="1"/>
  <c r="A27" i="11" s="1"/>
  <c r="A74" i="11" a="1"/>
  <c r="A74" i="11" s="1"/>
  <c r="Q74" i="11" s="1"/>
  <c r="A75" i="11" a="1"/>
  <c r="A75" i="11" s="1"/>
  <c r="A14" i="11" a="1"/>
  <c r="A14" i="11" s="1"/>
  <c r="A76" i="11" a="1"/>
  <c r="A76" i="11" s="1"/>
  <c r="Q76" i="11" s="1"/>
  <c r="A36" i="11" a="1"/>
  <c r="A36" i="11" s="1"/>
  <c r="A78" i="11" a="1"/>
  <c r="A78" i="11" s="1"/>
  <c r="A79" i="11" a="1"/>
  <c r="A79" i="11" s="1"/>
  <c r="Q79" i="11" s="1"/>
  <c r="C64" i="17" s="1"/>
  <c r="D64" i="17" s="1"/>
  <c r="A80" i="11" a="1"/>
  <c r="A80" i="11" s="1"/>
  <c r="Q80" i="11" s="1"/>
  <c r="A81" i="11" a="1"/>
  <c r="A81" i="11" s="1"/>
  <c r="Q81" i="11" s="1"/>
  <c r="A72" i="11" a="1"/>
  <c r="A72" i="11" s="1"/>
  <c r="A82" i="11" a="1"/>
  <c r="A82" i="11" s="1"/>
  <c r="Q82" i="11" s="1"/>
  <c r="A83" i="11" a="1"/>
  <c r="A83" i="11" s="1"/>
  <c r="A85" i="11" a="1"/>
  <c r="A85" i="11" s="1"/>
  <c r="Q85" i="11" s="1"/>
  <c r="A13" i="11" a="1"/>
  <c r="A13" i="11" s="1"/>
  <c r="A86" i="11" a="1"/>
  <c r="A86" i="11" s="1"/>
  <c r="A87" i="11" a="1"/>
  <c r="A87" i="11" s="1"/>
  <c r="Q87" i="11" s="1"/>
  <c r="A88" i="11" a="1"/>
  <c r="A88" i="11" s="1"/>
  <c r="A89" i="11" a="1"/>
  <c r="A89" i="11" s="1"/>
  <c r="Q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6" i="11" a="1"/>
  <c r="A96" i="11" s="1"/>
  <c r="A97" i="11" a="1"/>
  <c r="A97" i="11" s="1"/>
  <c r="Q97" i="11" s="1"/>
  <c r="A98" i="11" a="1"/>
  <c r="A98" i="11" s="1"/>
  <c r="Q98" i="11" s="1"/>
  <c r="A95" i="11" a="1"/>
  <c r="A95" i="11" s="1"/>
  <c r="A99" i="11" a="1"/>
  <c r="A99" i="11" s="1"/>
  <c r="Q99" i="11" s="1"/>
  <c r="A100" i="11" a="1"/>
  <c r="A100" i="11" s="1"/>
  <c r="A101" i="11" a="1"/>
  <c r="A101" i="11" s="1"/>
  <c r="A102" i="11" a="1"/>
  <c r="A102" i="11" s="1"/>
  <c r="A103" i="11" a="1"/>
  <c r="A103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Q114" i="11" s="1"/>
  <c r="A115" i="11" a="1"/>
  <c r="A115" i="11" s="1"/>
  <c r="Q115" i="11" s="1"/>
  <c r="A116" i="11" a="1"/>
  <c r="A116" i="11" s="1"/>
  <c r="A117" i="11" a="1"/>
  <c r="A117" i="11" s="1"/>
  <c r="Q117" i="11" s="1"/>
  <c r="A118" i="11" a="1"/>
  <c r="A118" i="11" s="1"/>
  <c r="Q118" i="11" s="1"/>
  <c r="A119" i="11" a="1"/>
  <c r="A119" i="11" s="1"/>
  <c r="Q119" i="11" s="1"/>
  <c r="A120" i="11" a="1"/>
  <c r="A120" i="11" s="1"/>
  <c r="Q120" i="11" s="1"/>
  <c r="A121" i="11" a="1"/>
  <c r="A121" i="11" s="1"/>
  <c r="A122" i="11" a="1"/>
  <c r="A122" i="11" s="1"/>
  <c r="A123" i="11" a="1"/>
  <c r="A123" i="11" s="1"/>
  <c r="Q123" i="11" s="1"/>
  <c r="A124" i="11" a="1"/>
  <c r="A124" i="11" s="1"/>
  <c r="Q124" i="11" s="1"/>
  <c r="A125" i="11" a="1"/>
  <c r="A125" i="11" s="1"/>
  <c r="Q125" i="11" s="1"/>
  <c r="A126" i="11" a="1"/>
  <c r="A126" i="11" s="1"/>
  <c r="Q126" i="11" s="1"/>
  <c r="A127" i="11" a="1"/>
  <c r="A127" i="11" s="1"/>
  <c r="A128" i="11" a="1"/>
  <c r="A128" i="11" s="1"/>
  <c r="Q128" i="11" s="1"/>
  <c r="A129" i="11" a="1"/>
  <c r="A129" i="11" s="1"/>
  <c r="Q129" i="11" s="1"/>
  <c r="A130" i="11" a="1"/>
  <c r="A130" i="11" s="1"/>
  <c r="A131" i="11" a="1"/>
  <c r="A131" i="11" s="1"/>
  <c r="Q131" i="11" s="1"/>
  <c r="A132" i="11" a="1"/>
  <c r="A132" i="11" s="1"/>
  <c r="A133" i="11" a="1"/>
  <c r="A133" i="11" s="1"/>
  <c r="A134" i="11" a="1"/>
  <c r="A134" i="11" s="1"/>
  <c r="Q134" i="11" s="1"/>
  <c r="A7" i="11" a="1"/>
  <c r="A7" i="11" s="1"/>
  <c r="Q7" i="11" s="1"/>
  <c r="A9" i="11" a="1"/>
  <c r="A9" i="11" s="1"/>
  <c r="Q9" i="11" s="1"/>
  <c r="A11" i="11" a="1"/>
  <c r="A11" i="11" s="1"/>
  <c r="Q11" i="11" s="1"/>
  <c r="A20" i="11" a="1"/>
  <c r="A20" i="11" s="1"/>
  <c r="Q20" i="11" s="1"/>
  <c r="A77" i="11" a="1"/>
  <c r="A77" i="11" s="1"/>
  <c r="Q77" i="11" s="1"/>
  <c r="A59" i="11" a="1"/>
  <c r="A59" i="11" s="1"/>
  <c r="Q59" i="11" s="1"/>
  <c r="A84" i="11" a="1"/>
  <c r="A84" i="11" s="1"/>
  <c r="Q84" i="11" s="1"/>
  <c r="A3" i="11" a="1"/>
  <c r="A3" i="11" s="1"/>
  <c r="Q3" i="11" s="1"/>
  <c r="A4" i="3" a="1"/>
  <c r="A4" i="3" s="1"/>
  <c r="A6" i="3" a="1"/>
  <c r="A6" i="3" s="1"/>
  <c r="A8" i="3" a="1"/>
  <c r="A8" i="3" s="1"/>
  <c r="A5" i="3" a="1"/>
  <c r="A5" i="3" s="1"/>
  <c r="A7" i="3" a="1"/>
  <c r="A7" i="3" s="1"/>
  <c r="A9" i="3" a="1"/>
  <c r="A9" i="3" s="1"/>
  <c r="A10" i="3" a="1"/>
  <c r="A10" i="3" s="1"/>
  <c r="Q10" i="3" s="1"/>
  <c r="A11" i="3" a="1"/>
  <c r="A11" i="3" s="1"/>
  <c r="Q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Q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Q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6" i="3" a="1"/>
  <c r="A46" i="3" s="1"/>
  <c r="Q46" i="3" s="1"/>
  <c r="A47" i="3" a="1"/>
  <c r="A47" i="3" s="1"/>
  <c r="Q47" i="3" s="1"/>
  <c r="A48" i="3" a="1"/>
  <c r="A48" i="3" s="1"/>
  <c r="Q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Q53" i="3" s="1"/>
  <c r="A54" i="3" a="1"/>
  <c r="A54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64" i="3" a="1"/>
  <c r="A64" i="3" s="1"/>
  <c r="A66" i="3" a="1"/>
  <c r="A66" i="3" s="1"/>
  <c r="A65" i="3" a="1"/>
  <c r="A65" i="3" s="1"/>
  <c r="A68" i="3" a="1"/>
  <c r="A68" i="3" s="1"/>
  <c r="A70" i="3" a="1"/>
  <c r="A70" i="3" s="1"/>
  <c r="A67" i="3" a="1"/>
  <c r="A67" i="3" s="1"/>
  <c r="A69" i="3" a="1"/>
  <c r="A69" i="3" s="1"/>
  <c r="A71" i="3" a="1"/>
  <c r="A71" i="3" s="1"/>
  <c r="A77" i="3" a="1"/>
  <c r="A77" i="3" s="1"/>
  <c r="A76" i="3" a="1"/>
  <c r="A76" i="3" s="1"/>
  <c r="A78" i="3" a="1"/>
  <c r="A78" i="3" s="1"/>
  <c r="A79" i="3" a="1"/>
  <c r="A79" i="3" s="1"/>
  <c r="A74" i="3" a="1"/>
  <c r="A74" i="3" s="1"/>
  <c r="A80" i="3" a="1"/>
  <c r="A80" i="3" s="1"/>
  <c r="A83" i="3" a="1"/>
  <c r="A83" i="3" s="1"/>
  <c r="Q83" i="3" s="1"/>
  <c r="A81" i="3" a="1"/>
  <c r="A81" i="3" s="1"/>
  <c r="A84" i="3" a="1"/>
  <c r="A84" i="3" s="1"/>
  <c r="A73" i="3" a="1"/>
  <c r="A73" i="3" s="1"/>
  <c r="A72" i="3" a="1"/>
  <c r="A72" i="3" s="1"/>
  <c r="A82" i="3" a="1"/>
  <c r="A82" i="3" s="1"/>
  <c r="A95" i="3" a="1"/>
  <c r="A95" i="3" s="1"/>
  <c r="A75" i="3" a="1"/>
  <c r="A75" i="3" s="1"/>
  <c r="A98" i="3" a="1"/>
  <c r="A98" i="3" s="1"/>
  <c r="A99" i="3" a="1"/>
  <c r="A99" i="3" s="1"/>
  <c r="A100" i="3" a="1"/>
  <c r="A100" i="3" s="1"/>
  <c r="A104" i="3" a="1"/>
  <c r="A104" i="3" s="1"/>
  <c r="A106" i="3" a="1"/>
  <c r="A106" i="3" s="1"/>
  <c r="Q106" i="3" s="1"/>
  <c r="A105" i="3" a="1"/>
  <c r="A105" i="3" s="1"/>
  <c r="Q105" i="3" s="1"/>
  <c r="A102" i="3" a="1"/>
  <c r="A102" i="3" s="1"/>
  <c r="Q102" i="3" s="1"/>
  <c r="A103" i="3" a="1"/>
  <c r="A103" i="3" s="1"/>
  <c r="Q103" i="3" s="1"/>
  <c r="A101" i="3" a="1"/>
  <c r="A101" i="3" s="1"/>
  <c r="Q101" i="3" s="1"/>
  <c r="A85" i="3" a="1"/>
  <c r="A85" i="3" s="1"/>
  <c r="Q85" i="3" s="1"/>
  <c r="A86" i="3" a="1"/>
  <c r="A86" i="3" s="1"/>
  <c r="Q86" i="3" s="1"/>
  <c r="A89" i="3" a="1"/>
  <c r="A89" i="3" s="1"/>
  <c r="Q89" i="3" s="1"/>
  <c r="A87" i="3" a="1"/>
  <c r="A87" i="3" s="1"/>
  <c r="Q87" i="3" s="1"/>
  <c r="A88" i="3" a="1"/>
  <c r="A88" i="3" s="1"/>
  <c r="Q88" i="3" s="1"/>
  <c r="A90" i="3" a="1"/>
  <c r="A90" i="3" s="1"/>
  <c r="Q90" i="3" s="1"/>
  <c r="A91" i="3" a="1"/>
  <c r="A91" i="3" s="1"/>
  <c r="Q91" i="3" s="1"/>
  <c r="A93" i="3" a="1"/>
  <c r="A93" i="3" s="1"/>
  <c r="Q93" i="3" s="1"/>
  <c r="C31" i="17" s="1"/>
  <c r="D31" i="17" s="1"/>
  <c r="A94" i="3" a="1"/>
  <c r="A94" i="3" s="1"/>
  <c r="Q94" i="3" s="1"/>
  <c r="A96" i="3" a="1"/>
  <c r="A96" i="3" s="1"/>
  <c r="Q96" i="3" s="1"/>
  <c r="A97" i="3" a="1"/>
  <c r="A97" i="3" s="1"/>
  <c r="Q97" i="3" s="1"/>
  <c r="A92" i="3" a="1"/>
  <c r="A92" i="3" s="1"/>
  <c r="Q92" i="3" s="1"/>
  <c r="A3" i="3" a="1"/>
  <c r="A3" i="3" s="1"/>
  <c r="D7" i="11"/>
  <c r="G7" i="11"/>
  <c r="L7" i="11" s="1"/>
  <c r="X7" i="11"/>
  <c r="AE7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7" i="11"/>
  <c r="G77" i="11"/>
  <c r="K77" i="11" s="1"/>
  <c r="X77" i="11"/>
  <c r="AE77" i="11"/>
  <c r="D59" i="11"/>
  <c r="G59" i="11"/>
  <c r="L59" i="11" s="1"/>
  <c r="X59" i="11"/>
  <c r="AE59" i="11"/>
  <c r="D84" i="11"/>
  <c r="G84" i="11"/>
  <c r="K84" i="11" s="1"/>
  <c r="X84" i="11"/>
  <c r="AE84" i="11"/>
  <c r="D106" i="3"/>
  <c r="G106" i="3"/>
  <c r="X106" i="3"/>
  <c r="AE106" i="3"/>
  <c r="D105" i="3"/>
  <c r="G105" i="3"/>
  <c r="X105" i="3"/>
  <c r="AE105" i="3"/>
  <c r="D102" i="3"/>
  <c r="G102" i="3"/>
  <c r="X102" i="3"/>
  <c r="AE102" i="3"/>
  <c r="D103" i="3"/>
  <c r="G103" i="3"/>
  <c r="X103" i="3"/>
  <c r="AE103" i="3"/>
  <c r="D101" i="3"/>
  <c r="G101" i="3"/>
  <c r="X101" i="3"/>
  <c r="AE101" i="3"/>
  <c r="D85" i="3"/>
  <c r="G85" i="3"/>
  <c r="X85" i="3"/>
  <c r="AE85" i="3"/>
  <c r="D86" i="3"/>
  <c r="G86" i="3"/>
  <c r="L86" i="3" s="1"/>
  <c r="X86" i="3"/>
  <c r="AE86" i="3"/>
  <c r="D89" i="3"/>
  <c r="G89" i="3"/>
  <c r="X89" i="3"/>
  <c r="AE89" i="3"/>
  <c r="D87" i="3"/>
  <c r="G87" i="3"/>
  <c r="X87" i="3"/>
  <c r="AE87" i="3"/>
  <c r="D88" i="3"/>
  <c r="G88" i="3"/>
  <c r="X88" i="3"/>
  <c r="AE88" i="3"/>
  <c r="D90" i="3"/>
  <c r="G90" i="3"/>
  <c r="X90" i="3"/>
  <c r="AE90" i="3"/>
  <c r="D91" i="3"/>
  <c r="G91" i="3"/>
  <c r="X91" i="3"/>
  <c r="AE91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92" i="3"/>
  <c r="G92" i="3"/>
  <c r="X92" i="3"/>
  <c r="AE92" i="3"/>
  <c r="D58" i="6"/>
  <c r="G58" i="6"/>
  <c r="L58" i="6" s="1"/>
  <c r="R58" i="6"/>
  <c r="S58" i="6" s="1"/>
  <c r="D28" i="14"/>
  <c r="G28" i="14"/>
  <c r="L28" i="14" s="1"/>
  <c r="R28" i="14"/>
  <c r="S28" i="14" s="1"/>
  <c r="D43" i="14"/>
  <c r="G43" i="14"/>
  <c r="K43" i="14" s="1"/>
  <c r="R43" i="14"/>
  <c r="S43" i="14" s="1"/>
  <c r="J43" i="14" s="1"/>
  <c r="D87" i="14"/>
  <c r="G87" i="14"/>
  <c r="L87" i="14" s="1"/>
  <c r="R87" i="14"/>
  <c r="S87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3" i="14"/>
  <c r="G5" i="14"/>
  <c r="G7" i="14"/>
  <c r="G6" i="14"/>
  <c r="G11" i="14"/>
  <c r="G10" i="14"/>
  <c r="G12" i="14"/>
  <c r="G15" i="14"/>
  <c r="G13" i="14"/>
  <c r="G17" i="14"/>
  <c r="G27" i="14"/>
  <c r="G16" i="14"/>
  <c r="G32" i="14"/>
  <c r="G18" i="14"/>
  <c r="G22" i="14"/>
  <c r="G35" i="14"/>
  <c r="G19" i="14"/>
  <c r="G31" i="14"/>
  <c r="G37" i="14"/>
  <c r="G38" i="14"/>
  <c r="G39" i="14"/>
  <c r="G26" i="14"/>
  <c r="G21" i="14"/>
  <c r="G14" i="14"/>
  <c r="G36" i="14"/>
  <c r="G52" i="14"/>
  <c r="G41" i="14"/>
  <c r="G30" i="14"/>
  <c r="G25" i="14"/>
  <c r="G54" i="14"/>
  <c r="G34" i="14"/>
  <c r="G20" i="14"/>
  <c r="G9" i="14"/>
  <c r="G59" i="14"/>
  <c r="G42" i="14"/>
  <c r="G60" i="14"/>
  <c r="G24" i="14"/>
  <c r="G44" i="14"/>
  <c r="G61" i="14"/>
  <c r="G62" i="14"/>
  <c r="G65" i="14"/>
  <c r="G70" i="14"/>
  <c r="G72" i="14"/>
  <c r="G73" i="14"/>
  <c r="G63" i="14"/>
  <c r="G64" i="14"/>
  <c r="G78" i="14"/>
  <c r="G66" i="14"/>
  <c r="G80" i="14"/>
  <c r="G76" i="14"/>
  <c r="G67" i="14"/>
  <c r="G81" i="14"/>
  <c r="G83" i="14"/>
  <c r="G75" i="14"/>
  <c r="G82" i="14"/>
  <c r="G84" i="14"/>
  <c r="G74" i="14"/>
  <c r="G85" i="14"/>
  <c r="G92" i="14"/>
  <c r="G93" i="14"/>
  <c r="G94" i="14"/>
  <c r="G95" i="14"/>
  <c r="G96" i="14"/>
  <c r="G97" i="14"/>
  <c r="G101" i="14"/>
  <c r="G103" i="14"/>
  <c r="G23" i="14"/>
  <c r="L23" i="14" s="1"/>
  <c r="G29" i="14"/>
  <c r="L29" i="14" s="1"/>
  <c r="G40" i="14"/>
  <c r="K40" i="14" s="1"/>
  <c r="G33" i="14"/>
  <c r="G45" i="14"/>
  <c r="M45" i="14" s="1"/>
  <c r="G46" i="14"/>
  <c r="K46" i="14" s="1"/>
  <c r="G47" i="14"/>
  <c r="G48" i="14"/>
  <c r="K48" i="14" s="1"/>
  <c r="G49" i="14"/>
  <c r="K49" i="14" s="1"/>
  <c r="G50" i="14"/>
  <c r="L50" i="14" s="1"/>
  <c r="G51" i="14"/>
  <c r="M51" i="14" s="1"/>
  <c r="G53" i="14"/>
  <c r="G55" i="14"/>
  <c r="M55" i="14" s="1"/>
  <c r="G56" i="14"/>
  <c r="K56" i="14" s="1"/>
  <c r="G57" i="14"/>
  <c r="G58" i="14"/>
  <c r="K58" i="14" s="1"/>
  <c r="G98" i="14"/>
  <c r="L98" i="14" s="1"/>
  <c r="G99" i="14"/>
  <c r="L99" i="14" s="1"/>
  <c r="G100" i="14"/>
  <c r="K100" i="14" s="1"/>
  <c r="G102" i="14"/>
  <c r="G104" i="14"/>
  <c r="M104" i="14" s="1"/>
  <c r="B104" i="14" s="1" a="1"/>
  <c r="B104" i="14" s="1"/>
  <c r="G105" i="14"/>
  <c r="L105" i="14" s="1"/>
  <c r="G4" i="14"/>
  <c r="D91" i="6"/>
  <c r="G91" i="6"/>
  <c r="L91" i="6" s="1"/>
  <c r="R91" i="6"/>
  <c r="D92" i="6"/>
  <c r="G92" i="6"/>
  <c r="K92" i="6" s="1"/>
  <c r="R92" i="6"/>
  <c r="S92" i="6" s="1"/>
  <c r="J92" i="6" s="1"/>
  <c r="D96" i="6"/>
  <c r="G96" i="6"/>
  <c r="K96" i="6" s="1"/>
  <c r="R96" i="6"/>
  <c r="D97" i="6"/>
  <c r="G97" i="6"/>
  <c r="M97" i="6" s="1"/>
  <c r="B97" i="6" s="1" a="1"/>
  <c r="B97" i="6" s="1"/>
  <c r="R97" i="6"/>
  <c r="S97" i="6" s="1"/>
  <c r="D99" i="6"/>
  <c r="G99" i="6"/>
  <c r="K99" i="6" s="1"/>
  <c r="R99" i="6"/>
  <c r="S99" i="6" s="1"/>
  <c r="D75" i="6"/>
  <c r="G75" i="6"/>
  <c r="K75" i="6" s="1"/>
  <c r="R75" i="6"/>
  <c r="D79" i="6"/>
  <c r="G79" i="6"/>
  <c r="K79" i="6" s="1"/>
  <c r="R79" i="6"/>
  <c r="S79" i="6" s="1"/>
  <c r="D80" i="6"/>
  <c r="G80" i="6"/>
  <c r="L80" i="6" s="1"/>
  <c r="R80" i="6"/>
  <c r="S80" i="6" s="1"/>
  <c r="D81" i="6"/>
  <c r="G81" i="6"/>
  <c r="K81" i="6" s="1"/>
  <c r="R81" i="6"/>
  <c r="S81" i="6" s="1"/>
  <c r="J81" i="6" s="1"/>
  <c r="D82" i="6"/>
  <c r="G82" i="6"/>
  <c r="K82" i="6" s="1"/>
  <c r="R82" i="6"/>
  <c r="D83" i="6"/>
  <c r="G83" i="6"/>
  <c r="M83" i="6" s="1"/>
  <c r="B83" i="6" s="1" a="1"/>
  <c r="B83" i="6" s="1"/>
  <c r="R83" i="6"/>
  <c r="S83" i="6" s="1"/>
  <c r="J83" i="6" s="1"/>
  <c r="D84" i="6"/>
  <c r="G84" i="6"/>
  <c r="L84" i="6" s="1"/>
  <c r="R84" i="6"/>
  <c r="S84" i="6" s="1"/>
  <c r="D85" i="6"/>
  <c r="G85" i="6"/>
  <c r="K85" i="6" s="1"/>
  <c r="R85" i="6"/>
  <c r="S85" i="6" s="1"/>
  <c r="D86" i="6"/>
  <c r="G86" i="6"/>
  <c r="K86" i="6" s="1"/>
  <c r="R86" i="6"/>
  <c r="S86" i="6" s="1"/>
  <c r="J86" i="6" s="1"/>
  <c r="D87" i="6"/>
  <c r="G87" i="6"/>
  <c r="K87" i="6" s="1"/>
  <c r="R87" i="6"/>
  <c r="S87" i="6" s="1"/>
  <c r="D9" i="6"/>
  <c r="G9" i="6"/>
  <c r="L9" i="6" s="1"/>
  <c r="R9" i="6"/>
  <c r="S9" i="6" s="1"/>
  <c r="D8" i="6"/>
  <c r="G8" i="6"/>
  <c r="K8" i="6" s="1"/>
  <c r="R8" i="6"/>
  <c r="S8" i="6" s="1"/>
  <c r="J8" i="6" s="1"/>
  <c r="D47" i="6"/>
  <c r="G47" i="6"/>
  <c r="M47" i="6" s="1"/>
  <c r="B47" i="6" s="1" a="1"/>
  <c r="B47" i="6" s="1"/>
  <c r="R47" i="6"/>
  <c r="S47" i="6" s="1"/>
  <c r="D66" i="6"/>
  <c r="G66" i="6"/>
  <c r="M66" i="6" s="1"/>
  <c r="R66" i="6"/>
  <c r="S66" i="6" s="1"/>
  <c r="D72" i="6"/>
  <c r="G72" i="6"/>
  <c r="K72" i="6" s="1"/>
  <c r="R72" i="6"/>
  <c r="D27" i="6"/>
  <c r="G27" i="6"/>
  <c r="K27" i="6" s="1"/>
  <c r="R27" i="6"/>
  <c r="S27" i="6" s="1"/>
  <c r="J27" i="6" s="1"/>
  <c r="D32" i="6"/>
  <c r="G32" i="6"/>
  <c r="L32" i="6" s="1"/>
  <c r="R32" i="6"/>
  <c r="S32" i="6" s="1"/>
  <c r="D34" i="6"/>
  <c r="G34" i="6"/>
  <c r="L34" i="6" s="1"/>
  <c r="R34" i="6"/>
  <c r="S34" i="6" s="1"/>
  <c r="D35" i="6"/>
  <c r="G35" i="6"/>
  <c r="K35" i="6" s="1"/>
  <c r="R35" i="6"/>
  <c r="S35" i="6" s="1"/>
  <c r="J35" i="6" s="1"/>
  <c r="D49" i="6"/>
  <c r="G49" i="6"/>
  <c r="K49" i="6" s="1"/>
  <c r="R49" i="6"/>
  <c r="D50" i="6"/>
  <c r="G50" i="6"/>
  <c r="M50" i="6" s="1"/>
  <c r="B50" i="6" s="1" a="1"/>
  <c r="B50" i="6" s="1"/>
  <c r="R50" i="6"/>
  <c r="S50" i="6" s="1"/>
  <c r="D51" i="6"/>
  <c r="G51" i="6"/>
  <c r="K51" i="6" s="1"/>
  <c r="R51" i="6"/>
  <c r="S51" i="6" s="1"/>
  <c r="D52" i="6"/>
  <c r="G52" i="6"/>
  <c r="K52" i="6" s="1"/>
  <c r="R52" i="6"/>
  <c r="S52" i="6" s="1"/>
  <c r="J52" i="6" s="1"/>
  <c r="D54" i="6"/>
  <c r="G54" i="6"/>
  <c r="L54" i="6" s="1"/>
  <c r="R54" i="6"/>
  <c r="S54" i="6" s="1"/>
  <c r="J54" i="6" s="1"/>
  <c r="D29" i="6"/>
  <c r="G29" i="6"/>
  <c r="L29" i="6" s="1"/>
  <c r="R29" i="6"/>
  <c r="S29" i="6" s="1"/>
  <c r="D48" i="6"/>
  <c r="G48" i="6"/>
  <c r="L48" i="6" s="1"/>
  <c r="R48" i="6"/>
  <c r="S48" i="6" s="1"/>
  <c r="D55" i="6"/>
  <c r="G55" i="6"/>
  <c r="K55" i="6" s="1"/>
  <c r="R55" i="6"/>
  <c r="S55" i="6" s="1"/>
  <c r="J55" i="6" s="1"/>
  <c r="D46" i="6"/>
  <c r="G46" i="6"/>
  <c r="K46" i="6" s="1"/>
  <c r="R46" i="6"/>
  <c r="D56" i="6"/>
  <c r="G56" i="6"/>
  <c r="M56" i="6" s="1"/>
  <c r="B56" i="6" s="1" a="1"/>
  <c r="B56" i="6" s="1"/>
  <c r="R56" i="6"/>
  <c r="S56" i="6" s="1"/>
  <c r="C8" i="17"/>
  <c r="D8" i="17" s="1"/>
  <c r="G8" i="17"/>
  <c r="H8" i="17" s="1"/>
  <c r="G31" i="17"/>
  <c r="H31" i="17" s="1"/>
  <c r="D23" i="14"/>
  <c r="D29" i="14"/>
  <c r="D40" i="14"/>
  <c r="D33" i="14"/>
  <c r="D45" i="14"/>
  <c r="D46" i="14"/>
  <c r="D47" i="14"/>
  <c r="D48" i="14"/>
  <c r="D49" i="14"/>
  <c r="D50" i="14"/>
  <c r="D51" i="14"/>
  <c r="D53" i="14"/>
  <c r="D55" i="14"/>
  <c r="D56" i="14"/>
  <c r="D57" i="14"/>
  <c r="D58" i="14"/>
  <c r="D98" i="14"/>
  <c r="D99" i="14"/>
  <c r="D100" i="14"/>
  <c r="D102" i="14"/>
  <c r="D104" i="14"/>
  <c r="D105" i="14"/>
  <c r="D8" i="14"/>
  <c r="R29" i="14"/>
  <c r="S29" i="14" s="1"/>
  <c r="R40" i="14"/>
  <c r="R33" i="14"/>
  <c r="S33" i="14" s="1"/>
  <c r="R45" i="14"/>
  <c r="S45" i="14" s="1"/>
  <c r="J45" i="14" s="1"/>
  <c r="R46" i="14"/>
  <c r="R47" i="14"/>
  <c r="S47" i="14" s="1"/>
  <c r="J47" i="14" s="1"/>
  <c r="R48" i="14"/>
  <c r="R49" i="14"/>
  <c r="R50" i="14"/>
  <c r="R51" i="14"/>
  <c r="S51" i="14" s="1"/>
  <c r="J51" i="14" s="1"/>
  <c r="R53" i="14"/>
  <c r="S53" i="14" s="1"/>
  <c r="R55" i="14"/>
  <c r="S55" i="14" s="1"/>
  <c r="J55" i="14" s="1"/>
  <c r="R56" i="14"/>
  <c r="R57" i="14"/>
  <c r="S57" i="14" s="1"/>
  <c r="J57" i="14" s="1"/>
  <c r="R58" i="14"/>
  <c r="S58" i="14" s="1"/>
  <c r="J58" i="14" s="1"/>
  <c r="R98" i="14"/>
  <c r="S98" i="14" s="1"/>
  <c r="R99" i="14"/>
  <c r="S99" i="14" s="1"/>
  <c r="J99" i="14" s="1"/>
  <c r="R100" i="14"/>
  <c r="S100" i="14" s="1"/>
  <c r="J100" i="14" s="1"/>
  <c r="R102" i="14"/>
  <c r="S102" i="14" s="1"/>
  <c r="R104" i="14"/>
  <c r="S104" i="14" s="1"/>
  <c r="J104" i="14" s="1"/>
  <c r="R105" i="14"/>
  <c r="R8" i="14"/>
  <c r="S8" i="14" s="1"/>
  <c r="J8" i="14" s="1"/>
  <c r="R23" i="14"/>
  <c r="S23" i="14" s="1"/>
  <c r="J23" i="14" s="1"/>
  <c r="E58" i="17"/>
  <c r="F58" i="17" s="1"/>
  <c r="G58" i="17"/>
  <c r="H58" i="17" s="1"/>
  <c r="E35" i="17"/>
  <c r="F35" i="17" s="1"/>
  <c r="G35" i="17"/>
  <c r="H35" i="17" s="1"/>
  <c r="E21" i="17"/>
  <c r="F21" i="17" s="1"/>
  <c r="G21" i="17"/>
  <c r="H21" i="17" s="1"/>
  <c r="D15" i="11"/>
  <c r="D8" i="11"/>
  <c r="D30" i="11"/>
  <c r="D23" i="11"/>
  <c r="D33" i="11"/>
  <c r="D48" i="11"/>
  <c r="D49" i="11"/>
  <c r="D52" i="11"/>
  <c r="D53" i="11"/>
  <c r="D54" i="11"/>
  <c r="D56" i="11"/>
  <c r="D60" i="11"/>
  <c r="D61" i="11"/>
  <c r="D63" i="11"/>
  <c r="D67" i="11"/>
  <c r="D68" i="11"/>
  <c r="D74" i="11"/>
  <c r="D76" i="11"/>
  <c r="D79" i="11"/>
  <c r="D80" i="11"/>
  <c r="D82" i="11"/>
  <c r="D85" i="11"/>
  <c r="D89" i="11"/>
  <c r="D97" i="11"/>
  <c r="D98" i="11"/>
  <c r="D99" i="11"/>
  <c r="D108" i="11"/>
  <c r="D109" i="11"/>
  <c r="D110" i="11"/>
  <c r="D111" i="11"/>
  <c r="D112" i="11"/>
  <c r="D113" i="11"/>
  <c r="D114" i="11"/>
  <c r="D115" i="11"/>
  <c r="D117" i="11"/>
  <c r="D118" i="11"/>
  <c r="D119" i="11"/>
  <c r="D120" i="11"/>
  <c r="D124" i="11"/>
  <c r="D125" i="11"/>
  <c r="D126" i="11"/>
  <c r="D128" i="11"/>
  <c r="D129" i="11"/>
  <c r="D131" i="11"/>
  <c r="D134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8" i="11"/>
  <c r="S48" i="11" s="1"/>
  <c r="X48" i="11"/>
  <c r="AE48" i="11"/>
  <c r="G49" i="11"/>
  <c r="K49" i="11" s="1"/>
  <c r="X49" i="11"/>
  <c r="AE49" i="11"/>
  <c r="G52" i="11"/>
  <c r="X52" i="11"/>
  <c r="AE52" i="11"/>
  <c r="G53" i="11"/>
  <c r="K53" i="11" s="1"/>
  <c r="X53" i="11"/>
  <c r="AE53" i="11"/>
  <c r="G54" i="11"/>
  <c r="L54" i="11" s="1"/>
  <c r="X54" i="11"/>
  <c r="AE54" i="11"/>
  <c r="G56" i="11"/>
  <c r="M56" i="11" s="1"/>
  <c r="B56" i="11" s="1" a="1"/>
  <c r="B56" i="11" s="1"/>
  <c r="X56" i="11"/>
  <c r="AE56" i="11"/>
  <c r="G60" i="11"/>
  <c r="R60" i="11" s="1"/>
  <c r="X60" i="11"/>
  <c r="AE60" i="11"/>
  <c r="G61" i="11"/>
  <c r="R61" i="11" s="1"/>
  <c r="X61" i="11"/>
  <c r="AE61" i="11"/>
  <c r="G63" i="11"/>
  <c r="L63" i="11" s="1"/>
  <c r="X63" i="11"/>
  <c r="AE63" i="11"/>
  <c r="G67" i="11"/>
  <c r="K67" i="11" s="1"/>
  <c r="X67" i="11"/>
  <c r="AE67" i="11"/>
  <c r="G68" i="11"/>
  <c r="X68" i="11"/>
  <c r="AE68" i="11"/>
  <c r="G74" i="11"/>
  <c r="K74" i="11" s="1"/>
  <c r="X74" i="11"/>
  <c r="AE74" i="11"/>
  <c r="G76" i="11"/>
  <c r="L76" i="11" s="1"/>
  <c r="X76" i="11"/>
  <c r="AE76" i="11"/>
  <c r="G79" i="11"/>
  <c r="M79" i="11" s="1"/>
  <c r="B79" i="11" s="1" a="1"/>
  <c r="B79" i="11" s="1"/>
  <c r="X79" i="11"/>
  <c r="AE79" i="11"/>
  <c r="G80" i="11"/>
  <c r="R80" i="11" s="1"/>
  <c r="X80" i="11"/>
  <c r="AE80" i="11"/>
  <c r="G82" i="11"/>
  <c r="R82" i="11" s="1"/>
  <c r="X82" i="11"/>
  <c r="AE82" i="11"/>
  <c r="G85" i="11"/>
  <c r="R85" i="11" s="1"/>
  <c r="X85" i="11"/>
  <c r="AE85" i="11"/>
  <c r="G89" i="11"/>
  <c r="X89" i="11"/>
  <c r="AE89" i="11"/>
  <c r="G97" i="11"/>
  <c r="X97" i="11"/>
  <c r="AE97" i="11"/>
  <c r="G98" i="11"/>
  <c r="X98" i="11"/>
  <c r="AE98" i="11"/>
  <c r="G99" i="11"/>
  <c r="L99" i="11" s="1"/>
  <c r="X99" i="11"/>
  <c r="AE99" i="11"/>
  <c r="G108" i="11"/>
  <c r="L108" i="11" s="1"/>
  <c r="X108" i="11"/>
  <c r="AE108" i="11"/>
  <c r="G109" i="11"/>
  <c r="L109" i="11" s="1"/>
  <c r="X109" i="11"/>
  <c r="AE109" i="11"/>
  <c r="G110" i="11"/>
  <c r="X110" i="11"/>
  <c r="AE110" i="11"/>
  <c r="G111" i="11"/>
  <c r="L111" i="11" s="1"/>
  <c r="X111" i="11"/>
  <c r="AE111" i="11"/>
  <c r="G112" i="11"/>
  <c r="L112" i="11" s="1"/>
  <c r="X112" i="11"/>
  <c r="AE112" i="11"/>
  <c r="G113" i="11"/>
  <c r="X113" i="11"/>
  <c r="AE113" i="11"/>
  <c r="G114" i="11"/>
  <c r="X114" i="11"/>
  <c r="AE114" i="11"/>
  <c r="G115" i="11"/>
  <c r="L115" i="11" s="1"/>
  <c r="X115" i="11"/>
  <c r="AE115" i="11"/>
  <c r="G117" i="11"/>
  <c r="X117" i="11"/>
  <c r="AE117" i="11"/>
  <c r="G118" i="11"/>
  <c r="L118" i="11" s="1"/>
  <c r="X118" i="11"/>
  <c r="AE118" i="11"/>
  <c r="G119" i="11"/>
  <c r="L119" i="11" s="1"/>
  <c r="X119" i="11"/>
  <c r="AE119" i="11"/>
  <c r="G120" i="11"/>
  <c r="L120" i="11" s="1"/>
  <c r="X120" i="11"/>
  <c r="AE120" i="11"/>
  <c r="G124" i="11"/>
  <c r="L124" i="11" s="1"/>
  <c r="X124" i="11"/>
  <c r="AE124" i="11"/>
  <c r="G125" i="11"/>
  <c r="X125" i="11"/>
  <c r="AE125" i="11"/>
  <c r="G126" i="11"/>
  <c r="X126" i="11"/>
  <c r="AE126" i="11"/>
  <c r="G128" i="11"/>
  <c r="L128" i="11" s="1"/>
  <c r="X128" i="11"/>
  <c r="AE128" i="11"/>
  <c r="G129" i="11"/>
  <c r="L129" i="11" s="1"/>
  <c r="X129" i="11"/>
  <c r="AE129" i="11"/>
  <c r="G131" i="11"/>
  <c r="X131" i="11"/>
  <c r="AE131" i="11"/>
  <c r="G134" i="11"/>
  <c r="L134" i="11" s="1"/>
  <c r="X134" i="11"/>
  <c r="AE134" i="11"/>
  <c r="G15" i="11"/>
  <c r="L15" i="11" s="1"/>
  <c r="X15" i="11"/>
  <c r="AE15" i="11"/>
  <c r="G38" i="17"/>
  <c r="H38" i="17" s="1"/>
  <c r="D60" i="3"/>
  <c r="G60" i="3"/>
  <c r="L60" i="3" s="1"/>
  <c r="X60" i="3"/>
  <c r="AE60" i="3"/>
  <c r="D61" i="3"/>
  <c r="G61" i="3"/>
  <c r="M61" i="3" s="1"/>
  <c r="B61" i="3" s="1" a="1"/>
  <c r="B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3" i="3"/>
  <c r="G83" i="3"/>
  <c r="X83" i="3"/>
  <c r="AE83" i="3"/>
  <c r="G45" i="17"/>
  <c r="H45" i="17" s="1"/>
  <c r="D10" i="3"/>
  <c r="G10" i="3"/>
  <c r="L10" i="3" s="1"/>
  <c r="X10" i="3"/>
  <c r="AE10" i="3"/>
  <c r="D30" i="3"/>
  <c r="G30" i="3"/>
  <c r="M30" i="3" s="1"/>
  <c r="B30" i="3" s="1" a="1"/>
  <c r="B30" i="3" s="1"/>
  <c r="X30" i="3"/>
  <c r="AE30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B55" i="3" s="1" a="1"/>
  <c r="B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4" i="17"/>
  <c r="H64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12" i="15"/>
  <c r="S12" i="15" s="1"/>
  <c r="R10" i="15"/>
  <c r="S10" i="15" s="1"/>
  <c r="R11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3" i="15"/>
  <c r="S3" i="15" s="1"/>
  <c r="R4" i="15"/>
  <c r="S4" i="15" s="1"/>
  <c r="R7" i="15"/>
  <c r="S7" i="15" s="1"/>
  <c r="R5" i="15"/>
  <c r="S5" i="15" s="1"/>
  <c r="J5" i="15" s="1"/>
  <c r="R9" i="15"/>
  <c r="S9" i="15" s="1"/>
  <c r="J9" i="15" s="1"/>
  <c r="R18" i="15"/>
  <c r="S18" i="15" s="1"/>
  <c r="R27" i="14"/>
  <c r="S27" i="14" s="1"/>
  <c r="J27" i="14" s="1"/>
  <c r="R18" i="14"/>
  <c r="S18" i="14" s="1"/>
  <c r="J18" i="14" s="1"/>
  <c r="R22" i="14"/>
  <c r="S22" i="14" s="1"/>
  <c r="J22" i="14" s="1"/>
  <c r="R35" i="14"/>
  <c r="S35" i="14" s="1"/>
  <c r="J35" i="14" s="1"/>
  <c r="R31" i="14"/>
  <c r="S31" i="14" s="1"/>
  <c r="J31" i="14" s="1"/>
  <c r="R19" i="14"/>
  <c r="R37" i="14"/>
  <c r="S37" i="14" s="1"/>
  <c r="J37" i="14" s="1"/>
  <c r="R38" i="14"/>
  <c r="S38" i="14" s="1"/>
  <c r="J38" i="14" s="1"/>
  <c r="R26" i="14"/>
  <c r="S26" i="14" s="1"/>
  <c r="J26" i="14" s="1"/>
  <c r="R21" i="14"/>
  <c r="S21" i="14" s="1"/>
  <c r="J21" i="14" s="1"/>
  <c r="R44" i="14"/>
  <c r="S44" i="14" s="1"/>
  <c r="R42" i="14"/>
  <c r="S42" i="14" s="1"/>
  <c r="J42" i="14" s="1"/>
  <c r="R60" i="14"/>
  <c r="S60" i="14" s="1"/>
  <c r="J60" i="14" s="1"/>
  <c r="R9" i="14"/>
  <c r="R59" i="14"/>
  <c r="S59" i="14" s="1"/>
  <c r="J59" i="14" s="1"/>
  <c r="R20" i="14"/>
  <c r="S20" i="14" s="1"/>
  <c r="J20" i="14" s="1"/>
  <c r="R54" i="14"/>
  <c r="S54" i="14" s="1"/>
  <c r="J54" i="14" s="1"/>
  <c r="R30" i="14"/>
  <c r="S30" i="14" s="1"/>
  <c r="J30" i="14" s="1"/>
  <c r="R25" i="14"/>
  <c r="S25" i="14" s="1"/>
  <c r="J25" i="14" s="1"/>
  <c r="R34" i="14"/>
  <c r="S34" i="14" s="1"/>
  <c r="J34" i="14" s="1"/>
  <c r="R70" i="14"/>
  <c r="R72" i="14"/>
  <c r="R73" i="14"/>
  <c r="S73" i="14" s="1"/>
  <c r="J73" i="14" s="1"/>
  <c r="R78" i="14"/>
  <c r="S78" i="14" s="1"/>
  <c r="R66" i="14"/>
  <c r="S66" i="14" s="1"/>
  <c r="R80" i="14"/>
  <c r="S80" i="14" s="1"/>
  <c r="J80" i="14" s="1"/>
  <c r="R76" i="14"/>
  <c r="S76" i="14" s="1"/>
  <c r="J76" i="14" s="1"/>
  <c r="R81" i="14"/>
  <c r="S81" i="14" s="1"/>
  <c r="J81" i="14" s="1"/>
  <c r="R67" i="14"/>
  <c r="S67" i="14" s="1"/>
  <c r="R83" i="14"/>
  <c r="R82" i="14"/>
  <c r="S82" i="14" s="1"/>
  <c r="J82" i="14" s="1"/>
  <c r="R75" i="14"/>
  <c r="S75" i="14" s="1"/>
  <c r="R85" i="14"/>
  <c r="S85" i="14" s="1"/>
  <c r="J85" i="14" s="1"/>
  <c r="R74" i="14"/>
  <c r="S74" i="14" s="1"/>
  <c r="J74" i="14" s="1"/>
  <c r="R84" i="14"/>
  <c r="S84" i="14" s="1"/>
  <c r="R101" i="14"/>
  <c r="S101" i="14" s="1"/>
  <c r="J101" i="14" s="1"/>
  <c r="R96" i="14"/>
  <c r="S96" i="14" s="1"/>
  <c r="R97" i="14"/>
  <c r="R95" i="14"/>
  <c r="R103" i="14"/>
  <c r="S103" i="14" s="1"/>
  <c r="R65" i="14"/>
  <c r="R63" i="14"/>
  <c r="S63" i="14" s="1"/>
  <c r="J63" i="14" s="1"/>
  <c r="R64" i="14"/>
  <c r="S64" i="14" s="1"/>
  <c r="R93" i="14"/>
  <c r="S93" i="14" s="1"/>
  <c r="J93" i="14" s="1"/>
  <c r="R94" i="14"/>
  <c r="S94" i="14" s="1"/>
  <c r="J94" i="14" s="1"/>
  <c r="R7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2" i="14"/>
  <c r="S52" i="14" s="1"/>
  <c r="R24" i="14"/>
  <c r="S24" i="14" s="1"/>
  <c r="J24" i="14" s="1"/>
  <c r="R61" i="14"/>
  <c r="S61" i="14" s="1"/>
  <c r="J61" i="14" s="1"/>
  <c r="R62" i="14"/>
  <c r="S62" i="14" s="1"/>
  <c r="J62" i="14" s="1"/>
  <c r="R92" i="14"/>
  <c r="S92" i="14" s="1"/>
  <c r="R3" i="14"/>
  <c r="R4" i="14"/>
  <c r="S4" i="14" s="1"/>
  <c r="R5" i="14"/>
  <c r="S5" i="14" s="1"/>
  <c r="R6" i="14"/>
  <c r="S6" i="14" s="1"/>
  <c r="R14" i="14"/>
  <c r="S14" i="14" s="1"/>
  <c r="J14" i="14" s="1"/>
  <c r="R17" i="14"/>
  <c r="S17" i="14" s="1"/>
  <c r="J17" i="14" s="1"/>
  <c r="R25" i="6"/>
  <c r="R23" i="6"/>
  <c r="S23" i="6" s="1"/>
  <c r="R31" i="6"/>
  <c r="R38" i="6"/>
  <c r="S38" i="6" s="1"/>
  <c r="R33" i="6"/>
  <c r="S33" i="6" s="1"/>
  <c r="R43" i="6"/>
  <c r="S43" i="6" s="1"/>
  <c r="R42" i="6"/>
  <c r="S42" i="6" s="1"/>
  <c r="R53" i="6"/>
  <c r="S53" i="6" s="1"/>
  <c r="R37" i="6"/>
  <c r="S37" i="6" s="1"/>
  <c r="R44" i="6"/>
  <c r="S44" i="6" s="1"/>
  <c r="R39" i="6"/>
  <c r="S39" i="6" s="1"/>
  <c r="R28" i="6"/>
  <c r="R30" i="6"/>
  <c r="S30" i="6" s="1"/>
  <c r="R36" i="6"/>
  <c r="S36" i="6" s="1"/>
  <c r="R89" i="6"/>
  <c r="R94" i="6"/>
  <c r="S94" i="6" s="1"/>
  <c r="R90" i="6"/>
  <c r="R93" i="6"/>
  <c r="S93" i="6" s="1"/>
  <c r="R98" i="6"/>
  <c r="S98" i="6" s="1"/>
  <c r="R95" i="6"/>
  <c r="S95" i="6" s="1"/>
  <c r="R74" i="6"/>
  <c r="S74" i="6" s="1"/>
  <c r="J74" i="6" s="1"/>
  <c r="R71" i="6"/>
  <c r="S71" i="6" s="1"/>
  <c r="R67" i="6"/>
  <c r="R77" i="6"/>
  <c r="R76" i="6"/>
  <c r="S76" i="6" s="1"/>
  <c r="R68" i="6"/>
  <c r="S68" i="6" s="1"/>
  <c r="R78" i="6"/>
  <c r="S78" i="6" s="1"/>
  <c r="R62" i="6"/>
  <c r="R64" i="6"/>
  <c r="S64" i="6" s="1"/>
  <c r="J64" i="6" s="1"/>
  <c r="R70" i="6"/>
  <c r="S70" i="6" s="1"/>
  <c r="R73" i="6"/>
  <c r="S73" i="6" s="1"/>
  <c r="R69" i="6"/>
  <c r="S69" i="6" s="1"/>
  <c r="R88" i="6"/>
  <c r="R12" i="6"/>
  <c r="S12" i="6" s="1"/>
  <c r="R11" i="6"/>
  <c r="R16" i="6"/>
  <c r="S16" i="6" s="1"/>
  <c r="R15" i="6"/>
  <c r="S15" i="6" s="1"/>
  <c r="R24" i="6"/>
  <c r="S24" i="6" s="1"/>
  <c r="R17" i="6"/>
  <c r="R14" i="6"/>
  <c r="S14" i="6" s="1"/>
  <c r="R26" i="6"/>
  <c r="S26" i="6" s="1"/>
  <c r="R18" i="6"/>
  <c r="S18" i="6" s="1"/>
  <c r="R40" i="6"/>
  <c r="S40" i="6" s="1"/>
  <c r="R57" i="6"/>
  <c r="R59" i="6"/>
  <c r="S59" i="6" s="1"/>
  <c r="R45" i="6"/>
  <c r="S45" i="6" s="1"/>
  <c r="R61" i="6"/>
  <c r="R63" i="6"/>
  <c r="S63" i="6" s="1"/>
  <c r="R65" i="6"/>
  <c r="S65" i="6" s="1"/>
  <c r="R60" i="6"/>
  <c r="S60" i="6" s="1"/>
  <c r="R3" i="6"/>
  <c r="S3" i="6" s="1"/>
  <c r="R6" i="6"/>
  <c r="S6" i="6" s="1"/>
  <c r="R4" i="6"/>
  <c r="S4" i="6" s="1"/>
  <c r="J4" i="6" s="1"/>
  <c r="R10" i="6"/>
  <c r="S10" i="6" s="1"/>
  <c r="R5" i="6"/>
  <c r="R19" i="6"/>
  <c r="S19" i="6" s="1"/>
  <c r="R20" i="6"/>
  <c r="S20" i="6" s="1"/>
  <c r="R13" i="6"/>
  <c r="S13" i="6" s="1"/>
  <c r="R41" i="6"/>
  <c r="S41" i="6" s="1"/>
  <c r="R21" i="6"/>
  <c r="S21" i="6" s="1"/>
  <c r="J21" i="6" s="1"/>
  <c r="R7" i="6"/>
  <c r="S7" i="6" s="1"/>
  <c r="R22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7" i="11"/>
  <c r="G87" i="11"/>
  <c r="L87" i="11" s="1"/>
  <c r="X87" i="11"/>
  <c r="AE87" i="11"/>
  <c r="D123" i="11"/>
  <c r="G123" i="11"/>
  <c r="L123" i="11" s="1"/>
  <c r="X123" i="11"/>
  <c r="AE123" i="11"/>
  <c r="D3" i="11"/>
  <c r="G3" i="11"/>
  <c r="L3" i="11" s="1"/>
  <c r="X3" i="11"/>
  <c r="AE3" i="11"/>
  <c r="D5" i="11"/>
  <c r="G5" i="11"/>
  <c r="K5" i="11" s="1"/>
  <c r="X5" i="11"/>
  <c r="AE5" i="11"/>
  <c r="D6" i="11"/>
  <c r="G6" i="11"/>
  <c r="K6" i="11" s="1"/>
  <c r="X6" i="11"/>
  <c r="AE6" i="11"/>
  <c r="D4" i="11"/>
  <c r="G4" i="11"/>
  <c r="M4" i="11" s="1"/>
  <c r="X4" i="11"/>
  <c r="AE4" i="11"/>
  <c r="D81" i="11"/>
  <c r="G81" i="11"/>
  <c r="K81" i="11" s="1"/>
  <c r="X81" i="11"/>
  <c r="AE81" i="11"/>
  <c r="X42" i="3"/>
  <c r="E20" i="17" l="1"/>
  <c r="F20" i="17" s="1"/>
  <c r="K47" i="6"/>
  <c r="K7" i="13"/>
  <c r="N20" i="13"/>
  <c r="L30" i="13"/>
  <c r="M39" i="13"/>
  <c r="L77" i="11"/>
  <c r="K7" i="11"/>
  <c r="M20" i="11"/>
  <c r="B20" i="11" s="1" a="1"/>
  <c r="B20" i="11" s="1"/>
  <c r="M103" i="3"/>
  <c r="B103" i="3" s="1" a="1"/>
  <c r="B103" i="3" s="1"/>
  <c r="K94" i="3"/>
  <c r="M89" i="3"/>
  <c r="B89" i="3" s="1" a="1"/>
  <c r="B89" i="3" s="1"/>
  <c r="M106" i="3"/>
  <c r="B106" i="3" s="1" a="1"/>
  <c r="B106" i="3" s="1"/>
  <c r="M59" i="11"/>
  <c r="B59" i="11" s="1" a="1"/>
  <c r="B59" i="11" s="1"/>
  <c r="R59" i="11"/>
  <c r="S59" i="11" s="1"/>
  <c r="J59" i="11" s="1"/>
  <c r="R20" i="11"/>
  <c r="R11" i="11"/>
  <c r="S11" i="11" s="1"/>
  <c r="J11" i="11" s="1"/>
  <c r="K59" i="11"/>
  <c r="L20" i="11"/>
  <c r="R77" i="11"/>
  <c r="S77" i="11" s="1"/>
  <c r="J77" i="11" s="1"/>
  <c r="M11" i="11"/>
  <c r="B11" i="11" s="1" a="1"/>
  <c r="B11" i="11" s="1"/>
  <c r="L11" i="11"/>
  <c r="L9" i="11"/>
  <c r="M77" i="11"/>
  <c r="B77" i="11" s="1" a="1"/>
  <c r="B77" i="11" s="1"/>
  <c r="K11" i="11"/>
  <c r="K9" i="11"/>
  <c r="R84" i="11"/>
  <c r="M84" i="11"/>
  <c r="B84" i="11" s="1" a="1"/>
  <c r="B84" i="11" s="1"/>
  <c r="R7" i="11"/>
  <c r="S7" i="11" s="1"/>
  <c r="L84" i="11"/>
  <c r="R9" i="11"/>
  <c r="S9" i="11" s="1"/>
  <c r="S20" i="11"/>
  <c r="J20" i="11" s="1"/>
  <c r="M7" i="11"/>
  <c r="K91" i="3"/>
  <c r="M88" i="3"/>
  <c r="B88" i="3" s="1" a="1"/>
  <c r="B88" i="3" s="1"/>
  <c r="K86" i="3"/>
  <c r="M97" i="3"/>
  <c r="B97" i="3" s="1" a="1"/>
  <c r="B97" i="3" s="1"/>
  <c r="K93" i="3"/>
  <c r="K103" i="3"/>
  <c r="K85" i="3"/>
  <c r="K101" i="3"/>
  <c r="R102" i="3"/>
  <c r="S102" i="3" s="1"/>
  <c r="J102" i="3" s="1"/>
  <c r="L106" i="3"/>
  <c r="R88" i="3"/>
  <c r="S88" i="3" s="1"/>
  <c r="J88" i="3" s="1"/>
  <c r="R92" i="3"/>
  <c r="S92" i="3" s="1"/>
  <c r="J92" i="3" s="1"/>
  <c r="R105" i="3"/>
  <c r="S105" i="3" s="1"/>
  <c r="J105" i="3" s="1"/>
  <c r="R87" i="3"/>
  <c r="S87" i="3" s="1"/>
  <c r="J87" i="3" s="1"/>
  <c r="R96" i="3"/>
  <c r="S96" i="3" s="1"/>
  <c r="J96" i="3" s="1"/>
  <c r="R103" i="3"/>
  <c r="R86" i="3"/>
  <c r="S86" i="3" s="1"/>
  <c r="J86" i="3" s="1"/>
  <c r="L103" i="3"/>
  <c r="M92" i="3"/>
  <c r="B92" i="3" s="1" a="1"/>
  <c r="B92" i="3" s="1"/>
  <c r="L97" i="3"/>
  <c r="M96" i="3"/>
  <c r="B96" i="3" s="1" a="1"/>
  <c r="B96" i="3" s="1"/>
  <c r="R91" i="3"/>
  <c r="M102" i="3"/>
  <c r="B102" i="3" s="1" a="1"/>
  <c r="B102" i="3" s="1"/>
  <c r="L92" i="3"/>
  <c r="K97" i="3"/>
  <c r="K96" i="3"/>
  <c r="M91" i="3"/>
  <c r="B91" i="3" s="1" a="1"/>
  <c r="B91" i="3" s="1"/>
  <c r="R90" i="3"/>
  <c r="S90" i="3" s="1"/>
  <c r="J90" i="3" s="1"/>
  <c r="K102" i="3"/>
  <c r="M105" i="3"/>
  <c r="B105" i="3" s="1" a="1"/>
  <c r="B105" i="3" s="1"/>
  <c r="L91" i="3"/>
  <c r="L90" i="3"/>
  <c r="M87" i="3"/>
  <c r="B87" i="3" s="1" a="1"/>
  <c r="B87" i="3" s="1"/>
  <c r="L89" i="3"/>
  <c r="L105" i="3"/>
  <c r="K106" i="3"/>
  <c r="K90" i="3"/>
  <c r="L87" i="3"/>
  <c r="K89" i="3"/>
  <c r="K92" i="3"/>
  <c r="R93" i="3"/>
  <c r="S93" i="3" s="1"/>
  <c r="M90" i="3"/>
  <c r="B90" i="3" s="1" a="1"/>
  <c r="B90" i="3" s="1"/>
  <c r="L88" i="3"/>
  <c r="K87" i="3"/>
  <c r="R101" i="3"/>
  <c r="L102" i="3"/>
  <c r="K105" i="3"/>
  <c r="R94" i="3"/>
  <c r="S94" i="3" s="1"/>
  <c r="K88" i="3"/>
  <c r="R85" i="3"/>
  <c r="M93" i="3"/>
  <c r="B93" i="3" s="1" a="1"/>
  <c r="B93" i="3" s="1"/>
  <c r="M101" i="3"/>
  <c r="B101" i="3" s="1" a="1"/>
  <c r="B101" i="3" s="1"/>
  <c r="R97" i="3"/>
  <c r="M94" i="3"/>
  <c r="B94" i="3" s="1" a="1"/>
  <c r="B94" i="3" s="1"/>
  <c r="L93" i="3"/>
  <c r="R89" i="3"/>
  <c r="M85" i="3"/>
  <c r="B85" i="3" s="1" a="1"/>
  <c r="B85" i="3" s="1"/>
  <c r="L101" i="3"/>
  <c r="R106" i="3"/>
  <c r="S106" i="3" s="1"/>
  <c r="L94" i="3"/>
  <c r="M86" i="3"/>
  <c r="B86" i="3" s="1" a="1"/>
  <c r="B86" i="3" s="1"/>
  <c r="L85" i="3"/>
  <c r="M81" i="6"/>
  <c r="B81" i="6" s="1" a="1"/>
  <c r="B81" i="6" s="1"/>
  <c r="M31" i="15"/>
  <c r="B31" i="15" s="1" a="1"/>
  <c r="B31" i="15" s="1"/>
  <c r="K28" i="15"/>
  <c r="S49" i="11"/>
  <c r="M52" i="6"/>
  <c r="B52" i="6" s="1" a="1"/>
  <c r="B52" i="6" s="1"/>
  <c r="M75" i="6"/>
  <c r="B75" i="6" s="1" a="1"/>
  <c r="B75" i="6" s="1"/>
  <c r="M43" i="14"/>
  <c r="B43" i="14" s="1" a="1"/>
  <c r="B43" i="14" s="1"/>
  <c r="L43" i="14"/>
  <c r="L55" i="14"/>
  <c r="K28" i="14"/>
  <c r="K87" i="14"/>
  <c r="K54" i="6"/>
  <c r="K83" i="6"/>
  <c r="L79" i="6"/>
  <c r="M32" i="6"/>
  <c r="B32" i="6" s="1" a="1"/>
  <c r="B32" i="6" s="1"/>
  <c r="K32" i="6"/>
  <c r="M86" i="6"/>
  <c r="B86" i="6" s="1" a="1"/>
  <c r="B86" i="6" s="1"/>
  <c r="M79" i="6"/>
  <c r="B79" i="6" s="1" a="1"/>
  <c r="B79" i="6" s="1"/>
  <c r="M29" i="6"/>
  <c r="B29" i="6" s="1" a="1"/>
  <c r="B29" i="6" s="1"/>
  <c r="K29" i="6"/>
  <c r="M51" i="6"/>
  <c r="B51" i="6" s="1" a="1"/>
  <c r="B51" i="6" s="1"/>
  <c r="K58" i="6"/>
  <c r="L81" i="6"/>
  <c r="L97" i="6"/>
  <c r="K48" i="6"/>
  <c r="K34" i="6"/>
  <c r="L47" i="6"/>
  <c r="K84" i="6"/>
  <c r="K97" i="6"/>
  <c r="K56" i="6"/>
  <c r="L50" i="6"/>
  <c r="L66" i="6"/>
  <c r="K31" i="15"/>
  <c r="K30" i="15"/>
  <c r="L43" i="15"/>
  <c r="M28" i="15"/>
  <c r="B28" i="15" s="1" a="1"/>
  <c r="B28" i="15" s="1"/>
  <c r="K43" i="15"/>
  <c r="M24" i="15"/>
  <c r="B24" i="15" s="1" a="1"/>
  <c r="B24" i="15" s="1"/>
  <c r="J43" i="15"/>
  <c r="K42" i="13"/>
  <c r="M19" i="13"/>
  <c r="L32" i="13"/>
  <c r="N42" i="13"/>
  <c r="L19" i="13"/>
  <c r="L26" i="13"/>
  <c r="K8" i="13"/>
  <c r="K20" i="13"/>
  <c r="K19" i="13"/>
  <c r="N23" i="13"/>
  <c r="M20" i="13"/>
  <c r="N39" i="13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2" i="11"/>
  <c r="B82" i="11" s="1" a="1"/>
  <c r="B82" i="11" s="1"/>
  <c r="M60" i="11"/>
  <c r="B60" i="11" s="1" a="1"/>
  <c r="B60" i="11" s="1"/>
  <c r="R48" i="11"/>
  <c r="L79" i="11"/>
  <c r="L48" i="11"/>
  <c r="K48" i="11"/>
  <c r="M80" i="11"/>
  <c r="B80" i="11" s="1" a="1"/>
  <c r="B80" i="11" s="1"/>
  <c r="R49" i="11"/>
  <c r="M23" i="11"/>
  <c r="B23" i="11" s="1" a="1"/>
  <c r="B23" i="11" s="1"/>
  <c r="M112" i="11"/>
  <c r="B112" i="11" s="1" a="1"/>
  <c r="B112" i="11" s="1"/>
  <c r="L23" i="11"/>
  <c r="K112" i="11"/>
  <c r="L60" i="11"/>
  <c r="L49" i="11"/>
  <c r="L30" i="11"/>
  <c r="M61" i="11"/>
  <c r="B61" i="11" s="1" a="1"/>
  <c r="B61" i="11" s="1"/>
  <c r="L80" i="11"/>
  <c r="K61" i="11"/>
  <c r="M89" i="11"/>
  <c r="B89" i="11" s="1" a="1"/>
  <c r="B89" i="11" s="1"/>
  <c r="K82" i="11"/>
  <c r="K76" i="11"/>
  <c r="R53" i="11"/>
  <c r="M33" i="11"/>
  <c r="B33" i="11" s="1" a="1"/>
  <c r="B33" i="11" s="1"/>
  <c r="K99" i="11"/>
  <c r="L56" i="11"/>
  <c r="K33" i="11"/>
  <c r="K8" i="11"/>
  <c r="R114" i="11"/>
  <c r="M85" i="11"/>
  <c r="B85" i="11" s="1" a="1"/>
  <c r="B85" i="11" s="1"/>
  <c r="L82" i="11"/>
  <c r="L61" i="11"/>
  <c r="K60" i="11"/>
  <c r="M49" i="11"/>
  <c r="B49" i="11" s="1" a="1"/>
  <c r="B49" i="11" s="1"/>
  <c r="M48" i="11"/>
  <c r="B48" i="11" s="1" a="1"/>
  <c r="B48" i="11" s="1"/>
  <c r="L33" i="11"/>
  <c r="K23" i="11"/>
  <c r="R128" i="11"/>
  <c r="S128" i="11" s="1"/>
  <c r="R112" i="11"/>
  <c r="S112" i="11" s="1"/>
  <c r="J112" i="11" s="1"/>
  <c r="L85" i="11"/>
  <c r="M15" i="11"/>
  <c r="B15" i="11" s="1" a="1"/>
  <c r="B15" i="11" s="1"/>
  <c r="L89" i="11"/>
  <c r="K85" i="11"/>
  <c r="K63" i="11"/>
  <c r="K89" i="11"/>
  <c r="M56" i="3"/>
  <c r="B56" i="3" s="1" a="1"/>
  <c r="B56" i="3" s="1"/>
  <c r="L61" i="3"/>
  <c r="M57" i="3"/>
  <c r="B57" i="3" s="1" a="1"/>
  <c r="B57" i="3" s="1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B63" i="3" s="1" a="1"/>
  <c r="B63" i="3" s="1"/>
  <c r="M62" i="3"/>
  <c r="B62" i="3" s="1" a="1"/>
  <c r="B62" i="3" s="1"/>
  <c r="R22" i="3"/>
  <c r="S22" i="3" s="1"/>
  <c r="M11" i="3"/>
  <c r="B11" i="3" s="1" a="1"/>
  <c r="B11" i="3" s="1"/>
  <c r="L63" i="3"/>
  <c r="K22" i="3"/>
  <c r="L11" i="3"/>
  <c r="K63" i="3"/>
  <c r="L56" i="3"/>
  <c r="K83" i="3"/>
  <c r="L62" i="3"/>
  <c r="J85" i="6"/>
  <c r="J58" i="6"/>
  <c r="M58" i="6"/>
  <c r="B58" i="6" s="1" a="1"/>
  <c r="B58" i="6" s="1"/>
  <c r="J29" i="14"/>
  <c r="J28" i="14"/>
  <c r="J87" i="14"/>
  <c r="M28" i="14"/>
  <c r="B28" i="14" s="1" a="1"/>
  <c r="B28" i="14" s="1"/>
  <c r="M87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9" i="6"/>
  <c r="J56" i="6"/>
  <c r="S75" i="6"/>
  <c r="J75" i="6" s="1"/>
  <c r="E5" i="17"/>
  <c r="F5" i="17" s="1"/>
  <c r="S91" i="6"/>
  <c r="J91" i="6" s="1"/>
  <c r="J32" i="6"/>
  <c r="J47" i="6"/>
  <c r="J79" i="6"/>
  <c r="J97" i="6"/>
  <c r="J29" i="6"/>
  <c r="S72" i="6"/>
  <c r="J72" i="6" s="1"/>
  <c r="J50" i="6"/>
  <c r="J87" i="6"/>
  <c r="L51" i="6"/>
  <c r="K66" i="6"/>
  <c r="M92" i="6"/>
  <c r="B92" i="6" s="1" a="1"/>
  <c r="B92" i="6" s="1"/>
  <c r="K50" i="6"/>
  <c r="M84" i="6"/>
  <c r="B84" i="6" s="1" a="1"/>
  <c r="B84" i="6" s="1"/>
  <c r="L92" i="6"/>
  <c r="K91" i="6"/>
  <c r="L55" i="6"/>
  <c r="L83" i="6"/>
  <c r="M87" i="6"/>
  <c r="B87" i="6" s="1" a="1"/>
  <c r="B87" i="6" s="1"/>
  <c r="L87" i="6"/>
  <c r="K80" i="6"/>
  <c r="L56" i="6"/>
  <c r="M54" i="6"/>
  <c r="B54" i="6" s="1" a="1"/>
  <c r="B54" i="6" s="1"/>
  <c r="M27" i="6"/>
  <c r="B27" i="6" s="1" a="1"/>
  <c r="B27" i="6" s="1"/>
  <c r="M72" i="6"/>
  <c r="B72" i="6" s="1" a="1"/>
  <c r="B72" i="6" s="1"/>
  <c r="K9" i="6"/>
  <c r="S50" i="14"/>
  <c r="J50" i="14" s="1"/>
  <c r="S48" i="14"/>
  <c r="J48" i="14" s="1"/>
  <c r="S40" i="14"/>
  <c r="J40" i="14" s="1"/>
  <c r="E8" i="17"/>
  <c r="F8" i="17" s="1"/>
  <c r="E64" i="17"/>
  <c r="F64" i="17" s="1"/>
  <c r="K55" i="14"/>
  <c r="L51" i="14"/>
  <c r="K104" i="14"/>
  <c r="K98" i="14"/>
  <c r="K105" i="14"/>
  <c r="M56" i="14"/>
  <c r="L56" i="14"/>
  <c r="M48" i="14"/>
  <c r="M49" i="14"/>
  <c r="L48" i="14"/>
  <c r="L49" i="14"/>
  <c r="K51" i="14"/>
  <c r="K50" i="14"/>
  <c r="S46" i="6"/>
  <c r="J46" i="6" s="1"/>
  <c r="M55" i="6"/>
  <c r="B55" i="6" s="1" a="1"/>
  <c r="B55" i="6" s="1"/>
  <c r="J48" i="6"/>
  <c r="S49" i="6"/>
  <c r="J49" i="6" s="1"/>
  <c r="M35" i="6"/>
  <c r="B35" i="6" s="1" a="1"/>
  <c r="B35" i="6" s="1"/>
  <c r="J34" i="6"/>
  <c r="L27" i="6"/>
  <c r="M8" i="6"/>
  <c r="J9" i="6"/>
  <c r="L86" i="6"/>
  <c r="S82" i="6"/>
  <c r="J82" i="6" s="1"/>
  <c r="J80" i="6"/>
  <c r="L75" i="6"/>
  <c r="S96" i="6"/>
  <c r="J96" i="6" s="1"/>
  <c r="L35" i="6"/>
  <c r="L8" i="6"/>
  <c r="M46" i="6"/>
  <c r="B46" i="6" s="1" a="1"/>
  <c r="B46" i="6" s="1"/>
  <c r="M49" i="6"/>
  <c r="B49" i="6" s="1" a="1"/>
  <c r="B49" i="6" s="1"/>
  <c r="M82" i="6"/>
  <c r="B82" i="6" s="1" a="1"/>
  <c r="B82" i="6" s="1"/>
  <c r="M96" i="6"/>
  <c r="B96" i="6" s="1" a="1"/>
  <c r="B96" i="6" s="1"/>
  <c r="L46" i="6"/>
  <c r="J51" i="6"/>
  <c r="L49" i="6"/>
  <c r="J66" i="6"/>
  <c r="M85" i="6"/>
  <c r="B85" i="6" s="1" a="1"/>
  <c r="B85" i="6" s="1"/>
  <c r="J84" i="6"/>
  <c r="L82" i="6"/>
  <c r="M99" i="6"/>
  <c r="B99" i="6" s="1" a="1"/>
  <c r="B99" i="6" s="1"/>
  <c r="L96" i="6"/>
  <c r="M48" i="6"/>
  <c r="B48" i="6" s="1" a="1"/>
  <c r="B48" i="6" s="1"/>
  <c r="L52" i="6"/>
  <c r="M34" i="6"/>
  <c r="B34" i="6" s="1" a="1"/>
  <c r="B34" i="6" s="1"/>
  <c r="L72" i="6"/>
  <c r="M9" i="6"/>
  <c r="L85" i="6"/>
  <c r="M80" i="6"/>
  <c r="B80" i="6" s="1" a="1"/>
  <c r="B80" i="6" s="1"/>
  <c r="L99" i="6"/>
  <c r="M91" i="6"/>
  <c r="B91" i="6" s="1" a="1"/>
  <c r="B91" i="6" s="1"/>
  <c r="M100" i="14"/>
  <c r="B100" i="14" s="1" a="1"/>
  <c r="B100" i="14" s="1"/>
  <c r="M40" i="14"/>
  <c r="B40" i="14" s="1" a="1"/>
  <c r="B40" i="14" s="1"/>
  <c r="L100" i="14"/>
  <c r="M46" i="14"/>
  <c r="L40" i="14"/>
  <c r="M105" i="14"/>
  <c r="B105" i="14" s="1" a="1"/>
  <c r="B105" i="14" s="1"/>
  <c r="M98" i="14"/>
  <c r="B98" i="14" s="1" a="1"/>
  <c r="B98" i="14" s="1"/>
  <c r="M58" i="14"/>
  <c r="L46" i="14"/>
  <c r="L45" i="14"/>
  <c r="L104" i="14"/>
  <c r="K99" i="14"/>
  <c r="L58" i="14"/>
  <c r="K45" i="14"/>
  <c r="K29" i="14"/>
  <c r="S49" i="14"/>
  <c r="J49" i="14" s="1"/>
  <c r="J98" i="14"/>
  <c r="S56" i="14"/>
  <c r="J56" i="14" s="1"/>
  <c r="S46" i="14"/>
  <c r="J46" i="14" s="1"/>
  <c r="S105" i="14"/>
  <c r="J105" i="14" s="1"/>
  <c r="J53" i="14"/>
  <c r="J102" i="14"/>
  <c r="J33" i="14"/>
  <c r="K57" i="14"/>
  <c r="L57" i="14"/>
  <c r="M57" i="14"/>
  <c r="K53" i="14"/>
  <c r="L53" i="14"/>
  <c r="M53" i="14"/>
  <c r="K47" i="14"/>
  <c r="L47" i="14"/>
  <c r="M47" i="14"/>
  <c r="K8" i="14"/>
  <c r="L8" i="14"/>
  <c r="M8" i="14"/>
  <c r="K102" i="14"/>
  <c r="L102" i="14"/>
  <c r="M102" i="14"/>
  <c r="B102" i="14" s="1" a="1"/>
  <c r="B102" i="14" s="1"/>
  <c r="K33" i="14"/>
  <c r="L33" i="14"/>
  <c r="M33" i="14"/>
  <c r="B33" i="14" s="1" a="1"/>
  <c r="B33" i="14" s="1"/>
  <c r="M99" i="14"/>
  <c r="B99" i="14" s="1" a="1"/>
  <c r="B99" i="14" s="1"/>
  <c r="M50" i="14"/>
  <c r="M29" i="14"/>
  <c r="B29" i="14" s="1" a="1"/>
  <c r="B29" i="14" s="1"/>
  <c r="K23" i="14"/>
  <c r="M23" i="14"/>
  <c r="B23" i="14" s="1" a="1"/>
  <c r="B23" i="14" s="1"/>
  <c r="R111" i="11"/>
  <c r="S111" i="11" s="1"/>
  <c r="J111" i="11" s="1"/>
  <c r="K134" i="11"/>
  <c r="K124" i="11"/>
  <c r="M118" i="11"/>
  <c r="B118" i="11" s="1" a="1"/>
  <c r="B118" i="11" s="1"/>
  <c r="K119" i="11"/>
  <c r="K120" i="11"/>
  <c r="R126" i="11"/>
  <c r="S126" i="11" s="1"/>
  <c r="J126" i="11" s="1"/>
  <c r="C4" i="17"/>
  <c r="D4" i="17" s="1"/>
  <c r="M134" i="11"/>
  <c r="B134" i="11" s="1" a="1"/>
  <c r="B134" i="11" s="1"/>
  <c r="M124" i="11"/>
  <c r="B124" i="11" s="1" a="1"/>
  <c r="B124" i="11" s="1"/>
  <c r="R120" i="11"/>
  <c r="S120" i="11" s="1"/>
  <c r="M119" i="11"/>
  <c r="B119" i="11" s="1" a="1"/>
  <c r="B119" i="11" s="1"/>
  <c r="M111" i="11"/>
  <c r="B111" i="11" s="1" a="1"/>
  <c r="B111" i="11" s="1"/>
  <c r="R131" i="11"/>
  <c r="S131" i="11" s="1"/>
  <c r="J131" i="11" s="1"/>
  <c r="M120" i="11"/>
  <c r="B120" i="11" s="1" a="1"/>
  <c r="B120" i="11" s="1"/>
  <c r="K111" i="11"/>
  <c r="R110" i="11"/>
  <c r="S110" i="11" s="1"/>
  <c r="J110" i="11" s="1"/>
  <c r="R124" i="11"/>
  <c r="S124" i="11" s="1"/>
  <c r="J124" i="11" s="1"/>
  <c r="R119" i="11"/>
  <c r="S119" i="11" s="1"/>
  <c r="J119" i="11" s="1"/>
  <c r="K98" i="11"/>
  <c r="M129" i="11"/>
  <c r="B129" i="11" s="1" a="1"/>
  <c r="B129" i="11" s="1"/>
  <c r="K117" i="11"/>
  <c r="S67" i="11"/>
  <c r="K129" i="11"/>
  <c r="K128" i="11"/>
  <c r="M110" i="11"/>
  <c r="B110" i="11" s="1" a="1"/>
  <c r="B110" i="11" s="1"/>
  <c r="K80" i="11"/>
  <c r="R74" i="11"/>
  <c r="M67" i="11"/>
  <c r="B67" i="11" s="1" a="1"/>
  <c r="B67" i="11" s="1"/>
  <c r="R63" i="11"/>
  <c r="C45" i="17"/>
  <c r="D45" i="17" s="1"/>
  <c r="L110" i="11"/>
  <c r="M109" i="11"/>
  <c r="B109" i="11" s="1" a="1"/>
  <c r="B109" i="11" s="1"/>
  <c r="R89" i="11"/>
  <c r="S89" i="11" s="1"/>
  <c r="J89" i="11" s="1"/>
  <c r="L67" i="11"/>
  <c r="M63" i="11"/>
  <c r="B63" i="11" s="1" a="1"/>
  <c r="B63" i="11" s="1"/>
  <c r="R67" i="11"/>
  <c r="K115" i="11"/>
  <c r="K110" i="11"/>
  <c r="R98" i="11"/>
  <c r="S98" i="11" s="1"/>
  <c r="J98" i="11" s="1"/>
  <c r="K54" i="11"/>
  <c r="K125" i="11"/>
  <c r="L125" i="11"/>
  <c r="M125" i="11"/>
  <c r="B125" i="11" s="1" a="1"/>
  <c r="B125" i="11" s="1"/>
  <c r="R125" i="11"/>
  <c r="K113" i="11"/>
  <c r="L113" i="11"/>
  <c r="M113" i="11"/>
  <c r="B113" i="11" s="1" a="1"/>
  <c r="B113" i="11" s="1"/>
  <c r="R113" i="11"/>
  <c r="S113" i="11" s="1"/>
  <c r="K52" i="11"/>
  <c r="L52" i="11"/>
  <c r="M52" i="11"/>
  <c r="B52" i="11" s="1" a="1"/>
  <c r="B52" i="11" s="1"/>
  <c r="R52" i="11"/>
  <c r="K68" i="11"/>
  <c r="L68" i="11"/>
  <c r="M68" i="11"/>
  <c r="B68" i="11" s="1" a="1"/>
  <c r="B68" i="11" s="1"/>
  <c r="R68" i="11"/>
  <c r="S68" i="11" s="1"/>
  <c r="J48" i="11"/>
  <c r="K97" i="11"/>
  <c r="L97" i="11"/>
  <c r="M97" i="11"/>
  <c r="B97" i="11" s="1" a="1"/>
  <c r="B97" i="11" s="1"/>
  <c r="R97" i="11"/>
  <c r="S97" i="11" s="1"/>
  <c r="L117" i="11"/>
  <c r="M108" i="11"/>
  <c r="B108" i="11" s="1" a="1"/>
  <c r="B108" i="11" s="1"/>
  <c r="R108" i="11"/>
  <c r="S108" i="11" s="1"/>
  <c r="K108" i="11"/>
  <c r="R134" i="11"/>
  <c r="S134" i="11" s="1"/>
  <c r="M131" i="11"/>
  <c r="B131" i="11" s="1" a="1"/>
  <c r="B131" i="11" s="1"/>
  <c r="R109" i="11"/>
  <c r="S109" i="11" s="1"/>
  <c r="L131" i="11"/>
  <c r="R118" i="11"/>
  <c r="S118" i="11" s="1"/>
  <c r="M117" i="11"/>
  <c r="B117" i="11" s="1" a="1"/>
  <c r="B117" i="11" s="1"/>
  <c r="R117" i="11"/>
  <c r="S117" i="11" s="1"/>
  <c r="K131" i="11"/>
  <c r="S63" i="11"/>
  <c r="R129" i="11"/>
  <c r="S129" i="11" s="1"/>
  <c r="K126" i="11"/>
  <c r="L126" i="11"/>
  <c r="M126" i="11"/>
  <c r="B126" i="11" s="1" a="1"/>
  <c r="B126" i="11" s="1"/>
  <c r="K114" i="11"/>
  <c r="L114" i="11"/>
  <c r="M114" i="11"/>
  <c r="B114" i="11" s="1" a="1"/>
  <c r="B114" i="11" s="1"/>
  <c r="S114" i="11"/>
  <c r="J114" i="11" s="1"/>
  <c r="S85" i="11"/>
  <c r="J85" i="11" s="1"/>
  <c r="K79" i="11"/>
  <c r="K56" i="11"/>
  <c r="K30" i="11"/>
  <c r="K118" i="11"/>
  <c r="K109" i="11"/>
  <c r="S74" i="11"/>
  <c r="S53" i="11"/>
  <c r="R115" i="11"/>
  <c r="R99" i="11"/>
  <c r="R76" i="11"/>
  <c r="S56" i="11"/>
  <c r="R54" i="11"/>
  <c r="R8" i="11"/>
  <c r="M98" i="11"/>
  <c r="B98" i="11" s="1" a="1"/>
  <c r="B98" i="11" s="1"/>
  <c r="S80" i="11"/>
  <c r="J80" i="11" s="1"/>
  <c r="R79" i="11"/>
  <c r="S79" i="11" s="1"/>
  <c r="M74" i="11"/>
  <c r="B74" i="11" s="1" a="1"/>
  <c r="B74" i="11" s="1"/>
  <c r="S60" i="11"/>
  <c r="J60" i="11" s="1"/>
  <c r="R56" i="11"/>
  <c r="M53" i="11"/>
  <c r="B53" i="11" s="1" a="1"/>
  <c r="B53" i="11" s="1"/>
  <c r="S23" i="11"/>
  <c r="J23" i="11" s="1"/>
  <c r="R30" i="11"/>
  <c r="M128" i="11"/>
  <c r="B128" i="11" s="1" a="1"/>
  <c r="B128" i="11" s="1"/>
  <c r="M115" i="11"/>
  <c r="B115" i="11" s="1" a="1"/>
  <c r="B115" i="11" s="1"/>
  <c r="M99" i="11"/>
  <c r="B99" i="11" s="1" a="1"/>
  <c r="B99" i="11" s="1"/>
  <c r="L98" i="11"/>
  <c r="S82" i="11"/>
  <c r="J82" i="11" s="1"/>
  <c r="M76" i="11"/>
  <c r="B76" i="11" s="1" a="1"/>
  <c r="B76" i="11" s="1"/>
  <c r="L74" i="11"/>
  <c r="S61" i="11"/>
  <c r="J61" i="11" s="1"/>
  <c r="M54" i="11"/>
  <c r="B54" i="11" s="1" a="1"/>
  <c r="B54" i="11" s="1"/>
  <c r="L53" i="11"/>
  <c r="S33" i="11"/>
  <c r="J33" i="11" s="1"/>
  <c r="M8" i="11"/>
  <c r="B8" i="11" s="1" a="1"/>
  <c r="B8" i="11" s="1"/>
  <c r="K15" i="11"/>
  <c r="R15" i="11"/>
  <c r="M22" i="3"/>
  <c r="B22" i="3" s="1" a="1"/>
  <c r="B22" i="3" s="1"/>
  <c r="C38" i="17"/>
  <c r="D38" i="17" s="1"/>
  <c r="S11" i="3"/>
  <c r="C13" i="17"/>
  <c r="D13" i="17" s="1"/>
  <c r="K62" i="3"/>
  <c r="K53" i="3"/>
  <c r="R59" i="3"/>
  <c r="S59" i="3" s="1"/>
  <c r="R83" i="3"/>
  <c r="S83" i="3" s="1"/>
  <c r="M59" i="3"/>
  <c r="B59" i="3" s="1" a="1"/>
  <c r="B59" i="3" s="1"/>
  <c r="S61" i="3"/>
  <c r="R60" i="3"/>
  <c r="S60" i="3" s="1"/>
  <c r="M83" i="3"/>
  <c r="B83" i="3" s="1" a="1"/>
  <c r="B83" i="3" s="1"/>
  <c r="L59" i="3"/>
  <c r="S62" i="3"/>
  <c r="J62" i="3" s="1"/>
  <c r="R61" i="3"/>
  <c r="L83" i="3"/>
  <c r="S63" i="3"/>
  <c r="J63" i="3" s="1"/>
  <c r="M60" i="3"/>
  <c r="B60" i="3" s="1" a="1"/>
  <c r="B60" i="3" s="1"/>
  <c r="R45" i="3"/>
  <c r="M46" i="3"/>
  <c r="B46" i="3" s="1" a="1"/>
  <c r="B46" i="3" s="1"/>
  <c r="M45" i="3"/>
  <c r="B45" i="3" s="1" a="1"/>
  <c r="B45" i="3" s="1"/>
  <c r="L46" i="3"/>
  <c r="L45" i="3"/>
  <c r="L30" i="3"/>
  <c r="K30" i="3"/>
  <c r="K10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B47" i="3" s="1" a="1"/>
  <c r="B47" i="3" s="1"/>
  <c r="R10" i="3"/>
  <c r="S10" i="3" s="1"/>
  <c r="S56" i="3"/>
  <c r="J56" i="3" s="1"/>
  <c r="R55" i="3"/>
  <c r="M48" i="3"/>
  <c r="B48" i="3" s="1" a="1"/>
  <c r="B48" i="3" s="1"/>
  <c r="L47" i="3"/>
  <c r="R30" i="3"/>
  <c r="S30" i="3" s="1"/>
  <c r="S57" i="3"/>
  <c r="M53" i="3"/>
  <c r="B53" i="3" s="1" a="1"/>
  <c r="B53" i="3" s="1"/>
  <c r="L48" i="3"/>
  <c r="M10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K4" i="12"/>
  <c r="L4" i="12"/>
  <c r="N4" i="12"/>
  <c r="N29" i="12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M13" i="12"/>
  <c r="N23" i="12"/>
  <c r="M7" i="12"/>
  <c r="M16" i="12"/>
  <c r="N9" i="12"/>
  <c r="K36" i="13"/>
  <c r="K5" i="13"/>
  <c r="K29" i="13"/>
  <c r="K15" i="13"/>
  <c r="K6" i="13"/>
  <c r="K37" i="13"/>
  <c r="K6" i="12"/>
  <c r="J32" i="14"/>
  <c r="J84" i="14"/>
  <c r="J67" i="14"/>
  <c r="J92" i="14"/>
  <c r="J96" i="14"/>
  <c r="S70" i="14"/>
  <c r="J70" i="14" s="1"/>
  <c r="J6" i="14"/>
  <c r="J44" i="14"/>
  <c r="J64" i="14"/>
  <c r="J41" i="14"/>
  <c r="J13" i="14"/>
  <c r="J78" i="14"/>
  <c r="S65" i="14"/>
  <c r="J65" i="14" s="1"/>
  <c r="J11" i="14"/>
  <c r="J5" i="14"/>
  <c r="J36" i="14"/>
  <c r="J75" i="14"/>
  <c r="J52" i="14"/>
  <c r="J66" i="14"/>
  <c r="J4" i="14"/>
  <c r="J103" i="14"/>
  <c r="S10" i="14"/>
  <c r="J10" i="14" s="1"/>
  <c r="S95" i="14"/>
  <c r="J95" i="14" s="1"/>
  <c r="J7" i="6"/>
  <c r="J15" i="6"/>
  <c r="J70" i="6"/>
  <c r="J40" i="6"/>
  <c r="J33" i="6"/>
  <c r="J39" i="6"/>
  <c r="J78" i="6"/>
  <c r="J94" i="6"/>
  <c r="J10" i="6"/>
  <c r="J71" i="6"/>
  <c r="J13" i="6"/>
  <c r="J63" i="6"/>
  <c r="J73" i="6"/>
  <c r="J95" i="6"/>
  <c r="J3" i="6"/>
  <c r="J36" i="6"/>
  <c r="J6" i="6"/>
  <c r="J38" i="6"/>
  <c r="J45" i="6"/>
  <c r="J43" i="6"/>
  <c r="J16" i="6"/>
  <c r="J76" i="6"/>
  <c r="J98" i="6"/>
  <c r="J53" i="6"/>
  <c r="J65" i="6"/>
  <c r="J19" i="6"/>
  <c r="J14" i="6"/>
  <c r="J30" i="6"/>
  <c r="J24" i="6"/>
  <c r="J41" i="6"/>
  <c r="J59" i="6"/>
  <c r="S17" i="6"/>
  <c r="J17" i="6" s="1"/>
  <c r="S62" i="6"/>
  <c r="J62" i="6" s="1"/>
  <c r="S90" i="6"/>
  <c r="J90" i="6" s="1"/>
  <c r="J42" i="6"/>
  <c r="S22" i="6"/>
  <c r="J22" i="6" s="1"/>
  <c r="S57" i="6"/>
  <c r="J57" i="6" s="1"/>
  <c r="S11" i="6"/>
  <c r="J11" i="6" s="1"/>
  <c r="S28" i="6"/>
  <c r="J28" i="6" s="1"/>
  <c r="S31" i="6"/>
  <c r="J31" i="6" s="1"/>
  <c r="J20" i="6"/>
  <c r="J60" i="6"/>
  <c r="J18" i="6"/>
  <c r="J12" i="6"/>
  <c r="J68" i="6"/>
  <c r="J93" i="6"/>
  <c r="J44" i="6"/>
  <c r="J23" i="6"/>
  <c r="S61" i="6"/>
  <c r="J61" i="6" s="1"/>
  <c r="S88" i="6"/>
  <c r="J88" i="6" s="1"/>
  <c r="S77" i="6"/>
  <c r="J77" i="6" s="1"/>
  <c r="S89" i="6"/>
  <c r="J89" i="6" s="1"/>
  <c r="S25" i="6"/>
  <c r="J25" i="6" s="1"/>
  <c r="J26" i="6"/>
  <c r="J37" i="6"/>
  <c r="J69" i="6"/>
  <c r="S5" i="6"/>
  <c r="J5" i="6" s="1"/>
  <c r="S67" i="6"/>
  <c r="J67" i="6" s="1"/>
  <c r="J53" i="16"/>
  <c r="J31" i="16"/>
  <c r="J38" i="16"/>
  <c r="J6" i="16"/>
  <c r="J3" i="16"/>
  <c r="J23" i="16"/>
  <c r="J22" i="15"/>
  <c r="J13" i="15"/>
  <c r="S11" i="15"/>
  <c r="J11" i="15" s="1"/>
  <c r="S35" i="15"/>
  <c r="J35" i="15" s="1"/>
  <c r="J36" i="15"/>
  <c r="J7" i="15"/>
  <c r="J10" i="15"/>
  <c r="J27" i="15"/>
  <c r="J3" i="15"/>
  <c r="J23" i="15"/>
  <c r="J4" i="15"/>
  <c r="J12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4" i="11"/>
  <c r="L4" i="11"/>
  <c r="R4" i="11"/>
  <c r="R3" i="11"/>
  <c r="R123" i="11"/>
  <c r="R81" i="11"/>
  <c r="S6" i="11"/>
  <c r="R6" i="11"/>
  <c r="R87" i="11"/>
  <c r="K4" i="11"/>
  <c r="S5" i="11"/>
  <c r="R5" i="11"/>
  <c r="S81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3" i="14"/>
  <c r="J3" i="14" s="1"/>
  <c r="S39" i="14"/>
  <c r="J39" i="14" s="1"/>
  <c r="S7" i="14"/>
  <c r="J7" i="14" s="1"/>
  <c r="S97" i="14"/>
  <c r="J97" i="14" s="1"/>
  <c r="S83" i="14"/>
  <c r="J83" i="14" s="1"/>
  <c r="S72" i="14"/>
  <c r="J72" i="14" s="1"/>
  <c r="S9" i="14"/>
  <c r="J9" i="14" s="1"/>
  <c r="S19" i="14"/>
  <c r="J19" i="14" s="1"/>
  <c r="Q6" i="11"/>
  <c r="Q5" i="11"/>
  <c r="K3" i="11"/>
  <c r="M3" i="11"/>
  <c r="M123" i="11"/>
  <c r="B123" i="11" s="1" a="1"/>
  <c r="B123" i="11" s="1"/>
  <c r="K87" i="11"/>
  <c r="M81" i="11"/>
  <c r="B81" i="11" s="1" a="1"/>
  <c r="B81" i="11" s="1"/>
  <c r="L81" i="11"/>
  <c r="K123" i="11"/>
  <c r="M5" i="11"/>
  <c r="M6" i="11"/>
  <c r="L5" i="11"/>
  <c r="L6" i="11"/>
  <c r="M87" i="11"/>
  <c r="B87" i="11" s="1" a="1"/>
  <c r="B87" i="11" s="1"/>
  <c r="Q33" i="15"/>
  <c r="G33" i="15"/>
  <c r="J128" i="11" l="1"/>
  <c r="B3" i="14" a="1"/>
  <c r="B3" i="14" s="1"/>
  <c r="B4" i="14" a="1"/>
  <c r="B4" i="14" s="1"/>
  <c r="B92" i="14" a="1"/>
  <c r="B92" i="14" s="1"/>
  <c r="B61" i="14" a="1"/>
  <c r="B61" i="14" s="1"/>
  <c r="B62" i="14" a="1"/>
  <c r="B62" i="14" s="1"/>
  <c r="B5" i="14" a="1"/>
  <c r="B5" i="14" s="1"/>
  <c r="J49" i="11"/>
  <c r="J53" i="11"/>
  <c r="J9" i="11"/>
  <c r="S84" i="11"/>
  <c r="J84" i="11" s="1"/>
  <c r="J7" i="11"/>
  <c r="S91" i="3"/>
  <c r="J91" i="3" s="1"/>
  <c r="S103" i="3"/>
  <c r="J103" i="3" s="1"/>
  <c r="S89" i="3"/>
  <c r="J89" i="3" s="1"/>
  <c r="S85" i="3"/>
  <c r="J85" i="3" s="1"/>
  <c r="S101" i="3"/>
  <c r="J101" i="3" s="1"/>
  <c r="J106" i="3"/>
  <c r="S97" i="3"/>
  <c r="J97" i="3" s="1"/>
  <c r="J94" i="3"/>
  <c r="J93" i="3"/>
  <c r="J11" i="3"/>
  <c r="J22" i="3"/>
  <c r="J120" i="11"/>
  <c r="J67" i="11"/>
  <c r="J63" i="11"/>
  <c r="J74" i="11"/>
  <c r="S54" i="11"/>
  <c r="J54" i="11" s="1"/>
  <c r="J134" i="11"/>
  <c r="J108" i="11"/>
  <c r="J79" i="11"/>
  <c r="S99" i="11"/>
  <c r="J99" i="11" s="1"/>
  <c r="J97" i="11"/>
  <c r="S76" i="11"/>
  <c r="J76" i="11" s="1"/>
  <c r="S115" i="11"/>
  <c r="J115" i="11" s="1"/>
  <c r="J117" i="11"/>
  <c r="J113" i="11"/>
  <c r="S8" i="11"/>
  <c r="J8" i="11" s="1"/>
  <c r="J68" i="11"/>
  <c r="J129" i="11"/>
  <c r="J56" i="11"/>
  <c r="J109" i="11"/>
  <c r="S30" i="11"/>
  <c r="J30" i="11" s="1"/>
  <c r="S125" i="11"/>
  <c r="J125" i="11" s="1"/>
  <c r="J118" i="11"/>
  <c r="S52" i="11"/>
  <c r="J52" i="11" s="1"/>
  <c r="S15" i="11"/>
  <c r="J15" i="11" s="1"/>
  <c r="J45" i="3"/>
  <c r="J46" i="3"/>
  <c r="J57" i="3"/>
  <c r="J61" i="3"/>
  <c r="J83" i="3"/>
  <c r="J60" i="3"/>
  <c r="J59" i="3"/>
  <c r="S36" i="3"/>
  <c r="J36" i="3" s="1"/>
  <c r="J30" i="3"/>
  <c r="J47" i="3"/>
  <c r="J10" i="3"/>
  <c r="J48" i="3"/>
  <c r="S55" i="3"/>
  <c r="J55" i="3" s="1"/>
  <c r="S53" i="3"/>
  <c r="J53" i="3" s="1"/>
  <c r="J3" i="11"/>
  <c r="J4" i="11"/>
  <c r="S123" i="11"/>
  <c r="J123" i="11" s="1"/>
  <c r="J6" i="11"/>
  <c r="S87" i="11"/>
  <c r="J87" i="11" s="1"/>
  <c r="J81" i="11"/>
  <c r="J5" i="11"/>
  <c r="L33" i="15"/>
  <c r="K33" i="15"/>
  <c r="M33" i="15"/>
  <c r="AE45" i="11" l="1"/>
  <c r="AE73" i="11"/>
  <c r="D3" i="15" l="1"/>
  <c r="D63" i="14"/>
  <c r="D64" i="14"/>
  <c r="D93" i="14"/>
  <c r="D94" i="14"/>
  <c r="D7" i="14"/>
  <c r="D13" i="14"/>
  <c r="D10" i="14"/>
  <c r="D11" i="14"/>
  <c r="D12" i="14"/>
  <c r="D15" i="14"/>
  <c r="D16" i="14"/>
  <c r="D32" i="14"/>
  <c r="D39" i="14"/>
  <c r="D36" i="14"/>
  <c r="D41" i="14"/>
  <c r="D52" i="14"/>
  <c r="D24" i="14"/>
  <c r="D61" i="14"/>
  <c r="D62" i="14"/>
  <c r="D92" i="14"/>
  <c r="D3" i="14"/>
  <c r="D5" i="14"/>
  <c r="D6" i="14"/>
  <c r="D30" i="14"/>
  <c r="D25" i="14"/>
  <c r="D34" i="14"/>
  <c r="D70" i="14"/>
  <c r="D72" i="14"/>
  <c r="D73" i="14"/>
  <c r="D78" i="14"/>
  <c r="D66" i="14"/>
  <c r="D80" i="14"/>
  <c r="D19" i="14"/>
  <c r="D37" i="14"/>
  <c r="D38" i="14"/>
  <c r="D26" i="14"/>
  <c r="D21" i="14"/>
  <c r="D44" i="14"/>
  <c r="D42" i="14"/>
  <c r="D60" i="14"/>
  <c r="D9" i="14"/>
  <c r="D59" i="14"/>
  <c r="D20" i="14"/>
  <c r="D54" i="14"/>
  <c r="D17" i="14"/>
  <c r="D27" i="14"/>
  <c r="D18" i="14"/>
  <c r="D22" i="14"/>
  <c r="D35" i="14"/>
  <c r="D31" i="14"/>
  <c r="D97" i="14"/>
  <c r="D95" i="14"/>
  <c r="D103" i="14"/>
  <c r="D24" i="6"/>
  <c r="D17" i="6"/>
  <c r="D14" i="6"/>
  <c r="D26" i="6"/>
  <c r="D18" i="6"/>
  <c r="D40" i="6"/>
  <c r="D57" i="6"/>
  <c r="D59" i="6"/>
  <c r="D45" i="6"/>
  <c r="D61" i="6"/>
  <c r="D63" i="6"/>
  <c r="D65" i="6"/>
  <c r="D60" i="6"/>
  <c r="D3" i="6"/>
  <c r="D6" i="6"/>
  <c r="D4" i="6"/>
  <c r="D10" i="6"/>
  <c r="D5" i="6"/>
  <c r="D19" i="6"/>
  <c r="D20" i="6"/>
  <c r="D13" i="6"/>
  <c r="D41" i="6"/>
  <c r="D21" i="6"/>
  <c r="D7" i="6"/>
  <c r="D78" i="6"/>
  <c r="D62" i="6"/>
  <c r="D64" i="6"/>
  <c r="D70" i="6"/>
  <c r="D73" i="6"/>
  <c r="D69" i="6"/>
  <c r="D88" i="6"/>
  <c r="D12" i="6"/>
  <c r="D11" i="6"/>
  <c r="D16" i="6"/>
  <c r="D15" i="6"/>
  <c r="D39" i="6"/>
  <c r="D28" i="6"/>
  <c r="D30" i="6"/>
  <c r="D36" i="6"/>
  <c r="D89" i="6"/>
  <c r="D94" i="6"/>
  <c r="D90" i="6"/>
  <c r="D93" i="6"/>
  <c r="D98" i="6"/>
  <c r="D95" i="6"/>
  <c r="D74" i="6"/>
  <c r="D71" i="6"/>
  <c r="D67" i="6"/>
  <c r="D77" i="6"/>
  <c r="D76" i="6"/>
  <c r="D68" i="6"/>
  <c r="D22" i="6"/>
  <c r="D25" i="6"/>
  <c r="D23" i="6"/>
  <c r="D31" i="6"/>
  <c r="D38" i="6"/>
  <c r="D33" i="6"/>
  <c r="D43" i="6"/>
  <c r="D42" i="6"/>
  <c r="D53" i="6"/>
  <c r="D37" i="6"/>
  <c r="D44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6" i="11"/>
  <c r="D58" i="11"/>
  <c r="D42" i="11"/>
  <c r="D50" i="11"/>
  <c r="D32" i="11"/>
  <c r="D26" i="11"/>
  <c r="D21" i="11"/>
  <c r="D38" i="11"/>
  <c r="D10" i="11"/>
  <c r="D55" i="11"/>
  <c r="D66" i="11"/>
  <c r="D90" i="11"/>
  <c r="D93" i="11"/>
  <c r="D101" i="11"/>
  <c r="D100" i="11"/>
  <c r="D94" i="11"/>
  <c r="D104" i="11"/>
  <c r="D96" i="11"/>
  <c r="D105" i="11"/>
  <c r="D102" i="11"/>
  <c r="D103" i="11"/>
  <c r="D107" i="11"/>
  <c r="D92" i="11"/>
  <c r="D116" i="11"/>
  <c r="D127" i="11"/>
  <c r="D133" i="11"/>
  <c r="D132" i="11"/>
  <c r="D130" i="11"/>
  <c r="D122" i="11"/>
  <c r="D121" i="11"/>
  <c r="D88" i="11"/>
  <c r="D91" i="11"/>
  <c r="D95" i="11"/>
  <c r="D106" i="11"/>
  <c r="D16" i="11"/>
  <c r="D28" i="11"/>
  <c r="D12" i="11"/>
  <c r="D24" i="11"/>
  <c r="D25" i="11"/>
  <c r="D37" i="11"/>
  <c r="D75" i="11"/>
  <c r="D27" i="11"/>
  <c r="D13" i="11"/>
  <c r="D36" i="11"/>
  <c r="D71" i="11"/>
  <c r="D14" i="11"/>
  <c r="D72" i="11"/>
  <c r="D86" i="11"/>
  <c r="D35" i="11"/>
  <c r="D40" i="11"/>
  <c r="D47" i="11"/>
  <c r="D57" i="11"/>
  <c r="D29" i="11"/>
  <c r="D34" i="11"/>
  <c r="D31" i="11"/>
  <c r="D45" i="11"/>
  <c r="D41" i="11"/>
  <c r="D78" i="11"/>
  <c r="D73" i="11"/>
  <c r="D65" i="11"/>
  <c r="D64" i="11"/>
  <c r="D62" i="11"/>
  <c r="D51" i="11"/>
  <c r="D70" i="11"/>
  <c r="D39" i="11"/>
  <c r="D69" i="11"/>
  <c r="D43" i="11"/>
  <c r="D44" i="11"/>
  <c r="D17" i="11"/>
  <c r="D22" i="11"/>
  <c r="D83" i="11"/>
  <c r="D18" i="11"/>
  <c r="D19" i="11"/>
  <c r="D44" i="3"/>
  <c r="D41" i="3"/>
  <c r="D50" i="3"/>
  <c r="D58" i="3"/>
  <c r="D98" i="3"/>
  <c r="D99" i="3"/>
  <c r="D100" i="3"/>
  <c r="D104" i="3"/>
  <c r="D65" i="3"/>
  <c r="D70" i="3"/>
  <c r="D81" i="3"/>
  <c r="D84" i="3"/>
  <c r="D66" i="3"/>
  <c r="D77" i="3"/>
  <c r="D72" i="3"/>
  <c r="D75" i="3"/>
  <c r="D12" i="3"/>
  <c r="D14" i="3"/>
  <c r="D17" i="3"/>
  <c r="D15" i="3"/>
  <c r="D19" i="3"/>
  <c r="D13" i="3"/>
  <c r="D7" i="3"/>
  <c r="D18" i="3"/>
  <c r="D49" i="3"/>
  <c r="D54" i="3"/>
  <c r="D34" i="3"/>
  <c r="D16" i="3"/>
  <c r="D25" i="3"/>
  <c r="D21" i="3"/>
  <c r="D33" i="3"/>
  <c r="D64" i="3"/>
  <c r="D3" i="3"/>
  <c r="D8" i="3"/>
  <c r="D6" i="3"/>
  <c r="D9" i="3"/>
  <c r="D4" i="3"/>
  <c r="D5" i="3"/>
  <c r="D52" i="3"/>
  <c r="D39" i="3"/>
  <c r="D37" i="3"/>
  <c r="D31" i="3"/>
  <c r="D80" i="3"/>
  <c r="D78" i="3"/>
  <c r="D51" i="3"/>
  <c r="D73" i="3"/>
  <c r="D82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68" i="3"/>
  <c r="D67" i="3"/>
  <c r="D69" i="3"/>
  <c r="D76" i="3"/>
  <c r="D71" i="3"/>
  <c r="D79" i="3"/>
  <c r="D74" i="3"/>
  <c r="G65" i="17" l="1"/>
  <c r="H65" i="17" s="1"/>
  <c r="G66" i="17"/>
  <c r="H66" i="17" s="1"/>
  <c r="G7" i="17"/>
  <c r="H7" i="17" s="1"/>
  <c r="E11" i="17"/>
  <c r="F11" i="17" s="1"/>
  <c r="G11" i="17"/>
  <c r="H11" i="17" s="1"/>
  <c r="C22" i="17"/>
  <c r="D22" i="17" s="1"/>
  <c r="C41" i="17"/>
  <c r="D41" i="17" s="1"/>
  <c r="E41" i="17"/>
  <c r="F41" i="17" s="1"/>
  <c r="E47" i="17"/>
  <c r="F47" i="17" s="1"/>
  <c r="G47" i="17"/>
  <c r="H47" i="17" s="1"/>
  <c r="G53" i="17"/>
  <c r="H53" i="17" s="1"/>
  <c r="G16" i="15" l="1"/>
  <c r="Q22" i="15"/>
  <c r="G22" i="15"/>
  <c r="G18" i="15"/>
  <c r="G9" i="15"/>
  <c r="Q5" i="15"/>
  <c r="G5" i="15"/>
  <c r="Q7" i="15"/>
  <c r="G7" i="15"/>
  <c r="Q13" i="15"/>
  <c r="G13" i="15"/>
  <c r="Q23" i="15"/>
  <c r="G23" i="15"/>
  <c r="Q32" i="15"/>
  <c r="G32" i="15"/>
  <c r="Q41" i="15"/>
  <c r="G41" i="15"/>
  <c r="G19" i="15"/>
  <c r="Q17" i="16"/>
  <c r="G17" i="16"/>
  <c r="Q27" i="16"/>
  <c r="G25" i="17" s="1"/>
  <c r="H25" i="17" s="1"/>
  <c r="G27" i="16"/>
  <c r="Q10" i="16"/>
  <c r="G10" i="16"/>
  <c r="Q58" i="16"/>
  <c r="G58" i="16"/>
  <c r="Q28" i="16"/>
  <c r="G28" i="16"/>
  <c r="Q24" i="16"/>
  <c r="G24" i="16"/>
  <c r="G33" i="16"/>
  <c r="G26" i="16"/>
  <c r="G23" i="16"/>
  <c r="Q68" i="16"/>
  <c r="G68" i="16"/>
  <c r="Q11" i="16"/>
  <c r="G11" i="16"/>
  <c r="Q53" i="16"/>
  <c r="G53" i="16"/>
  <c r="Q38" i="16"/>
  <c r="G38" i="16"/>
  <c r="G56" i="16"/>
  <c r="Q12" i="16"/>
  <c r="G12" i="16"/>
  <c r="Q63" i="16"/>
  <c r="G63" i="16"/>
  <c r="Q34" i="16"/>
  <c r="G34" i="16"/>
  <c r="Q6" i="16"/>
  <c r="G6" i="16"/>
  <c r="Q103" i="14"/>
  <c r="Q82" i="14"/>
  <c r="Q67" i="14"/>
  <c r="E49" i="17"/>
  <c r="F49" i="17" s="1"/>
  <c r="Q81" i="14"/>
  <c r="Q83" i="14"/>
  <c r="Q61" i="14"/>
  <c r="Q72" i="14"/>
  <c r="Q34" i="14"/>
  <c r="Q60" i="14"/>
  <c r="Q26" i="14"/>
  <c r="E30" i="17"/>
  <c r="F30" i="17" s="1"/>
  <c r="Q6" i="14"/>
  <c r="Q76" i="14"/>
  <c r="Q97" i="14"/>
  <c r="Q15" i="14"/>
  <c r="Q63" i="14"/>
  <c r="Q95" i="14"/>
  <c r="Q96" i="14"/>
  <c r="Q75" i="14"/>
  <c r="Q10" i="14"/>
  <c r="Q39" i="14"/>
  <c r="Q94" i="14"/>
  <c r="Q7" i="14"/>
  <c r="Q93" i="14"/>
  <c r="Q92" i="14"/>
  <c r="Q5" i="14"/>
  <c r="Q62" i="14"/>
  <c r="Q12" i="14"/>
  <c r="Q18" i="6"/>
  <c r="G18" i="6"/>
  <c r="Q40" i="6"/>
  <c r="G40" i="6"/>
  <c r="Q45" i="6"/>
  <c r="G45" i="6"/>
  <c r="Q78" i="6"/>
  <c r="G78" i="6"/>
  <c r="Q39" i="6"/>
  <c r="G39" i="6"/>
  <c r="Q94" i="6"/>
  <c r="G94" i="6"/>
  <c r="Q14" i="6"/>
  <c r="G14" i="6"/>
  <c r="Q57" i="6"/>
  <c r="G57" i="6"/>
  <c r="Q10" i="6"/>
  <c r="G10" i="6"/>
  <c r="Q3" i="6"/>
  <c r="G3" i="6"/>
  <c r="Q17" i="6"/>
  <c r="G17" i="6"/>
  <c r="Q59" i="6"/>
  <c r="G59" i="6"/>
  <c r="Q21" i="6"/>
  <c r="G21" i="6"/>
  <c r="Q19" i="6"/>
  <c r="G19" i="6"/>
  <c r="G7" i="6"/>
  <c r="Q26" i="6"/>
  <c r="G26" i="6"/>
  <c r="Q20" i="6"/>
  <c r="G20" i="6"/>
  <c r="Q63" i="6"/>
  <c r="G63" i="6"/>
  <c r="Q60" i="6"/>
  <c r="G60" i="6"/>
  <c r="Q4" i="6"/>
  <c r="G4" i="6"/>
  <c r="Q6" i="6"/>
  <c r="G6" i="6"/>
  <c r="H36" i="13"/>
  <c r="Y36" i="13"/>
  <c r="AF36" i="13"/>
  <c r="R11" i="13"/>
  <c r="H11" i="13"/>
  <c r="Y11" i="13"/>
  <c r="AF11" i="13"/>
  <c r="R35" i="13"/>
  <c r="H35" i="13"/>
  <c r="Y35" i="13"/>
  <c r="AF35" i="13"/>
  <c r="R33" i="13"/>
  <c r="H33" i="13"/>
  <c r="Y33" i="13"/>
  <c r="AF33" i="13"/>
  <c r="R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R27" i="12"/>
  <c r="H27" i="12"/>
  <c r="Y27" i="12"/>
  <c r="R18" i="12"/>
  <c r="H18" i="12"/>
  <c r="Y18" i="12"/>
  <c r="R3" i="12"/>
  <c r="H3" i="12"/>
  <c r="Y3" i="12"/>
  <c r="R21" i="12"/>
  <c r="H21" i="12"/>
  <c r="Y21" i="12"/>
  <c r="R8" i="12"/>
  <c r="H8" i="12"/>
  <c r="L8" i="12" s="1"/>
  <c r="Y8" i="12"/>
  <c r="R14" i="12"/>
  <c r="H14" i="12"/>
  <c r="Y14" i="12"/>
  <c r="R10" i="12"/>
  <c r="H10" i="12"/>
  <c r="Y10" i="12"/>
  <c r="R17" i="12"/>
  <c r="H17" i="12"/>
  <c r="Y17" i="12"/>
  <c r="H6" i="12"/>
  <c r="Y6" i="12"/>
  <c r="Q83" i="11"/>
  <c r="G83" i="11"/>
  <c r="X83" i="11"/>
  <c r="AE83" i="11"/>
  <c r="G19" i="11"/>
  <c r="X19" i="11"/>
  <c r="AE19" i="11"/>
  <c r="G35" i="11"/>
  <c r="X35" i="11"/>
  <c r="AE35" i="11"/>
  <c r="Q43" i="11"/>
  <c r="G43" i="11"/>
  <c r="X43" i="11"/>
  <c r="AE43" i="11"/>
  <c r="Q44" i="11"/>
  <c r="G44" i="11"/>
  <c r="X44" i="11"/>
  <c r="AE44" i="11"/>
  <c r="G45" i="11"/>
  <c r="X45" i="11"/>
  <c r="Q102" i="11"/>
  <c r="G102" i="11"/>
  <c r="X102" i="11"/>
  <c r="AE102" i="11"/>
  <c r="Q104" i="11"/>
  <c r="G104" i="11"/>
  <c r="X104" i="11"/>
  <c r="AE104" i="11"/>
  <c r="Q116" i="11"/>
  <c r="G116" i="11"/>
  <c r="X116" i="11"/>
  <c r="AE116" i="11"/>
  <c r="Q121" i="11"/>
  <c r="G121" i="11"/>
  <c r="X121" i="11"/>
  <c r="AE121" i="11"/>
  <c r="Q14" i="11"/>
  <c r="G14" i="11"/>
  <c r="X14" i="11"/>
  <c r="AE14" i="11"/>
  <c r="Q93" i="11"/>
  <c r="G93" i="11"/>
  <c r="X93" i="11"/>
  <c r="AE93" i="11"/>
  <c r="Q46" i="11"/>
  <c r="G46" i="11"/>
  <c r="X46" i="11"/>
  <c r="AE46" i="11"/>
  <c r="Q25" i="11"/>
  <c r="G25" i="11"/>
  <c r="X25" i="11"/>
  <c r="AE25" i="11"/>
  <c r="Q36" i="11"/>
  <c r="G36" i="11"/>
  <c r="X36" i="11"/>
  <c r="AE36" i="11"/>
  <c r="Q50" i="11"/>
  <c r="G50" i="11"/>
  <c r="X50" i="11"/>
  <c r="AE50" i="11"/>
  <c r="Q91" i="11"/>
  <c r="G91" i="11"/>
  <c r="X91" i="11"/>
  <c r="AE91" i="11"/>
  <c r="Q16" i="11"/>
  <c r="G16" i="11"/>
  <c r="X16" i="11"/>
  <c r="AE16" i="11"/>
  <c r="Q12" i="11"/>
  <c r="G12" i="11"/>
  <c r="X12" i="11"/>
  <c r="AE12" i="11"/>
  <c r="Q106" i="11"/>
  <c r="G106" i="11"/>
  <c r="X106" i="11"/>
  <c r="AE106" i="11"/>
  <c r="Q133" i="11"/>
  <c r="G133" i="11"/>
  <c r="X133" i="11"/>
  <c r="AE133" i="11"/>
  <c r="Q66" i="11"/>
  <c r="G66" i="11"/>
  <c r="X66" i="11"/>
  <c r="AE66" i="11"/>
  <c r="Q88" i="11"/>
  <c r="G88" i="11"/>
  <c r="X88" i="11"/>
  <c r="AE88" i="11"/>
  <c r="Q10" i="11"/>
  <c r="G10" i="11"/>
  <c r="X10" i="11"/>
  <c r="AE10" i="11"/>
  <c r="Q58" i="11"/>
  <c r="G58" i="11"/>
  <c r="X58" i="11"/>
  <c r="AE58" i="11"/>
  <c r="Q71" i="11"/>
  <c r="G71" i="11"/>
  <c r="X71" i="11"/>
  <c r="AE71" i="11"/>
  <c r="Q95" i="11"/>
  <c r="G95" i="11"/>
  <c r="X95" i="11"/>
  <c r="AE95" i="11"/>
  <c r="Q96" i="11"/>
  <c r="G96" i="11"/>
  <c r="X96" i="11"/>
  <c r="AE96" i="11"/>
  <c r="G67" i="3"/>
  <c r="X67" i="3"/>
  <c r="AE67" i="3"/>
  <c r="Q13" i="3"/>
  <c r="G13" i="3"/>
  <c r="X13" i="3"/>
  <c r="AE13" i="3"/>
  <c r="Q25" i="3"/>
  <c r="G25" i="3"/>
  <c r="X25" i="3"/>
  <c r="AE25" i="3"/>
  <c r="Q17" i="3"/>
  <c r="G17" i="3"/>
  <c r="X17" i="3"/>
  <c r="AE17" i="3"/>
  <c r="Q84" i="3"/>
  <c r="G84" i="3"/>
  <c r="X84" i="3"/>
  <c r="AE84" i="3"/>
  <c r="Q82" i="3"/>
  <c r="G82" i="3"/>
  <c r="X82" i="3"/>
  <c r="AE82" i="3"/>
  <c r="Q20" i="3"/>
  <c r="G20" i="3"/>
  <c r="X20" i="3"/>
  <c r="AE20" i="3"/>
  <c r="Q23" i="3"/>
  <c r="G23" i="3"/>
  <c r="X23" i="3"/>
  <c r="AE23" i="3"/>
  <c r="Q80" i="3"/>
  <c r="G80" i="3"/>
  <c r="X80" i="3"/>
  <c r="AE80" i="3"/>
  <c r="G74" i="3"/>
  <c r="X74" i="3"/>
  <c r="AE74" i="3"/>
  <c r="Q66" i="3"/>
  <c r="G66" i="3"/>
  <c r="X66" i="3"/>
  <c r="AE66" i="3"/>
  <c r="Q5" i="3"/>
  <c r="G5" i="3"/>
  <c r="X5" i="3"/>
  <c r="AE5" i="3"/>
  <c r="Q4" i="3"/>
  <c r="G4" i="3"/>
  <c r="X4" i="3"/>
  <c r="AE4" i="3"/>
  <c r="Q19" i="3"/>
  <c r="G19" i="3"/>
  <c r="X19" i="3"/>
  <c r="AE19" i="3"/>
  <c r="Q9" i="3"/>
  <c r="G9" i="3"/>
  <c r="X9" i="3"/>
  <c r="AE9" i="3"/>
  <c r="C2" i="17"/>
  <c r="D2" i="17" s="1"/>
  <c r="Q21" i="3"/>
  <c r="G21" i="3"/>
  <c r="X21" i="3"/>
  <c r="AE21" i="3"/>
  <c r="Q77" i="3"/>
  <c r="G77" i="3"/>
  <c r="X77" i="3"/>
  <c r="AE77" i="3"/>
  <c r="Q18" i="3"/>
  <c r="G18" i="3"/>
  <c r="X18" i="3"/>
  <c r="AE18" i="3"/>
  <c r="Q70" i="3"/>
  <c r="G70" i="3"/>
  <c r="X70" i="3"/>
  <c r="AE70" i="3"/>
  <c r="G6" i="3"/>
  <c r="X6" i="3"/>
  <c r="AE6" i="3"/>
  <c r="Q12" i="3"/>
  <c r="G12" i="3"/>
  <c r="X12" i="3"/>
  <c r="AE12" i="3"/>
  <c r="Q49" i="3"/>
  <c r="G49" i="3"/>
  <c r="X49" i="3"/>
  <c r="AE49" i="3"/>
  <c r="Q98" i="3"/>
  <c r="G98" i="3"/>
  <c r="X98" i="3"/>
  <c r="AE98" i="3"/>
  <c r="Q81" i="3"/>
  <c r="G81" i="3"/>
  <c r="X81" i="3"/>
  <c r="AE81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4" i="11"/>
  <c r="S104" i="11" s="1"/>
  <c r="R43" i="11"/>
  <c r="S43" i="11"/>
  <c r="R45" i="11"/>
  <c r="S45" i="11"/>
  <c r="R96" i="11"/>
  <c r="S96" i="11" s="1"/>
  <c r="R106" i="11"/>
  <c r="S106" i="11" s="1"/>
  <c r="S25" i="11"/>
  <c r="R25" i="11"/>
  <c r="R121" i="11"/>
  <c r="R44" i="11"/>
  <c r="S44" i="11"/>
  <c r="S19" i="11"/>
  <c r="R19" i="11"/>
  <c r="S66" i="11"/>
  <c r="R66" i="11"/>
  <c r="R93" i="11"/>
  <c r="S93" i="11" s="1"/>
  <c r="R83" i="11"/>
  <c r="S83" i="11"/>
  <c r="R71" i="11"/>
  <c r="S71" i="11"/>
  <c r="R50" i="11"/>
  <c r="S50" i="11"/>
  <c r="S35" i="11"/>
  <c r="R35" i="11"/>
  <c r="R95" i="11"/>
  <c r="S95" i="11" s="1"/>
  <c r="S58" i="11"/>
  <c r="R58" i="11"/>
  <c r="R88" i="11"/>
  <c r="S88" i="11" s="1"/>
  <c r="R133" i="11"/>
  <c r="S133" i="11" s="1"/>
  <c r="R12" i="11"/>
  <c r="S12" i="11"/>
  <c r="R91" i="11"/>
  <c r="S91" i="11" s="1"/>
  <c r="R36" i="11"/>
  <c r="S36" i="11"/>
  <c r="S46" i="11"/>
  <c r="R46" i="11"/>
  <c r="R14" i="11"/>
  <c r="S14" i="11"/>
  <c r="R116" i="11"/>
  <c r="S116" i="11" s="1"/>
  <c r="R102" i="11"/>
  <c r="S102" i="11" s="1"/>
  <c r="R98" i="3"/>
  <c r="S98" i="3" s="1"/>
  <c r="S4" i="3"/>
  <c r="R4" i="3"/>
  <c r="R67" i="3"/>
  <c r="S67" i="3" s="1"/>
  <c r="S17" i="3"/>
  <c r="R17" i="3"/>
  <c r="S41" i="3"/>
  <c r="R41" i="3"/>
  <c r="S13" i="3"/>
  <c r="R13" i="3"/>
  <c r="R9" i="3"/>
  <c r="S9" i="3"/>
  <c r="R99" i="3"/>
  <c r="S99" i="3" s="1"/>
  <c r="S12" i="3"/>
  <c r="R12" i="3"/>
  <c r="R66" i="3"/>
  <c r="S66" i="3" s="1"/>
  <c r="R18" i="3"/>
  <c r="S18" i="3"/>
  <c r="R82" i="3"/>
  <c r="S82" i="3" s="1"/>
  <c r="S49" i="3"/>
  <c r="R49" i="3"/>
  <c r="S5" i="3"/>
  <c r="R5" i="3"/>
  <c r="S21" i="3"/>
  <c r="R21" i="3"/>
  <c r="R23" i="3"/>
  <c r="S23" i="3"/>
  <c r="R81" i="3"/>
  <c r="S81" i="3" s="1"/>
  <c r="S6" i="3"/>
  <c r="R6" i="3"/>
  <c r="R19" i="3"/>
  <c r="S19" i="3"/>
  <c r="R74" i="3"/>
  <c r="R70" i="3"/>
  <c r="R77" i="3"/>
  <c r="S77" i="3" s="1"/>
  <c r="R80" i="3"/>
  <c r="R20" i="3"/>
  <c r="S20" i="3"/>
  <c r="R84" i="3"/>
  <c r="R25" i="3"/>
  <c r="S25" i="3"/>
  <c r="G54" i="17"/>
  <c r="H54" i="17" s="1"/>
  <c r="E22" i="17"/>
  <c r="F22" i="17" s="1"/>
  <c r="E16" i="17"/>
  <c r="F16" i="17" s="1"/>
  <c r="M12" i="14"/>
  <c r="B12" i="14" s="1" a="1"/>
  <c r="B12" i="14" s="1"/>
  <c r="M60" i="14"/>
  <c r="K67" i="14"/>
  <c r="K103" i="14"/>
  <c r="M93" i="14"/>
  <c r="K15" i="14"/>
  <c r="K62" i="14"/>
  <c r="M7" i="14"/>
  <c r="M10" i="14"/>
  <c r="M96" i="14"/>
  <c r="B96" i="14" s="1" a="1"/>
  <c r="B96" i="14" s="1"/>
  <c r="M74" i="14"/>
  <c r="B74" i="14" s="1" a="1"/>
  <c r="B74" i="14" s="1"/>
  <c r="K76" i="14"/>
  <c r="K34" i="14"/>
  <c r="K83" i="14"/>
  <c r="K82" i="14"/>
  <c r="M5" i="14"/>
  <c r="K94" i="14"/>
  <c r="K95" i="14"/>
  <c r="K97" i="14"/>
  <c r="M6" i="14"/>
  <c r="K72" i="14"/>
  <c r="K81" i="14"/>
  <c r="K92" i="14"/>
  <c r="M39" i="14"/>
  <c r="M75" i="14"/>
  <c r="B75" i="14" s="1" a="1"/>
  <c r="B75" i="14" s="1"/>
  <c r="M63" i="14"/>
  <c r="M84" i="14"/>
  <c r="K26" i="14"/>
  <c r="K61" i="14"/>
  <c r="M3" i="6"/>
  <c r="M14" i="6"/>
  <c r="M63" i="6"/>
  <c r="K59" i="6"/>
  <c r="K39" i="6"/>
  <c r="K40" i="6"/>
  <c r="K20" i="6"/>
  <c r="M18" i="6"/>
  <c r="M4" i="6"/>
  <c r="K19" i="6"/>
  <c r="K10" i="6"/>
  <c r="K78" i="6"/>
  <c r="K6" i="6"/>
  <c r="M26" i="6"/>
  <c r="B26" i="6" s="1" a="1"/>
  <c r="B26" i="6" s="1"/>
  <c r="K17" i="6"/>
  <c r="K60" i="6"/>
  <c r="K7" i="6"/>
  <c r="M21" i="6"/>
  <c r="M57" i="6"/>
  <c r="B57" i="6" s="1" a="1"/>
  <c r="B57" i="6" s="1"/>
  <c r="M94" i="6"/>
  <c r="B94" i="6" s="1" a="1"/>
  <c r="B94" i="6" s="1"/>
  <c r="M45" i="6"/>
  <c r="B45" i="6" s="1" a="1"/>
  <c r="B4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B23" i="16" s="1" a="1"/>
  <c r="B23" i="16" s="1"/>
  <c r="M17" i="16"/>
  <c r="B17" i="16" s="1" a="1"/>
  <c r="B17" i="16" s="1"/>
  <c r="M56" i="16"/>
  <c r="B56" i="16" s="1" a="1"/>
  <c r="B56" i="16" s="1"/>
  <c r="M53" i="16"/>
  <c r="B53" i="16" s="1" a="1"/>
  <c r="B53" i="16" s="1"/>
  <c r="M6" i="16"/>
  <c r="M11" i="16"/>
  <c r="B11" i="16" s="1" a="1"/>
  <c r="B11" i="16" s="1"/>
  <c r="M26" i="16"/>
  <c r="B26" i="16" s="1" a="1"/>
  <c r="B26" i="16" s="1"/>
  <c r="M28" i="16"/>
  <c r="B28" i="16" s="1" a="1"/>
  <c r="B28" i="16" s="1"/>
  <c r="L68" i="16"/>
  <c r="L33" i="16"/>
  <c r="K10" i="16"/>
  <c r="K13" i="15"/>
  <c r="K18" i="15"/>
  <c r="K32" i="15"/>
  <c r="L19" i="15"/>
  <c r="M7" i="15"/>
  <c r="K22" i="15"/>
  <c r="K41" i="15"/>
  <c r="K23" i="15"/>
  <c r="K5" i="15"/>
  <c r="K9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L18" i="12"/>
  <c r="L27" i="12"/>
  <c r="L3" i="12"/>
  <c r="M10" i="12"/>
  <c r="N6" i="12"/>
  <c r="L17" i="12"/>
  <c r="G46" i="17"/>
  <c r="H46" i="17" s="1"/>
  <c r="K34" i="16"/>
  <c r="C49" i="17"/>
  <c r="D49" i="17" s="1"/>
  <c r="M91" i="11"/>
  <c r="B91" i="11" s="1" a="1"/>
  <c r="B91" i="11" s="1"/>
  <c r="M50" i="11"/>
  <c r="B50" i="11" s="1" a="1"/>
  <c r="B50" i="11" s="1"/>
  <c r="M36" i="11"/>
  <c r="B36" i="11" s="1" a="1"/>
  <c r="B36" i="11" s="1"/>
  <c r="M25" i="11"/>
  <c r="B25" i="11" s="1" a="1"/>
  <c r="B25" i="11" s="1"/>
  <c r="M93" i="11"/>
  <c r="B93" i="11" s="1" a="1"/>
  <c r="B93" i="11" s="1"/>
  <c r="M121" i="11"/>
  <c r="K83" i="11"/>
  <c r="K96" i="11"/>
  <c r="M71" i="11"/>
  <c r="B71" i="11" s="1" a="1"/>
  <c r="B71" i="11" s="1"/>
  <c r="L16" i="11"/>
  <c r="K46" i="11"/>
  <c r="M14" i="11"/>
  <c r="B14" i="11" s="1" a="1"/>
  <c r="B14" i="11" s="1"/>
  <c r="K116" i="11"/>
  <c r="K102" i="11"/>
  <c r="K45" i="11"/>
  <c r="K43" i="11"/>
  <c r="L19" i="11"/>
  <c r="L99" i="3"/>
  <c r="K18" i="3"/>
  <c r="K21" i="3"/>
  <c r="L74" i="3"/>
  <c r="K80" i="3"/>
  <c r="M20" i="3"/>
  <c r="B20" i="3" s="1" a="1"/>
  <c r="B20" i="3" s="1"/>
  <c r="M67" i="3"/>
  <c r="B67" i="3" s="1" a="1"/>
  <c r="B67" i="3" s="1"/>
  <c r="L12" i="3"/>
  <c r="L70" i="3"/>
  <c r="M23" i="3"/>
  <c r="B23" i="3" s="1" a="1"/>
  <c r="B23" i="3" s="1"/>
  <c r="K82" i="3"/>
  <c r="M17" i="3"/>
  <c r="B17" i="3" s="1" a="1"/>
  <c r="B17" i="3" s="1"/>
  <c r="K25" i="3"/>
  <c r="M13" i="3"/>
  <c r="B13" i="3" s="1" a="1"/>
  <c r="B13" i="3" s="1"/>
  <c r="L96" i="14"/>
  <c r="K96" i="14"/>
  <c r="M15" i="14"/>
  <c r="E55" i="17"/>
  <c r="F55" i="17" s="1"/>
  <c r="G22" i="17"/>
  <c r="H22" i="17" s="1"/>
  <c r="C52" i="17"/>
  <c r="D52" i="17" s="1"/>
  <c r="L63" i="14"/>
  <c r="L60" i="14"/>
  <c r="K12" i="14"/>
  <c r="K60" i="14"/>
  <c r="L5" i="14"/>
  <c r="K63" i="6"/>
  <c r="L94" i="6"/>
  <c r="K3" i="6"/>
  <c r="L45" i="6"/>
  <c r="L4" i="6"/>
  <c r="L63" i="6"/>
  <c r="M18" i="15"/>
  <c r="B18" i="15" s="1" a="1"/>
  <c r="B18" i="15" s="1"/>
  <c r="L18" i="15"/>
  <c r="N16" i="13"/>
  <c r="M88" i="11"/>
  <c r="B88" i="11" s="1" a="1"/>
  <c r="B88" i="11" s="1"/>
  <c r="M133" i="11"/>
  <c r="B133" i="11" s="1" a="1"/>
  <c r="B133" i="11" s="1"/>
  <c r="K58" i="11"/>
  <c r="L14" i="11"/>
  <c r="K10" i="11"/>
  <c r="L91" i="11"/>
  <c r="K19" i="11"/>
  <c r="L20" i="3"/>
  <c r="M21" i="3"/>
  <c r="B21" i="3" s="1" a="1"/>
  <c r="B21" i="3" s="1"/>
  <c r="M16" i="15"/>
  <c r="B16" i="15" s="1" a="1"/>
  <c r="B16" i="15" s="1"/>
  <c r="L16" i="15"/>
  <c r="L5" i="15"/>
  <c r="M23" i="15"/>
  <c r="B23" i="15" s="1" a="1"/>
  <c r="B23" i="15" s="1"/>
  <c r="L23" i="15"/>
  <c r="M13" i="15"/>
  <c r="B13" i="15" s="1" a="1"/>
  <c r="B13" i="15" s="1"/>
  <c r="L13" i="15"/>
  <c r="L7" i="15"/>
  <c r="K7" i="15"/>
  <c r="M5" i="15"/>
  <c r="M22" i="15"/>
  <c r="B22" i="15" s="1" a="1"/>
  <c r="B22" i="15" s="1"/>
  <c r="L22" i="15"/>
  <c r="M9" i="15"/>
  <c r="L9" i="15"/>
  <c r="M32" i="15"/>
  <c r="L32" i="15"/>
  <c r="M41" i="15"/>
  <c r="B41" i="15" s="1" a="1"/>
  <c r="B41" i="15" s="1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B33" i="16" s="1" a="1"/>
  <c r="B33" i="16" s="1"/>
  <c r="M12" i="16"/>
  <c r="B12" i="16" s="1" a="1"/>
  <c r="B12" i="16" s="1"/>
  <c r="K33" i="16"/>
  <c r="L27" i="16"/>
  <c r="K27" i="16"/>
  <c r="K68" i="16"/>
  <c r="L24" i="16"/>
  <c r="L58" i="16"/>
  <c r="K58" i="16"/>
  <c r="M10" i="16"/>
  <c r="M34" i="16"/>
  <c r="B34" i="16" s="1" a="1"/>
  <c r="B34" i="16" s="1"/>
  <c r="L10" i="16"/>
  <c r="M38" i="16"/>
  <c r="B38" i="16" s="1" a="1"/>
  <c r="B38" i="16" s="1"/>
  <c r="M68" i="16"/>
  <c r="B68" i="16" s="1" a="1"/>
  <c r="B68" i="16" s="1"/>
  <c r="L13" i="3"/>
  <c r="M18" i="3"/>
  <c r="B18" i="3" s="1" a="1"/>
  <c r="B18" i="3" s="1"/>
  <c r="M74" i="3"/>
  <c r="B74" i="3" s="1" a="1"/>
  <c r="B74" i="3" s="1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6" i="14"/>
  <c r="M72" i="14"/>
  <c r="K6" i="14"/>
  <c r="L72" i="14"/>
  <c r="M103" i="14"/>
  <c r="B103" i="14" s="1" a="1"/>
  <c r="B103" i="14" s="1"/>
  <c r="L93" i="14"/>
  <c r="L74" i="14"/>
  <c r="M26" i="14"/>
  <c r="L26" i="14"/>
  <c r="M81" i="14"/>
  <c r="L81" i="14"/>
  <c r="M67" i="14"/>
  <c r="B67" i="14" s="1" a="1"/>
  <c r="B67" i="14" s="1"/>
  <c r="L67" i="14"/>
  <c r="L103" i="14"/>
  <c r="L75" i="14"/>
  <c r="K75" i="14"/>
  <c r="M95" i="14"/>
  <c r="K63" i="14"/>
  <c r="K74" i="14"/>
  <c r="M97" i="14"/>
  <c r="B97" i="14" s="1" a="1"/>
  <c r="B97" i="14" s="1"/>
  <c r="L84" i="14"/>
  <c r="K84" i="14"/>
  <c r="M76" i="14"/>
  <c r="B76" i="14" s="1" a="1"/>
  <c r="B76" i="14" s="1"/>
  <c r="L12" i="14"/>
  <c r="M62" i="14"/>
  <c r="K5" i="14"/>
  <c r="M92" i="14"/>
  <c r="M34" i="14"/>
  <c r="M61" i="14"/>
  <c r="M83" i="14"/>
  <c r="M82" i="14"/>
  <c r="L34" i="14"/>
  <c r="L61" i="14"/>
  <c r="L83" i="14"/>
  <c r="L82" i="14"/>
  <c r="L95" i="14"/>
  <c r="L15" i="14"/>
  <c r="L97" i="14"/>
  <c r="L76" i="14"/>
  <c r="K93" i="14"/>
  <c r="L7" i="14"/>
  <c r="K7" i="14"/>
  <c r="M94" i="14"/>
  <c r="L39" i="14"/>
  <c r="K39" i="14"/>
  <c r="L10" i="14"/>
  <c r="K10" i="14"/>
  <c r="L62" i="14"/>
  <c r="L92" i="14"/>
  <c r="L94" i="14"/>
  <c r="M60" i="6"/>
  <c r="L26" i="6"/>
  <c r="L40" i="6"/>
  <c r="K21" i="6"/>
  <c r="M17" i="6"/>
  <c r="L17" i="6"/>
  <c r="L3" i="6"/>
  <c r="M39" i="6"/>
  <c r="B39" i="6" s="1" a="1"/>
  <c r="B39" i="6" s="1"/>
  <c r="L39" i="6"/>
  <c r="M78" i="6"/>
  <c r="B78" i="6" s="1" a="1"/>
  <c r="B78" i="6" s="1"/>
  <c r="L78" i="6"/>
  <c r="L14" i="6"/>
  <c r="K14" i="6"/>
  <c r="L57" i="6"/>
  <c r="K57" i="6"/>
  <c r="M10" i="6"/>
  <c r="L18" i="6"/>
  <c r="M40" i="6"/>
  <c r="B40" i="6" s="1" a="1"/>
  <c r="B40" i="6" s="1"/>
  <c r="M6" i="6"/>
  <c r="K4" i="6"/>
  <c r="M20" i="6"/>
  <c r="K26" i="6"/>
  <c r="M7" i="6"/>
  <c r="M19" i="6"/>
  <c r="L21" i="6"/>
  <c r="K94" i="6"/>
  <c r="K45" i="6"/>
  <c r="K18" i="6"/>
  <c r="L10" i="6"/>
  <c r="M59" i="6"/>
  <c r="B59" i="6" s="1" a="1"/>
  <c r="B59" i="6" s="1"/>
  <c r="L59" i="6"/>
  <c r="L6" i="6"/>
  <c r="L60" i="6"/>
  <c r="L20" i="6"/>
  <c r="L7" i="6"/>
  <c r="L19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N10" i="12"/>
  <c r="L14" i="12"/>
  <c r="N8" i="12"/>
  <c r="M21" i="12"/>
  <c r="L21" i="12"/>
  <c r="N18" i="12"/>
  <c r="M18" i="12"/>
  <c r="N27" i="12"/>
  <c r="B27" i="12" s="1" a="1"/>
  <c r="B27" i="12" s="1"/>
  <c r="M27" i="12"/>
  <c r="M6" i="12"/>
  <c r="M14" i="12"/>
  <c r="M17" i="12"/>
  <c r="M8" i="12"/>
  <c r="N3" i="12"/>
  <c r="B15" i="12" s="1" a="1"/>
  <c r="B15" i="12" s="1"/>
  <c r="M3" i="12"/>
  <c r="K66" i="11"/>
  <c r="M35" i="11"/>
  <c r="B35" i="11" s="1" a="1"/>
  <c r="B35" i="11" s="1"/>
  <c r="L88" i="11"/>
  <c r="M12" i="11"/>
  <c r="B12" i="11" s="1" a="1"/>
  <c r="B12" i="11" s="1"/>
  <c r="M19" i="11"/>
  <c r="B19" i="11" s="1" a="1"/>
  <c r="B19" i="11" s="1"/>
  <c r="M83" i="11"/>
  <c r="B83" i="11" s="1" a="1"/>
  <c r="B83" i="11" s="1"/>
  <c r="L83" i="11"/>
  <c r="M43" i="11"/>
  <c r="B43" i="11" s="1" a="1"/>
  <c r="B43" i="11" s="1"/>
  <c r="L43" i="11"/>
  <c r="L35" i="11"/>
  <c r="K35" i="11"/>
  <c r="M44" i="11"/>
  <c r="B44" i="11" s="1" a="1"/>
  <c r="B44" i="11" s="1"/>
  <c r="L44" i="11"/>
  <c r="M45" i="11"/>
  <c r="B45" i="11" s="1" a="1"/>
  <c r="B45" i="11" s="1"/>
  <c r="K44" i="11"/>
  <c r="L45" i="11"/>
  <c r="K91" i="11"/>
  <c r="L36" i="11"/>
  <c r="K36" i="11"/>
  <c r="K14" i="11"/>
  <c r="L121" i="11"/>
  <c r="K121" i="11"/>
  <c r="M104" i="11"/>
  <c r="B104" i="11" s="1" a="1"/>
  <c r="B104" i="11" s="1"/>
  <c r="M102" i="11"/>
  <c r="B102" i="11" s="1" a="1"/>
  <c r="B102" i="11" s="1"/>
  <c r="L102" i="11"/>
  <c r="K95" i="11"/>
  <c r="L71" i="11"/>
  <c r="L50" i="11"/>
  <c r="L25" i="11"/>
  <c r="L93" i="11"/>
  <c r="L104" i="11"/>
  <c r="K50" i="11"/>
  <c r="K25" i="11"/>
  <c r="M46" i="11"/>
  <c r="B46" i="11" s="1" a="1"/>
  <c r="B46" i="11" s="1"/>
  <c r="K93" i="11"/>
  <c r="M116" i="11"/>
  <c r="B116" i="11" s="1" a="1"/>
  <c r="B116" i="11" s="1"/>
  <c r="K104" i="11"/>
  <c r="L46" i="11"/>
  <c r="L116" i="11"/>
  <c r="M58" i="11"/>
  <c r="B58" i="11" s="1" a="1"/>
  <c r="B58" i="11" s="1"/>
  <c r="M66" i="11"/>
  <c r="B66" i="11" s="1" a="1"/>
  <c r="B66" i="11" s="1"/>
  <c r="L133" i="11"/>
  <c r="M16" i="11"/>
  <c r="B16" i="11" s="1" a="1"/>
  <c r="B16" i="11" s="1"/>
  <c r="K16" i="11"/>
  <c r="M96" i="11"/>
  <c r="B96" i="11" s="1" a="1"/>
  <c r="B96" i="11" s="1"/>
  <c r="L12" i="11"/>
  <c r="M95" i="11"/>
  <c r="B95" i="11" s="1" a="1"/>
  <c r="B95" i="11" s="1"/>
  <c r="K71" i="11"/>
  <c r="M10" i="11"/>
  <c r="B10" i="11" s="1" a="1"/>
  <c r="B10" i="11" s="1"/>
  <c r="K88" i="11"/>
  <c r="K133" i="11"/>
  <c r="M106" i="11"/>
  <c r="B106" i="11" s="1" a="1"/>
  <c r="B106" i="11" s="1"/>
  <c r="K12" i="11"/>
  <c r="L95" i="11"/>
  <c r="L10" i="11"/>
  <c r="L106" i="11"/>
  <c r="K106" i="11"/>
  <c r="L96" i="11"/>
  <c r="L66" i="11"/>
  <c r="L58" i="11"/>
  <c r="M99" i="3"/>
  <c r="B99" i="3" s="1" a="1"/>
  <c r="B99" i="3" s="1"/>
  <c r="K12" i="3"/>
  <c r="K74" i="3"/>
  <c r="L18" i="3"/>
  <c r="L21" i="3"/>
  <c r="K20" i="3"/>
  <c r="K6" i="3"/>
  <c r="M12" i="3"/>
  <c r="B12" i="3" s="1" a="1"/>
  <c r="B12" i="3" s="1"/>
  <c r="M66" i="3"/>
  <c r="B66" i="3" s="1" a="1"/>
  <c r="B66" i="3" s="1"/>
  <c r="M81" i="3"/>
  <c r="B81" i="3" s="1" a="1"/>
  <c r="B81" i="3" s="1"/>
  <c r="L67" i="3"/>
  <c r="K67" i="3"/>
  <c r="L23" i="3"/>
  <c r="K23" i="3"/>
  <c r="M84" i="3"/>
  <c r="B84" i="3" s="1" a="1"/>
  <c r="B84" i="3" s="1"/>
  <c r="K84" i="3"/>
  <c r="L17" i="3"/>
  <c r="K17" i="3"/>
  <c r="L84" i="3"/>
  <c r="M80" i="3"/>
  <c r="B80" i="3" s="1" a="1"/>
  <c r="B80" i="3" s="1"/>
  <c r="M82" i="3"/>
  <c r="B82" i="3" s="1" a="1"/>
  <c r="B82" i="3" s="1"/>
  <c r="M25" i="3"/>
  <c r="B25" i="3" s="1" a="1"/>
  <c r="B25" i="3" s="1"/>
  <c r="L80" i="3"/>
  <c r="L82" i="3"/>
  <c r="L25" i="3"/>
  <c r="K19" i="3"/>
  <c r="L19" i="3"/>
  <c r="M19" i="3"/>
  <c r="B19" i="3" s="1" a="1"/>
  <c r="B19" i="3" s="1"/>
  <c r="K4" i="3"/>
  <c r="L66" i="3"/>
  <c r="M41" i="3"/>
  <c r="B41" i="3" s="1" a="1"/>
  <c r="B41" i="3" s="1"/>
  <c r="L81" i="3"/>
  <c r="K81" i="3"/>
  <c r="M98" i="3"/>
  <c r="K98" i="3"/>
  <c r="M49" i="3"/>
  <c r="B49" i="3" s="1" a="1"/>
  <c r="B49" i="3" s="1"/>
  <c r="L49" i="3"/>
  <c r="K49" i="3"/>
  <c r="K70" i="3"/>
  <c r="M70" i="3"/>
  <c r="B70" i="3" s="1" a="1"/>
  <c r="B70" i="3" s="1"/>
  <c r="M77" i="3"/>
  <c r="B77" i="3" s="1" a="1"/>
  <c r="B77" i="3" s="1"/>
  <c r="M9" i="3"/>
  <c r="M5" i="3"/>
  <c r="K66" i="3"/>
  <c r="L77" i="3"/>
  <c r="L9" i="3"/>
  <c r="L5" i="3"/>
  <c r="K77" i="3"/>
  <c r="K9" i="3"/>
  <c r="M4" i="3"/>
  <c r="K5" i="3"/>
  <c r="L4" i="3"/>
  <c r="K99" i="3"/>
  <c r="L41" i="3"/>
  <c r="L98" i="3"/>
  <c r="K41" i="3"/>
  <c r="M6" i="3"/>
  <c r="L6" i="3"/>
  <c r="G2" i="17"/>
  <c r="H2" i="17" s="1"/>
  <c r="D61" i="16"/>
  <c r="D3" i="16"/>
  <c r="D4" i="14"/>
  <c r="D85" i="14"/>
  <c r="D101" i="14"/>
  <c r="D65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30" i="11"/>
  <c r="AE132" i="11"/>
  <c r="AE90" i="11"/>
  <c r="AE72" i="11"/>
  <c r="AE57" i="11"/>
  <c r="AE75" i="11"/>
  <c r="AE28" i="11"/>
  <c r="AE26" i="11"/>
  <c r="AE94" i="11"/>
  <c r="AE101" i="11"/>
  <c r="AE92" i="11"/>
  <c r="AE107" i="11"/>
  <c r="AE100" i="11"/>
  <c r="AE86" i="11"/>
  <c r="AE55" i="11"/>
  <c r="AE21" i="11"/>
  <c r="AE103" i="11"/>
  <c r="AE122" i="11"/>
  <c r="AE127" i="11"/>
  <c r="AE37" i="11"/>
  <c r="AE27" i="11"/>
  <c r="AE105" i="11"/>
  <c r="AE32" i="11"/>
  <c r="AE13" i="11"/>
  <c r="AE42" i="11"/>
  <c r="AE62" i="11"/>
  <c r="AE38" i="11"/>
  <c r="AE24" i="11"/>
  <c r="AE47" i="11"/>
  <c r="AE40" i="11"/>
  <c r="AE22" i="11"/>
  <c r="AE29" i="11"/>
  <c r="AE31" i="11"/>
  <c r="AE69" i="11"/>
  <c r="AE39" i="11"/>
  <c r="AE64" i="11"/>
  <c r="AE65" i="11"/>
  <c r="AE70" i="11"/>
  <c r="AE34" i="11"/>
  <c r="AE41" i="11"/>
  <c r="AE51" i="11"/>
  <c r="AE78" i="11"/>
  <c r="AE17" i="11"/>
  <c r="AE18" i="11"/>
  <c r="AE50" i="3"/>
  <c r="AE8" i="3"/>
  <c r="AE33" i="3"/>
  <c r="AE100" i="3"/>
  <c r="AE14" i="3"/>
  <c r="AE104" i="3"/>
  <c r="AE37" i="3"/>
  <c r="AE65" i="3"/>
  <c r="AE15" i="3"/>
  <c r="AE64" i="3"/>
  <c r="AE34" i="3"/>
  <c r="AE44" i="3"/>
  <c r="AE75" i="3"/>
  <c r="AE58" i="3"/>
  <c r="AE78" i="3"/>
  <c r="AE7" i="3"/>
  <c r="AE3" i="3"/>
  <c r="AE16" i="3"/>
  <c r="AE72" i="3"/>
  <c r="AE54" i="3"/>
  <c r="AE39" i="3"/>
  <c r="AE31" i="3"/>
  <c r="AE52" i="3"/>
  <c r="AE69" i="3"/>
  <c r="AE27" i="3"/>
  <c r="AE40" i="3"/>
  <c r="AE43" i="3"/>
  <c r="AE26" i="3"/>
  <c r="AE32" i="3"/>
  <c r="AE51" i="3"/>
  <c r="AE42" i="3"/>
  <c r="AE24" i="3"/>
  <c r="AE29" i="3"/>
  <c r="AE95" i="3"/>
  <c r="AE73" i="3"/>
  <c r="AE38" i="3"/>
  <c r="AE28" i="3"/>
  <c r="AE79" i="3"/>
  <c r="AE76" i="3"/>
  <c r="AE68" i="3"/>
  <c r="AE71" i="3"/>
  <c r="X50" i="3"/>
  <c r="X8" i="3"/>
  <c r="X33" i="3"/>
  <c r="X100" i="3"/>
  <c r="X14" i="3"/>
  <c r="X104" i="3"/>
  <c r="X37" i="3"/>
  <c r="X65" i="3"/>
  <c r="X15" i="3"/>
  <c r="X64" i="3"/>
  <c r="X34" i="3"/>
  <c r="X44" i="3"/>
  <c r="X75" i="3"/>
  <c r="X58" i="3"/>
  <c r="X78" i="3"/>
  <c r="X7" i="3"/>
  <c r="X3" i="3"/>
  <c r="X16" i="3"/>
  <c r="X72" i="3"/>
  <c r="X54" i="3"/>
  <c r="X39" i="3"/>
  <c r="X31" i="3"/>
  <c r="X52" i="3"/>
  <c r="X69" i="3"/>
  <c r="X27" i="3"/>
  <c r="X40" i="3"/>
  <c r="X43" i="3"/>
  <c r="X26" i="3"/>
  <c r="X32" i="3"/>
  <c r="X51" i="3"/>
  <c r="X24" i="3"/>
  <c r="X29" i="3"/>
  <c r="X95" i="3"/>
  <c r="X73" i="3"/>
  <c r="X38" i="3"/>
  <c r="X28" i="3"/>
  <c r="X79" i="3"/>
  <c r="X76" i="3"/>
  <c r="X68" i="3"/>
  <c r="X71" i="3"/>
  <c r="X130" i="11"/>
  <c r="X132" i="11"/>
  <c r="X90" i="11"/>
  <c r="X72" i="11"/>
  <c r="X57" i="11"/>
  <c r="X75" i="11"/>
  <c r="X28" i="11"/>
  <c r="X26" i="11"/>
  <c r="X94" i="11"/>
  <c r="X101" i="11"/>
  <c r="X92" i="11"/>
  <c r="X107" i="11"/>
  <c r="X100" i="11"/>
  <c r="X86" i="11"/>
  <c r="X55" i="11"/>
  <c r="X21" i="11"/>
  <c r="X103" i="11"/>
  <c r="X122" i="11"/>
  <c r="X127" i="11"/>
  <c r="X37" i="11"/>
  <c r="X27" i="11"/>
  <c r="X105" i="11"/>
  <c r="X32" i="11"/>
  <c r="X13" i="11"/>
  <c r="X42" i="11"/>
  <c r="X62" i="11"/>
  <c r="X38" i="11"/>
  <c r="X24" i="11"/>
  <c r="X47" i="11"/>
  <c r="X40" i="11"/>
  <c r="X22" i="11"/>
  <c r="X29" i="11"/>
  <c r="X31" i="11"/>
  <c r="X69" i="11"/>
  <c r="X39" i="11"/>
  <c r="X73" i="11"/>
  <c r="X64" i="11"/>
  <c r="X65" i="11"/>
  <c r="X70" i="11"/>
  <c r="X34" i="11"/>
  <c r="X41" i="11"/>
  <c r="X51" i="11"/>
  <c r="X78" i="11"/>
  <c r="X17" i="11"/>
  <c r="X18" i="11"/>
  <c r="G107" i="11"/>
  <c r="G100" i="11"/>
  <c r="G86" i="11"/>
  <c r="G55" i="11"/>
  <c r="G21" i="11"/>
  <c r="G103" i="11"/>
  <c r="G122" i="11"/>
  <c r="G127" i="11"/>
  <c r="G37" i="11"/>
  <c r="G27" i="11"/>
  <c r="G105" i="11"/>
  <c r="G32" i="11"/>
  <c r="G13" i="11"/>
  <c r="G42" i="11"/>
  <c r="G62" i="11"/>
  <c r="G38" i="11"/>
  <c r="G24" i="11"/>
  <c r="G47" i="11"/>
  <c r="G24" i="3"/>
  <c r="G29" i="3"/>
  <c r="G95" i="3"/>
  <c r="G73" i="3"/>
  <c r="G38" i="3"/>
  <c r="G28" i="3"/>
  <c r="G79" i="3"/>
  <c r="G76" i="3"/>
  <c r="G68" i="3"/>
  <c r="G71" i="3"/>
  <c r="G8" i="3"/>
  <c r="G33" i="3"/>
  <c r="G100" i="3"/>
  <c r="G14" i="3"/>
  <c r="G104" i="3"/>
  <c r="G37" i="3"/>
  <c r="G65" i="3"/>
  <c r="G15" i="3"/>
  <c r="G64" i="3"/>
  <c r="G34" i="3"/>
  <c r="G44" i="3"/>
  <c r="G75" i="3"/>
  <c r="G58" i="3"/>
  <c r="G78" i="3"/>
  <c r="G7" i="3"/>
  <c r="G3" i="3"/>
  <c r="G16" i="3"/>
  <c r="G72" i="3"/>
  <c r="G54" i="3"/>
  <c r="G39" i="3"/>
  <c r="G31" i="3"/>
  <c r="G52" i="3"/>
  <c r="G69" i="3"/>
  <c r="G27" i="3"/>
  <c r="G40" i="3"/>
  <c r="G43" i="3"/>
  <c r="G26" i="3"/>
  <c r="G32" i="3"/>
  <c r="G51" i="3"/>
  <c r="G42" i="3"/>
  <c r="G51" i="11"/>
  <c r="G78" i="11"/>
  <c r="G17" i="11"/>
  <c r="G18" i="11"/>
  <c r="G130" i="11"/>
  <c r="G132" i="11"/>
  <c r="G90" i="11"/>
  <c r="G72" i="11"/>
  <c r="G57" i="11"/>
  <c r="G75" i="11"/>
  <c r="G28" i="11"/>
  <c r="G26" i="11"/>
  <c r="G94" i="11"/>
  <c r="G101" i="11"/>
  <c r="G92" i="11"/>
  <c r="G40" i="11"/>
  <c r="G22" i="11"/>
  <c r="G29" i="11"/>
  <c r="G31" i="11"/>
  <c r="G69" i="11"/>
  <c r="G39" i="11"/>
  <c r="G73" i="11"/>
  <c r="G64" i="11"/>
  <c r="G65" i="11"/>
  <c r="G70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10" i="15"/>
  <c r="G44" i="15"/>
  <c r="G35" i="15"/>
  <c r="G34" i="15"/>
  <c r="G12" i="15"/>
  <c r="G36" i="15"/>
  <c r="G4" i="15"/>
  <c r="G3" i="15"/>
  <c r="G37" i="15"/>
  <c r="G11" i="15"/>
  <c r="G17" i="15"/>
  <c r="G27" i="15"/>
  <c r="G25" i="15"/>
  <c r="G20" i="15"/>
  <c r="G21" i="15"/>
  <c r="G5" i="6"/>
  <c r="G41" i="6"/>
  <c r="G13" i="6"/>
  <c r="G65" i="6"/>
  <c r="G12" i="6"/>
  <c r="G15" i="6"/>
  <c r="G24" i="6"/>
  <c r="G11" i="6"/>
  <c r="G98" i="6"/>
  <c r="G30" i="6"/>
  <c r="G67" i="6"/>
  <c r="G61" i="6"/>
  <c r="G77" i="6"/>
  <c r="G62" i="6"/>
  <c r="G88" i="6"/>
  <c r="G69" i="6"/>
  <c r="G64" i="6"/>
  <c r="G16" i="6"/>
  <c r="G70" i="6"/>
  <c r="G33" i="6"/>
  <c r="G42" i="6"/>
  <c r="G71" i="6"/>
  <c r="G36" i="6"/>
  <c r="G90" i="6"/>
  <c r="G89" i="6"/>
  <c r="G95" i="6"/>
  <c r="G74" i="6"/>
  <c r="G28" i="6"/>
  <c r="G68" i="6"/>
  <c r="G76" i="6"/>
  <c r="G93" i="6"/>
  <c r="G43" i="6"/>
  <c r="G23" i="6"/>
  <c r="G31" i="6"/>
  <c r="G44" i="6"/>
  <c r="G22" i="6"/>
  <c r="G37" i="6"/>
  <c r="G53" i="6"/>
  <c r="G38" i="6"/>
  <c r="G25" i="6"/>
  <c r="G73" i="6"/>
  <c r="G50" i="3"/>
  <c r="B27" i="13" l="1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3" i="15" a="1"/>
  <c r="B3" i="15" s="1"/>
  <c r="B6" i="15" a="1"/>
  <c r="B6" i="15" s="1"/>
  <c r="B33" i="15" a="1"/>
  <c r="B33" i="15" s="1"/>
  <c r="B7" i="15" a="1"/>
  <c r="B7" i="15" s="1"/>
  <c r="B4" i="15" a="1"/>
  <c r="B4" i="15" s="1"/>
  <c r="B32" i="15" a="1"/>
  <c r="B32" i="15" s="1"/>
  <c r="B5" i="15" a="1"/>
  <c r="B5" i="15" s="1"/>
  <c r="B3" i="13" a="1"/>
  <c r="B3" i="13" s="1"/>
  <c r="B4" i="6" a="1"/>
  <c r="B4" i="6" s="1"/>
  <c r="B61" i="6" a="1"/>
  <c r="B61" i="6" s="1"/>
  <c r="B5" i="6" a="1"/>
  <c r="B5" i="6" s="1"/>
  <c r="B3" i="6" a="1"/>
  <c r="B3" i="6" s="1"/>
  <c r="B63" i="6" a="1"/>
  <c r="B63" i="6" s="1"/>
  <c r="B6" i="6" a="1"/>
  <c r="B6" i="6" s="1"/>
  <c r="B60" i="6" a="1"/>
  <c r="B60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6" i="11"/>
  <c r="J19" i="11"/>
  <c r="J58" i="11"/>
  <c r="J46" i="11"/>
  <c r="J25" i="11"/>
  <c r="R122" i="11"/>
  <c r="S122" i="11" s="1"/>
  <c r="J50" i="11"/>
  <c r="R103" i="11"/>
  <c r="S103" i="11" s="1"/>
  <c r="R75" i="11"/>
  <c r="S75" i="11"/>
  <c r="J116" i="11"/>
  <c r="J91" i="11"/>
  <c r="J71" i="11"/>
  <c r="J106" i="11"/>
  <c r="J104" i="11"/>
  <c r="R39" i="11"/>
  <c r="S39" i="11"/>
  <c r="R38" i="11"/>
  <c r="S38" i="11"/>
  <c r="J102" i="11"/>
  <c r="R32" i="11"/>
  <c r="S32" i="11"/>
  <c r="J16" i="11"/>
  <c r="R18" i="11"/>
  <c r="S18" i="11"/>
  <c r="S62" i="11"/>
  <c r="R62" i="11"/>
  <c r="S31" i="11"/>
  <c r="R31" i="11"/>
  <c r="R34" i="11"/>
  <c r="S34" i="11"/>
  <c r="S13" i="11"/>
  <c r="R13" i="11"/>
  <c r="R22" i="11"/>
  <c r="S22" i="11"/>
  <c r="R55" i="11"/>
  <c r="S55" i="11"/>
  <c r="R65" i="11"/>
  <c r="S65" i="11"/>
  <c r="R105" i="11"/>
  <c r="J14" i="11"/>
  <c r="J12" i="11"/>
  <c r="J95" i="11"/>
  <c r="J83" i="11"/>
  <c r="J44" i="11"/>
  <c r="J96" i="11"/>
  <c r="R130" i="11"/>
  <c r="S130" i="11" s="1"/>
  <c r="J88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7" i="11"/>
  <c r="S57" i="11"/>
  <c r="S72" i="11"/>
  <c r="R72" i="11"/>
  <c r="R92" i="11"/>
  <c r="S92" i="11" s="1"/>
  <c r="R47" i="11"/>
  <c r="S47" i="11"/>
  <c r="R94" i="11"/>
  <c r="S94" i="11" s="1"/>
  <c r="R127" i="11"/>
  <c r="S127" i="11" s="1"/>
  <c r="S69" i="11"/>
  <c r="R69" i="11"/>
  <c r="R28" i="11"/>
  <c r="S28" i="11"/>
  <c r="R42" i="11"/>
  <c r="S42" i="11"/>
  <c r="S78" i="11"/>
  <c r="R78" i="11"/>
  <c r="R70" i="11"/>
  <c r="S70" i="11"/>
  <c r="R51" i="11"/>
  <c r="S51" i="11"/>
  <c r="S40" i="11"/>
  <c r="R40" i="11"/>
  <c r="R86" i="11"/>
  <c r="S86" i="11" s="1"/>
  <c r="R64" i="11"/>
  <c r="S64" i="11"/>
  <c r="R90" i="11"/>
  <c r="S90" i="11" s="1"/>
  <c r="R27" i="11"/>
  <c r="S27" i="11"/>
  <c r="R100" i="11"/>
  <c r="S73" i="11"/>
  <c r="R73" i="11"/>
  <c r="R101" i="11"/>
  <c r="S101" i="11" s="1"/>
  <c r="R132" i="11"/>
  <c r="S132" i="11" s="1"/>
  <c r="R24" i="11"/>
  <c r="S24" i="11"/>
  <c r="R37" i="11"/>
  <c r="S37" i="11"/>
  <c r="R107" i="11"/>
  <c r="S107" i="11" s="1"/>
  <c r="J133" i="11"/>
  <c r="J93" i="11"/>
  <c r="S121" i="11"/>
  <c r="J121" i="11" s="1"/>
  <c r="J45" i="11"/>
  <c r="J10" i="11"/>
  <c r="J21" i="3"/>
  <c r="J17" i="3"/>
  <c r="J4" i="3"/>
  <c r="J6" i="3"/>
  <c r="J5" i="3"/>
  <c r="J13" i="3"/>
  <c r="R32" i="3"/>
  <c r="S32" i="3"/>
  <c r="R39" i="3"/>
  <c r="S39" i="3"/>
  <c r="R28" i="3"/>
  <c r="S28" i="3"/>
  <c r="J25" i="3"/>
  <c r="S74" i="3"/>
  <c r="J74" i="3" s="1"/>
  <c r="J23" i="3"/>
  <c r="J82" i="3"/>
  <c r="J99" i="3"/>
  <c r="R58" i="3"/>
  <c r="S58" i="3"/>
  <c r="R54" i="3"/>
  <c r="S54" i="3"/>
  <c r="S84" i="3"/>
  <c r="J84" i="3" s="1"/>
  <c r="R79" i="3"/>
  <c r="S14" i="3"/>
  <c r="R14" i="3"/>
  <c r="R38" i="3"/>
  <c r="S38" i="3"/>
  <c r="S40" i="3"/>
  <c r="R40" i="3"/>
  <c r="R33" i="3"/>
  <c r="S33" i="3"/>
  <c r="J19" i="3"/>
  <c r="J18" i="3"/>
  <c r="J9" i="3"/>
  <c r="J67" i="3"/>
  <c r="S50" i="3"/>
  <c r="R50" i="3"/>
  <c r="R44" i="3"/>
  <c r="S44" i="3"/>
  <c r="R72" i="3"/>
  <c r="S72" i="3" s="1"/>
  <c r="R27" i="3"/>
  <c r="S27" i="3"/>
  <c r="R16" i="3"/>
  <c r="S16" i="3"/>
  <c r="R64" i="3"/>
  <c r="S64" i="3" s="1"/>
  <c r="S8" i="3"/>
  <c r="R8" i="3"/>
  <c r="R95" i="3"/>
  <c r="S95" i="3" s="1"/>
  <c r="J20" i="3"/>
  <c r="S70" i="3"/>
  <c r="J70" i="3" s="1"/>
  <c r="R75" i="3"/>
  <c r="S75" i="3" s="1"/>
  <c r="R100" i="3"/>
  <c r="S34" i="3"/>
  <c r="R34" i="3"/>
  <c r="R69" i="3"/>
  <c r="R15" i="3"/>
  <c r="S15" i="3"/>
  <c r="R29" i="3"/>
  <c r="S29" i="3"/>
  <c r="S80" i="3"/>
  <c r="J80" i="3" s="1"/>
  <c r="J66" i="3"/>
  <c r="R104" i="3"/>
  <c r="S104" i="3" s="1"/>
  <c r="R43" i="3"/>
  <c r="S43" i="3"/>
  <c r="R73" i="3"/>
  <c r="S73" i="3" s="1"/>
  <c r="R3" i="3"/>
  <c r="S3" i="3"/>
  <c r="R71" i="3"/>
  <c r="S71" i="3" s="1"/>
  <c r="R42" i="3"/>
  <c r="S42" i="3"/>
  <c r="R52" i="3"/>
  <c r="S52" i="3"/>
  <c r="S7" i="3"/>
  <c r="R7" i="3"/>
  <c r="R65" i="3"/>
  <c r="S65" i="3" s="1"/>
  <c r="R68" i="3"/>
  <c r="S68" i="3" s="1"/>
  <c r="R24" i="3"/>
  <c r="S24" i="3"/>
  <c r="J77" i="3"/>
  <c r="J81" i="3"/>
  <c r="J49" i="3"/>
  <c r="J12" i="3"/>
  <c r="J41" i="3"/>
  <c r="R26" i="3"/>
  <c r="S26" i="3"/>
  <c r="R51" i="3"/>
  <c r="S51" i="3"/>
  <c r="R31" i="3"/>
  <c r="S31" i="3"/>
  <c r="R78" i="3"/>
  <c r="S37" i="3"/>
  <c r="R37" i="3"/>
  <c r="R76" i="3"/>
  <c r="S76" i="3" s="1"/>
  <c r="J98" i="3"/>
  <c r="M78" i="11"/>
  <c r="B78" i="11" s="1" a="1"/>
  <c r="B78" i="11" s="1"/>
  <c r="R37" i="13"/>
  <c r="Q45" i="11"/>
  <c r="Q16" i="15"/>
  <c r="Q74" i="3"/>
  <c r="Q7" i="6"/>
  <c r="Q33" i="16"/>
  <c r="Q56" i="16"/>
  <c r="Q23" i="16"/>
  <c r="Q9" i="15"/>
  <c r="Q35" i="11"/>
  <c r="Q6" i="3"/>
  <c r="C11" i="17" s="1"/>
  <c r="D11" i="17" s="1"/>
  <c r="Q74" i="14"/>
  <c r="Q84" i="14"/>
  <c r="K30" i="14"/>
  <c r="K38" i="14"/>
  <c r="K101" i="14"/>
  <c r="K78" i="14"/>
  <c r="M18" i="14"/>
  <c r="B18" i="14" s="1" a="1"/>
  <c r="B18" i="14" s="1"/>
  <c r="M37" i="14"/>
  <c r="M64" i="14"/>
  <c r="B64" i="14" s="1" a="1"/>
  <c r="B64" i="14" s="1"/>
  <c r="K59" i="14"/>
  <c r="M14" i="14"/>
  <c r="K25" i="14"/>
  <c r="K65" i="14"/>
  <c r="K85" i="14"/>
  <c r="K31" i="14"/>
  <c r="K66" i="14"/>
  <c r="K11" i="14"/>
  <c r="M22" i="14"/>
  <c r="B22" i="14" s="1" a="1"/>
  <c r="B22" i="14" s="1"/>
  <c r="K9" i="14"/>
  <c r="L27" i="14"/>
  <c r="M44" i="14"/>
  <c r="K80" i="14"/>
  <c r="K20" i="14"/>
  <c r="K42" i="14"/>
  <c r="K41" i="14"/>
  <c r="K13" i="14"/>
  <c r="K17" i="14"/>
  <c r="K21" i="14"/>
  <c r="K73" i="14"/>
  <c r="K19" i="14"/>
  <c r="M70" i="14"/>
  <c r="K52" i="14"/>
  <c r="K3" i="14"/>
  <c r="M16" i="14"/>
  <c r="B16" i="14" s="1" a="1"/>
  <c r="B16" i="14" s="1"/>
  <c r="M54" i="14"/>
  <c r="L32" i="14"/>
  <c r="L24" i="14"/>
  <c r="L36" i="14"/>
  <c r="K35" i="14"/>
  <c r="M93" i="6"/>
  <c r="B93" i="6" s="1" a="1"/>
  <c r="B93" i="6" s="1"/>
  <c r="L67" i="6"/>
  <c r="M53" i="6"/>
  <c r="B53" i="6" s="1" a="1"/>
  <c r="B53" i="6" s="1"/>
  <c r="L76" i="6"/>
  <c r="M36" i="6"/>
  <c r="B36" i="6" s="1" a="1"/>
  <c r="B36" i="6" s="1"/>
  <c r="M69" i="6"/>
  <c r="B69" i="6" s="1" a="1"/>
  <c r="B69" i="6" s="1"/>
  <c r="M30" i="6"/>
  <c r="B30" i="6" s="1" a="1"/>
  <c r="B30" i="6" s="1"/>
  <c r="M13" i="6"/>
  <c r="L71" i="6"/>
  <c r="L38" i="6"/>
  <c r="L88" i="6"/>
  <c r="L42" i="6"/>
  <c r="L65" i="6"/>
  <c r="M37" i="6"/>
  <c r="B37" i="6" s="1" a="1"/>
  <c r="B37" i="6" s="1"/>
  <c r="L5" i="6"/>
  <c r="M33" i="6"/>
  <c r="B33" i="6" s="1" a="1"/>
  <c r="B33" i="6" s="1"/>
  <c r="L98" i="6"/>
  <c r="L31" i="6"/>
  <c r="M95" i="6"/>
  <c r="B95" i="6" s="1" a="1"/>
  <c r="B95" i="6" s="1"/>
  <c r="K70" i="6"/>
  <c r="M77" i="6"/>
  <c r="B77" i="6" s="1" a="1"/>
  <c r="B77" i="6" s="1"/>
  <c r="M15" i="6"/>
  <c r="M68" i="6"/>
  <c r="L11" i="6"/>
  <c r="M44" i="6"/>
  <c r="B44" i="6" s="1" a="1"/>
  <c r="B44" i="6" s="1"/>
  <c r="L73" i="6"/>
  <c r="M23" i="6"/>
  <c r="M89" i="6"/>
  <c r="B89" i="6" s="1" a="1"/>
  <c r="B89" i="6" s="1"/>
  <c r="M16" i="6"/>
  <c r="M12" i="6"/>
  <c r="L41" i="6"/>
  <c r="L28" i="6"/>
  <c r="L62" i="6"/>
  <c r="M74" i="6"/>
  <c r="B74" i="6" s="1" a="1"/>
  <c r="B74" i="6" s="1"/>
  <c r="M25" i="6"/>
  <c r="B25" i="6" s="1" a="1"/>
  <c r="B25" i="6" s="1"/>
  <c r="M90" i="6"/>
  <c r="B90" i="6" s="1" a="1"/>
  <c r="B90" i="6" s="1"/>
  <c r="M64" i="6"/>
  <c r="M61" i="6"/>
  <c r="M22" i="16"/>
  <c r="B22" i="16" s="1" a="1"/>
  <c r="B22" i="16" s="1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4" i="15"/>
  <c r="L3" i="15"/>
  <c r="K20" i="15"/>
  <c r="K25" i="15"/>
  <c r="K12" i="15"/>
  <c r="L34" i="15"/>
  <c r="L17" i="15"/>
  <c r="M35" i="15"/>
  <c r="B35" i="15" s="1" a="1"/>
  <c r="B35" i="15" s="1"/>
  <c r="K27" i="15"/>
  <c r="M11" i="15"/>
  <c r="M44" i="15"/>
  <c r="B44" i="15" s="1" a="1"/>
  <c r="B44" i="15" s="1"/>
  <c r="K36" i="15"/>
  <c r="K37" i="15"/>
  <c r="K10" i="15"/>
  <c r="K4" i="14"/>
  <c r="M24" i="6"/>
  <c r="B24" i="6" s="1" a="1"/>
  <c r="B24" i="6" s="1"/>
  <c r="L31" i="11"/>
  <c r="K62" i="11"/>
  <c r="L70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7" i="11"/>
  <c r="B107" i="11" s="1" a="1"/>
  <c r="B107" i="11" s="1"/>
  <c r="M22" i="11"/>
  <c r="B22" i="11" s="1" a="1"/>
  <c r="B22" i="11" s="1"/>
  <c r="K17" i="11"/>
  <c r="L32" i="11"/>
  <c r="L21" i="11"/>
  <c r="L127" i="11"/>
  <c r="M122" i="11"/>
  <c r="B122" i="11" s="1" a="1"/>
  <c r="B122" i="11" s="1"/>
  <c r="K73" i="11"/>
  <c r="L78" i="11"/>
  <c r="L39" i="11"/>
  <c r="L75" i="11"/>
  <c r="K51" i="11"/>
  <c r="K24" i="11"/>
  <c r="L55" i="11"/>
  <c r="M64" i="11"/>
  <c r="B64" i="11" s="1" a="1"/>
  <c r="B64" i="11" s="1"/>
  <c r="L41" i="11"/>
  <c r="K69" i="11"/>
  <c r="L38" i="11"/>
  <c r="K86" i="11"/>
  <c r="K32" i="3"/>
  <c r="L64" i="3"/>
  <c r="L7" i="3"/>
  <c r="L43" i="3"/>
  <c r="L78" i="3"/>
  <c r="L15" i="3"/>
  <c r="L28" i="3"/>
  <c r="L33" i="3"/>
  <c r="K38" i="3"/>
  <c r="K79" i="3"/>
  <c r="L73" i="3"/>
  <c r="K95" i="3"/>
  <c r="L39" i="3"/>
  <c r="L54" i="3"/>
  <c r="M71" i="3"/>
  <c r="B71" i="3" s="1" a="1"/>
  <c r="B71" i="3" s="1"/>
  <c r="K42" i="3"/>
  <c r="M29" i="3"/>
  <c r="B29" i="3" s="1" a="1"/>
  <c r="B29" i="3" s="1"/>
  <c r="K51" i="3"/>
  <c r="K76" i="3"/>
  <c r="M43" i="6"/>
  <c r="B43" i="6" s="1" a="1"/>
  <c r="B43" i="6" s="1"/>
  <c r="L20" i="16"/>
  <c r="K21" i="15"/>
  <c r="K40" i="11"/>
  <c r="Q22" i="14"/>
  <c r="Q16" i="14"/>
  <c r="Q93" i="6"/>
  <c r="Q30" i="6"/>
  <c r="Q13" i="6"/>
  <c r="Q61" i="6"/>
  <c r="Q16" i="6"/>
  <c r="Q15" i="6"/>
  <c r="Q12" i="6"/>
  <c r="Q24" i="6"/>
  <c r="Q25" i="6"/>
  <c r="Q8" i="16"/>
  <c r="Q50" i="16"/>
  <c r="Q18" i="16"/>
  <c r="Q55" i="16"/>
  <c r="Q44" i="15"/>
  <c r="Q11" i="15"/>
  <c r="Q37" i="11"/>
  <c r="Q64" i="11"/>
  <c r="Q107" i="11"/>
  <c r="Q122" i="11"/>
  <c r="Q71" i="3"/>
  <c r="Q29" i="3"/>
  <c r="K57" i="11"/>
  <c r="M47" i="11"/>
  <c r="B47" i="11" s="1" a="1"/>
  <c r="B47" i="11" s="1"/>
  <c r="M94" i="11"/>
  <c r="B94" i="11" s="1" a="1"/>
  <c r="B94" i="11" s="1"/>
  <c r="K90" i="11"/>
  <c r="K92" i="11"/>
  <c r="K26" i="11"/>
  <c r="M130" i="11"/>
  <c r="B130" i="11" s="1" a="1"/>
  <c r="B130" i="11" s="1"/>
  <c r="M28" i="11"/>
  <c r="B28" i="11" s="1" a="1"/>
  <c r="B28" i="11" s="1"/>
  <c r="K52" i="3"/>
  <c r="K72" i="3"/>
  <c r="M75" i="3"/>
  <c r="B75" i="3" s="1" a="1"/>
  <c r="B75" i="3" s="1"/>
  <c r="K50" i="3"/>
  <c r="K104" i="3"/>
  <c r="M40" i="3"/>
  <c r="B40" i="3" s="1" a="1"/>
  <c r="B40" i="3" s="1"/>
  <c r="M41" i="14"/>
  <c r="M67" i="6"/>
  <c r="K73" i="6"/>
  <c r="L25" i="6"/>
  <c r="L30" i="6"/>
  <c r="L69" i="6"/>
  <c r="L8" i="16"/>
  <c r="M37" i="15"/>
  <c r="B37" i="15" s="1" a="1"/>
  <c r="B37" i="15" s="1"/>
  <c r="K11" i="15"/>
  <c r="K21" i="11"/>
  <c r="K75" i="11"/>
  <c r="L42" i="11"/>
  <c r="K55" i="11"/>
  <c r="M69" i="3"/>
  <c r="B69" i="3" s="1" a="1"/>
  <c r="B69" i="3" s="1"/>
  <c r="M58" i="3"/>
  <c r="B58" i="3" s="1" a="1"/>
  <c r="B58" i="3" s="1"/>
  <c r="M37" i="3"/>
  <c r="B37" i="3" s="1" a="1"/>
  <c r="B37" i="3" s="1"/>
  <c r="M42" i="11"/>
  <c r="B42" i="11" s="1" a="1"/>
  <c r="B42" i="11" s="1"/>
  <c r="K70" i="11"/>
  <c r="K34" i="11"/>
  <c r="L37" i="11"/>
  <c r="K37" i="11"/>
  <c r="K73" i="3"/>
  <c r="M26" i="3"/>
  <c r="B26" i="3" s="1" a="1"/>
  <c r="B26" i="3" s="1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11" i="15"/>
  <c r="K3" i="15"/>
  <c r="M25" i="15"/>
  <c r="B25" i="15" s="1" a="1"/>
  <c r="B25" i="15" s="1"/>
  <c r="L25" i="15"/>
  <c r="L35" i="15"/>
  <c r="K35" i="15"/>
  <c r="L59" i="14"/>
  <c r="L16" i="14"/>
  <c r="M25" i="14"/>
  <c r="B25" i="14" s="1" a="1"/>
  <c r="B25" i="14" s="1"/>
  <c r="M85" i="14"/>
  <c r="L22" i="14"/>
  <c r="M42" i="14"/>
  <c r="M13" i="14"/>
  <c r="B13" i="14" s="1" a="1"/>
  <c r="B13" i="14" s="1"/>
  <c r="K27" i="14"/>
  <c r="L3" i="14"/>
  <c r="L64" i="14"/>
  <c r="L18" i="14"/>
  <c r="M65" i="14"/>
  <c r="B65" i="14" s="1" a="1"/>
  <c r="B65" i="14" s="1"/>
  <c r="M4" i="14"/>
  <c r="B83" i="14" s="1" a="1"/>
  <c r="B83" i="14" s="1"/>
  <c r="K32" i="14"/>
  <c r="K36" i="14"/>
  <c r="K22" i="14"/>
  <c r="K18" i="14"/>
  <c r="L9" i="14"/>
  <c r="K37" i="14"/>
  <c r="L54" i="14"/>
  <c r="M73" i="14"/>
  <c r="K70" i="14"/>
  <c r="L42" i="14"/>
  <c r="M3" i="14"/>
  <c r="L41" i="14"/>
  <c r="M59" i="14"/>
  <c r="K16" i="14"/>
  <c r="L13" i="14"/>
  <c r="K64" i="14"/>
  <c r="L37" i="14"/>
  <c r="L70" i="14"/>
  <c r="K24" i="14"/>
  <c r="M17" i="14"/>
  <c r="L73" i="14"/>
  <c r="L17" i="14"/>
  <c r="M35" i="14"/>
  <c r="M21" i="14"/>
  <c r="B21" i="14" s="1" a="1"/>
  <c r="B21" i="14" s="1"/>
  <c r="L44" i="14"/>
  <c r="L25" i="14"/>
  <c r="M52" i="14"/>
  <c r="L65" i="14"/>
  <c r="L85" i="14"/>
  <c r="L4" i="14"/>
  <c r="K54" i="14"/>
  <c r="K14" i="14"/>
  <c r="L35" i="14"/>
  <c r="L21" i="14"/>
  <c r="M19" i="14"/>
  <c r="K44" i="14"/>
  <c r="M30" i="14"/>
  <c r="L52" i="14"/>
  <c r="M38" i="14"/>
  <c r="M101" i="14"/>
  <c r="M78" i="14"/>
  <c r="M9" i="14"/>
  <c r="L14" i="14"/>
  <c r="M31" i="14"/>
  <c r="L19" i="14"/>
  <c r="M20" i="14"/>
  <c r="B20" i="14" s="1" a="1"/>
  <c r="B20" i="14" s="1"/>
  <c r="L30" i="14"/>
  <c r="M66" i="14"/>
  <c r="B66" i="14" s="1" a="1"/>
  <c r="B66" i="14" s="1"/>
  <c r="L38" i="14"/>
  <c r="M11" i="14"/>
  <c r="L101" i="14"/>
  <c r="M80" i="14"/>
  <c r="B80" i="14" s="1" a="1"/>
  <c r="B80" i="14" s="1"/>
  <c r="L78" i="14"/>
  <c r="M27" i="14"/>
  <c r="L31" i="14"/>
  <c r="L20" i="14"/>
  <c r="L66" i="14"/>
  <c r="M32" i="14"/>
  <c r="L11" i="14"/>
  <c r="M24" i="14"/>
  <c r="B24" i="14" s="1" a="1"/>
  <c r="B24" i="14" s="1"/>
  <c r="L80" i="14"/>
  <c r="M36" i="14"/>
  <c r="L53" i="6"/>
  <c r="L44" i="6"/>
  <c r="K76" i="6"/>
  <c r="L23" i="6"/>
  <c r="L24" i="6"/>
  <c r="M65" i="6"/>
  <c r="L68" i="6"/>
  <c r="L13" i="6"/>
  <c r="L74" i="6"/>
  <c r="M73" i="6"/>
  <c r="B73" i="6" s="1" a="1"/>
  <c r="B73" i="6" s="1"/>
  <c r="K67" i="6"/>
  <c r="L36" i="6"/>
  <c r="K65" i="6"/>
  <c r="L33" i="6"/>
  <c r="M76" i="6"/>
  <c r="B76" i="6" s="1" a="1"/>
  <c r="B76" i="6" s="1"/>
  <c r="K25" i="6"/>
  <c r="K44" i="6"/>
  <c r="K68" i="6"/>
  <c r="K36" i="6"/>
  <c r="K69" i="6"/>
  <c r="K30" i="6"/>
  <c r="K13" i="6"/>
  <c r="L43" i="6"/>
  <c r="L95" i="6"/>
  <c r="L70" i="6"/>
  <c r="L77" i="6"/>
  <c r="L15" i="6"/>
  <c r="K31" i="6"/>
  <c r="K28" i="6"/>
  <c r="K71" i="6"/>
  <c r="K88" i="6"/>
  <c r="K98" i="6"/>
  <c r="K41" i="6"/>
  <c r="L37" i="6"/>
  <c r="L93" i="6"/>
  <c r="L89" i="6"/>
  <c r="L16" i="6"/>
  <c r="L12" i="6"/>
  <c r="M31" i="6"/>
  <c r="B31" i="6" s="1" a="1"/>
  <c r="B31" i="6" s="1"/>
  <c r="M28" i="6"/>
  <c r="B28" i="6" s="1" a="1"/>
  <c r="B28" i="6" s="1"/>
  <c r="M71" i="6"/>
  <c r="B71" i="6" s="1" a="1"/>
  <c r="B71" i="6" s="1"/>
  <c r="M88" i="6"/>
  <c r="M98" i="6"/>
  <c r="B98" i="6" s="1" a="1"/>
  <c r="B98" i="6" s="1"/>
  <c r="M41" i="6"/>
  <c r="B41" i="6" s="1" a="1"/>
  <c r="B41" i="6" s="1"/>
  <c r="K38" i="6"/>
  <c r="K42" i="6"/>
  <c r="K62" i="6"/>
  <c r="K11" i="6"/>
  <c r="K5" i="6"/>
  <c r="L22" i="6"/>
  <c r="L90" i="6"/>
  <c r="L64" i="6"/>
  <c r="L61" i="6"/>
  <c r="M38" i="6"/>
  <c r="B38" i="6" s="1" a="1"/>
  <c r="B38" i="6" s="1"/>
  <c r="M42" i="6"/>
  <c r="B42" i="6" s="1" a="1"/>
  <c r="B42" i="6" s="1"/>
  <c r="M62" i="6"/>
  <c r="M11" i="6"/>
  <c r="M5" i="6"/>
  <c r="K53" i="6"/>
  <c r="K23" i="6"/>
  <c r="K74" i="6"/>
  <c r="K33" i="6"/>
  <c r="K24" i="6"/>
  <c r="M70" i="6"/>
  <c r="B70" i="6" s="1" a="1"/>
  <c r="B70" i="6" s="1"/>
  <c r="K95" i="6"/>
  <c r="K77" i="6"/>
  <c r="K37" i="6"/>
  <c r="K93" i="6"/>
  <c r="K89" i="6"/>
  <c r="K16" i="6"/>
  <c r="K12" i="6"/>
  <c r="K43" i="6"/>
  <c r="K15" i="6"/>
  <c r="K22" i="6"/>
  <c r="K90" i="6"/>
  <c r="K64" i="6"/>
  <c r="K61" i="6"/>
  <c r="M22" i="6"/>
  <c r="M70" i="11"/>
  <c r="B70" i="11" s="1" a="1"/>
  <c r="B70" i="11" s="1"/>
  <c r="M69" i="11"/>
  <c r="B69" i="11" s="1" a="1"/>
  <c r="B69" i="11" s="1"/>
  <c r="K107" i="11"/>
  <c r="K31" i="11"/>
  <c r="K28" i="11"/>
  <c r="M57" i="11"/>
  <c r="B57" i="11" s="1" a="1"/>
  <c r="B57" i="11" s="1"/>
  <c r="L57" i="11"/>
  <c r="K39" i="11"/>
  <c r="L32" i="3"/>
  <c r="M8" i="3"/>
  <c r="K3" i="3"/>
  <c r="M34" i="3"/>
  <c r="B34" i="3" s="1" a="1"/>
  <c r="B34" i="3" s="1"/>
  <c r="L71" i="3"/>
  <c r="L72" i="3"/>
  <c r="K31" i="3"/>
  <c r="M39" i="3"/>
  <c r="B39" i="3" s="1" a="1"/>
  <c r="B39" i="3" s="1"/>
  <c r="K16" i="3"/>
  <c r="K44" i="3"/>
  <c r="K14" i="3"/>
  <c r="K28" i="3"/>
  <c r="K39" i="3"/>
  <c r="M15" i="3"/>
  <c r="B15" i="3" s="1" a="1"/>
  <c r="B15" i="3" s="1"/>
  <c r="L40" i="3"/>
  <c r="K15" i="3"/>
  <c r="K40" i="3"/>
  <c r="M3" i="3"/>
  <c r="L3" i="3"/>
  <c r="M78" i="3"/>
  <c r="B78" i="3" s="1" a="1"/>
  <c r="B78" i="3" s="1"/>
  <c r="K78" i="3"/>
  <c r="M73" i="3"/>
  <c r="B73" i="3" s="1" a="1"/>
  <c r="B73" i="3" s="1"/>
  <c r="M20" i="15"/>
  <c r="B20" i="15" s="1" a="1"/>
  <c r="B20" i="15" s="1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B13" i="16" s="1" a="1"/>
  <c r="B13" i="16" s="1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7" i="11"/>
  <c r="M21" i="11"/>
  <c r="B21" i="11" s="1" a="1"/>
  <c r="B21" i="11" s="1"/>
  <c r="L107" i="11"/>
  <c r="K41" i="11"/>
  <c r="L94" i="11"/>
  <c r="K13" i="11"/>
  <c r="M55" i="11"/>
  <c r="B55" i="11" s="1" a="1"/>
  <c r="B55" i="11" s="1"/>
  <c r="L47" i="11"/>
  <c r="L122" i="11"/>
  <c r="K47" i="11"/>
  <c r="M13" i="11"/>
  <c r="B13" i="11" s="1" a="1"/>
  <c r="B13" i="11" s="1"/>
  <c r="K122" i="11"/>
  <c r="M100" i="11"/>
  <c r="B100" i="11" s="1" a="1"/>
  <c r="B100" i="11" s="1"/>
  <c r="L13" i="11"/>
  <c r="M105" i="11"/>
  <c r="B105" i="11" s="1" a="1"/>
  <c r="B105" i="11" s="1"/>
  <c r="M103" i="11"/>
  <c r="B103" i="11" s="1" a="1"/>
  <c r="B103" i="11" s="1"/>
  <c r="L100" i="11"/>
  <c r="M62" i="11"/>
  <c r="B62" i="11" s="1" a="1"/>
  <c r="B62" i="11" s="1"/>
  <c r="L105" i="11"/>
  <c r="M27" i="11"/>
  <c r="B27" i="11" s="1" a="1"/>
  <c r="B27" i="11" s="1"/>
  <c r="L103" i="11"/>
  <c r="M86" i="11"/>
  <c r="K100" i="11"/>
  <c r="L62" i="11"/>
  <c r="M32" i="11"/>
  <c r="B32" i="11" s="1" a="1"/>
  <c r="B32" i="11" s="1"/>
  <c r="K105" i="11"/>
  <c r="L27" i="11"/>
  <c r="M127" i="11"/>
  <c r="B127" i="11" s="1" a="1"/>
  <c r="B127" i="11" s="1"/>
  <c r="K103" i="11"/>
  <c r="L86" i="11"/>
  <c r="L22" i="11"/>
  <c r="L92" i="11"/>
  <c r="L130" i="11"/>
  <c r="K22" i="11"/>
  <c r="M72" i="11"/>
  <c r="B72" i="11" s="1" a="1"/>
  <c r="B72" i="11" s="1"/>
  <c r="K130" i="11"/>
  <c r="K94" i="11"/>
  <c r="M17" i="11"/>
  <c r="B17" i="11" s="1" a="1"/>
  <c r="B17" i="11" s="1"/>
  <c r="M51" i="11"/>
  <c r="B51" i="11" s="1" a="1"/>
  <c r="B51" i="11" s="1"/>
  <c r="M41" i="11"/>
  <c r="B41" i="11" s="1" a="1"/>
  <c r="B41" i="11" s="1"/>
  <c r="L64" i="11"/>
  <c r="M90" i="11"/>
  <c r="B90" i="11" s="1" a="1"/>
  <c r="B90" i="11" s="1"/>
  <c r="L17" i="11"/>
  <c r="L51" i="11"/>
  <c r="K64" i="11"/>
  <c r="L90" i="11"/>
  <c r="L18" i="11"/>
  <c r="K78" i="11"/>
  <c r="M92" i="11"/>
  <c r="B92" i="11" s="1" a="1"/>
  <c r="B92" i="11" s="1"/>
  <c r="M7" i="3"/>
  <c r="M64" i="3"/>
  <c r="L24" i="3"/>
  <c r="M42" i="3"/>
  <c r="B42" i="3" s="1" a="1"/>
  <c r="B42" i="3" s="1"/>
  <c r="K24" i="3"/>
  <c r="L42" i="3"/>
  <c r="K34" i="3"/>
  <c r="M38" i="3"/>
  <c r="B38" i="3" s="1" a="1"/>
  <c r="B38" i="3" s="1"/>
  <c r="L38" i="3"/>
  <c r="K43" i="3"/>
  <c r="L29" i="3"/>
  <c r="K29" i="3"/>
  <c r="M24" i="3"/>
  <c r="B24" i="3" s="1" a="1"/>
  <c r="B24" i="3" s="1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9" i="3"/>
  <c r="K54" i="3"/>
  <c r="M72" i="3"/>
  <c r="B72" i="3" s="1" a="1"/>
  <c r="B72" i="3" s="1"/>
  <c r="L34" i="3"/>
  <c r="K37" i="3"/>
  <c r="L58" i="3"/>
  <c r="L75" i="3"/>
  <c r="K58" i="3"/>
  <c r="K75" i="3"/>
  <c r="M52" i="3"/>
  <c r="B52" i="3" s="1" a="1"/>
  <c r="B52" i="3" s="1"/>
  <c r="M54" i="3"/>
  <c r="B54" i="3" s="1" a="1"/>
  <c r="B54" i="3" s="1"/>
  <c r="M104" i="3"/>
  <c r="B104" i="3" s="1" a="1"/>
  <c r="B104" i="3" s="1"/>
  <c r="L8" i="3"/>
  <c r="M76" i="3"/>
  <c r="B76" i="3" s="1" a="1"/>
  <c r="B76" i="3" s="1"/>
  <c r="L69" i="3"/>
  <c r="L52" i="3"/>
  <c r="L37" i="3"/>
  <c r="L104" i="3"/>
  <c r="K33" i="3"/>
  <c r="K8" i="3"/>
  <c r="L76" i="3"/>
  <c r="K71" i="3"/>
  <c r="M68" i="3"/>
  <c r="B68" i="3" s="1" a="1"/>
  <c r="B68" i="3" s="1"/>
  <c r="L68" i="3"/>
  <c r="M79" i="3"/>
  <c r="B79" i="3" s="1" a="1"/>
  <c r="B79" i="3" s="1"/>
  <c r="K68" i="3"/>
  <c r="L79" i="3"/>
  <c r="M100" i="3"/>
  <c r="B100" i="3" s="1" a="1"/>
  <c r="B100" i="3" s="1"/>
  <c r="M27" i="3"/>
  <c r="B27" i="3" s="1" a="1"/>
  <c r="B27" i="3" s="1"/>
  <c r="M65" i="3"/>
  <c r="B65" i="3" s="1" a="1"/>
  <c r="B65" i="3" s="1"/>
  <c r="L100" i="3"/>
  <c r="M51" i="3"/>
  <c r="B51" i="3" s="1" a="1"/>
  <c r="B51" i="3" s="1"/>
  <c r="K26" i="3"/>
  <c r="L27" i="3"/>
  <c r="M31" i="3"/>
  <c r="B31" i="3" s="1" a="1"/>
  <c r="B31" i="3" s="1"/>
  <c r="M16" i="3"/>
  <c r="B16" i="3" s="1" a="1"/>
  <c r="B16" i="3" s="1"/>
  <c r="K7" i="3"/>
  <c r="M44" i="3"/>
  <c r="B44" i="3" s="1" a="1"/>
  <c r="B44" i="3" s="1"/>
  <c r="K64" i="3"/>
  <c r="L65" i="3"/>
  <c r="M14" i="3"/>
  <c r="B14" i="3" s="1" a="1"/>
  <c r="B14" i="3" s="1"/>
  <c r="K100" i="3"/>
  <c r="L51" i="3"/>
  <c r="M43" i="3"/>
  <c r="B43" i="3" s="1" a="1"/>
  <c r="B43" i="3" s="1"/>
  <c r="K27" i="3"/>
  <c r="L31" i="3"/>
  <c r="L16" i="3"/>
  <c r="L44" i="3"/>
  <c r="K65" i="3"/>
  <c r="L14" i="3"/>
  <c r="M33" i="3"/>
  <c r="B33" i="3" s="1" a="1"/>
  <c r="B33" i="3" s="1"/>
  <c r="M50" i="3"/>
  <c r="B50" i="3" s="1" a="1"/>
  <c r="B50" i="3" s="1"/>
  <c r="L50" i="3"/>
  <c r="K18" i="11"/>
  <c r="L34" i="11"/>
  <c r="M65" i="11"/>
  <c r="B65" i="11" s="1" a="1"/>
  <c r="B65" i="11" s="1"/>
  <c r="L69" i="11"/>
  <c r="M29" i="11"/>
  <c r="B29" i="11" s="1" a="1"/>
  <c r="B29" i="11" s="1"/>
  <c r="M101" i="11"/>
  <c r="B101" i="11" s="1" a="1"/>
  <c r="B101" i="11" s="1"/>
  <c r="L28" i="11"/>
  <c r="L72" i="11"/>
  <c r="M132" i="11"/>
  <c r="B132" i="11" s="1" a="1"/>
  <c r="B132" i="11" s="1"/>
  <c r="L65" i="11"/>
  <c r="M73" i="11"/>
  <c r="B73" i="11" s="1" a="1"/>
  <c r="B73" i="11" s="1"/>
  <c r="L29" i="11"/>
  <c r="L101" i="11"/>
  <c r="M26" i="11"/>
  <c r="B26" i="11" s="1" a="1"/>
  <c r="B26" i="11" s="1"/>
  <c r="K72" i="11"/>
  <c r="L132" i="11"/>
  <c r="K65" i="11"/>
  <c r="L73" i="11"/>
  <c r="M31" i="11"/>
  <c r="B31" i="11" s="1" a="1"/>
  <c r="B31" i="11" s="1"/>
  <c r="K29" i="11"/>
  <c r="K101" i="11"/>
  <c r="L26" i="11"/>
  <c r="M75" i="11"/>
  <c r="B75" i="11" s="1" a="1"/>
  <c r="B75" i="11" s="1"/>
  <c r="K132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4" i="15"/>
  <c r="M10" i="15"/>
  <c r="K17" i="15"/>
  <c r="M3" i="15"/>
  <c r="L4" i="15"/>
  <c r="L10" i="15"/>
  <c r="M27" i="15"/>
  <c r="M36" i="15"/>
  <c r="B36" i="15" s="1" a="1"/>
  <c r="B36" i="15" s="1"/>
  <c r="L27" i="15"/>
  <c r="L36" i="15"/>
  <c r="M12" i="15"/>
  <c r="M17" i="15"/>
  <c r="B17" i="15" s="1" a="1"/>
  <c r="B17" i="15" s="1"/>
  <c r="L12" i="15"/>
  <c r="M34" i="15"/>
  <c r="B41" i="14" l="1" a="1"/>
  <c r="B41" i="14" s="1"/>
  <c r="B86" i="14" a="1"/>
  <c r="B86" i="14" s="1"/>
  <c r="B91" i="14" a="1"/>
  <c r="B91" i="14" s="1"/>
  <c r="B90" i="14" a="1"/>
  <c r="B90" i="14" s="1"/>
  <c r="B88" i="14" a="1"/>
  <c r="B88" i="14" s="1"/>
  <c r="B71" i="14" a="1"/>
  <c r="B71" i="14" s="1"/>
  <c r="B89" i="14" a="1"/>
  <c r="B89" i="14" s="1"/>
  <c r="B69" i="14" a="1"/>
  <c r="B69" i="14" s="1"/>
  <c r="B87" i="14" a="1"/>
  <c r="B87" i="14" s="1"/>
  <c r="B31" i="14" a="1"/>
  <c r="B31" i="14" s="1"/>
  <c r="B82" i="14" a="1"/>
  <c r="B82" i="14" s="1"/>
  <c r="B17" i="14" a="1"/>
  <c r="B17" i="14" s="1"/>
  <c r="B78" i="14" a="1"/>
  <c r="B78" i="14" s="1"/>
  <c r="B15" i="14" a="1"/>
  <c r="B15" i="14" s="1"/>
  <c r="B81" i="14" a="1"/>
  <c r="B81" i="14" s="1"/>
  <c r="B73" i="14" a="1"/>
  <c r="B73" i="14" s="1"/>
  <c r="B84" i="14" a="1"/>
  <c r="B84" i="14" s="1"/>
  <c r="B101" i="14" a="1"/>
  <c r="B101" i="14" s="1"/>
  <c r="B85" i="14" a="1"/>
  <c r="B85" i="14" s="1"/>
  <c r="B72" i="14" a="1"/>
  <c r="B72" i="14" s="1"/>
  <c r="B44" i="14" a="1"/>
  <c r="B44" i="14" s="1"/>
  <c r="B19" i="14" a="1"/>
  <c r="B19" i="14" s="1"/>
  <c r="B52" i="14" a="1"/>
  <c r="B52" i="14" s="1"/>
  <c r="B45" i="14" a="1"/>
  <c r="B45" i="14" s="1"/>
  <c r="B55" i="14" a="1"/>
  <c r="B55" i="14" s="1"/>
  <c r="B51" i="14" a="1"/>
  <c r="B51" i="14" s="1"/>
  <c r="B58" i="14" a="1"/>
  <c r="B58" i="14" s="1"/>
  <c r="B56" i="14" a="1"/>
  <c r="B56" i="14" s="1"/>
  <c r="B47" i="14" a="1"/>
  <c r="B47" i="14" s="1"/>
  <c r="B48" i="14" a="1"/>
  <c r="B48" i="14" s="1"/>
  <c r="B53" i="14" a="1"/>
  <c r="B53" i="14" s="1"/>
  <c r="B46" i="14" a="1"/>
  <c r="B46" i="14" s="1"/>
  <c r="B49" i="14" a="1"/>
  <c r="B49" i="14" s="1"/>
  <c r="B50" i="14" a="1"/>
  <c r="B50" i="14" s="1"/>
  <c r="B57" i="14" a="1"/>
  <c r="B57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4" i="14" a="1"/>
  <c r="B54" i="14" s="1"/>
  <c r="B60" i="14" a="1"/>
  <c r="B60" i="14" s="1"/>
  <c r="B35" i="14" a="1"/>
  <c r="B35" i="14" s="1"/>
  <c r="B37" i="14" a="1"/>
  <c r="B37" i="14" s="1"/>
  <c r="B26" i="14" a="1"/>
  <c r="B26" i="14" s="1"/>
  <c r="B36" i="14" a="1"/>
  <c r="B36" i="14" s="1"/>
  <c r="B70" i="14" a="1"/>
  <c r="B70" i="14" s="1"/>
  <c r="B38" i="14" a="1"/>
  <c r="B38" i="14" s="1"/>
  <c r="B27" i="14" a="1"/>
  <c r="B27" i="14" s="1"/>
  <c r="B30" i="14" a="1"/>
  <c r="B30" i="14" s="1"/>
  <c r="B59" i="14" a="1"/>
  <c r="B59" i="14" s="1"/>
  <c r="B34" i="14" a="1"/>
  <c r="B34" i="14" s="1"/>
  <c r="B9" i="15" a="1"/>
  <c r="B9" i="15" s="1"/>
  <c r="B12" i="15" a="1"/>
  <c r="B12" i="15" s="1"/>
  <c r="B10" i="16" a="1"/>
  <c r="B10" i="16" s="1"/>
  <c r="B9" i="16" a="1"/>
  <c r="B9" i="16" s="1"/>
  <c r="B27" i="15" a="1"/>
  <c r="B27" i="15" s="1"/>
  <c r="B10" i="15" a="1"/>
  <c r="B10" i="15" s="1"/>
  <c r="B11" i="15" a="1"/>
  <c r="B11" i="15" s="1"/>
  <c r="B8" i="16" a="1"/>
  <c r="B8" i="16" s="1"/>
  <c r="B7" i="16" a="1"/>
  <c r="B7" i="16" s="1"/>
  <c r="B8" i="15" a="1"/>
  <c r="B8" i="15" s="1"/>
  <c r="B34" i="15" a="1"/>
  <c r="B34" i="15" s="1"/>
  <c r="B65" i="6" a="1"/>
  <c r="B65" i="6" s="1"/>
  <c r="B9" i="14" a="1"/>
  <c r="B9" i="14" s="1"/>
  <c r="B20" i="6" a="1"/>
  <c r="B20" i="6" s="1"/>
  <c r="B95" i="14" a="1"/>
  <c r="B95" i="14" s="1"/>
  <c r="B8" i="14" a="1"/>
  <c r="B8" i="14" s="1"/>
  <c r="B94" i="14" a="1"/>
  <c r="B94" i="14" s="1"/>
  <c r="B6" i="14" a="1"/>
  <c r="B6" i="14" s="1"/>
  <c r="B7" i="14" a="1"/>
  <c r="B7" i="14" s="1"/>
  <c r="B93" i="14" a="1"/>
  <c r="B93" i="14" s="1"/>
  <c r="B63" i="14" a="1"/>
  <c r="B63" i="14" s="1"/>
  <c r="B23" i="6" a="1"/>
  <c r="B23" i="6" s="1"/>
  <c r="B88" i="6" a="1"/>
  <c r="B88" i="6" s="1"/>
  <c r="B7" i="6" a="1"/>
  <c r="B7" i="6" s="1"/>
  <c r="B66" i="6" a="1"/>
  <c r="B66" i="6" s="1"/>
  <c r="B21" i="6" a="1"/>
  <c r="B21" i="6" s="1"/>
  <c r="B62" i="6" a="1"/>
  <c r="B62" i="6" s="1"/>
  <c r="B11" i="6" a="1"/>
  <c r="B11" i="6" s="1"/>
  <c r="B67" i="6" a="1"/>
  <c r="B67" i="6" s="1"/>
  <c r="B13" i="6" a="1"/>
  <c r="B13" i="6" s="1"/>
  <c r="B19" i="6" a="1"/>
  <c r="B19" i="6" s="1"/>
  <c r="B22" i="6" a="1"/>
  <c r="B22" i="6" s="1"/>
  <c r="B68" i="6" a="1"/>
  <c r="B68" i="6" s="1"/>
  <c r="B18" i="6" a="1"/>
  <c r="B18" i="6" s="1"/>
  <c r="B9" i="6" a="1"/>
  <c r="B9" i="6" s="1"/>
  <c r="B12" i="6" a="1"/>
  <c r="B12" i="6" s="1"/>
  <c r="B15" i="6" a="1"/>
  <c r="B15" i="6" s="1"/>
  <c r="B17" i="6" a="1"/>
  <c r="B17" i="6" s="1"/>
  <c r="B64" i="6" a="1"/>
  <c r="B64" i="6" s="1"/>
  <c r="B16" i="6" a="1"/>
  <c r="B16" i="6" s="1"/>
  <c r="B14" i="6" a="1"/>
  <c r="B14" i="6" s="1"/>
  <c r="B10" i="6" a="1"/>
  <c r="B10" i="6" s="1"/>
  <c r="B8" i="6" a="1"/>
  <c r="B8" i="6" s="1"/>
  <c r="J13" i="11"/>
  <c r="J78" i="11"/>
  <c r="J34" i="3"/>
  <c r="J69" i="11"/>
  <c r="J72" i="11"/>
  <c r="J17" i="11"/>
  <c r="J40" i="11"/>
  <c r="J37" i="11"/>
  <c r="J62" i="11"/>
  <c r="J64" i="11"/>
  <c r="J29" i="11"/>
  <c r="J26" i="11"/>
  <c r="J27" i="11"/>
  <c r="J57" i="11"/>
  <c r="J41" i="11"/>
  <c r="J21" i="11"/>
  <c r="J31" i="11"/>
  <c r="J22" i="11"/>
  <c r="J101" i="11"/>
  <c r="J75" i="11"/>
  <c r="J73" i="11"/>
  <c r="J42" i="11"/>
  <c r="J94" i="11"/>
  <c r="J130" i="11"/>
  <c r="S105" i="11"/>
  <c r="J105" i="11" s="1"/>
  <c r="J18" i="11"/>
  <c r="J39" i="11"/>
  <c r="J103" i="11"/>
  <c r="J86" i="11"/>
  <c r="J127" i="11"/>
  <c r="J51" i="11"/>
  <c r="J28" i="11"/>
  <c r="J65" i="11"/>
  <c r="J34" i="11"/>
  <c r="J24" i="11"/>
  <c r="S100" i="11"/>
  <c r="J100" i="11" s="1"/>
  <c r="J47" i="11"/>
  <c r="J32" i="11"/>
  <c r="J107" i="11"/>
  <c r="J38" i="11"/>
  <c r="J90" i="11"/>
  <c r="J132" i="11"/>
  <c r="J70" i="11"/>
  <c r="J92" i="11"/>
  <c r="J55" i="11"/>
  <c r="J122" i="11"/>
  <c r="B7" i="11" s="1" a="1"/>
  <c r="B7" i="11" s="1"/>
  <c r="J50" i="3"/>
  <c r="J37" i="3"/>
  <c r="J14" i="3"/>
  <c r="J26" i="3"/>
  <c r="J8" i="3"/>
  <c r="J7" i="3"/>
  <c r="J24" i="3"/>
  <c r="J52" i="3"/>
  <c r="J29" i="3"/>
  <c r="J27" i="3"/>
  <c r="J68" i="3"/>
  <c r="S78" i="3"/>
  <c r="J78" i="3" s="1"/>
  <c r="J15" i="3"/>
  <c r="J75" i="3"/>
  <c r="J43" i="3"/>
  <c r="J72" i="3"/>
  <c r="J65" i="3"/>
  <c r="J71" i="3"/>
  <c r="J104" i="3"/>
  <c r="J64" i="3"/>
  <c r="J44" i="3"/>
  <c r="J58" i="3"/>
  <c r="J28" i="3"/>
  <c r="J42" i="3"/>
  <c r="J54" i="3"/>
  <c r="J31" i="3"/>
  <c r="S69" i="3"/>
  <c r="J69" i="3" s="1"/>
  <c r="J3" i="3"/>
  <c r="J16" i="3"/>
  <c r="J33" i="3"/>
  <c r="S79" i="3"/>
  <c r="J79" i="3" s="1"/>
  <c r="J39" i="3"/>
  <c r="J76" i="3"/>
  <c r="J51" i="3"/>
  <c r="J40" i="3"/>
  <c r="J38" i="3"/>
  <c r="J73" i="3"/>
  <c r="S100" i="3"/>
  <c r="J100" i="3" s="1"/>
  <c r="J95" i="3"/>
  <c r="B10" i="3" s="1" a="1"/>
  <c r="B10" i="3" s="1"/>
  <c r="J32" i="3"/>
  <c r="Q74" i="6"/>
  <c r="Q21" i="14"/>
  <c r="E66" i="17" s="1"/>
  <c r="F66" i="17" s="1"/>
  <c r="Q48" i="16"/>
  <c r="Q39" i="11"/>
  <c r="Q89" i="6"/>
  <c r="Q25" i="15"/>
  <c r="Q27" i="15"/>
  <c r="Q98" i="6"/>
  <c r="Q65" i="11"/>
  <c r="Q19" i="15"/>
  <c r="Q73" i="6"/>
  <c r="Q68" i="6"/>
  <c r="Q77" i="6"/>
  <c r="Q52" i="16"/>
  <c r="Q22" i="16"/>
  <c r="Q35" i="15"/>
  <c r="Q34" i="11"/>
  <c r="Q24" i="3"/>
  <c r="Q100" i="3"/>
  <c r="Q44" i="14"/>
  <c r="Q64" i="14"/>
  <c r="Q37" i="14"/>
  <c r="Q71" i="6"/>
  <c r="Q38" i="6"/>
  <c r="Q24" i="14"/>
  <c r="Q101" i="14"/>
  <c r="Q73" i="14"/>
  <c r="Q41" i="14"/>
  <c r="Q20" i="14"/>
  <c r="Q52" i="14"/>
  <c r="Q36" i="14"/>
  <c r="Q32" i="14"/>
  <c r="Q38" i="14"/>
  <c r="Q59" i="14"/>
  <c r="Q4" i="14"/>
  <c r="Q13" i="14"/>
  <c r="Q65" i="14"/>
  <c r="Q42" i="14"/>
  <c r="Q30" i="14"/>
  <c r="Q19" i="14"/>
  <c r="Q80" i="14"/>
  <c r="Q31" i="14"/>
  <c r="E62" i="17" s="1"/>
  <c r="F62" i="17" s="1"/>
  <c r="Q11" i="14"/>
  <c r="Q9" i="14"/>
  <c r="Q3" i="14"/>
  <c r="Q85" i="14"/>
  <c r="Q95" i="6"/>
  <c r="Q28" i="6"/>
  <c r="Q37" i="6"/>
  <c r="Q5" i="6"/>
  <c r="Q65" i="6"/>
  <c r="Q36" i="6"/>
  <c r="Q22" i="6"/>
  <c r="Q76" i="6"/>
  <c r="E48" i="17" s="1"/>
  <c r="F48" i="17" s="1"/>
  <c r="Q90" i="6"/>
  <c r="Q11" i="6"/>
  <c r="Q41" i="6"/>
  <c r="Q67" i="6"/>
  <c r="Q30" i="16"/>
  <c r="Q9" i="16"/>
  <c r="Q14" i="16"/>
  <c r="G16" i="17" s="1"/>
  <c r="H16" i="17" s="1"/>
  <c r="G19" i="17"/>
  <c r="H19" i="17" s="1"/>
  <c r="Q36" i="16"/>
  <c r="Q61" i="16"/>
  <c r="Q31" i="16"/>
  <c r="G34" i="17"/>
  <c r="H34" i="17" s="1"/>
  <c r="Q13" i="16"/>
  <c r="Q5" i="16"/>
  <c r="Q4" i="16"/>
  <c r="Q51" i="16"/>
  <c r="Q29" i="16"/>
  <c r="Q46" i="16"/>
  <c r="Q35" i="16"/>
  <c r="Q3" i="16"/>
  <c r="Q3" i="15"/>
  <c r="Q12" i="15"/>
  <c r="Q10" i="15"/>
  <c r="Q20" i="15"/>
  <c r="Q37" i="15"/>
  <c r="G32" i="17" s="1"/>
  <c r="H32" i="17" s="1"/>
  <c r="Q36" i="15"/>
  <c r="Q34" i="15"/>
  <c r="Q4" i="15"/>
  <c r="G29" i="17" s="1"/>
  <c r="H29" i="17" s="1"/>
  <c r="Q132" i="11"/>
  <c r="Q70" i="11"/>
  <c r="Q42" i="11"/>
  <c r="Q31" i="11"/>
  <c r="Q26" i="11"/>
  <c r="Q27" i="11"/>
  <c r="Q28" i="11"/>
  <c r="C12" i="17" s="1"/>
  <c r="D12" i="17" s="1"/>
  <c r="Q73" i="11"/>
  <c r="Q75" i="11"/>
  <c r="Q78" i="11"/>
  <c r="Q90" i="11"/>
  <c r="Q32" i="11"/>
  <c r="Q38" i="11"/>
  <c r="Q40" i="11"/>
  <c r="Q47" i="11"/>
  <c r="Q72" i="11"/>
  <c r="C46" i="17" s="1"/>
  <c r="D46" i="17" s="1"/>
  <c r="Q62" i="11"/>
  <c r="Q130" i="11"/>
  <c r="Q92" i="11"/>
  <c r="Q101" i="11"/>
  <c r="Q100" i="11"/>
  <c r="Q57" i="11"/>
  <c r="Q94" i="11"/>
  <c r="Q51" i="11"/>
  <c r="Q103" i="11"/>
  <c r="Q21" i="11"/>
  <c r="Q24" i="11"/>
  <c r="Q41" i="11"/>
  <c r="Q127" i="11"/>
  <c r="Q86" i="11"/>
  <c r="Q105" i="11"/>
  <c r="Q13" i="11"/>
  <c r="Q55" i="11"/>
  <c r="Q69" i="11"/>
  <c r="Q27" i="3"/>
  <c r="Q34" i="3"/>
  <c r="Q73" i="3"/>
  <c r="Q8" i="3"/>
  <c r="Q37" i="3"/>
  <c r="Q38" i="3"/>
  <c r="Q40" i="3"/>
  <c r="Q75" i="3"/>
  <c r="Q32" i="3"/>
  <c r="Q43" i="3"/>
  <c r="Q79" i="3"/>
  <c r="Q28" i="3"/>
  <c r="Q95" i="3"/>
  <c r="Q16" i="3"/>
  <c r="Q65" i="3"/>
  <c r="Q7" i="3"/>
  <c r="Q39" i="3"/>
  <c r="Q15" i="3"/>
  <c r="Q104" i="3"/>
  <c r="Q72" i="3"/>
  <c r="Q14" i="3"/>
  <c r="Q54" i="3"/>
  <c r="Q64" i="3"/>
  <c r="Q50" i="3"/>
  <c r="Q33" i="3"/>
  <c r="Q31" i="3"/>
  <c r="Q52" i="3"/>
  <c r="Q44" i="3"/>
  <c r="Q3" i="3"/>
  <c r="Q58" i="3"/>
  <c r="B7" i="3" l="1" a="1"/>
  <c r="B7" i="3" s="1"/>
  <c r="B86" i="11" a="1"/>
  <c r="B86" i="11" s="1"/>
  <c r="B6" i="3" a="1"/>
  <c r="B6" i="3" s="1"/>
  <c r="G62" i="17"/>
  <c r="H62" i="17" s="1"/>
  <c r="B6" i="11" a="1"/>
  <c r="B6" i="11" s="1"/>
  <c r="B3" i="11" a="1"/>
  <c r="B3" i="11" s="1"/>
  <c r="B4" i="11" a="1"/>
  <c r="B4" i="11" s="1"/>
  <c r="B5" i="11" a="1"/>
  <c r="B5" i="11" s="1"/>
  <c r="B121" i="11" a="1"/>
  <c r="B121" i="11" s="1"/>
  <c r="B64" i="3" a="1"/>
  <c r="B64" i="3" s="1"/>
  <c r="B3" i="3" a="1"/>
  <c r="B3" i="3" s="1"/>
  <c r="B5" i="3" a="1"/>
  <c r="B5" i="3" s="1"/>
  <c r="B8" i="3" a="1"/>
  <c r="B8" i="3" s="1"/>
  <c r="B98" i="3" a="1"/>
  <c r="B98" i="3" s="1"/>
  <c r="B9" i="3" a="1"/>
  <c r="B9" i="3" s="1"/>
  <c r="B4" i="3" a="1"/>
  <c r="B4" i="3" s="1"/>
  <c r="C29" i="17"/>
  <c r="D29" i="17" s="1"/>
  <c r="D2" i="2" a="1"/>
  <c r="D2" i="2" s="1"/>
  <c r="G14" i="17"/>
  <c r="H14" i="17" s="1"/>
  <c r="G63" i="17"/>
  <c r="H63" i="17" s="1"/>
  <c r="G55" i="17"/>
  <c r="H55" i="17" s="1"/>
  <c r="G50" i="17"/>
  <c r="H50" i="17" s="1"/>
  <c r="G9" i="17"/>
  <c r="H9" i="17" s="1"/>
  <c r="G61" i="17"/>
  <c r="H61" i="17" s="1"/>
  <c r="G26" i="17"/>
  <c r="H26" i="17" s="1"/>
  <c r="G40" i="17"/>
  <c r="H40" i="17" s="1"/>
  <c r="G56" i="17"/>
  <c r="G49" i="17"/>
  <c r="H49" i="17" s="1"/>
  <c r="E23" i="17"/>
  <c r="F23" i="17" s="1"/>
  <c r="E56" i="17"/>
  <c r="F56" i="17" s="1"/>
  <c r="E54" i="17"/>
  <c r="F54" i="17" s="1"/>
  <c r="E40" i="17"/>
  <c r="F40" i="17" s="1"/>
  <c r="E46" i="17"/>
  <c r="F46" i="17" s="1"/>
  <c r="E2" i="17"/>
  <c r="F2" i="17" s="1"/>
  <c r="C48" i="17"/>
  <c r="D48" i="17" s="1"/>
  <c r="C37" i="17"/>
  <c r="D37" i="17" s="1"/>
  <c r="C7" i="17"/>
  <c r="D7" i="17" s="1"/>
  <c r="C60" i="17"/>
  <c r="D60" i="17" s="1"/>
  <c r="C23" i="17"/>
  <c r="D23" i="17" s="1"/>
  <c r="C27" i="17"/>
  <c r="C43" i="17"/>
  <c r="D43" i="17" s="1"/>
  <c r="C10" i="17"/>
  <c r="D10" i="17" s="1"/>
  <c r="C66" i="17"/>
  <c r="D66" i="17" s="1"/>
  <c r="Q54" i="14"/>
  <c r="E19" i="17" s="1"/>
  <c r="F19" i="17" s="1"/>
  <c r="Q33" i="6"/>
  <c r="E52" i="17" s="1"/>
  <c r="F52" i="17" s="1"/>
  <c r="E61" i="17"/>
  <c r="Q35" i="14"/>
  <c r="Q88" i="6"/>
  <c r="E24" i="17" s="1"/>
  <c r="Q44" i="6"/>
  <c r="E42" i="17"/>
  <c r="F42" i="17" s="1"/>
  <c r="Q70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5" i="14"/>
  <c r="E51" i="17" s="1"/>
  <c r="F51" i="17" s="1"/>
  <c r="Q69" i="6"/>
  <c r="R36" i="13"/>
  <c r="C47" i="17" s="1"/>
  <c r="D20" i="2" a="1"/>
  <c r="D20" i="2" s="1"/>
  <c r="Q67" i="3"/>
  <c r="Q29" i="11"/>
  <c r="Q1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65" i="17"/>
  <c r="F65" i="17" s="1"/>
  <c r="R15" i="13"/>
  <c r="C59" i="17" s="1"/>
  <c r="Q53" i="6"/>
  <c r="E26" i="17" s="1"/>
  <c r="F26" i="17" s="1"/>
  <c r="Q64" i="6"/>
  <c r="E34" i="17" s="1"/>
  <c r="F34" i="17" s="1"/>
  <c r="Q21" i="16"/>
  <c r="G12" i="17" s="1"/>
  <c r="H12" i="17" s="1"/>
  <c r="Q26" i="16"/>
  <c r="Q18" i="15"/>
  <c r="G51" i="17" s="1"/>
  <c r="Q19" i="11"/>
  <c r="C61" i="17" s="1"/>
  <c r="G27" i="17"/>
  <c r="H27" i="17" s="1"/>
  <c r="G17" i="17"/>
  <c r="H17" i="17" s="1"/>
  <c r="Q27" i="14"/>
  <c r="E17" i="17"/>
  <c r="F17" i="17" s="1"/>
  <c r="C24" i="17"/>
  <c r="D24" i="17" s="1"/>
  <c r="C40" i="17"/>
  <c r="G15" i="17"/>
  <c r="H15" i="17" s="1"/>
  <c r="G57" i="17"/>
  <c r="H57" i="17" s="1"/>
  <c r="C62" i="17"/>
  <c r="D62" i="17" s="1"/>
  <c r="C42" i="17"/>
  <c r="D42" i="17" s="1"/>
  <c r="E60" i="17"/>
  <c r="C17" i="17"/>
  <c r="D17" i="17" s="1"/>
  <c r="C36" i="17"/>
  <c r="D36" i="17" s="1"/>
  <c r="C44" i="17"/>
  <c r="D44" i="17" s="1"/>
  <c r="Q78" i="14"/>
  <c r="Q17" i="14"/>
  <c r="E63" i="17" s="1"/>
  <c r="F63" i="17" s="1"/>
  <c r="Q14" i="14"/>
  <c r="Q18" i="14"/>
  <c r="E57" i="17" s="1"/>
  <c r="F57" i="17" s="1"/>
  <c r="E43" i="17"/>
  <c r="Q70" i="14"/>
  <c r="Q66" i="14"/>
  <c r="E53" i="17" s="1"/>
  <c r="F53" i="17" s="1"/>
  <c r="Q43" i="6"/>
  <c r="E29" i="17" s="1"/>
  <c r="F29" i="17" s="1"/>
  <c r="Q31" i="6"/>
  <c r="Q62" i="6"/>
  <c r="Q23" i="6"/>
  <c r="Q42" i="6"/>
  <c r="E10" i="17" s="1"/>
  <c r="F10" i="17" s="1"/>
  <c r="Q16" i="16"/>
  <c r="G59" i="17"/>
  <c r="Q20" i="16"/>
  <c r="G23" i="17" s="1"/>
  <c r="H23" i="17" s="1"/>
  <c r="Q21" i="15"/>
  <c r="Q17" i="15"/>
  <c r="Q22" i="11"/>
  <c r="C57" i="17" s="1"/>
  <c r="D57" i="17" s="1"/>
  <c r="Q17" i="11"/>
  <c r="C55" i="17"/>
  <c r="D55" i="17" s="1"/>
  <c r="G30" i="17" l="1"/>
  <c r="H30" i="17" s="1"/>
  <c r="G24" i="17"/>
  <c r="H24" i="17" s="1"/>
  <c r="E6" i="17"/>
  <c r="G33" i="17"/>
  <c r="H33" i="17" s="1"/>
  <c r="G43" i="17"/>
  <c r="G36" i="17"/>
  <c r="H36" i="17" s="1"/>
  <c r="G37" i="17"/>
  <c r="H37" i="17" s="1"/>
  <c r="G28" i="17"/>
  <c r="H28" i="17" s="1"/>
  <c r="G42" i="17"/>
  <c r="H42" i="17" s="1"/>
  <c r="G60" i="17"/>
  <c r="G52" i="17"/>
  <c r="H52" i="17" s="1"/>
  <c r="G10" i="17"/>
  <c r="G6" i="17"/>
  <c r="H6" i="17" s="1"/>
  <c r="E27" i="17"/>
  <c r="F27" i="17" s="1"/>
  <c r="E28" i="17"/>
  <c r="F28" i="17" s="1"/>
  <c r="E36" i="17"/>
  <c r="E50" i="17"/>
  <c r="E32" i="17"/>
  <c r="F32" i="17" s="1"/>
  <c r="E12" i="17"/>
  <c r="F12" i="17" s="1"/>
  <c r="E9" i="17"/>
  <c r="F9" i="17" s="1"/>
  <c r="E7" i="17"/>
  <c r="F7" i="17" s="1"/>
  <c r="E37" i="17"/>
  <c r="F37" i="17" s="1"/>
  <c r="C14" i="17"/>
  <c r="D14" i="17" s="1"/>
  <c r="C32" i="17"/>
  <c r="D32" i="17" s="1"/>
  <c r="C51" i="17"/>
  <c r="D51" i="17" s="1"/>
  <c r="C63" i="17"/>
  <c r="D63" i="17" s="1"/>
  <c r="C50" i="17"/>
  <c r="D50" i="17" s="1"/>
  <c r="C65" i="17"/>
  <c r="D65" i="17" s="1"/>
  <c r="C56" i="17"/>
  <c r="D56" i="17" s="1"/>
  <c r="C33" i="17"/>
  <c r="E59" i="17"/>
  <c r="C30" i="17"/>
  <c r="G18" i="17"/>
  <c r="E33" i="17"/>
  <c r="E25" i="17"/>
  <c r="E15" i="17"/>
  <c r="G44" i="17"/>
  <c r="G41" i="17"/>
  <c r="E14" i="17"/>
  <c r="G48" i="17"/>
  <c r="E44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60" i="17" l="1"/>
  <c r="F61" i="17"/>
  <c r="F24" i="17"/>
  <c r="F25" i="17"/>
  <c r="F50" i="17"/>
  <c r="H10" i="17"/>
  <c r="F36" i="17"/>
  <c r="F15" i="17"/>
  <c r="F18" i="17"/>
  <c r="F6" i="17"/>
  <c r="F44" i="17"/>
  <c r="F33" i="17"/>
  <c r="F14" i="17"/>
  <c r="F59" i="17"/>
  <c r="F43" i="17"/>
  <c r="H41" i="17"/>
  <c r="H48" i="17"/>
  <c r="H18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6" i="3" l="1"/>
  <c r="C34" i="17" s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68" i="3" l="1"/>
  <c r="C54" i="17" s="1"/>
  <c r="Q69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78" i="3"/>
  <c r="C15" i="17" l="1"/>
  <c r="D15" i="17" s="1"/>
  <c r="C18" i="17"/>
  <c r="D18" i="17" s="1"/>
  <c r="C25" i="17"/>
  <c r="C16" i="17"/>
  <c r="C9" i="17"/>
  <c r="D9" i="17" s="1"/>
  <c r="D6" i="17"/>
  <c r="C19" i="17"/>
  <c r="C53" i="17"/>
  <c r="C28" i="17"/>
  <c r="D28" i="17" s="1"/>
  <c r="D27" i="17" l="1"/>
  <c r="D40" i="17"/>
  <c r="D25" i="17"/>
  <c r="D33" i="17"/>
  <c r="D19" i="17"/>
  <c r="D30" i="17"/>
  <c r="D16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<sst xmlns="http://schemas.openxmlformats.org/spreadsheetml/2006/main" count="2633" uniqueCount="574">
  <si>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</si>
  <si>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</si>
  <si>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</si>
  <si>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</si>
  <si>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</si>
  <si>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</si>
  <si>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</si>
  <si>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</si>
  <si>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</si>
  <si>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</si>
  <si>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</si>
  <si>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</si>
  <si>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</si>
  <si>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</si>
  <si>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</si>
  <si>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</si>
  <si>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</si>
  <si>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</si>
  <si>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</si>
  <si>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</si>
  <si>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</si>
  <si>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</si>
  <si>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</si>
  <si>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</si>
  <si>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</si>
  <si>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</si>
  <si>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</si>
  <si>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</si>
  <si>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</si>
  <si>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</si>
  <si>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</si>
  <si>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</si>
  <si>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</si>
  <si>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</si>
  <si>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</si>
  <si>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</si>
  <si>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</si>
  <si>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</si>
  <si>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</si>
  <si>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</si>
  <si>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</si>
  <si>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</si>
  <si>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</si>
  <si>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</si>
  <si>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</si>
  <si>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</si>
  <si>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</si>
  <si>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</si>
  <si>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</si>
  <si>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</si>
  <si>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</si>
  <si>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</si>
  <si>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</si>
  <si>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</si>
  <si>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</si>
  <si>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</si>
  <si>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</si>
  <si>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</si>
  <si>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</si>
  <si>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</si>
  <si>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</si>
  <si>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</si>
  <si>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</si>
  <si>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</si>
  <si>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</si>
  <si>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</si>
  <si>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</si>
  <si>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</si>
  <si>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</si>
  <si>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</si>
  <si>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</si>
  <si>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</si>
  <si>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</si>
  <si>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</si>
  <si>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</si>
  <si>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</si>
  <si>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</si>
  <si>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</si>
  <si>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</si>
  <si>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</si>
  <si>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</si>
  <si>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</si>
  <si>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</si>
  <si>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</si>
  <si>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</si>
  <si>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</si>
  <si>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</si>
  <si>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</si>
  <si>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</si>
  <si>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</si>
  <si>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</si>
  <si>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</si>
  <si>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</si>
  <si>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</si>
  <si>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</si>
  <si>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</si>
  <si>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</si>
  <si>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</si>
  <si>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</si>
  <si>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</si>
  <si>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</si>
  <si>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</si>
  <si>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</si>
  <si>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</si>
  <si>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</si>
  <si>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</si>
  <si>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</si>
  <si>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</si>
  <si>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</si>
  <si>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</si>
  <si>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</si>
  <si>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</si>
  <si>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</si>
  <si>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</si>
  <si>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</si>
  <si>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</si>
  <si>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</si>
  <si>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</si>
  <si>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</si>
  <si>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</si>
  <si>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</si>
  <si>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</si>
  <si>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</si>
  <si>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</si>
  <si>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</si>
  <si>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</si>
  <si>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</si>
  <si>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</si>
  <si>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</si>
  <si>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</si>
  <si>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</si>
  <si>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</si>
  <si>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</si>
  <si>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</si>
  <si>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</si>
  <si>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</si>
  <si>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</si>
  <si>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</si>
  <si>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</si>
  <si>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</si>
  <si>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</si>
  <si>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</si>
  <si>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</si>
  <si>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</si>
  <si>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</si>
  <si>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</si>
  <si>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</si>
  <si>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</si>
  <si>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</si>
  <si>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</si>
  <si>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</si>
  <si>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</si>
  <si>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</si>
  <si>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</si>
  <si>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</si>
  <si>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</si>
  <si>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</si>
  <si>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</si>
  <si>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</si>
  <si>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</si>
  <si>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</si>
  <si>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</si>
  <si>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</si>
  <si>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</si>
  <si>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</si>
  <si>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</si>
  <si>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</si>
  <si>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</si>
  <si>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</si>
  <si>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</si>
  <si>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</si>
  <si>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</si>
  <si>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</si>
  <si>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</si>
  <si>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</si>
  <si>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</si>
  <si>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</si>
  <si>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</si>
  <si>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</si>
  <si>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</si>
  <si>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</si>
  <si>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</si>
  <si>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</si>
  <si>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Toronto Premier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</si>
  <si>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</si>
  <si>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</si>
  <si>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</si>
  <si>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</si>
  <si>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</si>
  <si>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</si>
  <si>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</si>
  <si>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</si>
  <si>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</si>
  <si>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</si>
  <si>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</si>
  <si>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</si>
  <si>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</si>
  <si>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</si>
  <si>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</si>
  <si>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</si>
  <si>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</si>
  <si>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</si>
  <si>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</si>
  <si>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</si>
  <si>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</si>
  <si>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</si>
  <si>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</si>
  <si>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</si>
  <si>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</si>
  <si>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</si>
  <si>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</si>
  <si>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</si>
  <si>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</si>
  <si>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</si>
  <si>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</si>
  <si>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</si>
  <si>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</si>
  <si>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</si>
  <si>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</si>
  <si>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</si>
  <si>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</si>
  <si>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</si>
  <si>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</si>
  <si>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</si>
  <si>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</si>
  <si>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</si>
  <si>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</si>
  <si>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</si>
  <si>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</si>
  <si>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</si>
  <si>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</si>
  <si>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</si>
  <si>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</si>
  <si>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</si>
  <si>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</si>
  <si>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</si>
  <si>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</si>
  <si>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</si>
  <si>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</si>
  <si>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</si>
  <si>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</si>
  <si>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</si>
  <si>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</si>
  <si>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</si>
  <si>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</si>
  <si>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</si>
  <si>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</si>
  <si>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</si>
  <si>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STEENKAMP, Anike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</si>
  <si>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</si>
  <si>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</si>
  <si>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</si>
  <si>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</si>
  <si>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</si>
  <si>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</si>
  <si>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</si>
  <si>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</si>
  <si>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</si>
  <si>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</si>
  <si>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</si>
  <si>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</si>
  <si>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</si>
  <si>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</si>
  <si>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</si>
  <si>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</si>
  <si>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</si>
  <si>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</si>
  <si>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</si>
  <si>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</si>
  <si>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</si>
  <si>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</si>
  <si>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</si>
  <si>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</si>
  <si>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</si>
  <si>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</si>
  <si>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</si>
  <si>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</si>
  <si>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</si>
  <si>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</si>
  <si>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</si>
  <si>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</si>
  <si>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</si>
  <si>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</si>
  <si>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</si>
  <si>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</si>
  <si>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</si>
  <si>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</si>
  <si>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</si>
  <si>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</si>
  <si>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</si>
  <si>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</si>
  <si>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</si>
  <si>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</si>
  <si>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</si>
  <si>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</si>
  <si>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</si>
  <si>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ADREWS, Cadence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</si>
  <si>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</si>
  <si>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</si>
  <si>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</si>
  <si>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</si>
  <si>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</si>
  <si>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</si>
  <si>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</si>
  <si>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</si>
  <si>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</si>
  <si>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</si>
  <si>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</si>
  <si>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</si>
  <si>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</si>
  <si>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</si>
  <si>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</si>
  <si>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</si>
  <si>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</si>
  <si>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</si>
  <si>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</si>
  <si>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</si>
  <si>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</si>
  <si>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</si>
  <si>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</si>
  <si>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</si>
  <si>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</si>
  <si>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</si>
  <si>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</si>
  <si>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</si>
  <si>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</si>
  <si>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</si>
  <si>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</si>
  <si>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</si>
  <si>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</si>
  <si>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</si>
  <si>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</si>
  <si>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</si>
  <si>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</si>
  <si>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</si>
  <si>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</si>
  <si>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</si>
  <si>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</si>
  <si>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</si>
  <si>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</si>
  <si>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</si>
  <si>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</si>
  <si>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</si>
  <si>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</si>
  <si>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</si>
  <si>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</si>
  <si>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</si>
  <si>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</si>
  <si>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</si>
  <si>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</si>
  <si>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</si>
  <si>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</si>
  <si>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</si>
  <si>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</si>
  <si>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</si>
  <si>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</si>
  <si>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</si>
  <si>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</si>
  <si>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</si>
  <si>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</si>
  <si>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</si>
  <si>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</si>
  <si>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</si>
  <si>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</si>
  <si>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</si>
  <si>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</si>
  <si>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</si>
  <si>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</si>
  <si>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</si>
  <si>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</si>
  <si>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</si>
  <si>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</si>
  <si>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</si>
  <si>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</si>
  <si>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</si>
  <si>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</si>
  <si>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</si>
  <si>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</si>
  <si>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</si>
  <si>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</si>
  <si>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</si>
  <si>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</si>
  <si>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</si>
  <si>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</si>
  <si>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</si>
  <si>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</si>
  <si>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</si>
  <si>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</si>
  <si>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</si>
  <si>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</si>
  <si>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</si>
  <si>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</si>
  <si>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</si>
  <si>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</si>
  <si>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</si>
  <si>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</si>
  <si>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</si>
  <si>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</si>
  <si>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</si>
  <si>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</si>
  <si>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</si>
  <si>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</si>
  <si>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</si>
  <si>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</si>
  <si>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</si>
  <si>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</si>
  <si>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</si>
  <si>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</si>
  <si>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</si>
  <si>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</si>
  <si>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</si>
  <si>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</si>
  <si>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</si>
  <si>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</si>
  <si>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</si>
  <si>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</si>
  <si>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</si>
  <si>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</si>
  <si>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</si>
  <si>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</si>
  <si>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</si>
  <si>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</si>
  <si>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</si>
  <si>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</si>
  <si>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</si>
  <si>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</si>
  <si>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</si>
  <si>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</si>
  <si>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</si>
  <si>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</si>
  <si>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</si>
  <si>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</si>
  <si>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</si>
  <si>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</si>
  <si>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</si>
  <si>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</si>
  <si>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</si>
  <si>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</si>
  <si>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</si>
  <si>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</si>
  <si>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</si>
  <si>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</si>
  <si>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Jr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</si>
  <si>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</si>
  <si>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</si>
  <si>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</si>
  <si>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</si>
  <si>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</si>
  <si>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</si>
  <si>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</si>
  <si>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</si>
  <si>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</si>
  <si>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</si>
  <si>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</si>
  <si>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</si>
  <si>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</si>
  <si>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</si>
  <si>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</si>
  <si>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</si>
  <si>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</si>
  <si>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</si>
  <si>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</si>
  <si>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</si>
  <si>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</si>
  <si>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</si>
  <si>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</si>
  <si>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</si>
  <si>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</si>
  <si>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</si>
  <si>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</si>
  <si>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</si>
  <si>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</si>
  <si>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</si>
  <si>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</si>
  <si>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</si>
  <si>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</si>
  <si>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</si>
  <si>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</si>
  <si>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</si>
  <si>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</si>
  <si>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</si>
  <si>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</si>
  <si>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</si>
  <si>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</si>
  <si>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</si>
  <si>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</si>
  <si>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</si>
  <si>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</si>
  <si>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</si>
  <si>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</si>
  <si>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</si>
  <si>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</si>
  <si>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</si>
  <si>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</si>
  <si>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</si>
  <si>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</si>
  <si>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</si>
  <si>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</si>
  <si>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</si>
  <si>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</si>
  <si>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</si>
  <si>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</si>
  <si>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</si>
  <si>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</si>
  <si>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</si>
  <si>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</si>
  <si>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ETHIER, William</t>
  </si>
  <si>
    <t>Manjak's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</si>
  <si>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</si>
  <si>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</si>
  <si>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</si>
  <si>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</si>
  <si>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</si>
  <si>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</si>
  <si>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</si>
  <si>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</si>
  <si>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</si>
  <si>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Sr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</si>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</sst>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74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hidden="1" x14ac:dyDescent="0.2">
      <c r="A18" s="56" t="str">
        <f t="shared" si="0"/>
        <v/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/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hidden="1" x14ac:dyDescent="0.2">
      <c r="A26" s="56" t="str">
        <f t="shared" si="0"/>
        <v/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/>
      </c>
    </row>
    <row r="27" spans="1:4" hidden="1" x14ac:dyDescent="0.2">
      <c r="A27" s="56" t="str">
        <f t="shared" si="0"/>
        <v/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/>
      </c>
    </row>
    <row r="28" spans="1:4" hidden="1" x14ac:dyDescent="0.2">
      <c r="A28" s="56" t="str">
        <f t="shared" si="0"/>
        <v/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/>
      </c>
    </row>
    <row r="29" spans="1:4" hidden="1" x14ac:dyDescent="0.2">
      <c r="A29" s="56" t="str">
        <f t="shared" si="0"/>
        <v/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/>
      </c>
    </row>
    <row r="30" spans="1:4" hidden="1" x14ac:dyDescent="0.2">
      <c r="A30" s="56" t="str">
        <f t="shared" si="0"/>
        <v/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/>
      </c>
    </row>
    <row r="31" spans="1:4" hidden="1" x14ac:dyDescent="0.2">
      <c r="A31" s="56" t="str">
        <f t="shared" si="0"/>
        <v/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/>
      </c>
    </row>
    <row r="32" spans="1:4" hidden="1" x14ac:dyDescent="0.2">
      <c r="A32" s="56" t="str">
        <f t="shared" si="0"/>
        <v/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/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_xlfn.IFNA(INDEX('TRA-W'!C$3:C$75,MATCH(1,(C34='TRA-W'!A$3:A$75)*(B34='TRA-W'!G$3:G$75),0)),"")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_xlfn.IFNA(INDEX('TRA-W'!C$3:C$75,MATCH(1,(C35='TRA-W'!A$3:A$75)*(B35='TRA-W'!G$3:G$75),0)),"")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_xlfn.IFNA(INDEX('TRA-W'!C$3:C$75,MATCH(1,(C36='TRA-W'!A$3:A$75)*(B36='TRA-W'!G$3:G$75),0)),"")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_xlfn.IFNA(INDEX('TRA-W'!C$3:C$75,MATCH(1,(C37='TRA-W'!A$3:A$75)*(B37='TRA-W'!G$3:G$75),0)),"")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_xlfn.IFNA(INDEX('TRA-W'!C$3:C$75,MATCH(1,(C38='TRA-W'!A$3:A$75)*(B38='TRA-W'!G$3:G$75),0)),"")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_xlfn.IFNA(INDEX('TRA-W'!C$3:C$75,MATCH(1,(C39='TRA-W'!A$3:A$75)*(B39='TRA-W'!G$3:G$75),0)),"")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_xlfn.IFNA(INDEX('TRA-W'!C$3:C$75,MATCH(1,(C40='TRA-W'!A$3:A$75)*(B40='TRA-W'!G$3:G$75),0)),"")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_xlfn.IFNA(INDEX('TRA-W'!C$3:C$75,MATCH(1,(C41='TRA-W'!A$3:A$75)*(B41='TRA-W'!G$3:G$75),0)),"")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_xlfn.IFNA(INDEX('TRA-W'!C$3:C$75,MATCH(1,(C42='TRA-W'!A$3:A$75)*(B42='TRA-W'!G$3:G$75),0)),"")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_xlfn.IFNA(INDEX('TRA-W'!C$3:C$75,MATCH(1,(C43='TRA-W'!A$3:A$75)*(B43='TRA-W'!G$3:G$75),0)),"")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_xlfn.IFNA(INDEX('TRA-W'!C$3:C$75,MATCH(1,(C44='TRA-W'!A$3:A$75)*(B44='TRA-W'!G$3:G$75),0)),"")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_xlfn.IFNA(INDEX('TRA-W'!C$3:C$75,MATCH(1,(C45='TRA-W'!A$3:A$75)*(B45='TRA-W'!G$3:G$75),0)),"")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_xlfn.IFNA(INDEX('TRA-W'!C$3:C$75,MATCH(1,(C46='TRA-W'!A$3:A$75)*(B46='TRA-W'!G$3:G$75),0)),"")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_xlfn.IFNA(INDEX('TRA-W'!C$3:C$75,MATCH(1,(C47='TRA-W'!A$3:A$75)*(B47='TRA-W'!G$3:G$75),0)),"")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_xlfn.IFNA(INDEX('TRA-W'!C$3:C$75,MATCH(1,(C48='TRA-W'!A$3:A$75)*(B48='TRA-W'!G$3:G$75),0)),"")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_xlfn.IFNA(INDEX('TRA-W'!C$3:C$75,MATCH(1,(C49='TRA-W'!A$3:A$75)*(B49='TRA-W'!G$3:G$75),0)),"")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_xlfn.IFNA(INDEX('TRA-W'!C$3:C$75,MATCH(1,(C50='TRA-W'!A$3:A$75)*(B50='TRA-W'!G$3:G$75),0)),"")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_xlfn.IFNA(INDEX('TRA-W'!C$3:C$75,MATCH(1,(C51='TRA-W'!A$3:A$75)*(B51='TRA-W'!G$3:G$75),0)),"")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_xlfn.IFNA(INDEX('TRA-W'!C$3:C$75,MATCH(1,(C52='TRA-W'!A$3:A$75)*(B52='TRA-W'!G$3:G$75),0)),"")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_xlfn.IFNA(INDEX('TRA-W'!C$3:C$75,MATCH(1,(C53='TRA-W'!A$3:A$75)*(B53='TRA-W'!G$3:G$75),0)),"")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_xlfn.IFNA(INDEX('TRA-W'!C$3:C$75,MATCH(1,(C54='TRA-W'!A$3:A$75)*(B54='TRA-W'!G$3:G$75),0)),"")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_xlfn.IFNA(INDEX('TRA-W'!C$3:C$75,MATCH(1,(C55='TRA-W'!A$3:A$75)*(B55='TRA-W'!G$3:G$75),0)),"")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_xlfn.IFNA(INDEX('TRA-W'!C$3:C$75,MATCH(1,(C56='TRA-W'!A$3:A$75)*(B56='TRA-W'!G$3:G$75),0)),"")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_xlfn.IFNA(INDEX('TRA-W'!C$3:C$75,MATCH(1,(C57='TRA-W'!A$3:A$75)*(B57='TRA-W'!G$3:G$75),0)),"")</f>
        <v/>
      </c>
    </row>
    <row r="58" spans="1:4" hidden="1" x14ac:dyDescent="0.2">
      <c r="A58" s="57" t="str">
        <f t="shared" si="1"/>
        <v/>
      </c>
      <c r="B58" s="57" t="s">
        <v>20</v>
      </c>
      <c r="C58" s="57">
        <v>1</v>
      </c>
      <c r="D58" s="42" t="str" cm="1">
        <f t="array" ref="D58">_xlfn.IFNA(INDEX('TRA-W'!C$3:C$75,MATCH(1,(C58='TRA-W'!A$3:A$75)*(B58='TRA-W'!G$3:G$75),0)),"")</f>
        <v/>
      </c>
    </row>
    <row r="59" spans="1:4" hidden="1" x14ac:dyDescent="0.2">
      <c r="A59" s="57" t="str">
        <f t="shared" si="1"/>
        <v/>
      </c>
      <c r="B59" s="57" t="s">
        <v>20</v>
      </c>
      <c r="C59" s="57">
        <v>2</v>
      </c>
      <c r="D59" s="42" t="str" cm="1">
        <f t="array" ref="D59">_xlfn.IFNA(INDEX('TRA-W'!C$3:C$75,MATCH(1,(C59='TRA-W'!A$3:A$75)*(B59='TRA-W'!G$3:G$75),0)),"")</f>
        <v/>
      </c>
    </row>
    <row r="60" spans="1:4" hidden="1" x14ac:dyDescent="0.2">
      <c r="A60" s="57" t="str">
        <f t="shared" si="1"/>
        <v/>
      </c>
      <c r="B60" s="57" t="s">
        <v>20</v>
      </c>
      <c r="C60" s="57">
        <v>3</v>
      </c>
      <c r="D60" s="42" t="str" cm="1">
        <f t="array" ref="D60">_xlfn.IFNA(INDEX('TRA-W'!C$3:C$75,MATCH(1,(C60='TRA-W'!A$3:A$75)*(B60='TRA-W'!G$3:G$75),0)),"")</f>
        <v/>
      </c>
    </row>
    <row r="61" spans="1:4" hidden="1" x14ac:dyDescent="0.2">
      <c r="A61" s="57" t="str">
        <f t="shared" si="1"/>
        <v/>
      </c>
      <c r="B61" s="57" t="s">
        <v>20</v>
      </c>
      <c r="C61" s="57">
        <v>4</v>
      </c>
      <c r="D61" s="42" t="str" cm="1">
        <f t="array" ref="D61">_xlfn.IFNA(INDEX('TRA-W'!C$3:C$75,MATCH(1,(C61='TRA-W'!A$3:A$75)*(B61='TRA-W'!G$3:G$75),0)),"")</f>
        <v/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_xlfn.IFNA(INDEX('TRA-W'!C$3:C$75,MATCH(1,(C62='TRA-W'!A$3:A$75)*(B62='TRA-W'!G$3:G$75),0)),"")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_xlfn.IFNA(INDEX('TRA-W'!C$3:C$75,MATCH(1,(C63='TRA-W'!A$3:A$75)*(B63='TRA-W'!G$3:G$75),0)),"")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_xlfn.IFNA(INDEX('TRA-W'!C$3:C$75,MATCH(1,(C64='TRA-W'!A$3:A$75)*(B64='TRA-W'!G$3:G$75),0)),"")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_xlfn.IFNA(INDEX('TRA-W'!C$3:C$75,MATCH(1,(C65='TRA-W'!A$3:A$75)*(B65='TRA-W'!G$3:G$75),0)),"")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hidden="1" x14ac:dyDescent="0.2">
      <c r="A78" s="56" t="str">
        <f t="shared" si="2"/>
        <v/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/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hidden="1" x14ac:dyDescent="0.2">
      <c r="A94" s="57" t="str">
        <f t="shared" si="3"/>
        <v/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/>
      </c>
    </row>
    <row r="95" spans="1:4" hidden="1" x14ac:dyDescent="0.2">
      <c r="A95" s="57" t="str">
        <f t="shared" si="3"/>
        <v/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/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_xlfn.IFNA(INDEX('DMT-M'!C$3:C$63,MATCH(1,(C98='DMT-M'!A$3:A$63)*(B98='DMT-M'!G$3:G$63),0)),"")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_xlfn.IFNA(INDEX('DMT-M'!C$3:C$63,MATCH(1,(C99='DMT-M'!A$3:A$63)*(B99='DMT-M'!G$3:G$63),0)),"")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_xlfn.IFNA(INDEX('DMT-M'!C$3:C$63,MATCH(1,(C100='DMT-M'!A$3:A$63)*(B100='DMT-M'!G$3:G$63),0)),"")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_xlfn.IFNA(INDEX('DMT-M'!C$3:C$63,MATCH(1,(C101='DMT-M'!A$3:A$63)*(B101='DMT-M'!G$3:G$63),0)),"")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_xlfn.IFNA(INDEX('DMT-M'!C$3:C$63,MATCH(1,(C102='DMT-M'!A$3:A$63)*(B102='DMT-M'!G$3:G$63),0)),"")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_xlfn.IFNA(INDEX('DMT-M'!C$3:C$63,MATCH(1,(C103='DMT-M'!A$3:A$63)*(B103='DMT-M'!G$3:G$63),0)),"")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_xlfn.IFNA(INDEX('DMT-M'!C$3:C$63,MATCH(1,(C104='DMT-M'!A$3:A$63)*(B104='DMT-M'!G$3:G$63),0)),"")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_xlfn.IFNA(INDEX('DMT-M'!C$3:C$63,MATCH(1,(C105='DMT-M'!A$3:A$63)*(B105='DMT-M'!G$3:G$63),0)),"")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_xlfn.IFNA(INDEX('DMT-M'!C$3:C$63,MATCH(1,(C106='DMT-M'!A$3:A$63)*(B106='DMT-M'!G$3:G$63),0)),"")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_xlfn.IFNA(INDEX('DMT-M'!C$3:C$63,MATCH(1,(C107='DMT-M'!A$3:A$63)*(B107='DMT-M'!G$3:G$63),0)),"")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_xlfn.IFNA(INDEX('DMT-M'!C$3:C$63,MATCH(1,(C108='DMT-M'!A$3:A$63)*(B108='DMT-M'!G$3:G$63),0)),"")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_xlfn.IFNA(INDEX('DMT-M'!C$3:C$63,MATCH(1,(C109='DMT-M'!A$3:A$63)*(B109='DMT-M'!G$3:G$63),0)),"")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_xlfn.IFNA(INDEX('DMT-M'!C$3:C$63,MATCH(1,(C110='DMT-M'!A$3:A$63)*(B110='DMT-M'!G$3:G$63),0)),"")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_xlfn.IFNA(INDEX('DMT-M'!C$3:C$63,MATCH(1,(C111='DMT-M'!A$3:A$63)*(B111='DMT-M'!G$3:G$63),0)),"")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_xlfn.IFNA(INDEX('DMT-M'!C$3:C$63,MATCH(1,(C112='DMT-M'!A$3:A$63)*(B112='DMT-M'!G$3:G$63),0)),"")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_xlfn.IFNA(INDEX('DMT-M'!C$3:C$63,MATCH(1,(C113='DMT-M'!A$3:A$63)*(B113='DMT-M'!G$3:G$63),0)),"")</f>
        <v/>
      </c>
    </row>
    <row r="114" spans="1:4" hidden="1" x14ac:dyDescent="0.2">
      <c r="A114" s="56" t="str">
        <f t="shared" si="4"/>
        <v/>
      </c>
      <c r="B114" s="56" t="s">
        <v>19</v>
      </c>
      <c r="C114" s="56">
        <v>1</v>
      </c>
      <c r="D114" s="41" t="str" cm="1">
        <f t="array" ref="D114">_xlfn.IFNA(INDEX('DMT-M'!C$3:C$63,MATCH(1,(C114='DMT-M'!A$3:A$63)*(B114='DMT-M'!G$3:G$63),0)),"")</f>
        <v/>
      </c>
    </row>
    <row r="115" spans="1:4" hidden="1" x14ac:dyDescent="0.2">
      <c r="A115" s="56" t="str">
        <f t="shared" si="4"/>
        <v/>
      </c>
      <c r="B115" s="56" t="s">
        <v>19</v>
      </c>
      <c r="C115" s="56">
        <v>2</v>
      </c>
      <c r="D115" s="41" t="str" cm="1">
        <f t="array" ref="D115">_xlfn.IFNA(INDEX('DMT-M'!C$3:C$63,MATCH(1,(C115='DMT-M'!A$3:A$63)*(B115='DMT-M'!G$3:G$63),0)),"")</f>
        <v/>
      </c>
    </row>
    <row r="116" spans="1:4" hidden="1" x14ac:dyDescent="0.2">
      <c r="A116" s="56" t="str">
        <f t="shared" si="4"/>
        <v/>
      </c>
      <c r="B116" s="56" t="s">
        <v>19</v>
      </c>
      <c r="C116" s="56">
        <v>3</v>
      </c>
      <c r="D116" s="41" t="str" cm="1">
        <f t="array" ref="D116">_xlfn.IFNA(INDEX('DMT-M'!C$3:C$63,MATCH(1,(C116='DMT-M'!A$3:A$63)*(B116='DMT-M'!G$3:G$63),0)),"")</f>
        <v/>
      </c>
    </row>
    <row r="117" spans="1:4" hidden="1" x14ac:dyDescent="0.2">
      <c r="A117" s="56" t="str">
        <f t="shared" si="4"/>
        <v/>
      </c>
      <c r="B117" s="56" t="s">
        <v>19</v>
      </c>
      <c r="C117" s="56">
        <v>4</v>
      </c>
      <c r="D117" s="41" t="str" cm="1">
        <f t="array" ref="D117">_xlfn.IFNA(INDEX('DMT-M'!C$3:C$63,MATCH(1,(C117='DMT-M'!A$3:A$63)*(B117='DMT-M'!G$3:G$63),0)),"")</f>
        <v/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_xlfn.IFNA(INDEX('DMT-M'!C$3:C$63,MATCH(1,(C118='DMT-M'!A$3:A$63)*(B118='DMT-M'!G$3:G$63),0)),"")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_xlfn.IFNA(INDEX('DMT-M'!C$3:C$63,MATCH(1,(C119='DMT-M'!A$3:A$63)*(B119='DMT-M'!G$3:G$63),0)),"")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_xlfn.IFNA(INDEX('DMT-M'!C$3:C$63,MATCH(1,(C120='DMT-M'!A$3:A$63)*(B120='DMT-M'!G$3:G$63),0)),"")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_xlfn.IFNA(INDEX('DMT-M'!C$3:C$63,MATCH(1,(C121='DMT-M'!A$3:A$63)*(B121='DMT-M'!G$3:G$63),0)),"")</f>
        <v/>
      </c>
    </row>
    <row r="122" spans="1:4" hidden="1" x14ac:dyDescent="0.2">
      <c r="A122" s="56" t="str">
        <f t="shared" si="4"/>
        <v/>
      </c>
      <c r="B122" s="56" t="s">
        <v>20</v>
      </c>
      <c r="C122" s="56">
        <v>1</v>
      </c>
      <c r="D122" s="41" t="str" cm="1">
        <f t="array" ref="D122">_xlfn.IFNA(INDEX('DMT-M'!C$3:C$63,MATCH(1,(C122='DMT-M'!A$3:A$63)*(B122='DMT-M'!G$3:G$63),0)),"")</f>
        <v/>
      </c>
    </row>
    <row r="123" spans="1:4" hidden="1" x14ac:dyDescent="0.2">
      <c r="A123" s="56" t="str">
        <f t="shared" si="4"/>
        <v/>
      </c>
      <c r="B123" s="56" t="s">
        <v>20</v>
      </c>
      <c r="C123" s="56">
        <v>2</v>
      </c>
      <c r="D123" s="41" t="str" cm="1">
        <f t="array" ref="D123">_xlfn.IFNA(INDEX('DMT-M'!C$3:C$63,MATCH(1,(C123='DMT-M'!A$3:A$63)*(B123='DMT-M'!G$3:G$63),0)),"")</f>
        <v/>
      </c>
    </row>
    <row r="124" spans="1:4" hidden="1" x14ac:dyDescent="0.2">
      <c r="A124" s="56" t="str">
        <f t="shared" si="4"/>
        <v/>
      </c>
      <c r="B124" s="56" t="s">
        <v>20</v>
      </c>
      <c r="C124" s="56">
        <v>3</v>
      </c>
      <c r="D124" s="41" t="str" cm="1">
        <f t="array" ref="D124">_xlfn.IFNA(INDEX('DMT-M'!C$3:C$63,MATCH(1,(C124='DMT-M'!A$3:A$63)*(B124='DMT-M'!G$3:G$63),0)),"")</f>
        <v/>
      </c>
    </row>
    <row r="125" spans="1:4" hidden="1" x14ac:dyDescent="0.2">
      <c r="A125" s="56" t="str">
        <f t="shared" si="4"/>
        <v/>
      </c>
      <c r="B125" s="56" t="s">
        <v>20</v>
      </c>
      <c r="C125" s="56">
        <v>4</v>
      </c>
      <c r="D125" s="41" t="str" cm="1">
        <f t="array" ref="D125">_xlfn.IFNA(INDEX('DMT-M'!C$3:C$63,MATCH(1,(C125='DMT-M'!A$3:A$63)*(B125='DMT-M'!G$3:G$63),0)),"")</f>
        <v/>
      </c>
    </row>
    <row r="126" spans="1:4" hidden="1" x14ac:dyDescent="0.2">
      <c r="A126" s="56" t="str">
        <f t="shared" si="4"/>
        <v/>
      </c>
      <c r="B126" s="56" t="s">
        <v>20</v>
      </c>
      <c r="C126" s="56">
        <v>5</v>
      </c>
      <c r="D126" s="41" t="str" cm="1">
        <f t="array" ref="D126">_xlfn.IFNA(INDEX('DMT-M'!C$3:C$63,MATCH(1,(C126='DMT-M'!A$3:A$63)*(B126='DMT-M'!G$3:G$63),0)),"")</f>
        <v/>
      </c>
    </row>
    <row r="127" spans="1:4" hidden="1" x14ac:dyDescent="0.2">
      <c r="A127" s="56" t="str">
        <f t="shared" si="4"/>
        <v/>
      </c>
      <c r="B127" s="56" t="s">
        <v>20</v>
      </c>
      <c r="C127" s="56">
        <v>6</v>
      </c>
      <c r="D127" s="41" t="str" cm="1">
        <f t="array" ref="D127">_xlfn.IFNA(INDEX('DMT-M'!C$3:C$63,MATCH(1,(C127='DMT-M'!A$3:A$63)*(B127='DMT-M'!G$3:G$63),0)),"")</f>
        <v/>
      </c>
    </row>
    <row r="128" spans="1:4" hidden="1" x14ac:dyDescent="0.2">
      <c r="A128" s="56" t="str">
        <f t="shared" si="4"/>
        <v/>
      </c>
      <c r="B128" s="56" t="s">
        <v>20</v>
      </c>
      <c r="C128" s="56">
        <v>7</v>
      </c>
      <c r="D128" s="41" t="str" cm="1">
        <f t="array" ref="D128">_xlfn.IFNA(INDEX('DMT-M'!C$3:C$63,MATCH(1,(C128='DMT-M'!A$3:A$63)*(B128='DMT-M'!G$3:G$63),0)),"")</f>
        <v/>
      </c>
    </row>
    <row r="129" spans="1:4" hidden="1" x14ac:dyDescent="0.2">
      <c r="A129" s="56" t="str">
        <f t="shared" si="4"/>
        <v/>
      </c>
      <c r="B129" s="56" t="s">
        <v>20</v>
      </c>
      <c r="C129" s="56">
        <v>8</v>
      </c>
      <c r="D129" s="41" t="str" cm="1">
        <f t="array" ref="D129">_xlfn.IFNA(INDEX('DMT-M'!C$3:C$63,MATCH(1,(C129='DMT-M'!A$3:A$63)*(B129='DMT-M'!G$3:G$63),0)),"")</f>
        <v/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_xlfn.IFNA(INDEX('DMT-W'!C$3:C$69,MATCH(1,(C130='DMT-W'!A$3:A$69)*(B130='DMT-W'!G$3:G$69),0)),"")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_xlfn.IFNA(INDEX('DMT-W'!C$3:C$69,MATCH(1,(C131='DMT-W'!A$3:A$69)*(B131='DMT-W'!G$3:G$69),0)),"")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_xlfn.IFNA(INDEX('DMT-W'!C$3:C$69,MATCH(1,(C132='DMT-W'!A$3:A$69)*(B132='DMT-W'!G$3:G$69),0)),"")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_xlfn.IFNA(INDEX('DMT-W'!C$3:C$69,MATCH(1,(C133='DMT-W'!A$3:A$69)*(B133='DMT-W'!G$3:G$69),0)),"")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_xlfn.IFNA(INDEX('DMT-W'!C$3:C$69,MATCH(1,(C134='DMT-W'!A$3:A$69)*(B134='DMT-W'!G$3:G$69),0)),"")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_xlfn.IFNA(INDEX('DMT-W'!C$3:C$69,MATCH(1,(C135='DMT-W'!A$3:A$69)*(B135='DMT-W'!G$3:G$69),0)),"")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_xlfn.IFNA(INDEX('DMT-W'!C$3:C$69,MATCH(1,(C136='DMT-W'!A$3:A$69)*(B136='DMT-W'!G$3:G$69),0)),"")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_xlfn.IFNA(INDEX('DMT-W'!C$3:C$69,MATCH(1,(C137='DMT-W'!A$3:A$69)*(B137='DMT-W'!G$3:G$69),0)),"")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_xlfn.IFNA(INDEX('DMT-W'!C$3:C$69,MATCH(1,(C138='DMT-W'!A$3:A$69)*(B138='DMT-W'!G$3:G$69),0)),"")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_xlfn.IFNA(INDEX('DMT-W'!C$3:C$69,MATCH(1,(C139='DMT-W'!A$3:A$69)*(B139='DMT-W'!G$3:G$69),0)),"")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_xlfn.IFNA(INDEX('DMT-W'!C$3:C$69,MATCH(1,(C140='DMT-W'!A$3:A$69)*(B140='DMT-W'!G$3:G$69),0)),"")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_xlfn.IFNA(INDEX('DMT-W'!C$3:C$69,MATCH(1,(C141='DMT-W'!A$3:A$69)*(B141='DMT-W'!G$3:G$69),0)),"")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_xlfn.IFNA(INDEX('DMT-W'!C$3:C$69,MATCH(1,(C142='DMT-W'!A$3:A$69)*(B142='DMT-W'!G$3:G$69),0)),"")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_xlfn.IFNA(INDEX('DMT-W'!C$3:C$69,MATCH(1,(C143='DMT-W'!A$3:A$69)*(B143='DMT-W'!G$3:G$69),0)),"")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_xlfn.IFNA(INDEX('DMT-W'!C$3:C$69,MATCH(1,(C144='DMT-W'!A$3:A$69)*(B144='DMT-W'!G$3:G$69),0)),"")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_xlfn.IFNA(INDEX('DMT-W'!C$3:C$69,MATCH(1,(C145='DMT-W'!A$3:A$69)*(B145='DMT-W'!G$3:G$69),0)),"")</f>
        <v/>
      </c>
    </row>
    <row r="146" spans="1:4" hidden="1" x14ac:dyDescent="0.2">
      <c r="A146" s="57" t="str">
        <f t="shared" si="5"/>
        <v/>
      </c>
      <c r="B146" s="57" t="s">
        <v>19</v>
      </c>
      <c r="C146" s="57">
        <v>1</v>
      </c>
      <c r="D146" s="42" t="str" cm="1">
        <f t="array" ref="D146">_xlfn.IFNA(INDEX('DMT-W'!C$3:C$69,MATCH(1,(C146='DMT-W'!A$3:A$69)*(B146='DMT-W'!G$3:G$69),0)),"")</f>
        <v/>
      </c>
    </row>
    <row r="147" spans="1:4" hidden="1" x14ac:dyDescent="0.2">
      <c r="A147" s="57" t="str">
        <f t="shared" si="5"/>
        <v/>
      </c>
      <c r="B147" s="57" t="s">
        <v>19</v>
      </c>
      <c r="C147" s="57">
        <v>2</v>
      </c>
      <c r="D147" s="42" t="str" cm="1">
        <f t="array" ref="D147">_xlfn.IFNA(INDEX('DMT-W'!C$3:C$69,MATCH(1,(C147='DMT-W'!A$3:A$69)*(B147='DMT-W'!G$3:G$69),0)),"")</f>
        <v/>
      </c>
    </row>
    <row r="148" spans="1:4" hidden="1" x14ac:dyDescent="0.2">
      <c r="A148" s="57" t="str">
        <f t="shared" si="5"/>
        <v/>
      </c>
      <c r="B148" s="57" t="s">
        <v>19</v>
      </c>
      <c r="C148" s="57">
        <v>3</v>
      </c>
      <c r="D148" s="42" t="str" cm="1">
        <f t="array" ref="D148">_xlfn.IFNA(INDEX('DMT-W'!C$3:C$69,MATCH(1,(C148='DMT-W'!A$3:A$69)*(B148='DMT-W'!G$3:G$69),0)),"")</f>
        <v/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_xlfn.IFNA(INDEX('DMT-W'!C$3:C$69,MATCH(1,(C149='DMT-W'!A$3:A$69)*(B149='DMT-W'!G$3:G$69),0)),"")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_xlfn.IFNA(INDEX('DMT-W'!C$3:C$69,MATCH(1,(C150='DMT-W'!A$3:A$69)*(B150='DMT-W'!G$3:G$69),0)),"")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_xlfn.IFNA(INDEX('DMT-W'!C$3:C$69,MATCH(1,(C151='DMT-W'!A$3:A$69)*(B151='DMT-W'!G$3:G$69),0)),"")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_xlfn.IFNA(INDEX('DMT-W'!C$3:C$69,MATCH(1,(C152='DMT-W'!A$3:A$69)*(B152='DMT-W'!G$3:G$69),0)),"")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_xlfn.IFNA(INDEX('DMT-W'!C$3:C$69,MATCH(1,(C153='DMT-W'!A$3:A$69)*(B153='DMT-W'!G$3:G$69),0)),"")</f>
        <v/>
      </c>
    </row>
    <row r="154" spans="1:4" hidden="1" x14ac:dyDescent="0.2">
      <c r="A154" s="57" t="str">
        <f t="shared" si="5"/>
        <v/>
      </c>
      <c r="B154" s="57" t="s">
        <v>20</v>
      </c>
      <c r="C154" s="57">
        <v>1</v>
      </c>
      <c r="D154" s="42" t="str" cm="1">
        <f t="array" ref="D154">_xlfn.IFNA(INDEX('DMT-W'!C$3:C$69,MATCH(1,(C154='DMT-W'!A$3:A$69)*(B154='DMT-W'!G$3:G$69),0)),"")</f>
        <v/>
      </c>
    </row>
    <row r="155" spans="1:4" hidden="1" x14ac:dyDescent="0.2">
      <c r="A155" s="57" t="str">
        <f t="shared" si="5"/>
        <v/>
      </c>
      <c r="B155" s="57" t="s">
        <v>20</v>
      </c>
      <c r="C155" s="57">
        <v>2</v>
      </c>
      <c r="D155" s="42" t="str" cm="1">
        <f t="array" ref="D155">_xlfn.IFNA(INDEX('DMT-W'!C$3:C$69,MATCH(1,(C155='DMT-W'!A$3:A$69)*(B155='DMT-W'!G$3:G$69),0)),"")</f>
        <v/>
      </c>
    </row>
    <row r="156" spans="1:4" hidden="1" x14ac:dyDescent="0.2">
      <c r="A156" s="57" t="str">
        <f t="shared" si="5"/>
        <v/>
      </c>
      <c r="B156" s="57" t="s">
        <v>20</v>
      </c>
      <c r="C156" s="57">
        <v>3</v>
      </c>
      <c r="D156" s="42" t="str" cm="1">
        <f t="array" ref="D156">_xlfn.IFNA(INDEX('DMT-W'!C$3:C$69,MATCH(1,(C156='DMT-W'!A$3:A$69)*(B156='DMT-W'!G$3:G$69),0)),"")</f>
        <v/>
      </c>
    </row>
    <row r="157" spans="1:4" hidden="1" x14ac:dyDescent="0.2">
      <c r="A157" s="57" t="str">
        <f t="shared" si="5"/>
        <v/>
      </c>
      <c r="B157" s="57" t="s">
        <v>20</v>
      </c>
      <c r="C157" s="57">
        <v>4</v>
      </c>
      <c r="D157" s="42" t="str" cm="1">
        <f t="array" ref="D157">_xlfn.IFNA(INDEX('DMT-W'!C$3:C$69,MATCH(1,(C157='DMT-W'!A$3:A$69)*(B157='DMT-W'!G$3:G$69),0)),"")</f>
        <v/>
      </c>
    </row>
    <row r="158" spans="1:4" hidden="1" x14ac:dyDescent="0.2">
      <c r="A158" s="57" t="str">
        <f t="shared" si="5"/>
        <v/>
      </c>
      <c r="B158" s="57" t="s">
        <v>20</v>
      </c>
      <c r="C158" s="57">
        <v>5</v>
      </c>
      <c r="D158" s="42" t="str" cm="1">
        <f t="array" ref="D158">_xlfn.IFNA(INDEX('DMT-W'!C$3:C$69,MATCH(1,(C158='DMT-W'!A$3:A$69)*(B158='DMT-W'!G$3:G$69),0)),"")</f>
        <v/>
      </c>
    </row>
    <row r="159" spans="1:4" hidden="1" x14ac:dyDescent="0.2">
      <c r="A159" s="57" t="str">
        <f t="shared" si="5"/>
        <v/>
      </c>
      <c r="B159" s="57" t="s">
        <v>20</v>
      </c>
      <c r="C159" s="57">
        <v>6</v>
      </c>
      <c r="D159" s="42" t="str" cm="1">
        <f t="array" ref="D159">_xlfn.IFNA(INDEX('DMT-W'!C$3:C$69,MATCH(1,(C159='DMT-W'!A$3:A$69)*(B159='DMT-W'!G$3:G$69),0)),"")</f>
        <v/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_xlfn.IFNA(INDEX('DMT-W'!C$3:C$69,MATCH(1,(C160='DMT-W'!A$3:A$69)*(B160='DMT-W'!G$3:G$69),0)),"")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_xlfn.IFNA(INDEX('DMT-W'!C$3:C$69,MATCH(1,(C161='DMT-W'!A$3:A$69)*(B161='DMT-W'!G$3:G$69),0)),"")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hidden="1" x14ac:dyDescent="0.2">
      <c r="A186" s="56" t="str">
        <f t="shared" si="6"/>
        <v/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/>
      </c>
    </row>
    <row r="187" spans="1:4" hidden="1" x14ac:dyDescent="0.2">
      <c r="A187" s="56" t="str">
        <f t="shared" si="6"/>
        <v/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/>
      </c>
    </row>
    <row r="188" spans="1:4" hidden="1" x14ac:dyDescent="0.2">
      <c r="A188" s="56" t="str">
        <f t="shared" si="6"/>
        <v/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/>
      </c>
    </row>
    <row r="189" spans="1:4" hidden="1" x14ac:dyDescent="0.2">
      <c r="A189" s="56" t="str">
        <f t="shared" si="6"/>
        <v/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/>
      </c>
    </row>
    <row r="190" spans="1:4" hidden="1" x14ac:dyDescent="0.2">
      <c r="A190" s="56" t="str">
        <f t="shared" si="6"/>
        <v/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/>
      </c>
    </row>
    <row r="191" spans="1:4" hidden="1" x14ac:dyDescent="0.2">
      <c r="A191" s="56" t="str">
        <f t="shared" si="6"/>
        <v/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/>
      </c>
    </row>
    <row r="192" spans="1:4" hidden="1" x14ac:dyDescent="0.2">
      <c r="A192" s="56" t="str">
        <f t="shared" si="6"/>
        <v/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/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hidden="1" x14ac:dyDescent="0.2">
      <c r="A218" s="57" t="str">
        <f t="shared" si="7"/>
        <v/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/>
      </c>
    </row>
    <row r="219" spans="1:4" hidden="1" x14ac:dyDescent="0.2">
      <c r="A219" s="57" t="str">
        <f t="shared" si="7"/>
        <v/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/>
      </c>
    </row>
    <row r="220" spans="1:4" hidden="1" x14ac:dyDescent="0.2">
      <c r="A220" s="57" t="str">
        <f t="shared" si="7"/>
        <v/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/>
      </c>
    </row>
    <row r="221" spans="1:4" hidden="1" x14ac:dyDescent="0.2">
      <c r="A221" s="57" t="str">
        <f t="shared" si="7"/>
        <v/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/>
      </c>
    </row>
    <row r="222" spans="1:4" hidden="1" x14ac:dyDescent="0.2">
      <c r="A222" s="57" t="str">
        <f t="shared" si="7"/>
        <v/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/>
      </c>
    </row>
    <row r="223" spans="1:4" hidden="1" x14ac:dyDescent="0.2">
      <c r="A223" s="57" t="str">
        <f t="shared" si="7"/>
        <v/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/>
      </c>
    </row>
    <row r="224" spans="1:4" hidden="1" x14ac:dyDescent="0.2">
      <c r="A224" s="57" t="str">
        <f t="shared" si="7"/>
        <v/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/>
      </c>
    </row>
    <row r="225" spans="1:6" hidden="1" x14ac:dyDescent="0.2">
      <c r="A225" s="57" t="str">
        <f t="shared" si="7"/>
        <v/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/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213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45133</v>
      </c>
      <c r="C231" s="63"/>
      <c r="D231" s="63"/>
    </row>
    <row r="232" spans="1:6" x14ac:dyDescent="0.2">
      <c r="A232" s="58"/>
      <c r="B232" s="65" t="s">
        <v>444</v>
      </c>
      <c r="C232" s="65"/>
      <c r="D232" s="65"/>
    </row>
    <row r="233" spans="1:6" x14ac:dyDescent="0.2">
      <c r="B233" s="55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73" priority="5">
      <formula>IF($B2="17-21",1,0)</formula>
    </cfRule>
    <cfRule type="expression" dxfId="72" priority="6">
      <formula>IF($B2="15-16",1,0)</formula>
    </cfRule>
    <cfRule type="expression" dxfId="71" priority="7">
      <formula>IF($B2="13-14",1,0)</formula>
    </cfRule>
    <cfRule type="expression" dxfId="70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204</v>
      </c>
      <c r="D1" s="45" t="s">
        <v>210</v>
      </c>
      <c r="E1" s="54" t="s">
        <v>205</v>
      </c>
      <c r="F1" s="45" t="s">
        <v>211</v>
      </c>
      <c r="G1" s="54" t="s">
        <v>206</v>
      </c>
      <c r="H1" s="45" t="s">
        <v>212</v>
      </c>
    </row>
    <row r="2" spans="1:8" ht="17" thickTop="1" x14ac:dyDescent="0.2">
      <c r="A2" s="61" t="s">
        <v>573</v>
      </c>
      <c r="B2" s="47" t="s">
        <v>195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44" si="0">IF(C2&gt;0,RANK(C2,C$2:C$66),"")</f>
        <v/>
      </c>
      <c r="E2" s="46">
        <f>SUMIF('DMT-M'!E:E,A2,'DMT-M'!Q:Q)+SUMIF('DMT-W'!E:E,A2,'DMT-W'!Q:Q)</f>
        <v>0</v>
      </c>
      <c r="F2" s="48" t="str">
        <f t="shared" ref="F2:F44" si="1">IF(E2&gt;0,RANK(E2,E$2:E$66),"")</f>
        <v/>
      </c>
      <c r="G2" s="46">
        <f>SUMIF('TUM-M'!E:E,A2,'TUM-M'!Q:Q)+SUMIF('TUM-W'!E:E,A2,'TUM-W'!Q:Q)</f>
        <v>0</v>
      </c>
      <c r="H2" s="48" t="str">
        <f t="shared" ref="H2:H44" si="2">IF(G2&gt;0,RANK(G2,G$2:G$66),"")</f>
        <v/>
      </c>
    </row>
    <row r="3" spans="1:8" x14ac:dyDescent="0.2">
      <c r="A3" s="62" t="s">
        <v>312</v>
      </c>
      <c r="B3" s="1" t="s">
        <v>196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422</v>
      </c>
      <c r="B4" s="1" t="s">
        <v>194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ref="D4:D5" si="3">IF(C4&gt;0,RANK(C4,C$2:C$66),"")</f>
        <v/>
      </c>
      <c r="E4" s="49">
        <f>SUMIF('DMT-M'!E:E,A4,'DMT-M'!Q:Q)+SUMIF('DMT-W'!E:E,A4,'DMT-W'!Q:Q)</f>
        <v>0</v>
      </c>
      <c r="F4" s="50" t="str">
        <f t="shared" ref="F4:F5" si="4">IF(E4&gt;0,RANK(E4,E$2:E$66),"")</f>
        <v/>
      </c>
      <c r="G4" s="49">
        <f>SUMIF('TUM-M'!E:E,A4,'TUM-M'!Q:Q)+SUMIF('TUM-W'!E:E,A4,'TUM-W'!Q:Q)</f>
        <v>0</v>
      </c>
      <c r="H4" s="50" t="str">
        <f t="shared" ref="H4:H5" si="5">IF(G4&gt;0,RANK(G4,G$2:G$66),"")</f>
        <v/>
      </c>
    </row>
    <row r="5" spans="1:8" x14ac:dyDescent="0.2">
      <c r="A5" s="62" t="s">
        <v>423</v>
      </c>
      <c r="B5" s="1" t="s">
        <v>196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3"/>
        <v/>
      </c>
      <c r="E5" s="49">
        <f>SUMIF('DMT-M'!E:E,A5,'DMT-M'!Q:Q)+SUMIF('DMT-W'!E:E,A5,'DMT-W'!Q:Q)</f>
        <v>0</v>
      </c>
      <c r="F5" s="50" t="str">
        <f t="shared" si="4"/>
        <v/>
      </c>
      <c r="G5" s="49">
        <f>SUMIF('TUM-M'!E:E,A5,'TUM-M'!Q:Q)+SUMIF('TUM-W'!E:E,A5,'TUM-W'!Q:Q)</f>
        <v>0</v>
      </c>
      <c r="H5" s="50" t="str">
        <f t="shared" si="5"/>
        <v/>
      </c>
    </row>
    <row r="6" spans="1:8" x14ac:dyDescent="0.2">
      <c r="A6" s="62" t="s">
        <v>63</v>
      </c>
      <c r="B6" s="1" t="s">
        <v>196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0</v>
      </c>
      <c r="F6" s="50" t="str">
        <f t="shared" si="1"/>
        <v/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194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508</v>
      </c>
      <c r="B8" s="1" t="s">
        <v>199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ref="D8" si="6">IF(C8&gt;0,RANK(C8,C$2:C$66),"")</f>
        <v/>
      </c>
      <c r="E8" s="49">
        <f>SUMIF('DMT-M'!E:E,A8,'DMT-M'!Q:Q)+SUMIF('DMT-W'!E:E,A8,'DMT-W'!Q:Q)</f>
        <v>0</v>
      </c>
      <c r="F8" s="50" t="str">
        <f t="shared" ref="F8" si="7">IF(E8&gt;0,RANK(E8,E$2:E$66),"")</f>
        <v/>
      </c>
      <c r="G8" s="49">
        <f>SUMIF('TUM-M'!E:E,A8,'TUM-M'!Q:Q)+SUMIF('TUM-W'!E:E,A8,'TUM-W'!Q:Q)</f>
        <v>0</v>
      </c>
      <c r="H8" s="50" t="str">
        <f t="shared" ref="H8" si="8">IF(G8&gt;0,RANK(G8,G$2:G$66),"")</f>
        <v/>
      </c>
    </row>
    <row r="9" spans="1:8" x14ac:dyDescent="0.2">
      <c r="A9" s="62" t="s">
        <v>47</v>
      </c>
      <c r="B9" s="1" t="s">
        <v>194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0</v>
      </c>
      <c r="H9" s="50" t="str">
        <f t="shared" si="2"/>
        <v/>
      </c>
    </row>
    <row r="10" spans="1:8" x14ac:dyDescent="0.2">
      <c r="A10" s="62" t="s">
        <v>29</v>
      </c>
      <c r="B10" s="1" t="s">
        <v>196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0</v>
      </c>
      <c r="F10" s="50" t="str">
        <f t="shared" si="1"/>
        <v/>
      </c>
      <c r="G10" s="49">
        <f>SUMIF('TUM-M'!E:E,A10,'TUM-M'!Q:Q)+SUMIF('TUM-W'!E:E,A10,'TUM-W'!Q:Q)</f>
        <v>0</v>
      </c>
      <c r="H10" s="50" t="str">
        <f t="shared" si="2"/>
        <v/>
      </c>
    </row>
    <row r="11" spans="1:8" x14ac:dyDescent="0.2">
      <c r="A11" s="62" t="s">
        <v>104</v>
      </c>
      <c r="B11" s="1" t="s">
        <v>202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50" t="str">
        <f t="shared" si="0"/>
        <v/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195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0" t="str">
        <f t="shared" si="0"/>
        <v/>
      </c>
      <c r="E12" s="49">
        <f>SUMIF('DMT-M'!E:E,A12,'DMT-M'!Q:Q)+SUMIF('DMT-W'!E:E,A12,'DMT-W'!Q:Q)</f>
        <v>0</v>
      </c>
      <c r="F12" s="50" t="str">
        <f t="shared" si="1"/>
        <v/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421</v>
      </c>
      <c r="B13" s="1" t="s">
        <v>202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ref="D13" si="9">IF(C13&gt;0,RANK(C13,C$2:C$66),"")</f>
        <v/>
      </c>
      <c r="E13" s="49">
        <f>SUMIF('DMT-M'!E:E,A13,'DMT-M'!Q:Q)+SUMIF('DMT-W'!E:E,A13,'DMT-W'!Q:Q)</f>
        <v>0</v>
      </c>
      <c r="F13" s="50" t="str">
        <f t="shared" ref="F13" si="10">IF(E13&gt;0,RANK(E13,E$2:E$66),"")</f>
        <v/>
      </c>
      <c r="G13" s="49">
        <f>SUMIF('TUM-M'!E:E,A13,'TUM-M'!Q:Q)+SUMIF('TUM-W'!E:E,A13,'TUM-W'!Q:Q)</f>
        <v>0</v>
      </c>
      <c r="H13" s="50" t="str">
        <f t="shared" ref="H13" si="11">IF(G13&gt;0,RANK(G13,G$2:G$66),"")</f>
        <v/>
      </c>
    </row>
    <row r="14" spans="1:8" x14ac:dyDescent="0.2">
      <c r="A14" s="62" t="s">
        <v>41</v>
      </c>
      <c r="B14" s="1" t="s">
        <v>198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50" t="str">
        <f t="shared" si="0"/>
        <v/>
      </c>
      <c r="E14" s="49">
        <f>SUMIF('DMT-M'!E:E,A14,'DMT-M'!Q:Q)+SUMIF('DMT-W'!E:E,A14,'DMT-W'!Q:Q)</f>
        <v>0</v>
      </c>
      <c r="F14" s="50" t="str">
        <f t="shared" si="1"/>
        <v/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197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0" t="str">
        <f t="shared" si="0"/>
        <v/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0</v>
      </c>
      <c r="H15" s="50" t="str">
        <f t="shared" si="2"/>
        <v/>
      </c>
    </row>
    <row r="16" spans="1:8" x14ac:dyDescent="0.2">
      <c r="A16" s="62" t="s">
        <v>292</v>
      </c>
      <c r="B16" s="1" t="s">
        <v>194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313</v>
      </c>
      <c r="B17" s="1" t="s">
        <v>197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196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198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0" t="str">
        <f t="shared" si="0"/>
        <v/>
      </c>
      <c r="E19" s="49">
        <f>SUMIF('DMT-M'!E:E,A19,'DMT-M'!Q:Q)+SUMIF('DMT-W'!E:E,A19,'DMT-W'!Q:Q)</f>
        <v>0</v>
      </c>
      <c r="F19" s="50" t="str">
        <f t="shared" si="1"/>
        <v/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568</v>
      </c>
      <c r="B20" s="1" t="s">
        <v>201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ref="D20" si="12">IF(C20&gt;0,RANK(C20,C$2:C$66),"")</f>
        <v/>
      </c>
      <c r="E20" s="49">
        <f>SUMIF('DMT-M'!E:E,A20,'DMT-M'!Q:Q)+SUMIF('DMT-W'!E:E,A20,'DMT-W'!Q:Q)</f>
        <v>0</v>
      </c>
      <c r="F20" s="50" t="str">
        <f t="shared" ref="F20" si="13">IF(E20&gt;0,RANK(E20,E$2:E$66),"")</f>
        <v/>
      </c>
      <c r="G20" s="49">
        <f>SUMIF('TUM-M'!E:E,A20,'TUM-M'!Q:Q)+SUMIF('TUM-W'!E:E,A20,'TUM-W'!Q:Q)</f>
        <v>0</v>
      </c>
      <c r="H20" s="50" t="str">
        <f t="shared" ref="H20" si="14">IF(G20&gt;0,RANK(G20,G$2:G$66),"")</f>
        <v/>
      </c>
    </row>
    <row r="21" spans="1:19" x14ac:dyDescent="0.2">
      <c r="A21" s="62" t="s">
        <v>487</v>
      </c>
      <c r="B21" s="1" t="s">
        <v>194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ref="D21" si="15">IF(C21&gt;0,RANK(C21,C$2:C$66),"")</f>
        <v/>
      </c>
      <c r="E21" s="49">
        <f>SUMIF('DMT-M'!E:E,A21,'DMT-M'!Q:Q)+SUMIF('DMT-W'!E:E,A21,'DMT-W'!Q:Q)</f>
        <v>0</v>
      </c>
      <c r="F21" s="50" t="str">
        <f t="shared" ref="F21" si="16">IF(E21&gt;0,RANK(E21,E$2:E$66),"")</f>
        <v/>
      </c>
      <c r="G21" s="49">
        <f>SUMIF('TUM-M'!E:E,A21,'TUM-M'!Q:Q)+SUMIF('TUM-W'!E:E,A21,'TUM-W'!Q:Q)</f>
        <v>0</v>
      </c>
      <c r="H21" s="50" t="str">
        <f t="shared" ref="H21" si="17">IF(G21&gt;0,RANK(G21,G$2:G$66),"")</f>
        <v/>
      </c>
    </row>
    <row r="22" spans="1:19" x14ac:dyDescent="0.2">
      <c r="A22" s="62" t="s">
        <v>314</v>
      </c>
      <c r="B22" s="1" t="s">
        <v>194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203</v>
      </c>
      <c r="B23" s="1" t="s">
        <v>197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197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194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50" t="str">
        <f t="shared" si="0"/>
        <v/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443</v>
      </c>
      <c r="B26" s="1" t="s">
        <v>198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198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194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0</v>
      </c>
      <c r="F28" s="50" t="str">
        <f t="shared" si="1"/>
        <v/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200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315</v>
      </c>
      <c r="B30" s="1" t="s">
        <v>197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507</v>
      </c>
      <c r="B31" s="1" t="s">
        <v>194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ref="D31" si="18">IF(C31&gt;0,RANK(C31,C$2:C$66),"")</f>
        <v/>
      </c>
      <c r="E31" s="49">
        <f>SUMIF('DMT-M'!E:E,A31,'DMT-M'!Q:Q)+SUMIF('DMT-W'!E:E,A31,'DMT-W'!Q:Q)</f>
        <v>0</v>
      </c>
      <c r="F31" s="50" t="str">
        <f t="shared" ref="F31" si="19">IF(E31&gt;0,RANK(E31,E$2:E$66),"")</f>
        <v/>
      </c>
      <c r="G31" s="49">
        <f>SUMIF('TUM-M'!E:E,A31,'TUM-M'!Q:Q)+SUMIF('TUM-W'!E:E,A31,'TUM-W'!Q:Q)</f>
        <v>0</v>
      </c>
      <c r="H31" s="50" t="str">
        <f t="shared" ref="H31" si="20">IF(G31&gt;0,RANK(G31,G$2:G$66),"")</f>
        <v/>
      </c>
    </row>
    <row r="32" spans="1:19" x14ac:dyDescent="0.2">
      <c r="A32" s="62" t="s">
        <v>73</v>
      </c>
      <c r="B32" s="1" t="s">
        <v>194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175</v>
      </c>
      <c r="B33" s="1" t="s">
        <v>194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62</v>
      </c>
      <c r="B34" s="1" t="s">
        <v>198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si="0"/>
        <v/>
      </c>
      <c r="E34" s="49">
        <f>SUMIF('DMT-M'!E:E,A34,'DMT-M'!Q:Q)+SUMIF('DMT-W'!E:E,A34,'DMT-W'!Q:Q)</f>
        <v>0</v>
      </c>
      <c r="F34" s="50" t="str">
        <f t="shared" si="1"/>
        <v/>
      </c>
      <c r="G34" s="49">
        <f>SUMIF('TUM-M'!E:E,A34,'TUM-M'!Q:Q)+SUMIF('TUM-W'!E:E,A34,'TUM-W'!Q:Q)</f>
        <v>0</v>
      </c>
      <c r="H34" s="50" t="str">
        <f t="shared" si="2"/>
        <v/>
      </c>
    </row>
    <row r="35" spans="1:8" x14ac:dyDescent="0.2">
      <c r="A35" s="62" t="s">
        <v>489</v>
      </c>
      <c r="B35" s="1" t="s">
        <v>198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ref="D35" si="21">IF(C35&gt;0,RANK(C35,C$2:C$66),"")</f>
        <v/>
      </c>
      <c r="E35" s="49">
        <f>SUMIF('DMT-M'!E:E,A35,'DMT-M'!Q:Q)+SUMIF('DMT-W'!E:E,A35,'DMT-W'!Q:Q)</f>
        <v>0</v>
      </c>
      <c r="F35" s="50" t="str">
        <f t="shared" ref="F35" si="22">IF(E35&gt;0,RANK(E35,E$2:E$66),"")</f>
        <v/>
      </c>
      <c r="G35" s="49">
        <f>SUMIF('TUM-M'!E:E,A35,'TUM-M'!Q:Q)+SUMIF('TUM-W'!E:E,A35,'TUM-W'!Q:Q)</f>
        <v>0</v>
      </c>
      <c r="H35" s="50" t="str">
        <f t="shared" ref="H35" si="23">IF(G35&gt;0,RANK(G35,G$2:G$66),"")</f>
        <v/>
      </c>
    </row>
    <row r="36" spans="1:8" x14ac:dyDescent="0.2">
      <c r="A36" s="62" t="s">
        <v>58</v>
      </c>
      <c r="B36" s="1" t="s">
        <v>196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0"/>
        <v/>
      </c>
      <c r="E36" s="49">
        <f>SUMIF('DMT-M'!E:E,A36,'DMT-M'!Q:Q)+SUMIF('DMT-W'!E:E,A36,'DMT-W'!Q:Q)</f>
        <v>0</v>
      </c>
      <c r="F36" s="50" t="str">
        <f t="shared" si="1"/>
        <v/>
      </c>
      <c r="G36" s="49">
        <f>SUMIF('TUM-M'!E:E,A36,'TUM-M'!Q:Q)+SUMIF('TUM-W'!E:E,A36,'TUM-W'!Q:Q)</f>
        <v>0</v>
      </c>
      <c r="H36" s="50" t="str">
        <f t="shared" si="2"/>
        <v/>
      </c>
    </row>
    <row r="37" spans="1:8" x14ac:dyDescent="0.2">
      <c r="A37" s="62" t="s">
        <v>64</v>
      </c>
      <c r="B37" s="1" t="s">
        <v>196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0"/>
        <v/>
      </c>
      <c r="E37" s="49">
        <f>SUMIF('DMT-M'!E:E,A37,'DMT-M'!Q:Q)+SUMIF('DMT-W'!E:E,A37,'DMT-W'!Q:Q)</f>
        <v>0</v>
      </c>
      <c r="F37" s="50" t="str">
        <f t="shared" si="1"/>
        <v/>
      </c>
      <c r="G37" s="49">
        <f>SUMIF('TUM-M'!E:E,A37,'TUM-M'!Q:Q)+SUMIF('TUM-W'!E:E,A37,'TUM-W'!Q:Q)</f>
        <v>0</v>
      </c>
      <c r="H37" s="50" t="str">
        <f t="shared" si="2"/>
        <v/>
      </c>
    </row>
    <row r="38" spans="1:8" x14ac:dyDescent="0.2">
      <c r="A38" s="62" t="s">
        <v>437</v>
      </c>
      <c r="B38" s="1" t="s">
        <v>198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ref="D38" si="24">IF(C38&gt;0,RANK(C38,C$2:C$66),"")</f>
        <v/>
      </c>
      <c r="E38" s="49">
        <f>SUMIF('DMT-M'!E:E,A38,'DMT-M'!Q:Q)+SUMIF('DMT-W'!E:E,A38,'DMT-W'!Q:Q)</f>
        <v>0</v>
      </c>
      <c r="F38" s="50" t="str">
        <f t="shared" ref="F38" si="25">IF(E38&gt;0,RANK(E38,E$2:E$66),"")</f>
        <v/>
      </c>
      <c r="G38" s="49">
        <f>SUMIF('TUM-M'!E:E,A38,'TUM-M'!Q:Q)+SUMIF('TUM-W'!E:E,A38,'TUM-W'!Q:Q)</f>
        <v>0</v>
      </c>
      <c r="H38" s="50" t="str">
        <f t="shared" ref="H38" si="26">IF(G38&gt;0,RANK(G38,G$2:G$66),"")</f>
        <v/>
      </c>
    </row>
    <row r="39" spans="1:8" x14ac:dyDescent="0.2">
      <c r="A39" s="62" t="s">
        <v>565</v>
      </c>
      <c r="B39" s="1" t="s">
        <v>194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0" t="str">
        <f t="shared" ref="D39" si="27">IF(C39&gt;0,RANK(C39,C$2:C$66),"")</f>
        <v/>
      </c>
      <c r="E39" s="49">
        <f>SUMIF('DMT-M'!E:E,A39,'DMT-M'!Q:Q)+SUMIF('DMT-W'!E:E,A39,'DMT-W'!Q:Q)</f>
        <v>0</v>
      </c>
      <c r="F39" s="50" t="str">
        <f t="shared" ref="F39" si="28">IF(E39&gt;0,RANK(E39,E$2:E$66),"")</f>
        <v/>
      </c>
      <c r="G39" s="49">
        <f>SUMIF('TUM-M'!E:E,A39,'TUM-M'!Q:Q)+SUMIF('TUM-W'!E:E,A39,'TUM-W'!Q:Q)</f>
        <v>0</v>
      </c>
      <c r="H39" s="50" t="str">
        <f t="shared" ref="H39" si="29">IF(G39&gt;0,RANK(G39,G$2:G$66),"")</f>
        <v/>
      </c>
    </row>
    <row r="40" spans="1:8" x14ac:dyDescent="0.2">
      <c r="A40" s="62" t="s">
        <v>287</v>
      </c>
      <c r="B40" s="1" t="s">
        <v>197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0"/>
        <v/>
      </c>
      <c r="E40" s="49">
        <f>SUMIF('DMT-M'!E:E,A40,'DMT-M'!Q:Q)+SUMIF('DMT-W'!E:E,A40,'DMT-W'!Q:Q)</f>
        <v>0</v>
      </c>
      <c r="F40" s="50" t="str">
        <f t="shared" si="1"/>
        <v/>
      </c>
      <c r="G40" s="49">
        <f>SUMIF('TUM-M'!E:E,A40,'TUM-M'!Q:Q)+SUMIF('TUM-W'!E:E,A40,'TUM-W'!Q:Q)</f>
        <v>0</v>
      </c>
      <c r="H40" s="50" t="str">
        <f t="shared" si="2"/>
        <v/>
      </c>
    </row>
    <row r="41" spans="1:8" x14ac:dyDescent="0.2">
      <c r="A41" s="62" t="s">
        <v>162</v>
      </c>
      <c r="B41" s="1" t="s">
        <v>194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0"/>
        <v/>
      </c>
      <c r="E41" s="49">
        <f>SUMIF('DMT-M'!E:E,A41,'DMT-M'!Q:Q)+SUMIF('DMT-W'!E:E,A41,'DMT-W'!Q:Q)</f>
        <v>0</v>
      </c>
      <c r="F41" s="50" t="str">
        <f t="shared" si="1"/>
        <v/>
      </c>
      <c r="G41" s="49">
        <f>SUMIF('TUM-M'!E:E,A41,'TUM-M'!Q:Q)+SUMIF('TUM-W'!E:E,A41,'TUM-W'!Q:Q)</f>
        <v>0</v>
      </c>
      <c r="H41" s="50" t="str">
        <f t="shared" si="2"/>
        <v/>
      </c>
    </row>
    <row r="42" spans="1:8" x14ac:dyDescent="0.2">
      <c r="A42" s="62" t="s">
        <v>284</v>
      </c>
      <c r="B42" s="1" t="s">
        <v>198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0"/>
        <v/>
      </c>
      <c r="E42" s="49">
        <f>SUMIF('DMT-M'!E:E,A42,'DMT-M'!Q:Q)+SUMIF('DMT-W'!E:E,A42,'DMT-W'!Q:Q)</f>
        <v>0</v>
      </c>
      <c r="F42" s="50" t="str">
        <f t="shared" si="1"/>
        <v/>
      </c>
      <c r="G42" s="49">
        <f>SUMIF('TUM-M'!E:E,A42,'TUM-M'!Q:Q)+SUMIF('TUM-W'!E:E,A42,'TUM-W'!Q:Q)</f>
        <v>0</v>
      </c>
      <c r="H42" s="50" t="str">
        <f t="shared" si="2"/>
        <v/>
      </c>
    </row>
    <row r="43" spans="1:8" x14ac:dyDescent="0.2">
      <c r="A43" s="62" t="s">
        <v>167</v>
      </c>
      <c r="B43" s="1" t="s">
        <v>194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0"/>
        <v/>
      </c>
      <c r="E43" s="49">
        <f>SUMIF('DMT-M'!E:E,A43,'DMT-M'!Q:Q)+SUMIF('DMT-W'!E:E,A43,'DMT-W'!Q:Q)</f>
        <v>0</v>
      </c>
      <c r="F43" s="50" t="str">
        <f t="shared" si="1"/>
        <v/>
      </c>
      <c r="G43" s="49">
        <f>SUMIF('TUM-M'!E:E,A43,'TUM-M'!Q:Q)+SUMIF('TUM-W'!E:E,A43,'TUM-W'!Q:Q)</f>
        <v>0</v>
      </c>
      <c r="H43" s="50" t="str">
        <f t="shared" si="2"/>
        <v/>
      </c>
    </row>
    <row r="44" spans="1:8" x14ac:dyDescent="0.2">
      <c r="A44" s="62" t="s">
        <v>289</v>
      </c>
      <c r="B44" s="1" t="s">
        <v>199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0"/>
        <v/>
      </c>
      <c r="E44" s="49">
        <f>SUMIF('DMT-M'!E:E,A44,'DMT-M'!Q:Q)+SUMIF('DMT-W'!E:E,A44,'DMT-W'!Q:Q)</f>
        <v>0</v>
      </c>
      <c r="F44" s="50" t="str">
        <f t="shared" si="1"/>
        <v/>
      </c>
      <c r="G44" s="49">
        <f>SUMIF('TUM-M'!E:E,A44,'TUM-M'!Q:Q)+SUMIF('TUM-W'!E:E,A44,'TUM-W'!Q:Q)</f>
        <v>0</v>
      </c>
      <c r="H44" s="50" t="str">
        <f t="shared" si="2"/>
        <v/>
      </c>
    </row>
    <row r="45" spans="1:8" x14ac:dyDescent="0.2">
      <c r="A45" s="62" t="s">
        <v>429</v>
      </c>
      <c r="B45" s="1" t="s">
        <v>194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ref="D45" si="30">IF(C45&gt;0,RANK(C45,C$2:C$66),"")</f>
        <v/>
      </c>
      <c r="E45" s="49">
        <f>SUMIF('DMT-M'!E:E,A45,'DMT-M'!Q:Q)+SUMIF('DMT-W'!E:E,A45,'DMT-W'!Q:Q)</f>
        <v>0</v>
      </c>
      <c r="F45" s="50" t="str">
        <f t="shared" ref="F45" si="31">IF(E45&gt;0,RANK(E45,E$2:E$66),"")</f>
        <v/>
      </c>
      <c r="G45" s="49">
        <f>SUMIF('TUM-M'!E:E,A45,'TUM-M'!Q:Q)+SUMIF('TUM-W'!E:E,A45,'TUM-W'!Q:Q)</f>
        <v>0</v>
      </c>
      <c r="H45" s="50" t="str">
        <f t="shared" ref="H45" si="32">IF(G45&gt;0,RANK(G45,G$2:G$66),"")</f>
        <v/>
      </c>
    </row>
    <row r="46" spans="1:8" x14ac:dyDescent="0.2">
      <c r="A46" s="62" t="s">
        <v>37</v>
      </c>
      <c r="B46" s="1" t="s">
        <v>198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50" t="str">
        <f t="shared" ref="D46:D66" si="33">IF(C46&gt;0,RANK(C46,C$2:C$66),"")</f>
        <v/>
      </c>
      <c r="E46" s="49">
        <f>SUMIF('DMT-M'!E:E,A46,'DMT-M'!Q:Q)+SUMIF('DMT-W'!E:E,A46,'DMT-W'!Q:Q)</f>
        <v>0</v>
      </c>
      <c r="F46" s="50" t="str">
        <f t="shared" ref="F46:F66" si="34">IF(E46&gt;0,RANK(E46,E$2:E$66),"")</f>
        <v/>
      </c>
      <c r="G46" s="49">
        <f>SUMIF('TUM-M'!E:E,A46,'TUM-M'!Q:Q)+SUMIF('TUM-W'!E:E,A46,'TUM-W'!Q:Q)</f>
        <v>0</v>
      </c>
      <c r="H46" s="50" t="str">
        <f t="shared" ref="H46:H66" si="35">IF(G46&gt;0,RANK(G46,G$2:G$66),"")</f>
        <v/>
      </c>
    </row>
    <row r="47" spans="1:8" x14ac:dyDescent="0.2">
      <c r="A47" s="62" t="s">
        <v>38</v>
      </c>
      <c r="B47" s="1" t="s">
        <v>194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3"/>
        <v/>
      </c>
      <c r="E47" s="49">
        <f>SUMIF('DMT-M'!E:E,A47,'DMT-M'!Q:Q)+SUMIF('DMT-W'!E:E,A47,'DMT-W'!Q:Q)</f>
        <v>0</v>
      </c>
      <c r="F47" s="50" t="str">
        <f t="shared" si="34"/>
        <v/>
      </c>
      <c r="G47" s="49">
        <f>SUMIF('TUM-M'!E:E,A47,'TUM-M'!Q:Q)+SUMIF('TUM-W'!E:E,A47,'TUM-W'!Q:Q)</f>
        <v>0</v>
      </c>
      <c r="H47" s="50" t="str">
        <f t="shared" si="35"/>
        <v/>
      </c>
    </row>
    <row r="48" spans="1:8" x14ac:dyDescent="0.2">
      <c r="A48" s="62" t="s">
        <v>285</v>
      </c>
      <c r="B48" s="1" t="s">
        <v>194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3"/>
        <v/>
      </c>
      <c r="E48" s="49">
        <f>SUMIF('DMT-M'!E:E,A48,'DMT-M'!Q:Q)+SUMIF('DMT-W'!E:E,A48,'DMT-W'!Q:Q)</f>
        <v>0</v>
      </c>
      <c r="F48" s="50" t="str">
        <f t="shared" si="34"/>
        <v/>
      </c>
      <c r="G48" s="49">
        <f>SUMIF('TUM-M'!E:E,A48,'TUM-M'!Q:Q)+SUMIF('TUM-W'!E:E,A48,'TUM-W'!Q:Q)</f>
        <v>0</v>
      </c>
      <c r="H48" s="50" t="str">
        <f t="shared" si="35"/>
        <v/>
      </c>
    </row>
    <row r="49" spans="1:8" x14ac:dyDescent="0.2">
      <c r="A49" s="62" t="s">
        <v>293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3"/>
        <v/>
      </c>
      <c r="E49" s="49">
        <f>SUMIF('DMT-M'!E:E,A49,'DMT-M'!Q:Q)+SUMIF('DMT-W'!E:E,A49,'DMT-W'!Q:Q)</f>
        <v>0</v>
      </c>
      <c r="F49" s="50" t="str">
        <f t="shared" si="34"/>
        <v/>
      </c>
      <c r="G49" s="49">
        <f>SUMIF('TUM-M'!E:E,A49,'TUM-M'!Q:Q)+SUMIF('TUM-W'!E:E,A49,'TUM-W'!Q:Q)</f>
        <v>0</v>
      </c>
      <c r="H49" s="50" t="str">
        <f t="shared" si="35"/>
        <v/>
      </c>
    </row>
    <row r="50" spans="1:8" x14ac:dyDescent="0.2">
      <c r="A50" s="62" t="s">
        <v>45</v>
      </c>
      <c r="B50" s="1" t="s">
        <v>195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3"/>
        <v/>
      </c>
      <c r="E50" s="49">
        <f>SUMIF('DMT-M'!E:E,A50,'DMT-M'!Q:Q)+SUMIF('DMT-W'!E:E,A50,'DMT-W'!Q:Q)</f>
        <v>0</v>
      </c>
      <c r="F50" s="50" t="str">
        <f t="shared" si="34"/>
        <v/>
      </c>
      <c r="G50" s="49">
        <f>SUMIF('TUM-M'!E:E,A50,'TUM-M'!Q:Q)+SUMIF('TUM-W'!E:E,A50,'TUM-W'!Q:Q)</f>
        <v>0</v>
      </c>
      <c r="H50" s="50" t="str">
        <f t="shared" si="35"/>
        <v/>
      </c>
    </row>
    <row r="51" spans="1:8" x14ac:dyDescent="0.2">
      <c r="A51" s="62" t="s">
        <v>57</v>
      </c>
      <c r="B51" s="1" t="s">
        <v>198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3"/>
        <v/>
      </c>
      <c r="E51" s="49">
        <f>SUMIF('DMT-M'!E:E,A51,'DMT-M'!Q:Q)+SUMIF('DMT-W'!E:E,A51,'DMT-W'!Q:Q)</f>
        <v>0</v>
      </c>
      <c r="F51" s="50" t="str">
        <f t="shared" si="34"/>
        <v/>
      </c>
      <c r="G51" s="49">
        <f>SUMIF('TUM-M'!E:E,A51,'TUM-M'!Q:Q)+SUMIF('TUM-W'!E:E,A51,'TUM-W'!Q:Q)</f>
        <v>0</v>
      </c>
      <c r="H51" s="50" t="str">
        <f t="shared" si="35"/>
        <v/>
      </c>
    </row>
    <row r="52" spans="1:8" x14ac:dyDescent="0.2">
      <c r="A52" s="62" t="s">
        <v>69</v>
      </c>
      <c r="B52" s="1" t="s">
        <v>201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0" t="str">
        <f t="shared" si="33"/>
        <v/>
      </c>
      <c r="E52" s="49">
        <f>SUMIF('DMT-M'!E:E,A52,'DMT-M'!Q:Q)+SUMIF('DMT-W'!E:E,A52,'DMT-W'!Q:Q)</f>
        <v>0</v>
      </c>
      <c r="F52" s="50" t="str">
        <f t="shared" si="34"/>
        <v/>
      </c>
      <c r="G52" s="49">
        <f>SUMIF('TUM-M'!E:E,A52,'TUM-M'!Q:Q)+SUMIF('TUM-W'!E:E,A52,'TUM-W'!Q:Q)</f>
        <v>0</v>
      </c>
      <c r="H52" s="50" t="str">
        <f t="shared" si="35"/>
        <v/>
      </c>
    </row>
    <row r="53" spans="1:8" x14ac:dyDescent="0.2">
      <c r="A53" s="62" t="s">
        <v>40</v>
      </c>
      <c r="B53" s="1" t="s">
        <v>196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3"/>
        <v/>
      </c>
      <c r="E53" s="49">
        <f>SUMIF('DMT-M'!E:E,A53,'DMT-M'!Q:Q)+SUMIF('DMT-W'!E:E,A53,'DMT-W'!Q:Q)</f>
        <v>0</v>
      </c>
      <c r="F53" s="50" t="str">
        <f t="shared" si="34"/>
        <v/>
      </c>
      <c r="G53" s="49">
        <f>SUMIF('TUM-M'!E:E,A53,'TUM-M'!Q:Q)+SUMIF('TUM-W'!E:E,A53,'TUM-W'!Q:Q)</f>
        <v>0</v>
      </c>
      <c r="H53" s="50" t="str">
        <f t="shared" si="35"/>
        <v/>
      </c>
    </row>
    <row r="54" spans="1:8" x14ac:dyDescent="0.2">
      <c r="A54" s="62" t="s">
        <v>134</v>
      </c>
      <c r="B54" s="1" t="s">
        <v>199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3"/>
        <v/>
      </c>
      <c r="E54" s="49">
        <f>SUMIF('DMT-M'!E:E,A54,'DMT-M'!Q:Q)+SUMIF('DMT-W'!E:E,A54,'DMT-W'!Q:Q)</f>
        <v>0</v>
      </c>
      <c r="F54" s="50" t="str">
        <f t="shared" si="34"/>
        <v/>
      </c>
      <c r="G54" s="49">
        <f>SUMIF('TUM-M'!E:E,A54,'TUM-M'!Q:Q)+SUMIF('TUM-W'!E:E,A54,'TUM-W'!Q:Q)</f>
        <v>0</v>
      </c>
      <c r="H54" s="50" t="str">
        <f t="shared" si="35"/>
        <v/>
      </c>
    </row>
    <row r="55" spans="1:8" x14ac:dyDescent="0.2">
      <c r="A55" s="50" t="s">
        <v>183</v>
      </c>
      <c r="B55" s="1" t="s">
        <v>194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3"/>
        <v/>
      </c>
      <c r="E55" s="49">
        <f>SUMIF('DMT-M'!E:E,A55,'DMT-M'!Q:Q)+SUMIF('DMT-W'!E:E,A55,'DMT-W'!Q:Q)</f>
        <v>0</v>
      </c>
      <c r="F55" s="50" t="str">
        <f t="shared" si="34"/>
        <v/>
      </c>
      <c r="G55" s="49">
        <f>SUMIF('TUM-M'!E:E,A55,'TUM-M'!Q:Q)+SUMIF('TUM-W'!E:E,A55,'TUM-W'!Q:Q)</f>
        <v>0</v>
      </c>
      <c r="H55" s="50" t="str">
        <f t="shared" si="35"/>
        <v/>
      </c>
    </row>
    <row r="56" spans="1:8" x14ac:dyDescent="0.2">
      <c r="A56" s="50" t="s">
        <v>59</v>
      </c>
      <c r="B56" s="1" t="s">
        <v>197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3"/>
        <v/>
      </c>
      <c r="E56" s="49">
        <f>SUMIF('DMT-M'!E:E,A56,'DMT-M'!Q:Q)+SUMIF('DMT-W'!E:E,A56,'DMT-W'!Q:Q)</f>
        <v>0</v>
      </c>
      <c r="F56" s="50" t="str">
        <f t="shared" si="34"/>
        <v/>
      </c>
      <c r="G56" s="49">
        <f>SUMIF('TUM-M'!E:E,A56,'TUM-M'!Q:Q)+SUMIF('TUM-W'!E:E,A56,'TUM-W'!Q:Q)</f>
        <v>0</v>
      </c>
      <c r="H56" s="50" t="str">
        <f t="shared" si="35"/>
        <v/>
      </c>
    </row>
    <row r="57" spans="1:8" x14ac:dyDescent="0.2">
      <c r="A57" s="50" t="s">
        <v>316</v>
      </c>
      <c r="B57" s="1" t="s">
        <v>194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3"/>
        <v/>
      </c>
      <c r="E57" s="49">
        <f>SUMIF('DMT-M'!E:E,A57,'DMT-M'!Q:Q)+SUMIF('DMT-W'!E:E,A57,'DMT-W'!Q:Q)</f>
        <v>0</v>
      </c>
      <c r="F57" s="50" t="str">
        <f t="shared" si="34"/>
        <v/>
      </c>
      <c r="G57" s="49">
        <f>SUMIF('TUM-M'!E:E,A57,'TUM-M'!Q:Q)+SUMIF('TUM-W'!E:E,A57,'TUM-W'!Q:Q)</f>
        <v>0</v>
      </c>
      <c r="H57" s="50" t="str">
        <f t="shared" si="35"/>
        <v/>
      </c>
    </row>
    <row r="58" spans="1:8" x14ac:dyDescent="0.2">
      <c r="A58" s="50" t="s">
        <v>488</v>
      </c>
      <c r="B58" s="1" t="s">
        <v>194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ref="D58" si="36">IF(C58&gt;0,RANK(C58,C$2:C$66),"")</f>
        <v/>
      </c>
      <c r="E58" s="49">
        <f>SUMIF('DMT-M'!E:E,A58,'DMT-M'!Q:Q)+SUMIF('DMT-W'!E:E,A58,'DMT-W'!Q:Q)</f>
        <v>0</v>
      </c>
      <c r="F58" s="50" t="str">
        <f t="shared" ref="F58" si="37">IF(E58&gt;0,RANK(E58,E$2:E$66),"")</f>
        <v/>
      </c>
      <c r="G58" s="49">
        <f>SUMIF('TUM-M'!E:E,A58,'TUM-M'!Q:Q)+SUMIF('TUM-W'!E:E,A58,'TUM-W'!Q:Q)</f>
        <v>0</v>
      </c>
      <c r="H58" s="50" t="str">
        <f t="shared" ref="H58" si="38">IF(G58&gt;0,RANK(G58,G$2:G$66),"")</f>
        <v/>
      </c>
    </row>
    <row r="59" spans="1:8" x14ac:dyDescent="0.2">
      <c r="A59" s="50" t="s">
        <v>286</v>
      </c>
      <c r="B59" s="1" t="s">
        <v>197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0" t="str">
        <f t="shared" si="33"/>
        <v/>
      </c>
      <c r="E59" s="49">
        <f>SUMIF('DMT-M'!E:E,A59,'DMT-M'!Q:Q)+SUMIF('DMT-W'!E:E,A59,'DMT-W'!Q:Q)</f>
        <v>0</v>
      </c>
      <c r="F59" s="50" t="str">
        <f t="shared" si="34"/>
        <v/>
      </c>
      <c r="G59" s="49">
        <f>SUMIF('TUM-M'!E:E,A59,'TUM-M'!Q:Q)+SUMIF('TUM-W'!E:E,A59,'TUM-W'!Q:Q)</f>
        <v>0</v>
      </c>
      <c r="H59" s="50" t="str">
        <f t="shared" si="35"/>
        <v/>
      </c>
    </row>
    <row r="60" spans="1:8" x14ac:dyDescent="0.2">
      <c r="A60" s="50" t="s">
        <v>288</v>
      </c>
      <c r="B60" s="1" t="s">
        <v>194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3"/>
        <v/>
      </c>
      <c r="E60" s="49">
        <f>SUMIF('DMT-M'!E:E,A60,'DMT-M'!Q:Q)+SUMIF('DMT-W'!E:E,A60,'DMT-W'!Q:Q)</f>
        <v>0</v>
      </c>
      <c r="F60" s="50" t="str">
        <f t="shared" si="34"/>
        <v/>
      </c>
      <c r="G60" s="49">
        <f>SUMIF('TUM-M'!E:E,A60,'TUM-M'!Q:Q)+SUMIF('TUM-W'!E:E,A60,'TUM-W'!Q:Q)</f>
        <v>0</v>
      </c>
      <c r="H60" s="50" t="str">
        <f t="shared" si="35"/>
        <v/>
      </c>
    </row>
    <row r="61" spans="1:8" x14ac:dyDescent="0.2">
      <c r="A61" s="50" t="s">
        <v>96</v>
      </c>
      <c r="B61" s="1" t="s">
        <v>197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50" t="str">
        <f t="shared" si="33"/>
        <v/>
      </c>
      <c r="E61" s="49">
        <f>SUMIF('DMT-M'!E:E,A61,'DMT-M'!Q:Q)+SUMIF('DMT-W'!E:E,A61,'DMT-W'!Q:Q)</f>
        <v>0</v>
      </c>
      <c r="F61" s="50" t="str">
        <f t="shared" si="34"/>
        <v/>
      </c>
      <c r="G61" s="49">
        <f>SUMIF('TUM-M'!E:E,A61,'TUM-M'!Q:Q)+SUMIF('TUM-W'!E:E,A61,'TUM-W'!Q:Q)</f>
        <v>0</v>
      </c>
      <c r="H61" s="50" t="str">
        <f t="shared" si="35"/>
        <v/>
      </c>
    </row>
    <row r="62" spans="1:8" x14ac:dyDescent="0.2">
      <c r="A62" s="50" t="s">
        <v>72</v>
      </c>
      <c r="B62" s="1" t="s">
        <v>198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3"/>
        <v/>
      </c>
      <c r="E62" s="49">
        <f>SUMIF('DMT-M'!E:E,A62,'DMT-M'!Q:Q)+SUMIF('DMT-W'!E:E,A62,'DMT-W'!Q:Q)</f>
        <v>0</v>
      </c>
      <c r="F62" s="50" t="str">
        <f t="shared" si="34"/>
        <v/>
      </c>
      <c r="G62" s="49">
        <f>SUMIF('TUM-M'!E:E,A62,'TUM-M'!Q:Q)+SUMIF('TUM-W'!E:E,A62,'TUM-W'!Q:Q)</f>
        <v>0</v>
      </c>
      <c r="H62" s="50" t="str">
        <f t="shared" si="35"/>
        <v/>
      </c>
    </row>
    <row r="63" spans="1:8" x14ac:dyDescent="0.2">
      <c r="A63" s="50" t="s">
        <v>84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3"/>
        <v/>
      </c>
      <c r="E63" s="49">
        <f>SUMIF('DMT-M'!E:E,A63,'DMT-M'!Q:Q)+SUMIF('DMT-W'!E:E,A63,'DMT-W'!Q:Q)</f>
        <v>0</v>
      </c>
      <c r="F63" s="50" t="str">
        <f t="shared" si="34"/>
        <v/>
      </c>
      <c r="G63" s="49">
        <f>SUMIF('TUM-M'!E:E,A63,'TUM-M'!Q:Q)+SUMIF('TUM-W'!E:E,A63,'TUM-W'!Q:Q)</f>
        <v>0</v>
      </c>
      <c r="H63" s="50" t="str">
        <f t="shared" si="35"/>
        <v/>
      </c>
    </row>
    <row r="64" spans="1:8" x14ac:dyDescent="0.2">
      <c r="A64" s="50" t="s">
        <v>424</v>
      </c>
      <c r="B64" s="1" t="s">
        <v>196</v>
      </c>
      <c r="C64" s="49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0" t="str">
        <f t="shared" ref="D64" si="39">IF(C64&gt;0,RANK(C64,C$2:C$66),"")</f>
        <v/>
      </c>
      <c r="E64" s="49">
        <f>SUMIF('DMT-M'!E:E,A64,'DMT-M'!Q:Q)+SUMIF('DMT-W'!E:E,A64,'DMT-W'!Q:Q)</f>
        <v>0</v>
      </c>
      <c r="F64" s="50" t="str">
        <f t="shared" ref="F64" si="40">IF(E64&gt;0,RANK(E64,E$2:E$66),"")</f>
        <v/>
      </c>
      <c r="G64" s="49">
        <f>SUMIF('TUM-M'!E:E,A64,'TUM-M'!Q:Q)+SUMIF('TUM-W'!E:E,A64,'TUM-W'!Q:Q)</f>
        <v>0</v>
      </c>
      <c r="H64" s="50" t="str">
        <f t="shared" ref="H64" si="41">IF(G64&gt;0,RANK(G64,G$2:G$66),"")</f>
        <v/>
      </c>
    </row>
    <row r="65" spans="1:8" x14ac:dyDescent="0.2">
      <c r="A65" s="50" t="s">
        <v>290</v>
      </c>
      <c r="B65" s="1" t="s">
        <v>198</v>
      </c>
      <c r="C65" s="49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50" t="str">
        <f t="shared" si="33"/>
        <v/>
      </c>
      <c r="E65" s="49">
        <f>SUMIF('DMT-M'!E:E,A65,'DMT-M'!Q:Q)+SUMIF('DMT-W'!E:E,A65,'DMT-W'!Q:Q)</f>
        <v>0</v>
      </c>
      <c r="F65" s="50" t="str">
        <f t="shared" si="34"/>
        <v/>
      </c>
      <c r="G65" s="49">
        <f>SUMIF('TUM-M'!E:E,A65,'TUM-M'!Q:Q)+SUMIF('TUM-W'!E:E,A65,'TUM-W'!Q:Q)</f>
        <v>0</v>
      </c>
      <c r="H65" s="50" t="str">
        <f t="shared" si="35"/>
        <v/>
      </c>
    </row>
    <row r="66" spans="1:8" x14ac:dyDescent="0.2">
      <c r="A66" s="53" t="s">
        <v>291</v>
      </c>
      <c r="B66" s="52" t="s">
        <v>197</v>
      </c>
      <c r="C66" s="51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3" t="str">
        <f t="shared" si="33"/>
        <v/>
      </c>
      <c r="E66" s="51">
        <f>SUMIF('DMT-M'!E:E,A66,'DMT-M'!Q:Q)+SUMIF('DMT-W'!E:E,A66,'DMT-W'!Q:Q)</f>
        <v>0</v>
      </c>
      <c r="F66" s="53" t="str">
        <f t="shared" si="34"/>
        <v/>
      </c>
      <c r="G66" s="51">
        <f>SUMIF('TUM-M'!E:E,A66,'TUM-M'!Q:Q)+SUMIF('TUM-W'!E:E,A66,'TUM-W'!Q:Q)</f>
        <v>0</v>
      </c>
      <c r="H66" s="53" t="str">
        <f t="shared" si="35"/>
        <v/>
      </c>
    </row>
  </sheetData>
  <conditionalFormatting sqref="D1:D1048576">
    <cfRule type="expression" dxfId="69" priority="1">
      <formula>IF(AND(D1&lt;&gt;"",D1&lt;=2),1,0)</formula>
    </cfRule>
  </conditionalFormatting>
  <conditionalFormatting sqref="F1:F1048576 H1:H1048576">
    <cfRule type="expression" dxfId="68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371</v>
      </c>
      <c r="S1" s="69" t="s">
        <v>370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/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110.42020548800001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1</v>
      </c>
      <c r="P3" s="39">
        <v>5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55.54</v>
      </c>
      <c r="S3" s="4">
        <f>IF(G3="17-21",LARGE(CHOOSE({1,2,3,4,5,6},T3,V3,Y3,AA3,AC3,AF3),2),IF(R3=X3,MAX(Y3,AA3,AC3,AF3),IF(R3=AE3,MAX(AF3,T3,V3,Y3),0)))</f>
        <v>54.88</v>
      </c>
      <c r="T3" s="33">
        <v>54.02</v>
      </c>
      <c r="U3" s="40">
        <v>14.8</v>
      </c>
      <c r="V3" s="34">
        <v>55.54</v>
      </c>
      <c r="W3" s="40">
        <v>15.8</v>
      </c>
      <c r="X3" s="4">
        <f t="shared" ref="X3:X34" si="3">IF(H3="Senior",MAX(T3,V3),T3+V3)</f>
        <v>55.54</v>
      </c>
      <c r="Y3" s="34">
        <v>54.32</v>
      </c>
      <c r="Z3" s="40">
        <v>14.8</v>
      </c>
      <c r="AA3" s="33">
        <v>54.88</v>
      </c>
      <c r="AB3" s="40">
        <v>15.4</v>
      </c>
      <c r="AC3" s="34">
        <v>6.45</v>
      </c>
      <c r="AD3" s="40">
        <v>2</v>
      </c>
      <c r="AE3" s="4">
        <f t="shared" ref="AE3:AE34" si="4">IF(H3="Senior",MAX(AA3,AC3),AA3+AC3)</f>
        <v>54.88</v>
      </c>
      <c r="AF3" s="34">
        <v>6.26</v>
      </c>
      <c r="AG3" s="37">
        <v>2</v>
      </c>
    </row>
    <row r="4" spans="1:33" x14ac:dyDescent="0.2">
      <c r="A4" s="1" t="str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/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2</v>
      </c>
      <c r="C4" s="36" t="s">
        <v>114</v>
      </c>
      <c r="D4" s="36" t="str">
        <f>IF(E4="","",VLOOKUP(E4,'Coaching Points'!A:B,2,0))</f>
        <v>QC</v>
      </c>
      <c r="E4" s="36" t="s">
        <v>3</v>
      </c>
      <c r="F4" s="35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109.470205514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2</v>
      </c>
      <c r="P4" s="39">
        <v>7</v>
      </c>
      <c r="Q4" s="1" t="str">
        <f t="shared" si="1"/>
        <v/>
      </c>
      <c r="R4" s="4">
        <f t="shared" si="2"/>
        <v>55.14</v>
      </c>
      <c r="S4" s="4">
        <f>IF(G4="17-21",LARGE(CHOOSE({1,2,3,4,5,6},T4,V4,Y4,AA4,AC4,AF4),2),IF(R4=X4,MAX(Y4,AA4,AC4,AF4),IF(R4=AE4,MAX(AF4,T4,V4,Y4),0)))</f>
        <v>54.33</v>
      </c>
      <c r="T4" s="33">
        <v>53.98</v>
      </c>
      <c r="U4" s="40">
        <v>14.4</v>
      </c>
      <c r="V4" s="34">
        <v>53.21</v>
      </c>
      <c r="W4" s="40">
        <v>14.2</v>
      </c>
      <c r="X4" s="4">
        <f t="shared" si="3"/>
        <v>53.98</v>
      </c>
      <c r="Y4" s="34">
        <v>22.56</v>
      </c>
      <c r="Z4" s="40">
        <v>6.1</v>
      </c>
      <c r="AA4" s="33">
        <v>54.33</v>
      </c>
      <c r="AB4" s="40">
        <v>14.4</v>
      </c>
      <c r="AC4" s="34">
        <v>55.14</v>
      </c>
      <c r="AD4" s="40">
        <v>14.4</v>
      </c>
      <c r="AE4" s="4">
        <f t="shared" si="4"/>
        <v>55.14</v>
      </c>
      <c r="AF4" s="34">
        <v>54.13</v>
      </c>
      <c r="AG4" s="37">
        <v>14.4</v>
      </c>
    </row>
    <row r="5" spans="1:33" x14ac:dyDescent="0.2">
      <c r="A5" s="1" t="str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/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3</v>
      </c>
      <c r="C5" s="36" t="s">
        <v>101</v>
      </c>
      <c r="D5" s="36" t="str">
        <f>IF(E5="","",VLOOKUP(E5,'Coaching Points'!A:B,2,0))</f>
        <v>QC</v>
      </c>
      <c r="E5" s="36" t="s">
        <v>84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108.77020540900001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P5" s="39">
        <v>8</v>
      </c>
      <c r="Q5" s="1" t="str">
        <f t="shared" si="1"/>
        <v/>
      </c>
      <c r="R5" s="4">
        <f t="shared" si="2"/>
        <v>54.68</v>
      </c>
      <c r="S5" s="4">
        <f>IF(G5="17-21",LARGE(CHOOSE({1,2,3,4,5,6},T5,V5,Y5,AA5,AC5,AF5),2),IF(R5=X5,MAX(Y5,AA5,AC5,AF5),IF(R5=AE5,MAX(AF5,T5,V5,Y5),0)))</f>
        <v>54.09</v>
      </c>
      <c r="T5" s="33">
        <v>21.09</v>
      </c>
      <c r="U5" s="40">
        <v>6.1</v>
      </c>
      <c r="V5" s="34">
        <v>54.68</v>
      </c>
      <c r="W5" s="40">
        <v>14.4</v>
      </c>
      <c r="X5" s="4">
        <f t="shared" si="3"/>
        <v>54.68</v>
      </c>
      <c r="Y5" s="34">
        <v>11.07</v>
      </c>
      <c r="Z5" s="40">
        <v>3.2</v>
      </c>
      <c r="AA5" s="33">
        <v>54.09</v>
      </c>
      <c r="AB5" s="40">
        <v>13.5</v>
      </c>
      <c r="AC5" s="34">
        <v>37.56</v>
      </c>
      <c r="AD5" s="40">
        <v>9.6</v>
      </c>
      <c r="AE5" s="4">
        <f t="shared" si="4"/>
        <v>54.09</v>
      </c>
      <c r="AF5" s="34">
        <v>53.35</v>
      </c>
      <c r="AG5" s="37">
        <v>13.5</v>
      </c>
    </row>
    <row r="6" spans="1:33" x14ac:dyDescent="0.2">
      <c r="A6" s="1" t="str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/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4</v>
      </c>
      <c r="C6" s="36" t="s">
        <v>103</v>
      </c>
      <c r="D6" s="36" t="str">
        <f>IF(E6="","",VLOOKUP(E6,'Coaching Points'!A:B,2,0))</f>
        <v>NL</v>
      </c>
      <c r="E6" s="36" t="s">
        <v>104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107.54020000000001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/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/>
      </c>
      <c r="O6" s="39">
        <v>4</v>
      </c>
      <c r="Q6" s="1" t="str">
        <f t="shared" si="1"/>
        <v/>
      </c>
      <c r="R6" s="4">
        <f t="shared" si="2"/>
        <v>54.77</v>
      </c>
      <c r="S6" s="4">
        <f>IF(G6="17-21",LARGE(CHOOSE({1,2,3,4,5,6},T6,V6,Y6,AA6,AC6,AF6),2),IF(R6=X6,MAX(Y6,AA6,AC6,AF6),IF(R6=AE6,MAX(AF6,T6,V6,Y6),0)))</f>
        <v>52.77</v>
      </c>
      <c r="T6" s="33">
        <v>43.65</v>
      </c>
      <c r="U6" s="40">
        <v>10.7</v>
      </c>
      <c r="V6" s="34">
        <v>54.77</v>
      </c>
      <c r="W6" s="40">
        <v>13.4</v>
      </c>
      <c r="X6" s="4">
        <f t="shared" si="3"/>
        <v>54.77</v>
      </c>
      <c r="Y6" s="34">
        <v>52.77</v>
      </c>
      <c r="Z6" s="40">
        <v>13.4</v>
      </c>
      <c r="AA6" s="33"/>
      <c r="AB6" s="40"/>
      <c r="AC6" s="34"/>
      <c r="AD6" s="40"/>
      <c r="AE6" s="4">
        <f t="shared" si="4"/>
        <v>0</v>
      </c>
      <c r="AF6" s="34"/>
      <c r="AG6" s="37"/>
    </row>
    <row r="7" spans="1:33" x14ac:dyDescent="0.2">
      <c r="A7" s="1" t="str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/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5</v>
      </c>
      <c r="C7" s="36" t="s">
        <v>110</v>
      </c>
      <c r="D7" s="36" t="str">
        <f>IF(E7="","",VLOOKUP(E7,'Coaching Points'!A:B,2,0))</f>
        <v>ON</v>
      </c>
      <c r="E7" s="36" t="s">
        <v>113</v>
      </c>
      <c r="F7" s="35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107.38010540499999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 t="shared" si="1"/>
        <v/>
      </c>
      <c r="R7" s="4">
        <f t="shared" si="2"/>
        <v>54.05</v>
      </c>
      <c r="S7" s="4">
        <f>IF(G7="17-21",LARGE(CHOOSE({1,2,3,4,5,6},T7,V7,Y7,AA7,AC7,AF7),2),IF(R7=X7,MAX(Y7,AA7,AC7,AF7),IF(R7=AE7,MAX(AF7,T7,V7,Y7),0)))</f>
        <v>53.33</v>
      </c>
      <c r="T7" s="33">
        <v>33.67</v>
      </c>
      <c r="U7" s="40">
        <v>5.6</v>
      </c>
      <c r="V7" s="34">
        <v>49.25</v>
      </c>
      <c r="W7" s="40">
        <v>11.5</v>
      </c>
      <c r="X7" s="4">
        <f t="shared" si="3"/>
        <v>82.92</v>
      </c>
      <c r="Y7" s="34">
        <v>48.73</v>
      </c>
      <c r="Z7" s="40">
        <v>12.7</v>
      </c>
      <c r="AA7" s="33">
        <v>54.05</v>
      </c>
      <c r="AB7" s="40">
        <v>13.7</v>
      </c>
      <c r="AC7" s="34">
        <v>53.04</v>
      </c>
      <c r="AD7" s="40">
        <v>13.7</v>
      </c>
      <c r="AE7" s="4">
        <f t="shared" si="4"/>
        <v>107.09</v>
      </c>
      <c r="AF7" s="34">
        <v>53.33</v>
      </c>
      <c r="AG7" s="37">
        <v>13.7</v>
      </c>
    </row>
    <row r="8" spans="1:33" x14ac:dyDescent="0.2">
      <c r="A8" s="1" t="str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/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6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 t="shared" si="1"/>
        <v/>
      </c>
      <c r="R8" s="4">
        <f t="shared" si="2"/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 t="shared" si="3"/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 t="shared" si="4"/>
        <v>49.26</v>
      </c>
      <c r="AF8" s="34">
        <v>15.67</v>
      </c>
      <c r="AG8" s="37">
        <v>4.2</v>
      </c>
    </row>
    <row r="9" spans="1:33" x14ac:dyDescent="0.2">
      <c r="A9" s="1" t="str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/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7</v>
      </c>
      <c r="C9" s="36" t="s">
        <v>170</v>
      </c>
      <c r="D9" s="36" t="str">
        <f>IF(E9="","",VLOOKUP(E9,'Coaching Points'!A:B,2,0))</f>
        <v>AB</v>
      </c>
      <c r="E9" s="36" t="s">
        <v>64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102.99020496500002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 t="shared" si="1"/>
        <v/>
      </c>
      <c r="R9" s="4">
        <f t="shared" si="2"/>
        <v>52.14</v>
      </c>
      <c r="S9" s="4">
        <f>IF(G9="17-21",LARGE(CHOOSE({1,2,3,4,5,6},T9,V9,Y9,AA9,AC9,AF9),2),IF(R9=X9,MAX(Y9,AA9,AC9,AF9),IF(R9=AE9,MAX(AF9,T9,V9,Y9),0)))</f>
        <v>50.85</v>
      </c>
      <c r="T9" s="33">
        <v>50.39</v>
      </c>
      <c r="U9" s="40">
        <v>13.9</v>
      </c>
      <c r="V9" s="34">
        <v>50.85</v>
      </c>
      <c r="W9" s="40">
        <v>13.7</v>
      </c>
      <c r="X9" s="4">
        <f t="shared" si="3"/>
        <v>50.85</v>
      </c>
      <c r="Y9" s="34">
        <v>52.14</v>
      </c>
      <c r="Z9" s="40">
        <v>13.7</v>
      </c>
      <c r="AA9" s="33">
        <v>0</v>
      </c>
      <c r="AB9" s="40">
        <v>0</v>
      </c>
      <c r="AC9" s="34">
        <v>49.65</v>
      </c>
      <c r="AD9" s="40">
        <v>14.2</v>
      </c>
      <c r="AE9" s="4">
        <f t="shared" si="4"/>
        <v>49.65</v>
      </c>
      <c r="AF9" s="34">
        <v>16.510000000000002</v>
      </c>
      <c r="AG9" s="37">
        <v>4.9000000000000004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8</v>
      </c>
      <c r="C10" t="s">
        <v>425</v>
      </c>
      <c r="D10" s="36" t="str">
        <f>IF(E10="","",VLOOKUP(E10,'Coaching Points'!A:B,2,0))</f>
        <v>ON</v>
      </c>
      <c r="E10" s="36" t="s">
        <v>316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71.620205397000007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 t="shared" si="1"/>
        <v/>
      </c>
      <c r="R10" s="4">
        <f t="shared" si="2"/>
        <v>53.97</v>
      </c>
      <c r="S10" s="4">
        <f>IF(G10="17-21",LARGE(CHOOSE({1,2,3,4,5,6},T10,V10,Y10,AA10,AC10,AF10),2),IF(R10=X10,MAX(Y10,AA10,AC10,AF10),IF(R10=AE10,MAX(AF10,T10,V10,Y10),0)))</f>
        <v>17.649999999999999</v>
      </c>
      <c r="T10" s="33"/>
      <c r="U10" s="40"/>
      <c r="V10" s="34"/>
      <c r="W10" s="40"/>
      <c r="X10" s="4">
        <f t="shared" si="3"/>
        <v>0</v>
      </c>
      <c r="Y10" s="34"/>
      <c r="Z10" s="40"/>
      <c r="AA10" s="33">
        <v>17.649999999999999</v>
      </c>
      <c r="AB10" s="40">
        <v>5.5</v>
      </c>
      <c r="AC10" s="34">
        <v>53.97</v>
      </c>
      <c r="AD10" s="40">
        <v>15.6</v>
      </c>
      <c r="AE10" s="4">
        <f t="shared" si="4"/>
        <v>53.97</v>
      </c>
      <c r="AF10" s="34">
        <v>17.39</v>
      </c>
      <c r="AG10" s="37">
        <v>5.5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438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 t="shared" si="1"/>
        <v/>
      </c>
      <c r="R11" s="4">
        <f t="shared" si="2"/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 t="shared" si="4"/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 t="shared" si="3"/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 t="shared" si="4"/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227</v>
      </c>
      <c r="D13" s="36" t="str">
        <f>IF(E13="","",VLOOKUP(E13,'Coaching Points'!A:B,2,0))</f>
        <v>QC</v>
      </c>
      <c r="E13" s="36" t="s">
        <v>286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 t="shared" si="3"/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 t="shared" si="4"/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 t="shared" si="3"/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 t="shared" si="4"/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329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 t="shared" si="3"/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 t="shared" si="3"/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 t="shared" si="4"/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328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 t="shared" si="3"/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 t="shared" si="4"/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287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 t="shared" si="3"/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 t="shared" si="4"/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226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 t="shared" si="3"/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 t="shared" si="4"/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320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 t="shared" si="3"/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 t="shared" si="4"/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 t="shared" si="3"/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 t="shared" si="4"/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439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 t="shared" si="4"/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 t="shared" si="3"/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 t="shared" si="4"/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96.220004856999992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 t="shared" si="3"/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 t="shared" si="4"/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232</v>
      </c>
      <c r="D25" s="36" t="str">
        <f>IF(E25="","",VLOOKUP(E25,'Coaching Points'!A:B,2,0))</f>
        <v>ON</v>
      </c>
      <c r="E25" s="36" t="s">
        <v>293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 t="shared" si="3"/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 t="shared" si="4"/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 t="shared" si="3"/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 t="shared" si="4"/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217</v>
      </c>
      <c r="D27" s="36" t="str">
        <f>IF(E27="","",VLOOKUP(E27,'Coaching Points'!A:B,2,0))</f>
        <v>BC</v>
      </c>
      <c r="E27" s="36" t="s">
        <v>284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 t="shared" si="3"/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 t="shared" si="4"/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 t="shared" si="3"/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 t="shared" si="4"/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 t="shared" si="3"/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 t="shared" si="4"/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t="s">
        <v>426</v>
      </c>
      <c r="D30" s="36" t="str">
        <f>IF(E30="","",VLOOKUP(E30,'Coaching Points'!A:B,2,0))</f>
        <v>AB</v>
      </c>
      <c r="E30" s="36" t="s">
        <v>64</v>
      </c>
      <c r="F30" s="35">
        <v>2004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93.910004778999991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47.79</v>
      </c>
      <c r="S30" s="4">
        <f>IF(G30="17-21",LARGE(CHOOSE({1,2,3,4,5,6},T30,V30,Y30,AA30,AC30,AF30),2),IF(R30=X30,MAX(Y30,AA30,AC30,AF30),IF(R30=AE30,MAX(AF30,T30,V30,Y30),0)))</f>
        <v>46.12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39.299999999999997</v>
      </c>
      <c r="AB30" s="40">
        <v>0</v>
      </c>
      <c r="AC30" s="34">
        <v>47.79</v>
      </c>
      <c r="AD30" s="40">
        <v>9.8000000000000007</v>
      </c>
      <c r="AE30" s="4">
        <f t="shared" si="4"/>
        <v>87.09</v>
      </c>
      <c r="AF30" s="34">
        <v>46.12</v>
      </c>
      <c r="AG30" s="37">
        <v>9.1999999999999993</v>
      </c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s="36" t="s">
        <v>92</v>
      </c>
      <c r="D31" s="36" t="str">
        <f>IF(E31="","",VLOOKUP(E31,'Coaching Points'!A:B,2,0))</f>
        <v>NB</v>
      </c>
      <c r="E31" s="36" t="s">
        <v>48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93.910004696999991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46.97</v>
      </c>
      <c r="S31" s="4">
        <f>IF(G31="17-21",LARGE(CHOOSE({1,2,3,4,5,6},T31,V31,Y31,AA31,AC31,AF31),2),IF(R31=X31,MAX(Y31,AA31,AC31,AF31),IF(R31=AE31,MAX(AF31,T31,V31,Y31),0)))</f>
        <v>46.94</v>
      </c>
      <c r="T31" s="33">
        <v>32.46</v>
      </c>
      <c r="U31" s="40">
        <v>0</v>
      </c>
      <c r="V31" s="34">
        <v>46.94</v>
      </c>
      <c r="W31" s="40">
        <v>9.6</v>
      </c>
      <c r="X31" s="4">
        <f t="shared" si="3"/>
        <v>79.400000000000006</v>
      </c>
      <c r="Y31" s="34"/>
      <c r="Z31" s="40"/>
      <c r="AA31" s="33">
        <v>46.97</v>
      </c>
      <c r="AB31" s="40">
        <v>10.4</v>
      </c>
      <c r="AC31" s="34">
        <v>0</v>
      </c>
      <c r="AD31" s="40">
        <v>0</v>
      </c>
      <c r="AE31" s="4">
        <f t="shared" si="4"/>
        <v>46.97</v>
      </c>
      <c r="AF31" s="34"/>
      <c r="AG31" s="37"/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225</v>
      </c>
      <c r="D32" s="36" t="str">
        <f>IF(E32="","",VLOOKUP(E32,'Coaching Points'!A:B,2,0))</f>
        <v>ON</v>
      </c>
      <c r="E32" s="36" t="s">
        <v>285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 t="shared" si="3"/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 t="shared" si="4"/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 t="shared" si="0"/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 t="shared" si="3"/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 t="shared" si="4"/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/>
      <c r="J34" s="4">
        <f t="shared" si="0"/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 t="shared" si="3"/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 t="shared" si="4"/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427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 t="shared" ref="X35:X66" si="8"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 t="shared" ref="AE35:AE66" si="9"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428</v>
      </c>
      <c r="D36" s="36" t="str">
        <f>IF(E36="","",VLOOKUP(E36,'Coaching Points'!A:B,2,0))</f>
        <v>ON</v>
      </c>
      <c r="E36" s="36" t="s">
        <v>429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 t="shared" si="9"/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323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 t="shared" si="8"/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 t="shared" si="9"/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321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 t="shared" si="8"/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 t="shared" si="9"/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216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 t="shared" si="8"/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 t="shared" si="9"/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220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 t="shared" si="8"/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 t="shared" si="9"/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224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 t="shared" si="8"/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 t="shared" si="9"/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322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 t="shared" si="8"/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 t="shared" si="9"/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 t="shared" si="8"/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 t="shared" si="9"/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221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5"/>
        <v>84.350004690999995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 t="shared" si="8"/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 t="shared" si="9"/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430</v>
      </c>
      <c r="D45" s="36" t="str">
        <f>IF(E45="","",VLOOKUP(E45,'Coaching Points'!A:B,2,0))</f>
        <v>AB</v>
      </c>
      <c r="E45" s="36" t="s">
        <v>312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 t="shared" si="8"/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 t="shared" si="9"/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347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 t="shared" si="9"/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431</v>
      </c>
      <c r="D47" s="36" t="str">
        <f>IF(E47="","",VLOOKUP(E47,'Coaching Points'!A:B,2,0))</f>
        <v>NL</v>
      </c>
      <c r="E47" s="36" t="s">
        <v>421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 t="shared" si="9"/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432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 t="shared" si="9"/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68</v>
      </c>
      <c r="I49" s="43"/>
      <c r="J49" s="4">
        <f t="shared" si="5"/>
        <v>82.070103743999994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 t="shared" si="8"/>
        <v>65.92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 t="shared" si="9"/>
        <v>73.25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324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 t="shared" si="8"/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 t="shared" si="9"/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231</v>
      </c>
      <c r="D51" s="36" t="str">
        <f>IF(E51="","",VLOOKUP(E51,'Coaching Points'!A:B,2,0))</f>
        <v>BC</v>
      </c>
      <c r="E51" s="36" t="s">
        <v>443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 t="shared" si="8"/>
        <v>79.81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 t="shared" si="8"/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 t="shared" si="9"/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433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 t="shared" si="9"/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 t="shared" si="5"/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 t="shared" si="8"/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 t="shared" si="9"/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434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 t="shared" si="9"/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348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 t="shared" si="9"/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435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 t="shared" si="9"/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230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 t="shared" si="8"/>
        <v>52.72</v>
      </c>
      <c r="Y58" s="34"/>
      <c r="Z58" s="40"/>
      <c r="AA58" s="33"/>
      <c r="AB58" s="40"/>
      <c r="AC58" s="34"/>
      <c r="AD58" s="40"/>
      <c r="AE58" s="4">
        <f t="shared" si="9"/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440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 t="shared" si="9"/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436</v>
      </c>
      <c r="D60" s="36" t="str">
        <f>IF(E60="","",VLOOKUP(E60,'Coaching Points'!A:B,2,0))</f>
        <v>BC</v>
      </c>
      <c r="E60" s="36" t="s">
        <v>437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 t="shared" si="9"/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229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 t="shared" si="9"/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436</v>
      </c>
      <c r="D62" s="36" t="str">
        <f>IF(E62="","",VLOOKUP(E62,'Coaching Points'!A:B,2,0))</f>
        <v>BC</v>
      </c>
      <c r="E62" s="36" t="s">
        <v>437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 t="shared" si="8"/>
        <v>0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229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 t="shared" si="8"/>
        <v>0</v>
      </c>
      <c r="Y63" s="34"/>
      <c r="Z63" s="40"/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t="str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/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214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/>
      <c r="J64" s="4">
        <f t="shared" si="5"/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 t="str">
        <f t="shared" si="6"/>
        <v/>
      </c>
      <c r="R64" s="4">
        <f t="shared" si="7"/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 t="shared" si="8"/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 t="shared" si="9"/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5"/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6"/>
        <v/>
      </c>
      <c r="R65" s="4">
        <f t="shared" si="7"/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 t="shared" si="8"/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 t="shared" si="9"/>
        <v>95.18</v>
      </c>
      <c r="AF65" s="34"/>
      <c r="AG65" s="37"/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76</v>
      </c>
      <c r="D66" s="36" t="str">
        <f>IF(E66="","",VLOOKUP(E66,'Coaching Points'!A:B,2,0))</f>
        <v>QC</v>
      </c>
      <c r="E66" s="36" t="s">
        <v>77</v>
      </c>
      <c r="F66" s="35">
        <v>2008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 t="shared" si="5"/>
        <v>144.28010951100001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>P</v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95.11</v>
      </c>
      <c r="S66" s="4">
        <f>IF(G66="17-21",LARGE(CHOOSE({1,2,3,4,5,6},T66,V66,Y66,AA66,AC66,AF66),2),IF(R66=X66,MAX(Y66,AA66,AC66,AF66),IF(R66=AE66,MAX(AF66,T66,V66,Y66),0)))</f>
        <v>49.17</v>
      </c>
      <c r="T66" s="33">
        <v>42.44</v>
      </c>
      <c r="U66" s="40">
        <v>0</v>
      </c>
      <c r="V66" s="34">
        <v>49.17</v>
      </c>
      <c r="W66" s="40">
        <v>10.3</v>
      </c>
      <c r="X66" s="4">
        <f t="shared" si="8"/>
        <v>91.61</v>
      </c>
      <c r="Y66" s="34">
        <v>44.97</v>
      </c>
      <c r="Z66" s="40">
        <v>8.1</v>
      </c>
      <c r="AA66" s="33">
        <v>43.57</v>
      </c>
      <c r="AB66" s="40">
        <v>0</v>
      </c>
      <c r="AC66" s="34">
        <v>51.54</v>
      </c>
      <c r="AD66" s="40">
        <v>12.1</v>
      </c>
      <c r="AE66" s="4">
        <f t="shared" si="9"/>
        <v>95.11</v>
      </c>
      <c r="AF66" s="34">
        <v>42.16</v>
      </c>
      <c r="AG66" s="37">
        <v>9.6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81</v>
      </c>
      <c r="D67" s="36" t="str">
        <f>IF(E67="","",VLOOKUP(E67,'Coaching Points'!A:B,2,0))</f>
        <v>ON</v>
      </c>
      <c r="E67" s="36" t="s">
        <v>47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136.06000888299999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88.83</v>
      </c>
      <c r="S67" s="4">
        <f>IF(G67="17-21",LARGE(CHOOSE({1,2,3,4,5,6},T67,V67,Y67,AA67,AC67,AF67),2),IF(R67=X67,MAX(Y67,AA67,AC67,AF67),IF(R67=AE67,MAX(AF67,T67,V67,Y67),0)))</f>
        <v>47.23</v>
      </c>
      <c r="T67" s="33">
        <v>39.99</v>
      </c>
      <c r="U67" s="40">
        <v>0</v>
      </c>
      <c r="V67" s="34">
        <v>46.37</v>
      </c>
      <c r="W67" s="40">
        <v>9.1</v>
      </c>
      <c r="X67" s="4">
        <f t="shared" ref="X67:X98" si="13">IF(H67="Senior",MAX(T67,V67),T67+V67)</f>
        <v>86.36</v>
      </c>
      <c r="Y67" s="34">
        <v>47.23</v>
      </c>
      <c r="Z67" s="40">
        <v>9.1</v>
      </c>
      <c r="AA67" s="33">
        <v>40.299999999999997</v>
      </c>
      <c r="AB67" s="40">
        <v>0</v>
      </c>
      <c r="AC67" s="34">
        <v>48.53</v>
      </c>
      <c r="AD67" s="40">
        <v>9.3000000000000007</v>
      </c>
      <c r="AE67" s="4">
        <f t="shared" ref="AE67:AE98" si="14">IF(H67="Senior",MAX(AA67,AC67),AA67+AC67)</f>
        <v>88.83</v>
      </c>
      <c r="AF67" s="34"/>
      <c r="AG67" s="37"/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215</v>
      </c>
      <c r="D68" s="36" t="str">
        <f>IF(E68="","",VLOOKUP(E68,'Coaching Points'!A:B,2,0))</f>
        <v>NS</v>
      </c>
      <c r="E68" s="36" t="s">
        <v>134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10"/>
        <v>135.61000881500001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11"/>
        <v/>
      </c>
      <c r="R68" s="4">
        <f t="shared" si="12"/>
        <v>88.15</v>
      </c>
      <c r="S68" s="4">
        <f>IF(G68="17-21",LARGE(CHOOSE({1,2,3,4,5,6},T68,V68,Y68,AA68,AC68,AF68),2),IF(R68=X68,MAX(Y68,AA68,AC68,AF68),IF(R68=AE68,MAX(AF68,T68,V68,Y68),0)))</f>
        <v>47.46</v>
      </c>
      <c r="T68" s="33">
        <v>40.31</v>
      </c>
      <c r="U68" s="40">
        <v>0</v>
      </c>
      <c r="V68" s="34">
        <v>47.13</v>
      </c>
      <c r="W68" s="40">
        <v>9</v>
      </c>
      <c r="X68" s="4">
        <f t="shared" si="13"/>
        <v>87.44</v>
      </c>
      <c r="Y68" s="34">
        <v>47.46</v>
      </c>
      <c r="Z68" s="40">
        <v>9.5</v>
      </c>
      <c r="AA68" s="33">
        <v>39.9</v>
      </c>
      <c r="AB68" s="40">
        <v>0</v>
      </c>
      <c r="AC68" s="34">
        <v>48.25</v>
      </c>
      <c r="AD68" s="40">
        <v>10</v>
      </c>
      <c r="AE68" s="4">
        <f t="shared" si="14"/>
        <v>88.15</v>
      </c>
      <c r="AF68" s="34"/>
      <c r="AG68" s="37"/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79</v>
      </c>
      <c r="D69" s="36" t="str">
        <f>IF(E69="","",VLOOKUP(E69,'Coaching Points'!A:B,2,0))</f>
        <v>ON</v>
      </c>
      <c r="E69" s="36" t="s">
        <v>47</v>
      </c>
      <c r="F69" s="35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10"/>
        <v>135.36000882300002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11"/>
        <v/>
      </c>
      <c r="R69" s="4">
        <f t="shared" si="12"/>
        <v>88.23</v>
      </c>
      <c r="S69" s="4">
        <f>IF(G69="17-21",LARGE(CHOOSE({1,2,3,4,5,6},T69,V69,Y69,AA69,AC69,AF69),2),IF(R69=X69,MAX(Y69,AA69,AC69,AF69),IF(R69=AE69,MAX(AF69,T69,V69,Y69),0)))</f>
        <v>47.13</v>
      </c>
      <c r="T69" s="33">
        <v>38.99</v>
      </c>
      <c r="U69" s="40">
        <v>0</v>
      </c>
      <c r="V69" s="34">
        <v>46.53</v>
      </c>
      <c r="W69" s="40">
        <v>9</v>
      </c>
      <c r="X69" s="4">
        <f t="shared" si="13"/>
        <v>85.52000000000001</v>
      </c>
      <c r="Y69" s="34">
        <v>47.13</v>
      </c>
      <c r="Z69" s="40">
        <v>9.1</v>
      </c>
      <c r="AA69" s="33">
        <v>40.85</v>
      </c>
      <c r="AB69" s="40">
        <v>0</v>
      </c>
      <c r="AC69" s="34">
        <v>47.38</v>
      </c>
      <c r="AD69" s="40">
        <v>9.1</v>
      </c>
      <c r="AE69" s="4">
        <f t="shared" si="14"/>
        <v>88.23</v>
      </c>
      <c r="AF69" s="34"/>
      <c r="AG69" s="37"/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82</v>
      </c>
      <c r="D70" s="36" t="str">
        <f>IF(E70="","",VLOOKUP(E70,'Coaching Points'!A:B,2,0))</f>
        <v>AB</v>
      </c>
      <c r="E70" s="36" t="s">
        <v>64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10"/>
        <v>134.820108457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11"/>
        <v/>
      </c>
      <c r="R70" s="4">
        <f t="shared" si="12"/>
        <v>84.57</v>
      </c>
      <c r="S70" s="4">
        <f>IF(G70="17-21",LARGE(CHOOSE({1,2,3,4,5,6},T70,V70,Y70,AA70,AC70,AF70),2),IF(R70=X70,MAX(Y70,AA70,AC70,AF70),IF(R70=AE70,MAX(AF70,T70,V70,Y70),0)))</f>
        <v>50.25</v>
      </c>
      <c r="T70" s="33">
        <v>39.049999999999997</v>
      </c>
      <c r="U70" s="40">
        <v>0</v>
      </c>
      <c r="V70" s="34">
        <v>38.090000000000003</v>
      </c>
      <c r="W70" s="40">
        <v>10.199999999999999</v>
      </c>
      <c r="X70" s="4">
        <f t="shared" si="13"/>
        <v>77.14</v>
      </c>
      <c r="Y70" s="34">
        <v>47.25</v>
      </c>
      <c r="Z70" s="40">
        <v>12.9</v>
      </c>
      <c r="AA70" s="33">
        <v>39.119999999999997</v>
      </c>
      <c r="AB70" s="40">
        <v>0</v>
      </c>
      <c r="AC70" s="34">
        <v>45.45</v>
      </c>
      <c r="AD70" s="40">
        <v>11.8</v>
      </c>
      <c r="AE70" s="4">
        <f t="shared" si="14"/>
        <v>84.57</v>
      </c>
      <c r="AF70" s="34">
        <v>50.25</v>
      </c>
      <c r="AG70" s="37">
        <v>13.3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219</v>
      </c>
      <c r="D71" s="36" t="str">
        <f>IF(E71="","",VLOOKUP(E71,'Coaching Points'!A:B,2,0))</f>
        <v>QC</v>
      </c>
      <c r="E71" s="36" t="s">
        <v>3</v>
      </c>
      <c r="F71" s="35">
        <v>2007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10"/>
        <v>134.43000877700001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 t="shared" si="11"/>
        <v/>
      </c>
      <c r="R71" s="4">
        <f t="shared" si="12"/>
        <v>87.77</v>
      </c>
      <c r="S71" s="4">
        <f>IF(G71="17-21",LARGE(CHOOSE({1,2,3,4,5,6},T71,V71,Y71,AA71,AC71,AF71),2),IF(R71=X71,MAX(Y71,AA71,AC71,AF71),IF(R71=AE71,MAX(AF71,T71,V71,Y71),0)))</f>
        <v>46.66</v>
      </c>
      <c r="T71" s="33">
        <v>38.590000000000003</v>
      </c>
      <c r="U71" s="40">
        <v>0</v>
      </c>
      <c r="V71" s="34">
        <v>46.66</v>
      </c>
      <c r="W71" s="40">
        <v>7.6</v>
      </c>
      <c r="X71" s="4">
        <f t="shared" si="13"/>
        <v>85.25</v>
      </c>
      <c r="Y71" s="34">
        <v>45.75</v>
      </c>
      <c r="Z71" s="40">
        <v>7.6</v>
      </c>
      <c r="AA71" s="33">
        <v>39.86</v>
      </c>
      <c r="AB71" s="40">
        <v>0</v>
      </c>
      <c r="AC71" s="34">
        <v>47.91</v>
      </c>
      <c r="AD71" s="40">
        <v>7.6</v>
      </c>
      <c r="AE71" s="4">
        <f t="shared" si="14"/>
        <v>87.77</v>
      </c>
      <c r="AF71" s="34"/>
      <c r="AG71" s="37"/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102</v>
      </c>
      <c r="D72" s="36" t="str">
        <f>IF(E72="","",VLOOKUP(E72,'Coaching Points'!A:B,2,0))</f>
        <v>BC</v>
      </c>
      <c r="E72" s="36" t="s">
        <v>62</v>
      </c>
      <c r="F72" s="35">
        <v>2007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10"/>
        <v>132.86010904599999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 t="shared" si="11"/>
        <v/>
      </c>
      <c r="R72" s="4">
        <f t="shared" si="12"/>
        <v>90.46</v>
      </c>
      <c r="S72" s="4">
        <f>IF(G72="17-21",LARGE(CHOOSE({1,2,3,4,5,6},T72,V72,Y72,AA72,AC72,AF72),2),IF(R72=X72,MAX(Y72,AA72,AC72,AF72),IF(R72=AE72,MAX(AF72,T72,V72,Y72),0)))</f>
        <v>42.4</v>
      </c>
      <c r="T72" s="33">
        <v>42.4</v>
      </c>
      <c r="U72" s="40">
        <v>0</v>
      </c>
      <c r="V72" s="34">
        <v>15.05</v>
      </c>
      <c r="W72" s="40">
        <v>4.2</v>
      </c>
      <c r="X72" s="4">
        <f t="shared" si="13"/>
        <v>57.45</v>
      </c>
      <c r="Y72" s="34">
        <v>25.69</v>
      </c>
      <c r="Z72" s="40">
        <v>6.2</v>
      </c>
      <c r="AA72" s="33">
        <v>42.23</v>
      </c>
      <c r="AB72" s="40">
        <v>0</v>
      </c>
      <c r="AC72" s="34">
        <v>48.23</v>
      </c>
      <c r="AD72" s="40">
        <v>10</v>
      </c>
      <c r="AE72" s="4">
        <f t="shared" si="14"/>
        <v>90.46</v>
      </c>
      <c r="AF72" s="34"/>
      <c r="AG72" s="37"/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318</v>
      </c>
      <c r="D73" s="36" t="str">
        <f>IF(E73="","",VLOOKUP(E73,'Coaching Points'!A:B,2,0))</f>
        <v>BC</v>
      </c>
      <c r="E73" s="36" t="s">
        <v>284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10"/>
        <v>132.43000882300001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 t="shared" si="11"/>
        <v/>
      </c>
      <c r="R73" s="4">
        <f t="shared" si="12"/>
        <v>88.23</v>
      </c>
      <c r="S73" s="4">
        <f>IF(G73="17-21",LARGE(CHOOSE({1,2,3,4,5,6},T73,V73,Y73,AA73,AC73,AF73),2),IF(R73=X73,MAX(Y73,AA73,AC73,AF73),IF(R73=AE73,MAX(AF73,T73,V73,Y73),0)))</f>
        <v>44.2</v>
      </c>
      <c r="T73" s="33">
        <v>38.96</v>
      </c>
      <c r="U73" s="40">
        <v>0</v>
      </c>
      <c r="V73" s="34">
        <v>44.2</v>
      </c>
      <c r="W73" s="40">
        <v>7.9</v>
      </c>
      <c r="X73" s="4">
        <f t="shared" si="13"/>
        <v>83.16</v>
      </c>
      <c r="Y73" s="34"/>
      <c r="Z73" s="40"/>
      <c r="AA73" s="33">
        <v>40.770000000000003</v>
      </c>
      <c r="AB73" s="40">
        <v>0</v>
      </c>
      <c r="AC73" s="34">
        <v>47.46</v>
      </c>
      <c r="AD73" s="40">
        <v>9.5</v>
      </c>
      <c r="AE73" s="4">
        <f t="shared" si="14"/>
        <v>88.23</v>
      </c>
      <c r="AF73" s="34"/>
      <c r="AG73" s="37"/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278</v>
      </c>
      <c r="D74" s="36" t="str">
        <f>IF(E74="","",VLOOKUP(E74,'Coaching Points'!A:B,2,0))</f>
        <v>AB</v>
      </c>
      <c r="E74" s="36" t="s">
        <v>64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10"/>
        <v>131.43000867399999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 t="shared" si="11"/>
        <v/>
      </c>
      <c r="R74" s="4">
        <f t="shared" si="12"/>
        <v>86.740000000000009</v>
      </c>
      <c r="S74" s="4">
        <f>IF(G74="17-21",LARGE(CHOOSE({1,2,3,4,5,6},T74,V74,Y74,AA74,AC74,AF74),2),IF(R74=X74,MAX(Y74,AA74,AC74,AF74),IF(R74=AE74,MAX(AF74,T74,V74,Y74),0)))</f>
        <v>44.69</v>
      </c>
      <c r="T74" s="33">
        <v>37.08</v>
      </c>
      <c r="U74" s="40">
        <v>0</v>
      </c>
      <c r="V74" s="34">
        <v>42.49</v>
      </c>
      <c r="W74" s="40">
        <v>9.6</v>
      </c>
      <c r="X74" s="4">
        <f t="shared" si="13"/>
        <v>79.569999999999993</v>
      </c>
      <c r="Y74" s="34">
        <v>44.69</v>
      </c>
      <c r="Z74" s="40">
        <v>9.6</v>
      </c>
      <c r="AA74" s="33">
        <v>38.14</v>
      </c>
      <c r="AB74" s="40">
        <v>0</v>
      </c>
      <c r="AC74" s="34">
        <v>48.6</v>
      </c>
      <c r="AD74" s="40">
        <v>10</v>
      </c>
      <c r="AE74" s="4">
        <f t="shared" si="14"/>
        <v>86.740000000000009</v>
      </c>
      <c r="AF74" s="34"/>
      <c r="AG74" s="37"/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88</v>
      </c>
      <c r="D75" s="36" t="str">
        <f>IF(E75="","",VLOOKUP(E75,'Coaching Points'!A:B,2,0))</f>
        <v>ON</v>
      </c>
      <c r="E75" s="36" t="s">
        <v>38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 t="shared" si="10"/>
        <v>130.46010927999998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 t="shared" si="11"/>
        <v/>
      </c>
      <c r="R75" s="4">
        <f t="shared" si="12"/>
        <v>92.8</v>
      </c>
      <c r="S75" s="4">
        <f>IF(G75="17-21",LARGE(CHOOSE({1,2,3,4,5,6},T75,V75,Y75,AA75,AC75,AF75),2),IF(R75=X75,MAX(Y75,AA75,AC75,AF75),IF(R75=AE75,MAX(AF75,T75,V75,Y75),0)))</f>
        <v>37.659999999999997</v>
      </c>
      <c r="T75" s="33">
        <v>37.659999999999997</v>
      </c>
      <c r="U75" s="40">
        <v>0</v>
      </c>
      <c r="V75" s="34">
        <v>11.03</v>
      </c>
      <c r="W75" s="40">
        <v>2.9</v>
      </c>
      <c r="X75" s="4">
        <f t="shared" si="13"/>
        <v>48.69</v>
      </c>
      <c r="Y75" s="34"/>
      <c r="Z75" s="40"/>
      <c r="AA75" s="33">
        <v>41.9</v>
      </c>
      <c r="AB75" s="40">
        <v>0</v>
      </c>
      <c r="AC75" s="34">
        <v>50.9</v>
      </c>
      <c r="AD75" s="40">
        <v>11.5</v>
      </c>
      <c r="AE75" s="4">
        <f t="shared" si="14"/>
        <v>92.8</v>
      </c>
      <c r="AF75" s="34"/>
      <c r="AG75" s="37"/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89</v>
      </c>
      <c r="D76" s="36" t="str">
        <f>IF(E76="","",VLOOKUP(E76,'Coaching Points'!A:B,2,0))</f>
        <v>BC</v>
      </c>
      <c r="E76" s="36" t="s">
        <v>62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10"/>
        <v>130.37000835800001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 t="shared" si="11"/>
        <v/>
      </c>
      <c r="R76" s="4">
        <f t="shared" si="12"/>
        <v>83.58</v>
      </c>
      <c r="S76" s="4">
        <f>IF(G76="17-21",LARGE(CHOOSE({1,2,3,4,5,6},T76,V76,Y76,AA76,AC76,AF76),2),IF(R76=X76,MAX(Y76,AA76,AC76,AF76),IF(R76=AE76,MAX(AF76,T76,V76,Y76),0)))</f>
        <v>46.79</v>
      </c>
      <c r="T76" s="33">
        <v>36.619999999999997</v>
      </c>
      <c r="U76" s="40">
        <v>0</v>
      </c>
      <c r="V76" s="34">
        <v>45.15</v>
      </c>
      <c r="W76" s="40">
        <v>10.1</v>
      </c>
      <c r="X76" s="4">
        <f t="shared" si="13"/>
        <v>81.77</v>
      </c>
      <c r="Y76" s="34">
        <v>46.79</v>
      </c>
      <c r="Z76" s="40">
        <v>10.1</v>
      </c>
      <c r="AA76" s="33">
        <v>35.26</v>
      </c>
      <c r="AB76" s="40">
        <v>0</v>
      </c>
      <c r="AC76" s="34">
        <v>48.32</v>
      </c>
      <c r="AD76" s="40">
        <v>11.4</v>
      </c>
      <c r="AE76" s="4">
        <f t="shared" si="14"/>
        <v>83.58</v>
      </c>
      <c r="AF76" s="34"/>
      <c r="AG76" s="37"/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86</v>
      </c>
      <c r="D77" s="36" t="str">
        <f>IF(E77="","",VLOOKUP(E77,'Coaching Points'!A:B,2,0))</f>
        <v>BC</v>
      </c>
      <c r="E77" s="36" t="s">
        <v>72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67</v>
      </c>
      <c r="I77" s="43"/>
      <c r="J77" s="4">
        <f t="shared" si="10"/>
        <v>129.270108134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 t="shared" si="11"/>
        <v/>
      </c>
      <c r="R77" s="4">
        <f t="shared" si="12"/>
        <v>84.3</v>
      </c>
      <c r="S77" s="4">
        <f>IF(G77="17-21",LARGE(CHOOSE({1,2,3,4,5,6},T77,V77,Y77,AA77,AC77,AF77),2),IF(R77=X77,MAX(Y77,AA77,AC77,AF77),IF(R77=AE77,MAX(AF77,T77,V77,Y77),0)))</f>
        <v>44.97</v>
      </c>
      <c r="T77" s="33">
        <v>39.94</v>
      </c>
      <c r="U77" s="40">
        <v>0</v>
      </c>
      <c r="V77" s="34">
        <v>44.36</v>
      </c>
      <c r="W77" s="40">
        <v>10.5</v>
      </c>
      <c r="X77" s="4">
        <f t="shared" si="13"/>
        <v>84.3</v>
      </c>
      <c r="Y77" s="34">
        <v>44.97</v>
      </c>
      <c r="Z77" s="40">
        <v>10.5</v>
      </c>
      <c r="AA77" s="33">
        <v>38.979999999999997</v>
      </c>
      <c r="AB77" s="40">
        <v>0</v>
      </c>
      <c r="AC77" s="34">
        <v>42.36</v>
      </c>
      <c r="AD77" s="40">
        <v>9.9</v>
      </c>
      <c r="AE77" s="4">
        <f t="shared" si="14"/>
        <v>81.34</v>
      </c>
      <c r="AF77" s="34"/>
      <c r="AG77" s="37"/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330</v>
      </c>
      <c r="D78" s="36" t="str">
        <f>IF(E78="","",VLOOKUP(E78,'Coaching Points'!A:B,2,0))</f>
        <v>ON</v>
      </c>
      <c r="E78" s="36" t="s">
        <v>113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10"/>
        <v>127.67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 t="shared" si="11"/>
        <v/>
      </c>
      <c r="R78" s="4">
        <f t="shared" si="12"/>
        <v>84.17</v>
      </c>
      <c r="S78" s="4">
        <f>IF(G78="17-21",LARGE(CHOOSE({1,2,3,4,5,6},T78,V78,Y78,AA78,AC78,AF78),2),IF(R78=X78,MAX(Y78,AA78,AC78,AF78),IF(R78=AE78,MAX(AF78,T78,V78,Y78),0)))</f>
        <v>43.5</v>
      </c>
      <c r="T78" s="33">
        <v>39.11</v>
      </c>
      <c r="U78" s="40">
        <v>0</v>
      </c>
      <c r="V78" s="34">
        <v>45.06</v>
      </c>
      <c r="W78" s="40">
        <v>9.4</v>
      </c>
      <c r="X78" s="4">
        <f t="shared" si="13"/>
        <v>84.17</v>
      </c>
      <c r="Y78" s="34">
        <v>43.5</v>
      </c>
      <c r="Z78" s="40">
        <v>9.4</v>
      </c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317</v>
      </c>
      <c r="D79" s="36" t="str">
        <f>IF(E79="","",VLOOKUP(E79,'Coaching Points'!A:B,2,0))</f>
        <v>ON</v>
      </c>
      <c r="E79" s="36" t="s">
        <v>38</v>
      </c>
      <c r="F79" s="35">
        <v>2007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10"/>
        <v>124.65000487900001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 t="shared" si="11"/>
        <v/>
      </c>
      <c r="R79" s="4">
        <f t="shared" si="12"/>
        <v>79.77000000000001</v>
      </c>
      <c r="S79" s="4">
        <f>IF(G79="17-21",LARGE(CHOOSE({1,2,3,4,5,6},T79,V79,Y79,AA79,AC79,AF79),2),IF(R79=X79,MAX(Y79,AA79,AC79,AF79),IF(R79=AE79,MAX(AF79,T79,V79,Y79),0)))</f>
        <v>44.88</v>
      </c>
      <c r="T79" s="33">
        <v>36.93</v>
      </c>
      <c r="U79" s="40">
        <v>0</v>
      </c>
      <c r="V79" s="34">
        <v>42.84</v>
      </c>
      <c r="W79" s="40">
        <v>9.6999999999999993</v>
      </c>
      <c r="X79" s="4">
        <f t="shared" si="13"/>
        <v>79.77000000000001</v>
      </c>
      <c r="Y79" s="34">
        <v>44.88</v>
      </c>
      <c r="Z79" s="40">
        <v>9.6</v>
      </c>
      <c r="AA79" s="33">
        <v>38.61</v>
      </c>
      <c r="AB79" s="40">
        <v>0</v>
      </c>
      <c r="AC79" s="34">
        <v>10.18</v>
      </c>
      <c r="AD79" s="40">
        <v>2.7</v>
      </c>
      <c r="AE79" s="4">
        <f t="shared" si="14"/>
        <v>48.79</v>
      </c>
      <c r="AF79" s="34"/>
      <c r="AG79" s="37"/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163</v>
      </c>
      <c r="D80" s="36" t="str">
        <f>IF(E80="","",VLOOKUP(E80,'Coaching Points'!A:B,2,0))</f>
        <v>AB</v>
      </c>
      <c r="E80" s="36" t="s">
        <v>64</v>
      </c>
      <c r="F80" s="35">
        <v>2008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10"/>
        <v>123.040004091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 t="shared" si="11"/>
        <v/>
      </c>
      <c r="R80" s="4">
        <f t="shared" si="12"/>
        <v>78.7</v>
      </c>
      <c r="S80" s="4">
        <f>IF(G80="17-21",LARGE(CHOOSE({1,2,3,4,5,6},T80,V80,Y80,AA80,AC80,AF80),2),IF(R80=X80,MAX(Y80,AA80,AC80,AF80),IF(R80=AE80,MAX(AF80,T80,V80,Y80),0)))</f>
        <v>44.34</v>
      </c>
      <c r="T80" s="33">
        <v>36.17</v>
      </c>
      <c r="U80" s="40">
        <v>0</v>
      </c>
      <c r="V80" s="34">
        <v>42.53</v>
      </c>
      <c r="W80" s="40">
        <v>7.7</v>
      </c>
      <c r="X80" s="4">
        <f t="shared" si="13"/>
        <v>78.7</v>
      </c>
      <c r="Y80" s="34">
        <v>44.34</v>
      </c>
      <c r="Z80" s="40">
        <v>8.1</v>
      </c>
      <c r="AA80" s="33">
        <v>18.97</v>
      </c>
      <c r="AB80" s="40">
        <v>0</v>
      </c>
      <c r="AC80" s="34">
        <v>21.94</v>
      </c>
      <c r="AD80" s="40">
        <v>4.5999999999999996</v>
      </c>
      <c r="AE80" s="4">
        <f t="shared" si="14"/>
        <v>40.909999999999997</v>
      </c>
      <c r="AF80" s="34"/>
      <c r="AG80" s="37"/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218</v>
      </c>
      <c r="D81" s="36" t="str">
        <f>IF(E81="","",VLOOKUP(E81,'Coaching Points'!A:B,2,0))</f>
        <v>ON</v>
      </c>
      <c r="E81" s="36" t="s">
        <v>285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/>
      <c r="J81" s="4">
        <f t="shared" si="10"/>
        <v>118.380107233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 t="shared" si="11"/>
        <v/>
      </c>
      <c r="R81" s="4">
        <f t="shared" si="12"/>
        <v>72.33</v>
      </c>
      <c r="S81" s="4">
        <f>IF(G81="17-21",LARGE(CHOOSE({1,2,3,4,5,6},T81,V81,Y81,AA81,AC81,AF81),2),IF(R81=X81,MAX(Y81,AA81,AC81,AF81),IF(R81=AE81,MAX(AF81,T81,V81,Y81),0)))</f>
        <v>46.05</v>
      </c>
      <c r="T81" s="33">
        <v>41.36</v>
      </c>
      <c r="U81" s="40">
        <v>0</v>
      </c>
      <c r="V81" s="34">
        <v>13.46</v>
      </c>
      <c r="W81" s="40">
        <v>3.1</v>
      </c>
      <c r="X81" s="4">
        <f t="shared" si="13"/>
        <v>54.82</v>
      </c>
      <c r="Y81" s="34">
        <v>46.05</v>
      </c>
      <c r="Z81" s="40">
        <v>10.5</v>
      </c>
      <c r="AA81" s="33">
        <v>25.18</v>
      </c>
      <c r="AB81" s="40">
        <v>0</v>
      </c>
      <c r="AC81" s="34">
        <v>47.15</v>
      </c>
      <c r="AD81" s="40">
        <v>11.2</v>
      </c>
      <c r="AE81" s="4">
        <f t="shared" si="14"/>
        <v>72.33</v>
      </c>
      <c r="AF81" s="34"/>
      <c r="AG81" s="37"/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223</v>
      </c>
      <c r="D82" s="36" t="str">
        <f>IF(E82="","",VLOOKUP(E82,'Coaching Points'!A:B,2,0))</f>
        <v>SK</v>
      </c>
      <c r="E82" s="36" t="s">
        <v>60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10"/>
        <v>113.86000613800002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 t="shared" si="11"/>
        <v/>
      </c>
      <c r="R82" s="4">
        <f t="shared" si="12"/>
        <v>76.23</v>
      </c>
      <c r="S82" s="4">
        <f>IF(G82="17-21",LARGE(CHOOSE({1,2,3,4,5,6},T82,V82,Y82,AA82,AC82,AF82),2),IF(R82=X82,MAX(Y82,AA82,AC82,AF82),IF(R82=AE82,MAX(AF82,T82,V82,Y82),0)))</f>
        <v>37.630000000000003</v>
      </c>
      <c r="T82" s="33">
        <v>32.85</v>
      </c>
      <c r="U82" s="40">
        <v>0</v>
      </c>
      <c r="V82" s="34">
        <v>43.38</v>
      </c>
      <c r="W82" s="40">
        <v>9.1</v>
      </c>
      <c r="X82" s="4">
        <f t="shared" si="13"/>
        <v>76.23</v>
      </c>
      <c r="Y82" s="34"/>
      <c r="Z82" s="40"/>
      <c r="AA82" s="33">
        <v>37.630000000000003</v>
      </c>
      <c r="AB82" s="40">
        <v>0</v>
      </c>
      <c r="AC82" s="34">
        <v>23.75</v>
      </c>
      <c r="AD82" s="40">
        <v>5.3</v>
      </c>
      <c r="AE82" s="4">
        <f t="shared" si="14"/>
        <v>61.38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441</v>
      </c>
      <c r="D83" s="36" t="str">
        <f>IF(E83="","",VLOOKUP(E83,'Coaching Points'!A:B,2,0))</f>
        <v>AB</v>
      </c>
      <c r="E83" s="36" t="s">
        <v>29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442</v>
      </c>
      <c r="I83" s="43"/>
      <c r="J83" s="4">
        <f t="shared" si="10"/>
        <v>105.83000889300001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>P</v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 t="shared" si="11"/>
        <v/>
      </c>
      <c r="R83" s="4">
        <f t="shared" si="12"/>
        <v>88.93</v>
      </c>
      <c r="S83" s="4">
        <f>IF(G83="17-21",LARGE(CHOOSE({1,2,3,4,5,6},T83,V83,Y83,AA83,AC83,AF83),2),IF(R83=X83,MAX(Y83,AA83,AC83,AF83),IF(R83=AE83,MAX(AF83,T83,V83,Y83),0)))</f>
        <v>16.899999999999999</v>
      </c>
      <c r="T83" s="33"/>
      <c r="U83" s="40"/>
      <c r="V83" s="34"/>
      <c r="W83" s="40"/>
      <c r="X83" s="4">
        <f t="shared" si="13"/>
        <v>0</v>
      </c>
      <c r="Y83" s="34"/>
      <c r="Z83" s="40"/>
      <c r="AA83" s="33">
        <v>41.99</v>
      </c>
      <c r="AB83" s="40">
        <v>0</v>
      </c>
      <c r="AC83" s="34">
        <v>46.94</v>
      </c>
      <c r="AD83" s="40">
        <v>12.7</v>
      </c>
      <c r="AE83" s="4">
        <f t="shared" si="14"/>
        <v>88.93</v>
      </c>
      <c r="AF83" s="34">
        <v>16.899999999999999</v>
      </c>
      <c r="AG83" s="37">
        <v>4.9000000000000004</v>
      </c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87</v>
      </c>
      <c r="D84" s="36" t="str">
        <f>IF(E84="","",VLOOKUP(E84,'Coaching Points'!A:B,2,0))</f>
        <v>QC</v>
      </c>
      <c r="E84" s="36" t="s">
        <v>287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 t="shared" si="10"/>
        <v>99.850099999999998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 t="shared" si="11"/>
        <v/>
      </c>
      <c r="R84" s="4">
        <f t="shared" si="12"/>
        <v>54.25</v>
      </c>
      <c r="S84" s="4">
        <f>IF(G84="17-21",LARGE(CHOOSE({1,2,3,4,5,6},T84,V84,Y84,AA84,AC84,AF84),2),IF(R84=X84,MAX(Y84,AA84,AC84,AF84),IF(R84=AE84,MAX(AF84,T84,V84,Y84),0)))</f>
        <v>45.6</v>
      </c>
      <c r="T84" s="33">
        <v>39.19</v>
      </c>
      <c r="U84" s="40">
        <v>0</v>
      </c>
      <c r="V84" s="34">
        <v>15.06</v>
      </c>
      <c r="W84" s="40">
        <v>3.4</v>
      </c>
      <c r="X84" s="4">
        <f t="shared" si="13"/>
        <v>54.25</v>
      </c>
      <c r="Y84" s="34">
        <v>45.6</v>
      </c>
      <c r="Z84" s="40">
        <v>8</v>
      </c>
      <c r="AA84" s="33"/>
      <c r="AB84" s="40"/>
      <c r="AC84" s="34"/>
      <c r="AD84" s="40"/>
      <c r="AE84" s="4">
        <f t="shared" si="14"/>
        <v>0</v>
      </c>
      <c r="AF84" s="34"/>
      <c r="AG84" s="37"/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501</v>
      </c>
      <c r="D85" s="36" t="str">
        <f>IF(E85="","",VLOOKUP(E85,'Coaching Points'!A:B,2,0))</f>
        <v>BC</v>
      </c>
      <c r="E85" s="36" t="s">
        <v>443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10"/>
        <v>88.470008847000003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 t="shared" si="11"/>
        <v/>
      </c>
      <c r="R85" s="4">
        <f t="shared" si="12"/>
        <v>88.47</v>
      </c>
      <c r="S85" s="4">
        <f>IF(G85="17-21",LARGE(CHOOSE({1,2,3,4,5,6},T85,V85,Y85,AA85,AC85,AF85),2),IF(R85=X85,MAX(Y85,AA85,AC85,AF85),IF(R85=AE85,MAX(AF85,T85,V85,Y85),0)))</f>
        <v>0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40.700000000000003</v>
      </c>
      <c r="AB85" s="40">
        <v>0</v>
      </c>
      <c r="AC85" s="34">
        <v>47.77</v>
      </c>
      <c r="AD85" s="40">
        <v>9.6</v>
      </c>
      <c r="AE85" s="4">
        <f t="shared" si="14"/>
        <v>88.47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265</v>
      </c>
      <c r="D86" s="36" t="str">
        <f>IF(E86="","",VLOOKUP(E86,'Coaching Points'!A:B,2,0))</f>
        <v>MB</v>
      </c>
      <c r="E86" s="36" t="s">
        <v>69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10"/>
        <v>84.910008490999999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 t="shared" si="11"/>
        <v/>
      </c>
      <c r="R86" s="4">
        <f t="shared" si="12"/>
        <v>84.91</v>
      </c>
      <c r="S86" s="4">
        <f>IF(G86="17-21",LARGE(CHOOSE({1,2,3,4,5,6},T86,V86,Y86,AA86,AC86,AF86),2),IF(R86=X86,MAX(Y86,AA86,AC86,AF86),IF(R86=AE86,MAX(AF86,T86,V86,Y86),0)))</f>
        <v>0</v>
      </c>
      <c r="T86" s="33"/>
      <c r="U86" s="40"/>
      <c r="V86" s="34"/>
      <c r="W86" s="40"/>
      <c r="X86" s="4">
        <f t="shared" si="13"/>
        <v>0</v>
      </c>
      <c r="Y86" s="34"/>
      <c r="Z86" s="40"/>
      <c r="AA86" s="33">
        <v>37.11</v>
      </c>
      <c r="AB86" s="40">
        <v>0</v>
      </c>
      <c r="AC86" s="34">
        <v>47.8</v>
      </c>
      <c r="AD86" s="40">
        <v>9.1</v>
      </c>
      <c r="AE86" s="4">
        <f t="shared" si="14"/>
        <v>84.91</v>
      </c>
      <c r="AF86" s="34"/>
      <c r="AG86" s="37"/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533</v>
      </c>
      <c r="D87" s="36" t="str">
        <f>IF(E87="","",VLOOKUP(E87,'Coaching Points'!A:B,2,0))</f>
        <v>NL</v>
      </c>
      <c r="E87" s="36" t="s">
        <v>104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10"/>
        <v>84.530008453000008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 t="shared" si="11"/>
        <v/>
      </c>
      <c r="R87" s="4">
        <f t="shared" si="12"/>
        <v>84.53</v>
      </c>
      <c r="S87" s="4">
        <f>IF(G87="17-21",LARGE(CHOOSE({1,2,3,4,5,6},T87,V87,Y87,AA87,AC87,AF87),2),IF(R87=X87,MAX(Y87,AA87,AC87,AF87),IF(R87=AE87,MAX(AF87,T87,V87,Y87),0)))</f>
        <v>0</v>
      </c>
      <c r="T87" s="33"/>
      <c r="U87" s="40"/>
      <c r="V87" s="34"/>
      <c r="W87" s="40"/>
      <c r="X87" s="4">
        <f t="shared" si="13"/>
        <v>0</v>
      </c>
      <c r="Y87" s="34"/>
      <c r="Z87" s="40"/>
      <c r="AA87" s="33">
        <v>38.700000000000003</v>
      </c>
      <c r="AB87" s="40">
        <v>0</v>
      </c>
      <c r="AC87" s="34">
        <v>45.83</v>
      </c>
      <c r="AD87" s="40">
        <v>8.6999999999999993</v>
      </c>
      <c r="AE87" s="4">
        <f t="shared" si="14"/>
        <v>84.53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541</v>
      </c>
      <c r="D88" s="36" t="str">
        <f>IF(E88="","",VLOOKUP(E88,'Coaching Points'!A:B,2,0))</f>
        <v>ON</v>
      </c>
      <c r="E88" s="36" t="s">
        <v>113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10"/>
        <v>84.270008427000008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 t="shared" si="11"/>
        <v/>
      </c>
      <c r="R88" s="4">
        <f t="shared" si="12"/>
        <v>84.27000000000001</v>
      </c>
      <c r="S88" s="4">
        <f>IF(G88="17-21",LARGE(CHOOSE({1,2,3,4,5,6},T88,V88,Y88,AA88,AC88,AF88),2),IF(R88=X88,MAX(Y88,AA88,AC88,AF88),IF(R88=AE88,MAX(AF88,T88,V88,Y88),0)))</f>
        <v>0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39.270000000000003</v>
      </c>
      <c r="AB88" s="40">
        <v>0</v>
      </c>
      <c r="AC88" s="34">
        <v>45</v>
      </c>
      <c r="AD88" s="40">
        <v>9.3000000000000007</v>
      </c>
      <c r="AE88" s="4">
        <f t="shared" si="14"/>
        <v>84.27000000000001</v>
      </c>
      <c r="AF88" s="34"/>
      <c r="AG88" s="37"/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263</v>
      </c>
      <c r="D89" s="36" t="str">
        <f>IF(E89="","",VLOOKUP(E89,'Coaching Points'!A:B,2,0))</f>
        <v>BC</v>
      </c>
      <c r="E89" s="36" t="s">
        <v>41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84.24000842400001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 t="shared" si="11"/>
        <v/>
      </c>
      <c r="R89" s="4">
        <f t="shared" si="12"/>
        <v>84.240000000000009</v>
      </c>
      <c r="S89" s="4">
        <f>IF(G89="17-21",LARGE(CHOOSE({1,2,3,4,5,6},T89,V89,Y89,AA89,AC89,AF89),2),IF(R89=X89,MAX(Y89,AA89,AC89,AF89),IF(R89=AE89,MAX(AF89,T89,V89,Y89),0)))</f>
        <v>0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39.200000000000003</v>
      </c>
      <c r="AB89" s="40">
        <v>0</v>
      </c>
      <c r="AC89" s="34">
        <v>45.04</v>
      </c>
      <c r="AD89" s="40">
        <v>10</v>
      </c>
      <c r="AE89" s="4">
        <f t="shared" si="14"/>
        <v>84.240000000000009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493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82.860008285999996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 t="shared" si="11"/>
        <v/>
      </c>
      <c r="R90" s="4">
        <f t="shared" si="12"/>
        <v>82.86</v>
      </c>
      <c r="S90" s="4">
        <f>IF(G90="17-21",LARGE(CHOOSE({1,2,3,4,5,6},T90,V90,Y90,AA90,AC90,AF90),2),IF(R90=X90,MAX(Y90,AA90,AC90,AF90),IF(R90=AE90,MAX(AF90,T90,V90,Y90),0)))</f>
        <v>0</v>
      </c>
      <c r="T90" s="33"/>
      <c r="U90" s="40"/>
      <c r="V90" s="34"/>
      <c r="W90" s="40"/>
      <c r="X90" s="4">
        <f t="shared" si="13"/>
        <v>0</v>
      </c>
      <c r="Y90" s="34"/>
      <c r="Z90" s="40"/>
      <c r="AA90" s="33">
        <v>38.18</v>
      </c>
      <c r="AB90" s="40">
        <v>0</v>
      </c>
      <c r="AC90" s="34">
        <v>44.68</v>
      </c>
      <c r="AD90" s="40">
        <v>8.4</v>
      </c>
      <c r="AE90" s="4">
        <f t="shared" si="14"/>
        <v>82.86</v>
      </c>
      <c r="AF90" s="34"/>
      <c r="AG90" s="37"/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491</v>
      </c>
      <c r="D91" s="36" t="str">
        <f>IF(E91="","",VLOOKUP(E91,'Coaching Points'!A:B,2,0))</f>
        <v>QC</v>
      </c>
      <c r="E91" s="36" t="s">
        <v>96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10"/>
        <v>82.73000827300001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 t="shared" si="11"/>
        <v/>
      </c>
      <c r="R91" s="4">
        <f t="shared" si="12"/>
        <v>82.73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 t="shared" si="13"/>
        <v>0</v>
      </c>
      <c r="Y91" s="34"/>
      <c r="Z91" s="40"/>
      <c r="AA91" s="33">
        <v>38.31</v>
      </c>
      <c r="AB91" s="40">
        <v>0</v>
      </c>
      <c r="AC91" s="34">
        <v>44.42</v>
      </c>
      <c r="AD91" s="40">
        <v>7.4</v>
      </c>
      <c r="AE91" s="4">
        <f t="shared" si="14"/>
        <v>82.73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494</v>
      </c>
      <c r="D92" s="36" t="str">
        <f>IF(E92="","",VLOOKUP(E92,'Coaching Points'!A:B,2,0))</f>
        <v>AB</v>
      </c>
      <c r="E92" s="36" t="s">
        <v>29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/>
      <c r="J92" s="4">
        <f t="shared" si="10"/>
        <v>78.970107897000005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 t="shared" si="11"/>
        <v/>
      </c>
      <c r="R92" s="4">
        <f t="shared" si="12"/>
        <v>78.97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 t="shared" si="13"/>
        <v>0</v>
      </c>
      <c r="Y92" s="34"/>
      <c r="Z92" s="40"/>
      <c r="AA92" s="33">
        <v>38.21</v>
      </c>
      <c r="AB92" s="40">
        <v>0</v>
      </c>
      <c r="AC92" s="34">
        <v>40.76</v>
      </c>
      <c r="AD92" s="40">
        <v>7.8</v>
      </c>
      <c r="AE92" s="4">
        <f t="shared" si="14"/>
        <v>78.97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490</v>
      </c>
      <c r="D93" s="36" t="str">
        <f>IF(E93="","",VLOOKUP(E93,'Coaching Points'!A:B,2,0))</f>
        <v>ON</v>
      </c>
      <c r="E93" s="36" t="s">
        <v>507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10"/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 t="shared" si="11"/>
        <v/>
      </c>
      <c r="R93" s="4">
        <f t="shared" si="12"/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 t="shared" si="13"/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 t="shared" si="14"/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534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 t="shared" si="11"/>
        <v/>
      </c>
      <c r="R94" s="4">
        <f t="shared" si="12"/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 t="shared" si="13"/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 t="shared" si="14"/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319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 t="shared" si="11"/>
        <v/>
      </c>
      <c r="R95" s="4">
        <f t="shared" si="12"/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 t="shared" si="13"/>
        <v>62.59</v>
      </c>
      <c r="Y95" s="34"/>
      <c r="Z95" s="40"/>
      <c r="AA95" s="33"/>
      <c r="AB95" s="40"/>
      <c r="AC95" s="34"/>
      <c r="AD95" s="40"/>
      <c r="AE95" s="4">
        <f t="shared" si="14"/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523</v>
      </c>
      <c r="D96" s="36" t="str">
        <f>IF(E96="","",VLOOKUP(E96,'Coaching Points'!A:B,2,0))</f>
        <v>SK</v>
      </c>
      <c r="E96" s="36" t="s">
        <v>573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 t="shared" si="11"/>
        <v/>
      </c>
      <c r="R96" s="4">
        <f t="shared" si="12"/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 t="shared" si="14"/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495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 t="shared" si="11"/>
        <v/>
      </c>
      <c r="R97" s="4">
        <f t="shared" si="12"/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 t="shared" si="14"/>
        <v>40.93</v>
      </c>
      <c r="AF97" s="34"/>
      <c r="AG97" s="37"/>
    </row>
    <row r="98" spans="1:33" x14ac:dyDescent="0.2">
      <c r="A98" s="1" t="str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/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si="10"/>
        <v>138.450008908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 t="str">
        <f t="shared" si="11"/>
        <v/>
      </c>
      <c r="R98" s="4">
        <f t="shared" si="12"/>
        <v>89.08</v>
      </c>
      <c r="S98" s="4">
        <f>IF(G98="17-21",LARGE(CHOOSE({1,2,3,4,5,6},T98,V98,Y98,AA98,AC98,AF98),2),IF(R98=X98,MAX(Y98,AA98,AC98,AF98),IF(R98=AE98,MAX(AF98,T98,V98,Y98),0)))</f>
        <v>49.37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 t="shared" si="13"/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 t="shared" si="14"/>
        <v>89.08</v>
      </c>
      <c r="AF98" s="34"/>
      <c r="AG98" s="37"/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264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6" si="15">R99+S99+IF(OR(H99="Junior",H99="Senior"),0.0002,IF(OR(H99="L7",H99="L6"),0.0001,0))+IF(G99="17-21",MAX(AA99,AC99,AF99),AE99)*0.0000001</f>
        <v>128.59000567300001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 t="shared" ref="Q99:Q106" si="16">IF(A99&lt;5,IF(_xlfn.MAXIFS(A:A,G:G,G99)&gt;3,5-A99,_xlfn.MAXIFS(A:A,G:G,G99)+1-A99),"")</f>
        <v/>
      </c>
      <c r="R99" s="4">
        <f t="shared" ref="R99:R106" si="17"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44.91</v>
      </c>
      <c r="T99" s="33">
        <v>38.24</v>
      </c>
      <c r="U99" s="40">
        <v>0</v>
      </c>
      <c r="V99" s="34">
        <v>45.44</v>
      </c>
      <c r="W99" s="40">
        <v>8.4</v>
      </c>
      <c r="X99" s="4">
        <f t="shared" ref="X99:X106" si="18"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 t="shared" ref="AE99:AE106" si="19">IF(H99="Senior",MAX(AA99,AC99),AA99+AC99)</f>
        <v>56.730000000000004</v>
      </c>
      <c r="AF99" s="34"/>
      <c r="AG99" s="37"/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325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/>
      <c r="J100" s="4">
        <f t="shared" si="15"/>
        <v>125.82000818799999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 t="shared" si="16"/>
        <v/>
      </c>
      <c r="R100" s="4">
        <f t="shared" si="17"/>
        <v>81.88</v>
      </c>
      <c r="S100" s="4">
        <f>IF(G100="17-21",LARGE(CHOOSE({1,2,3,4,5,6},T100,V100,Y100,AA100,AC100,AF100),2),IF(R100=X100,MAX(Y100,AA100,AC100,AF100),IF(R100=AE100,MAX(AF100,T100,V100,Y100),0)))</f>
        <v>43.94</v>
      </c>
      <c r="T100" s="33">
        <v>37.53</v>
      </c>
      <c r="U100" s="40">
        <v>0</v>
      </c>
      <c r="V100" s="34">
        <v>40</v>
      </c>
      <c r="W100" s="40">
        <v>6.5</v>
      </c>
      <c r="X100" s="4">
        <f t="shared" si="18"/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 t="shared" si="19"/>
        <v>81.88</v>
      </c>
      <c r="AF100" s="34"/>
      <c r="AG100" s="37"/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520</v>
      </c>
      <c r="D101" s="36" t="str">
        <f>IF(E101="","",VLOOKUP(E101,'Coaching Points'!A:B,2,0))</f>
        <v>BC</v>
      </c>
      <c r="E101" s="36" t="s">
        <v>290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5"/>
        <v>87.890008789000007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 t="shared" si="16"/>
        <v/>
      </c>
      <c r="R101" s="4">
        <f t="shared" si="17"/>
        <v>87.89</v>
      </c>
      <c r="S101" s="4">
        <f>IF(G101="17-21",LARGE(CHOOSE({1,2,3,4,5,6},T101,V101,Y101,AA101,AC101,AF101),2),IF(R101=X101,MAX(Y101,AA101,AC101,AF101),IF(R101=AE101,MAX(AF101,T101,V101,Y101),0)))</f>
        <v>0</v>
      </c>
      <c r="T101" s="33"/>
      <c r="U101" s="40"/>
      <c r="V101" s="34"/>
      <c r="W101" s="40"/>
      <c r="X101" s="4">
        <f t="shared" si="18"/>
        <v>0</v>
      </c>
      <c r="Y101" s="34"/>
      <c r="Z101" s="40"/>
      <c r="AA101" s="33">
        <v>40.06</v>
      </c>
      <c r="AB101" s="40">
        <v>0</v>
      </c>
      <c r="AC101" s="34">
        <v>47.83</v>
      </c>
      <c r="AD101" s="40">
        <v>9.4</v>
      </c>
      <c r="AE101" s="4">
        <f t="shared" si="19"/>
        <v>87.89</v>
      </c>
      <c r="AF101" s="34"/>
      <c r="AG101" s="37"/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327</v>
      </c>
      <c r="D102" s="36" t="str">
        <f>IF(E102="","",VLOOKUP(E102,'Coaching Points'!A:B,2,0))</f>
        <v>NS</v>
      </c>
      <c r="E102" s="36" t="s">
        <v>289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5"/>
        <v>81.310008131000004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 t="shared" si="16"/>
        <v/>
      </c>
      <c r="R102" s="4">
        <f t="shared" si="17"/>
        <v>81.31</v>
      </c>
      <c r="S102" s="4">
        <f>IF(G102="17-21",LARGE(CHOOSE({1,2,3,4,5,6},T102,V102,Y102,AA102,AC102,AF102),2),IF(R102=X102,MAX(Y102,AA102,AC102,AF102),IF(R102=AE102,MAX(AF102,T102,V102,Y102),0)))</f>
        <v>0</v>
      </c>
      <c r="T102" s="33"/>
      <c r="U102" s="40"/>
      <c r="V102" s="34"/>
      <c r="W102" s="40"/>
      <c r="X102" s="4">
        <f t="shared" si="18"/>
        <v>0</v>
      </c>
      <c r="Y102" s="34"/>
      <c r="Z102" s="40"/>
      <c r="AA102" s="33">
        <v>37.020000000000003</v>
      </c>
      <c r="AB102" s="40">
        <v>0</v>
      </c>
      <c r="AC102" s="34">
        <v>44.29</v>
      </c>
      <c r="AD102" s="40">
        <v>8.1999999999999993</v>
      </c>
      <c r="AE102" s="4">
        <f t="shared" si="19"/>
        <v>81.31</v>
      </c>
      <c r="AF102" s="34"/>
      <c r="AG102" s="37"/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519</v>
      </c>
      <c r="D103" s="36" t="str">
        <f>IF(E103="","",VLOOKUP(E103,'Coaching Points'!A:B,2,0))</f>
        <v>AB</v>
      </c>
      <c r="E103" s="36" t="s">
        <v>29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5"/>
        <v>80.370008037000005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 t="shared" si="16"/>
        <v/>
      </c>
      <c r="R103" s="4">
        <f t="shared" si="17"/>
        <v>80.37</v>
      </c>
      <c r="S103" s="4">
        <f>IF(G103="17-21",LARGE(CHOOSE({1,2,3,4,5,6},T103,V103,Y103,AA103,AC103,AF103),2),IF(R103=X103,MAX(Y103,AA103,AC103,AF103),IF(R103=AE103,MAX(AF103,T103,V103,Y103),0)))</f>
        <v>0</v>
      </c>
      <c r="T103" s="33"/>
      <c r="U103" s="40"/>
      <c r="V103" s="34"/>
      <c r="W103" s="40"/>
      <c r="X103" s="4">
        <f t="shared" si="18"/>
        <v>0</v>
      </c>
      <c r="Y103" s="34"/>
      <c r="Z103" s="40"/>
      <c r="AA103" s="33">
        <v>36.130000000000003</v>
      </c>
      <c r="AB103" s="40">
        <v>0</v>
      </c>
      <c r="AC103" s="34">
        <v>44.24</v>
      </c>
      <c r="AD103" s="40">
        <v>8.5</v>
      </c>
      <c r="AE103" s="4">
        <f t="shared" si="19"/>
        <v>80.37</v>
      </c>
      <c r="AF103" s="34"/>
      <c r="AG103" s="37"/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326</v>
      </c>
      <c r="D104" s="36" t="str">
        <f>IF(E104="","",VLOOKUP(E104,'Coaching Points'!A:B,2,0))</f>
        <v>BC</v>
      </c>
      <c r="E104" s="36" t="s">
        <v>443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5"/>
        <v>121.14000840600001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 t="shared" si="16"/>
        <v/>
      </c>
      <c r="R104" s="4">
        <f t="shared" si="17"/>
        <v>84.06</v>
      </c>
      <c r="S104" s="4">
        <f>IF(G104="17-21",LARGE(CHOOSE({1,2,3,4,5,6},T104,V104,Y104,AA104,AC104,AF104),2),IF(R104=X104,MAX(Y104,AA104,AC104,AF104),IF(R104=AE104,MAX(AF104,T104,V104,Y104),0)))</f>
        <v>37.08</v>
      </c>
      <c r="T104" s="33">
        <v>37.08</v>
      </c>
      <c r="U104" s="40">
        <v>0</v>
      </c>
      <c r="V104" s="34">
        <v>4.74</v>
      </c>
      <c r="W104" s="40">
        <v>1.3</v>
      </c>
      <c r="X104" s="4">
        <f t="shared" si="18"/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 t="shared" si="19"/>
        <v>84.06</v>
      </c>
      <c r="AF104" s="34"/>
      <c r="AG104" s="37"/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522</v>
      </c>
      <c r="D105" s="36" t="str">
        <f>IF(E105="","",VLOOKUP(E105,'Coaching Points'!A:B,2,0))</f>
        <v>BC</v>
      </c>
      <c r="E105" s="36" t="s">
        <v>41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5"/>
        <v>82.200008220000001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/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 t="shared" si="16"/>
        <v/>
      </c>
      <c r="R105" s="4">
        <f t="shared" si="17"/>
        <v>82.2</v>
      </c>
      <c r="S105" s="4">
        <f>IF(G105="17-21",LARGE(CHOOSE({1,2,3,4,5,6},T105,V105,Y105,AA105,AC105,AF105),2),IF(R105=X105,MAX(Y105,AA105,AC105,AF105),IF(R105=AE105,MAX(AF105,T105,V105,Y105),0)))</f>
        <v>0</v>
      </c>
      <c r="T105" s="33"/>
      <c r="U105" s="40"/>
      <c r="V105" s="34"/>
      <c r="W105" s="40"/>
      <c r="X105" s="4">
        <f t="shared" si="18"/>
        <v>0</v>
      </c>
      <c r="Y105" s="34"/>
      <c r="Z105" s="40"/>
      <c r="AA105" s="33">
        <v>38.64</v>
      </c>
      <c r="AB105" s="40">
        <v>0</v>
      </c>
      <c r="AC105" s="34">
        <v>43.56</v>
      </c>
      <c r="AD105" s="40">
        <v>8.4</v>
      </c>
      <c r="AE105" s="4">
        <f t="shared" si="19"/>
        <v>82.2</v>
      </c>
      <c r="AF105" s="34"/>
      <c r="AG105" s="37"/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531</v>
      </c>
      <c r="D106" s="36" t="str">
        <f>IF(E106="","",VLOOKUP(E106,'Coaching Points'!A:B,2,0))</f>
        <v>BC</v>
      </c>
      <c r="E106" s="36" t="s">
        <v>62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 t="shared" si="15"/>
        <v>80.610008061000002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>P</v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 t="shared" si="16"/>
        <v/>
      </c>
      <c r="R106" s="4">
        <f t="shared" si="17"/>
        <v>80.61</v>
      </c>
      <c r="S106" s="4">
        <f>IF(G106="17-21",LARGE(CHOOSE({1,2,3,4,5,6},T106,V106,Y106,AA106,AC106,AF106),2),IF(R106=X106,MAX(Y106,AA106,AC106,AF106),IF(R106=AE106,MAX(AF106,T106,V106,Y106),0)))</f>
        <v>0</v>
      </c>
      <c r="T106" s="33"/>
      <c r="U106" s="40"/>
      <c r="V106" s="34"/>
      <c r="W106" s="40"/>
      <c r="X106" s="4">
        <f t="shared" si="18"/>
        <v>0</v>
      </c>
      <c r="Y106" s="34"/>
      <c r="Z106" s="40"/>
      <c r="AA106" s="33">
        <v>37.96</v>
      </c>
      <c r="AB106" s="40">
        <v>0</v>
      </c>
      <c r="AC106" s="34">
        <v>42.65</v>
      </c>
      <c r="AD106" s="40">
        <v>9.1999999999999993</v>
      </c>
      <c r="AE106" s="4">
        <f t="shared" si="19"/>
        <v>80.61</v>
      </c>
      <c r="AF106" s="34"/>
      <c r="AG106" s="37"/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6">
      <sortCondition descending="1" ref="G1:G107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67" priority="5">
      <formula>IF($G1="17-21",1,0)</formula>
    </cfRule>
    <cfRule type="expression" dxfId="66" priority="6">
      <formula>IF($G1="15-16",1,0)</formula>
    </cfRule>
    <cfRule type="expression" dxfId="65" priority="7">
      <formula>IF($G1="13-14",1,0)</formula>
    </cfRule>
    <cfRule type="expression" dxfId="64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9"/>
  <sheetViews>
    <sheetView zoomScaleNormal="100" workbookViewId="0">
      <pane xSplit="5" ySplit="2" topLeftCell="X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371</v>
      </c>
      <c r="S1" s="69" t="s">
        <v>370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$135&lt;&gt;"")*(G$3:G$135=G3)*(J$3:J$135&gt;J3)*(I$3:I$135="P"))+1,IF(O3&lt;&gt;"",SUMPRODUCT((O$3:O$135&lt;&gt;"")*(P$3:P$135="")*(G$3:G$135=G3)*(J$3:J$135&gt;J3)*(I$3:I$135="P"))+SUMPRODUCT((P$3:P$135&lt;&gt;"")*(G$3:G$135=G3)*(I$3:I$135="P"))+1,IF(N3&lt;&gt;"",SUMPRODUCT((N$3:N$135&lt;&gt;"")*(G$3:G$135=G3)*(J$3:J$135&gt;J3)*(I$3:I$135="P"))+1,IF(M3="P",SUMPRODUCT((O$3:O$135&lt;&gt;"")*(P$3:P$135="")*(G$3:G$135=G3)*(I$3:I$135="P"))+SUMPRODUCT((P$3:P$135&lt;&gt;"")*(G$3:G$135=G3)*(I$3:I$135="P"))+SUMPRODUCT((N$3:N$135&lt;&gt;"")*(G$3:G$135=G3)*(I$3:I$135="P"))+SUMPRODUCT((P$3:P$135="")*(O$3:O$135="")*(N$3:N$135="")*(M$3:M$135="P")*(G$3:G$135=G3)*(J$3:J$135&gt;J3)*(I$3:I$135="P"))+IF(H3="L5",SUMPRODUCT((P$3:P$135="")*(O$3:O$135="")*(N$3:N$135="")*(M$3:M$135="P")*(G$3:G$135=G3)*(J$3:J$135&lt;J3)*(H$3:H$135&lt;&gt;H3)*(I$3:I$135="P")),-1*SUMPRODUCT((P$3:P$135="")*(O$3:O$135="")*(N$3:N$135="")*(M$3:M$135="P")*(G$3:G$135=G3)*(J$3:J$135&gt;J3)*(H$3:H$135="L5")*(I$3:I$135="P")))+1,"")))))</f>
        <v/>
      </c>
      <c r="B3" s="1" cm="1">
        <f t="array" ref="B3">IF(P3&lt;&gt;"",SUMPRODUCT((P$3:P$135&lt;&gt;"")*(G$3:G$135=G3)*(J$3:J$135&gt;J3))+1,IF(O3&lt;&gt;"",SUMPRODUCT((O$3:O$135&lt;&gt;"")*(P$3:P$135="")*(G$3:G$135=G3)*(J$3:J$135&gt;J3))+SUMPRODUCT((P$3:P$135&lt;&gt;"")*(G$3:G$135=G3))+1,IF(N3&lt;&gt;"",SUMPRODUCT((N$3:N$135&lt;&gt;"")*(G$3:G$135=G3)*(J$3:J$135&gt;J3))+1,IF(M3="P",SUMPRODUCT((O$3:O$135&lt;&gt;"")*(P$3:P$135="")*(G$3:G$135=G3))+SUMPRODUCT((P$3:P$135&lt;&gt;"")*(G$3:G$135=G3))+SUMPRODUCT((N$3:N$135&lt;&gt;"")*(G$3:G$135=G3))+SUMPRODUCT((P$3:P$135="")*(O$3:O$135="")*(N$3:N$135="")*(M$3:M$135="P")*(G$3:G$135=G3)*(J$3:J$135&gt;J3))+IF(H3="L5",SUMPRODUCT((P$3:P$135="")*(O$3:O$135="")*(N$3:N$135="")*(M$3:M$135="P")*(G$3:G$135=G3)*(J$3:J$135&lt;J3)*(H$3:H$135&lt;&gt;H3)),-1*SUMPRODUCT((P$3:P$135="")*(O$3:O$135="")*(N$3:N$135="")*(M$3:M$135="P")*(G$3:G$135=G3)*(J$3:J$135&gt;J3)*(H$3:H$135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 t="shared" ref="AE3:AE34" si="4">IF(H3="Senior",MAX(AA3,AC3),AA3+AC3)</f>
        <v>50.84</v>
      </c>
      <c r="AF3" s="34">
        <v>52.4</v>
      </c>
      <c r="AG3" s="37">
        <v>13.6</v>
      </c>
    </row>
    <row r="4" spans="1:33" x14ac:dyDescent="0.2">
      <c r="A4" s="1" t="str" cm="1">
        <f t="array" ref="A4">IF(I4="","",IF(P4&lt;&gt;"",SUMPRODUCT((P$3:P$135&lt;&gt;"")*(G$3:G$135=G4)*(J$3:J$135&gt;J4)*(I$3:I$135="P"))+1,IF(O4&lt;&gt;"",SUMPRODUCT((O$3:O$135&lt;&gt;"")*(P$3:P$135="")*(G$3:G$135=G4)*(J$3:J$135&gt;J4)*(I$3:I$135="P"))+SUMPRODUCT((P$3:P$135&lt;&gt;"")*(G$3:G$135=G4)*(I$3:I$135="P"))+1,IF(N4&lt;&gt;"",SUMPRODUCT((N$3:N$135&lt;&gt;"")*(G$3:G$135=G4)*(J$3:J$135&gt;J4)*(I$3:I$135="P"))+1,IF(M4="P",SUMPRODUCT((O$3:O$135&lt;&gt;"")*(P$3:P$135="")*(G$3:G$135=G4)*(I$3:I$135="P"))+SUMPRODUCT((P$3:P$135&lt;&gt;"")*(G$3:G$135=G4)*(I$3:I$135="P"))+SUMPRODUCT((N$3:N$135&lt;&gt;"")*(G$3:G$135=G4)*(I$3:I$135="P"))+SUMPRODUCT((P$3:P$135="")*(O$3:O$135="")*(N$3:N$135="")*(M$3:M$135="P")*(G$3:G$135=G4)*(J$3:J$135&gt;J4)*(I$3:I$135="P"))+IF(H4="L5",SUMPRODUCT((P$3:P$135="")*(O$3:O$135="")*(N$3:N$135="")*(M$3:M$135="P")*(G$3:G$135=G4)*(J$3:J$135&lt;J4)*(H$3:H$135&lt;&gt;H4)*(I$3:I$135="P")),-1*SUMPRODUCT((P$3:P$135="")*(O$3:O$135="")*(N$3:N$135="")*(M$3:M$135="P")*(G$3:G$135=G4)*(J$3:J$135&gt;J4)*(H$3:H$135="L5")*(I$3:I$135="P")))+1,"")))))</f>
        <v/>
      </c>
      <c r="B4" s="1" cm="1">
        <f t="array" ref="B4">IF(P4&lt;&gt;"",SUMPRODUCT((P$3:P$135&lt;&gt;"")*(G$3:G$135=G4)*(J$3:J$135&gt;J4))+1,IF(O4&lt;&gt;"",SUMPRODUCT((O$3:O$135&lt;&gt;"")*(P$3:P$135="")*(G$3:G$135=G4)*(J$3:J$135&gt;J4))+SUMPRODUCT((P$3:P$135&lt;&gt;"")*(G$3:G$135=G4))+1,IF(N4&lt;&gt;"",SUMPRODUCT((N$3:N$135&lt;&gt;"")*(G$3:G$135=G4)*(J$3:J$135&gt;J4))+1,IF(M4="P",SUMPRODUCT((O$3:O$135&lt;&gt;"")*(P$3:P$135="")*(G$3:G$135=G4))+SUMPRODUCT((P$3:P$135&lt;&gt;"")*(G$3:G$135=G4))+SUMPRODUCT((N$3:N$135&lt;&gt;"")*(G$3:G$135=G4))+SUMPRODUCT((P$3:P$135="")*(O$3:O$135="")*(N$3:N$135="")*(M$3:M$135="P")*(G$3:G$135=G4)*(J$3:J$135&gt;J4))+IF(H4="L5",SUMPRODUCT((P$3:P$135="")*(O$3:O$135="")*(N$3:N$135="")*(M$3:M$135="P")*(G$3:G$135=G4)*(J$3:J$135&lt;J4)*(H$3:H$135&lt;&gt;H4)),-1*SUMPRODUCT((P$3:P$135="")*(O$3:O$135="")*(N$3:N$135="")*(M$3:M$135="P")*(G$3:G$135=G4)*(J$3:J$135&gt;J4)*(H$3:H$135="L5")))+1,""))))</f>
        <v>2</v>
      </c>
      <c r="C4" s="36" t="s">
        <v>14</v>
      </c>
      <c r="D4" s="36" t="str">
        <f>IF(E4="","",VLOOKUP(E4,'Coaching Points'!A:B,2,0))</f>
        <v>BC</v>
      </c>
      <c r="E4" s="36" t="s">
        <v>37</v>
      </c>
      <c r="F4" s="35">
        <v>2002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100.64020505600001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3</v>
      </c>
      <c r="P4" s="39">
        <v>8</v>
      </c>
      <c r="Q4" s="1" t="str">
        <f t="shared" si="1"/>
        <v/>
      </c>
      <c r="R4" s="4">
        <f t="shared" si="2"/>
        <v>50.56</v>
      </c>
      <c r="S4" s="4">
        <f>IF(G4="17-21",LARGE(CHOOSE({1,2,3,4,5,6},T4,V4,Y4,AA4,AC4,AF4),2),IF(R4=X4,MAX(Y4,AA4,AC4,AF4),IF(R4=AE4,MAX(AF4,T4,V4,Y4),0)))</f>
        <v>50.08</v>
      </c>
      <c r="T4" s="33">
        <v>29.89</v>
      </c>
      <c r="U4" s="40">
        <v>8.1</v>
      </c>
      <c r="V4" s="34">
        <v>5.09</v>
      </c>
      <c r="W4" s="40">
        <v>0.6</v>
      </c>
      <c r="X4" s="4">
        <f t="shared" si="3"/>
        <v>29.89</v>
      </c>
      <c r="Y4" s="34"/>
      <c r="Z4" s="40"/>
      <c r="AA4" s="33">
        <v>49.94</v>
      </c>
      <c r="AB4" s="40">
        <v>12.7</v>
      </c>
      <c r="AC4" s="34">
        <v>50.08</v>
      </c>
      <c r="AD4" s="40">
        <v>12.4</v>
      </c>
      <c r="AE4" s="4">
        <f t="shared" si="4"/>
        <v>50.08</v>
      </c>
      <c r="AF4" s="34">
        <v>50.56</v>
      </c>
      <c r="AG4" s="37">
        <v>12</v>
      </c>
    </row>
    <row r="5" spans="1:33" x14ac:dyDescent="0.2">
      <c r="A5" s="1" t="str" cm="1">
        <f t="array" ref="A5">IF(I5="","",IF(P5&lt;&gt;"",SUMPRODUCT((P$3:P$135&lt;&gt;"")*(G$3:G$135=G5)*(J$3:J$135&gt;J5)*(I$3:I$135="P"))+1,IF(O5&lt;&gt;"",SUMPRODUCT((O$3:O$135&lt;&gt;"")*(P$3:P$135="")*(G$3:G$135=G5)*(J$3:J$135&gt;J5)*(I$3:I$135="P"))+SUMPRODUCT((P$3:P$135&lt;&gt;"")*(G$3:G$135=G5)*(I$3:I$135="P"))+1,IF(N5&lt;&gt;"",SUMPRODUCT((N$3:N$135&lt;&gt;"")*(G$3:G$135=G5)*(J$3:J$135&gt;J5)*(I$3:I$135="P"))+1,IF(M5="P",SUMPRODUCT((O$3:O$135&lt;&gt;"")*(P$3:P$135="")*(G$3:G$135=G5)*(I$3:I$135="P"))+SUMPRODUCT((P$3:P$135&lt;&gt;"")*(G$3:G$135=G5)*(I$3:I$135="P"))+SUMPRODUCT((N$3:N$135&lt;&gt;"")*(G$3:G$135=G5)*(I$3:I$135="P"))+SUMPRODUCT((P$3:P$135="")*(O$3:O$135="")*(N$3:N$135="")*(M$3:M$135="P")*(G$3:G$135=G5)*(J$3:J$135&gt;J5)*(I$3:I$135="P"))+IF(H5="L5",SUMPRODUCT((P$3:P$135="")*(O$3:O$135="")*(N$3:N$135="")*(M$3:M$135="P")*(G$3:G$135=G5)*(J$3:J$135&lt;J5)*(H$3:H$135&lt;&gt;H5)*(I$3:I$135="P")),-1*SUMPRODUCT((P$3:P$135="")*(O$3:O$135="")*(N$3:N$135="")*(M$3:M$135="P")*(G$3:G$135=G5)*(J$3:J$135&gt;J5)*(H$3:H$135="L5")*(I$3:I$135="P")))+1,"")))))</f>
        <v/>
      </c>
      <c r="B5" s="1" cm="1">
        <f t="array" ref="B5">IF(P5&lt;&gt;"",SUMPRODUCT((P$3:P$135&lt;&gt;"")*(G$3:G$135=G5)*(J$3:J$135&gt;J5))+1,IF(O5&lt;&gt;"",SUMPRODUCT((O$3:O$135&lt;&gt;"")*(P$3:P$135="")*(G$3:G$135=G5)*(J$3:J$135&gt;J5))+SUMPRODUCT((P$3:P$135&lt;&gt;"")*(G$3:G$135=G5))+1,IF(N5&lt;&gt;"",SUMPRODUCT((N$3:N$135&lt;&gt;"")*(G$3:G$135=G5)*(J$3:J$135&gt;J5))+1,IF(M5="P",SUMPRODUCT((O$3:O$135&lt;&gt;"")*(P$3:P$135="")*(G$3:G$135=G5))+SUMPRODUCT((P$3:P$135&lt;&gt;"")*(G$3:G$135=G5))+SUMPRODUCT((N$3:N$135&lt;&gt;"")*(G$3:G$135=G5))+SUMPRODUCT((P$3:P$135="")*(O$3:O$135="")*(N$3:N$135="")*(M$3:M$135="P")*(G$3:G$135=G5)*(J$3:J$135&gt;J5))+IF(H5="L5",SUMPRODUCT((P$3:P$135="")*(O$3:O$135="")*(N$3:N$135="")*(M$3:M$135="P")*(G$3:G$135=G5)*(J$3:J$135&lt;J5)*(H$3:H$135&lt;&gt;H5)),-1*SUMPRODUCT((P$3:P$135="")*(O$3:O$135="")*(N$3:N$135="")*(M$3:M$135="P")*(G$3:G$135=G5)*(J$3:J$135&gt;J5)*(H$3:H$135="L5")))+1,""))))</f>
        <v>3</v>
      </c>
      <c r="C5" s="36" t="s">
        <v>116</v>
      </c>
      <c r="D5" s="36" t="str">
        <f>IF(E5="","",VLOOKUP(E5,'Coaching Points'!A:B,2,0))</f>
        <v>QC</v>
      </c>
      <c r="E5" s="36" t="s">
        <v>287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101.92020158400001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2</v>
      </c>
      <c r="Q5" s="1" t="str">
        <f t="shared" si="1"/>
        <v/>
      </c>
      <c r="R5" s="4">
        <f t="shared" si="2"/>
        <v>51.17</v>
      </c>
      <c r="S5" s="4">
        <f>IF(G5="17-21",LARGE(CHOOSE({1,2,3,4,5,6},T5,V5,Y5,AA5,AC5,AF5),2),IF(R5=X5,MAX(Y5,AA5,AC5,AF5),IF(R5=AE5,MAX(AF5,T5,V5,Y5),0)))</f>
        <v>50.75</v>
      </c>
      <c r="T5" s="33">
        <v>50.75</v>
      </c>
      <c r="U5" s="40">
        <v>11.2</v>
      </c>
      <c r="V5" s="34">
        <v>48.97</v>
      </c>
      <c r="W5" s="40">
        <v>11.2</v>
      </c>
      <c r="X5" s="4">
        <f t="shared" si="3"/>
        <v>50.75</v>
      </c>
      <c r="Y5" s="34">
        <v>51.17</v>
      </c>
      <c r="Z5" s="40">
        <v>11.2</v>
      </c>
      <c r="AA5" s="33">
        <v>15.84</v>
      </c>
      <c r="AB5" s="40">
        <v>4</v>
      </c>
      <c r="AC5" s="34">
        <v>5.75</v>
      </c>
      <c r="AD5" s="40">
        <v>1.5</v>
      </c>
      <c r="AE5" s="4">
        <f t="shared" si="4"/>
        <v>15.84</v>
      </c>
      <c r="AF5" s="34"/>
      <c r="AG5" s="37"/>
    </row>
    <row r="6" spans="1:33" x14ac:dyDescent="0.2">
      <c r="A6" s="1" t="str" cm="1">
        <f t="array" ref="A6">IF(I6="","",IF(P6&lt;&gt;"",SUMPRODUCT((P$3:P$135&lt;&gt;"")*(G$3:G$135=G6)*(J$3:J$135&gt;J6)*(I$3:I$135="P"))+1,IF(O6&lt;&gt;"",SUMPRODUCT((O$3:O$135&lt;&gt;"")*(P$3:P$135="")*(G$3:G$135=G6)*(J$3:J$135&gt;J6)*(I$3:I$135="P"))+SUMPRODUCT((P$3:P$135&lt;&gt;"")*(G$3:G$135=G6)*(I$3:I$135="P"))+1,IF(N6&lt;&gt;"",SUMPRODUCT((N$3:N$135&lt;&gt;"")*(G$3:G$135=G6)*(J$3:J$135&gt;J6)*(I$3:I$135="P"))+1,IF(M6="P",SUMPRODUCT((O$3:O$135&lt;&gt;"")*(P$3:P$135="")*(G$3:G$135=G6)*(I$3:I$135="P"))+SUMPRODUCT((P$3:P$135&lt;&gt;"")*(G$3:G$135=G6)*(I$3:I$135="P"))+SUMPRODUCT((N$3:N$135&lt;&gt;"")*(G$3:G$135=G6)*(I$3:I$135="P"))+SUMPRODUCT((P$3:P$135="")*(O$3:O$135="")*(N$3:N$135="")*(M$3:M$135="P")*(G$3:G$135=G6)*(J$3:J$135&gt;J6)*(I$3:I$135="P"))+IF(H6="L5",SUMPRODUCT((P$3:P$135="")*(O$3:O$135="")*(N$3:N$135="")*(M$3:M$135="P")*(G$3:G$135=G6)*(J$3:J$135&lt;J6)*(H$3:H$135&lt;&gt;H6)*(I$3:I$135="P")),-1*SUMPRODUCT((P$3:P$135="")*(O$3:O$135="")*(N$3:N$135="")*(M$3:M$135="P")*(G$3:G$135=G6)*(J$3:J$135&gt;J6)*(H$3:H$135="L5")*(I$3:I$135="P")))+1,"")))))</f>
        <v/>
      </c>
      <c r="B6" s="1" cm="1">
        <f t="array" ref="B6">IF(P6&lt;&gt;"",SUMPRODUCT((P$3:P$135&lt;&gt;"")*(G$3:G$135=G6)*(J$3:J$135&gt;J6))+1,IF(O6&lt;&gt;"",SUMPRODUCT((O$3:O$135&lt;&gt;"")*(P$3:P$135="")*(G$3:G$135=G6)*(J$3:J$135&gt;J6))+SUMPRODUCT((P$3:P$135&lt;&gt;"")*(G$3:G$135=G6))+1,IF(N6&lt;&gt;"",SUMPRODUCT((N$3:N$135&lt;&gt;"")*(G$3:G$135=G6)*(J$3:J$135&gt;J6))+1,IF(M6="P",SUMPRODUCT((O$3:O$135&lt;&gt;"")*(P$3:P$135="")*(G$3:G$135=G6))+SUMPRODUCT((P$3:P$135&lt;&gt;"")*(G$3:G$135=G6))+SUMPRODUCT((N$3:N$135&lt;&gt;"")*(G$3:G$135=G6))+SUMPRODUCT((P$3:P$135="")*(O$3:O$135="")*(N$3:N$135="")*(M$3:M$135="P")*(G$3:G$135=G6)*(J$3:J$135&gt;J6))+IF(H6="L5",SUMPRODUCT((P$3:P$135="")*(O$3:O$135="")*(N$3:N$135="")*(M$3:M$135="P")*(G$3:G$135=G6)*(J$3:J$135&lt;J6)*(H$3:H$135&lt;&gt;H6)),-1*SUMPRODUCT((P$3:P$135="")*(O$3:O$135="")*(N$3:N$135="")*(M$3:M$135="P")*(G$3:G$135=G6)*(J$3:J$135&gt;J6)*(H$3:H$135="L5")))+1,""))))</f>
        <v>4</v>
      </c>
      <c r="C6" s="36" t="s">
        <v>115</v>
      </c>
      <c r="D6" s="36" t="str">
        <f>IF(E6="","",VLOOKUP(E6,'Coaching Points'!A:B,2,0))</f>
        <v>ON</v>
      </c>
      <c r="E6" s="36" t="s">
        <v>38</v>
      </c>
      <c r="F6" s="35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99.860204901000003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4</v>
      </c>
      <c r="Q6" s="1" t="str">
        <f t="shared" si="1"/>
        <v/>
      </c>
      <c r="R6" s="4">
        <f t="shared" si="2"/>
        <v>50.55</v>
      </c>
      <c r="S6" s="4">
        <f>IF(G6="17-21",LARGE(CHOOSE({1,2,3,4,5,6},T6,V6,Y6,AA6,AC6,AF6),2),IF(R6=X6,MAX(Y6,AA6,AC6,AF6),IF(R6=AE6,MAX(AF6,T6,V6,Y6),0)))</f>
        <v>49.31</v>
      </c>
      <c r="T6" s="33">
        <v>49.09</v>
      </c>
      <c r="U6" s="40">
        <v>11.3</v>
      </c>
      <c r="V6" s="34">
        <v>49.31</v>
      </c>
      <c r="W6" s="40">
        <v>11.1</v>
      </c>
      <c r="X6" s="4">
        <f t="shared" si="3"/>
        <v>49.31</v>
      </c>
      <c r="Y6" s="34">
        <v>50.55</v>
      </c>
      <c r="Z6" s="40">
        <v>12.4</v>
      </c>
      <c r="AA6" s="33">
        <v>5.62</v>
      </c>
      <c r="AB6" s="40">
        <v>1.5</v>
      </c>
      <c r="AC6" s="34">
        <v>48.27</v>
      </c>
      <c r="AD6" s="40">
        <v>12</v>
      </c>
      <c r="AE6" s="4">
        <f t="shared" si="4"/>
        <v>48.27</v>
      </c>
      <c r="AF6" s="34">
        <v>49.01</v>
      </c>
      <c r="AG6" s="37">
        <v>13</v>
      </c>
    </row>
    <row r="7" spans="1:33" x14ac:dyDescent="0.2">
      <c r="A7" s="1" t="str" cm="1">
        <f t="array" ref="A7">IF(I7="","",IF(P7&lt;&gt;"",SUMPRODUCT((P$3:P$135&lt;&gt;"")*(G$3:G$135=G7)*(J$3:J$135&gt;J7)*(I$3:I$135="P"))+1,IF(O7&lt;&gt;"",SUMPRODUCT((O$3:O$135&lt;&gt;"")*(P$3:P$135="")*(G$3:G$135=G7)*(J$3:J$135&gt;J7)*(I$3:I$135="P"))+SUMPRODUCT((P$3:P$135&lt;&gt;"")*(G$3:G$135=G7)*(I$3:I$135="P"))+1,IF(N7&lt;&gt;"",SUMPRODUCT((N$3:N$135&lt;&gt;"")*(G$3:G$135=G7)*(J$3:J$135&gt;J7)*(I$3:I$135="P"))+1,IF(M7="P",SUMPRODUCT((O$3:O$135&lt;&gt;"")*(P$3:P$135="")*(G$3:G$135=G7)*(I$3:I$135="P"))+SUMPRODUCT((P$3:P$135&lt;&gt;"")*(G$3:G$135=G7)*(I$3:I$135="P"))+SUMPRODUCT((N$3:N$135&lt;&gt;"")*(G$3:G$135=G7)*(I$3:I$135="P"))+SUMPRODUCT((P$3:P$135="")*(O$3:O$135="")*(N$3:N$135="")*(M$3:M$135="P")*(G$3:G$135=G7)*(J$3:J$135&gt;J7)*(I$3:I$135="P"))+IF(H7="L5",SUMPRODUCT((P$3:P$135="")*(O$3:O$135="")*(N$3:N$135="")*(M$3:M$135="P")*(G$3:G$135=G7)*(J$3:J$135&lt;J7)*(H$3:H$135&lt;&gt;H7)*(I$3:I$135="P")),-1*SUMPRODUCT((P$3:P$135="")*(O$3:O$135="")*(N$3:N$135="")*(M$3:M$135="P")*(G$3:G$135=G7)*(J$3:J$135&gt;J7)*(H$3:H$135="L5")*(I$3:I$135="P")))+1,"")))))</f>
        <v/>
      </c>
      <c r="B7" s="1" cm="1">
        <f t="array" ref="B7">IF(P7&lt;&gt;"",SUMPRODUCT((P$3:P$135&lt;&gt;"")*(G$3:G$135=G7)*(J$3:J$135&gt;J7))+1,IF(O7&lt;&gt;"",SUMPRODUCT((O$3:O$135&lt;&gt;"")*(P$3:P$135="")*(G$3:G$135=G7)*(J$3:J$135&gt;J7))+SUMPRODUCT((P$3:P$135&lt;&gt;"")*(G$3:G$135=G7))+1,IF(N7&lt;&gt;"",SUMPRODUCT((N$3:N$135&lt;&gt;"")*(G$3:G$135=G7)*(J$3:J$135&gt;J7))+1,IF(M7="P",SUMPRODUCT((O$3:O$135&lt;&gt;"")*(P$3:P$135="")*(G$3:G$135=G7))+SUMPRODUCT((P$3:P$135&lt;&gt;"")*(G$3:G$135=G7))+SUMPRODUCT((N$3:N$135&lt;&gt;"")*(G$3:G$135=G7))+SUMPRODUCT((P$3:P$135="")*(O$3:O$135="")*(N$3:N$135="")*(M$3:M$135="P")*(G$3:G$135=G7)*(J$3:J$135&gt;J7))+IF(H7="L5",SUMPRODUCT((P$3:P$135="")*(O$3:O$135="")*(N$3:N$135="")*(M$3:M$135="P")*(G$3:G$135=G7)*(J$3:J$135&lt;J7)*(H$3:H$135&lt;&gt;H7)),-1*SUMPRODUCT((P$3:P$135="")*(O$3:O$135="")*(N$3:N$135="")*(M$3:M$135="P")*(G$3:G$135=G7)*(J$3:J$135&gt;J7)*(H$3:H$135="L5")))+1,""))))</f>
        <v>5</v>
      </c>
      <c r="C7" s="36" t="s">
        <v>535</v>
      </c>
      <c r="D7" s="36" t="str">
        <f>IF(E7="","",VLOOKUP(E7,'Coaching Points'!A:B,2,0))</f>
        <v>ON</v>
      </c>
      <c r="E7" s="36" t="s">
        <v>38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97.500104902000004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 t="shared" si="1"/>
        <v/>
      </c>
      <c r="R7" s="4">
        <f t="shared" si="2"/>
        <v>49.02</v>
      </c>
      <c r="S7" s="4">
        <f>IF(G7="17-21",LARGE(CHOOSE({1,2,3,4,5,6},T7,V7,Y7,AA7,AC7,AF7),2),IF(R7=X7,MAX(Y7,AA7,AC7,AF7),IF(R7=AE7,MAX(AF7,T7,V7,Y7),0)))</f>
        <v>48.48</v>
      </c>
      <c r="T7" s="33"/>
      <c r="U7" s="40"/>
      <c r="V7" s="34"/>
      <c r="W7" s="40"/>
      <c r="X7" s="4">
        <f t="shared" si="3"/>
        <v>0</v>
      </c>
      <c r="Y7" s="34"/>
      <c r="Z7" s="40"/>
      <c r="AA7" s="33">
        <v>34.44</v>
      </c>
      <c r="AB7" s="40">
        <v>7.4</v>
      </c>
      <c r="AC7" s="34">
        <v>48.48</v>
      </c>
      <c r="AD7" s="40">
        <v>10.4</v>
      </c>
      <c r="AE7" s="4">
        <f t="shared" si="4"/>
        <v>82.919999999999987</v>
      </c>
      <c r="AF7" s="34">
        <v>49.02</v>
      </c>
      <c r="AG7" s="37">
        <v>10.4</v>
      </c>
    </row>
    <row r="8" spans="1:33" x14ac:dyDescent="0.2">
      <c r="A8" s="1" t="str" cm="1">
        <f t="array" ref="A8">IF(I8="","",IF(P8&lt;&gt;"",SUMPRODUCT((P$3:P$135&lt;&gt;"")*(G$3:G$135=G8)*(J$3:J$135&gt;J8)*(I$3:I$135="P"))+1,IF(O8&lt;&gt;"",SUMPRODUCT((O$3:O$135&lt;&gt;"")*(P$3:P$135="")*(G$3:G$135=G8)*(J$3:J$135&gt;J8)*(I$3:I$135="P"))+SUMPRODUCT((P$3:P$135&lt;&gt;"")*(G$3:G$135=G8)*(I$3:I$135="P"))+1,IF(N8&lt;&gt;"",SUMPRODUCT((N$3:N$135&lt;&gt;"")*(G$3:G$135=G8)*(J$3:J$135&gt;J8)*(I$3:I$135="P"))+1,IF(M8="P",SUMPRODUCT((O$3:O$135&lt;&gt;"")*(P$3:P$135="")*(G$3:G$135=G8)*(I$3:I$135="P"))+SUMPRODUCT((P$3:P$135&lt;&gt;"")*(G$3:G$135=G8)*(I$3:I$135="P"))+SUMPRODUCT((N$3:N$135&lt;&gt;"")*(G$3:G$135=G8)*(I$3:I$135="P"))+SUMPRODUCT((P$3:P$135="")*(O$3:O$135="")*(N$3:N$135="")*(M$3:M$135="P")*(G$3:G$135=G8)*(J$3:J$135&gt;J8)*(I$3:I$135="P"))+IF(H8="L5",SUMPRODUCT((P$3:P$135="")*(O$3:O$135="")*(N$3:N$135="")*(M$3:M$135="P")*(G$3:G$135=G8)*(J$3:J$135&lt;J8)*(H$3:H$135&lt;&gt;H8)*(I$3:I$135="P")),-1*SUMPRODUCT((P$3:P$135="")*(O$3:O$135="")*(N$3:N$135="")*(M$3:M$135="P")*(G$3:G$135=G8)*(J$3:J$135&gt;J8)*(H$3:H$135="L5")*(I$3:I$135="P")))+1,"")))))</f>
        <v/>
      </c>
      <c r="B8" s="1" t="str" cm="1">
        <f t="array" ref="B8">IF(P8&lt;&gt;"",SUMPRODUCT((P$3:P$135&lt;&gt;"")*(G$3:G$135=G8)*(J$3:J$135&gt;J8))+1,IF(O8&lt;&gt;"",SUMPRODUCT((O$3:O$135&lt;&gt;"")*(P$3:P$135="")*(G$3:G$135=G8)*(J$3:J$135&gt;J8))+SUMPRODUCT((P$3:P$135&lt;&gt;"")*(G$3:G$135=G8))+1,IF(N8&lt;&gt;"",SUMPRODUCT((N$3:N$135&lt;&gt;"")*(G$3:G$135=G8)*(J$3:J$135&gt;J8))+1,IF(M8="P",SUMPRODUCT((O$3:O$135&lt;&gt;"")*(P$3:P$135="")*(G$3:G$135=G8))+SUMPRODUCT((P$3:P$135&lt;&gt;"")*(G$3:G$135=G8))+SUMPRODUCT((N$3:N$135&lt;&gt;"")*(G$3:G$135=G8))+SUMPRODUCT((P$3:P$135="")*(O$3:O$135="")*(N$3:N$135="")*(M$3:M$135="P")*(G$3:G$135=G8)*(J$3:J$135&gt;J8))+IF(H8="L5",SUMPRODUCT((P$3:P$135="")*(O$3:O$135="")*(N$3:N$135="")*(M$3:M$135="P")*(G$3:G$135=G8)*(J$3:J$135&lt;J8)*(H$3:H$135&lt;&gt;H8)),-1*SUMPRODUCT((P$3:P$135="")*(O$3:O$135="")*(N$3:N$135="")*(M$3:M$135="P")*(G$3:G$135=G8)*(J$3:J$135&gt;J8)*(H$3:H$135="L5")))+1,""))))</f>
        <v/>
      </c>
      <c r="C8" s="36" t="s">
        <v>446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 t="shared" si="0"/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48.84</v>
      </c>
      <c r="S8" s="4">
        <f>IF(G8="17-21",LARGE(CHOOSE({1,2,3,4,5,6},T8,V8,Y8,AA8,AC8,AF8),2),IF(R8=X8,MAX(Y8,AA8,AC8,AF8),IF(R8=AE8,MAX(AF8,T8,V8,Y8),0)))</f>
        <v>48.13</v>
      </c>
      <c r="T8" s="33"/>
      <c r="U8" s="40"/>
      <c r="V8" s="34"/>
      <c r="W8" s="40"/>
      <c r="X8" s="4">
        <f t="shared" si="3"/>
        <v>0</v>
      </c>
      <c r="Y8" s="34"/>
      <c r="Z8" s="40"/>
      <c r="AA8" s="33">
        <v>41.77</v>
      </c>
      <c r="AB8" s="40">
        <v>0</v>
      </c>
      <c r="AC8" s="34">
        <v>48.84</v>
      </c>
      <c r="AD8" s="40">
        <v>7.7</v>
      </c>
      <c r="AE8" s="4">
        <f t="shared" si="4"/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$135&lt;&gt;"")*(G$3:G$135=G9)*(J$3:J$135&gt;J9)*(I$3:I$135="P"))+1,IF(O9&lt;&gt;"",SUMPRODUCT((O$3:O$135&lt;&gt;"")*(P$3:P$135="")*(G$3:G$135=G9)*(J$3:J$135&gt;J9)*(I$3:I$135="P"))+SUMPRODUCT((P$3:P$135&lt;&gt;"")*(G$3:G$135=G9)*(I$3:I$135="P"))+1,IF(N9&lt;&gt;"",SUMPRODUCT((N$3:N$135&lt;&gt;"")*(G$3:G$135=G9)*(J$3:J$135&gt;J9)*(I$3:I$135="P"))+1,IF(M9="P",SUMPRODUCT((O$3:O$135&lt;&gt;"")*(P$3:P$135="")*(G$3:G$135=G9)*(I$3:I$135="P"))+SUMPRODUCT((P$3:P$135&lt;&gt;"")*(G$3:G$135=G9)*(I$3:I$135="P"))+SUMPRODUCT((N$3:N$135&lt;&gt;"")*(G$3:G$135=G9)*(I$3:I$135="P"))+SUMPRODUCT((P$3:P$135="")*(O$3:O$135="")*(N$3:N$135="")*(M$3:M$135="P")*(G$3:G$135=G9)*(J$3:J$135&gt;J9)*(I$3:I$135="P"))+IF(H9="L5",SUMPRODUCT((P$3:P$135="")*(O$3:O$135="")*(N$3:N$135="")*(M$3:M$135="P")*(G$3:G$135=G9)*(J$3:J$135&lt;J9)*(H$3:H$135&lt;&gt;H9)*(I$3:I$135="P")),-1*SUMPRODUCT((P$3:P$135="")*(O$3:O$135="")*(N$3:N$135="")*(M$3:M$135="P")*(G$3:G$135=G9)*(J$3:J$135&gt;J9)*(H$3:H$135="L5")*(I$3:I$135="P")))+1,"")))))</f>
        <v/>
      </c>
      <c r="B9" s="1" t="str" cm="1">
        <f t="array" ref="B9">IF(P9&lt;&gt;"",SUMPRODUCT((P$3:P$135&lt;&gt;"")*(G$3:G$135=G9)*(J$3:J$135&gt;J9))+1,IF(O9&lt;&gt;"",SUMPRODUCT((O$3:O$135&lt;&gt;"")*(P$3:P$135="")*(G$3:G$135=G9)*(J$3:J$135&gt;J9))+SUMPRODUCT((P$3:P$135&lt;&gt;"")*(G$3:G$135=G9))+1,IF(N9&lt;&gt;"",SUMPRODUCT((N$3:N$135&lt;&gt;"")*(G$3:G$135=G9)*(J$3:J$135&gt;J9))+1,IF(M9="P",SUMPRODUCT((O$3:O$135&lt;&gt;"")*(P$3:P$135="")*(G$3:G$135=G9))+SUMPRODUCT((P$3:P$135&lt;&gt;"")*(G$3:G$135=G9))+SUMPRODUCT((N$3:N$135&lt;&gt;"")*(G$3:G$135=G9))+SUMPRODUCT((P$3:P$135="")*(O$3:O$135="")*(N$3:N$135="")*(M$3:M$135="P")*(G$3:G$135=G9)*(J$3:J$135&gt;J9))+IF(H9="L5",SUMPRODUCT((P$3:P$135="")*(O$3:O$135="")*(N$3:N$135="")*(M$3:M$135="P")*(G$3:G$135=G9)*(J$3:J$135&lt;J9)*(H$3:H$135&lt;&gt;H9)),-1*SUMPRODUCT((P$3:P$135="")*(O$3:O$135="")*(N$3:N$135="")*(M$3:M$135="P")*(G$3:G$135=G9)*(J$3:J$135&gt;J9)*(H$3:H$135="L5")))+1,""))))</f>
        <v/>
      </c>
      <c r="C9" s="36" t="s">
        <v>536</v>
      </c>
      <c r="D9" s="36" t="str">
        <f>IF(E9="","",VLOOKUP(E9,'Coaching Points'!A:B,2,0))</f>
        <v>ON</v>
      </c>
      <c r="E9" s="36" t="s">
        <v>429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 t="shared" si="4"/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$135&lt;&gt;"")*(G$3:G$135=G10)*(J$3:J$135&gt;J10)*(I$3:I$135="P"))+1,IF(O10&lt;&gt;"",SUMPRODUCT((O$3:O$135&lt;&gt;"")*(P$3:P$135="")*(G$3:G$135=G10)*(J$3:J$135&gt;J10)*(I$3:I$135="P"))+SUMPRODUCT((P$3:P$135&lt;&gt;"")*(G$3:G$135=G10)*(I$3:I$135="P"))+1,IF(N10&lt;&gt;"",SUMPRODUCT((N$3:N$135&lt;&gt;"")*(G$3:G$135=G10)*(J$3:J$135&gt;J10)*(I$3:I$135="P"))+1,IF(M10="P",SUMPRODUCT((O$3:O$135&lt;&gt;"")*(P$3:P$135="")*(G$3:G$135=G10)*(I$3:I$135="P"))+SUMPRODUCT((P$3:P$135&lt;&gt;"")*(G$3:G$135=G10)*(I$3:I$135="P"))+SUMPRODUCT((N$3:N$135&lt;&gt;"")*(G$3:G$135=G10)*(I$3:I$135="P"))+SUMPRODUCT((P$3:P$135="")*(O$3:O$135="")*(N$3:N$135="")*(M$3:M$135="P")*(G$3:G$135=G10)*(J$3:J$135&gt;J10)*(I$3:I$135="P"))+IF(H10="L5",SUMPRODUCT((P$3:P$135="")*(O$3:O$135="")*(N$3:N$135="")*(M$3:M$135="P")*(G$3:G$135=G10)*(J$3:J$135&lt;J10)*(H$3:H$135&lt;&gt;H10)*(I$3:I$135="P")),-1*SUMPRODUCT((P$3:P$135="")*(O$3:O$135="")*(N$3:N$135="")*(M$3:M$135="P")*(G$3:G$135=G10)*(J$3:J$135&gt;J10)*(H$3:H$135="L5")*(I$3:I$135="P")))+1,"")))))</f>
        <v/>
      </c>
      <c r="B10" s="1" t="str" cm="1">
        <f t="array" ref="B10">IF(P10&lt;&gt;"",SUMPRODUCT((P$3:P$135&lt;&gt;"")*(G$3:G$135=G10)*(J$3:J$135&gt;J10))+1,IF(O10&lt;&gt;"",SUMPRODUCT((O$3:O$135&lt;&gt;"")*(P$3:P$135="")*(G$3:G$135=G10)*(J$3:J$135&gt;J10))+SUMPRODUCT((P$3:P$135&lt;&gt;"")*(G$3:G$135=G10))+1,IF(N10&lt;&gt;"",SUMPRODUCT((N$3:N$135&lt;&gt;"")*(G$3:G$135=G10)*(J$3:J$135&gt;J10))+1,IF(M10="P",SUMPRODUCT((O$3:O$135&lt;&gt;"")*(P$3:P$135="")*(G$3:G$135=G10))+SUMPRODUCT((P$3:P$135&lt;&gt;"")*(G$3:G$135=G10))+SUMPRODUCT((N$3:N$135&lt;&gt;"")*(G$3:G$135=G10))+SUMPRODUCT((P$3:P$135="")*(O$3:O$135="")*(N$3:N$135="")*(M$3:M$135="P")*(G$3:G$135=G10)*(J$3:J$135&gt;J10))+IF(H10="L5",SUMPRODUCT((P$3:P$135="")*(O$3:O$135="")*(N$3:N$135="")*(M$3:M$135="P")*(G$3:G$135=G10)*(J$3:J$135&lt;J10)*(H$3:H$135&lt;&gt;H10)),-1*SUMPRODUCT((P$3:P$135="")*(O$3:O$135="")*(N$3:N$135="")*(M$3:M$135="P")*(G$3:G$135=G10)*(J$3:J$135&gt;J10)*(H$3:H$135="L5")))+1,""))))</f>
        <v/>
      </c>
      <c r="C10" s="36" t="s">
        <v>301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 t="shared" si="0"/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 t="shared" si="3"/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 t="shared" si="4"/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$135&lt;&gt;"")*(G$3:G$135=G11)*(J$3:J$135&gt;J11)*(I$3:I$135="P"))+1,IF(O11&lt;&gt;"",SUMPRODUCT((O$3:O$135&lt;&gt;"")*(P$3:P$135="")*(G$3:G$135=G11)*(J$3:J$135&gt;J11)*(I$3:I$135="P"))+SUMPRODUCT((P$3:P$135&lt;&gt;"")*(G$3:G$135=G11)*(I$3:I$135="P"))+1,IF(N11&lt;&gt;"",SUMPRODUCT((N$3:N$135&lt;&gt;"")*(G$3:G$135=G11)*(J$3:J$135&gt;J11)*(I$3:I$135="P"))+1,IF(M11="P",SUMPRODUCT((O$3:O$135&lt;&gt;"")*(P$3:P$135="")*(G$3:G$135=G11)*(I$3:I$135="P"))+SUMPRODUCT((P$3:P$135&lt;&gt;"")*(G$3:G$135=G11)*(I$3:I$135="P"))+SUMPRODUCT((N$3:N$135&lt;&gt;"")*(G$3:G$135=G11)*(I$3:I$135="P"))+SUMPRODUCT((P$3:P$135="")*(O$3:O$135="")*(N$3:N$135="")*(M$3:M$135="P")*(G$3:G$135=G11)*(J$3:J$135&gt;J11)*(I$3:I$135="P"))+IF(H11="L5",SUMPRODUCT((P$3:P$135="")*(O$3:O$135="")*(N$3:N$135="")*(M$3:M$135="P")*(G$3:G$135=G11)*(J$3:J$135&lt;J11)*(H$3:H$135&lt;&gt;H11)*(I$3:I$135="P")),-1*SUMPRODUCT((P$3:P$135="")*(O$3:O$135="")*(N$3:N$135="")*(M$3:M$135="P")*(G$3:G$135=G11)*(J$3:J$135&gt;J11)*(H$3:H$135="L5")*(I$3:I$135="P")))+1,"")))))</f>
        <v/>
      </c>
      <c r="B11" s="1" t="str" cm="1">
        <f t="array" ref="B11">IF(P11&lt;&gt;"",SUMPRODUCT((P$3:P$135&lt;&gt;"")*(G$3:G$135=G11)*(J$3:J$135&gt;J11))+1,IF(O11&lt;&gt;"",SUMPRODUCT((O$3:O$135&lt;&gt;"")*(P$3:P$135="")*(G$3:G$135=G11)*(J$3:J$135&gt;J11))+SUMPRODUCT((P$3:P$135&lt;&gt;"")*(G$3:G$135=G11))+1,IF(N11&lt;&gt;"",SUMPRODUCT((N$3:N$135&lt;&gt;"")*(G$3:G$135=G11)*(J$3:J$135&gt;J11))+1,IF(M11="P",SUMPRODUCT((O$3:O$135&lt;&gt;"")*(P$3:P$135="")*(G$3:G$135=G11))+SUMPRODUCT((P$3:P$135&lt;&gt;"")*(G$3:G$135=G11))+SUMPRODUCT((N$3:N$135&lt;&gt;"")*(G$3:G$135=G11))+SUMPRODUCT((P$3:P$135="")*(O$3:O$135="")*(N$3:N$135="")*(M$3:M$135="P")*(G$3:G$135=G11)*(J$3:J$135&gt;J11))+IF(H11="L5",SUMPRODUCT((P$3:P$135="")*(O$3:O$135="")*(N$3:N$135="")*(M$3:M$135="P")*(G$3:G$135=G11)*(J$3:J$135&lt;J11)*(H$3:H$135&lt;&gt;H11)),-1*SUMPRODUCT((P$3:P$135="")*(O$3:O$135="")*(N$3:N$135="")*(M$3:M$135="P")*(G$3:G$135=G11)*(J$3:J$135&gt;J11)*(H$3:H$135="L5")))+1,""))))</f>
        <v/>
      </c>
      <c r="C11" s="36" t="s">
        <v>363</v>
      </c>
      <c r="D11" s="36" t="str">
        <f>IF(E11="","",VLOOKUP(E11,'Coaching Points'!A:B,2,0))</f>
        <v>QC</v>
      </c>
      <c r="E11" s="36" t="s">
        <v>291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 t="shared" si="4"/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$135&lt;&gt;"")*(G$3:G$135=G12)*(J$3:J$135&gt;J12)*(I$3:I$135="P"))+1,IF(O12&lt;&gt;"",SUMPRODUCT((O$3:O$135&lt;&gt;"")*(P$3:P$135="")*(G$3:G$135=G12)*(J$3:J$135&gt;J12)*(I$3:I$135="P"))+SUMPRODUCT((P$3:P$135&lt;&gt;"")*(G$3:G$135=G12)*(I$3:I$135="P"))+1,IF(N12&lt;&gt;"",SUMPRODUCT((N$3:N$135&lt;&gt;"")*(G$3:G$135=G12)*(J$3:J$135&gt;J12)*(I$3:I$135="P"))+1,IF(M12="P",SUMPRODUCT((O$3:O$135&lt;&gt;"")*(P$3:P$135="")*(G$3:G$135=G12)*(I$3:I$135="P"))+SUMPRODUCT((P$3:P$135&lt;&gt;"")*(G$3:G$135=G12)*(I$3:I$135="P"))+SUMPRODUCT((N$3:N$135&lt;&gt;"")*(G$3:G$135=G12)*(I$3:I$135="P"))+SUMPRODUCT((P$3:P$135="")*(O$3:O$135="")*(N$3:N$135="")*(M$3:M$135="P")*(G$3:G$135=G12)*(J$3:J$135&gt;J12)*(I$3:I$135="P"))+IF(H12="L5",SUMPRODUCT((P$3:P$135="")*(O$3:O$135="")*(N$3:N$135="")*(M$3:M$135="P")*(G$3:G$135=G12)*(J$3:J$135&lt;J12)*(H$3:H$135&lt;&gt;H12)*(I$3:I$135="P")),-1*SUMPRODUCT((P$3:P$135="")*(O$3:O$135="")*(N$3:N$135="")*(M$3:M$135="P")*(G$3:G$135=G12)*(J$3:J$135&gt;J12)*(H$3:H$135="L5")*(I$3:I$135="P")))+1,"")))))</f>
        <v/>
      </c>
      <c r="B12" s="1" t="str" cm="1">
        <f t="array" ref="B12">IF(P12&lt;&gt;"",SUMPRODUCT((P$3:P$135&lt;&gt;"")*(G$3:G$135=G12)*(J$3:J$135&gt;J12))+1,IF(O12&lt;&gt;"",SUMPRODUCT((O$3:O$135&lt;&gt;"")*(P$3:P$135="")*(G$3:G$135=G12)*(J$3:J$135&gt;J12))+SUMPRODUCT((P$3:P$135&lt;&gt;"")*(G$3:G$135=G12))+1,IF(N12&lt;&gt;"",SUMPRODUCT((N$3:N$135&lt;&gt;"")*(G$3:G$135=G12)*(J$3:J$135&gt;J12))+1,IF(M12="P",SUMPRODUCT((O$3:O$135&lt;&gt;"")*(P$3:P$135="")*(G$3:G$135=G12))+SUMPRODUCT((P$3:P$135&lt;&gt;"")*(G$3:G$135=G12))+SUMPRODUCT((N$3:N$135&lt;&gt;"")*(G$3:G$135=G12))+SUMPRODUCT((P$3:P$135="")*(O$3:O$135="")*(N$3:N$135="")*(M$3:M$135="P")*(G$3:G$135=G12)*(J$3:J$135&gt;J12))+IF(H12="L5",SUMPRODUCT((P$3:P$135="")*(O$3:O$135="")*(N$3:N$135="")*(M$3:M$135="P")*(G$3:G$135=G12)*(J$3:J$135&lt;J12)*(H$3:H$135&lt;&gt;H12)),-1*SUMPRODUCT((P$3:P$135="")*(O$3:O$135="")*(N$3:N$135="")*(M$3:M$135="P")*(G$3:G$135=G12)*(J$3:J$135&gt;J12)*(H$3:H$135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287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 t="shared" si="3"/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 t="shared" si="4"/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$135&lt;&gt;"")*(G$3:G$135=G13)*(J$3:J$135&gt;J13)*(I$3:I$135="P"))+1,IF(O13&lt;&gt;"",SUMPRODUCT((O$3:O$135&lt;&gt;"")*(P$3:P$135="")*(G$3:G$135=G13)*(J$3:J$135&gt;J13)*(I$3:I$135="P"))+SUMPRODUCT((P$3:P$135&lt;&gt;"")*(G$3:G$135=G13)*(I$3:I$135="P"))+1,IF(N13&lt;&gt;"",SUMPRODUCT((N$3:N$135&lt;&gt;"")*(G$3:G$135=G13)*(J$3:J$135&gt;J13)*(I$3:I$135="P"))+1,IF(M13="P",SUMPRODUCT((O$3:O$135&lt;&gt;"")*(P$3:P$135="")*(G$3:G$135=G13)*(I$3:I$135="P"))+SUMPRODUCT((P$3:P$135&lt;&gt;"")*(G$3:G$135=G13)*(I$3:I$135="P"))+SUMPRODUCT((N$3:N$135&lt;&gt;"")*(G$3:G$135=G13)*(I$3:I$135="P"))+SUMPRODUCT((P$3:P$135="")*(O$3:O$135="")*(N$3:N$135="")*(M$3:M$135="P")*(G$3:G$135=G13)*(J$3:J$135&gt;J13)*(I$3:I$135="P"))+IF(H13="L5",SUMPRODUCT((P$3:P$135="")*(O$3:O$135="")*(N$3:N$135="")*(M$3:M$135="P")*(G$3:G$135=G13)*(J$3:J$135&lt;J13)*(H$3:H$135&lt;&gt;H13)*(I$3:I$135="P")),-1*SUMPRODUCT((P$3:P$135="")*(O$3:O$135="")*(N$3:N$135="")*(M$3:M$135="P")*(G$3:G$135=G13)*(J$3:J$135&gt;J13)*(H$3:H$135="L5")*(I$3:I$135="P")))+1,"")))))</f>
        <v/>
      </c>
      <c r="B13" s="1" t="str" cm="1">
        <f t="array" ref="B13">IF(P13&lt;&gt;"",SUMPRODUCT((P$3:P$135&lt;&gt;"")*(G$3:G$135=G13)*(J$3:J$135&gt;J13))+1,IF(O13&lt;&gt;"",SUMPRODUCT((O$3:O$135&lt;&gt;"")*(P$3:P$135="")*(G$3:G$135=G13)*(J$3:J$135&gt;J13))+SUMPRODUCT((P$3:P$135&lt;&gt;"")*(G$3:G$135=G13))+1,IF(N13&lt;&gt;"",SUMPRODUCT((N$3:N$135&lt;&gt;"")*(G$3:G$135=G13)*(J$3:J$135&gt;J13))+1,IF(M13="P",SUMPRODUCT((O$3:O$135&lt;&gt;"")*(P$3:P$135="")*(G$3:G$135=G13))+SUMPRODUCT((P$3:P$135&lt;&gt;"")*(G$3:G$135=G13))+SUMPRODUCT((N$3:N$135&lt;&gt;"")*(G$3:G$135=G13))+SUMPRODUCT((P$3:P$135="")*(O$3:O$135="")*(N$3:N$135="")*(M$3:M$135="P")*(G$3:G$135=G13)*(J$3:J$135&gt;J13))+IF(H13="L5",SUMPRODUCT((P$3:P$135="")*(O$3:O$135="")*(N$3:N$135="")*(M$3:M$135="P")*(G$3:G$135=G13)*(J$3:J$135&lt;J13)*(H$3:H$135&lt;&gt;H13)),-1*SUMPRODUCT((P$3:P$135="")*(O$3:O$135="")*(N$3:N$135="")*(M$3:M$135="P")*(G$3:G$135=G13)*(J$3:J$135&gt;J13)*(H$3:H$135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 t="shared" si="3"/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 t="shared" si="4"/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$135&lt;&gt;"")*(G$3:G$135=G14)*(J$3:J$135&gt;J14)*(I$3:I$135="P"))+1,IF(O14&lt;&gt;"",SUMPRODUCT((O$3:O$135&lt;&gt;"")*(P$3:P$135="")*(G$3:G$135=G14)*(J$3:J$135&gt;J14)*(I$3:I$135="P"))+SUMPRODUCT((P$3:P$135&lt;&gt;"")*(G$3:G$135=G14)*(I$3:I$135="P"))+1,IF(N14&lt;&gt;"",SUMPRODUCT((N$3:N$135&lt;&gt;"")*(G$3:G$135=G14)*(J$3:J$135&gt;J14)*(I$3:I$135="P"))+1,IF(M14="P",SUMPRODUCT((O$3:O$135&lt;&gt;"")*(P$3:P$135="")*(G$3:G$135=G14)*(I$3:I$135="P"))+SUMPRODUCT((P$3:P$135&lt;&gt;"")*(G$3:G$135=G14)*(I$3:I$135="P"))+SUMPRODUCT((N$3:N$135&lt;&gt;"")*(G$3:G$135=G14)*(I$3:I$135="P"))+SUMPRODUCT((P$3:P$135="")*(O$3:O$135="")*(N$3:N$135="")*(M$3:M$135="P")*(G$3:G$135=G14)*(J$3:J$135&gt;J14)*(I$3:I$135="P"))+IF(H14="L5",SUMPRODUCT((P$3:P$135="")*(O$3:O$135="")*(N$3:N$135="")*(M$3:M$135="P")*(G$3:G$135=G14)*(J$3:J$135&lt;J14)*(H$3:H$135&lt;&gt;H14)*(I$3:I$135="P")),-1*SUMPRODUCT((P$3:P$135="")*(O$3:O$135="")*(N$3:N$135="")*(M$3:M$135="P")*(G$3:G$135=G14)*(J$3:J$135&gt;J14)*(H$3:H$135="L5")*(I$3:I$135="P")))+1,"")))))</f>
        <v/>
      </c>
      <c r="B14" s="1" t="str" cm="1">
        <f t="array" ref="B14">IF(P14&lt;&gt;"",SUMPRODUCT((P$3:P$135&lt;&gt;"")*(G$3:G$135=G14)*(J$3:J$135&gt;J14))+1,IF(O14&lt;&gt;"",SUMPRODUCT((O$3:O$135&lt;&gt;"")*(P$3:P$135="")*(G$3:G$135=G14)*(J$3:J$135&gt;J14))+SUMPRODUCT((P$3:P$135&lt;&gt;"")*(G$3:G$135=G14))+1,IF(N14&lt;&gt;"",SUMPRODUCT((N$3:N$135&lt;&gt;"")*(G$3:G$135=G14)*(J$3:J$135&gt;J14))+1,IF(M14="P",SUMPRODUCT((O$3:O$135&lt;&gt;"")*(P$3:P$135="")*(G$3:G$135=G14))+SUMPRODUCT((P$3:P$135&lt;&gt;"")*(G$3:G$135=G14))+SUMPRODUCT((N$3:N$135&lt;&gt;"")*(G$3:G$135=G14))+SUMPRODUCT((P$3:P$135="")*(O$3:O$135="")*(N$3:N$135="")*(M$3:M$135="P")*(G$3:G$135=G14)*(J$3:J$135&gt;J14))+IF(H14="L5",SUMPRODUCT((P$3:P$135="")*(O$3:O$135="")*(N$3:N$135="")*(M$3:M$135="P")*(G$3:G$135=G14)*(J$3:J$135&lt;J14)*(H$3:H$135&lt;&gt;H14)),-1*SUMPRODUCT((P$3:P$135="")*(O$3:O$135="")*(N$3:N$135="")*(M$3:M$135="P")*(G$3:G$135=G14)*(J$3:J$135&gt;J14)*(H$3:H$135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 t="shared" si="3"/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 t="shared" si="4"/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$135&lt;&gt;"")*(G$3:G$135=G15)*(J$3:J$135&gt;J15)*(I$3:I$135="P"))+1,IF(O15&lt;&gt;"",SUMPRODUCT((O$3:O$135&lt;&gt;"")*(P$3:P$135="")*(G$3:G$135=G15)*(J$3:J$135&gt;J15)*(I$3:I$135="P"))+SUMPRODUCT((P$3:P$135&lt;&gt;"")*(G$3:G$135=G15)*(I$3:I$135="P"))+1,IF(N15&lt;&gt;"",SUMPRODUCT((N$3:N$135&lt;&gt;"")*(G$3:G$135=G15)*(J$3:J$135&gt;J15)*(I$3:I$135="P"))+1,IF(M15="P",SUMPRODUCT((O$3:O$135&lt;&gt;"")*(P$3:P$135="")*(G$3:G$135=G15)*(I$3:I$135="P"))+SUMPRODUCT((P$3:P$135&lt;&gt;"")*(G$3:G$135=G15)*(I$3:I$135="P"))+SUMPRODUCT((N$3:N$135&lt;&gt;"")*(G$3:G$135=G15)*(I$3:I$135="P"))+SUMPRODUCT((P$3:P$135="")*(O$3:O$135="")*(N$3:N$135="")*(M$3:M$135="P")*(G$3:G$135=G15)*(J$3:J$135&gt;J15)*(I$3:I$135="P"))+IF(H15="L5",SUMPRODUCT((P$3:P$135="")*(O$3:O$135="")*(N$3:N$135="")*(M$3:M$135="P")*(G$3:G$135=G15)*(J$3:J$135&lt;J15)*(H$3:H$135&lt;&gt;H15)*(I$3:I$135="P")),-1*SUMPRODUCT((P$3:P$135="")*(O$3:O$135="")*(N$3:N$135="")*(M$3:M$135="P")*(G$3:G$135=G15)*(J$3:J$135&gt;J15)*(H$3:H$135="L5")*(I$3:I$135="P")))+1,"")))))</f>
        <v/>
      </c>
      <c r="B15" s="1" t="str" cm="1">
        <f t="array" ref="B15">IF(P15&lt;&gt;"",SUMPRODUCT((P$3:P$135&lt;&gt;"")*(G$3:G$135=G15)*(J$3:J$135&gt;J15))+1,IF(O15&lt;&gt;"",SUMPRODUCT((O$3:O$135&lt;&gt;"")*(P$3:P$135="")*(G$3:G$135=G15)*(J$3:J$135&gt;J15))+SUMPRODUCT((P$3:P$135&lt;&gt;"")*(G$3:G$135=G15))+1,IF(N15&lt;&gt;"",SUMPRODUCT((N$3:N$135&lt;&gt;"")*(G$3:G$135=G15)*(J$3:J$135&gt;J15))+1,IF(M15="P",SUMPRODUCT((O$3:O$135&lt;&gt;"")*(P$3:P$135="")*(G$3:G$135=G15))+SUMPRODUCT((P$3:P$135&lt;&gt;"")*(G$3:G$135=G15))+SUMPRODUCT((N$3:N$135&lt;&gt;"")*(G$3:G$135=G15))+SUMPRODUCT((P$3:P$135="")*(O$3:O$135="")*(N$3:N$135="")*(M$3:M$135="P")*(G$3:G$135=G15)*(J$3:J$135&gt;J15))+IF(H15="L5",SUMPRODUCT((P$3:P$135="")*(O$3:O$135="")*(N$3:N$135="")*(M$3:M$135="P")*(G$3:G$135=G15)*(J$3:J$135&lt;J15)*(H$3:H$135&lt;&gt;H15)),-1*SUMPRODUCT((P$3:P$135="")*(O$3:O$135="")*(N$3:N$135="")*(M$3:M$135="P")*(G$3:G$135=G15)*(J$3:J$135&gt;J15)*(H$3:H$135="L5")))+1,""))))</f>
        <v/>
      </c>
      <c r="C15" s="36" t="s">
        <v>445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/>
      <c r="J15" s="4">
        <f t="shared" si="0"/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 t="shared" si="3"/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 t="shared" si="4"/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$135&lt;&gt;"")*(G$3:G$135=G16)*(J$3:J$135&gt;J16)*(I$3:I$135="P"))+1,IF(O16&lt;&gt;"",SUMPRODUCT((O$3:O$135&lt;&gt;"")*(P$3:P$135="")*(G$3:G$135=G16)*(J$3:J$135&gt;J16)*(I$3:I$135="P"))+SUMPRODUCT((P$3:P$135&lt;&gt;"")*(G$3:G$135=G16)*(I$3:I$135="P"))+1,IF(N16&lt;&gt;"",SUMPRODUCT((N$3:N$135&lt;&gt;"")*(G$3:G$135=G16)*(J$3:J$135&gt;J16)*(I$3:I$135="P"))+1,IF(M16="P",SUMPRODUCT((O$3:O$135&lt;&gt;"")*(P$3:P$135="")*(G$3:G$135=G16)*(I$3:I$135="P"))+SUMPRODUCT((P$3:P$135&lt;&gt;"")*(G$3:G$135=G16)*(I$3:I$135="P"))+SUMPRODUCT((N$3:N$135&lt;&gt;"")*(G$3:G$135=G16)*(I$3:I$135="P"))+SUMPRODUCT((P$3:P$135="")*(O$3:O$135="")*(N$3:N$135="")*(M$3:M$135="P")*(G$3:G$135=G16)*(J$3:J$135&gt;J16)*(I$3:I$135="P"))+IF(H16="L5",SUMPRODUCT((P$3:P$135="")*(O$3:O$135="")*(N$3:N$135="")*(M$3:M$135="P")*(G$3:G$135=G16)*(J$3:J$135&lt;J16)*(H$3:H$135&lt;&gt;H16)*(I$3:I$135="P")),-1*SUMPRODUCT((P$3:P$135="")*(O$3:O$135="")*(N$3:N$135="")*(M$3:M$135="P")*(G$3:G$135=G16)*(J$3:J$135&gt;J16)*(H$3:H$135="L5")*(I$3:I$135="P")))+1,"")))))</f>
        <v/>
      </c>
      <c r="B16" s="1" t="str" cm="1">
        <f t="array" ref="B16">IF(P16&lt;&gt;"",SUMPRODUCT((P$3:P$135&lt;&gt;"")*(G$3:G$135=G16)*(J$3:J$135&gt;J16))+1,IF(O16&lt;&gt;"",SUMPRODUCT((O$3:O$135&lt;&gt;"")*(P$3:P$135="")*(G$3:G$135=G16)*(J$3:J$135&gt;J16))+SUMPRODUCT((P$3:P$135&lt;&gt;"")*(G$3:G$135=G16))+1,IF(N16&lt;&gt;"",SUMPRODUCT((N$3:N$135&lt;&gt;"")*(G$3:G$135=G16)*(J$3:J$135&gt;J16))+1,IF(M16="P",SUMPRODUCT((O$3:O$135&lt;&gt;"")*(P$3:P$135="")*(G$3:G$135=G16))+SUMPRODUCT((P$3:P$135&lt;&gt;"")*(G$3:G$135=G16))+SUMPRODUCT((N$3:N$135&lt;&gt;"")*(G$3:G$135=G16))+SUMPRODUCT((P$3:P$135="")*(O$3:O$135="")*(N$3:N$135="")*(M$3:M$135="P")*(G$3:G$135=G16)*(J$3:J$135&gt;J16))+IF(H16="L5",SUMPRODUCT((P$3:P$135="")*(O$3:O$135="")*(N$3:N$135="")*(M$3:M$135="P")*(G$3:G$135=G16)*(J$3:J$135&lt;J16)*(H$3:H$135&lt;&gt;H16)),-1*SUMPRODUCT((P$3:P$135="")*(O$3:O$135="")*(N$3:N$135="")*(M$3:M$135="P")*(G$3:G$135=G16)*(J$3:J$135&gt;J16)*(H$3:H$135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 t="shared" si="3"/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$135&lt;&gt;"")*(G$3:G$135=G17)*(J$3:J$135&gt;J17)*(I$3:I$135="P"))+1,IF(O17&lt;&gt;"",SUMPRODUCT((O$3:O$135&lt;&gt;"")*(P$3:P$135="")*(G$3:G$135=G17)*(J$3:J$135&gt;J17)*(I$3:I$135="P"))+SUMPRODUCT((P$3:P$135&lt;&gt;"")*(G$3:G$135=G17)*(I$3:I$135="P"))+1,IF(N17&lt;&gt;"",SUMPRODUCT((N$3:N$135&lt;&gt;"")*(G$3:G$135=G17)*(J$3:J$135&gt;J17)*(I$3:I$135="P"))+1,IF(M17="P",SUMPRODUCT((O$3:O$135&lt;&gt;"")*(P$3:P$135="")*(G$3:G$135=G17)*(I$3:I$135="P"))+SUMPRODUCT((P$3:P$135&lt;&gt;"")*(G$3:G$135=G17)*(I$3:I$135="P"))+SUMPRODUCT((N$3:N$135&lt;&gt;"")*(G$3:G$135=G17)*(I$3:I$135="P"))+SUMPRODUCT((P$3:P$135="")*(O$3:O$135="")*(N$3:N$135="")*(M$3:M$135="P")*(G$3:G$135=G17)*(J$3:J$135&gt;J17)*(I$3:I$135="P"))+IF(H17="L5",SUMPRODUCT((P$3:P$135="")*(O$3:O$135="")*(N$3:N$135="")*(M$3:M$135="P")*(G$3:G$135=G17)*(J$3:J$135&lt;J17)*(H$3:H$135&lt;&gt;H17)*(I$3:I$135="P")),-1*SUMPRODUCT((P$3:P$135="")*(O$3:O$135="")*(N$3:N$135="")*(M$3:M$135="P")*(G$3:G$135=G17)*(J$3:J$135&gt;J17)*(H$3:H$135="L5")*(I$3:I$135="P")))+1,"")))))</f>
        <v/>
      </c>
      <c r="B17" s="1" t="str" cm="1">
        <f t="array" ref="B17">IF(P17&lt;&gt;"",SUMPRODUCT((P$3:P$135&lt;&gt;"")*(G$3:G$135=G17)*(J$3:J$135&gt;J17))+1,IF(O17&lt;&gt;"",SUMPRODUCT((O$3:O$135&lt;&gt;"")*(P$3:P$135="")*(G$3:G$135=G17)*(J$3:J$135&gt;J17))+SUMPRODUCT((P$3:P$135&lt;&gt;"")*(G$3:G$135=G17))+1,IF(N17&lt;&gt;"",SUMPRODUCT((N$3:N$135&lt;&gt;"")*(G$3:G$135=G17)*(J$3:J$135&gt;J17))+1,IF(M17="P",SUMPRODUCT((O$3:O$135&lt;&gt;"")*(P$3:P$135="")*(G$3:G$135=G17))+SUMPRODUCT((P$3:P$135&lt;&gt;"")*(G$3:G$135=G17))+SUMPRODUCT((N$3:N$135&lt;&gt;"")*(G$3:G$135=G17))+SUMPRODUCT((P$3:P$135="")*(O$3:O$135="")*(N$3:N$135="")*(M$3:M$135="P")*(G$3:G$135=G17)*(J$3:J$135&gt;J17))+IF(H17="L5",SUMPRODUCT((P$3:P$135="")*(O$3:O$135="")*(N$3:N$135="")*(M$3:M$135="P")*(G$3:G$135=G17)*(J$3:J$135&lt;J17)*(H$3:H$135&lt;&gt;H17)),-1*SUMPRODUCT((P$3:P$135="")*(O$3:O$135="")*(N$3:N$135="")*(M$3:M$135="P")*(G$3:G$135=G17)*(J$3:J$135&gt;J17)*(H$3:H$135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92.710004579000014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 t="shared" si="3"/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 t="shared" si="4"/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$135&lt;&gt;"")*(G$3:G$135=G18)*(J$3:J$135&gt;J18)*(I$3:I$135="P"))+1,IF(O18&lt;&gt;"",SUMPRODUCT((O$3:O$135&lt;&gt;"")*(P$3:P$135="")*(G$3:G$135=G18)*(J$3:J$135&gt;J18)*(I$3:I$135="P"))+SUMPRODUCT((P$3:P$135&lt;&gt;"")*(G$3:G$135=G18)*(I$3:I$135="P"))+1,IF(N18&lt;&gt;"",SUMPRODUCT((N$3:N$135&lt;&gt;"")*(G$3:G$135=G18)*(J$3:J$135&gt;J18)*(I$3:I$135="P"))+1,IF(M18="P",SUMPRODUCT((O$3:O$135&lt;&gt;"")*(P$3:P$135="")*(G$3:G$135=G18)*(I$3:I$135="P"))+SUMPRODUCT((P$3:P$135&lt;&gt;"")*(G$3:G$135=G18)*(I$3:I$135="P"))+SUMPRODUCT((N$3:N$135&lt;&gt;"")*(G$3:G$135=G18)*(I$3:I$135="P"))+SUMPRODUCT((P$3:P$135="")*(O$3:O$135="")*(N$3:N$135="")*(M$3:M$135="P")*(G$3:G$135=G18)*(J$3:J$135&gt;J18)*(I$3:I$135="P"))+IF(H18="L5",SUMPRODUCT((P$3:P$135="")*(O$3:O$135="")*(N$3:N$135="")*(M$3:M$135="P")*(G$3:G$135=G18)*(J$3:J$135&lt;J18)*(H$3:H$135&lt;&gt;H18)*(I$3:I$135="P")),-1*SUMPRODUCT((P$3:P$135="")*(O$3:O$135="")*(N$3:N$135="")*(M$3:M$135="P")*(G$3:G$135=G18)*(J$3:J$135&gt;J18)*(H$3:H$135="L5")*(I$3:I$135="P")))+1,"")))))</f>
        <v/>
      </c>
      <c r="B18" s="1" t="str" cm="1">
        <f t="array" ref="B18">IF(P18&lt;&gt;"",SUMPRODUCT((P$3:P$135&lt;&gt;"")*(G$3:G$135=G18)*(J$3:J$135&gt;J18))+1,IF(O18&lt;&gt;"",SUMPRODUCT((O$3:O$135&lt;&gt;"")*(P$3:P$135="")*(G$3:G$135=G18)*(J$3:J$135&gt;J18))+SUMPRODUCT((P$3:P$135&lt;&gt;"")*(G$3:G$135=G18))+1,IF(N18&lt;&gt;"",SUMPRODUCT((N$3:N$135&lt;&gt;"")*(G$3:G$135=G18)*(J$3:J$135&gt;J18))+1,IF(M18="P",SUMPRODUCT((O$3:O$135&lt;&gt;"")*(P$3:P$135="")*(G$3:G$135=G18))+SUMPRODUCT((P$3:P$135&lt;&gt;"")*(G$3:G$135=G18))+SUMPRODUCT((N$3:N$135&lt;&gt;"")*(G$3:G$135=G18))+SUMPRODUCT((P$3:P$135="")*(O$3:O$135="")*(N$3:N$135="")*(M$3:M$135="P")*(G$3:G$135=G18)*(J$3:J$135&gt;J18))+IF(H18="L5",SUMPRODUCT((P$3:P$135="")*(O$3:O$135="")*(N$3:N$135="")*(M$3:M$135="P")*(G$3:G$135=G18)*(J$3:J$135&lt;J18)*(H$3:H$135&lt;&gt;H18)),-1*SUMPRODUCT((P$3:P$135="")*(O$3:O$135="")*(N$3:N$135="")*(M$3:M$135="P")*(G$3:G$135=G18)*(J$3:J$135&gt;J18)*(H$3:H$135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 t="shared" si="3"/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 t="shared" si="4"/>
        <v>0</v>
      </c>
      <c r="AF18" s="34"/>
      <c r="AG18" s="37"/>
    </row>
    <row r="19" spans="1:33" x14ac:dyDescent="0.2">
      <c r="A19" s="1" t="str" cm="1">
        <f t="array" ref="A19">IF(I19="","",IF(P19&lt;&gt;"",SUMPRODUCT((P$3:P$135&lt;&gt;"")*(G$3:G$135=G19)*(J$3:J$135&gt;J19)*(I$3:I$135="P"))+1,IF(O19&lt;&gt;"",SUMPRODUCT((O$3:O$135&lt;&gt;"")*(P$3:P$135="")*(G$3:G$135=G19)*(J$3:J$135&gt;J19)*(I$3:I$135="P"))+SUMPRODUCT((P$3:P$135&lt;&gt;"")*(G$3:G$135=G19)*(I$3:I$135="P"))+1,IF(N19&lt;&gt;"",SUMPRODUCT((N$3:N$135&lt;&gt;"")*(G$3:G$135=G19)*(J$3:J$135&gt;J19)*(I$3:I$135="P"))+1,IF(M19="P",SUMPRODUCT((O$3:O$135&lt;&gt;"")*(P$3:P$135="")*(G$3:G$135=G19)*(I$3:I$135="P"))+SUMPRODUCT((P$3:P$135&lt;&gt;"")*(G$3:G$135=G19)*(I$3:I$135="P"))+SUMPRODUCT((N$3:N$135&lt;&gt;"")*(G$3:G$135=G19)*(I$3:I$135="P"))+SUMPRODUCT((P$3:P$135="")*(O$3:O$135="")*(N$3:N$135="")*(M$3:M$135="P")*(G$3:G$135=G19)*(J$3:J$135&gt;J19)*(I$3:I$135="P"))+IF(H19="L5",SUMPRODUCT((P$3:P$135="")*(O$3:O$135="")*(N$3:N$135="")*(M$3:M$135="P")*(G$3:G$135=G19)*(J$3:J$135&lt;J19)*(H$3:H$135&lt;&gt;H19)*(I$3:I$135="P")),-1*SUMPRODUCT((P$3:P$135="")*(O$3:O$135="")*(N$3:N$135="")*(M$3:M$135="P")*(G$3:G$135=G19)*(J$3:J$135&gt;J19)*(H$3:H$135="L5")*(I$3:I$135="P")))+1,"")))))</f>
        <v/>
      </c>
      <c r="B19" s="1" t="str" cm="1">
        <f t="array" ref="B19">IF(P19&lt;&gt;"",SUMPRODUCT((P$3:P$135&lt;&gt;"")*(G$3:G$135=G19)*(J$3:J$135&gt;J19))+1,IF(O19&lt;&gt;"",SUMPRODUCT((O$3:O$135&lt;&gt;"")*(P$3:P$135="")*(G$3:G$135=G19)*(J$3:J$135&gt;J19))+SUMPRODUCT((P$3:P$135&lt;&gt;"")*(G$3:G$135=G19))+1,IF(N19&lt;&gt;"",SUMPRODUCT((N$3:N$135&lt;&gt;"")*(G$3:G$135=G19)*(J$3:J$135&gt;J19))+1,IF(M19="P",SUMPRODUCT((O$3:O$135&lt;&gt;"")*(P$3:P$135="")*(G$3:G$135=G19))+SUMPRODUCT((P$3:P$135&lt;&gt;"")*(G$3:G$135=G19))+SUMPRODUCT((N$3:N$135&lt;&gt;"")*(G$3:G$135=G19))+SUMPRODUCT((P$3:P$135="")*(O$3:O$135="")*(N$3:N$135="")*(M$3:M$135="P")*(G$3:G$135=G19)*(J$3:J$135&gt;J19))+IF(H19="L5",SUMPRODUCT((P$3:P$135="")*(O$3:O$135="")*(N$3:N$135="")*(M$3:M$135="P")*(G$3:G$135=G19)*(J$3:J$135&lt;J19)*(H$3:H$135&lt;&gt;H19)),-1*SUMPRODUCT((P$3:P$135="")*(O$3:O$135="")*(N$3:N$135="")*(M$3:M$135="P")*(G$3:G$135=G19)*(J$3:J$135&gt;J19)*(H$3:H$135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 t="shared" si="3"/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 t="shared" si="4"/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$135&lt;&gt;"")*(G$3:G$135=G20)*(J$3:J$135&gt;J20)*(I$3:I$135="P"))+1,IF(O20&lt;&gt;"",SUMPRODUCT((O$3:O$135&lt;&gt;"")*(P$3:P$135="")*(G$3:G$135=G20)*(J$3:J$135&gt;J20)*(I$3:I$135="P"))+SUMPRODUCT((P$3:P$135&lt;&gt;"")*(G$3:G$135=G20)*(I$3:I$135="P"))+1,IF(N20&lt;&gt;"",SUMPRODUCT((N$3:N$135&lt;&gt;"")*(G$3:G$135=G20)*(J$3:J$135&gt;J20)*(I$3:I$135="P"))+1,IF(M20="P",SUMPRODUCT((O$3:O$135&lt;&gt;"")*(P$3:P$135="")*(G$3:G$135=G20)*(I$3:I$135="P"))+SUMPRODUCT((P$3:P$135&lt;&gt;"")*(G$3:G$135=G20)*(I$3:I$135="P"))+SUMPRODUCT((N$3:N$135&lt;&gt;"")*(G$3:G$135=G20)*(I$3:I$135="P"))+SUMPRODUCT((P$3:P$135="")*(O$3:O$135="")*(N$3:N$135="")*(M$3:M$135="P")*(G$3:G$135=G20)*(J$3:J$135&gt;J20)*(I$3:I$135="P"))+IF(H20="L5",SUMPRODUCT((P$3:P$135="")*(O$3:O$135="")*(N$3:N$135="")*(M$3:M$135="P")*(G$3:G$135=G20)*(J$3:J$135&lt;J20)*(H$3:H$135&lt;&gt;H20)*(I$3:I$135="P")),-1*SUMPRODUCT((P$3:P$135="")*(O$3:O$135="")*(N$3:N$135="")*(M$3:M$135="P")*(G$3:G$135=G20)*(J$3:J$135&gt;J20)*(H$3:H$135="L5")*(I$3:I$135="P")))+1,"")))))</f>
        <v/>
      </c>
      <c r="B20" s="1" t="str" cm="1">
        <f t="array" ref="B20">IF(P20&lt;&gt;"",SUMPRODUCT((P$3:P$135&lt;&gt;"")*(G$3:G$135=G20)*(J$3:J$135&gt;J20))+1,IF(O20&lt;&gt;"",SUMPRODUCT((O$3:O$135&lt;&gt;"")*(P$3:P$135="")*(G$3:G$135=G20)*(J$3:J$135&gt;J20))+SUMPRODUCT((P$3:P$135&lt;&gt;"")*(G$3:G$135=G20))+1,IF(N20&lt;&gt;"",SUMPRODUCT((N$3:N$135&lt;&gt;"")*(G$3:G$135=G20)*(J$3:J$135&gt;J20))+1,IF(M20="P",SUMPRODUCT((O$3:O$135&lt;&gt;"")*(P$3:P$135="")*(G$3:G$135=G20))+SUMPRODUCT((P$3:P$135&lt;&gt;"")*(G$3:G$135=G20))+SUMPRODUCT((N$3:N$135&lt;&gt;"")*(G$3:G$135=G20))+SUMPRODUCT((P$3:P$135="")*(O$3:O$135="")*(N$3:N$135="")*(M$3:M$135="P")*(G$3:G$135=G20)*(J$3:J$135&gt;J20))+IF(H20="L5",SUMPRODUCT((P$3:P$135="")*(O$3:O$135="")*(N$3:N$135="")*(M$3:M$135="P")*(G$3:G$135=G20)*(J$3:J$135&lt;J20)*(H$3:H$135&lt;&gt;H20)),-1*SUMPRODUCT((P$3:P$135="")*(O$3:O$135="")*(N$3:N$135="")*(M$3:M$135="P")*(G$3:G$135=G20)*(J$3:J$135&gt;J20)*(H$3:H$135="L5")))+1,""))))</f>
        <v/>
      </c>
      <c r="C20" s="36" t="s">
        <v>537</v>
      </c>
      <c r="D20" s="36" t="str">
        <f>IF(E20="","",VLOOKUP(E20,'Coaching Points'!A:B,2,0))</f>
        <v>ON</v>
      </c>
      <c r="E20" s="36" t="s">
        <v>429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 t="shared" si="3"/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 t="shared" si="4"/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$135&lt;&gt;"")*(G$3:G$135=G21)*(J$3:J$135&gt;J21)*(I$3:I$135="P"))+1,IF(O21&lt;&gt;"",SUMPRODUCT((O$3:O$135&lt;&gt;"")*(P$3:P$135="")*(G$3:G$135=G21)*(J$3:J$135&gt;J21)*(I$3:I$135="P"))+SUMPRODUCT((P$3:P$135&lt;&gt;"")*(G$3:G$135=G21)*(I$3:I$135="P"))+1,IF(N21&lt;&gt;"",SUMPRODUCT((N$3:N$135&lt;&gt;"")*(G$3:G$135=G21)*(J$3:J$135&gt;J21)*(I$3:I$135="P"))+1,IF(M21="P",SUMPRODUCT((O$3:O$135&lt;&gt;"")*(P$3:P$135="")*(G$3:G$135=G21)*(I$3:I$135="P"))+SUMPRODUCT((P$3:P$135&lt;&gt;"")*(G$3:G$135=G21)*(I$3:I$135="P"))+SUMPRODUCT((N$3:N$135&lt;&gt;"")*(G$3:G$135=G21)*(I$3:I$135="P"))+SUMPRODUCT((P$3:P$135="")*(O$3:O$135="")*(N$3:N$135="")*(M$3:M$135="P")*(G$3:G$135=G21)*(J$3:J$135&gt;J21)*(I$3:I$135="P"))+IF(H21="L5",SUMPRODUCT((P$3:P$135="")*(O$3:O$135="")*(N$3:N$135="")*(M$3:M$135="P")*(G$3:G$135=G21)*(J$3:J$135&lt;J21)*(H$3:H$135&lt;&gt;H21)*(I$3:I$135="P")),-1*SUMPRODUCT((P$3:P$135="")*(O$3:O$135="")*(N$3:N$135="")*(M$3:M$135="P")*(G$3:G$135=G21)*(J$3:J$135&gt;J21)*(H$3:H$135="L5")*(I$3:I$135="P")))+1,"")))))</f>
        <v/>
      </c>
      <c r="B21" s="1" t="str" cm="1">
        <f t="array" ref="B21">IF(P21&lt;&gt;"",SUMPRODUCT((P$3:P$135&lt;&gt;"")*(G$3:G$135=G21)*(J$3:J$135&gt;J21))+1,IF(O21&lt;&gt;"",SUMPRODUCT((O$3:O$135&lt;&gt;"")*(P$3:P$135="")*(G$3:G$135=G21)*(J$3:J$135&gt;J21))+SUMPRODUCT((P$3:P$135&lt;&gt;"")*(G$3:G$135=G21))+1,IF(N21&lt;&gt;"",SUMPRODUCT((N$3:N$135&lt;&gt;"")*(G$3:G$135=G21)*(J$3:J$135&gt;J21))+1,IF(M21="P",SUMPRODUCT((O$3:O$135&lt;&gt;"")*(P$3:P$135="")*(G$3:G$135=G21))+SUMPRODUCT((P$3:P$135&lt;&gt;"")*(G$3:G$135=G21))+SUMPRODUCT((N$3:N$135&lt;&gt;"")*(G$3:G$135=G21))+SUMPRODUCT((P$3:P$135="")*(O$3:O$135="")*(N$3:N$135="")*(M$3:M$135="P")*(G$3:G$135=G21)*(J$3:J$135&gt;J21))+IF(H21="L5",SUMPRODUCT((P$3:P$135="")*(O$3:O$135="")*(N$3:N$135="")*(M$3:M$135="P")*(G$3:G$135=G21)*(J$3:J$135&lt;J21)*(H$3:H$135&lt;&gt;H21)),-1*SUMPRODUCT((P$3:P$135="")*(O$3:O$135="")*(N$3:N$135="")*(M$3:M$135="P")*(G$3:G$135=G21)*(J$3:J$135&gt;J21)*(H$3:H$135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 t="shared" si="3"/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 t="shared" si="4"/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$135&lt;&gt;"")*(G$3:G$135=G22)*(J$3:J$135&gt;J22)*(I$3:I$135="P"))+1,IF(O22&lt;&gt;"",SUMPRODUCT((O$3:O$135&lt;&gt;"")*(P$3:P$135="")*(G$3:G$135=G22)*(J$3:J$135&gt;J22)*(I$3:I$135="P"))+SUMPRODUCT((P$3:P$135&lt;&gt;"")*(G$3:G$135=G22)*(I$3:I$135="P"))+1,IF(N22&lt;&gt;"",SUMPRODUCT((N$3:N$135&lt;&gt;"")*(G$3:G$135=G22)*(J$3:J$135&gt;J22)*(I$3:I$135="P"))+1,IF(M22="P",SUMPRODUCT((O$3:O$135&lt;&gt;"")*(P$3:P$135="")*(G$3:G$135=G22)*(I$3:I$135="P"))+SUMPRODUCT((P$3:P$135&lt;&gt;"")*(G$3:G$135=G22)*(I$3:I$135="P"))+SUMPRODUCT((N$3:N$135&lt;&gt;"")*(G$3:G$135=G22)*(I$3:I$135="P"))+SUMPRODUCT((P$3:P$135="")*(O$3:O$135="")*(N$3:N$135="")*(M$3:M$135="P")*(G$3:G$135=G22)*(J$3:J$135&gt;J22)*(I$3:I$135="P"))+IF(H22="L5",SUMPRODUCT((P$3:P$135="")*(O$3:O$135="")*(N$3:N$135="")*(M$3:M$135="P")*(G$3:G$135=G22)*(J$3:J$135&lt;J22)*(H$3:H$135&lt;&gt;H22)*(I$3:I$135="P")),-1*SUMPRODUCT((P$3:P$135="")*(O$3:O$135="")*(N$3:N$135="")*(M$3:M$135="P")*(G$3:G$135=G22)*(J$3:J$135&gt;J22)*(H$3:H$135="L5")*(I$3:I$135="P")))+1,"")))))</f>
        <v/>
      </c>
      <c r="B22" s="1" t="str" cm="1">
        <f t="array" ref="B22">IF(P22&lt;&gt;"",SUMPRODUCT((P$3:P$135&lt;&gt;"")*(G$3:G$135=G22)*(J$3:J$135&gt;J22))+1,IF(O22&lt;&gt;"",SUMPRODUCT((O$3:O$135&lt;&gt;"")*(P$3:P$135="")*(G$3:G$135=G22)*(J$3:J$135&gt;J22))+SUMPRODUCT((P$3:P$135&lt;&gt;"")*(G$3:G$135=G22))+1,IF(N22&lt;&gt;"",SUMPRODUCT((N$3:N$135&lt;&gt;"")*(G$3:G$135=G22)*(J$3:J$135&gt;J22))+1,IF(M22="P",SUMPRODUCT((O$3:O$135&lt;&gt;"")*(P$3:P$135="")*(G$3:G$135=G22))+SUMPRODUCT((P$3:P$135&lt;&gt;"")*(G$3:G$135=G22))+SUMPRODUCT((N$3:N$135&lt;&gt;"")*(G$3:G$135=G22))+SUMPRODUCT((P$3:P$135="")*(O$3:O$135="")*(N$3:N$135="")*(M$3:M$135="P")*(G$3:G$135=G22)*(J$3:J$135&gt;J22))+IF(H22="L5",SUMPRODUCT((P$3:P$135="")*(O$3:O$135="")*(N$3:N$135="")*(M$3:M$135="P")*(G$3:G$135=G22)*(J$3:J$135&lt;J22)*(H$3:H$135&lt;&gt;H22)),-1*SUMPRODUCT((P$3:P$135="")*(O$3:O$135="")*(N$3:N$135="")*(M$3:M$135="P")*(G$3:G$135=G22)*(J$3:J$135&gt;J22)*(H$3:H$135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 t="shared" si="3"/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 t="shared" si="4"/>
        <v>83.51</v>
      </c>
      <c r="AF22" s="34"/>
      <c r="AG22" s="37"/>
    </row>
    <row r="23" spans="1:33" x14ac:dyDescent="0.2">
      <c r="A23" s="1" t="str" cm="1">
        <f t="array" ref="A23">IF(I23="","",IF(P23&lt;&gt;"",SUMPRODUCT((P$3:P$135&lt;&gt;"")*(G$3:G$135=G23)*(J$3:J$135&gt;J23)*(I$3:I$135="P"))+1,IF(O23&lt;&gt;"",SUMPRODUCT((O$3:O$135&lt;&gt;"")*(P$3:P$135="")*(G$3:G$135=G23)*(J$3:J$135&gt;J23)*(I$3:I$135="P"))+SUMPRODUCT((P$3:P$135&lt;&gt;"")*(G$3:G$135=G23)*(I$3:I$135="P"))+1,IF(N23&lt;&gt;"",SUMPRODUCT((N$3:N$135&lt;&gt;"")*(G$3:G$135=G23)*(J$3:J$135&gt;J23)*(I$3:I$135="P"))+1,IF(M23="P",SUMPRODUCT((O$3:O$135&lt;&gt;"")*(P$3:P$135="")*(G$3:G$135=G23)*(I$3:I$135="P"))+SUMPRODUCT((P$3:P$135&lt;&gt;"")*(G$3:G$135=G23)*(I$3:I$135="P"))+SUMPRODUCT((N$3:N$135&lt;&gt;"")*(G$3:G$135=G23)*(I$3:I$135="P"))+SUMPRODUCT((P$3:P$135="")*(O$3:O$135="")*(N$3:N$135="")*(M$3:M$135="P")*(G$3:G$135=G23)*(J$3:J$135&gt;J23)*(I$3:I$135="P"))+IF(H23="L5",SUMPRODUCT((P$3:P$135="")*(O$3:O$135="")*(N$3:N$135="")*(M$3:M$135="P")*(G$3:G$135=G23)*(J$3:J$135&lt;J23)*(H$3:H$135&lt;&gt;H23)*(I$3:I$135="P")),-1*SUMPRODUCT((P$3:P$135="")*(O$3:O$135="")*(N$3:N$135="")*(M$3:M$135="P")*(G$3:G$135=G23)*(J$3:J$135&gt;J23)*(H$3:H$135="L5")*(I$3:I$135="P")))+1,"")))))</f>
        <v/>
      </c>
      <c r="B23" s="1" t="str" cm="1">
        <f t="array" ref="B23">IF(P23&lt;&gt;"",SUMPRODUCT((P$3:P$135&lt;&gt;"")*(G$3:G$135=G23)*(J$3:J$135&gt;J23))+1,IF(O23&lt;&gt;"",SUMPRODUCT((O$3:O$135&lt;&gt;"")*(P$3:P$135="")*(G$3:G$135=G23)*(J$3:J$135&gt;J23))+SUMPRODUCT((P$3:P$135&lt;&gt;"")*(G$3:G$135=G23))+1,IF(N23&lt;&gt;"",SUMPRODUCT((N$3:N$135&lt;&gt;"")*(G$3:G$135=G23)*(J$3:J$135&gt;J23))+1,IF(M23="P",SUMPRODUCT((O$3:O$135&lt;&gt;"")*(P$3:P$135="")*(G$3:G$135=G23))+SUMPRODUCT((P$3:P$135&lt;&gt;"")*(G$3:G$135=G23))+SUMPRODUCT((N$3:N$135&lt;&gt;"")*(G$3:G$135=G23))+SUMPRODUCT((P$3:P$135="")*(O$3:O$135="")*(N$3:N$135="")*(M$3:M$135="P")*(G$3:G$135=G23)*(J$3:J$135&gt;J23))+IF(H23="L5",SUMPRODUCT((P$3:P$135="")*(O$3:O$135="")*(N$3:N$135="")*(M$3:M$135="P")*(G$3:G$135=G23)*(J$3:J$135&lt;J23)*(H$3:H$135&lt;&gt;H23)),-1*SUMPRODUCT((P$3:P$135="")*(O$3:O$135="")*(N$3:N$135="")*(M$3:M$135="P")*(G$3:G$135=G23)*(J$3:J$135&gt;J23)*(H$3:H$135="L5")))+1,""))))</f>
        <v/>
      </c>
      <c r="C23" s="36" t="s">
        <v>448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 t="shared" si="3"/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 t="shared" si="4"/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$135&lt;&gt;"")*(G$3:G$135=G24)*(J$3:J$135&gt;J24)*(I$3:I$135="P"))+1,IF(O24&lt;&gt;"",SUMPRODUCT((O$3:O$135&lt;&gt;"")*(P$3:P$135="")*(G$3:G$135=G24)*(J$3:J$135&gt;J24)*(I$3:I$135="P"))+SUMPRODUCT((P$3:P$135&lt;&gt;"")*(G$3:G$135=G24)*(I$3:I$135="P"))+1,IF(N24&lt;&gt;"",SUMPRODUCT((N$3:N$135&lt;&gt;"")*(G$3:G$135=G24)*(J$3:J$135&gt;J24)*(I$3:I$135="P"))+1,IF(M24="P",SUMPRODUCT((O$3:O$135&lt;&gt;"")*(P$3:P$135="")*(G$3:G$135=G24)*(I$3:I$135="P"))+SUMPRODUCT((P$3:P$135&lt;&gt;"")*(G$3:G$135=G24)*(I$3:I$135="P"))+SUMPRODUCT((N$3:N$135&lt;&gt;"")*(G$3:G$135=G24)*(I$3:I$135="P"))+SUMPRODUCT((P$3:P$135="")*(O$3:O$135="")*(N$3:N$135="")*(M$3:M$135="P")*(G$3:G$135=G24)*(J$3:J$135&gt;J24)*(I$3:I$135="P"))+IF(H24="L5",SUMPRODUCT((P$3:P$135="")*(O$3:O$135="")*(N$3:N$135="")*(M$3:M$135="P")*(G$3:G$135=G24)*(J$3:J$135&lt;J24)*(H$3:H$135&lt;&gt;H24)*(I$3:I$135="P")),-1*SUMPRODUCT((P$3:P$135="")*(O$3:O$135="")*(N$3:N$135="")*(M$3:M$135="P")*(G$3:G$135=G24)*(J$3:J$135&gt;J24)*(H$3:H$135="L5")*(I$3:I$135="P")))+1,"")))))</f>
        <v/>
      </c>
      <c r="B24" s="1" t="str" cm="1">
        <f t="array" ref="B24">IF(P24&lt;&gt;"",SUMPRODUCT((P$3:P$135&lt;&gt;"")*(G$3:G$135=G24)*(J$3:J$135&gt;J24))+1,IF(O24&lt;&gt;"",SUMPRODUCT((O$3:O$135&lt;&gt;"")*(P$3:P$135="")*(G$3:G$135=G24)*(J$3:J$135&gt;J24))+SUMPRODUCT((P$3:P$135&lt;&gt;"")*(G$3:G$135=G24))+1,IF(N24&lt;&gt;"",SUMPRODUCT((N$3:N$135&lt;&gt;"")*(G$3:G$135=G24)*(J$3:J$135&gt;J24))+1,IF(M24="P",SUMPRODUCT((O$3:O$135&lt;&gt;"")*(P$3:P$135="")*(G$3:G$135=G24))+SUMPRODUCT((P$3:P$135&lt;&gt;"")*(G$3:G$135=G24))+SUMPRODUCT((N$3:N$135&lt;&gt;"")*(G$3:G$135=G24))+SUMPRODUCT((P$3:P$135="")*(O$3:O$135="")*(N$3:N$135="")*(M$3:M$135="P")*(G$3:G$135=G24)*(J$3:J$135&gt;J24))+IF(H24="L5",SUMPRODUCT((P$3:P$135="")*(O$3:O$135="")*(N$3:N$135="")*(M$3:M$135="P")*(G$3:G$135=G24)*(J$3:J$135&lt;J24)*(H$3:H$135&lt;&gt;H24)),-1*SUMPRODUCT((P$3:P$135="")*(O$3:O$135="")*(N$3:N$135="")*(M$3:M$135="P")*(G$3:G$135=G24)*(J$3:J$135&gt;J24)*(H$3:H$135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 t="shared" si="3"/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 t="shared" si="4"/>
        <v>54.04</v>
      </c>
      <c r="AF24" s="34"/>
      <c r="AG24" s="37"/>
    </row>
    <row r="25" spans="1:33" x14ac:dyDescent="0.2">
      <c r="A25" s="1" t="str" cm="1">
        <f t="array" ref="A25">IF(I25="","",IF(P25&lt;&gt;"",SUMPRODUCT((P$3:P$135&lt;&gt;"")*(G$3:G$135=G25)*(J$3:J$135&gt;J25)*(I$3:I$135="P"))+1,IF(O25&lt;&gt;"",SUMPRODUCT((O$3:O$135&lt;&gt;"")*(P$3:P$135="")*(G$3:G$135=G25)*(J$3:J$135&gt;J25)*(I$3:I$135="P"))+SUMPRODUCT((P$3:P$135&lt;&gt;"")*(G$3:G$135=G25)*(I$3:I$135="P"))+1,IF(N25&lt;&gt;"",SUMPRODUCT((N$3:N$135&lt;&gt;"")*(G$3:G$135=G25)*(J$3:J$135&gt;J25)*(I$3:I$135="P"))+1,IF(M25="P",SUMPRODUCT((O$3:O$135&lt;&gt;"")*(P$3:P$135="")*(G$3:G$135=G25)*(I$3:I$135="P"))+SUMPRODUCT((P$3:P$135&lt;&gt;"")*(G$3:G$135=G25)*(I$3:I$135="P"))+SUMPRODUCT((N$3:N$135&lt;&gt;"")*(G$3:G$135=G25)*(I$3:I$135="P"))+SUMPRODUCT((P$3:P$135="")*(O$3:O$135="")*(N$3:N$135="")*(M$3:M$135="P")*(G$3:G$135=G25)*(J$3:J$135&gt;J25)*(I$3:I$135="P"))+IF(H25="L5",SUMPRODUCT((P$3:P$135="")*(O$3:O$135="")*(N$3:N$135="")*(M$3:M$135="P")*(G$3:G$135=G25)*(J$3:J$135&lt;J25)*(H$3:H$135&lt;&gt;H25)*(I$3:I$135="P")),-1*SUMPRODUCT((P$3:P$135="")*(O$3:O$135="")*(N$3:N$135="")*(M$3:M$135="P")*(G$3:G$135=G25)*(J$3:J$135&gt;J25)*(H$3:H$135="L5")*(I$3:I$135="P")))+1,"")))))</f>
        <v/>
      </c>
      <c r="B25" s="1" t="str" cm="1">
        <f t="array" ref="B25">IF(P25&lt;&gt;"",SUMPRODUCT((P$3:P$135&lt;&gt;"")*(G$3:G$135=G25)*(J$3:J$135&gt;J25))+1,IF(O25&lt;&gt;"",SUMPRODUCT((O$3:O$135&lt;&gt;"")*(P$3:P$135="")*(G$3:G$135=G25)*(J$3:J$135&gt;J25))+SUMPRODUCT((P$3:P$135&lt;&gt;"")*(G$3:G$135=G25))+1,IF(N25&lt;&gt;"",SUMPRODUCT((N$3:N$135&lt;&gt;"")*(G$3:G$135=G25)*(J$3:J$135&gt;J25))+1,IF(M25="P",SUMPRODUCT((O$3:O$135&lt;&gt;"")*(P$3:P$135="")*(G$3:G$135=G25))+SUMPRODUCT((P$3:P$135&lt;&gt;"")*(G$3:G$135=G25))+SUMPRODUCT((N$3:N$135&lt;&gt;"")*(G$3:G$135=G25))+SUMPRODUCT((P$3:P$135="")*(O$3:O$135="")*(N$3:N$135="")*(M$3:M$135="P")*(G$3:G$135=G25)*(J$3:J$135&gt;J25))+IF(H25="L5",SUMPRODUCT((P$3:P$135="")*(O$3:O$135="")*(N$3:N$135="")*(M$3:M$135="P")*(G$3:G$135=G25)*(J$3:J$135&lt;J25)*(H$3:H$135&lt;&gt;H25)),-1*SUMPRODUCT((P$3:P$135="")*(O$3:O$135="")*(N$3:N$135="")*(M$3:M$135="P")*(G$3:G$135=G25)*(J$3:J$135&gt;J25)*(H$3:H$135="L5")))+1,""))))</f>
        <v/>
      </c>
      <c r="C25" s="36" t="s">
        <v>252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 t="shared" si="3"/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 t="shared" si="4"/>
        <v>90.97</v>
      </c>
      <c r="AF25" s="34"/>
      <c r="AG25" s="37"/>
    </row>
    <row r="26" spans="1:33" x14ac:dyDescent="0.2">
      <c r="A26" s="1" t="str" cm="1">
        <f t="array" ref="A26">IF(I26="","",IF(P26&lt;&gt;"",SUMPRODUCT((P$3:P$135&lt;&gt;"")*(G$3:G$135=G26)*(J$3:J$135&gt;J26)*(I$3:I$135="P"))+1,IF(O26&lt;&gt;"",SUMPRODUCT((O$3:O$135&lt;&gt;"")*(P$3:P$135="")*(G$3:G$135=G26)*(J$3:J$135&gt;J26)*(I$3:I$135="P"))+SUMPRODUCT((P$3:P$135&lt;&gt;"")*(G$3:G$135=G26)*(I$3:I$135="P"))+1,IF(N26&lt;&gt;"",SUMPRODUCT((N$3:N$135&lt;&gt;"")*(G$3:G$135=G26)*(J$3:J$135&gt;J26)*(I$3:I$135="P"))+1,IF(M26="P",SUMPRODUCT((O$3:O$135&lt;&gt;"")*(P$3:P$135="")*(G$3:G$135=G26)*(I$3:I$135="P"))+SUMPRODUCT((P$3:P$135&lt;&gt;"")*(G$3:G$135=G26)*(I$3:I$135="P"))+SUMPRODUCT((N$3:N$135&lt;&gt;"")*(G$3:G$135=G26)*(I$3:I$135="P"))+SUMPRODUCT((P$3:P$135="")*(O$3:O$135="")*(N$3:N$135="")*(M$3:M$135="P")*(G$3:G$135=G26)*(J$3:J$135&gt;J26)*(I$3:I$135="P"))+IF(H26="L5",SUMPRODUCT((P$3:P$135="")*(O$3:O$135="")*(N$3:N$135="")*(M$3:M$135="P")*(G$3:G$135=G26)*(J$3:J$135&lt;J26)*(H$3:H$135&lt;&gt;H26)*(I$3:I$135="P")),-1*SUMPRODUCT((P$3:P$135="")*(O$3:O$135="")*(N$3:N$135="")*(M$3:M$135="P")*(G$3:G$135=G26)*(J$3:J$135&gt;J26)*(H$3:H$135="L5")*(I$3:I$135="P")))+1,"")))))</f>
        <v/>
      </c>
      <c r="B26" s="1" t="str" cm="1">
        <f t="array" ref="B26">IF(P26&lt;&gt;"",SUMPRODUCT((P$3:P$135&lt;&gt;"")*(G$3:G$135=G26)*(J$3:J$135&gt;J26))+1,IF(O26&lt;&gt;"",SUMPRODUCT((O$3:O$135&lt;&gt;"")*(P$3:P$135="")*(G$3:G$135=G26)*(J$3:J$135&gt;J26))+SUMPRODUCT((P$3:P$135&lt;&gt;"")*(G$3:G$135=G26))+1,IF(N26&lt;&gt;"",SUMPRODUCT((N$3:N$135&lt;&gt;"")*(G$3:G$135=G26)*(J$3:J$135&gt;J26))+1,IF(M26="P",SUMPRODUCT((O$3:O$135&lt;&gt;"")*(P$3:P$135="")*(G$3:G$135=G26))+SUMPRODUCT((P$3:P$135&lt;&gt;"")*(G$3:G$135=G26))+SUMPRODUCT((N$3:N$135&lt;&gt;"")*(G$3:G$135=G26))+SUMPRODUCT((P$3:P$135="")*(O$3:O$135="")*(N$3:N$135="")*(M$3:M$135="P")*(G$3:G$135=G26)*(J$3:J$135&gt;J26))+IF(H26="L5",SUMPRODUCT((P$3:P$135="")*(O$3:O$135="")*(N$3:N$135="")*(M$3:M$135="P")*(G$3:G$135=G26)*(J$3:J$135&lt;J26)*(H$3:H$135&lt;&gt;H26)),-1*SUMPRODUCT((P$3:P$135="")*(O$3:O$135="")*(N$3:N$135="")*(M$3:M$135="P")*(G$3:G$135=G26)*(J$3:J$135&gt;J26)*(H$3:H$135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90.880004604999996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 t="shared" si="3"/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 t="shared" si="4"/>
        <v>90.88</v>
      </c>
      <c r="AF26" s="34"/>
      <c r="AG26" s="37"/>
    </row>
    <row r="27" spans="1:33" x14ac:dyDescent="0.2">
      <c r="A27" s="1" t="str" cm="1">
        <f t="array" ref="A27">IF(I27="","",IF(P27&lt;&gt;"",SUMPRODUCT((P$3:P$135&lt;&gt;"")*(G$3:G$135=G27)*(J$3:J$135&gt;J27)*(I$3:I$135="P"))+1,IF(O27&lt;&gt;"",SUMPRODUCT((O$3:O$135&lt;&gt;"")*(P$3:P$135="")*(G$3:G$135=G27)*(J$3:J$135&gt;J27)*(I$3:I$135="P"))+SUMPRODUCT((P$3:P$135&lt;&gt;"")*(G$3:G$135=G27)*(I$3:I$135="P"))+1,IF(N27&lt;&gt;"",SUMPRODUCT((N$3:N$135&lt;&gt;"")*(G$3:G$135=G27)*(J$3:J$135&gt;J27)*(I$3:I$135="P"))+1,IF(M27="P",SUMPRODUCT((O$3:O$135&lt;&gt;"")*(P$3:P$135="")*(G$3:G$135=G27)*(I$3:I$135="P"))+SUMPRODUCT((P$3:P$135&lt;&gt;"")*(G$3:G$135=G27)*(I$3:I$135="P"))+SUMPRODUCT((N$3:N$135&lt;&gt;"")*(G$3:G$135=G27)*(I$3:I$135="P"))+SUMPRODUCT((P$3:P$135="")*(O$3:O$135="")*(N$3:N$135="")*(M$3:M$135="P")*(G$3:G$135=G27)*(J$3:J$135&gt;J27)*(I$3:I$135="P"))+IF(H27="L5",SUMPRODUCT((P$3:P$135="")*(O$3:O$135="")*(N$3:N$135="")*(M$3:M$135="P")*(G$3:G$135=G27)*(J$3:J$135&lt;J27)*(H$3:H$135&lt;&gt;H27)*(I$3:I$135="P")),-1*SUMPRODUCT((P$3:P$135="")*(O$3:O$135="")*(N$3:N$135="")*(M$3:M$135="P")*(G$3:G$135=G27)*(J$3:J$135&gt;J27)*(H$3:H$135="L5")*(I$3:I$135="P")))+1,"")))))</f>
        <v/>
      </c>
      <c r="B27" s="1" t="str" cm="1">
        <f t="array" ref="B27">IF(P27&lt;&gt;"",SUMPRODUCT((P$3:P$135&lt;&gt;"")*(G$3:G$135=G27)*(J$3:J$135&gt;J27))+1,IF(O27&lt;&gt;"",SUMPRODUCT((O$3:O$135&lt;&gt;"")*(P$3:P$135="")*(G$3:G$135=G27)*(J$3:J$135&gt;J27))+SUMPRODUCT((P$3:P$135&lt;&gt;"")*(G$3:G$135=G27))+1,IF(N27&lt;&gt;"",SUMPRODUCT((N$3:N$135&lt;&gt;"")*(G$3:G$135=G27)*(J$3:J$135&gt;J27))+1,IF(M27="P",SUMPRODUCT((O$3:O$135&lt;&gt;"")*(P$3:P$135="")*(G$3:G$135=G27))+SUMPRODUCT((P$3:P$135&lt;&gt;"")*(G$3:G$135=G27))+SUMPRODUCT((N$3:N$135&lt;&gt;"")*(G$3:G$135=G27))+SUMPRODUCT((P$3:P$135="")*(O$3:O$135="")*(N$3:N$135="")*(M$3:M$135="P")*(G$3:G$135=G27)*(J$3:J$135&gt;J27))+IF(H27="L5",SUMPRODUCT((P$3:P$135="")*(O$3:O$135="")*(N$3:N$135="")*(M$3:M$135="P")*(G$3:G$135=G27)*(J$3:J$135&lt;J27)*(H$3:H$135&lt;&gt;H27)),-1*SUMPRODUCT((P$3:P$135="")*(O$3:O$135="")*(N$3:N$135="")*(M$3:M$135="P")*(G$3:G$135=G27)*(J$3:J$135&gt;J27)*(H$3:H$135="L5")))+1,""))))</f>
        <v/>
      </c>
      <c r="C27" s="36" t="s">
        <v>235</v>
      </c>
      <c r="D27" s="36" t="str">
        <f>IF(E27="","",VLOOKUP(E27,'Coaching Points'!A:B,2,0))</f>
        <v>ON</v>
      </c>
      <c r="E27" s="36" t="s">
        <v>285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 t="shared" si="3"/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 t="shared" si="4"/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$135&lt;&gt;"")*(G$3:G$135=G28)*(J$3:J$135&gt;J28)*(I$3:I$135="P"))+1,IF(O28&lt;&gt;"",SUMPRODUCT((O$3:O$135&lt;&gt;"")*(P$3:P$135="")*(G$3:G$135=G28)*(J$3:J$135&gt;J28)*(I$3:I$135="P"))+SUMPRODUCT((P$3:P$135&lt;&gt;"")*(G$3:G$135=G28)*(I$3:I$135="P"))+1,IF(N28&lt;&gt;"",SUMPRODUCT((N$3:N$135&lt;&gt;"")*(G$3:G$135=G28)*(J$3:J$135&gt;J28)*(I$3:I$135="P"))+1,IF(M28="P",SUMPRODUCT((O$3:O$135&lt;&gt;"")*(P$3:P$135="")*(G$3:G$135=G28)*(I$3:I$135="P"))+SUMPRODUCT((P$3:P$135&lt;&gt;"")*(G$3:G$135=G28)*(I$3:I$135="P"))+SUMPRODUCT((N$3:N$135&lt;&gt;"")*(G$3:G$135=G28)*(I$3:I$135="P"))+SUMPRODUCT((P$3:P$135="")*(O$3:O$135="")*(N$3:N$135="")*(M$3:M$135="P")*(G$3:G$135=G28)*(J$3:J$135&gt;J28)*(I$3:I$135="P"))+IF(H28="L5",SUMPRODUCT((P$3:P$135="")*(O$3:O$135="")*(N$3:N$135="")*(M$3:M$135="P")*(G$3:G$135=G28)*(J$3:J$135&lt;J28)*(H$3:H$135&lt;&gt;H28)*(I$3:I$135="P")),-1*SUMPRODUCT((P$3:P$135="")*(O$3:O$135="")*(N$3:N$135="")*(M$3:M$135="P")*(G$3:G$135=G28)*(J$3:J$135&gt;J28)*(H$3:H$135="L5")*(I$3:I$135="P")))+1,"")))))</f>
        <v/>
      </c>
      <c r="B28" s="1" t="str" cm="1">
        <f t="array" ref="B28">IF(P28&lt;&gt;"",SUMPRODUCT((P$3:P$135&lt;&gt;"")*(G$3:G$135=G28)*(J$3:J$135&gt;J28))+1,IF(O28&lt;&gt;"",SUMPRODUCT((O$3:O$135&lt;&gt;"")*(P$3:P$135="")*(G$3:G$135=G28)*(J$3:J$135&gt;J28))+SUMPRODUCT((P$3:P$135&lt;&gt;"")*(G$3:G$135=G28))+1,IF(N28&lt;&gt;"",SUMPRODUCT((N$3:N$135&lt;&gt;"")*(G$3:G$135=G28)*(J$3:J$135&gt;J28))+1,IF(M28="P",SUMPRODUCT((O$3:O$135&lt;&gt;"")*(P$3:P$135="")*(G$3:G$135=G28))+SUMPRODUCT((P$3:P$135&lt;&gt;"")*(G$3:G$135=G28))+SUMPRODUCT((N$3:N$135&lt;&gt;"")*(G$3:G$135=G28))+SUMPRODUCT((P$3:P$135="")*(O$3:O$135="")*(N$3:N$135="")*(M$3:M$135="P")*(G$3:G$135=G28)*(J$3:J$135&gt;J28))+IF(H28="L5",SUMPRODUCT((P$3:P$135="")*(O$3:O$135="")*(N$3:N$135="")*(M$3:M$135="P")*(G$3:G$135=G28)*(J$3:J$135&lt;J28)*(H$3:H$135&lt;&gt;H28)),-1*SUMPRODUCT((P$3:P$135="")*(O$3:O$135="")*(N$3:N$135="")*(M$3:M$135="P")*(G$3:G$135=G28)*(J$3:J$135&gt;J28)*(H$3:H$135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 t="shared" si="3"/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 t="shared" si="4"/>
        <v>43.93</v>
      </c>
      <c r="AF28" s="34"/>
      <c r="AG28" s="37"/>
    </row>
    <row r="29" spans="1:33" x14ac:dyDescent="0.2">
      <c r="A29" s="1" t="str" cm="1">
        <f t="array" ref="A29">IF(I29="","",IF(P29&lt;&gt;"",SUMPRODUCT((P$3:P$135&lt;&gt;"")*(G$3:G$135=G29)*(J$3:J$135&gt;J29)*(I$3:I$135="P"))+1,IF(O29&lt;&gt;"",SUMPRODUCT((O$3:O$135&lt;&gt;"")*(P$3:P$135="")*(G$3:G$135=G29)*(J$3:J$135&gt;J29)*(I$3:I$135="P"))+SUMPRODUCT((P$3:P$135&lt;&gt;"")*(G$3:G$135=G29)*(I$3:I$135="P"))+1,IF(N29&lt;&gt;"",SUMPRODUCT((N$3:N$135&lt;&gt;"")*(G$3:G$135=G29)*(J$3:J$135&gt;J29)*(I$3:I$135="P"))+1,IF(M29="P",SUMPRODUCT((O$3:O$135&lt;&gt;"")*(P$3:P$135="")*(G$3:G$135=G29)*(I$3:I$135="P"))+SUMPRODUCT((P$3:P$135&lt;&gt;"")*(G$3:G$135=G29)*(I$3:I$135="P"))+SUMPRODUCT((N$3:N$135&lt;&gt;"")*(G$3:G$135=G29)*(I$3:I$135="P"))+SUMPRODUCT((P$3:P$135="")*(O$3:O$135="")*(N$3:N$135="")*(M$3:M$135="P")*(G$3:G$135=G29)*(J$3:J$135&gt;J29)*(I$3:I$135="P"))+IF(H29="L5",SUMPRODUCT((P$3:P$135="")*(O$3:O$135="")*(N$3:N$135="")*(M$3:M$135="P")*(G$3:G$135=G29)*(J$3:J$135&lt;J29)*(H$3:H$135&lt;&gt;H29)*(I$3:I$135="P")),-1*SUMPRODUCT((P$3:P$135="")*(O$3:O$135="")*(N$3:N$135="")*(M$3:M$135="P")*(G$3:G$135=G29)*(J$3:J$135&gt;J29)*(H$3:H$135="L5")*(I$3:I$135="P")))+1,"")))))</f>
        <v/>
      </c>
      <c r="B29" s="1" t="str" cm="1">
        <f t="array" ref="B29">IF(P29&lt;&gt;"",SUMPRODUCT((P$3:P$135&lt;&gt;"")*(G$3:G$135=G29)*(J$3:J$135&gt;J29))+1,IF(O29&lt;&gt;"",SUMPRODUCT((O$3:O$135&lt;&gt;"")*(P$3:P$135="")*(G$3:G$135=G29)*(J$3:J$135&gt;J29))+SUMPRODUCT((P$3:P$135&lt;&gt;"")*(G$3:G$135=G29))+1,IF(N29&lt;&gt;"",SUMPRODUCT((N$3:N$135&lt;&gt;"")*(G$3:G$135=G29)*(J$3:J$135&gt;J29))+1,IF(M29="P",SUMPRODUCT((O$3:O$135&lt;&gt;"")*(P$3:P$135="")*(G$3:G$135=G29))+SUMPRODUCT((P$3:P$135&lt;&gt;"")*(G$3:G$135=G29))+SUMPRODUCT((N$3:N$135&lt;&gt;"")*(G$3:G$135=G29))+SUMPRODUCT((P$3:P$135="")*(O$3:O$135="")*(N$3:N$135="")*(M$3:M$135="P")*(G$3:G$135=G29)*(J$3:J$135&gt;J29))+IF(H29="L5",SUMPRODUCT((P$3:P$135="")*(O$3:O$135="")*(N$3:N$135="")*(M$3:M$135="P")*(G$3:G$135=G29)*(J$3:J$135&lt;J29)*(H$3:H$135&lt;&gt;H29)),-1*SUMPRODUCT((P$3:P$135="")*(O$3:O$135="")*(N$3:N$135="")*(M$3:M$135="P")*(G$3:G$135=G29)*(J$3:J$135&gt;J29)*(H$3:H$135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 t="shared" si="3"/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 t="shared" si="4"/>
        <v>83.68</v>
      </c>
      <c r="AF29" s="34"/>
      <c r="AG29" s="37"/>
    </row>
    <row r="30" spans="1:33" x14ac:dyDescent="0.2">
      <c r="A30" s="1" t="str" cm="1">
        <f t="array" ref="A30">IF(I30="","",IF(P30&lt;&gt;"",SUMPRODUCT((P$3:P$135&lt;&gt;"")*(G$3:G$135=G30)*(J$3:J$135&gt;J30)*(I$3:I$135="P"))+1,IF(O30&lt;&gt;"",SUMPRODUCT((O$3:O$135&lt;&gt;"")*(P$3:P$135="")*(G$3:G$135=G30)*(J$3:J$135&gt;J30)*(I$3:I$135="P"))+SUMPRODUCT((P$3:P$135&lt;&gt;"")*(G$3:G$135=G30)*(I$3:I$135="P"))+1,IF(N30&lt;&gt;"",SUMPRODUCT((N$3:N$135&lt;&gt;"")*(G$3:G$135=G30)*(J$3:J$135&gt;J30)*(I$3:I$135="P"))+1,IF(M30="P",SUMPRODUCT((O$3:O$135&lt;&gt;"")*(P$3:P$135="")*(G$3:G$135=G30)*(I$3:I$135="P"))+SUMPRODUCT((P$3:P$135&lt;&gt;"")*(G$3:G$135=G30)*(I$3:I$135="P"))+SUMPRODUCT((N$3:N$135&lt;&gt;"")*(G$3:G$135=G30)*(I$3:I$135="P"))+SUMPRODUCT((P$3:P$135="")*(O$3:O$135="")*(N$3:N$135="")*(M$3:M$135="P")*(G$3:G$135=G30)*(J$3:J$135&gt;J30)*(I$3:I$135="P"))+IF(H30="L5",SUMPRODUCT((P$3:P$135="")*(O$3:O$135="")*(N$3:N$135="")*(M$3:M$135="P")*(G$3:G$135=G30)*(J$3:J$135&lt;J30)*(H$3:H$135&lt;&gt;H30)*(I$3:I$135="P")),-1*SUMPRODUCT((P$3:P$135="")*(O$3:O$135="")*(N$3:N$135="")*(M$3:M$135="P")*(G$3:G$135=G30)*(J$3:J$135&gt;J30)*(H$3:H$135="L5")*(I$3:I$135="P")))+1,"")))))</f>
        <v/>
      </c>
      <c r="B30" s="1" t="str" cm="1">
        <f t="array" ref="B30">IF(P30&lt;&gt;"",SUMPRODUCT((P$3:P$135&lt;&gt;"")*(G$3:G$135=G30)*(J$3:J$135&gt;J30))+1,IF(O30&lt;&gt;"",SUMPRODUCT((O$3:O$135&lt;&gt;"")*(P$3:P$135="")*(G$3:G$135=G30)*(J$3:J$135&gt;J30))+SUMPRODUCT((P$3:P$135&lt;&gt;"")*(G$3:G$135=G30))+1,IF(N30&lt;&gt;"",SUMPRODUCT((N$3:N$135&lt;&gt;"")*(G$3:G$135=G30)*(J$3:J$135&gt;J30))+1,IF(M30="P",SUMPRODUCT((O$3:O$135&lt;&gt;"")*(P$3:P$135="")*(G$3:G$135=G30))+SUMPRODUCT((P$3:P$135&lt;&gt;"")*(G$3:G$135=G30))+SUMPRODUCT((N$3:N$135&lt;&gt;"")*(G$3:G$135=G30))+SUMPRODUCT((P$3:P$135="")*(O$3:O$135="")*(N$3:N$135="")*(M$3:M$135="P")*(G$3:G$135=G30)*(J$3:J$135&gt;J30))+IF(H30="L5",SUMPRODUCT((P$3:P$135="")*(O$3:O$135="")*(N$3:N$135="")*(M$3:M$135="P")*(G$3:G$135=G30)*(J$3:J$135&lt;J30)*(H$3:H$135&lt;&gt;H30)),-1*SUMPRODUCT((P$3:P$135="")*(O$3:O$135="")*(N$3:N$135="")*(M$3:M$135="P")*(G$3:G$135=G30)*(J$3:J$135&gt;J30)*(H$3:H$135="L5")))+1,""))))</f>
        <v/>
      </c>
      <c r="C30" s="36" t="s">
        <v>447</v>
      </c>
      <c r="D30" s="36" t="str">
        <f>IF(E30="","",VLOOKUP(E30,'Coaching Points'!A:B,2,0))</f>
        <v>ON</v>
      </c>
      <c r="E30" s="36" t="s">
        <v>487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 t="shared" si="4"/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$135&lt;&gt;"")*(G$3:G$135=G31)*(J$3:J$135&gt;J31)*(I$3:I$135="P"))+1,IF(O31&lt;&gt;"",SUMPRODUCT((O$3:O$135&lt;&gt;"")*(P$3:P$135="")*(G$3:G$135=G31)*(J$3:J$135&gt;J31)*(I$3:I$135="P"))+SUMPRODUCT((P$3:P$135&lt;&gt;"")*(G$3:G$135=G31)*(I$3:I$135="P"))+1,IF(N31&lt;&gt;"",SUMPRODUCT((N$3:N$135&lt;&gt;"")*(G$3:G$135=G31)*(J$3:J$135&gt;J31)*(I$3:I$135="P"))+1,IF(M31="P",SUMPRODUCT((O$3:O$135&lt;&gt;"")*(P$3:P$135="")*(G$3:G$135=G31)*(I$3:I$135="P"))+SUMPRODUCT((P$3:P$135&lt;&gt;"")*(G$3:G$135=G31)*(I$3:I$135="P"))+SUMPRODUCT((N$3:N$135&lt;&gt;"")*(G$3:G$135=G31)*(I$3:I$135="P"))+SUMPRODUCT((P$3:P$135="")*(O$3:O$135="")*(N$3:N$135="")*(M$3:M$135="P")*(G$3:G$135=G31)*(J$3:J$135&gt;J31)*(I$3:I$135="P"))+IF(H31="L5",SUMPRODUCT((P$3:P$135="")*(O$3:O$135="")*(N$3:N$135="")*(M$3:M$135="P")*(G$3:G$135=G31)*(J$3:J$135&lt;J31)*(H$3:H$135&lt;&gt;H31)*(I$3:I$135="P")),-1*SUMPRODUCT((P$3:P$135="")*(O$3:O$135="")*(N$3:N$135="")*(M$3:M$135="P")*(G$3:G$135=G31)*(J$3:J$135&gt;J31)*(H$3:H$135="L5")*(I$3:I$135="P")))+1,"")))))</f>
        <v/>
      </c>
      <c r="B31" s="1" t="str" cm="1">
        <f t="array" ref="B31">IF(P31&lt;&gt;"",SUMPRODUCT((P$3:P$135&lt;&gt;"")*(G$3:G$135=G31)*(J$3:J$135&gt;J31))+1,IF(O31&lt;&gt;"",SUMPRODUCT((O$3:O$135&lt;&gt;"")*(P$3:P$135="")*(G$3:G$135=G31)*(J$3:J$135&gt;J31))+SUMPRODUCT((P$3:P$135&lt;&gt;"")*(G$3:G$135=G31))+1,IF(N31&lt;&gt;"",SUMPRODUCT((N$3:N$135&lt;&gt;"")*(G$3:G$135=G31)*(J$3:J$135&gt;J31))+1,IF(M31="P",SUMPRODUCT((O$3:O$135&lt;&gt;"")*(P$3:P$135="")*(G$3:G$135=G31))+SUMPRODUCT((P$3:P$135&lt;&gt;"")*(G$3:G$135=G31))+SUMPRODUCT((N$3:N$135&lt;&gt;"")*(G$3:G$135=G31))+SUMPRODUCT((P$3:P$135="")*(O$3:O$135="")*(N$3:N$135="")*(M$3:M$135="P")*(G$3:G$135=G31)*(J$3:J$135&gt;J31))+IF(H31="L5",SUMPRODUCT((P$3:P$135="")*(O$3:O$135="")*(N$3:N$135="")*(M$3:M$135="P")*(G$3:G$135=G31)*(J$3:J$135&lt;J31)*(H$3:H$135&lt;&gt;H31)),-1*SUMPRODUCT((P$3:P$135="")*(O$3:O$135="")*(N$3:N$135="")*(M$3:M$135="P")*(G$3:G$135=G31)*(J$3:J$135&gt;J31)*(H$3:H$135="L5")))+1,""))))</f>
        <v/>
      </c>
      <c r="C31" s="36" t="s">
        <v>295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 t="shared" si="3"/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 t="shared" si="4"/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$135&lt;&gt;"")*(G$3:G$135=G32)*(J$3:J$135&gt;J32)*(I$3:I$135="P"))+1,IF(O32&lt;&gt;"",SUMPRODUCT((O$3:O$135&lt;&gt;"")*(P$3:P$135="")*(G$3:G$135=G32)*(J$3:J$135&gt;J32)*(I$3:I$135="P"))+SUMPRODUCT((P$3:P$135&lt;&gt;"")*(G$3:G$135=G32)*(I$3:I$135="P"))+1,IF(N32&lt;&gt;"",SUMPRODUCT((N$3:N$135&lt;&gt;"")*(G$3:G$135=G32)*(J$3:J$135&gt;J32)*(I$3:I$135="P"))+1,IF(M32="P",SUMPRODUCT((O$3:O$135&lt;&gt;"")*(P$3:P$135="")*(G$3:G$135=G32)*(I$3:I$135="P"))+SUMPRODUCT((P$3:P$135&lt;&gt;"")*(G$3:G$135=G32)*(I$3:I$135="P"))+SUMPRODUCT((N$3:N$135&lt;&gt;"")*(G$3:G$135=G32)*(I$3:I$135="P"))+SUMPRODUCT((P$3:P$135="")*(O$3:O$135="")*(N$3:N$135="")*(M$3:M$135="P")*(G$3:G$135=G32)*(J$3:J$135&gt;J32)*(I$3:I$135="P"))+IF(H32="L5",SUMPRODUCT((P$3:P$135="")*(O$3:O$135="")*(N$3:N$135="")*(M$3:M$135="P")*(G$3:G$135=G32)*(J$3:J$135&lt;J32)*(H$3:H$135&lt;&gt;H32)*(I$3:I$135="P")),-1*SUMPRODUCT((P$3:P$135="")*(O$3:O$135="")*(N$3:N$135="")*(M$3:M$135="P")*(G$3:G$135=G32)*(J$3:J$135&gt;J32)*(H$3:H$135="L5")*(I$3:I$135="P")))+1,"")))))</f>
        <v/>
      </c>
      <c r="B32" s="1" t="str" cm="1">
        <f t="array" ref="B32">IF(P32&lt;&gt;"",SUMPRODUCT((P$3:P$135&lt;&gt;"")*(G$3:G$135=G32)*(J$3:J$135&gt;J32))+1,IF(O32&lt;&gt;"",SUMPRODUCT((O$3:O$135&lt;&gt;"")*(P$3:P$135="")*(G$3:G$135=G32)*(J$3:J$135&gt;J32))+SUMPRODUCT((P$3:P$135&lt;&gt;"")*(G$3:G$135=G32))+1,IF(N32&lt;&gt;"",SUMPRODUCT((N$3:N$135&lt;&gt;"")*(G$3:G$135=G32)*(J$3:J$135&gt;J32))+1,IF(M32="P",SUMPRODUCT((O$3:O$135&lt;&gt;"")*(P$3:P$135="")*(G$3:G$135=G32))+SUMPRODUCT((P$3:P$135&lt;&gt;"")*(G$3:G$135=G32))+SUMPRODUCT((N$3:N$135&lt;&gt;"")*(G$3:G$135=G32))+SUMPRODUCT((P$3:P$135="")*(O$3:O$135="")*(N$3:N$135="")*(M$3:M$135="P")*(G$3:G$135=G32)*(J$3:J$135&gt;J32))+IF(H32="L5",SUMPRODUCT((P$3:P$135="")*(O$3:O$135="")*(N$3:N$135="")*(M$3:M$135="P")*(G$3:G$135=G32)*(J$3:J$135&lt;J32)*(H$3:H$135&lt;&gt;H32)),-1*SUMPRODUCT((P$3:P$135="")*(O$3:O$135="")*(N$3:N$135="")*(M$3:M$135="P")*(G$3:G$135=G32)*(J$3:J$135&gt;J32)*(H$3:H$135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 t="shared" si="3"/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 t="shared" si="4"/>
        <v>56.2</v>
      </c>
      <c r="AF32" s="34"/>
      <c r="AG32" s="37"/>
    </row>
    <row r="33" spans="1:33" x14ac:dyDescent="0.2">
      <c r="A33" s="1" t="str" cm="1">
        <f t="array" ref="A33">IF(I33="","",IF(P33&lt;&gt;"",SUMPRODUCT((P$3:P$135&lt;&gt;"")*(G$3:G$135=G33)*(J$3:J$135&gt;J33)*(I$3:I$135="P"))+1,IF(O33&lt;&gt;"",SUMPRODUCT((O$3:O$135&lt;&gt;"")*(P$3:P$135="")*(G$3:G$135=G33)*(J$3:J$135&gt;J33)*(I$3:I$135="P"))+SUMPRODUCT((P$3:P$135&lt;&gt;"")*(G$3:G$135=G33)*(I$3:I$135="P"))+1,IF(N33&lt;&gt;"",SUMPRODUCT((N$3:N$135&lt;&gt;"")*(G$3:G$135=G33)*(J$3:J$135&gt;J33)*(I$3:I$135="P"))+1,IF(M33="P",SUMPRODUCT((O$3:O$135&lt;&gt;"")*(P$3:P$135="")*(G$3:G$135=G33)*(I$3:I$135="P"))+SUMPRODUCT((P$3:P$135&lt;&gt;"")*(G$3:G$135=G33)*(I$3:I$135="P"))+SUMPRODUCT((N$3:N$135&lt;&gt;"")*(G$3:G$135=G33)*(I$3:I$135="P"))+SUMPRODUCT((P$3:P$135="")*(O$3:O$135="")*(N$3:N$135="")*(M$3:M$135="P")*(G$3:G$135=G33)*(J$3:J$135&gt;J33)*(I$3:I$135="P"))+IF(H33="L5",SUMPRODUCT((P$3:P$135="")*(O$3:O$135="")*(N$3:N$135="")*(M$3:M$135="P")*(G$3:G$135=G33)*(J$3:J$135&lt;J33)*(H$3:H$135&lt;&gt;H33)*(I$3:I$135="P")),-1*SUMPRODUCT((P$3:P$135="")*(O$3:O$135="")*(N$3:N$135="")*(M$3:M$135="P")*(G$3:G$135=G33)*(J$3:J$135&gt;J33)*(H$3:H$135="L5")*(I$3:I$135="P")))+1,"")))))</f>
        <v/>
      </c>
      <c r="B33" s="1" t="str" cm="1">
        <f t="array" ref="B33">IF(P33&lt;&gt;"",SUMPRODUCT((P$3:P$135&lt;&gt;"")*(G$3:G$135=G33)*(J$3:J$135&gt;J33))+1,IF(O33&lt;&gt;"",SUMPRODUCT((O$3:O$135&lt;&gt;"")*(P$3:P$135="")*(G$3:G$135=G33)*(J$3:J$135&gt;J33))+SUMPRODUCT((P$3:P$135&lt;&gt;"")*(G$3:G$135=G33))+1,IF(N33&lt;&gt;"",SUMPRODUCT((N$3:N$135&lt;&gt;"")*(G$3:G$135=G33)*(J$3:J$135&gt;J33))+1,IF(M33="P",SUMPRODUCT((O$3:O$135&lt;&gt;"")*(P$3:P$135="")*(G$3:G$135=G33))+SUMPRODUCT((P$3:P$135&lt;&gt;"")*(G$3:G$135=G33))+SUMPRODUCT((N$3:N$135&lt;&gt;"")*(G$3:G$135=G33))+SUMPRODUCT((P$3:P$135="")*(O$3:O$135="")*(N$3:N$135="")*(M$3:M$135="P")*(G$3:G$135=G33)*(J$3:J$135&gt;J33))+IF(H33="L5",SUMPRODUCT((P$3:P$135="")*(O$3:O$135="")*(N$3:N$135="")*(M$3:M$135="P")*(G$3:G$135=G33)*(J$3:J$135&lt;J33)*(H$3:H$135&lt;&gt;H33)),-1*SUMPRODUCT((P$3:P$135="")*(O$3:O$135="")*(N$3:N$135="")*(M$3:M$135="P")*(G$3:G$135=G33)*(J$3:J$135&gt;J33)*(H$3:H$135="L5")))+1,""))))</f>
        <v/>
      </c>
      <c r="C33" s="36" t="s">
        <v>449</v>
      </c>
      <c r="D33" s="36" t="str">
        <f>IF(E33="","",VLOOKUP(E33,'Coaching Points'!A:B,2,0))</f>
        <v>QC</v>
      </c>
      <c r="E33" s="36" t="s">
        <v>203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 t="shared" si="3"/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 t="shared" si="4"/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$135&lt;&gt;"")*(G$3:G$135=G34)*(J$3:J$135&gt;J34)*(I$3:I$135="P"))+1,IF(O34&lt;&gt;"",SUMPRODUCT((O$3:O$135&lt;&gt;"")*(P$3:P$135="")*(G$3:G$135=G34)*(J$3:J$135&gt;J34)*(I$3:I$135="P"))+SUMPRODUCT((P$3:P$135&lt;&gt;"")*(G$3:G$135=G34)*(I$3:I$135="P"))+1,IF(N34&lt;&gt;"",SUMPRODUCT((N$3:N$135&lt;&gt;"")*(G$3:G$135=G34)*(J$3:J$135&gt;J34)*(I$3:I$135="P"))+1,IF(M34="P",SUMPRODUCT((O$3:O$135&lt;&gt;"")*(P$3:P$135="")*(G$3:G$135=G34)*(I$3:I$135="P"))+SUMPRODUCT((P$3:P$135&lt;&gt;"")*(G$3:G$135=G34)*(I$3:I$135="P"))+SUMPRODUCT((N$3:N$135&lt;&gt;"")*(G$3:G$135=G34)*(I$3:I$135="P"))+SUMPRODUCT((P$3:P$135="")*(O$3:O$135="")*(N$3:N$135="")*(M$3:M$135="P")*(G$3:G$135=G34)*(J$3:J$135&gt;J34)*(I$3:I$135="P"))+IF(H34="L5",SUMPRODUCT((P$3:P$135="")*(O$3:O$135="")*(N$3:N$135="")*(M$3:M$135="P")*(G$3:G$135=G34)*(J$3:J$135&lt;J34)*(H$3:H$135&lt;&gt;H34)*(I$3:I$135="P")),-1*SUMPRODUCT((P$3:P$135="")*(O$3:O$135="")*(N$3:N$135="")*(M$3:M$135="P")*(G$3:G$135=G34)*(J$3:J$135&gt;J34)*(H$3:H$135="L5")*(I$3:I$135="P")))+1,"")))))</f>
        <v/>
      </c>
      <c r="B34" s="1" t="str" cm="1">
        <f t="array" ref="B34">IF(P34&lt;&gt;"",SUMPRODUCT((P$3:P$135&lt;&gt;"")*(G$3:G$135=G34)*(J$3:J$135&gt;J34))+1,IF(O34&lt;&gt;"",SUMPRODUCT((O$3:O$135&lt;&gt;"")*(P$3:P$135="")*(G$3:G$135=G34)*(J$3:J$135&gt;J34))+SUMPRODUCT((P$3:P$135&lt;&gt;"")*(G$3:G$135=G34))+1,IF(N34&lt;&gt;"",SUMPRODUCT((N$3:N$135&lt;&gt;"")*(G$3:G$135=G34)*(J$3:J$135&gt;J34))+1,IF(M34="P",SUMPRODUCT((O$3:O$135&lt;&gt;"")*(P$3:P$135="")*(G$3:G$135=G34))+SUMPRODUCT((P$3:P$135&lt;&gt;"")*(G$3:G$135=G34))+SUMPRODUCT((N$3:N$135&lt;&gt;"")*(G$3:G$135=G34))+SUMPRODUCT((P$3:P$135="")*(O$3:O$135="")*(N$3:N$135="")*(M$3:M$135="P")*(G$3:G$135=G34)*(J$3:J$135&gt;J34))+IF(H34="L5",SUMPRODUCT((P$3:P$135="")*(O$3:O$135="")*(N$3:N$135="")*(M$3:M$135="P")*(G$3:G$135=G34)*(J$3:J$135&lt;J34)*(H$3:H$135&lt;&gt;H34)),-1*SUMPRODUCT((P$3:P$135="")*(O$3:O$135="")*(N$3:N$135="")*(M$3:M$135="P")*(G$3:G$135=G34)*(J$3:J$135&gt;J34)*(H$3:H$135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 t="shared" si="3"/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 t="shared" si="4"/>
        <v>83</v>
      </c>
      <c r="AF34" s="34"/>
      <c r="AG34" s="37"/>
    </row>
    <row r="35" spans="1:33" x14ac:dyDescent="0.2">
      <c r="A35" s="1" t="str" cm="1">
        <f t="array" ref="A35">IF(I35="","",IF(P35&lt;&gt;"",SUMPRODUCT((P$3:P$135&lt;&gt;"")*(G$3:G$135=G35)*(J$3:J$135&gt;J35)*(I$3:I$135="P"))+1,IF(O35&lt;&gt;"",SUMPRODUCT((O$3:O$135&lt;&gt;"")*(P$3:P$135="")*(G$3:G$135=G35)*(J$3:J$135&gt;J35)*(I$3:I$135="P"))+SUMPRODUCT((P$3:P$135&lt;&gt;"")*(G$3:G$135=G35)*(I$3:I$135="P"))+1,IF(N35&lt;&gt;"",SUMPRODUCT((N$3:N$135&lt;&gt;"")*(G$3:G$135=G35)*(J$3:J$135&gt;J35)*(I$3:I$135="P"))+1,IF(M35="P",SUMPRODUCT((O$3:O$135&lt;&gt;"")*(P$3:P$135="")*(G$3:G$135=G35)*(I$3:I$135="P"))+SUMPRODUCT((P$3:P$135&lt;&gt;"")*(G$3:G$135=G35)*(I$3:I$135="P"))+SUMPRODUCT((N$3:N$135&lt;&gt;"")*(G$3:G$135=G35)*(I$3:I$135="P"))+SUMPRODUCT((P$3:P$135="")*(O$3:O$135="")*(N$3:N$135="")*(M$3:M$135="P")*(G$3:G$135=G35)*(J$3:J$135&gt;J35)*(I$3:I$135="P"))+IF(H35="L5",SUMPRODUCT((P$3:P$135="")*(O$3:O$135="")*(N$3:N$135="")*(M$3:M$135="P")*(G$3:G$135=G35)*(J$3:J$135&lt;J35)*(H$3:H$135&lt;&gt;H35)*(I$3:I$135="P")),-1*SUMPRODUCT((P$3:P$135="")*(O$3:O$135="")*(N$3:N$135="")*(M$3:M$135="P")*(G$3:G$135=G35)*(J$3:J$135&gt;J35)*(H$3:H$135="L5")*(I$3:I$135="P")))+1,"")))))</f>
        <v/>
      </c>
      <c r="B35" s="1" t="str" cm="1">
        <f t="array" ref="B35">IF(P35&lt;&gt;"",SUMPRODUCT((P$3:P$135&lt;&gt;"")*(G$3:G$135=G35)*(J$3:J$135&gt;J35))+1,IF(O35&lt;&gt;"",SUMPRODUCT((O$3:O$135&lt;&gt;"")*(P$3:P$135="")*(G$3:G$135=G35)*(J$3:J$135&gt;J35))+SUMPRODUCT((P$3:P$135&lt;&gt;"")*(G$3:G$135=G35))+1,IF(N35&lt;&gt;"",SUMPRODUCT((N$3:N$135&lt;&gt;"")*(G$3:G$135=G35)*(J$3:J$135&gt;J35))+1,IF(M35="P",SUMPRODUCT((O$3:O$135&lt;&gt;"")*(P$3:P$135="")*(G$3:G$135=G35))+SUMPRODUCT((P$3:P$135&lt;&gt;"")*(G$3:G$135=G35))+SUMPRODUCT((N$3:N$135&lt;&gt;"")*(G$3:G$135=G35))+SUMPRODUCT((P$3:P$135="")*(O$3:O$135="")*(N$3:N$135="")*(M$3:M$135="P")*(G$3:G$135=G35)*(J$3:J$135&gt;J35))+IF(H35="L5",SUMPRODUCT((P$3:P$135="")*(O$3:O$135="")*(N$3:N$135="")*(M$3:M$135="P")*(G$3:G$135=G35)*(J$3:J$135&lt;J35)*(H$3:H$135&lt;&gt;H35)),-1*SUMPRODUCT((P$3:P$135="")*(O$3:O$135="")*(N$3:N$135="")*(M$3:M$135="P")*(G$3:G$135=G35)*(J$3:J$135&gt;J35)*(H$3:H$135="L5")))+1,""))))</f>
        <v/>
      </c>
      <c r="C35" s="36" t="s">
        <v>300</v>
      </c>
      <c r="D35" s="36" t="str">
        <f>IF(E35="","",VLOOKUP(E35,'Coaching Points'!A:B,2,0))</f>
        <v>QC</v>
      </c>
      <c r="E35" s="36" t="s">
        <v>203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 t="shared" ref="X35:X66" si="8"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 t="shared" ref="AE35:AE66" si="9"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$135&lt;&gt;"")*(G$3:G$135=G36)*(J$3:J$135&gt;J36)*(I$3:I$135="P"))+1,IF(O36&lt;&gt;"",SUMPRODUCT((O$3:O$135&lt;&gt;"")*(P$3:P$135="")*(G$3:G$135=G36)*(J$3:J$135&gt;J36)*(I$3:I$135="P"))+SUMPRODUCT((P$3:P$135&lt;&gt;"")*(G$3:G$135=G36)*(I$3:I$135="P"))+1,IF(N36&lt;&gt;"",SUMPRODUCT((N$3:N$135&lt;&gt;"")*(G$3:G$135=G36)*(J$3:J$135&gt;J36)*(I$3:I$135="P"))+1,IF(M36="P",SUMPRODUCT((O$3:O$135&lt;&gt;"")*(P$3:P$135="")*(G$3:G$135=G36)*(I$3:I$135="P"))+SUMPRODUCT((P$3:P$135&lt;&gt;"")*(G$3:G$135=G36)*(I$3:I$135="P"))+SUMPRODUCT((N$3:N$135&lt;&gt;"")*(G$3:G$135=G36)*(I$3:I$135="P"))+SUMPRODUCT((P$3:P$135="")*(O$3:O$135="")*(N$3:N$135="")*(M$3:M$135="P")*(G$3:G$135=G36)*(J$3:J$135&gt;J36)*(I$3:I$135="P"))+IF(H36="L5",SUMPRODUCT((P$3:P$135="")*(O$3:O$135="")*(N$3:N$135="")*(M$3:M$135="P")*(G$3:G$135=G36)*(J$3:J$135&lt;J36)*(H$3:H$135&lt;&gt;H36)*(I$3:I$135="P")),-1*SUMPRODUCT((P$3:P$135="")*(O$3:O$135="")*(N$3:N$135="")*(M$3:M$135="P")*(G$3:G$135=G36)*(J$3:J$135&gt;J36)*(H$3:H$135="L5")*(I$3:I$135="P")))+1,"")))))</f>
        <v/>
      </c>
      <c r="B36" s="1" t="str" cm="1">
        <f t="array" ref="B36">IF(P36&lt;&gt;"",SUMPRODUCT((P$3:P$135&lt;&gt;"")*(G$3:G$135=G36)*(J$3:J$135&gt;J36))+1,IF(O36&lt;&gt;"",SUMPRODUCT((O$3:O$135&lt;&gt;"")*(P$3:P$135="")*(G$3:G$135=G36)*(J$3:J$135&gt;J36))+SUMPRODUCT((P$3:P$135&lt;&gt;"")*(G$3:G$135=G36))+1,IF(N36&lt;&gt;"",SUMPRODUCT((N$3:N$135&lt;&gt;"")*(G$3:G$135=G36)*(J$3:J$135&gt;J36))+1,IF(M36="P",SUMPRODUCT((O$3:O$135&lt;&gt;"")*(P$3:P$135="")*(G$3:G$135=G36))+SUMPRODUCT((P$3:P$135&lt;&gt;"")*(G$3:G$135=G36))+SUMPRODUCT((N$3:N$135&lt;&gt;"")*(G$3:G$135=G36))+SUMPRODUCT((P$3:P$135="")*(O$3:O$135="")*(N$3:N$135="")*(M$3:M$135="P")*(G$3:G$135=G36)*(J$3:J$135&gt;J36))+IF(H36="L5",SUMPRODUCT((P$3:P$135="")*(O$3:O$135="")*(N$3:N$135="")*(M$3:M$135="P")*(G$3:G$135=G36)*(J$3:J$135&lt;J36)*(H$3:H$135&lt;&gt;H36)),-1*SUMPRODUCT((P$3:P$135="")*(O$3:O$135="")*(N$3:N$135="")*(M$3:M$135="P")*(G$3:G$135=G36)*(J$3:J$135&gt;J36)*(H$3:H$135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5"/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 t="shared" si="8"/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 t="shared" si="9"/>
        <v>89.48</v>
      </c>
      <c r="AF36" s="34"/>
      <c r="AG36" s="37"/>
    </row>
    <row r="37" spans="1:33" x14ac:dyDescent="0.2">
      <c r="A37" s="1" t="str" cm="1">
        <f t="array" ref="A37">IF(I37="","",IF(P37&lt;&gt;"",SUMPRODUCT((P$3:P$135&lt;&gt;"")*(G$3:G$135=G37)*(J$3:J$135&gt;J37)*(I$3:I$135="P"))+1,IF(O37&lt;&gt;"",SUMPRODUCT((O$3:O$135&lt;&gt;"")*(P$3:P$135="")*(G$3:G$135=G37)*(J$3:J$135&gt;J37)*(I$3:I$135="P"))+SUMPRODUCT((P$3:P$135&lt;&gt;"")*(G$3:G$135=G37)*(I$3:I$135="P"))+1,IF(N37&lt;&gt;"",SUMPRODUCT((N$3:N$135&lt;&gt;"")*(G$3:G$135=G37)*(J$3:J$135&gt;J37)*(I$3:I$135="P"))+1,IF(M37="P",SUMPRODUCT((O$3:O$135&lt;&gt;"")*(P$3:P$135="")*(G$3:G$135=G37)*(I$3:I$135="P"))+SUMPRODUCT((P$3:P$135&lt;&gt;"")*(G$3:G$135=G37)*(I$3:I$135="P"))+SUMPRODUCT((N$3:N$135&lt;&gt;"")*(G$3:G$135=G37)*(I$3:I$135="P"))+SUMPRODUCT((P$3:P$135="")*(O$3:O$135="")*(N$3:N$135="")*(M$3:M$135="P")*(G$3:G$135=G37)*(J$3:J$135&gt;J37)*(I$3:I$135="P"))+IF(H37="L5",SUMPRODUCT((P$3:P$135="")*(O$3:O$135="")*(N$3:N$135="")*(M$3:M$135="P")*(G$3:G$135=G37)*(J$3:J$135&lt;J37)*(H$3:H$135&lt;&gt;H37)*(I$3:I$135="P")),-1*SUMPRODUCT((P$3:P$135="")*(O$3:O$135="")*(N$3:N$135="")*(M$3:M$135="P")*(G$3:G$135=G37)*(J$3:J$135&gt;J37)*(H$3:H$135="L5")*(I$3:I$135="P")))+1,"")))))</f>
        <v/>
      </c>
      <c r="B37" s="1" t="str" cm="1">
        <f t="array" ref="B37">IF(P37&lt;&gt;"",SUMPRODUCT((P$3:P$135&lt;&gt;"")*(G$3:G$135=G37)*(J$3:J$135&gt;J37))+1,IF(O37&lt;&gt;"",SUMPRODUCT((O$3:O$135&lt;&gt;"")*(P$3:P$135="")*(G$3:G$135=G37)*(J$3:J$135&gt;J37))+SUMPRODUCT((P$3:P$135&lt;&gt;"")*(G$3:G$135=G37))+1,IF(N37&lt;&gt;"",SUMPRODUCT((N$3:N$135&lt;&gt;"")*(G$3:G$135=G37)*(J$3:J$135&gt;J37))+1,IF(M37="P",SUMPRODUCT((O$3:O$135&lt;&gt;"")*(P$3:P$135="")*(G$3:G$135=G37))+SUMPRODUCT((P$3:P$135&lt;&gt;"")*(G$3:G$135=G37))+SUMPRODUCT((N$3:N$135&lt;&gt;"")*(G$3:G$135=G37))+SUMPRODUCT((P$3:P$135="")*(O$3:O$135="")*(N$3:N$135="")*(M$3:M$135="P")*(G$3:G$135=G37)*(J$3:J$135&gt;J37))+IF(H37="L5",SUMPRODUCT((P$3:P$135="")*(O$3:O$135="")*(N$3:N$135="")*(M$3:M$135="P")*(G$3:G$135=G37)*(J$3:J$135&lt;J37)*(H$3:H$135&lt;&gt;H37)),-1*SUMPRODUCT((P$3:P$135="")*(O$3:O$135="")*(N$3:N$135="")*(M$3:M$135="P")*(G$3:G$135=G37)*(J$3:J$135&gt;J37)*(H$3:H$135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 t="shared" si="5"/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 t="shared" si="8"/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 t="shared" si="9"/>
        <v>67.66</v>
      </c>
      <c r="AF37" s="34"/>
      <c r="AG37" s="37"/>
    </row>
    <row r="38" spans="1:33" x14ac:dyDescent="0.2">
      <c r="A38" s="1" t="str" cm="1">
        <f t="array" ref="A38">IF(I38="","",IF(P38&lt;&gt;"",SUMPRODUCT((P$3:P$135&lt;&gt;"")*(G$3:G$135=G38)*(J$3:J$135&gt;J38)*(I$3:I$135="P"))+1,IF(O38&lt;&gt;"",SUMPRODUCT((O$3:O$135&lt;&gt;"")*(P$3:P$135="")*(G$3:G$135=G38)*(J$3:J$135&gt;J38)*(I$3:I$135="P"))+SUMPRODUCT((P$3:P$135&lt;&gt;"")*(G$3:G$135=G38)*(I$3:I$135="P"))+1,IF(N38&lt;&gt;"",SUMPRODUCT((N$3:N$135&lt;&gt;"")*(G$3:G$135=G38)*(J$3:J$135&gt;J38)*(I$3:I$135="P"))+1,IF(M38="P",SUMPRODUCT((O$3:O$135&lt;&gt;"")*(P$3:P$135="")*(G$3:G$135=G38)*(I$3:I$135="P"))+SUMPRODUCT((P$3:P$135&lt;&gt;"")*(G$3:G$135=G38)*(I$3:I$135="P"))+SUMPRODUCT((N$3:N$135&lt;&gt;"")*(G$3:G$135=G38)*(I$3:I$135="P"))+SUMPRODUCT((P$3:P$135="")*(O$3:O$135="")*(N$3:N$135="")*(M$3:M$135="P")*(G$3:G$135=G38)*(J$3:J$135&gt;J38)*(I$3:I$135="P"))+IF(H38="L5",SUMPRODUCT((P$3:P$135="")*(O$3:O$135="")*(N$3:N$135="")*(M$3:M$135="P")*(G$3:G$135=G38)*(J$3:J$135&lt;J38)*(H$3:H$135&lt;&gt;H38)*(I$3:I$135="P")),-1*SUMPRODUCT((P$3:P$135="")*(O$3:O$135="")*(N$3:N$135="")*(M$3:M$135="P")*(G$3:G$135=G38)*(J$3:J$135&gt;J38)*(H$3:H$135="L5")*(I$3:I$135="P")))+1,"")))))</f>
        <v/>
      </c>
      <c r="B38" s="1" t="str" cm="1">
        <f t="array" ref="B38">IF(P38&lt;&gt;"",SUMPRODUCT((P$3:P$135&lt;&gt;"")*(G$3:G$135=G38)*(J$3:J$135&gt;J38))+1,IF(O38&lt;&gt;"",SUMPRODUCT((O$3:O$135&lt;&gt;"")*(P$3:P$135="")*(G$3:G$135=G38)*(J$3:J$135&gt;J38))+SUMPRODUCT((P$3:P$135&lt;&gt;"")*(G$3:G$135=G38))+1,IF(N38&lt;&gt;"",SUMPRODUCT((N$3:N$135&lt;&gt;"")*(G$3:G$135=G38)*(J$3:J$135&gt;J38))+1,IF(M38="P",SUMPRODUCT((O$3:O$135&lt;&gt;"")*(P$3:P$135="")*(G$3:G$135=G38))+SUMPRODUCT((P$3:P$135&lt;&gt;"")*(G$3:G$135=G38))+SUMPRODUCT((N$3:N$135&lt;&gt;"")*(G$3:G$135=G38))+SUMPRODUCT((P$3:P$135="")*(O$3:O$135="")*(N$3:N$135="")*(M$3:M$135="P")*(G$3:G$135=G38)*(J$3:J$135&gt;J38))+IF(H38="L5",SUMPRODUCT((P$3:P$135="")*(O$3:O$135="")*(N$3:N$135="")*(M$3:M$135="P")*(G$3:G$135=G38)*(J$3:J$135&lt;J38)*(H$3:H$135&lt;&gt;H38)),-1*SUMPRODUCT((P$3:P$135="")*(O$3:O$135="")*(N$3:N$135="")*(M$3:M$135="P")*(G$3:G$135=G38)*(J$3:J$135&gt;J38)*(H$3:H$135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 t="shared" si="8"/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 t="shared" si="9"/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$135&lt;&gt;"")*(G$3:G$135=G39)*(J$3:J$135&gt;J39)*(I$3:I$135="P"))+1,IF(O39&lt;&gt;"",SUMPRODUCT((O$3:O$135&lt;&gt;"")*(P$3:P$135="")*(G$3:G$135=G39)*(J$3:J$135&gt;J39)*(I$3:I$135="P"))+SUMPRODUCT((P$3:P$135&lt;&gt;"")*(G$3:G$135=G39)*(I$3:I$135="P"))+1,IF(N39&lt;&gt;"",SUMPRODUCT((N$3:N$135&lt;&gt;"")*(G$3:G$135=G39)*(J$3:J$135&gt;J39)*(I$3:I$135="P"))+1,IF(M39="P",SUMPRODUCT((O$3:O$135&lt;&gt;"")*(P$3:P$135="")*(G$3:G$135=G39)*(I$3:I$135="P"))+SUMPRODUCT((P$3:P$135&lt;&gt;"")*(G$3:G$135=G39)*(I$3:I$135="P"))+SUMPRODUCT((N$3:N$135&lt;&gt;"")*(G$3:G$135=G39)*(I$3:I$135="P"))+SUMPRODUCT((P$3:P$135="")*(O$3:O$135="")*(N$3:N$135="")*(M$3:M$135="P")*(G$3:G$135=G39)*(J$3:J$135&gt;J39)*(I$3:I$135="P"))+IF(H39="L5",SUMPRODUCT((P$3:P$135="")*(O$3:O$135="")*(N$3:N$135="")*(M$3:M$135="P")*(G$3:G$135=G39)*(J$3:J$135&lt;J39)*(H$3:H$135&lt;&gt;H39)*(I$3:I$135="P")),-1*SUMPRODUCT((P$3:P$135="")*(O$3:O$135="")*(N$3:N$135="")*(M$3:M$135="P")*(G$3:G$135=G39)*(J$3:J$135&gt;J39)*(H$3:H$135="L5")*(I$3:I$135="P")))+1,"")))))</f>
        <v/>
      </c>
      <c r="B39" s="1" t="str" cm="1">
        <f t="array" ref="B39">IF(P39&lt;&gt;"",SUMPRODUCT((P$3:P$135&lt;&gt;"")*(G$3:G$135=G39)*(J$3:J$135&gt;J39))+1,IF(O39&lt;&gt;"",SUMPRODUCT((O$3:O$135&lt;&gt;"")*(P$3:P$135="")*(G$3:G$135=G39)*(J$3:J$135&gt;J39))+SUMPRODUCT((P$3:P$135&lt;&gt;"")*(G$3:G$135=G39))+1,IF(N39&lt;&gt;"",SUMPRODUCT((N$3:N$135&lt;&gt;"")*(G$3:G$135=G39)*(J$3:J$135&gt;J39))+1,IF(M39="P",SUMPRODUCT((O$3:O$135&lt;&gt;"")*(P$3:P$135="")*(G$3:G$135=G39))+SUMPRODUCT((P$3:P$135&lt;&gt;"")*(G$3:G$135=G39))+SUMPRODUCT((N$3:N$135&lt;&gt;"")*(G$3:G$135=G39))+SUMPRODUCT((P$3:P$135="")*(O$3:O$135="")*(N$3:N$135="")*(M$3:M$135="P")*(G$3:G$135=G39)*(J$3:J$135&gt;J39))+IF(H39="L5",SUMPRODUCT((P$3:P$135="")*(O$3:O$135="")*(N$3:N$135="")*(M$3:M$135="P")*(G$3:G$135=G39)*(J$3:J$135&lt;J39)*(H$3:H$135&lt;&gt;H39)),-1*SUMPRODUCT((P$3:P$135="")*(O$3:O$135="")*(N$3:N$135="")*(M$3:M$135="P")*(G$3:G$135=G39)*(J$3:J$135&gt;J39)*(H$3:H$135="L5")))+1,""))))</f>
        <v/>
      </c>
      <c r="C39" s="36" t="s">
        <v>242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 t="shared" si="8"/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 t="shared" si="9"/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$135&lt;&gt;"")*(G$3:G$135=G40)*(J$3:J$135&gt;J40)*(I$3:I$135="P"))+1,IF(O40&lt;&gt;"",SUMPRODUCT((O$3:O$135&lt;&gt;"")*(P$3:P$135="")*(G$3:G$135=G40)*(J$3:J$135&gt;J40)*(I$3:I$135="P"))+SUMPRODUCT((P$3:P$135&lt;&gt;"")*(G$3:G$135=G40)*(I$3:I$135="P"))+1,IF(N40&lt;&gt;"",SUMPRODUCT((N$3:N$135&lt;&gt;"")*(G$3:G$135=G40)*(J$3:J$135&gt;J40)*(I$3:I$135="P"))+1,IF(M40="P",SUMPRODUCT((O$3:O$135&lt;&gt;"")*(P$3:P$135="")*(G$3:G$135=G40)*(I$3:I$135="P"))+SUMPRODUCT((P$3:P$135&lt;&gt;"")*(G$3:G$135=G40)*(I$3:I$135="P"))+SUMPRODUCT((N$3:N$135&lt;&gt;"")*(G$3:G$135=G40)*(I$3:I$135="P"))+SUMPRODUCT((P$3:P$135="")*(O$3:O$135="")*(N$3:N$135="")*(M$3:M$135="P")*(G$3:G$135=G40)*(J$3:J$135&gt;J40)*(I$3:I$135="P"))+IF(H40="L5",SUMPRODUCT((P$3:P$135="")*(O$3:O$135="")*(N$3:N$135="")*(M$3:M$135="P")*(G$3:G$135=G40)*(J$3:J$135&lt;J40)*(H$3:H$135&lt;&gt;H40)*(I$3:I$135="P")),-1*SUMPRODUCT((P$3:P$135="")*(O$3:O$135="")*(N$3:N$135="")*(M$3:M$135="P")*(G$3:G$135=G40)*(J$3:J$135&gt;J40)*(H$3:H$135="L5")*(I$3:I$135="P")))+1,"")))))</f>
        <v/>
      </c>
      <c r="B40" s="1" t="str" cm="1">
        <f t="array" ref="B40">IF(P40&lt;&gt;"",SUMPRODUCT((P$3:P$135&lt;&gt;"")*(G$3:G$135=G40)*(J$3:J$135&gt;J40))+1,IF(O40&lt;&gt;"",SUMPRODUCT((O$3:O$135&lt;&gt;"")*(P$3:P$135="")*(G$3:G$135=G40)*(J$3:J$135&gt;J40))+SUMPRODUCT((P$3:P$135&lt;&gt;"")*(G$3:G$135=G40))+1,IF(N40&lt;&gt;"",SUMPRODUCT((N$3:N$135&lt;&gt;"")*(G$3:G$135=G40)*(J$3:J$135&gt;J40))+1,IF(M40="P",SUMPRODUCT((O$3:O$135&lt;&gt;"")*(P$3:P$135="")*(G$3:G$135=G40))+SUMPRODUCT((P$3:P$135&lt;&gt;"")*(G$3:G$135=G40))+SUMPRODUCT((N$3:N$135&lt;&gt;"")*(G$3:G$135=G40))+SUMPRODUCT((P$3:P$135="")*(O$3:O$135="")*(N$3:N$135="")*(M$3:M$135="P")*(G$3:G$135=G40)*(J$3:J$135&gt;J40))+IF(H40="L5",SUMPRODUCT((P$3:P$135="")*(O$3:O$135="")*(N$3:N$135="")*(M$3:M$135="P")*(G$3:G$135=G40)*(J$3:J$135&lt;J40)*(H$3:H$135&lt;&gt;H40)),-1*SUMPRODUCT((P$3:P$135="")*(O$3:O$135="")*(N$3:N$135="")*(M$3:M$135="P")*(G$3:G$135=G40)*(J$3:J$135&gt;J40)*(H$3:H$135="L5")))+1,""))))</f>
        <v/>
      </c>
      <c r="C40" s="36" t="s">
        <v>249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 t="shared" si="8"/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 t="shared" si="9"/>
        <v>82.12</v>
      </c>
      <c r="AF40" s="34"/>
      <c r="AG40" s="37"/>
    </row>
    <row r="41" spans="1:33" x14ac:dyDescent="0.2">
      <c r="A41" s="1" t="str" cm="1">
        <f t="array" ref="A41">IF(I41="","",IF(P41&lt;&gt;"",SUMPRODUCT((P$3:P$135&lt;&gt;"")*(G$3:G$135=G41)*(J$3:J$135&gt;J41)*(I$3:I$135="P"))+1,IF(O41&lt;&gt;"",SUMPRODUCT((O$3:O$135&lt;&gt;"")*(P$3:P$135="")*(G$3:G$135=G41)*(J$3:J$135&gt;J41)*(I$3:I$135="P"))+SUMPRODUCT((P$3:P$135&lt;&gt;"")*(G$3:G$135=G41)*(I$3:I$135="P"))+1,IF(N41&lt;&gt;"",SUMPRODUCT((N$3:N$135&lt;&gt;"")*(G$3:G$135=G41)*(J$3:J$135&gt;J41)*(I$3:I$135="P"))+1,IF(M41="P",SUMPRODUCT((O$3:O$135&lt;&gt;"")*(P$3:P$135="")*(G$3:G$135=G41)*(I$3:I$135="P"))+SUMPRODUCT((P$3:P$135&lt;&gt;"")*(G$3:G$135=G41)*(I$3:I$135="P"))+SUMPRODUCT((N$3:N$135&lt;&gt;"")*(G$3:G$135=G41)*(I$3:I$135="P"))+SUMPRODUCT((P$3:P$135="")*(O$3:O$135="")*(N$3:N$135="")*(M$3:M$135="P")*(G$3:G$135=G41)*(J$3:J$135&gt;J41)*(I$3:I$135="P"))+IF(H41="L5",SUMPRODUCT((P$3:P$135="")*(O$3:O$135="")*(N$3:N$135="")*(M$3:M$135="P")*(G$3:G$135=G41)*(J$3:J$135&lt;J41)*(H$3:H$135&lt;&gt;H41)*(I$3:I$135="P")),-1*SUMPRODUCT((P$3:P$135="")*(O$3:O$135="")*(N$3:N$135="")*(M$3:M$135="P")*(G$3:G$135=G41)*(J$3:J$135&gt;J41)*(H$3:H$135="L5")*(I$3:I$135="P")))+1,"")))))</f>
        <v/>
      </c>
      <c r="B41" s="1" t="str" cm="1">
        <f t="array" ref="B41">IF(P41&lt;&gt;"",SUMPRODUCT((P$3:P$135&lt;&gt;"")*(G$3:G$135=G41)*(J$3:J$135&gt;J41))+1,IF(O41&lt;&gt;"",SUMPRODUCT((O$3:O$135&lt;&gt;"")*(P$3:P$135="")*(G$3:G$135=G41)*(J$3:J$135&gt;J41))+SUMPRODUCT((P$3:P$135&lt;&gt;"")*(G$3:G$135=G41))+1,IF(N41&lt;&gt;"",SUMPRODUCT((N$3:N$135&lt;&gt;"")*(G$3:G$135=G41)*(J$3:J$135&gt;J41))+1,IF(M41="P",SUMPRODUCT((O$3:O$135&lt;&gt;"")*(P$3:P$135="")*(G$3:G$135=G41))+SUMPRODUCT((P$3:P$135&lt;&gt;"")*(G$3:G$135=G41))+SUMPRODUCT((N$3:N$135&lt;&gt;"")*(G$3:G$135=G41))+SUMPRODUCT((P$3:P$135="")*(O$3:O$135="")*(N$3:N$135="")*(M$3:M$135="P")*(G$3:G$135=G41)*(J$3:J$135&gt;J41))+IF(H41="L5",SUMPRODUCT((P$3:P$135="")*(O$3:O$135="")*(N$3:N$135="")*(M$3:M$135="P")*(G$3:G$135=G41)*(J$3:J$135&lt;J41)*(H$3:H$135&lt;&gt;H41)),-1*SUMPRODUCT((P$3:P$135="")*(O$3:O$135="")*(N$3:N$135="")*(M$3:M$135="P")*(G$3:G$135=G41)*(J$3:J$135&gt;J41)*(H$3:H$135="L5")))+1,""))))</f>
        <v/>
      </c>
      <c r="C41" s="36" t="s">
        <v>297</v>
      </c>
      <c r="D41" s="36" t="str">
        <f>IF(E41="","",VLOOKUP(E41,'Coaching Points'!A:B,2,0))</f>
        <v>ON</v>
      </c>
      <c r="E41" s="36" t="s">
        <v>288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 t="shared" si="8"/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 t="shared" si="9"/>
        <v>58.97</v>
      </c>
      <c r="AF41" s="34"/>
      <c r="AG41" s="37"/>
    </row>
    <row r="42" spans="1:33" x14ac:dyDescent="0.2">
      <c r="A42" s="1" t="str" cm="1">
        <f t="array" ref="A42">IF(I42="","",IF(P42&lt;&gt;"",SUMPRODUCT((P$3:P$135&lt;&gt;"")*(G$3:G$135=G42)*(J$3:J$135&gt;J42)*(I$3:I$135="P"))+1,IF(O42&lt;&gt;"",SUMPRODUCT((O$3:O$135&lt;&gt;"")*(P$3:P$135="")*(G$3:G$135=G42)*(J$3:J$135&gt;J42)*(I$3:I$135="P"))+SUMPRODUCT((P$3:P$135&lt;&gt;"")*(G$3:G$135=G42)*(I$3:I$135="P"))+1,IF(N42&lt;&gt;"",SUMPRODUCT((N$3:N$135&lt;&gt;"")*(G$3:G$135=G42)*(J$3:J$135&gt;J42)*(I$3:I$135="P"))+1,IF(M42="P",SUMPRODUCT((O$3:O$135&lt;&gt;"")*(P$3:P$135="")*(G$3:G$135=G42)*(I$3:I$135="P"))+SUMPRODUCT((P$3:P$135&lt;&gt;"")*(G$3:G$135=G42)*(I$3:I$135="P"))+SUMPRODUCT((N$3:N$135&lt;&gt;"")*(G$3:G$135=G42)*(I$3:I$135="P"))+SUMPRODUCT((P$3:P$135="")*(O$3:O$135="")*(N$3:N$135="")*(M$3:M$135="P")*(G$3:G$135=G42)*(J$3:J$135&gt;J42)*(I$3:I$135="P"))+IF(H42="L5",SUMPRODUCT((P$3:P$135="")*(O$3:O$135="")*(N$3:N$135="")*(M$3:M$135="P")*(G$3:G$135=G42)*(J$3:J$135&lt;J42)*(H$3:H$135&lt;&gt;H42)*(I$3:I$135="P")),-1*SUMPRODUCT((P$3:P$135="")*(O$3:O$135="")*(N$3:N$135="")*(M$3:M$135="P")*(G$3:G$135=G42)*(J$3:J$135&gt;J42)*(H$3:H$135="L5")*(I$3:I$135="P")))+1,"")))))</f>
        <v/>
      </c>
      <c r="B42" s="1" t="str" cm="1">
        <f t="array" ref="B42">IF(P42&lt;&gt;"",SUMPRODUCT((P$3:P$135&lt;&gt;"")*(G$3:G$135=G42)*(J$3:J$135&gt;J42))+1,IF(O42&lt;&gt;"",SUMPRODUCT((O$3:O$135&lt;&gt;"")*(P$3:P$135="")*(G$3:G$135=G42)*(J$3:J$135&gt;J42))+SUMPRODUCT((P$3:P$135&lt;&gt;"")*(G$3:G$135=G42))+1,IF(N42&lt;&gt;"",SUMPRODUCT((N$3:N$135&lt;&gt;"")*(G$3:G$135=G42)*(J$3:J$135&gt;J42))+1,IF(M42="P",SUMPRODUCT((O$3:O$135&lt;&gt;"")*(P$3:P$135="")*(G$3:G$135=G42))+SUMPRODUCT((P$3:P$135&lt;&gt;"")*(G$3:G$135=G42))+SUMPRODUCT((N$3:N$135&lt;&gt;"")*(G$3:G$135=G42))+SUMPRODUCT((P$3:P$135="")*(O$3:O$135="")*(N$3:N$135="")*(M$3:M$135="P")*(G$3:G$135=G42)*(J$3:J$135&gt;J42))+IF(H42="L5",SUMPRODUCT((P$3:P$135="")*(O$3:O$135="")*(N$3:N$135="")*(M$3:M$135="P")*(G$3:G$135=G42)*(J$3:J$135&lt;J42)*(H$3:H$135&lt;&gt;H42)),-1*SUMPRODUCT((P$3:P$135="")*(O$3:O$135="")*(N$3:N$135="")*(M$3:M$135="P")*(G$3:G$135=G42)*(J$3:J$135&gt;J42)*(H$3:H$135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 t="shared" si="8"/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 t="shared" si="9"/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$135&lt;&gt;"")*(G$3:G$135=G43)*(J$3:J$135&gt;J43)*(I$3:I$135="P"))+1,IF(O43&lt;&gt;"",SUMPRODUCT((O$3:O$135&lt;&gt;"")*(P$3:P$135="")*(G$3:G$135=G43)*(J$3:J$135&gt;J43)*(I$3:I$135="P"))+SUMPRODUCT((P$3:P$135&lt;&gt;"")*(G$3:G$135=G43)*(I$3:I$135="P"))+1,IF(N43&lt;&gt;"",SUMPRODUCT((N$3:N$135&lt;&gt;"")*(G$3:G$135=G43)*(J$3:J$135&gt;J43)*(I$3:I$135="P"))+1,IF(M43="P",SUMPRODUCT((O$3:O$135&lt;&gt;"")*(P$3:P$135="")*(G$3:G$135=G43)*(I$3:I$135="P"))+SUMPRODUCT((P$3:P$135&lt;&gt;"")*(G$3:G$135=G43)*(I$3:I$135="P"))+SUMPRODUCT((N$3:N$135&lt;&gt;"")*(G$3:G$135=G43)*(I$3:I$135="P"))+SUMPRODUCT((P$3:P$135="")*(O$3:O$135="")*(N$3:N$135="")*(M$3:M$135="P")*(G$3:G$135=G43)*(J$3:J$135&gt;J43)*(I$3:I$135="P"))+IF(H43="L5",SUMPRODUCT((P$3:P$135="")*(O$3:O$135="")*(N$3:N$135="")*(M$3:M$135="P")*(G$3:G$135=G43)*(J$3:J$135&lt;J43)*(H$3:H$135&lt;&gt;H43)*(I$3:I$135="P")),-1*SUMPRODUCT((P$3:P$135="")*(O$3:O$135="")*(N$3:N$135="")*(M$3:M$135="P")*(G$3:G$135=G43)*(J$3:J$135&gt;J43)*(H$3:H$135="L5")*(I$3:I$135="P")))+1,"")))))</f>
        <v/>
      </c>
      <c r="B43" s="1" t="str" cm="1">
        <f t="array" ref="B43">IF(P43&lt;&gt;"",SUMPRODUCT((P$3:P$135&lt;&gt;"")*(G$3:G$135=G43)*(J$3:J$135&gt;J43))+1,IF(O43&lt;&gt;"",SUMPRODUCT((O$3:O$135&lt;&gt;"")*(P$3:P$135="")*(G$3:G$135=G43)*(J$3:J$135&gt;J43))+SUMPRODUCT((P$3:P$135&lt;&gt;"")*(G$3:G$135=G43))+1,IF(N43&lt;&gt;"",SUMPRODUCT((N$3:N$135&lt;&gt;"")*(G$3:G$135=G43)*(J$3:J$135&gt;J43))+1,IF(M43="P",SUMPRODUCT((O$3:O$135&lt;&gt;"")*(P$3:P$135="")*(G$3:G$135=G43))+SUMPRODUCT((P$3:P$135&lt;&gt;"")*(G$3:G$135=G43))+SUMPRODUCT((N$3:N$135&lt;&gt;"")*(G$3:G$135=G43))+SUMPRODUCT((P$3:P$135="")*(O$3:O$135="")*(N$3:N$135="")*(M$3:M$135="P")*(G$3:G$135=G43)*(J$3:J$135&gt;J43))+IF(H43="L5",SUMPRODUCT((P$3:P$135="")*(O$3:O$135="")*(N$3:N$135="")*(M$3:M$135="P")*(G$3:G$135=G43)*(J$3:J$135&lt;J43)*(H$3:H$135&lt;&gt;H43)),-1*SUMPRODUCT((P$3:P$135="")*(O$3:O$135="")*(N$3:N$135="")*(M$3:M$135="P")*(G$3:G$135=G43)*(J$3:J$135&gt;J43)*(H$3:H$135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 t="shared" si="8"/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 t="shared" si="9"/>
        <v>81.81</v>
      </c>
      <c r="AF43" s="34"/>
      <c r="AG43" s="37"/>
    </row>
    <row r="44" spans="1:33" x14ac:dyDescent="0.2">
      <c r="A44" s="1" t="str" cm="1">
        <f t="array" ref="A44">IF(I44="","",IF(P44&lt;&gt;"",SUMPRODUCT((P$3:P$135&lt;&gt;"")*(G$3:G$135=G44)*(J$3:J$135&gt;J44)*(I$3:I$135="P"))+1,IF(O44&lt;&gt;"",SUMPRODUCT((O$3:O$135&lt;&gt;"")*(P$3:P$135="")*(G$3:G$135=G44)*(J$3:J$135&gt;J44)*(I$3:I$135="P"))+SUMPRODUCT((P$3:P$135&lt;&gt;"")*(G$3:G$135=G44)*(I$3:I$135="P"))+1,IF(N44&lt;&gt;"",SUMPRODUCT((N$3:N$135&lt;&gt;"")*(G$3:G$135=G44)*(J$3:J$135&gt;J44)*(I$3:I$135="P"))+1,IF(M44="P",SUMPRODUCT((O$3:O$135&lt;&gt;"")*(P$3:P$135="")*(G$3:G$135=G44)*(I$3:I$135="P"))+SUMPRODUCT((P$3:P$135&lt;&gt;"")*(G$3:G$135=G44)*(I$3:I$135="P"))+SUMPRODUCT((N$3:N$135&lt;&gt;"")*(G$3:G$135=G44)*(I$3:I$135="P"))+SUMPRODUCT((P$3:P$135="")*(O$3:O$135="")*(N$3:N$135="")*(M$3:M$135="P")*(G$3:G$135=G44)*(J$3:J$135&gt;J44)*(I$3:I$135="P"))+IF(H44="L5",SUMPRODUCT((P$3:P$135="")*(O$3:O$135="")*(N$3:N$135="")*(M$3:M$135="P")*(G$3:G$135=G44)*(J$3:J$135&lt;J44)*(H$3:H$135&lt;&gt;H44)*(I$3:I$135="P")),-1*SUMPRODUCT((P$3:P$135="")*(O$3:O$135="")*(N$3:N$135="")*(M$3:M$135="P")*(G$3:G$135=G44)*(J$3:J$135&gt;J44)*(H$3:H$135="L5")*(I$3:I$135="P")))+1,"")))))</f>
        <v/>
      </c>
      <c r="B44" s="1" t="str" cm="1">
        <f t="array" ref="B44">IF(P44&lt;&gt;"",SUMPRODUCT((P$3:P$135&lt;&gt;"")*(G$3:G$135=G44)*(J$3:J$135&gt;J44))+1,IF(O44&lt;&gt;"",SUMPRODUCT((O$3:O$135&lt;&gt;"")*(P$3:P$135="")*(G$3:G$135=G44)*(J$3:J$135&gt;J44))+SUMPRODUCT((P$3:P$135&lt;&gt;"")*(G$3:G$135=G44))+1,IF(N44&lt;&gt;"",SUMPRODUCT((N$3:N$135&lt;&gt;"")*(G$3:G$135=G44)*(J$3:J$135&gt;J44))+1,IF(M44="P",SUMPRODUCT((O$3:O$135&lt;&gt;"")*(P$3:P$135="")*(G$3:G$135=G44))+SUMPRODUCT((P$3:P$135&lt;&gt;"")*(G$3:G$135=G44))+SUMPRODUCT((N$3:N$135&lt;&gt;"")*(G$3:G$135=G44))+SUMPRODUCT((P$3:P$135="")*(O$3:O$135="")*(N$3:N$135="")*(M$3:M$135="P")*(G$3:G$135=G44)*(J$3:J$135&gt;J44))+IF(H44="L5",SUMPRODUCT((P$3:P$135="")*(O$3:O$135="")*(N$3:N$135="")*(M$3:M$135="P")*(G$3:G$135=G44)*(J$3:J$135&lt;J44)*(H$3:H$135&lt;&gt;H44)),-1*SUMPRODUCT((P$3:P$135="")*(O$3:O$135="")*(N$3:N$135="")*(M$3:M$135="P")*(G$3:G$135=G44)*(J$3:J$135&gt;J44)*(H$3:H$135="L5")))+1,""))))</f>
        <v/>
      </c>
      <c r="C44" s="36" t="s">
        <v>244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5"/>
        <v>85.590004258000008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 t="shared" si="8"/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 t="shared" si="9"/>
        <v>83.13</v>
      </c>
      <c r="AF44" s="34"/>
      <c r="AG44" s="37"/>
    </row>
    <row r="45" spans="1:33" x14ac:dyDescent="0.2">
      <c r="A45" s="1" t="str" cm="1">
        <f t="array" ref="A45">IF(I45="","",IF(P45&lt;&gt;"",SUMPRODUCT((P$3:P$135&lt;&gt;"")*(G$3:G$135=G45)*(J$3:J$135&gt;J45)*(I$3:I$135="P"))+1,IF(O45&lt;&gt;"",SUMPRODUCT((O$3:O$135&lt;&gt;"")*(P$3:P$135="")*(G$3:G$135=G45)*(J$3:J$135&gt;J45)*(I$3:I$135="P"))+SUMPRODUCT((P$3:P$135&lt;&gt;"")*(G$3:G$135=G45)*(I$3:I$135="P"))+1,IF(N45&lt;&gt;"",SUMPRODUCT((N$3:N$135&lt;&gt;"")*(G$3:G$135=G45)*(J$3:J$135&gt;J45)*(I$3:I$135="P"))+1,IF(M45="P",SUMPRODUCT((O$3:O$135&lt;&gt;"")*(P$3:P$135="")*(G$3:G$135=G45)*(I$3:I$135="P"))+SUMPRODUCT((P$3:P$135&lt;&gt;"")*(G$3:G$135=G45)*(I$3:I$135="P"))+SUMPRODUCT((N$3:N$135&lt;&gt;"")*(G$3:G$135=G45)*(I$3:I$135="P"))+SUMPRODUCT((P$3:P$135="")*(O$3:O$135="")*(N$3:N$135="")*(M$3:M$135="P")*(G$3:G$135=G45)*(J$3:J$135&gt;J45)*(I$3:I$135="P"))+IF(H45="L5",SUMPRODUCT((P$3:P$135="")*(O$3:O$135="")*(N$3:N$135="")*(M$3:M$135="P")*(G$3:G$135=G45)*(J$3:J$135&lt;J45)*(H$3:H$135&lt;&gt;H45)*(I$3:I$135="P")),-1*SUMPRODUCT((P$3:P$135="")*(O$3:O$135="")*(N$3:N$135="")*(M$3:M$135="P")*(G$3:G$135=G45)*(J$3:J$135&gt;J45)*(H$3:H$135="L5")*(I$3:I$135="P")))+1,"")))))</f>
        <v/>
      </c>
      <c r="B45" s="1" t="str" cm="1">
        <f t="array" ref="B45">IF(P45&lt;&gt;"",SUMPRODUCT((P$3:P$135&lt;&gt;"")*(G$3:G$135=G45)*(J$3:J$135&gt;J45))+1,IF(O45&lt;&gt;"",SUMPRODUCT((O$3:O$135&lt;&gt;"")*(P$3:P$135="")*(G$3:G$135=G45)*(J$3:J$135&gt;J45))+SUMPRODUCT((P$3:P$135&lt;&gt;"")*(G$3:G$135=G45))+1,IF(N45&lt;&gt;"",SUMPRODUCT((N$3:N$135&lt;&gt;"")*(G$3:G$135=G45)*(J$3:J$135&gt;J45))+1,IF(M45="P",SUMPRODUCT((O$3:O$135&lt;&gt;"")*(P$3:P$135="")*(G$3:G$135=G45))+SUMPRODUCT((P$3:P$135&lt;&gt;"")*(G$3:G$135=G45))+SUMPRODUCT((N$3:N$135&lt;&gt;"")*(G$3:G$135=G45))+SUMPRODUCT((P$3:P$135="")*(O$3:O$135="")*(N$3:N$135="")*(M$3:M$135="P")*(G$3:G$135=G45)*(J$3:J$135&gt;J45))+IF(H45="L5",SUMPRODUCT((P$3:P$135="")*(O$3:O$135="")*(N$3:N$135="")*(M$3:M$135="P")*(G$3:G$135=G45)*(J$3:J$135&lt;J45)*(H$3:H$135&lt;&gt;H45)),-1*SUMPRODUCT((P$3:P$135="")*(O$3:O$135="")*(N$3:N$135="")*(M$3:M$135="P")*(G$3:G$135=G45)*(J$3:J$135&gt;J45)*(H$3:H$135="L5")))+1,""))))</f>
        <v/>
      </c>
      <c r="C45" s="36" t="s">
        <v>296</v>
      </c>
      <c r="D45" s="36" t="str">
        <f>IF(E45="","",VLOOKUP(E45,'Coaching Points'!A:B,2,0))</f>
        <v>ON</v>
      </c>
      <c r="E45" s="36" t="s">
        <v>38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85.1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43.33</v>
      </c>
      <c r="S45" s="4">
        <f>IF(G45="17-21",LARGE(CHOOSE({1,2,3,4,5,6},T45,V45,Y45,AA45,AC45,AF45),2),IF(R45=X45,MAX(Y45,AA45,AC45,AF45),IF(R45=AE45,MAX(AF45,T45,V45,Y45),0)))</f>
        <v>41.77</v>
      </c>
      <c r="T45" s="33">
        <v>41.77</v>
      </c>
      <c r="U45" s="40">
        <v>0</v>
      </c>
      <c r="V45" s="34">
        <v>43.33</v>
      </c>
      <c r="W45" s="40">
        <v>7.2</v>
      </c>
      <c r="X45" s="4">
        <f t="shared" si="8"/>
        <v>85.1</v>
      </c>
      <c r="Y45" s="34">
        <v>27.76</v>
      </c>
      <c r="Z45" s="40">
        <v>4.5</v>
      </c>
      <c r="AA45" s="33"/>
      <c r="AB45" s="40"/>
      <c r="AC45" s="34"/>
      <c r="AD45" s="40"/>
      <c r="AE45" s="4">
        <f t="shared" si="9"/>
        <v>0</v>
      </c>
      <c r="AF45" s="34"/>
      <c r="AG45" s="37"/>
    </row>
    <row r="46" spans="1:33" x14ac:dyDescent="0.2">
      <c r="A46" s="1" t="str" cm="1">
        <f t="array" ref="A46">IF(I46="","",IF(P46&lt;&gt;"",SUMPRODUCT((P$3:P$135&lt;&gt;"")*(G$3:G$135=G46)*(J$3:J$135&gt;J46)*(I$3:I$135="P"))+1,IF(O46&lt;&gt;"",SUMPRODUCT((O$3:O$135&lt;&gt;"")*(P$3:P$135="")*(G$3:G$135=G46)*(J$3:J$135&gt;J46)*(I$3:I$135="P"))+SUMPRODUCT((P$3:P$135&lt;&gt;"")*(G$3:G$135=G46)*(I$3:I$135="P"))+1,IF(N46&lt;&gt;"",SUMPRODUCT((N$3:N$135&lt;&gt;"")*(G$3:G$135=G46)*(J$3:J$135&gt;J46)*(I$3:I$135="P"))+1,IF(M46="P",SUMPRODUCT((O$3:O$135&lt;&gt;"")*(P$3:P$135="")*(G$3:G$135=G46)*(I$3:I$135="P"))+SUMPRODUCT((P$3:P$135&lt;&gt;"")*(G$3:G$135=G46)*(I$3:I$135="P"))+SUMPRODUCT((N$3:N$135&lt;&gt;"")*(G$3:G$135=G46)*(I$3:I$135="P"))+SUMPRODUCT((P$3:P$135="")*(O$3:O$135="")*(N$3:N$135="")*(M$3:M$135="P")*(G$3:G$135=G46)*(J$3:J$135&gt;J46)*(I$3:I$135="P"))+IF(H46="L5",SUMPRODUCT((P$3:P$135="")*(O$3:O$135="")*(N$3:N$135="")*(M$3:M$135="P")*(G$3:G$135=G46)*(J$3:J$135&lt;J46)*(H$3:H$135&lt;&gt;H46)*(I$3:I$135="P")),-1*SUMPRODUCT((P$3:P$135="")*(O$3:O$135="")*(N$3:N$135="")*(M$3:M$135="P")*(G$3:G$135=G46)*(J$3:J$135&gt;J46)*(H$3:H$135="L5")*(I$3:I$135="P")))+1,"")))))</f>
        <v/>
      </c>
      <c r="B46" s="1" t="str" cm="1">
        <f t="array" ref="B46">IF(P46&lt;&gt;"",SUMPRODUCT((P$3:P$135&lt;&gt;"")*(G$3:G$135=G46)*(J$3:J$135&gt;J46))+1,IF(O46&lt;&gt;"",SUMPRODUCT((O$3:O$135&lt;&gt;"")*(P$3:P$135="")*(G$3:G$135=G46)*(J$3:J$135&gt;J46))+SUMPRODUCT((P$3:P$135&lt;&gt;"")*(G$3:G$135=G46))+1,IF(N46&lt;&gt;"",SUMPRODUCT((N$3:N$135&lt;&gt;"")*(G$3:G$135=G46)*(J$3:J$135&gt;J46))+1,IF(M46="P",SUMPRODUCT((O$3:O$135&lt;&gt;"")*(P$3:P$135="")*(G$3:G$135=G46))+SUMPRODUCT((P$3:P$135&lt;&gt;"")*(G$3:G$135=G46))+SUMPRODUCT((N$3:N$135&lt;&gt;"")*(G$3:G$135=G46))+SUMPRODUCT((P$3:P$135="")*(O$3:O$135="")*(N$3:N$135="")*(M$3:M$135="P")*(G$3:G$135=G46)*(J$3:J$135&gt;J46))+IF(H46="L5",SUMPRODUCT((P$3:P$135="")*(O$3:O$135="")*(N$3:N$135="")*(M$3:M$135="P")*(G$3:G$135=G46)*(J$3:J$135&lt;J46)*(H$3:H$135&lt;&gt;H46)),-1*SUMPRODUCT((P$3:P$135="")*(O$3:O$135="")*(N$3:N$135="")*(M$3:M$135="P")*(G$3:G$135=G46)*(J$3:J$135&gt;J46)*(H$3:H$135="L5")))+1,""))))</f>
        <v/>
      </c>
      <c r="C46" s="36" t="s">
        <v>131</v>
      </c>
      <c r="D46" s="36" t="str">
        <f>IF(E46="","",VLOOKUP(E46,'Coaching Points'!A:B,2,0))</f>
        <v>BC</v>
      </c>
      <c r="E46" s="36" t="s">
        <v>284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84.74000453299999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45.33</v>
      </c>
      <c r="S46" s="4">
        <f>IF(G46="17-21",LARGE(CHOOSE({1,2,3,4,5,6},T46,V46,Y46,AA46,AC46,AF46),2),IF(R46=X46,MAX(Y46,AA46,AC46,AF46),IF(R46=AE46,MAX(AF46,T46,V46,Y46),0)))</f>
        <v>39.409999999999997</v>
      </c>
      <c r="T46" s="33">
        <v>39.409999999999997</v>
      </c>
      <c r="U46" s="40">
        <v>0</v>
      </c>
      <c r="V46" s="34">
        <v>9.25</v>
      </c>
      <c r="W46" s="40">
        <v>1.9</v>
      </c>
      <c r="X46" s="4">
        <f t="shared" si="8"/>
        <v>48.66</v>
      </c>
      <c r="Y46" s="34"/>
      <c r="Z46" s="40"/>
      <c r="AA46" s="33">
        <v>39.090000000000003</v>
      </c>
      <c r="AB46" s="40">
        <v>0</v>
      </c>
      <c r="AC46" s="34">
        <v>45.33</v>
      </c>
      <c r="AD46" s="40">
        <v>7.9</v>
      </c>
      <c r="AE46" s="4">
        <f t="shared" si="9"/>
        <v>84.42</v>
      </c>
      <c r="AF46" s="34"/>
      <c r="AG46" s="37"/>
    </row>
    <row r="47" spans="1:33" x14ac:dyDescent="0.2">
      <c r="A47" s="1" t="str" cm="1">
        <f t="array" ref="A47">IF(I47="","",IF(P47&lt;&gt;"",SUMPRODUCT((P$3:P$135&lt;&gt;"")*(G$3:G$135=G47)*(J$3:J$135&gt;J47)*(I$3:I$135="P"))+1,IF(O47&lt;&gt;"",SUMPRODUCT((O$3:O$135&lt;&gt;"")*(P$3:P$135="")*(G$3:G$135=G47)*(J$3:J$135&gt;J47)*(I$3:I$135="P"))+SUMPRODUCT((P$3:P$135&lt;&gt;"")*(G$3:G$135=G47)*(I$3:I$135="P"))+1,IF(N47&lt;&gt;"",SUMPRODUCT((N$3:N$135&lt;&gt;"")*(G$3:G$135=G47)*(J$3:J$135&gt;J47)*(I$3:I$135="P"))+1,IF(M47="P",SUMPRODUCT((O$3:O$135&lt;&gt;"")*(P$3:P$135="")*(G$3:G$135=G47)*(I$3:I$135="P"))+SUMPRODUCT((P$3:P$135&lt;&gt;"")*(G$3:G$135=G47)*(I$3:I$135="P"))+SUMPRODUCT((N$3:N$135&lt;&gt;"")*(G$3:G$135=G47)*(I$3:I$135="P"))+SUMPRODUCT((P$3:P$135="")*(O$3:O$135="")*(N$3:N$135="")*(M$3:M$135="P")*(G$3:G$135=G47)*(J$3:J$135&gt;J47)*(I$3:I$135="P"))+IF(H47="L5",SUMPRODUCT((P$3:P$135="")*(O$3:O$135="")*(N$3:N$135="")*(M$3:M$135="P")*(G$3:G$135=G47)*(J$3:J$135&lt;J47)*(H$3:H$135&lt;&gt;H47)*(I$3:I$135="P")),-1*SUMPRODUCT((P$3:P$135="")*(O$3:O$135="")*(N$3:N$135="")*(M$3:M$135="P")*(G$3:G$135=G47)*(J$3:J$135&gt;J47)*(H$3:H$135="L5")*(I$3:I$135="P")))+1,"")))))</f>
        <v/>
      </c>
      <c r="B47" s="1" t="str" cm="1">
        <f t="array" ref="B47">IF(P47&lt;&gt;"",SUMPRODUCT((P$3:P$135&lt;&gt;"")*(G$3:G$135=G47)*(J$3:J$135&gt;J47))+1,IF(O47&lt;&gt;"",SUMPRODUCT((O$3:O$135&lt;&gt;"")*(P$3:P$135="")*(G$3:G$135=G47)*(J$3:J$135&gt;J47))+SUMPRODUCT((P$3:P$135&lt;&gt;"")*(G$3:G$135=G47))+1,IF(N47&lt;&gt;"",SUMPRODUCT((N$3:N$135&lt;&gt;"")*(G$3:G$135=G47)*(J$3:J$135&gt;J47))+1,IF(M47="P",SUMPRODUCT((O$3:O$135&lt;&gt;"")*(P$3:P$135="")*(G$3:G$135=G47))+SUMPRODUCT((P$3:P$135&lt;&gt;"")*(G$3:G$135=G47))+SUMPRODUCT((N$3:N$135&lt;&gt;"")*(G$3:G$135=G47))+SUMPRODUCT((P$3:P$135="")*(O$3:O$135="")*(N$3:N$135="")*(M$3:M$135="P")*(G$3:G$135=G47)*(J$3:J$135&gt;J47))+IF(H47="L5",SUMPRODUCT((P$3:P$135="")*(O$3:O$135="")*(N$3:N$135="")*(M$3:M$135="P")*(G$3:G$135=G47)*(J$3:J$135&lt;J47)*(H$3:H$135&lt;&gt;H47)),-1*SUMPRODUCT((P$3:P$135="")*(O$3:O$135="")*(N$3:N$135="")*(M$3:M$135="P")*(G$3:G$135=G47)*(J$3:J$135&gt;J47)*(H$3:H$135="L5")))+1,""))))</f>
        <v/>
      </c>
      <c r="C47" s="36" t="s">
        <v>143</v>
      </c>
      <c r="D47" s="36" t="str">
        <f>IF(E47="","",VLOOKUP(E47,'Coaching Points'!A:B,2,0))</f>
        <v>BC</v>
      </c>
      <c r="E47" s="36" t="s">
        <v>61</v>
      </c>
      <c r="F47" s="35">
        <v>2003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84.690004232999996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42.36</v>
      </c>
      <c r="S47" s="4">
        <f>IF(G47="17-21",LARGE(CHOOSE({1,2,3,4,5,6},T47,V47,Y47,AA47,AC47,AF47),2),IF(R47=X47,MAX(Y47,AA47,AC47,AF47),IF(R47=AE47,MAX(AF47,T47,V47,Y47),0)))</f>
        <v>42.33</v>
      </c>
      <c r="T47" s="33">
        <v>36.11</v>
      </c>
      <c r="U47" s="40">
        <v>0</v>
      </c>
      <c r="V47" s="34">
        <v>42.36</v>
      </c>
      <c r="W47" s="40">
        <v>7.8</v>
      </c>
      <c r="X47" s="4">
        <f t="shared" si="8"/>
        <v>78.47</v>
      </c>
      <c r="Y47" s="34"/>
      <c r="Z47" s="40"/>
      <c r="AA47" s="33">
        <v>35.729999999999997</v>
      </c>
      <c r="AB47" s="40">
        <v>0</v>
      </c>
      <c r="AC47" s="34">
        <v>42.33</v>
      </c>
      <c r="AD47" s="40">
        <v>8.4</v>
      </c>
      <c r="AE47" s="4">
        <f t="shared" si="9"/>
        <v>78.06</v>
      </c>
      <c r="AF47" s="34"/>
      <c r="AG47" s="37"/>
    </row>
    <row r="48" spans="1:33" x14ac:dyDescent="0.2">
      <c r="A48" s="1" t="str" cm="1">
        <f t="array" ref="A48">IF(I48="","",IF(P48&lt;&gt;"",SUMPRODUCT((P$3:P$135&lt;&gt;"")*(G$3:G$135=G48)*(J$3:J$135&gt;J48)*(I$3:I$135="P"))+1,IF(O48&lt;&gt;"",SUMPRODUCT((O$3:O$135&lt;&gt;"")*(P$3:P$135="")*(G$3:G$135=G48)*(J$3:J$135&gt;J48)*(I$3:I$135="P"))+SUMPRODUCT((P$3:P$135&lt;&gt;"")*(G$3:G$135=G48)*(I$3:I$135="P"))+1,IF(N48&lt;&gt;"",SUMPRODUCT((N$3:N$135&lt;&gt;"")*(G$3:G$135=G48)*(J$3:J$135&gt;J48)*(I$3:I$135="P"))+1,IF(M48="P",SUMPRODUCT((O$3:O$135&lt;&gt;"")*(P$3:P$135="")*(G$3:G$135=G48)*(I$3:I$135="P"))+SUMPRODUCT((P$3:P$135&lt;&gt;"")*(G$3:G$135=G48)*(I$3:I$135="P"))+SUMPRODUCT((N$3:N$135&lt;&gt;"")*(G$3:G$135=G48)*(I$3:I$135="P"))+SUMPRODUCT((P$3:P$135="")*(O$3:O$135="")*(N$3:N$135="")*(M$3:M$135="P")*(G$3:G$135=G48)*(J$3:J$135&gt;J48)*(I$3:I$135="P"))+IF(H48="L5",SUMPRODUCT((P$3:P$135="")*(O$3:O$135="")*(N$3:N$135="")*(M$3:M$135="P")*(G$3:G$135=G48)*(J$3:J$135&lt;J48)*(H$3:H$135&lt;&gt;H48)*(I$3:I$135="P")),-1*SUMPRODUCT((P$3:P$135="")*(O$3:O$135="")*(N$3:N$135="")*(M$3:M$135="P")*(G$3:G$135=G48)*(J$3:J$135&gt;J48)*(H$3:H$135="L5")*(I$3:I$135="P")))+1,"")))))</f>
        <v/>
      </c>
      <c r="B48" s="1" t="str" cm="1">
        <f t="array" ref="B48">IF(P48&lt;&gt;"",SUMPRODUCT((P$3:P$135&lt;&gt;"")*(G$3:G$135=G48)*(J$3:J$135&gt;J48))+1,IF(O48&lt;&gt;"",SUMPRODUCT((O$3:O$135&lt;&gt;"")*(P$3:P$135="")*(G$3:G$135=G48)*(J$3:J$135&gt;J48))+SUMPRODUCT((P$3:P$135&lt;&gt;"")*(G$3:G$135=G48))+1,IF(N48&lt;&gt;"",SUMPRODUCT((N$3:N$135&lt;&gt;"")*(G$3:G$135=G48)*(J$3:J$135&gt;J48))+1,IF(M48="P",SUMPRODUCT((O$3:O$135&lt;&gt;"")*(P$3:P$135="")*(G$3:G$135=G48))+SUMPRODUCT((P$3:P$135&lt;&gt;"")*(G$3:G$135=G48))+SUMPRODUCT((N$3:N$135&lt;&gt;"")*(G$3:G$135=G48))+SUMPRODUCT((P$3:P$135="")*(O$3:O$135="")*(N$3:N$135="")*(M$3:M$135="P")*(G$3:G$135=G48)*(J$3:J$135&gt;J48))+IF(H48="L5",SUMPRODUCT((P$3:P$135="")*(O$3:O$135="")*(N$3:N$135="")*(M$3:M$135="P")*(G$3:G$135=G48)*(J$3:J$135&lt;J48)*(H$3:H$135&lt;&gt;H48)),-1*SUMPRODUCT((P$3:P$135="")*(O$3:O$135="")*(N$3:N$135="")*(M$3:M$135="P")*(G$3:G$135=G48)*(J$3:J$135&gt;J48)*(H$3:H$135="L5")))+1,""))))</f>
        <v/>
      </c>
      <c r="C48" s="36" t="s">
        <v>450</v>
      </c>
      <c r="D48" s="36" t="str">
        <f>IF(E48="","",VLOOKUP(E48,'Coaching Points'!A:B,2,0))</f>
        <v>QC</v>
      </c>
      <c r="E48" s="36" t="s">
        <v>96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84.280004504000004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45.04</v>
      </c>
      <c r="S48" s="4">
        <f>IF(G48="17-21",LARGE(CHOOSE({1,2,3,4,5,6},T48,V48,Y48,AA48,AC48,AF48),2),IF(R48=X48,MAX(Y48,AA48,AC48,AF48),IF(R48=AE48,MAX(AF48,T48,V48,Y48),0)))</f>
        <v>39.24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39.24</v>
      </c>
      <c r="AB48" s="40">
        <v>0</v>
      </c>
      <c r="AC48" s="34">
        <v>45.04</v>
      </c>
      <c r="AD48" s="40">
        <v>7.4</v>
      </c>
      <c r="AE48" s="4">
        <f t="shared" si="9"/>
        <v>84.28</v>
      </c>
      <c r="AF48" s="34"/>
      <c r="AG48" s="37"/>
    </row>
    <row r="49" spans="1:33" x14ac:dyDescent="0.2">
      <c r="A49" s="1" t="str" cm="1">
        <f t="array" ref="A49">IF(I49="","",IF(P49&lt;&gt;"",SUMPRODUCT((P$3:P$135&lt;&gt;"")*(G$3:G$135=G49)*(J$3:J$135&gt;J49)*(I$3:I$135="P"))+1,IF(O49&lt;&gt;"",SUMPRODUCT((O$3:O$135&lt;&gt;"")*(P$3:P$135="")*(G$3:G$135=G49)*(J$3:J$135&gt;J49)*(I$3:I$135="P"))+SUMPRODUCT((P$3:P$135&lt;&gt;"")*(G$3:G$135=G49)*(I$3:I$135="P"))+1,IF(N49&lt;&gt;"",SUMPRODUCT((N$3:N$135&lt;&gt;"")*(G$3:G$135=G49)*(J$3:J$135&gt;J49)*(I$3:I$135="P"))+1,IF(M49="P",SUMPRODUCT((O$3:O$135&lt;&gt;"")*(P$3:P$135="")*(G$3:G$135=G49)*(I$3:I$135="P"))+SUMPRODUCT((P$3:P$135&lt;&gt;"")*(G$3:G$135=G49)*(I$3:I$135="P"))+SUMPRODUCT((N$3:N$135&lt;&gt;"")*(G$3:G$135=G49)*(I$3:I$135="P"))+SUMPRODUCT((P$3:P$135="")*(O$3:O$135="")*(N$3:N$135="")*(M$3:M$135="P")*(G$3:G$135=G49)*(J$3:J$135&gt;J49)*(I$3:I$135="P"))+IF(H49="L5",SUMPRODUCT((P$3:P$135="")*(O$3:O$135="")*(N$3:N$135="")*(M$3:M$135="P")*(G$3:G$135=G49)*(J$3:J$135&lt;J49)*(H$3:H$135&lt;&gt;H49)*(I$3:I$135="P")),-1*SUMPRODUCT((P$3:P$135="")*(O$3:O$135="")*(N$3:N$135="")*(M$3:M$135="P")*(G$3:G$135=G49)*(J$3:J$135&gt;J49)*(H$3:H$135="L5")*(I$3:I$135="P")))+1,"")))))</f>
        <v/>
      </c>
      <c r="B49" s="1" t="str" cm="1">
        <f t="array" ref="B49">IF(P49&lt;&gt;"",SUMPRODUCT((P$3:P$135&lt;&gt;"")*(G$3:G$135=G49)*(J$3:J$135&gt;J49))+1,IF(O49&lt;&gt;"",SUMPRODUCT((O$3:O$135&lt;&gt;"")*(P$3:P$135="")*(G$3:G$135=G49)*(J$3:J$135&gt;J49))+SUMPRODUCT((P$3:P$135&lt;&gt;"")*(G$3:G$135=G49))+1,IF(N49&lt;&gt;"",SUMPRODUCT((N$3:N$135&lt;&gt;"")*(G$3:G$135=G49)*(J$3:J$135&gt;J49))+1,IF(M49="P",SUMPRODUCT((O$3:O$135&lt;&gt;"")*(P$3:P$135="")*(G$3:G$135=G49))+SUMPRODUCT((P$3:P$135&lt;&gt;"")*(G$3:G$135=G49))+SUMPRODUCT((N$3:N$135&lt;&gt;"")*(G$3:G$135=G49))+SUMPRODUCT((P$3:P$135="")*(O$3:O$135="")*(N$3:N$135="")*(M$3:M$135="P")*(G$3:G$135=G49)*(J$3:J$135&gt;J49))+IF(H49="L5",SUMPRODUCT((P$3:P$135="")*(O$3:O$135="")*(N$3:N$135="")*(M$3:M$135="P")*(G$3:G$135=G49)*(J$3:J$135&lt;J49)*(H$3:H$135&lt;&gt;H49)),-1*SUMPRODUCT((P$3:P$135="")*(O$3:O$135="")*(N$3:N$135="")*(M$3:M$135="P")*(G$3:G$135=G49)*(J$3:J$135&gt;J49)*(H$3:H$135="L5")))+1,""))))</f>
        <v/>
      </c>
      <c r="C49" s="36" t="s">
        <v>451</v>
      </c>
      <c r="D49" s="36" t="str">
        <f>IF(E49="","",VLOOKUP(E49,'Coaching Points'!A:B,2,0))</f>
        <v>ON</v>
      </c>
      <c r="E49" s="36" t="s">
        <v>422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83.510004515999995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45.16</v>
      </c>
      <c r="S49" s="4">
        <f>IF(G49="17-21",LARGE(CHOOSE({1,2,3,4,5,6},T49,V49,Y49,AA49,AC49,AF49),2),IF(R49=X49,MAX(Y49,AA49,AC49,AF49),IF(R49=AE49,MAX(AF49,T49,V49,Y49),0)))</f>
        <v>38.35</v>
      </c>
      <c r="T49" s="33"/>
      <c r="U49" s="40"/>
      <c r="V49" s="34"/>
      <c r="W49" s="40"/>
      <c r="X49" s="4">
        <f t="shared" si="8"/>
        <v>0</v>
      </c>
      <c r="Y49" s="34"/>
      <c r="Z49" s="40"/>
      <c r="AA49" s="33">
        <v>38.35</v>
      </c>
      <c r="AB49" s="40">
        <v>0</v>
      </c>
      <c r="AC49" s="34">
        <v>45.16</v>
      </c>
      <c r="AD49" s="40">
        <v>8.4</v>
      </c>
      <c r="AE49" s="4">
        <f t="shared" si="9"/>
        <v>83.509999999999991</v>
      </c>
      <c r="AF49" s="34"/>
      <c r="AG49" s="37"/>
    </row>
    <row r="50" spans="1:33" x14ac:dyDescent="0.2">
      <c r="A50" s="1" t="str" cm="1">
        <f t="array" ref="A50">IF(I50="","",IF(P50&lt;&gt;"",SUMPRODUCT((P$3:P$135&lt;&gt;"")*(G$3:G$135=G50)*(J$3:J$135&gt;J50)*(I$3:I$135="P"))+1,IF(O50&lt;&gt;"",SUMPRODUCT((O$3:O$135&lt;&gt;"")*(P$3:P$135="")*(G$3:G$135=G50)*(J$3:J$135&gt;J50)*(I$3:I$135="P"))+SUMPRODUCT((P$3:P$135&lt;&gt;"")*(G$3:G$135=G50)*(I$3:I$135="P"))+1,IF(N50&lt;&gt;"",SUMPRODUCT((N$3:N$135&lt;&gt;"")*(G$3:G$135=G50)*(J$3:J$135&gt;J50)*(I$3:I$135="P"))+1,IF(M50="P",SUMPRODUCT((O$3:O$135&lt;&gt;"")*(P$3:P$135="")*(G$3:G$135=G50)*(I$3:I$135="P"))+SUMPRODUCT((P$3:P$135&lt;&gt;"")*(G$3:G$135=G50)*(I$3:I$135="P"))+SUMPRODUCT((N$3:N$135&lt;&gt;"")*(G$3:G$135=G50)*(I$3:I$135="P"))+SUMPRODUCT((P$3:P$135="")*(O$3:O$135="")*(N$3:N$135="")*(M$3:M$135="P")*(G$3:G$135=G50)*(J$3:J$135&gt;J50)*(I$3:I$135="P"))+IF(H50="L5",SUMPRODUCT((P$3:P$135="")*(O$3:O$135="")*(N$3:N$135="")*(M$3:M$135="P")*(G$3:G$135=G50)*(J$3:J$135&lt;J50)*(H$3:H$135&lt;&gt;H50)*(I$3:I$135="P")),-1*SUMPRODUCT((P$3:P$135="")*(O$3:O$135="")*(N$3:N$135="")*(M$3:M$135="P")*(G$3:G$135=G50)*(J$3:J$135&gt;J50)*(H$3:H$135="L5")*(I$3:I$135="P")))+1,"")))))</f>
        <v/>
      </c>
      <c r="B50" s="1" t="str" cm="1">
        <f t="array" ref="B50">IF(P50&lt;&gt;"",SUMPRODUCT((P$3:P$135&lt;&gt;"")*(G$3:G$135=G50)*(J$3:J$135&gt;J50))+1,IF(O50&lt;&gt;"",SUMPRODUCT((O$3:O$135&lt;&gt;"")*(P$3:P$135="")*(G$3:G$135=G50)*(J$3:J$135&gt;J50))+SUMPRODUCT((P$3:P$135&lt;&gt;"")*(G$3:G$135=G50))+1,IF(N50&lt;&gt;"",SUMPRODUCT((N$3:N$135&lt;&gt;"")*(G$3:G$135=G50)*(J$3:J$135&gt;J50))+1,IF(M50="P",SUMPRODUCT((O$3:O$135&lt;&gt;"")*(P$3:P$135="")*(G$3:G$135=G50))+SUMPRODUCT((P$3:P$135&lt;&gt;"")*(G$3:G$135=G50))+SUMPRODUCT((N$3:N$135&lt;&gt;"")*(G$3:G$135=G50))+SUMPRODUCT((P$3:P$135="")*(O$3:O$135="")*(N$3:N$135="")*(M$3:M$135="P")*(G$3:G$135=G50)*(J$3:J$135&gt;J50))+IF(H50="L5",SUMPRODUCT((P$3:P$135="")*(O$3:O$135="")*(N$3:N$135="")*(M$3:M$135="P")*(G$3:G$135=G50)*(J$3:J$135&lt;J50)*(H$3:H$135&lt;&gt;H50)),-1*SUMPRODUCT((P$3:P$135="")*(O$3:O$135="")*(N$3:N$135="")*(M$3:M$135="P")*(G$3:G$135=G50)*(J$3:J$135&gt;J50)*(H$3:H$135="L5")))+1,""))))</f>
        <v/>
      </c>
      <c r="C50" s="36" t="s">
        <v>122</v>
      </c>
      <c r="D50" s="36" t="str">
        <f>IF(E50="","",VLOOKUP(E50,'Coaching Points'!A:B,2,0))</f>
        <v>ON</v>
      </c>
      <c r="E50" s="36" t="s">
        <v>38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83.300004336000001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43.36</v>
      </c>
      <c r="S50" s="4">
        <f>IF(G50="17-21",LARGE(CHOOSE({1,2,3,4,5,6},T50,V50,Y50,AA50,AC50,AF50),2),IF(R50=X50,MAX(Y50,AA50,AC50,AF50),IF(R50=AE50,MAX(AF50,T50,V50,Y50),0)))</f>
        <v>39.94</v>
      </c>
      <c r="T50" s="33">
        <v>39.26</v>
      </c>
      <c r="U50" s="40">
        <v>0</v>
      </c>
      <c r="V50" s="34">
        <v>13.41</v>
      </c>
      <c r="W50" s="40">
        <v>3.1</v>
      </c>
      <c r="X50" s="4">
        <f t="shared" si="8"/>
        <v>52.67</v>
      </c>
      <c r="Y50" s="34"/>
      <c r="Z50" s="40"/>
      <c r="AA50" s="33">
        <v>39.94</v>
      </c>
      <c r="AB50" s="40">
        <v>0</v>
      </c>
      <c r="AC50" s="34">
        <v>43.36</v>
      </c>
      <c r="AD50" s="40">
        <v>8.9</v>
      </c>
      <c r="AE50" s="4">
        <f t="shared" si="9"/>
        <v>83.3</v>
      </c>
      <c r="AF50" s="34"/>
      <c r="AG50" s="37"/>
    </row>
    <row r="51" spans="1:33" x14ac:dyDescent="0.2">
      <c r="A51" s="1" t="str" cm="1">
        <f t="array" ref="A51">IF(I51="","",IF(P51&lt;&gt;"",SUMPRODUCT((P$3:P$135&lt;&gt;"")*(G$3:G$135=G51)*(J$3:J$135&gt;J51)*(I$3:I$135="P"))+1,IF(O51&lt;&gt;"",SUMPRODUCT((O$3:O$135&lt;&gt;"")*(P$3:P$135="")*(G$3:G$135=G51)*(J$3:J$135&gt;J51)*(I$3:I$135="P"))+SUMPRODUCT((P$3:P$135&lt;&gt;"")*(G$3:G$135=G51)*(I$3:I$135="P"))+1,IF(N51&lt;&gt;"",SUMPRODUCT((N$3:N$135&lt;&gt;"")*(G$3:G$135=G51)*(J$3:J$135&gt;J51)*(I$3:I$135="P"))+1,IF(M51="P",SUMPRODUCT((O$3:O$135&lt;&gt;"")*(P$3:P$135="")*(G$3:G$135=G51)*(I$3:I$135="P"))+SUMPRODUCT((P$3:P$135&lt;&gt;"")*(G$3:G$135=G51)*(I$3:I$135="P"))+SUMPRODUCT((N$3:N$135&lt;&gt;"")*(G$3:G$135=G51)*(I$3:I$135="P"))+SUMPRODUCT((P$3:P$135="")*(O$3:O$135="")*(N$3:N$135="")*(M$3:M$135="P")*(G$3:G$135=G51)*(J$3:J$135&gt;J51)*(I$3:I$135="P"))+IF(H51="L5",SUMPRODUCT((P$3:P$135="")*(O$3:O$135="")*(N$3:N$135="")*(M$3:M$135="P")*(G$3:G$135=G51)*(J$3:J$135&lt;J51)*(H$3:H$135&lt;&gt;H51)*(I$3:I$135="P")),-1*SUMPRODUCT((P$3:P$135="")*(O$3:O$135="")*(N$3:N$135="")*(M$3:M$135="P")*(G$3:G$135=G51)*(J$3:J$135&gt;J51)*(H$3:H$135="L5")*(I$3:I$135="P")))+1,"")))))</f>
        <v/>
      </c>
      <c r="B51" s="1" t="str" cm="1">
        <f t="array" ref="B51">IF(P51&lt;&gt;"",SUMPRODUCT((P$3:P$135&lt;&gt;"")*(G$3:G$135=G51)*(J$3:J$135&gt;J51))+1,IF(O51&lt;&gt;"",SUMPRODUCT((O$3:O$135&lt;&gt;"")*(P$3:P$135="")*(G$3:G$135=G51)*(J$3:J$135&gt;J51))+SUMPRODUCT((P$3:P$135&lt;&gt;"")*(G$3:G$135=G51))+1,IF(N51&lt;&gt;"",SUMPRODUCT((N$3:N$135&lt;&gt;"")*(G$3:G$135=G51)*(J$3:J$135&gt;J51))+1,IF(M51="P",SUMPRODUCT((O$3:O$135&lt;&gt;"")*(P$3:P$135="")*(G$3:G$135=G51))+SUMPRODUCT((P$3:P$135&lt;&gt;"")*(G$3:G$135=G51))+SUMPRODUCT((N$3:N$135&lt;&gt;"")*(G$3:G$135=G51))+SUMPRODUCT((P$3:P$135="")*(O$3:O$135="")*(N$3:N$135="")*(M$3:M$135="P")*(G$3:G$135=G51)*(J$3:J$135&gt;J51))+IF(H51="L5",SUMPRODUCT((P$3:P$135="")*(O$3:O$135="")*(N$3:N$135="")*(M$3:M$135="P")*(G$3:G$135=G51)*(J$3:J$135&lt;J51)*(H$3:H$135&lt;&gt;H51)),-1*SUMPRODUCT((P$3:P$135="")*(O$3:O$135="")*(N$3:N$135="")*(M$3:M$135="P")*(G$3:G$135=G51)*(J$3:J$135&gt;J51)*(H$3:H$135="L5")))+1,""))))</f>
        <v/>
      </c>
      <c r="C51" s="36" t="s">
        <v>139</v>
      </c>
      <c r="D51" s="36" t="str">
        <f>IF(E51="","",VLOOKUP(E51,'Coaching Points'!A:B,2,0))</f>
        <v>BC</v>
      </c>
      <c r="E51" s="36" t="s">
        <v>46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83.080000000000013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44.59</v>
      </c>
      <c r="S51" s="4">
        <f>IF(G51="17-21",LARGE(CHOOSE({1,2,3,4,5,6},T51,V51,Y51,AA51,AC51,AF51),2),IF(R51=X51,MAX(Y51,AA51,AC51,AF51),IF(R51=AE51,MAX(AF51,T51,V51,Y51),0)))</f>
        <v>38.49</v>
      </c>
      <c r="T51" s="33">
        <v>38.49</v>
      </c>
      <c r="U51" s="40">
        <v>0</v>
      </c>
      <c r="V51" s="34">
        <v>44.59</v>
      </c>
      <c r="W51" s="40">
        <v>7.4</v>
      </c>
      <c r="X51" s="4">
        <f t="shared" si="8"/>
        <v>83.080000000000013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$135&lt;&gt;"")*(G$3:G$135=G52)*(J$3:J$135&gt;J52)*(I$3:I$135="P"))+1,IF(O52&lt;&gt;"",SUMPRODUCT((O$3:O$135&lt;&gt;"")*(P$3:P$135="")*(G$3:G$135=G52)*(J$3:J$135&gt;J52)*(I$3:I$135="P"))+SUMPRODUCT((P$3:P$135&lt;&gt;"")*(G$3:G$135=G52)*(I$3:I$135="P"))+1,IF(N52&lt;&gt;"",SUMPRODUCT((N$3:N$135&lt;&gt;"")*(G$3:G$135=G52)*(J$3:J$135&gt;J52)*(I$3:I$135="P"))+1,IF(M52="P",SUMPRODUCT((O$3:O$135&lt;&gt;"")*(P$3:P$135="")*(G$3:G$135=G52)*(I$3:I$135="P"))+SUMPRODUCT((P$3:P$135&lt;&gt;"")*(G$3:G$135=G52)*(I$3:I$135="P"))+SUMPRODUCT((N$3:N$135&lt;&gt;"")*(G$3:G$135=G52)*(I$3:I$135="P"))+SUMPRODUCT((P$3:P$135="")*(O$3:O$135="")*(N$3:N$135="")*(M$3:M$135="P")*(G$3:G$135=G52)*(J$3:J$135&gt;J52)*(I$3:I$135="P"))+IF(H52="L5",SUMPRODUCT((P$3:P$135="")*(O$3:O$135="")*(N$3:N$135="")*(M$3:M$135="P")*(G$3:G$135=G52)*(J$3:J$135&lt;J52)*(H$3:H$135&lt;&gt;H52)*(I$3:I$135="P")),-1*SUMPRODUCT((P$3:P$135="")*(O$3:O$135="")*(N$3:N$135="")*(M$3:M$135="P")*(G$3:G$135=G52)*(J$3:J$135&gt;J52)*(H$3:H$135="L5")*(I$3:I$135="P")))+1,"")))))</f>
        <v/>
      </c>
      <c r="B52" s="1" t="str" cm="1">
        <f t="array" ref="B52">IF(P52&lt;&gt;"",SUMPRODUCT((P$3:P$135&lt;&gt;"")*(G$3:G$135=G52)*(J$3:J$135&gt;J52))+1,IF(O52&lt;&gt;"",SUMPRODUCT((O$3:O$135&lt;&gt;"")*(P$3:P$135="")*(G$3:G$135=G52)*(J$3:J$135&gt;J52))+SUMPRODUCT((P$3:P$135&lt;&gt;"")*(G$3:G$135=G52))+1,IF(N52&lt;&gt;"",SUMPRODUCT((N$3:N$135&lt;&gt;"")*(G$3:G$135=G52)*(J$3:J$135&gt;J52))+1,IF(M52="P",SUMPRODUCT((O$3:O$135&lt;&gt;"")*(P$3:P$135="")*(G$3:G$135=G52))+SUMPRODUCT((P$3:P$135&lt;&gt;"")*(G$3:G$135=G52))+SUMPRODUCT((N$3:N$135&lt;&gt;"")*(G$3:G$135=G52))+SUMPRODUCT((P$3:P$135="")*(O$3:O$135="")*(N$3:N$135="")*(M$3:M$135="P")*(G$3:G$135=G52)*(J$3:J$135&gt;J52))+IF(H52="L5",SUMPRODUCT((P$3:P$135="")*(O$3:O$135="")*(N$3:N$135="")*(M$3:M$135="P")*(G$3:G$135=G52)*(J$3:J$135&lt;J52)*(H$3:H$135&lt;&gt;H52)),-1*SUMPRODUCT((P$3:P$135="")*(O$3:O$135="")*(N$3:N$135="")*(M$3:M$135="P")*(G$3:G$135=G52)*(J$3:J$135&gt;J52)*(H$3:H$135="L5")))+1,""))))</f>
        <v/>
      </c>
      <c r="C52" s="36" t="s">
        <v>452</v>
      </c>
      <c r="D52" s="36" t="str">
        <f>IF(E52="","",VLOOKUP(E52,'Coaching Points'!A:B,2,0))</f>
        <v>ON</v>
      </c>
      <c r="E52" s="36" t="s">
        <v>488</v>
      </c>
      <c r="F52" s="35">
        <v>2004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82.970004536999994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45.37</v>
      </c>
      <c r="S52" s="4">
        <f>IF(G52="17-21",LARGE(CHOOSE({1,2,3,4,5,6},T52,V52,Y52,AA52,AC52,AF52),2),IF(R52=X52,MAX(Y52,AA52,AC52,AF52),IF(R52=AE52,MAX(AF52,T52,V52,Y52),0)))</f>
        <v>37.6</v>
      </c>
      <c r="T52" s="33"/>
      <c r="U52" s="40"/>
      <c r="V52" s="34"/>
      <c r="W52" s="40"/>
      <c r="X52" s="4">
        <f t="shared" si="8"/>
        <v>0</v>
      </c>
      <c r="Y52" s="34"/>
      <c r="Z52" s="40"/>
      <c r="AA52" s="33">
        <v>37.6</v>
      </c>
      <c r="AB52" s="40">
        <v>0</v>
      </c>
      <c r="AC52" s="34">
        <v>45.37</v>
      </c>
      <c r="AD52" s="40">
        <v>7.8</v>
      </c>
      <c r="AE52" s="4">
        <f t="shared" si="9"/>
        <v>82.97</v>
      </c>
      <c r="AF52" s="34"/>
      <c r="AG52" s="37"/>
    </row>
    <row r="53" spans="1:33" x14ac:dyDescent="0.2">
      <c r="A53" s="1" t="str" cm="1">
        <f t="array" ref="A53">IF(I53="","",IF(P53&lt;&gt;"",SUMPRODUCT((P$3:P$135&lt;&gt;"")*(G$3:G$135=G53)*(J$3:J$135&gt;J53)*(I$3:I$135="P"))+1,IF(O53&lt;&gt;"",SUMPRODUCT((O$3:O$135&lt;&gt;"")*(P$3:P$135="")*(G$3:G$135=G53)*(J$3:J$135&gt;J53)*(I$3:I$135="P"))+SUMPRODUCT((P$3:P$135&lt;&gt;"")*(G$3:G$135=G53)*(I$3:I$135="P"))+1,IF(N53&lt;&gt;"",SUMPRODUCT((N$3:N$135&lt;&gt;"")*(G$3:G$135=G53)*(J$3:J$135&gt;J53)*(I$3:I$135="P"))+1,IF(M53="P",SUMPRODUCT((O$3:O$135&lt;&gt;"")*(P$3:P$135="")*(G$3:G$135=G53)*(I$3:I$135="P"))+SUMPRODUCT((P$3:P$135&lt;&gt;"")*(G$3:G$135=G53)*(I$3:I$135="P"))+SUMPRODUCT((N$3:N$135&lt;&gt;"")*(G$3:G$135=G53)*(I$3:I$135="P"))+SUMPRODUCT((P$3:P$135="")*(O$3:O$135="")*(N$3:N$135="")*(M$3:M$135="P")*(G$3:G$135=G53)*(J$3:J$135&gt;J53)*(I$3:I$135="P"))+IF(H53="L5",SUMPRODUCT((P$3:P$135="")*(O$3:O$135="")*(N$3:N$135="")*(M$3:M$135="P")*(G$3:G$135=G53)*(J$3:J$135&lt;J53)*(H$3:H$135&lt;&gt;H53)*(I$3:I$135="P")),-1*SUMPRODUCT((P$3:P$135="")*(O$3:O$135="")*(N$3:N$135="")*(M$3:M$135="P")*(G$3:G$135=G53)*(J$3:J$135&gt;J53)*(H$3:H$135="L5")*(I$3:I$135="P")))+1,"")))))</f>
        <v/>
      </c>
      <c r="B53" s="1" t="str" cm="1">
        <f t="array" ref="B53">IF(P53&lt;&gt;"",SUMPRODUCT((P$3:P$135&lt;&gt;"")*(G$3:G$135=G53)*(J$3:J$135&gt;J53))+1,IF(O53&lt;&gt;"",SUMPRODUCT((O$3:O$135&lt;&gt;"")*(P$3:P$135="")*(G$3:G$135=G53)*(J$3:J$135&gt;J53))+SUMPRODUCT((P$3:P$135&lt;&gt;"")*(G$3:G$135=G53))+1,IF(N53&lt;&gt;"",SUMPRODUCT((N$3:N$135&lt;&gt;"")*(G$3:G$135=G53)*(J$3:J$135&gt;J53))+1,IF(M53="P",SUMPRODUCT((O$3:O$135&lt;&gt;"")*(P$3:P$135="")*(G$3:G$135=G53))+SUMPRODUCT((P$3:P$135&lt;&gt;"")*(G$3:G$135=G53))+SUMPRODUCT((N$3:N$135&lt;&gt;"")*(G$3:G$135=G53))+SUMPRODUCT((P$3:P$135="")*(O$3:O$135="")*(N$3:N$135="")*(M$3:M$135="P")*(G$3:G$135=G53)*(J$3:J$135&gt;J53))+IF(H53="L5",SUMPRODUCT((P$3:P$135="")*(O$3:O$135="")*(N$3:N$135="")*(M$3:M$135="P")*(G$3:G$135=G53)*(J$3:J$135&lt;J53)*(H$3:H$135&lt;&gt;H53)),-1*SUMPRODUCT((P$3:P$135="")*(O$3:O$135="")*(N$3:N$135="")*(M$3:M$135="P")*(G$3:G$135=G53)*(J$3:J$135&gt;J53)*(H$3:H$135="L5")))+1,""))))</f>
        <v/>
      </c>
      <c r="C53" s="36" t="s">
        <v>453</v>
      </c>
      <c r="D53" s="36" t="str">
        <f>IF(E53="","",VLOOKUP(E53,'Coaching Points'!A:B,2,0))</f>
        <v>BC</v>
      </c>
      <c r="E53" s="36" t="s">
        <v>46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82.960004447999992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44.48</v>
      </c>
      <c r="S53" s="4">
        <f>IF(G53="17-21",LARGE(CHOOSE({1,2,3,4,5,6},T53,V53,Y53,AA53,AC53,AF53),2),IF(R53=X53,MAX(Y53,AA53,AC53,AF53),IF(R53=AE53,MAX(AF53,T53,V53,Y53),0)))</f>
        <v>38.479999999999997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38.479999999999997</v>
      </c>
      <c r="AB53" s="40">
        <v>0</v>
      </c>
      <c r="AC53" s="34">
        <v>44.48</v>
      </c>
      <c r="AD53" s="40">
        <v>9.3000000000000007</v>
      </c>
      <c r="AE53" s="4">
        <f t="shared" si="9"/>
        <v>82.96</v>
      </c>
      <c r="AF53" s="34"/>
      <c r="AG53" s="37"/>
    </row>
    <row r="54" spans="1:33" x14ac:dyDescent="0.2">
      <c r="A54" s="1" t="str" cm="1">
        <f t="array" ref="A54">IF(I54="","",IF(P54&lt;&gt;"",SUMPRODUCT((P$3:P$135&lt;&gt;"")*(G$3:G$135=G54)*(J$3:J$135&gt;J54)*(I$3:I$135="P"))+1,IF(O54&lt;&gt;"",SUMPRODUCT((O$3:O$135&lt;&gt;"")*(P$3:P$135="")*(G$3:G$135=G54)*(J$3:J$135&gt;J54)*(I$3:I$135="P"))+SUMPRODUCT((P$3:P$135&lt;&gt;"")*(G$3:G$135=G54)*(I$3:I$135="P"))+1,IF(N54&lt;&gt;"",SUMPRODUCT((N$3:N$135&lt;&gt;"")*(G$3:G$135=G54)*(J$3:J$135&gt;J54)*(I$3:I$135="P"))+1,IF(M54="P",SUMPRODUCT((O$3:O$135&lt;&gt;"")*(P$3:P$135="")*(G$3:G$135=G54)*(I$3:I$135="P"))+SUMPRODUCT((P$3:P$135&lt;&gt;"")*(G$3:G$135=G54)*(I$3:I$135="P"))+SUMPRODUCT((N$3:N$135&lt;&gt;"")*(G$3:G$135=G54)*(I$3:I$135="P"))+SUMPRODUCT((P$3:P$135="")*(O$3:O$135="")*(N$3:N$135="")*(M$3:M$135="P")*(G$3:G$135=G54)*(J$3:J$135&gt;J54)*(I$3:I$135="P"))+IF(H54="L5",SUMPRODUCT((P$3:P$135="")*(O$3:O$135="")*(N$3:N$135="")*(M$3:M$135="P")*(G$3:G$135=G54)*(J$3:J$135&lt;J54)*(H$3:H$135&lt;&gt;H54)*(I$3:I$135="P")),-1*SUMPRODUCT((P$3:P$135="")*(O$3:O$135="")*(N$3:N$135="")*(M$3:M$135="P")*(G$3:G$135=G54)*(J$3:J$135&gt;J54)*(H$3:H$135="L5")*(I$3:I$135="P")))+1,"")))))</f>
        <v/>
      </c>
      <c r="B54" s="1" t="str" cm="1">
        <f t="array" ref="B54">IF(P54&lt;&gt;"",SUMPRODUCT((P$3:P$135&lt;&gt;"")*(G$3:G$135=G54)*(J$3:J$135&gt;J54))+1,IF(O54&lt;&gt;"",SUMPRODUCT((O$3:O$135&lt;&gt;"")*(P$3:P$135="")*(G$3:G$135=G54)*(J$3:J$135&gt;J54))+SUMPRODUCT((P$3:P$135&lt;&gt;"")*(G$3:G$135=G54))+1,IF(N54&lt;&gt;"",SUMPRODUCT((N$3:N$135&lt;&gt;"")*(G$3:G$135=G54)*(J$3:J$135&gt;J54))+1,IF(M54="P",SUMPRODUCT((O$3:O$135&lt;&gt;"")*(P$3:P$135="")*(G$3:G$135=G54))+SUMPRODUCT((P$3:P$135&lt;&gt;"")*(G$3:G$135=G54))+SUMPRODUCT((N$3:N$135&lt;&gt;"")*(G$3:G$135=G54))+SUMPRODUCT((P$3:P$135="")*(O$3:O$135="")*(N$3:N$135="")*(M$3:M$135="P")*(G$3:G$135=G54)*(J$3:J$135&gt;J54))+IF(H54="L5",SUMPRODUCT((P$3:P$135="")*(O$3:O$135="")*(N$3:N$135="")*(M$3:M$135="P")*(G$3:G$135=G54)*(J$3:J$135&lt;J54)*(H$3:H$135&lt;&gt;H54)),-1*SUMPRODUCT((P$3:P$135="")*(O$3:O$135="")*(N$3:N$135="")*(M$3:M$135="P")*(G$3:G$135=G54)*(J$3:J$135&gt;J54)*(H$3:H$135="L5")))+1,""))))</f>
        <v/>
      </c>
      <c r="C54" s="36" t="s">
        <v>454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82.870004444000003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44.44</v>
      </c>
      <c r="S54" s="4">
        <f>IF(G54="17-21",LARGE(CHOOSE({1,2,3,4,5,6},T54,V54,Y54,AA54,AC54,AF54),2),IF(R54=X54,MAX(Y54,AA54,AC54,AF54),IF(R54=AE54,MAX(AF54,T54,V54,Y54),0)))</f>
        <v>38.43</v>
      </c>
      <c r="T54" s="33"/>
      <c r="U54" s="40"/>
      <c r="V54" s="34"/>
      <c r="W54" s="40"/>
      <c r="X54" s="4">
        <f t="shared" si="8"/>
        <v>0</v>
      </c>
      <c r="Y54" s="34"/>
      <c r="Z54" s="40"/>
      <c r="AA54" s="33">
        <v>38.43</v>
      </c>
      <c r="AB54" s="40">
        <v>0</v>
      </c>
      <c r="AC54" s="34">
        <v>44.44</v>
      </c>
      <c r="AD54" s="40">
        <v>7.8</v>
      </c>
      <c r="AE54" s="4">
        <f t="shared" si="9"/>
        <v>82.87</v>
      </c>
      <c r="AF54" s="34"/>
      <c r="AG54" s="37"/>
    </row>
    <row r="55" spans="1:33" x14ac:dyDescent="0.2">
      <c r="A55" s="1" t="str" cm="1">
        <f t="array" ref="A55">IF(I55="","",IF(P55&lt;&gt;"",SUMPRODUCT((P$3:P$135&lt;&gt;"")*(G$3:G$135=G55)*(J$3:J$135&gt;J55)*(I$3:I$135="P"))+1,IF(O55&lt;&gt;"",SUMPRODUCT((O$3:O$135&lt;&gt;"")*(P$3:P$135="")*(G$3:G$135=G55)*(J$3:J$135&gt;J55)*(I$3:I$135="P"))+SUMPRODUCT((P$3:P$135&lt;&gt;"")*(G$3:G$135=G55)*(I$3:I$135="P"))+1,IF(N55&lt;&gt;"",SUMPRODUCT((N$3:N$135&lt;&gt;"")*(G$3:G$135=G55)*(J$3:J$135&gt;J55)*(I$3:I$135="P"))+1,IF(M55="P",SUMPRODUCT((O$3:O$135&lt;&gt;"")*(P$3:P$135="")*(G$3:G$135=G55)*(I$3:I$135="P"))+SUMPRODUCT((P$3:P$135&lt;&gt;"")*(G$3:G$135=G55)*(I$3:I$135="P"))+SUMPRODUCT((N$3:N$135&lt;&gt;"")*(G$3:G$135=G55)*(I$3:I$135="P"))+SUMPRODUCT((P$3:P$135="")*(O$3:O$135="")*(N$3:N$135="")*(M$3:M$135="P")*(G$3:G$135=G55)*(J$3:J$135&gt;J55)*(I$3:I$135="P"))+IF(H55="L5",SUMPRODUCT((P$3:P$135="")*(O$3:O$135="")*(N$3:N$135="")*(M$3:M$135="P")*(G$3:G$135=G55)*(J$3:J$135&lt;J55)*(H$3:H$135&lt;&gt;H55)*(I$3:I$135="P")),-1*SUMPRODUCT((P$3:P$135="")*(O$3:O$135="")*(N$3:N$135="")*(M$3:M$135="P")*(G$3:G$135=G55)*(J$3:J$135&gt;J55)*(H$3:H$135="L5")*(I$3:I$135="P")))+1,"")))))</f>
        <v/>
      </c>
      <c r="B55" s="1" t="str" cm="1">
        <f t="array" ref="B55">IF(P55&lt;&gt;"",SUMPRODUCT((P$3:P$135&lt;&gt;"")*(G$3:G$135=G55)*(J$3:J$135&gt;J55))+1,IF(O55&lt;&gt;"",SUMPRODUCT((O$3:O$135&lt;&gt;"")*(P$3:P$135="")*(G$3:G$135=G55)*(J$3:J$135&gt;J55))+SUMPRODUCT((P$3:P$135&lt;&gt;"")*(G$3:G$135=G55))+1,IF(N55&lt;&gt;"",SUMPRODUCT((N$3:N$135&lt;&gt;"")*(G$3:G$135=G55)*(J$3:J$135&gt;J55))+1,IF(M55="P",SUMPRODUCT((O$3:O$135&lt;&gt;"")*(P$3:P$135="")*(G$3:G$135=G55))+SUMPRODUCT((P$3:P$135&lt;&gt;"")*(G$3:G$135=G55))+SUMPRODUCT((N$3:N$135&lt;&gt;"")*(G$3:G$135=G55))+SUMPRODUCT((P$3:P$135="")*(O$3:O$135="")*(N$3:N$135="")*(M$3:M$135="P")*(G$3:G$135=G55)*(J$3:J$135&gt;J55))+IF(H55="L5",SUMPRODUCT((P$3:P$135="")*(O$3:O$135="")*(N$3:N$135="")*(M$3:M$135="P")*(G$3:G$135=G55)*(J$3:J$135&lt;J55)*(H$3:H$135&lt;&gt;H55)),-1*SUMPRODUCT((P$3:P$135="")*(O$3:O$135="")*(N$3:N$135="")*(M$3:M$135="P")*(G$3:G$135=G55)*(J$3:J$135&gt;J55)*(H$3:H$135="L5")))+1,""))))</f>
        <v/>
      </c>
      <c r="C55" s="36" t="s">
        <v>142</v>
      </c>
      <c r="D55" s="36" t="str">
        <f>IF(E55="","",VLOOKUP(E55,'Coaching Points'!A:B,2,0))</f>
        <v>QC</v>
      </c>
      <c r="E55" s="36" t="s">
        <v>291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82.510003698999995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43.82</v>
      </c>
      <c r="S55" s="4">
        <f>IF(G55="17-21",LARGE(CHOOSE({1,2,3,4,5,6},T55,V55,Y55,AA55,AC55,AF55),2),IF(R55=X55,MAX(Y55,AA55,AC55,AF55),IF(R55=AE55,MAX(AF55,T55,V55,Y55),0)))</f>
        <v>38.69</v>
      </c>
      <c r="T55" s="33">
        <v>38.69</v>
      </c>
      <c r="U55" s="40">
        <v>0</v>
      </c>
      <c r="V55" s="34">
        <v>43.82</v>
      </c>
      <c r="W55" s="40">
        <v>7.2</v>
      </c>
      <c r="X55" s="4">
        <f t="shared" si="8"/>
        <v>82.509999999999991</v>
      </c>
      <c r="Y55" s="34"/>
      <c r="Z55" s="40"/>
      <c r="AA55" s="33">
        <v>36.99</v>
      </c>
      <c r="AB55" s="40">
        <v>0</v>
      </c>
      <c r="AC55" s="34">
        <v>26.62</v>
      </c>
      <c r="AD55" s="40">
        <v>5.2</v>
      </c>
      <c r="AE55" s="4">
        <f t="shared" si="9"/>
        <v>63.61</v>
      </c>
      <c r="AF55" s="34"/>
      <c r="AG55" s="37"/>
    </row>
    <row r="56" spans="1:33" x14ac:dyDescent="0.2">
      <c r="A56" s="1" t="str" cm="1">
        <f t="array" ref="A56">IF(I56="","",IF(P56&lt;&gt;"",SUMPRODUCT((P$3:P$135&lt;&gt;"")*(G$3:G$135=G56)*(J$3:J$135&gt;J56)*(I$3:I$135="P"))+1,IF(O56&lt;&gt;"",SUMPRODUCT((O$3:O$135&lt;&gt;"")*(P$3:P$135="")*(G$3:G$135=G56)*(J$3:J$135&gt;J56)*(I$3:I$135="P"))+SUMPRODUCT((P$3:P$135&lt;&gt;"")*(G$3:G$135=G56)*(I$3:I$135="P"))+1,IF(N56&lt;&gt;"",SUMPRODUCT((N$3:N$135&lt;&gt;"")*(G$3:G$135=G56)*(J$3:J$135&gt;J56)*(I$3:I$135="P"))+1,IF(M56="P",SUMPRODUCT((O$3:O$135&lt;&gt;"")*(P$3:P$135="")*(G$3:G$135=G56)*(I$3:I$135="P"))+SUMPRODUCT((P$3:P$135&lt;&gt;"")*(G$3:G$135=G56)*(I$3:I$135="P"))+SUMPRODUCT((N$3:N$135&lt;&gt;"")*(G$3:G$135=G56)*(I$3:I$135="P"))+SUMPRODUCT((P$3:P$135="")*(O$3:O$135="")*(N$3:N$135="")*(M$3:M$135="P")*(G$3:G$135=G56)*(J$3:J$135&gt;J56)*(I$3:I$135="P"))+IF(H56="L5",SUMPRODUCT((P$3:P$135="")*(O$3:O$135="")*(N$3:N$135="")*(M$3:M$135="P")*(G$3:G$135=G56)*(J$3:J$135&lt;J56)*(H$3:H$135&lt;&gt;H56)*(I$3:I$135="P")),-1*SUMPRODUCT((P$3:P$135="")*(O$3:O$135="")*(N$3:N$135="")*(M$3:M$135="P")*(G$3:G$135=G56)*(J$3:J$135&gt;J56)*(H$3:H$135="L5")*(I$3:I$135="P")))+1,"")))))</f>
        <v/>
      </c>
      <c r="B56" s="1" t="str" cm="1">
        <f t="array" ref="B56">IF(P56&lt;&gt;"",SUMPRODUCT((P$3:P$135&lt;&gt;"")*(G$3:G$135=G56)*(J$3:J$135&gt;J56))+1,IF(O56&lt;&gt;"",SUMPRODUCT((O$3:O$135&lt;&gt;"")*(P$3:P$135="")*(G$3:G$135=G56)*(J$3:J$135&gt;J56))+SUMPRODUCT((P$3:P$135&lt;&gt;"")*(G$3:G$135=G56))+1,IF(N56&lt;&gt;"",SUMPRODUCT((N$3:N$135&lt;&gt;"")*(G$3:G$135=G56)*(J$3:J$135&gt;J56))+1,IF(M56="P",SUMPRODUCT((O$3:O$135&lt;&gt;"")*(P$3:P$135="")*(G$3:G$135=G56))+SUMPRODUCT((P$3:P$135&lt;&gt;"")*(G$3:G$135=G56))+SUMPRODUCT((N$3:N$135&lt;&gt;"")*(G$3:G$135=G56))+SUMPRODUCT((P$3:P$135="")*(O$3:O$135="")*(N$3:N$135="")*(M$3:M$135="P")*(G$3:G$135=G56)*(J$3:J$135&gt;J56))+IF(H56="L5",SUMPRODUCT((P$3:P$135="")*(O$3:O$135="")*(N$3:N$135="")*(M$3:M$135="P")*(G$3:G$135=G56)*(J$3:J$135&lt;J56)*(H$3:H$135&lt;&gt;H56)),-1*SUMPRODUCT((P$3:P$135="")*(O$3:O$135="")*(N$3:N$135="")*(M$3:M$135="P")*(G$3:G$135=G56)*(J$3:J$135&gt;J56)*(H$3:H$135="L5")))+1,""))))</f>
        <v/>
      </c>
      <c r="C56" s="36" t="s">
        <v>455</v>
      </c>
      <c r="D56" s="36" t="str">
        <f>IF(E56="","",VLOOKUP(E56,'Coaching Points'!A:B,2,0))</f>
        <v>BC</v>
      </c>
      <c r="E56" s="36" t="s">
        <v>37</v>
      </c>
      <c r="F56" s="35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82.40000443000001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44.3</v>
      </c>
      <c r="S56" s="4">
        <f>IF(G56="17-21",LARGE(CHOOSE({1,2,3,4,5,6},T56,V56,Y56,AA56,AC56,AF56),2),IF(R56=X56,MAX(Y56,AA56,AC56,AF56),IF(R56=AE56,MAX(AF56,T56,V56,Y56),0)))</f>
        <v>38.1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38.1</v>
      </c>
      <c r="AB56" s="40">
        <v>0</v>
      </c>
      <c r="AC56" s="34">
        <v>44.3</v>
      </c>
      <c r="AD56" s="40">
        <v>7.8</v>
      </c>
      <c r="AE56" s="4">
        <f t="shared" si="9"/>
        <v>82.4</v>
      </c>
      <c r="AF56" s="34"/>
      <c r="AG56" s="37"/>
    </row>
    <row r="57" spans="1:33" x14ac:dyDescent="0.2">
      <c r="A57" s="1" t="str" cm="1">
        <f t="array" ref="A57">IF(I57="","",IF(P57&lt;&gt;"",SUMPRODUCT((P$3:P$135&lt;&gt;"")*(G$3:G$135=G57)*(J$3:J$135&gt;J57)*(I$3:I$135="P"))+1,IF(O57&lt;&gt;"",SUMPRODUCT((O$3:O$135&lt;&gt;"")*(P$3:P$135="")*(G$3:G$135=G57)*(J$3:J$135&gt;J57)*(I$3:I$135="P"))+SUMPRODUCT((P$3:P$135&lt;&gt;"")*(G$3:G$135=G57)*(I$3:I$135="P"))+1,IF(N57&lt;&gt;"",SUMPRODUCT((N$3:N$135&lt;&gt;"")*(G$3:G$135=G57)*(J$3:J$135&gt;J57)*(I$3:I$135="P"))+1,IF(M57="P",SUMPRODUCT((O$3:O$135&lt;&gt;"")*(P$3:P$135="")*(G$3:G$135=G57)*(I$3:I$135="P"))+SUMPRODUCT((P$3:P$135&lt;&gt;"")*(G$3:G$135=G57)*(I$3:I$135="P"))+SUMPRODUCT((N$3:N$135&lt;&gt;"")*(G$3:G$135=G57)*(I$3:I$135="P"))+SUMPRODUCT((P$3:P$135="")*(O$3:O$135="")*(N$3:N$135="")*(M$3:M$135="P")*(G$3:G$135=G57)*(J$3:J$135&gt;J57)*(I$3:I$135="P"))+IF(H57="L5",SUMPRODUCT((P$3:P$135="")*(O$3:O$135="")*(N$3:N$135="")*(M$3:M$135="P")*(G$3:G$135=G57)*(J$3:J$135&lt;J57)*(H$3:H$135&lt;&gt;H57)*(I$3:I$135="P")),-1*SUMPRODUCT((P$3:P$135="")*(O$3:O$135="")*(N$3:N$135="")*(M$3:M$135="P")*(G$3:G$135=G57)*(J$3:J$135&gt;J57)*(H$3:H$135="L5")*(I$3:I$135="P")))+1,"")))))</f>
        <v/>
      </c>
      <c r="B57" s="1" t="str" cm="1">
        <f t="array" ref="B57">IF(P57&lt;&gt;"",SUMPRODUCT((P$3:P$135&lt;&gt;"")*(G$3:G$135=G57)*(J$3:J$135&gt;J57))+1,IF(O57&lt;&gt;"",SUMPRODUCT((O$3:O$135&lt;&gt;"")*(P$3:P$135="")*(G$3:G$135=G57)*(J$3:J$135&gt;J57))+SUMPRODUCT((P$3:P$135&lt;&gt;"")*(G$3:G$135=G57))+1,IF(N57&lt;&gt;"",SUMPRODUCT((N$3:N$135&lt;&gt;"")*(G$3:G$135=G57)*(J$3:J$135&gt;J57))+1,IF(M57="P",SUMPRODUCT((O$3:O$135&lt;&gt;"")*(P$3:P$135="")*(G$3:G$135=G57))+SUMPRODUCT((P$3:P$135&lt;&gt;"")*(G$3:G$135=G57))+SUMPRODUCT((N$3:N$135&lt;&gt;"")*(G$3:G$135=G57))+SUMPRODUCT((P$3:P$135="")*(O$3:O$135="")*(N$3:N$135="")*(M$3:M$135="P")*(G$3:G$135=G57)*(J$3:J$135&gt;J57))+IF(H57="L5",SUMPRODUCT((P$3:P$135="")*(O$3:O$135="")*(N$3:N$135="")*(M$3:M$135="P")*(G$3:G$135=G57)*(J$3:J$135&lt;J57)*(H$3:H$135&lt;&gt;H57)),-1*SUMPRODUCT((P$3:P$135="")*(O$3:O$135="")*(N$3:N$135="")*(M$3:M$135="P")*(G$3:G$135=G57)*(J$3:J$135&gt;J57)*(H$3:H$135="L5")))+1,""))))</f>
        <v/>
      </c>
      <c r="C57" s="36" t="s">
        <v>124</v>
      </c>
      <c r="D57" s="36" t="str">
        <f>IF(E57="","",VLOOKUP(E57,'Coaching Points'!A:B,2,0))</f>
        <v>ON</v>
      </c>
      <c r="E57" s="36" t="s">
        <v>73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82.380003880999993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43.57</v>
      </c>
      <c r="S57" s="4">
        <f>IF(G57="17-21",LARGE(CHOOSE({1,2,3,4,5,6},T57,V57,Y57,AA57,AC57,AF57),2),IF(R57=X57,MAX(Y57,AA57,AC57,AF57),IF(R57=AE57,MAX(AF57,T57,V57,Y57),0)))</f>
        <v>38.81</v>
      </c>
      <c r="T57" s="33">
        <v>38.29</v>
      </c>
      <c r="U57" s="40">
        <v>0</v>
      </c>
      <c r="V57" s="34">
        <v>43.57</v>
      </c>
      <c r="W57" s="40">
        <v>7.6</v>
      </c>
      <c r="X57" s="4">
        <f t="shared" si="8"/>
        <v>81.86</v>
      </c>
      <c r="Y57" s="34"/>
      <c r="Z57" s="40"/>
      <c r="AA57" s="33">
        <v>38.81</v>
      </c>
      <c r="AB57" s="40">
        <v>0</v>
      </c>
      <c r="AC57" s="34">
        <v>18.41</v>
      </c>
      <c r="AD57" s="40">
        <v>4</v>
      </c>
      <c r="AE57" s="4">
        <f t="shared" si="9"/>
        <v>57.22</v>
      </c>
      <c r="AF57" s="34"/>
      <c r="AG57" s="37"/>
    </row>
    <row r="58" spans="1:33" x14ac:dyDescent="0.2">
      <c r="A58" s="1" t="str" cm="1">
        <f t="array" ref="A58">IF(I58="","",IF(P58&lt;&gt;"",SUMPRODUCT((P$3:P$135&lt;&gt;"")*(G$3:G$135=G58)*(J$3:J$135&gt;J58)*(I$3:I$135="P"))+1,IF(O58&lt;&gt;"",SUMPRODUCT((O$3:O$135&lt;&gt;"")*(P$3:P$135="")*(G$3:G$135=G58)*(J$3:J$135&gt;J58)*(I$3:I$135="P"))+SUMPRODUCT((P$3:P$135&lt;&gt;"")*(G$3:G$135=G58)*(I$3:I$135="P"))+1,IF(N58&lt;&gt;"",SUMPRODUCT((N$3:N$135&lt;&gt;"")*(G$3:G$135=G58)*(J$3:J$135&gt;J58)*(I$3:I$135="P"))+1,IF(M58="P",SUMPRODUCT((O$3:O$135&lt;&gt;"")*(P$3:P$135="")*(G$3:G$135=G58)*(I$3:I$135="P"))+SUMPRODUCT((P$3:P$135&lt;&gt;"")*(G$3:G$135=G58)*(I$3:I$135="P"))+SUMPRODUCT((N$3:N$135&lt;&gt;"")*(G$3:G$135=G58)*(I$3:I$135="P"))+SUMPRODUCT((P$3:P$135="")*(O$3:O$135="")*(N$3:N$135="")*(M$3:M$135="P")*(G$3:G$135=G58)*(J$3:J$135&gt;J58)*(I$3:I$135="P"))+IF(H58="L5",SUMPRODUCT((P$3:P$135="")*(O$3:O$135="")*(N$3:N$135="")*(M$3:M$135="P")*(G$3:G$135=G58)*(J$3:J$135&lt;J58)*(H$3:H$135&lt;&gt;H58)*(I$3:I$135="P")),-1*SUMPRODUCT((P$3:P$135="")*(O$3:O$135="")*(N$3:N$135="")*(M$3:M$135="P")*(G$3:G$135=G58)*(J$3:J$135&gt;J58)*(H$3:H$135="L5")*(I$3:I$135="P")))+1,"")))))</f>
        <v/>
      </c>
      <c r="B58" s="1" t="str" cm="1">
        <f t="array" ref="B58">IF(P58&lt;&gt;"",SUMPRODUCT((P$3:P$135&lt;&gt;"")*(G$3:G$135=G58)*(J$3:J$135&gt;J58))+1,IF(O58&lt;&gt;"",SUMPRODUCT((O$3:O$135&lt;&gt;"")*(P$3:P$135="")*(G$3:G$135=G58)*(J$3:J$135&gt;J58))+SUMPRODUCT((P$3:P$135&lt;&gt;"")*(G$3:G$135=G58))+1,IF(N58&lt;&gt;"",SUMPRODUCT((N$3:N$135&lt;&gt;"")*(G$3:G$135=G58)*(J$3:J$135&gt;J58))+1,IF(M58="P",SUMPRODUCT((O$3:O$135&lt;&gt;"")*(P$3:P$135="")*(G$3:G$135=G58))+SUMPRODUCT((P$3:P$135&lt;&gt;"")*(G$3:G$135=G58))+SUMPRODUCT((N$3:N$135&lt;&gt;"")*(G$3:G$135=G58))+SUMPRODUCT((P$3:P$135="")*(O$3:O$135="")*(N$3:N$135="")*(M$3:M$135="P")*(G$3:G$135=G58)*(J$3:J$135&gt;J58))+IF(H58="L5",SUMPRODUCT((P$3:P$135="")*(O$3:O$135="")*(N$3:N$135="")*(M$3:M$135="P")*(G$3:G$135=G58)*(J$3:J$135&lt;J58)*(H$3:H$135&lt;&gt;H58)),-1*SUMPRODUCT((P$3:P$135="")*(O$3:O$135="")*(N$3:N$135="")*(M$3:M$135="P")*(G$3:G$135=G58)*(J$3:J$135&gt;J58)*(H$3:H$135="L5")))+1,""))))</f>
        <v/>
      </c>
      <c r="C58" s="36" t="s">
        <v>248</v>
      </c>
      <c r="D58" s="36" t="str">
        <f>IF(E58="","",VLOOKUP(E58,'Coaching Points'!A:B,2,0))</f>
        <v>SK</v>
      </c>
      <c r="E58" s="36" t="s">
        <v>45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81.600004099999992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41</v>
      </c>
      <c r="S58" s="4">
        <f>IF(G58="17-21",LARGE(CHOOSE({1,2,3,4,5,6},T58,V58,Y58,AA58,AC58,AF58),2),IF(R58=X58,MAX(Y58,AA58,AC58,AF58),IF(R58=AE58,MAX(AF58,T58,V58,Y58),0)))</f>
        <v>40.6</v>
      </c>
      <c r="T58" s="33">
        <v>37.229999999999997</v>
      </c>
      <c r="U58" s="40">
        <v>0</v>
      </c>
      <c r="V58" s="34">
        <v>40.6</v>
      </c>
      <c r="W58" s="40">
        <v>6.5</v>
      </c>
      <c r="X58" s="4">
        <f t="shared" si="8"/>
        <v>77.83</v>
      </c>
      <c r="Y58" s="34"/>
      <c r="Z58" s="40"/>
      <c r="AA58" s="33">
        <v>36.79</v>
      </c>
      <c r="AB58" s="40">
        <v>0</v>
      </c>
      <c r="AC58" s="34">
        <v>41</v>
      </c>
      <c r="AD58" s="40">
        <v>7.7</v>
      </c>
      <c r="AE58" s="4">
        <f t="shared" si="9"/>
        <v>77.789999999999992</v>
      </c>
      <c r="AF58" s="34"/>
      <c r="AG58" s="37"/>
    </row>
    <row r="59" spans="1:33" x14ac:dyDescent="0.2">
      <c r="A59" s="1" t="str" cm="1">
        <f t="array" ref="A59">IF(I59="","",IF(P59&lt;&gt;"",SUMPRODUCT((P$3:P$135&lt;&gt;"")*(G$3:G$135=G59)*(J$3:J$135&gt;J59)*(I$3:I$135="P"))+1,IF(O59&lt;&gt;"",SUMPRODUCT((O$3:O$135&lt;&gt;"")*(P$3:P$135="")*(G$3:G$135=G59)*(J$3:J$135&gt;J59)*(I$3:I$135="P"))+SUMPRODUCT((P$3:P$135&lt;&gt;"")*(G$3:G$135=G59)*(I$3:I$135="P"))+1,IF(N59&lt;&gt;"",SUMPRODUCT((N$3:N$135&lt;&gt;"")*(G$3:G$135=G59)*(J$3:J$135&gt;J59)*(I$3:I$135="P"))+1,IF(M59="P",SUMPRODUCT((O$3:O$135&lt;&gt;"")*(P$3:P$135="")*(G$3:G$135=G59)*(I$3:I$135="P"))+SUMPRODUCT((P$3:P$135&lt;&gt;"")*(G$3:G$135=G59)*(I$3:I$135="P"))+SUMPRODUCT((N$3:N$135&lt;&gt;"")*(G$3:G$135=G59)*(I$3:I$135="P"))+SUMPRODUCT((P$3:P$135="")*(O$3:O$135="")*(N$3:N$135="")*(M$3:M$135="P")*(G$3:G$135=G59)*(J$3:J$135&gt;J59)*(I$3:I$135="P"))+IF(H59="L5",SUMPRODUCT((P$3:P$135="")*(O$3:O$135="")*(N$3:N$135="")*(M$3:M$135="P")*(G$3:G$135=G59)*(J$3:J$135&lt;J59)*(H$3:H$135&lt;&gt;H59)*(I$3:I$135="P")),-1*SUMPRODUCT((P$3:P$135="")*(O$3:O$135="")*(N$3:N$135="")*(M$3:M$135="P")*(G$3:G$135=G59)*(J$3:J$135&gt;J59)*(H$3:H$135="L5")*(I$3:I$135="P")))+1,"")))))</f>
        <v/>
      </c>
      <c r="B59" s="1" t="str" cm="1">
        <f t="array" ref="B59">IF(P59&lt;&gt;"",SUMPRODUCT((P$3:P$135&lt;&gt;"")*(G$3:G$135=G59)*(J$3:J$135&gt;J59))+1,IF(O59&lt;&gt;"",SUMPRODUCT((O$3:O$135&lt;&gt;"")*(P$3:P$135="")*(G$3:G$135=G59)*(J$3:J$135&gt;J59))+SUMPRODUCT((P$3:P$135&lt;&gt;"")*(G$3:G$135=G59))+1,IF(N59&lt;&gt;"",SUMPRODUCT((N$3:N$135&lt;&gt;"")*(G$3:G$135=G59)*(J$3:J$135&gt;J59))+1,IF(M59="P",SUMPRODUCT((O$3:O$135&lt;&gt;"")*(P$3:P$135="")*(G$3:G$135=G59))+SUMPRODUCT((P$3:P$135&lt;&gt;"")*(G$3:G$135=G59))+SUMPRODUCT((N$3:N$135&lt;&gt;"")*(G$3:G$135=G59))+SUMPRODUCT((P$3:P$135="")*(O$3:O$135="")*(N$3:N$135="")*(M$3:M$135="P")*(G$3:G$135=G59)*(J$3:J$135&gt;J59))+IF(H59="L5",SUMPRODUCT((P$3:P$135="")*(O$3:O$135="")*(N$3:N$135="")*(M$3:M$135="P")*(G$3:G$135=G59)*(J$3:J$135&lt;J59)*(H$3:H$135&lt;&gt;H59)),-1*SUMPRODUCT((P$3:P$135="")*(O$3:O$135="")*(N$3:N$135="")*(M$3:M$135="P")*(G$3:G$135=G59)*(J$3:J$135&gt;J59)*(H$3:H$135="L5")))+1,""))))</f>
        <v/>
      </c>
      <c r="C59" s="36" t="s">
        <v>539</v>
      </c>
      <c r="D59" s="36" t="str">
        <f>IF(E59="","",VLOOKUP(E59,'Coaching Points'!A:B,2,0))</f>
        <v>ON</v>
      </c>
      <c r="E59" s="36" t="s">
        <v>73</v>
      </c>
      <c r="F59" s="35">
        <v>2005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81.350104399000003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43.99</v>
      </c>
      <c r="S59" s="4">
        <f>IF(G59="17-21",LARGE(CHOOSE({1,2,3,4,5,6},T59,V59,Y59,AA59,AC59,AF59),2),IF(R59=X59,MAX(Y59,AA59,AC59,AF59),IF(R59=AE59,MAX(AF59,T59,V59,Y59),0)))</f>
        <v>37.36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37.36</v>
      </c>
      <c r="AB59" s="40">
        <v>6.9</v>
      </c>
      <c r="AC59" s="34">
        <v>43.99</v>
      </c>
      <c r="AD59" s="40">
        <v>9.1</v>
      </c>
      <c r="AE59" s="4">
        <f t="shared" si="9"/>
        <v>81.349999999999994</v>
      </c>
      <c r="AF59" s="34"/>
      <c r="AG59" s="37"/>
    </row>
    <row r="60" spans="1:33" x14ac:dyDescent="0.2">
      <c r="A60" s="1" t="str" cm="1">
        <f t="array" ref="A60">IF(I60="","",IF(P60&lt;&gt;"",SUMPRODUCT((P$3:P$135&lt;&gt;"")*(G$3:G$135=G60)*(J$3:J$135&gt;J60)*(I$3:I$135="P"))+1,IF(O60&lt;&gt;"",SUMPRODUCT((O$3:O$135&lt;&gt;"")*(P$3:P$135="")*(G$3:G$135=G60)*(J$3:J$135&gt;J60)*(I$3:I$135="P"))+SUMPRODUCT((P$3:P$135&lt;&gt;"")*(G$3:G$135=G60)*(I$3:I$135="P"))+1,IF(N60&lt;&gt;"",SUMPRODUCT((N$3:N$135&lt;&gt;"")*(G$3:G$135=G60)*(J$3:J$135&gt;J60)*(I$3:I$135="P"))+1,IF(M60="P",SUMPRODUCT((O$3:O$135&lt;&gt;"")*(P$3:P$135="")*(G$3:G$135=G60)*(I$3:I$135="P"))+SUMPRODUCT((P$3:P$135&lt;&gt;"")*(G$3:G$135=G60)*(I$3:I$135="P"))+SUMPRODUCT((N$3:N$135&lt;&gt;"")*(G$3:G$135=G60)*(I$3:I$135="P"))+SUMPRODUCT((P$3:P$135="")*(O$3:O$135="")*(N$3:N$135="")*(M$3:M$135="P")*(G$3:G$135=G60)*(J$3:J$135&gt;J60)*(I$3:I$135="P"))+IF(H60="L5",SUMPRODUCT((P$3:P$135="")*(O$3:O$135="")*(N$3:N$135="")*(M$3:M$135="P")*(G$3:G$135=G60)*(J$3:J$135&lt;J60)*(H$3:H$135&lt;&gt;H60)*(I$3:I$135="P")),-1*SUMPRODUCT((P$3:P$135="")*(O$3:O$135="")*(N$3:N$135="")*(M$3:M$135="P")*(G$3:G$135=G60)*(J$3:J$135&gt;J60)*(H$3:H$135="L5")*(I$3:I$135="P")))+1,"")))))</f>
        <v/>
      </c>
      <c r="B60" s="1" t="str" cm="1">
        <f t="array" ref="B60">IF(P60&lt;&gt;"",SUMPRODUCT((P$3:P$135&lt;&gt;"")*(G$3:G$135=G60)*(J$3:J$135&gt;J60))+1,IF(O60&lt;&gt;"",SUMPRODUCT((O$3:O$135&lt;&gt;"")*(P$3:P$135="")*(G$3:G$135=G60)*(J$3:J$135&gt;J60))+SUMPRODUCT((P$3:P$135&lt;&gt;"")*(G$3:G$135=G60))+1,IF(N60&lt;&gt;"",SUMPRODUCT((N$3:N$135&lt;&gt;"")*(G$3:G$135=G60)*(J$3:J$135&gt;J60))+1,IF(M60="P",SUMPRODUCT((O$3:O$135&lt;&gt;"")*(P$3:P$135="")*(G$3:G$135=G60))+SUMPRODUCT((P$3:P$135&lt;&gt;"")*(G$3:G$135=G60))+SUMPRODUCT((N$3:N$135&lt;&gt;"")*(G$3:G$135=G60))+SUMPRODUCT((P$3:P$135="")*(O$3:O$135="")*(N$3:N$135="")*(M$3:M$135="P")*(G$3:G$135=G60)*(J$3:J$135&gt;J60))+IF(H60="L5",SUMPRODUCT((P$3:P$135="")*(O$3:O$135="")*(N$3:N$135="")*(M$3:M$135="P")*(G$3:G$135=G60)*(J$3:J$135&lt;J60)*(H$3:H$135&lt;&gt;H60)),-1*SUMPRODUCT((P$3:P$135="")*(O$3:O$135="")*(N$3:N$135="")*(M$3:M$135="P")*(G$3:G$135=G60)*(J$3:J$135&gt;J60)*(H$3:H$135="L5")))+1,""))))</f>
        <v/>
      </c>
      <c r="C60" s="36" t="s">
        <v>353</v>
      </c>
      <c r="D60" s="36" t="str">
        <f>IF(E60="","",VLOOKUP(E60,'Coaching Points'!A:B,2,0))</f>
        <v>BC</v>
      </c>
      <c r="E60" s="36" t="s">
        <v>41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81.250004442999995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44.43</v>
      </c>
      <c r="S60" s="4">
        <f>IF(G60="17-21",LARGE(CHOOSE({1,2,3,4,5,6},T60,V60,Y60,AA60,AC60,AF60),2),IF(R60=X60,MAX(Y60,AA60,AC60,AF60),IF(R60=AE60,MAX(AF60,T60,V60,Y60),0)))</f>
        <v>36.82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36.82</v>
      </c>
      <c r="AB60" s="40">
        <v>0</v>
      </c>
      <c r="AC60" s="34">
        <v>44.43</v>
      </c>
      <c r="AD60" s="40">
        <v>8.1</v>
      </c>
      <c r="AE60" s="4">
        <f t="shared" si="9"/>
        <v>81.25</v>
      </c>
      <c r="AF60" s="34"/>
      <c r="AG60" s="37"/>
    </row>
    <row r="61" spans="1:33" x14ac:dyDescent="0.2">
      <c r="A61" s="1" t="str" cm="1">
        <f t="array" ref="A61">IF(I61="","",IF(P61&lt;&gt;"",SUMPRODUCT((P$3:P$135&lt;&gt;"")*(G$3:G$135=G61)*(J$3:J$135&gt;J61)*(I$3:I$135="P"))+1,IF(O61&lt;&gt;"",SUMPRODUCT((O$3:O$135&lt;&gt;"")*(P$3:P$135="")*(G$3:G$135=G61)*(J$3:J$135&gt;J61)*(I$3:I$135="P"))+SUMPRODUCT((P$3:P$135&lt;&gt;"")*(G$3:G$135=G61)*(I$3:I$135="P"))+1,IF(N61&lt;&gt;"",SUMPRODUCT((N$3:N$135&lt;&gt;"")*(G$3:G$135=G61)*(J$3:J$135&gt;J61)*(I$3:I$135="P"))+1,IF(M61="P",SUMPRODUCT((O$3:O$135&lt;&gt;"")*(P$3:P$135="")*(G$3:G$135=G61)*(I$3:I$135="P"))+SUMPRODUCT((P$3:P$135&lt;&gt;"")*(G$3:G$135=G61)*(I$3:I$135="P"))+SUMPRODUCT((N$3:N$135&lt;&gt;"")*(G$3:G$135=G61)*(I$3:I$135="P"))+SUMPRODUCT((P$3:P$135="")*(O$3:O$135="")*(N$3:N$135="")*(M$3:M$135="P")*(G$3:G$135=G61)*(J$3:J$135&gt;J61)*(I$3:I$135="P"))+IF(H61="L5",SUMPRODUCT((P$3:P$135="")*(O$3:O$135="")*(N$3:N$135="")*(M$3:M$135="P")*(G$3:G$135=G61)*(J$3:J$135&lt;J61)*(H$3:H$135&lt;&gt;H61)*(I$3:I$135="P")),-1*SUMPRODUCT((P$3:P$135="")*(O$3:O$135="")*(N$3:N$135="")*(M$3:M$135="P")*(G$3:G$135=G61)*(J$3:J$135&gt;J61)*(H$3:H$135="L5")*(I$3:I$135="P")))+1,"")))))</f>
        <v/>
      </c>
      <c r="B61" s="1" t="str" cm="1">
        <f t="array" ref="B61">IF(P61&lt;&gt;"",SUMPRODUCT((P$3:P$135&lt;&gt;"")*(G$3:G$135=G61)*(J$3:J$135&gt;J61))+1,IF(O61&lt;&gt;"",SUMPRODUCT((O$3:O$135&lt;&gt;"")*(P$3:P$135="")*(G$3:G$135=G61)*(J$3:J$135&gt;J61))+SUMPRODUCT((P$3:P$135&lt;&gt;"")*(G$3:G$135=G61))+1,IF(N61&lt;&gt;"",SUMPRODUCT((N$3:N$135&lt;&gt;"")*(G$3:G$135=G61)*(J$3:J$135&gt;J61))+1,IF(M61="P",SUMPRODUCT((O$3:O$135&lt;&gt;"")*(P$3:P$135="")*(G$3:G$135=G61))+SUMPRODUCT((P$3:P$135&lt;&gt;"")*(G$3:G$135=G61))+SUMPRODUCT((N$3:N$135&lt;&gt;"")*(G$3:G$135=G61))+SUMPRODUCT((P$3:P$135="")*(O$3:O$135="")*(N$3:N$135="")*(M$3:M$135="P")*(G$3:G$135=G61)*(J$3:J$135&gt;J61))+IF(H61="L5",SUMPRODUCT((P$3:P$135="")*(O$3:O$135="")*(N$3:N$135="")*(M$3:M$135="P")*(G$3:G$135=G61)*(J$3:J$135&lt;J61)*(H$3:H$135&lt;&gt;H61)),-1*SUMPRODUCT((P$3:P$135="")*(O$3:O$135="")*(N$3:N$135="")*(M$3:M$135="P")*(G$3:G$135=G61)*(J$3:J$135&gt;J61)*(H$3:H$135="L5")))+1,""))))</f>
        <v/>
      </c>
      <c r="C61" s="36" t="s">
        <v>456</v>
      </c>
      <c r="D61" s="36" t="str">
        <f>IF(E61="","",VLOOKUP(E61,'Coaching Points'!A:B,2,0))</f>
        <v>AB</v>
      </c>
      <c r="E61" s="36" t="s">
        <v>64</v>
      </c>
      <c r="F61" s="35">
        <v>2004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80.580004306000006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43.06</v>
      </c>
      <c r="S61" s="4">
        <f>IF(G61="17-21",LARGE(CHOOSE({1,2,3,4,5,6},T61,V61,Y61,AA61,AC61,AF61),2),IF(R61=X61,MAX(Y61,AA61,AC61,AF61),IF(R61=AE61,MAX(AF61,T61,V61,Y61),0)))</f>
        <v>37.520000000000003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37.520000000000003</v>
      </c>
      <c r="AB61" s="40">
        <v>0</v>
      </c>
      <c r="AC61" s="34">
        <v>43.06</v>
      </c>
      <c r="AD61" s="40">
        <v>7.2</v>
      </c>
      <c r="AE61" s="4">
        <f t="shared" si="9"/>
        <v>80.580000000000013</v>
      </c>
      <c r="AF61" s="34"/>
      <c r="AG61" s="37"/>
    </row>
    <row r="62" spans="1:33" x14ac:dyDescent="0.2">
      <c r="A62" s="1" t="str" cm="1">
        <f t="array" ref="A62">IF(I62="","",IF(P62&lt;&gt;"",SUMPRODUCT((P$3:P$135&lt;&gt;"")*(G$3:G$135=G62)*(J$3:J$135&gt;J62)*(I$3:I$135="P"))+1,IF(O62&lt;&gt;"",SUMPRODUCT((O$3:O$135&lt;&gt;"")*(P$3:P$135="")*(G$3:G$135=G62)*(J$3:J$135&gt;J62)*(I$3:I$135="P"))+SUMPRODUCT((P$3:P$135&lt;&gt;"")*(G$3:G$135=G62)*(I$3:I$135="P"))+1,IF(N62&lt;&gt;"",SUMPRODUCT((N$3:N$135&lt;&gt;"")*(G$3:G$135=G62)*(J$3:J$135&gt;J62)*(I$3:I$135="P"))+1,IF(M62="P",SUMPRODUCT((O$3:O$135&lt;&gt;"")*(P$3:P$135="")*(G$3:G$135=G62)*(I$3:I$135="P"))+SUMPRODUCT((P$3:P$135&lt;&gt;"")*(G$3:G$135=G62)*(I$3:I$135="P"))+SUMPRODUCT((N$3:N$135&lt;&gt;"")*(G$3:G$135=G62)*(I$3:I$135="P"))+SUMPRODUCT((P$3:P$135="")*(O$3:O$135="")*(N$3:N$135="")*(M$3:M$135="P")*(G$3:G$135=G62)*(J$3:J$135&gt;J62)*(I$3:I$135="P"))+IF(H62="L5",SUMPRODUCT((P$3:P$135="")*(O$3:O$135="")*(N$3:N$135="")*(M$3:M$135="P")*(G$3:G$135=G62)*(J$3:J$135&lt;J62)*(H$3:H$135&lt;&gt;H62)*(I$3:I$135="P")),-1*SUMPRODUCT((P$3:P$135="")*(O$3:O$135="")*(N$3:N$135="")*(M$3:M$135="P")*(G$3:G$135=G62)*(J$3:J$135&gt;J62)*(H$3:H$135="L5")*(I$3:I$135="P")))+1,"")))))</f>
        <v/>
      </c>
      <c r="B62" s="1" t="str" cm="1">
        <f t="array" ref="B62">IF(P62&lt;&gt;"",SUMPRODUCT((P$3:P$135&lt;&gt;"")*(G$3:G$135=G62)*(J$3:J$135&gt;J62))+1,IF(O62&lt;&gt;"",SUMPRODUCT((O$3:O$135&lt;&gt;"")*(P$3:P$135="")*(G$3:G$135=G62)*(J$3:J$135&gt;J62))+SUMPRODUCT((P$3:P$135&lt;&gt;"")*(G$3:G$135=G62))+1,IF(N62&lt;&gt;"",SUMPRODUCT((N$3:N$135&lt;&gt;"")*(G$3:G$135=G62)*(J$3:J$135&gt;J62))+1,IF(M62="P",SUMPRODUCT((O$3:O$135&lt;&gt;"")*(P$3:P$135="")*(G$3:G$135=G62))+SUMPRODUCT((P$3:P$135&lt;&gt;"")*(G$3:G$135=G62))+SUMPRODUCT((N$3:N$135&lt;&gt;"")*(G$3:G$135=G62))+SUMPRODUCT((P$3:P$135="")*(O$3:O$135="")*(N$3:N$135="")*(M$3:M$135="P")*(G$3:G$135=G62)*(J$3:J$135&gt;J62))+IF(H62="L5",SUMPRODUCT((P$3:P$135="")*(O$3:O$135="")*(N$3:N$135="")*(M$3:M$135="P")*(G$3:G$135=G62)*(J$3:J$135&lt;J62)*(H$3:H$135&lt;&gt;H62)),-1*SUMPRODUCT((P$3:P$135="")*(O$3:O$135="")*(N$3:N$135="")*(M$3:M$135="P")*(G$3:G$135=G62)*(J$3:J$135&gt;J62)*(H$3:H$135="L5")))+1,""))))</f>
        <v/>
      </c>
      <c r="C62" s="36" t="s">
        <v>299</v>
      </c>
      <c r="D62" s="36" t="str">
        <f>IF(E62="","",VLOOKUP(E62,'Coaching Points'!A:B,2,0))</f>
        <v>BC</v>
      </c>
      <c r="E62" s="36" t="s">
        <v>46</v>
      </c>
      <c r="F62" s="35">
        <v>2002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80.430000000000007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43.16</v>
      </c>
      <c r="S62" s="4">
        <f>IF(G62="17-21",LARGE(CHOOSE({1,2,3,4,5,6},T62,V62,Y62,AA62,AC62,AF62),2),IF(R62=X62,MAX(Y62,AA62,AC62,AF62),IF(R62=AE62,MAX(AF62,T62,V62,Y62),0)))</f>
        <v>37.270000000000003</v>
      </c>
      <c r="T62" s="33">
        <v>37.270000000000003</v>
      </c>
      <c r="U62" s="40">
        <v>0</v>
      </c>
      <c r="V62" s="34">
        <v>43.16</v>
      </c>
      <c r="W62" s="40">
        <v>7.8</v>
      </c>
      <c r="X62" s="4">
        <f t="shared" si="8"/>
        <v>80.430000000000007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$135&lt;&gt;"")*(G$3:G$135=G63)*(J$3:J$135&gt;J63)*(I$3:I$135="P"))+1,IF(O63&lt;&gt;"",SUMPRODUCT((O$3:O$135&lt;&gt;"")*(P$3:P$135="")*(G$3:G$135=G63)*(J$3:J$135&gt;J63)*(I$3:I$135="P"))+SUMPRODUCT((P$3:P$135&lt;&gt;"")*(G$3:G$135=G63)*(I$3:I$135="P"))+1,IF(N63&lt;&gt;"",SUMPRODUCT((N$3:N$135&lt;&gt;"")*(G$3:G$135=G63)*(J$3:J$135&gt;J63)*(I$3:I$135="P"))+1,IF(M63="P",SUMPRODUCT((O$3:O$135&lt;&gt;"")*(P$3:P$135="")*(G$3:G$135=G63)*(I$3:I$135="P"))+SUMPRODUCT((P$3:P$135&lt;&gt;"")*(G$3:G$135=G63)*(I$3:I$135="P"))+SUMPRODUCT((N$3:N$135&lt;&gt;"")*(G$3:G$135=G63)*(I$3:I$135="P"))+SUMPRODUCT((P$3:P$135="")*(O$3:O$135="")*(N$3:N$135="")*(M$3:M$135="P")*(G$3:G$135=G63)*(J$3:J$135&gt;J63)*(I$3:I$135="P"))+IF(H63="L5",SUMPRODUCT((P$3:P$135="")*(O$3:O$135="")*(N$3:N$135="")*(M$3:M$135="P")*(G$3:G$135=G63)*(J$3:J$135&lt;J63)*(H$3:H$135&lt;&gt;H63)*(I$3:I$135="P")),-1*SUMPRODUCT((P$3:P$135="")*(O$3:O$135="")*(N$3:N$135="")*(M$3:M$135="P")*(G$3:G$135=G63)*(J$3:J$135&gt;J63)*(H$3:H$135="L5")*(I$3:I$135="P")))+1,"")))))</f>
        <v/>
      </c>
      <c r="B63" s="1" t="str" cm="1">
        <f t="array" ref="B63">IF(P63&lt;&gt;"",SUMPRODUCT((P$3:P$135&lt;&gt;"")*(G$3:G$135=G63)*(J$3:J$135&gt;J63))+1,IF(O63&lt;&gt;"",SUMPRODUCT((O$3:O$135&lt;&gt;"")*(P$3:P$135="")*(G$3:G$135=G63)*(J$3:J$135&gt;J63))+SUMPRODUCT((P$3:P$135&lt;&gt;"")*(G$3:G$135=G63))+1,IF(N63&lt;&gt;"",SUMPRODUCT((N$3:N$135&lt;&gt;"")*(G$3:G$135=G63)*(J$3:J$135&gt;J63))+1,IF(M63="P",SUMPRODUCT((O$3:O$135&lt;&gt;"")*(P$3:P$135="")*(G$3:G$135=G63))+SUMPRODUCT((P$3:P$135&lt;&gt;"")*(G$3:G$135=G63))+SUMPRODUCT((N$3:N$135&lt;&gt;"")*(G$3:G$135=G63))+SUMPRODUCT((P$3:P$135="")*(O$3:O$135="")*(N$3:N$135="")*(M$3:M$135="P")*(G$3:G$135=G63)*(J$3:J$135&gt;J63))+IF(H63="L5",SUMPRODUCT((P$3:P$135="")*(O$3:O$135="")*(N$3:N$135="")*(M$3:M$135="P")*(G$3:G$135=G63)*(J$3:J$135&lt;J63)*(H$3:H$135&lt;&gt;H63)),-1*SUMPRODUCT((P$3:P$135="")*(O$3:O$135="")*(N$3:N$135="")*(M$3:M$135="P")*(G$3:G$135=G63)*(J$3:J$135&gt;J63)*(H$3:H$135="L5")))+1,""))))</f>
        <v/>
      </c>
      <c r="C63" s="36" t="s">
        <v>457</v>
      </c>
      <c r="D63" s="36" t="str">
        <f>IF(E63="","",VLOOKUP(E63,'Coaching Points'!A:B,2,0))</f>
        <v>ON</v>
      </c>
      <c r="E63" s="36" t="s">
        <v>422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80.410004303999997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43.04</v>
      </c>
      <c r="S63" s="4">
        <f>IF(G63="17-21",LARGE(CHOOSE({1,2,3,4,5,6},T63,V63,Y63,AA63,AC63,AF63),2),IF(R63=X63,MAX(Y63,AA63,AC63,AF63),IF(R63=AE63,MAX(AF63,T63,V63,Y63),0)))</f>
        <v>37.369999999999997</v>
      </c>
      <c r="T63" s="33"/>
      <c r="U63" s="40"/>
      <c r="V63" s="34"/>
      <c r="W63" s="40"/>
      <c r="X63" s="4">
        <f t="shared" si="8"/>
        <v>0</v>
      </c>
      <c r="Y63" s="34"/>
      <c r="Z63" s="40"/>
      <c r="AA63" s="33">
        <v>37.369999999999997</v>
      </c>
      <c r="AB63" s="40">
        <v>0</v>
      </c>
      <c r="AC63" s="34">
        <v>43.04</v>
      </c>
      <c r="AD63" s="40">
        <v>7.8</v>
      </c>
      <c r="AE63" s="4">
        <f t="shared" si="9"/>
        <v>80.41</v>
      </c>
      <c r="AF63" s="34"/>
      <c r="AG63" s="37"/>
    </row>
    <row r="64" spans="1:33" x14ac:dyDescent="0.2">
      <c r="A64" s="1" t="str" cm="1">
        <f t="array" ref="A64">IF(I64="","",IF(P64&lt;&gt;"",SUMPRODUCT((P$3:P$135&lt;&gt;"")*(G$3:G$135=G64)*(J$3:J$135&gt;J64)*(I$3:I$135="P"))+1,IF(O64&lt;&gt;"",SUMPRODUCT((O$3:O$135&lt;&gt;"")*(P$3:P$135="")*(G$3:G$135=G64)*(J$3:J$135&gt;J64)*(I$3:I$135="P"))+SUMPRODUCT((P$3:P$135&lt;&gt;"")*(G$3:G$135=G64)*(I$3:I$135="P"))+1,IF(N64&lt;&gt;"",SUMPRODUCT((N$3:N$135&lt;&gt;"")*(G$3:G$135=G64)*(J$3:J$135&gt;J64)*(I$3:I$135="P"))+1,IF(M64="P",SUMPRODUCT((O$3:O$135&lt;&gt;"")*(P$3:P$135="")*(G$3:G$135=G64)*(I$3:I$135="P"))+SUMPRODUCT((P$3:P$135&lt;&gt;"")*(G$3:G$135=G64)*(I$3:I$135="P"))+SUMPRODUCT((N$3:N$135&lt;&gt;"")*(G$3:G$135=G64)*(I$3:I$135="P"))+SUMPRODUCT((P$3:P$135="")*(O$3:O$135="")*(N$3:N$135="")*(M$3:M$135="P")*(G$3:G$135=G64)*(J$3:J$135&gt;J64)*(I$3:I$135="P"))+IF(H64="L5",SUMPRODUCT((P$3:P$135="")*(O$3:O$135="")*(N$3:N$135="")*(M$3:M$135="P")*(G$3:G$135=G64)*(J$3:J$135&lt;J64)*(H$3:H$135&lt;&gt;H64)*(I$3:I$135="P")),-1*SUMPRODUCT((P$3:P$135="")*(O$3:O$135="")*(N$3:N$135="")*(M$3:M$135="P")*(G$3:G$135=G64)*(J$3:J$135&gt;J64)*(H$3:H$135="L5")*(I$3:I$135="P")))+1,"")))))</f>
        <v/>
      </c>
      <c r="B64" s="1" t="str" cm="1">
        <f t="array" ref="B64">IF(P64&lt;&gt;"",SUMPRODUCT((P$3:P$135&lt;&gt;"")*(G$3:G$135=G64)*(J$3:J$135&gt;J64))+1,IF(O64&lt;&gt;"",SUMPRODUCT((O$3:O$135&lt;&gt;"")*(P$3:P$135="")*(G$3:G$135=G64)*(J$3:J$135&gt;J64))+SUMPRODUCT((P$3:P$135&lt;&gt;"")*(G$3:G$135=G64))+1,IF(N64&lt;&gt;"",SUMPRODUCT((N$3:N$135&lt;&gt;"")*(G$3:G$135=G64)*(J$3:J$135&gt;J64))+1,IF(M64="P",SUMPRODUCT((O$3:O$135&lt;&gt;"")*(P$3:P$135="")*(G$3:G$135=G64))+SUMPRODUCT((P$3:P$135&lt;&gt;"")*(G$3:G$135=G64))+SUMPRODUCT((N$3:N$135&lt;&gt;"")*(G$3:G$135=G64))+SUMPRODUCT((P$3:P$135="")*(O$3:O$135="")*(N$3:N$135="")*(M$3:M$135="P")*(G$3:G$135=G64)*(J$3:J$135&gt;J64))+IF(H64="L5",SUMPRODUCT((P$3:P$135="")*(O$3:O$135="")*(N$3:N$135="")*(M$3:M$135="P")*(G$3:G$135=G64)*(J$3:J$135&lt;J64)*(H$3:H$135&lt;&gt;H64)),-1*SUMPRODUCT((P$3:P$135="")*(O$3:O$135="")*(N$3:N$135="")*(M$3:M$135="P")*(G$3:G$135=G64)*(J$3:J$135&gt;J64)*(H$3:H$135="L5")))+1,""))))</f>
        <v/>
      </c>
      <c r="C64" s="36" t="s">
        <v>146</v>
      </c>
      <c r="D64" s="36" t="str">
        <f>IF(E64="","",VLOOKUP(E64,'Coaching Points'!A:B,2,0))</f>
        <v>BC</v>
      </c>
      <c r="E64" s="36" t="s">
        <v>46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79.750003699000004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42.7</v>
      </c>
      <c r="S64" s="4">
        <f>IF(G64="17-21",LARGE(CHOOSE({1,2,3,4,5,6},T64,V64,Y64,AA64,AC64,AF64),2),IF(R64=X64,MAX(Y64,AA64,AC64,AF64),IF(R64=AE64,MAX(AF64,T64,V64,Y64),0)))</f>
        <v>37.049999999999997</v>
      </c>
      <c r="T64" s="33">
        <v>37.049999999999997</v>
      </c>
      <c r="U64" s="40">
        <v>0</v>
      </c>
      <c r="V64" s="34">
        <v>42.7</v>
      </c>
      <c r="W64" s="40">
        <v>8.1</v>
      </c>
      <c r="X64" s="4">
        <f t="shared" si="8"/>
        <v>79.75</v>
      </c>
      <c r="Y64" s="34"/>
      <c r="Z64" s="40"/>
      <c r="AA64" s="33">
        <v>36.99</v>
      </c>
      <c r="AB64" s="40">
        <v>0</v>
      </c>
      <c r="AC64" s="34">
        <v>17.510000000000002</v>
      </c>
      <c r="AD64" s="40">
        <v>3.5</v>
      </c>
      <c r="AE64" s="4">
        <f t="shared" si="9"/>
        <v>54.5</v>
      </c>
      <c r="AF64" s="34"/>
      <c r="AG64" s="37"/>
    </row>
    <row r="65" spans="1:33" x14ac:dyDescent="0.2">
      <c r="A65" s="1" t="str" cm="1">
        <f t="array" ref="A65">IF(I65="","",IF(P65&lt;&gt;"",SUMPRODUCT((P$3:P$135&lt;&gt;"")*(G$3:G$135=G65)*(J$3:J$135&gt;J65)*(I$3:I$135="P"))+1,IF(O65&lt;&gt;"",SUMPRODUCT((O$3:O$135&lt;&gt;"")*(P$3:P$135="")*(G$3:G$135=G65)*(J$3:J$135&gt;J65)*(I$3:I$135="P"))+SUMPRODUCT((P$3:P$135&lt;&gt;"")*(G$3:G$135=G65)*(I$3:I$135="P"))+1,IF(N65&lt;&gt;"",SUMPRODUCT((N$3:N$135&lt;&gt;"")*(G$3:G$135=G65)*(J$3:J$135&gt;J65)*(I$3:I$135="P"))+1,IF(M65="P",SUMPRODUCT((O$3:O$135&lt;&gt;"")*(P$3:P$135="")*(G$3:G$135=G65)*(I$3:I$135="P"))+SUMPRODUCT((P$3:P$135&lt;&gt;"")*(G$3:G$135=G65)*(I$3:I$135="P"))+SUMPRODUCT((N$3:N$135&lt;&gt;"")*(G$3:G$135=G65)*(I$3:I$135="P"))+SUMPRODUCT((P$3:P$135="")*(O$3:O$135="")*(N$3:N$135="")*(M$3:M$135="P")*(G$3:G$135=G65)*(J$3:J$135&gt;J65)*(I$3:I$135="P"))+IF(H65="L5",SUMPRODUCT((P$3:P$135="")*(O$3:O$135="")*(N$3:N$135="")*(M$3:M$135="P")*(G$3:G$135=G65)*(J$3:J$135&lt;J65)*(H$3:H$135&lt;&gt;H65)*(I$3:I$135="P")),-1*SUMPRODUCT((P$3:P$135="")*(O$3:O$135="")*(N$3:N$135="")*(M$3:M$135="P")*(G$3:G$135=G65)*(J$3:J$135&gt;J65)*(H$3:H$135="L5")*(I$3:I$135="P")))+1,"")))))</f>
        <v/>
      </c>
      <c r="B65" s="1" t="str" cm="1">
        <f t="array" ref="B65">IF(P65&lt;&gt;"",SUMPRODUCT((P$3:P$135&lt;&gt;"")*(G$3:G$135=G65)*(J$3:J$135&gt;J65))+1,IF(O65&lt;&gt;"",SUMPRODUCT((O$3:O$135&lt;&gt;"")*(P$3:P$135="")*(G$3:G$135=G65)*(J$3:J$135&gt;J65))+SUMPRODUCT((P$3:P$135&lt;&gt;"")*(G$3:G$135=G65))+1,IF(N65&lt;&gt;"",SUMPRODUCT((N$3:N$135&lt;&gt;"")*(G$3:G$135=G65)*(J$3:J$135&gt;J65))+1,IF(M65="P",SUMPRODUCT((O$3:O$135&lt;&gt;"")*(P$3:P$135="")*(G$3:G$135=G65))+SUMPRODUCT((P$3:P$135&lt;&gt;"")*(G$3:G$135=G65))+SUMPRODUCT((N$3:N$135&lt;&gt;"")*(G$3:G$135=G65))+SUMPRODUCT((P$3:P$135="")*(O$3:O$135="")*(N$3:N$135="")*(M$3:M$135="P")*(G$3:G$135=G65)*(J$3:J$135&gt;J65))+IF(H65="L5",SUMPRODUCT((P$3:P$135="")*(O$3:O$135="")*(N$3:N$135="")*(M$3:M$135="P")*(G$3:G$135=G65)*(J$3:J$135&lt;J65)*(H$3:H$135&lt;&gt;H65)),-1*SUMPRODUCT((P$3:P$135="")*(O$3:O$135="")*(N$3:N$135="")*(M$3:M$135="P")*(G$3:G$135=G65)*(J$3:J$135&gt;J65)*(H$3:H$135="L5")))+1,""))))</f>
        <v/>
      </c>
      <c r="C65" s="36" t="s">
        <v>128</v>
      </c>
      <c r="D65" s="36" t="str">
        <f>IF(E65="","",VLOOKUP(E65,'Coaching Points'!A:B,2,0))</f>
        <v>AB</v>
      </c>
      <c r="E65" s="36" t="s">
        <v>29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 t="shared" si="5"/>
        <v>78.850004028000001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40.28</v>
      </c>
      <c r="S65" s="4">
        <f>IF(G65="17-21",LARGE(CHOOSE({1,2,3,4,5,6},T65,V65,Y65,AA65,AC65,AF65),2),IF(R65=X65,MAX(Y65,AA65,AC65,AF65),IF(R65=AE65,MAX(AF65,T65,V65,Y65),0)))</f>
        <v>38.57</v>
      </c>
      <c r="T65" s="33">
        <v>36.880000000000003</v>
      </c>
      <c r="U65" s="40">
        <v>0</v>
      </c>
      <c r="V65" s="34">
        <v>17.989999999999998</v>
      </c>
      <c r="W65" s="40">
        <v>2.7</v>
      </c>
      <c r="X65" s="4">
        <f t="shared" si="8"/>
        <v>54.870000000000005</v>
      </c>
      <c r="Y65" s="34"/>
      <c r="Z65" s="40"/>
      <c r="AA65" s="33">
        <v>38.57</v>
      </c>
      <c r="AB65" s="40">
        <v>0</v>
      </c>
      <c r="AC65" s="34">
        <v>40.28</v>
      </c>
      <c r="AD65" s="40">
        <v>7.3</v>
      </c>
      <c r="AE65" s="4">
        <f t="shared" si="9"/>
        <v>78.849999999999994</v>
      </c>
      <c r="AF65" s="34"/>
      <c r="AG65" s="37"/>
    </row>
    <row r="66" spans="1:33" x14ac:dyDescent="0.2">
      <c r="A66" s="1" t="str" cm="1">
        <f t="array" ref="A66">IF(I66="","",IF(P66&lt;&gt;"",SUMPRODUCT((P$3:P$135&lt;&gt;"")*(G$3:G$135=G66)*(J$3:J$135&gt;J66)*(I$3:I$135="P"))+1,IF(O66&lt;&gt;"",SUMPRODUCT((O$3:O$135&lt;&gt;"")*(P$3:P$135="")*(G$3:G$135=G66)*(J$3:J$135&gt;J66)*(I$3:I$135="P"))+SUMPRODUCT((P$3:P$135&lt;&gt;"")*(G$3:G$135=G66)*(I$3:I$135="P"))+1,IF(N66&lt;&gt;"",SUMPRODUCT((N$3:N$135&lt;&gt;"")*(G$3:G$135=G66)*(J$3:J$135&gt;J66)*(I$3:I$135="P"))+1,IF(M66="P",SUMPRODUCT((O$3:O$135&lt;&gt;"")*(P$3:P$135="")*(G$3:G$135=G66)*(I$3:I$135="P"))+SUMPRODUCT((P$3:P$135&lt;&gt;"")*(G$3:G$135=G66)*(I$3:I$135="P"))+SUMPRODUCT((N$3:N$135&lt;&gt;"")*(G$3:G$135=G66)*(I$3:I$135="P"))+SUMPRODUCT((P$3:P$135="")*(O$3:O$135="")*(N$3:N$135="")*(M$3:M$135="P")*(G$3:G$135=G66)*(J$3:J$135&gt;J66)*(I$3:I$135="P"))+IF(H66="L5",SUMPRODUCT((P$3:P$135="")*(O$3:O$135="")*(N$3:N$135="")*(M$3:M$135="P")*(G$3:G$135=G66)*(J$3:J$135&lt;J66)*(H$3:H$135&lt;&gt;H66)*(I$3:I$135="P")),-1*SUMPRODUCT((P$3:P$135="")*(O$3:O$135="")*(N$3:N$135="")*(M$3:M$135="P")*(G$3:G$135=G66)*(J$3:J$135&gt;J66)*(H$3:H$135="L5")*(I$3:I$135="P")))+1,"")))))</f>
        <v/>
      </c>
      <c r="B66" s="1" t="str" cm="1">
        <f t="array" ref="B66">IF(P66&lt;&gt;"",SUMPRODUCT((P$3:P$135&lt;&gt;"")*(G$3:G$135=G66)*(J$3:J$135&gt;J66))+1,IF(O66&lt;&gt;"",SUMPRODUCT((O$3:O$135&lt;&gt;"")*(P$3:P$135="")*(G$3:G$135=G66)*(J$3:J$135&gt;J66))+SUMPRODUCT((P$3:P$135&lt;&gt;"")*(G$3:G$135=G66))+1,IF(N66&lt;&gt;"",SUMPRODUCT((N$3:N$135&lt;&gt;"")*(G$3:G$135=G66)*(J$3:J$135&gt;J66))+1,IF(M66="P",SUMPRODUCT((O$3:O$135&lt;&gt;"")*(P$3:P$135="")*(G$3:G$135=G66))+SUMPRODUCT((P$3:P$135&lt;&gt;"")*(G$3:G$135=G66))+SUMPRODUCT((N$3:N$135&lt;&gt;"")*(G$3:G$135=G66))+SUMPRODUCT((P$3:P$135="")*(O$3:O$135="")*(N$3:N$135="")*(M$3:M$135="P")*(G$3:G$135=G66)*(J$3:J$135&gt;J66))+IF(H66="L5",SUMPRODUCT((P$3:P$135="")*(O$3:O$135="")*(N$3:N$135="")*(M$3:M$135="P")*(G$3:G$135=G66)*(J$3:J$135&lt;J66)*(H$3:H$135&lt;&gt;H66)),-1*SUMPRODUCT((P$3:P$135="")*(O$3:O$135="")*(N$3:N$135="")*(M$3:M$135="P")*(G$3:G$135=G66)*(J$3:J$135&gt;J66)*(H$3:H$135="L5")))+1,""))))</f>
        <v/>
      </c>
      <c r="C66" s="36" t="s">
        <v>302</v>
      </c>
      <c r="D66" s="36" t="str">
        <f>IF(E66="","",VLOOKUP(E66,'Coaching Points'!A:B,2,0))</f>
        <v>BC</v>
      </c>
      <c r="E66" s="36" t="s">
        <v>284</v>
      </c>
      <c r="F66" s="35">
        <v>2004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 t="shared" si="5"/>
        <v>78.140003479000001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43.35</v>
      </c>
      <c r="S66" s="4">
        <f>IF(G66="17-21",LARGE(CHOOSE({1,2,3,4,5,6},T66,V66,Y66,AA66,AC66,AF66),2),IF(R66=X66,MAX(Y66,AA66,AC66,AF66),IF(R66=AE66,MAX(AF66,T66,V66,Y66),0)))</f>
        <v>34.79</v>
      </c>
      <c r="T66" s="33">
        <v>29.5</v>
      </c>
      <c r="U66" s="40">
        <v>0</v>
      </c>
      <c r="V66" s="34">
        <v>43.35</v>
      </c>
      <c r="W66" s="40">
        <v>7.4</v>
      </c>
      <c r="X66" s="4">
        <f t="shared" si="8"/>
        <v>72.849999999999994</v>
      </c>
      <c r="Y66" s="34"/>
      <c r="Z66" s="40"/>
      <c r="AA66" s="33">
        <v>34.79</v>
      </c>
      <c r="AB66" s="40">
        <v>0</v>
      </c>
      <c r="AC66" s="34"/>
      <c r="AD66" s="40"/>
      <c r="AE66" s="4">
        <f t="shared" si="9"/>
        <v>34.79</v>
      </c>
      <c r="AF66" s="34"/>
      <c r="AG66" s="37"/>
    </row>
    <row r="67" spans="1:33" x14ac:dyDescent="0.2">
      <c r="A67" s="1" t="str" cm="1">
        <f t="array" ref="A67">IF(I67="","",IF(P67&lt;&gt;"",SUMPRODUCT((P$3:P$135&lt;&gt;"")*(G$3:G$135=G67)*(J$3:J$135&gt;J67)*(I$3:I$135="P"))+1,IF(O67&lt;&gt;"",SUMPRODUCT((O$3:O$135&lt;&gt;"")*(P$3:P$135="")*(G$3:G$135=G67)*(J$3:J$135&gt;J67)*(I$3:I$135="P"))+SUMPRODUCT((P$3:P$135&lt;&gt;"")*(G$3:G$135=G67)*(I$3:I$135="P"))+1,IF(N67&lt;&gt;"",SUMPRODUCT((N$3:N$135&lt;&gt;"")*(G$3:G$135=G67)*(J$3:J$135&gt;J67)*(I$3:I$135="P"))+1,IF(M67="P",SUMPRODUCT((O$3:O$135&lt;&gt;"")*(P$3:P$135="")*(G$3:G$135=G67)*(I$3:I$135="P"))+SUMPRODUCT((P$3:P$135&lt;&gt;"")*(G$3:G$135=G67)*(I$3:I$135="P"))+SUMPRODUCT((N$3:N$135&lt;&gt;"")*(G$3:G$135=G67)*(I$3:I$135="P"))+SUMPRODUCT((P$3:P$135="")*(O$3:O$135="")*(N$3:N$135="")*(M$3:M$135="P")*(G$3:G$135=G67)*(J$3:J$135&gt;J67)*(I$3:I$135="P"))+IF(H67="L5",SUMPRODUCT((P$3:P$135="")*(O$3:O$135="")*(N$3:N$135="")*(M$3:M$135="P")*(G$3:G$135=G67)*(J$3:J$135&lt;J67)*(H$3:H$135&lt;&gt;H67)*(I$3:I$135="P")),-1*SUMPRODUCT((P$3:P$135="")*(O$3:O$135="")*(N$3:N$135="")*(M$3:M$135="P")*(G$3:G$135=G67)*(J$3:J$135&gt;J67)*(H$3:H$135="L5")*(I$3:I$135="P")))+1,"")))))</f>
        <v/>
      </c>
      <c r="B67" s="1" t="str" cm="1">
        <f t="array" ref="B67">IF(P67&lt;&gt;"",SUMPRODUCT((P$3:P$135&lt;&gt;"")*(G$3:G$135=G67)*(J$3:J$135&gt;J67))+1,IF(O67&lt;&gt;"",SUMPRODUCT((O$3:O$135&lt;&gt;"")*(P$3:P$135="")*(G$3:G$135=G67)*(J$3:J$135&gt;J67))+SUMPRODUCT((P$3:P$135&lt;&gt;"")*(G$3:G$135=G67))+1,IF(N67&lt;&gt;"",SUMPRODUCT((N$3:N$135&lt;&gt;"")*(G$3:G$135=G67)*(J$3:J$135&gt;J67))+1,IF(M67="P",SUMPRODUCT((O$3:O$135&lt;&gt;"")*(P$3:P$135="")*(G$3:G$135=G67))+SUMPRODUCT((P$3:P$135&lt;&gt;"")*(G$3:G$135=G67))+SUMPRODUCT((N$3:N$135&lt;&gt;"")*(G$3:G$135=G67))+SUMPRODUCT((P$3:P$135="")*(O$3:O$135="")*(N$3:N$135="")*(M$3:M$135="P")*(G$3:G$135=G67)*(J$3:J$135&gt;J67))+IF(H67="L5",SUMPRODUCT((P$3:P$135="")*(O$3:O$135="")*(N$3:N$135="")*(M$3:M$135="P")*(G$3:G$135=G67)*(J$3:J$135&lt;J67)*(H$3:H$135&lt;&gt;H67)),-1*SUMPRODUCT((P$3:P$135="")*(O$3:O$135="")*(N$3:N$135="")*(M$3:M$135="P")*(G$3:G$135=G67)*(J$3:J$135&gt;J67)*(H$3:H$135="L5")))+1,""))))</f>
        <v/>
      </c>
      <c r="C67" s="36" t="s">
        <v>458</v>
      </c>
      <c r="D67" s="36" t="str">
        <f>IF(E67="","",VLOOKUP(E67,'Coaching Points'!A:B,2,0))</f>
        <v>ON</v>
      </c>
      <c r="E67" s="36" t="s">
        <v>429</v>
      </c>
      <c r="F67" s="35">
        <v>2006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78.070004008999987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40.090000000000003</v>
      </c>
      <c r="S67" s="4">
        <f>IF(G67="17-21",LARGE(CHOOSE({1,2,3,4,5,6},T67,V67,Y67,AA67,AC67,AF67),2),IF(R67=X67,MAX(Y67,AA67,AC67,AF67),IF(R67=AE67,MAX(AF67,T67,V67,Y67),0)))</f>
        <v>37.979999999999997</v>
      </c>
      <c r="T67" s="33"/>
      <c r="U67" s="40"/>
      <c r="V67" s="34"/>
      <c r="W67" s="40"/>
      <c r="X67" s="4">
        <f t="shared" ref="X67:X98" si="13">IF(H67="Senior",MAX(T67,V67),T67+V67)</f>
        <v>0</v>
      </c>
      <c r="Y67" s="34"/>
      <c r="Z67" s="40"/>
      <c r="AA67" s="33">
        <v>37.979999999999997</v>
      </c>
      <c r="AB67" s="40">
        <v>0</v>
      </c>
      <c r="AC67" s="34">
        <v>40.090000000000003</v>
      </c>
      <c r="AD67" s="40">
        <v>6.4</v>
      </c>
      <c r="AE67" s="4">
        <f t="shared" ref="AE67:AE98" si="14">IF(H67="Senior",MAX(AA67,AC67),AA67+AC67)</f>
        <v>78.069999999999993</v>
      </c>
      <c r="AF67" s="34"/>
      <c r="AG67" s="37"/>
    </row>
    <row r="68" spans="1:33" x14ac:dyDescent="0.2">
      <c r="A68" s="1" t="str" cm="1">
        <f t="array" ref="A68">IF(I68="","",IF(P68&lt;&gt;"",SUMPRODUCT((P$3:P$135&lt;&gt;"")*(G$3:G$135=G68)*(J$3:J$135&gt;J68)*(I$3:I$135="P"))+1,IF(O68&lt;&gt;"",SUMPRODUCT((O$3:O$135&lt;&gt;"")*(P$3:P$135="")*(G$3:G$135=G68)*(J$3:J$135&gt;J68)*(I$3:I$135="P"))+SUMPRODUCT((P$3:P$135&lt;&gt;"")*(G$3:G$135=G68)*(I$3:I$135="P"))+1,IF(N68&lt;&gt;"",SUMPRODUCT((N$3:N$135&lt;&gt;"")*(G$3:G$135=G68)*(J$3:J$135&gt;J68)*(I$3:I$135="P"))+1,IF(M68="P",SUMPRODUCT((O$3:O$135&lt;&gt;"")*(P$3:P$135="")*(G$3:G$135=G68)*(I$3:I$135="P"))+SUMPRODUCT((P$3:P$135&lt;&gt;"")*(G$3:G$135=G68)*(I$3:I$135="P"))+SUMPRODUCT((N$3:N$135&lt;&gt;"")*(G$3:G$135=G68)*(I$3:I$135="P"))+SUMPRODUCT((P$3:P$135="")*(O$3:O$135="")*(N$3:N$135="")*(M$3:M$135="P")*(G$3:G$135=G68)*(J$3:J$135&gt;J68)*(I$3:I$135="P"))+IF(H68="L5",SUMPRODUCT((P$3:P$135="")*(O$3:O$135="")*(N$3:N$135="")*(M$3:M$135="P")*(G$3:G$135=G68)*(J$3:J$135&lt;J68)*(H$3:H$135&lt;&gt;H68)*(I$3:I$135="P")),-1*SUMPRODUCT((P$3:P$135="")*(O$3:O$135="")*(N$3:N$135="")*(M$3:M$135="P")*(G$3:G$135=G68)*(J$3:J$135&gt;J68)*(H$3:H$135="L5")*(I$3:I$135="P")))+1,"")))))</f>
        <v/>
      </c>
      <c r="B68" s="1" t="str" cm="1">
        <f t="array" ref="B68">IF(P68&lt;&gt;"",SUMPRODUCT((P$3:P$135&lt;&gt;"")*(G$3:G$135=G68)*(J$3:J$135&gt;J68))+1,IF(O68&lt;&gt;"",SUMPRODUCT((O$3:O$135&lt;&gt;"")*(P$3:P$135="")*(G$3:G$135=G68)*(J$3:J$135&gt;J68))+SUMPRODUCT((P$3:P$135&lt;&gt;"")*(G$3:G$135=G68))+1,IF(N68&lt;&gt;"",SUMPRODUCT((N$3:N$135&lt;&gt;"")*(G$3:G$135=G68)*(J$3:J$135&gt;J68))+1,IF(M68="P",SUMPRODUCT((O$3:O$135&lt;&gt;"")*(P$3:P$135="")*(G$3:G$135=G68))+SUMPRODUCT((P$3:P$135&lt;&gt;"")*(G$3:G$135=G68))+SUMPRODUCT((N$3:N$135&lt;&gt;"")*(G$3:G$135=G68))+SUMPRODUCT((P$3:P$135="")*(O$3:O$135="")*(N$3:N$135="")*(M$3:M$135="P")*(G$3:G$135=G68)*(J$3:J$135&gt;J68))+IF(H68="L5",SUMPRODUCT((P$3:P$135="")*(O$3:O$135="")*(N$3:N$135="")*(M$3:M$135="P")*(G$3:G$135=G68)*(J$3:J$135&lt;J68)*(H$3:H$135&lt;&gt;H68)),-1*SUMPRODUCT((P$3:P$135="")*(O$3:O$135="")*(N$3:N$135="")*(M$3:M$135="P")*(G$3:G$135=G68)*(J$3:J$135&gt;J68)*(H$3:H$135="L5")))+1,""))))</f>
        <v/>
      </c>
      <c r="C68" s="36" t="s">
        <v>459</v>
      </c>
      <c r="D68" s="36" t="str">
        <f>IF(E68="","",VLOOKUP(E68,'Coaching Points'!A:B,2,0))</f>
        <v>BC</v>
      </c>
      <c r="E68" s="36" t="s">
        <v>489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 t="shared" si="10"/>
        <v>77.860004254000003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42.54</v>
      </c>
      <c r="S68" s="4">
        <f>IF(G68="17-21",LARGE(CHOOSE({1,2,3,4,5,6},T68,V68,Y68,AA68,AC68,AF68),2),IF(R68=X68,MAX(Y68,AA68,AC68,AF68),IF(R68=AE68,MAX(AF68,T68,V68,Y68),0)))</f>
        <v>35.32</v>
      </c>
      <c r="T68" s="33"/>
      <c r="U68" s="40"/>
      <c r="V68" s="34"/>
      <c r="W68" s="40"/>
      <c r="X68" s="4">
        <f t="shared" si="13"/>
        <v>0</v>
      </c>
      <c r="Y68" s="34"/>
      <c r="Z68" s="40"/>
      <c r="AA68" s="33">
        <v>35.32</v>
      </c>
      <c r="AB68" s="40">
        <v>0</v>
      </c>
      <c r="AC68" s="34">
        <v>42.54</v>
      </c>
      <c r="AD68" s="40">
        <v>7.3</v>
      </c>
      <c r="AE68" s="4">
        <f t="shared" si="14"/>
        <v>77.86</v>
      </c>
      <c r="AF68" s="34"/>
      <c r="AG68" s="37"/>
    </row>
    <row r="69" spans="1:33" x14ac:dyDescent="0.2">
      <c r="A69" s="1" t="str" cm="1">
        <f t="array" ref="A69">IF(I69="","",IF(P69&lt;&gt;"",SUMPRODUCT((P$3:P$135&lt;&gt;"")*(G$3:G$135=G69)*(J$3:J$135&gt;J69)*(I$3:I$135="P"))+1,IF(O69&lt;&gt;"",SUMPRODUCT((O$3:O$135&lt;&gt;"")*(P$3:P$135="")*(G$3:G$135=G69)*(J$3:J$135&gt;J69)*(I$3:I$135="P"))+SUMPRODUCT((P$3:P$135&lt;&gt;"")*(G$3:G$135=G69)*(I$3:I$135="P"))+1,IF(N69&lt;&gt;"",SUMPRODUCT((N$3:N$135&lt;&gt;"")*(G$3:G$135=G69)*(J$3:J$135&gt;J69)*(I$3:I$135="P"))+1,IF(M69="P",SUMPRODUCT((O$3:O$135&lt;&gt;"")*(P$3:P$135="")*(G$3:G$135=G69)*(I$3:I$135="P"))+SUMPRODUCT((P$3:P$135&lt;&gt;"")*(G$3:G$135=G69)*(I$3:I$135="P"))+SUMPRODUCT((N$3:N$135&lt;&gt;"")*(G$3:G$135=G69)*(I$3:I$135="P"))+SUMPRODUCT((P$3:P$135="")*(O$3:O$135="")*(N$3:N$135="")*(M$3:M$135="P")*(G$3:G$135=G69)*(J$3:J$135&gt;J69)*(I$3:I$135="P"))+IF(H69="L5",SUMPRODUCT((P$3:P$135="")*(O$3:O$135="")*(N$3:N$135="")*(M$3:M$135="P")*(G$3:G$135=G69)*(J$3:J$135&lt;J69)*(H$3:H$135&lt;&gt;H69)*(I$3:I$135="P")),-1*SUMPRODUCT((P$3:P$135="")*(O$3:O$135="")*(N$3:N$135="")*(M$3:M$135="P")*(G$3:G$135=G69)*(J$3:J$135&gt;J69)*(H$3:H$135="L5")*(I$3:I$135="P")))+1,"")))))</f>
        <v/>
      </c>
      <c r="B69" s="1" t="str" cm="1">
        <f t="array" ref="B69">IF(P69&lt;&gt;"",SUMPRODUCT((P$3:P$135&lt;&gt;"")*(G$3:G$135=G69)*(J$3:J$135&gt;J69))+1,IF(O69&lt;&gt;"",SUMPRODUCT((O$3:O$135&lt;&gt;"")*(P$3:P$135="")*(G$3:G$135=G69)*(J$3:J$135&gt;J69))+SUMPRODUCT((P$3:P$135&lt;&gt;"")*(G$3:G$135=G69))+1,IF(N69&lt;&gt;"",SUMPRODUCT((N$3:N$135&lt;&gt;"")*(G$3:G$135=G69)*(J$3:J$135&gt;J69))+1,IF(M69="P",SUMPRODUCT((O$3:O$135&lt;&gt;"")*(P$3:P$135="")*(G$3:G$135=G69))+SUMPRODUCT((P$3:P$135&lt;&gt;"")*(G$3:G$135=G69))+SUMPRODUCT((N$3:N$135&lt;&gt;"")*(G$3:G$135=G69))+SUMPRODUCT((P$3:P$135="")*(O$3:O$135="")*(N$3:N$135="")*(M$3:M$135="P")*(G$3:G$135=G69)*(J$3:J$135&gt;J69))+IF(H69="L5",SUMPRODUCT((P$3:P$135="")*(O$3:O$135="")*(N$3:N$135="")*(M$3:M$135="P")*(G$3:G$135=G69)*(J$3:J$135&lt;J69)*(H$3:H$135&lt;&gt;H69)),-1*SUMPRODUCT((P$3:P$135="")*(O$3:O$135="")*(N$3:N$135="")*(M$3:M$135="P")*(G$3:G$135=G69)*(J$3:J$135&gt;J69)*(H$3:H$135="L5")))+1,""))))</f>
        <v/>
      </c>
      <c r="C69" s="36" t="s">
        <v>250</v>
      </c>
      <c r="D69" s="36" t="str">
        <f>IF(E69="","",VLOOKUP(E69,'Coaching Points'!A:B,2,0))</f>
        <v>AB</v>
      </c>
      <c r="E69" s="36" t="s">
        <v>63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66</v>
      </c>
      <c r="I69" s="43"/>
      <c r="J69" s="4">
        <f t="shared" si="10"/>
        <v>77.580003599999998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41.05</v>
      </c>
      <c r="S69" s="4">
        <f>IF(G69="17-21",LARGE(CHOOSE({1,2,3,4,5,6},T69,V69,Y69,AA69,AC69,AF69),2),IF(R69=X69,MAX(Y69,AA69,AC69,AF69),IF(R69=AE69,MAX(AF69,T69,V69,Y69),0)))</f>
        <v>36.53</v>
      </c>
      <c r="T69" s="33">
        <v>36.53</v>
      </c>
      <c r="U69" s="40">
        <v>0</v>
      </c>
      <c r="V69" s="34">
        <v>41.05</v>
      </c>
      <c r="W69" s="40">
        <v>7.2</v>
      </c>
      <c r="X69" s="4">
        <f t="shared" si="13"/>
        <v>77.58</v>
      </c>
      <c r="Y69" s="34"/>
      <c r="Z69" s="40"/>
      <c r="AA69" s="33">
        <v>36</v>
      </c>
      <c r="AB69" s="40">
        <v>0</v>
      </c>
      <c r="AC69" s="34">
        <v>21.13</v>
      </c>
      <c r="AD69" s="40">
        <v>4.8</v>
      </c>
      <c r="AE69" s="4">
        <f t="shared" si="14"/>
        <v>57.129999999999995</v>
      </c>
      <c r="AF69" s="34"/>
      <c r="AG69" s="37"/>
    </row>
    <row r="70" spans="1:33" x14ac:dyDescent="0.2">
      <c r="A70" s="1" t="str" cm="1">
        <f t="array" ref="A70">IF(I70="","",IF(P70&lt;&gt;"",SUMPRODUCT((P$3:P$135&lt;&gt;"")*(G$3:G$135=G70)*(J$3:J$135&gt;J70)*(I$3:I$135="P"))+1,IF(O70&lt;&gt;"",SUMPRODUCT((O$3:O$135&lt;&gt;"")*(P$3:P$135="")*(G$3:G$135=G70)*(J$3:J$135&gt;J70)*(I$3:I$135="P"))+SUMPRODUCT((P$3:P$135&lt;&gt;"")*(G$3:G$135=G70)*(I$3:I$135="P"))+1,IF(N70&lt;&gt;"",SUMPRODUCT((N$3:N$135&lt;&gt;"")*(G$3:G$135=G70)*(J$3:J$135&gt;J70)*(I$3:I$135="P"))+1,IF(M70="P",SUMPRODUCT((O$3:O$135&lt;&gt;"")*(P$3:P$135="")*(G$3:G$135=G70)*(I$3:I$135="P"))+SUMPRODUCT((P$3:P$135&lt;&gt;"")*(G$3:G$135=G70)*(I$3:I$135="P"))+SUMPRODUCT((N$3:N$135&lt;&gt;"")*(G$3:G$135=G70)*(I$3:I$135="P"))+SUMPRODUCT((P$3:P$135="")*(O$3:O$135="")*(N$3:N$135="")*(M$3:M$135="P")*(G$3:G$135=G70)*(J$3:J$135&gt;J70)*(I$3:I$135="P"))+IF(H70="L5",SUMPRODUCT((P$3:P$135="")*(O$3:O$135="")*(N$3:N$135="")*(M$3:M$135="P")*(G$3:G$135=G70)*(J$3:J$135&lt;J70)*(H$3:H$135&lt;&gt;H70)*(I$3:I$135="P")),-1*SUMPRODUCT((P$3:P$135="")*(O$3:O$135="")*(N$3:N$135="")*(M$3:M$135="P")*(G$3:G$135=G70)*(J$3:J$135&gt;J70)*(H$3:H$135="L5")*(I$3:I$135="P")))+1,"")))))</f>
        <v/>
      </c>
      <c r="B70" s="1" t="str" cm="1">
        <f t="array" ref="B70">IF(P70&lt;&gt;"",SUMPRODUCT((P$3:P$135&lt;&gt;"")*(G$3:G$135=G70)*(J$3:J$135&gt;J70))+1,IF(O70&lt;&gt;"",SUMPRODUCT((O$3:O$135&lt;&gt;"")*(P$3:P$135="")*(G$3:G$135=G70)*(J$3:J$135&gt;J70))+SUMPRODUCT((P$3:P$135&lt;&gt;"")*(G$3:G$135=G70))+1,IF(N70&lt;&gt;"",SUMPRODUCT((N$3:N$135&lt;&gt;"")*(G$3:G$135=G70)*(J$3:J$135&gt;J70))+1,IF(M70="P",SUMPRODUCT((O$3:O$135&lt;&gt;"")*(P$3:P$135="")*(G$3:G$135=G70))+SUMPRODUCT((P$3:P$135&lt;&gt;"")*(G$3:G$135=G70))+SUMPRODUCT((N$3:N$135&lt;&gt;"")*(G$3:G$135=G70))+SUMPRODUCT((P$3:P$135="")*(O$3:O$135="")*(N$3:N$135="")*(M$3:M$135="P")*(G$3:G$135=G70)*(J$3:J$135&gt;J70))+IF(H70="L5",SUMPRODUCT((P$3:P$135="")*(O$3:O$135="")*(N$3:N$135="")*(M$3:M$135="P")*(G$3:G$135=G70)*(J$3:J$135&lt;J70)*(H$3:H$135&lt;&gt;H70)),-1*SUMPRODUCT((P$3:P$135="")*(O$3:O$135="")*(N$3:N$135="")*(M$3:M$135="P")*(G$3:G$135=G70)*(J$3:J$135&gt;J70)*(H$3:H$135="L5")))+1,""))))</f>
        <v/>
      </c>
      <c r="C70" s="36" t="s">
        <v>130</v>
      </c>
      <c r="D70" s="36" t="str">
        <f>IF(E70="","",VLOOKUP(E70,'Coaching Points'!A:B,2,0))</f>
        <v>BC</v>
      </c>
      <c r="E70" s="36" t="s">
        <v>57</v>
      </c>
      <c r="F70" s="35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66</v>
      </c>
      <c r="I70" s="43"/>
      <c r="J70" s="4">
        <f t="shared" si="10"/>
        <v>76.580003742000002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39.159999999999997</v>
      </c>
      <c r="S70" s="4">
        <f>IF(G70="17-21",LARGE(CHOOSE({1,2,3,4,5,6},T70,V70,Y70,AA70,AC70,AF70),2),IF(R70=X70,MAX(Y70,AA70,AC70,AF70),IF(R70=AE70,MAX(AF70,T70,V70,Y70),0)))</f>
        <v>37.42</v>
      </c>
      <c r="T70" s="33">
        <v>39.159999999999997</v>
      </c>
      <c r="U70" s="40">
        <v>0</v>
      </c>
      <c r="V70" s="34">
        <v>9.48</v>
      </c>
      <c r="W70" s="40">
        <v>2.2999999999999998</v>
      </c>
      <c r="X70" s="4">
        <f t="shared" si="13"/>
        <v>48.64</v>
      </c>
      <c r="Y70" s="34"/>
      <c r="Z70" s="40"/>
      <c r="AA70" s="33">
        <v>37.42</v>
      </c>
      <c r="AB70" s="40">
        <v>0</v>
      </c>
      <c r="AC70" s="34">
        <v>26.03</v>
      </c>
      <c r="AD70" s="40">
        <v>4.8</v>
      </c>
      <c r="AE70" s="4">
        <f t="shared" si="14"/>
        <v>63.45</v>
      </c>
      <c r="AF70" s="34"/>
      <c r="AG70" s="37"/>
    </row>
    <row r="71" spans="1:33" x14ac:dyDescent="0.2">
      <c r="A71" s="1" t="str" cm="1">
        <f t="array" ref="A71">IF(I71="","",IF(P71&lt;&gt;"",SUMPRODUCT((P$3:P$135&lt;&gt;"")*(G$3:G$135=G71)*(J$3:J$135&gt;J71)*(I$3:I$135="P"))+1,IF(O71&lt;&gt;"",SUMPRODUCT((O$3:O$135&lt;&gt;"")*(P$3:P$135="")*(G$3:G$135=G71)*(J$3:J$135&gt;J71)*(I$3:I$135="P"))+SUMPRODUCT((P$3:P$135&lt;&gt;"")*(G$3:G$135=G71)*(I$3:I$135="P"))+1,IF(N71&lt;&gt;"",SUMPRODUCT((N$3:N$135&lt;&gt;"")*(G$3:G$135=G71)*(J$3:J$135&gt;J71)*(I$3:I$135="P"))+1,IF(M71="P",SUMPRODUCT((O$3:O$135&lt;&gt;"")*(P$3:P$135="")*(G$3:G$135=G71)*(I$3:I$135="P"))+SUMPRODUCT((P$3:P$135&lt;&gt;"")*(G$3:G$135=G71)*(I$3:I$135="P"))+SUMPRODUCT((N$3:N$135&lt;&gt;"")*(G$3:G$135=G71)*(I$3:I$135="P"))+SUMPRODUCT((P$3:P$135="")*(O$3:O$135="")*(N$3:N$135="")*(M$3:M$135="P")*(G$3:G$135=G71)*(J$3:J$135&gt;J71)*(I$3:I$135="P"))+IF(H71="L5",SUMPRODUCT((P$3:P$135="")*(O$3:O$135="")*(N$3:N$135="")*(M$3:M$135="P")*(G$3:G$135=G71)*(J$3:J$135&lt;J71)*(H$3:H$135&lt;&gt;H71)*(I$3:I$135="P")),-1*SUMPRODUCT((P$3:P$135="")*(O$3:O$135="")*(N$3:N$135="")*(M$3:M$135="P")*(G$3:G$135=G71)*(J$3:J$135&gt;J71)*(H$3:H$135="L5")*(I$3:I$135="P")))+1,"")))))</f>
        <v/>
      </c>
      <c r="B71" s="1" t="str" cm="1">
        <f t="array" ref="B71">IF(P71&lt;&gt;"",SUMPRODUCT((P$3:P$135&lt;&gt;"")*(G$3:G$135=G71)*(J$3:J$135&gt;J71))+1,IF(O71&lt;&gt;"",SUMPRODUCT((O$3:O$135&lt;&gt;"")*(P$3:P$135="")*(G$3:G$135=G71)*(J$3:J$135&gt;J71))+SUMPRODUCT((P$3:P$135&lt;&gt;"")*(G$3:G$135=G71))+1,IF(N71&lt;&gt;"",SUMPRODUCT((N$3:N$135&lt;&gt;"")*(G$3:G$135=G71)*(J$3:J$135&gt;J71))+1,IF(M71="P",SUMPRODUCT((O$3:O$135&lt;&gt;"")*(P$3:P$135="")*(G$3:G$135=G71))+SUMPRODUCT((P$3:P$135&lt;&gt;"")*(G$3:G$135=G71))+SUMPRODUCT((N$3:N$135&lt;&gt;"")*(G$3:G$135=G71))+SUMPRODUCT((P$3:P$135="")*(O$3:O$135="")*(N$3:N$135="")*(M$3:M$135="P")*(G$3:G$135=G71)*(J$3:J$135&gt;J71))+IF(H71="L5",SUMPRODUCT((P$3:P$135="")*(O$3:O$135="")*(N$3:N$135="")*(M$3:M$135="P")*(G$3:G$135=G71)*(J$3:J$135&lt;J71)*(H$3:H$135&lt;&gt;H71)),-1*SUMPRODUCT((P$3:P$135="")*(O$3:O$135="")*(N$3:N$135="")*(M$3:M$135="P")*(G$3:G$135=G71)*(J$3:J$135&gt;J71)*(H$3:H$135="L5")))+1,""))))</f>
        <v/>
      </c>
      <c r="C71" s="36" t="s">
        <v>158</v>
      </c>
      <c r="D71" s="36" t="str">
        <f>IF(E71="","",VLOOKUP(E71,'Coaching Points'!A:B,2,0))</f>
        <v>ON</v>
      </c>
      <c r="E71" s="36" t="s">
        <v>73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 t="shared" si="10"/>
        <v>74.980099999999993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38.299999999999997</v>
      </c>
      <c r="S71" s="4">
        <f>IF(G71="17-21",LARGE(CHOOSE({1,2,3,4,5,6},T71,V71,Y71,AA71,AC71,AF71),2),IF(R71=X71,MAX(Y71,AA71,AC71,AF71),IF(R71=AE71,MAX(AF71,T71,V71,Y71),0)))</f>
        <v>36.68</v>
      </c>
      <c r="T71" s="33">
        <v>38.299999999999997</v>
      </c>
      <c r="U71" s="40">
        <v>7.8</v>
      </c>
      <c r="V71" s="34">
        <v>36.68</v>
      </c>
      <c r="W71" s="40">
        <v>6.6</v>
      </c>
      <c r="X71" s="4">
        <f t="shared" si="13"/>
        <v>74.97999999999999</v>
      </c>
      <c r="Y71" s="34"/>
      <c r="Z71" s="40"/>
      <c r="AA71" s="33"/>
      <c r="AB71" s="40"/>
      <c r="AC71" s="34"/>
      <c r="AD71" s="40"/>
      <c r="AE71" s="4">
        <f t="shared" si="14"/>
        <v>0</v>
      </c>
      <c r="AF71" s="34"/>
      <c r="AG71" s="37"/>
    </row>
    <row r="72" spans="1:33" x14ac:dyDescent="0.2">
      <c r="A72" s="1" t="str" cm="1">
        <f t="array" ref="A72">IF(I72="","",IF(P72&lt;&gt;"",SUMPRODUCT((P$3:P$135&lt;&gt;"")*(G$3:G$135=G72)*(J$3:J$135&gt;J72)*(I$3:I$135="P"))+1,IF(O72&lt;&gt;"",SUMPRODUCT((O$3:O$135&lt;&gt;"")*(P$3:P$135="")*(G$3:G$135=G72)*(J$3:J$135&gt;J72)*(I$3:I$135="P"))+SUMPRODUCT((P$3:P$135&lt;&gt;"")*(G$3:G$135=G72)*(I$3:I$135="P"))+1,IF(N72&lt;&gt;"",SUMPRODUCT((N$3:N$135&lt;&gt;"")*(G$3:G$135=G72)*(J$3:J$135&gt;J72)*(I$3:I$135="P"))+1,IF(M72="P",SUMPRODUCT((O$3:O$135&lt;&gt;"")*(P$3:P$135="")*(G$3:G$135=G72)*(I$3:I$135="P"))+SUMPRODUCT((P$3:P$135&lt;&gt;"")*(G$3:G$135=G72)*(I$3:I$135="P"))+SUMPRODUCT((N$3:N$135&lt;&gt;"")*(G$3:G$135=G72)*(I$3:I$135="P"))+SUMPRODUCT((P$3:P$135="")*(O$3:O$135="")*(N$3:N$135="")*(M$3:M$135="P")*(G$3:G$135=G72)*(J$3:J$135&gt;J72)*(I$3:I$135="P"))+IF(H72="L5",SUMPRODUCT((P$3:P$135="")*(O$3:O$135="")*(N$3:N$135="")*(M$3:M$135="P")*(G$3:G$135=G72)*(J$3:J$135&lt;J72)*(H$3:H$135&lt;&gt;H72)*(I$3:I$135="P")),-1*SUMPRODUCT((P$3:P$135="")*(O$3:O$135="")*(N$3:N$135="")*(M$3:M$135="P")*(G$3:G$135=G72)*(J$3:J$135&gt;J72)*(H$3:H$135="L5")*(I$3:I$135="P")))+1,"")))))</f>
        <v/>
      </c>
      <c r="B72" s="1" t="str" cm="1">
        <f t="array" ref="B72">IF(P72&lt;&gt;"",SUMPRODUCT((P$3:P$135&lt;&gt;"")*(G$3:G$135=G72)*(J$3:J$135&gt;J72))+1,IF(O72&lt;&gt;"",SUMPRODUCT((O$3:O$135&lt;&gt;"")*(P$3:P$135="")*(G$3:G$135=G72)*(J$3:J$135&gt;J72))+SUMPRODUCT((P$3:P$135&lt;&gt;"")*(G$3:G$135=G72))+1,IF(N72&lt;&gt;"",SUMPRODUCT((N$3:N$135&lt;&gt;"")*(G$3:G$135=G72)*(J$3:J$135&gt;J72))+1,IF(M72="P",SUMPRODUCT((O$3:O$135&lt;&gt;"")*(P$3:P$135="")*(G$3:G$135=G72))+SUMPRODUCT((P$3:P$135&lt;&gt;"")*(G$3:G$135=G72))+SUMPRODUCT((N$3:N$135&lt;&gt;"")*(G$3:G$135=G72))+SUMPRODUCT((P$3:P$135="")*(O$3:O$135="")*(N$3:N$135="")*(M$3:M$135="P")*(G$3:G$135=G72)*(J$3:J$135&gt;J72))+IF(H72="L5",SUMPRODUCT((P$3:P$135="")*(O$3:O$135="")*(N$3:N$135="")*(M$3:M$135="P")*(G$3:G$135=G72)*(J$3:J$135&lt;J72)*(H$3:H$135&lt;&gt;H72)),-1*SUMPRODUCT((P$3:P$135="")*(O$3:O$135="")*(N$3:N$135="")*(M$3:M$135="P")*(G$3:G$135=G72)*(J$3:J$135&gt;J72)*(H$3:H$135="L5")))+1,""))))</f>
        <v/>
      </c>
      <c r="C72" s="36" t="s">
        <v>147</v>
      </c>
      <c r="D72" s="36" t="str">
        <f>IF(E72="","",VLOOKUP(E72,'Coaching Points'!A:B,2,0))</f>
        <v>SK</v>
      </c>
      <c r="E72" s="36" t="s">
        <v>45</v>
      </c>
      <c r="F72" s="35">
        <v>2003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68</v>
      </c>
      <c r="I72" s="43"/>
      <c r="J72" s="4">
        <f t="shared" si="10"/>
        <v>74.590103508000013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39.51</v>
      </c>
      <c r="S72" s="4">
        <f>IF(G72="17-21",LARGE(CHOOSE({1,2,3,4,5,6},T72,V72,Y72,AA72,AC72,AF72),2),IF(R72=X72,MAX(Y72,AA72,AC72,AF72),IF(R72=AE72,MAX(AF72,T72,V72,Y72),0)))</f>
        <v>35.08</v>
      </c>
      <c r="T72" s="33">
        <v>4.82</v>
      </c>
      <c r="U72" s="40">
        <v>1.5</v>
      </c>
      <c r="V72" s="34">
        <v>39.51</v>
      </c>
      <c r="W72" s="40">
        <v>8.5</v>
      </c>
      <c r="X72" s="4">
        <f t="shared" si="13"/>
        <v>44.33</v>
      </c>
      <c r="Y72" s="34"/>
      <c r="Z72" s="40"/>
      <c r="AA72" s="33">
        <v>35.08</v>
      </c>
      <c r="AB72" s="40">
        <v>7.4</v>
      </c>
      <c r="AC72" s="34">
        <v>5.13</v>
      </c>
      <c r="AD72" s="40">
        <v>1.5</v>
      </c>
      <c r="AE72" s="4">
        <f t="shared" si="14"/>
        <v>40.21</v>
      </c>
      <c r="AF72" s="34"/>
      <c r="AG72" s="37"/>
    </row>
    <row r="73" spans="1:33" x14ac:dyDescent="0.2">
      <c r="A73" s="1" t="str" cm="1">
        <f t="array" ref="A73">IF(I73="","",IF(P73&lt;&gt;"",SUMPRODUCT((P$3:P$135&lt;&gt;"")*(G$3:G$135=G73)*(J$3:J$135&gt;J73)*(I$3:I$135="P"))+1,IF(O73&lt;&gt;"",SUMPRODUCT((O$3:O$135&lt;&gt;"")*(P$3:P$135="")*(G$3:G$135=G73)*(J$3:J$135&gt;J73)*(I$3:I$135="P"))+SUMPRODUCT((P$3:P$135&lt;&gt;"")*(G$3:G$135=G73)*(I$3:I$135="P"))+1,IF(N73&lt;&gt;"",SUMPRODUCT((N$3:N$135&lt;&gt;"")*(G$3:G$135=G73)*(J$3:J$135&gt;J73)*(I$3:I$135="P"))+1,IF(M73="P",SUMPRODUCT((O$3:O$135&lt;&gt;"")*(P$3:P$135="")*(G$3:G$135=G73)*(I$3:I$135="P"))+SUMPRODUCT((P$3:P$135&lt;&gt;"")*(G$3:G$135=G73)*(I$3:I$135="P"))+SUMPRODUCT((N$3:N$135&lt;&gt;"")*(G$3:G$135=G73)*(I$3:I$135="P"))+SUMPRODUCT((P$3:P$135="")*(O$3:O$135="")*(N$3:N$135="")*(M$3:M$135="P")*(G$3:G$135=G73)*(J$3:J$135&gt;J73)*(I$3:I$135="P"))+IF(H73="L5",SUMPRODUCT((P$3:P$135="")*(O$3:O$135="")*(N$3:N$135="")*(M$3:M$135="P")*(G$3:G$135=G73)*(J$3:J$135&lt;J73)*(H$3:H$135&lt;&gt;H73)*(I$3:I$135="P")),-1*SUMPRODUCT((P$3:P$135="")*(O$3:O$135="")*(N$3:N$135="")*(M$3:M$135="P")*(G$3:G$135=G73)*(J$3:J$135&gt;J73)*(H$3:H$135="L5")*(I$3:I$135="P")))+1,"")))))</f>
        <v/>
      </c>
      <c r="B73" s="1" t="str" cm="1">
        <f t="array" ref="B73">IF(P73&lt;&gt;"",SUMPRODUCT((P$3:P$135&lt;&gt;"")*(G$3:G$135=G73)*(J$3:J$135&gt;J73))+1,IF(O73&lt;&gt;"",SUMPRODUCT((O$3:O$135&lt;&gt;"")*(P$3:P$135="")*(G$3:G$135=G73)*(J$3:J$135&gt;J73))+SUMPRODUCT((P$3:P$135&lt;&gt;"")*(G$3:G$135=G73))+1,IF(N73&lt;&gt;"",SUMPRODUCT((N$3:N$135&lt;&gt;"")*(G$3:G$135=G73)*(J$3:J$135&gt;J73))+1,IF(M73="P",SUMPRODUCT((O$3:O$135&lt;&gt;"")*(P$3:P$135="")*(G$3:G$135=G73))+SUMPRODUCT((P$3:P$135&lt;&gt;"")*(G$3:G$135=G73))+SUMPRODUCT((N$3:N$135&lt;&gt;"")*(G$3:G$135=G73))+SUMPRODUCT((P$3:P$135="")*(O$3:O$135="")*(N$3:N$135="")*(M$3:M$135="P")*(G$3:G$135=G73)*(J$3:J$135&gt;J73))+IF(H73="L5",SUMPRODUCT((P$3:P$135="")*(O$3:O$135="")*(N$3:N$135="")*(M$3:M$135="P")*(G$3:G$135=G73)*(J$3:J$135&lt;J73)*(H$3:H$135&lt;&gt;H73)),-1*SUMPRODUCT((P$3:P$135="")*(O$3:O$135="")*(N$3:N$135="")*(M$3:M$135="P")*(G$3:G$135=G73)*(J$3:J$135&gt;J73)*(H$3:H$135="L5")))+1,""))))</f>
        <v/>
      </c>
      <c r="C73" s="36" t="s">
        <v>298</v>
      </c>
      <c r="D73" s="36" t="str">
        <f>IF(E73="","",VLOOKUP(E73,'Coaching Points'!A:B,2,0))</f>
        <v>AB</v>
      </c>
      <c r="E73" s="36" t="s">
        <v>58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66</v>
      </c>
      <c r="I73" s="43"/>
      <c r="J73" s="4">
        <f t="shared" si="10"/>
        <v>71.12000234300001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38.15</v>
      </c>
      <c r="S73" s="4">
        <f>IF(G73="17-21",LARGE(CHOOSE({1,2,3,4,5,6},T73,V73,Y73,AA73,AC73,AF73),2),IF(R73=X73,MAX(Y73,AA73,AC73,AF73),IF(R73=AE73,MAX(AF73,T73,V73,Y73),0)))</f>
        <v>32.97</v>
      </c>
      <c r="T73" s="33">
        <v>38.15</v>
      </c>
      <c r="U73" s="40">
        <v>0</v>
      </c>
      <c r="V73" s="34">
        <v>32.97</v>
      </c>
      <c r="W73" s="40">
        <v>6.4</v>
      </c>
      <c r="X73" s="4">
        <f t="shared" si="13"/>
        <v>71.12</v>
      </c>
      <c r="Y73" s="34"/>
      <c r="Z73" s="40"/>
      <c r="AA73" s="33">
        <v>21.86</v>
      </c>
      <c r="AB73" s="40">
        <v>4.7</v>
      </c>
      <c r="AC73" s="34">
        <v>23.43</v>
      </c>
      <c r="AD73" s="40">
        <v>5.3</v>
      </c>
      <c r="AE73" s="4">
        <f t="shared" si="14"/>
        <v>45.29</v>
      </c>
      <c r="AF73" s="34"/>
      <c r="AG73" s="37"/>
    </row>
    <row r="74" spans="1:33" x14ac:dyDescent="0.2">
      <c r="A74" s="1" t="str" cm="1">
        <f t="array" ref="A74">IF(I74="","",IF(P74&lt;&gt;"",SUMPRODUCT((P$3:P$135&lt;&gt;"")*(G$3:G$135=G74)*(J$3:J$135&gt;J74)*(I$3:I$135="P"))+1,IF(O74&lt;&gt;"",SUMPRODUCT((O$3:O$135&lt;&gt;"")*(P$3:P$135="")*(G$3:G$135=G74)*(J$3:J$135&gt;J74)*(I$3:I$135="P"))+SUMPRODUCT((P$3:P$135&lt;&gt;"")*(G$3:G$135=G74)*(I$3:I$135="P"))+1,IF(N74&lt;&gt;"",SUMPRODUCT((N$3:N$135&lt;&gt;"")*(G$3:G$135=G74)*(J$3:J$135&gt;J74)*(I$3:I$135="P"))+1,IF(M74="P",SUMPRODUCT((O$3:O$135&lt;&gt;"")*(P$3:P$135="")*(G$3:G$135=G74)*(I$3:I$135="P"))+SUMPRODUCT((P$3:P$135&lt;&gt;"")*(G$3:G$135=G74)*(I$3:I$135="P"))+SUMPRODUCT((N$3:N$135&lt;&gt;"")*(G$3:G$135=G74)*(I$3:I$135="P"))+SUMPRODUCT((P$3:P$135="")*(O$3:O$135="")*(N$3:N$135="")*(M$3:M$135="P")*(G$3:G$135=G74)*(J$3:J$135&gt;J74)*(I$3:I$135="P"))+IF(H74="L5",SUMPRODUCT((P$3:P$135="")*(O$3:O$135="")*(N$3:N$135="")*(M$3:M$135="P")*(G$3:G$135=G74)*(J$3:J$135&lt;J74)*(H$3:H$135&lt;&gt;H74)*(I$3:I$135="P")),-1*SUMPRODUCT((P$3:P$135="")*(O$3:O$135="")*(N$3:N$135="")*(M$3:M$135="P")*(G$3:G$135=G74)*(J$3:J$135&gt;J74)*(H$3:H$135="L5")*(I$3:I$135="P")))+1,"")))))</f>
        <v/>
      </c>
      <c r="B74" s="1" t="str" cm="1">
        <f t="array" ref="B74">IF(P74&lt;&gt;"",SUMPRODUCT((P$3:P$135&lt;&gt;"")*(G$3:G$135=G74)*(J$3:J$135&gt;J74))+1,IF(O74&lt;&gt;"",SUMPRODUCT((O$3:O$135&lt;&gt;"")*(P$3:P$135="")*(G$3:G$135=G74)*(J$3:J$135&gt;J74))+SUMPRODUCT((P$3:P$135&lt;&gt;"")*(G$3:G$135=G74))+1,IF(N74&lt;&gt;"",SUMPRODUCT((N$3:N$135&lt;&gt;"")*(G$3:G$135=G74)*(J$3:J$135&gt;J74))+1,IF(M74="P",SUMPRODUCT((O$3:O$135&lt;&gt;"")*(P$3:P$135="")*(G$3:G$135=G74))+SUMPRODUCT((P$3:P$135&lt;&gt;"")*(G$3:G$135=G74))+SUMPRODUCT((N$3:N$135&lt;&gt;"")*(G$3:G$135=G74))+SUMPRODUCT((P$3:P$135="")*(O$3:O$135="")*(N$3:N$135="")*(M$3:M$135="P")*(G$3:G$135=G74)*(J$3:J$135&gt;J74))+IF(H74="L5",SUMPRODUCT((P$3:P$135="")*(O$3:O$135="")*(N$3:N$135="")*(M$3:M$135="P")*(G$3:G$135=G74)*(J$3:J$135&lt;J74)*(H$3:H$135&lt;&gt;H74)),-1*SUMPRODUCT((P$3:P$135="")*(O$3:O$135="")*(N$3:N$135="")*(M$3:M$135="P")*(G$3:G$135=G74)*(J$3:J$135&gt;J74)*(H$3:H$135="L5")))+1,""))))</f>
        <v/>
      </c>
      <c r="C74" s="36" t="s">
        <v>460</v>
      </c>
      <c r="D74" s="36" t="str">
        <f>IF(E74="","",VLOOKUP(E74,'Coaching Points'!A:B,2,0))</f>
        <v>BC</v>
      </c>
      <c r="E74" s="36" t="s">
        <v>37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 t="shared" si="10"/>
        <v>68.270004157999992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41.58</v>
      </c>
      <c r="S74" s="4">
        <f>IF(G74="17-21",LARGE(CHOOSE({1,2,3,4,5,6},T74,V74,Y74,AA74,AC74,AF74),2),IF(R74=X74,MAX(Y74,AA74,AC74,AF74),IF(R74=AE74,MAX(AF74,T74,V74,Y74),0)))</f>
        <v>26.69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26.69</v>
      </c>
      <c r="AB74" s="40">
        <v>0</v>
      </c>
      <c r="AC74" s="34">
        <v>41.58</v>
      </c>
      <c r="AD74" s="40">
        <v>7</v>
      </c>
      <c r="AE74" s="4">
        <f t="shared" si="14"/>
        <v>68.27</v>
      </c>
      <c r="AF74" s="34"/>
      <c r="AG74" s="37"/>
    </row>
    <row r="75" spans="1:33" x14ac:dyDescent="0.2">
      <c r="A75" s="1" t="str" cm="1">
        <f t="array" ref="A75">IF(I75="","",IF(P75&lt;&gt;"",SUMPRODUCT((P$3:P$135&lt;&gt;"")*(G$3:G$135=G75)*(J$3:J$135&gt;J75)*(I$3:I$135="P"))+1,IF(O75&lt;&gt;"",SUMPRODUCT((O$3:O$135&lt;&gt;"")*(P$3:P$135="")*(G$3:G$135=G75)*(J$3:J$135&gt;J75)*(I$3:I$135="P"))+SUMPRODUCT((P$3:P$135&lt;&gt;"")*(G$3:G$135=G75)*(I$3:I$135="P"))+1,IF(N75&lt;&gt;"",SUMPRODUCT((N$3:N$135&lt;&gt;"")*(G$3:G$135=G75)*(J$3:J$135&gt;J75)*(I$3:I$135="P"))+1,IF(M75="P",SUMPRODUCT((O$3:O$135&lt;&gt;"")*(P$3:P$135="")*(G$3:G$135=G75)*(I$3:I$135="P"))+SUMPRODUCT((P$3:P$135&lt;&gt;"")*(G$3:G$135=G75)*(I$3:I$135="P"))+SUMPRODUCT((N$3:N$135&lt;&gt;"")*(G$3:G$135=G75)*(I$3:I$135="P"))+SUMPRODUCT((P$3:P$135="")*(O$3:O$135="")*(N$3:N$135="")*(M$3:M$135="P")*(G$3:G$135=G75)*(J$3:J$135&gt;J75)*(I$3:I$135="P"))+IF(H75="L5",SUMPRODUCT((P$3:P$135="")*(O$3:O$135="")*(N$3:N$135="")*(M$3:M$135="P")*(G$3:G$135=G75)*(J$3:J$135&lt;J75)*(H$3:H$135&lt;&gt;H75)*(I$3:I$135="P")),-1*SUMPRODUCT((P$3:P$135="")*(O$3:O$135="")*(N$3:N$135="")*(M$3:M$135="P")*(G$3:G$135=G75)*(J$3:J$135&gt;J75)*(H$3:H$135="L5")*(I$3:I$135="P")))+1,"")))))</f>
        <v/>
      </c>
      <c r="B75" s="1" t="str" cm="1">
        <f t="array" ref="B75">IF(P75&lt;&gt;"",SUMPRODUCT((P$3:P$135&lt;&gt;"")*(G$3:G$135=G75)*(J$3:J$135&gt;J75))+1,IF(O75&lt;&gt;"",SUMPRODUCT((O$3:O$135&lt;&gt;"")*(P$3:P$135="")*(G$3:G$135=G75)*(J$3:J$135&gt;J75))+SUMPRODUCT((P$3:P$135&lt;&gt;"")*(G$3:G$135=G75))+1,IF(N75&lt;&gt;"",SUMPRODUCT((N$3:N$135&lt;&gt;"")*(G$3:G$135=G75)*(J$3:J$135&gt;J75))+1,IF(M75="P",SUMPRODUCT((O$3:O$135&lt;&gt;"")*(P$3:P$135="")*(G$3:G$135=G75))+SUMPRODUCT((P$3:P$135&lt;&gt;"")*(G$3:G$135=G75))+SUMPRODUCT((N$3:N$135&lt;&gt;"")*(G$3:G$135=G75))+SUMPRODUCT((P$3:P$135="")*(O$3:O$135="")*(N$3:N$135="")*(M$3:M$135="P")*(G$3:G$135=G75)*(J$3:J$135&gt;J75))+IF(H75="L5",SUMPRODUCT((P$3:P$135="")*(O$3:O$135="")*(N$3:N$135="")*(M$3:M$135="P")*(G$3:G$135=G75)*(J$3:J$135&lt;J75)*(H$3:H$135&lt;&gt;H75)),-1*SUMPRODUCT((P$3:P$135="")*(O$3:O$135="")*(N$3:N$135="")*(M$3:M$135="P")*(G$3:G$135=G75)*(J$3:J$135&gt;J75)*(H$3:H$135="L5")))+1,""))))</f>
        <v/>
      </c>
      <c r="C75" s="36" t="s">
        <v>251</v>
      </c>
      <c r="D75" s="36" t="str">
        <f>IF(E75="","",VLOOKUP(E75,'Coaching Points'!A:B,2,0))</f>
        <v>ON</v>
      </c>
      <c r="E75" s="36" t="s">
        <v>100</v>
      </c>
      <c r="F75" s="35">
        <v>2002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/>
      <c r="J75" s="4">
        <f t="shared" si="10"/>
        <v>63.670100000000005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45.34</v>
      </c>
      <c r="S75" s="4">
        <f>IF(G75="17-21",LARGE(CHOOSE({1,2,3,4,5,6},T75,V75,Y75,AA75,AC75,AF75),2),IF(R75=X75,MAX(Y75,AA75,AC75,AF75),IF(R75=AE75,MAX(AF75,T75,V75,Y75),0)))</f>
        <v>18.329999999999998</v>
      </c>
      <c r="T75" s="33">
        <v>45.34</v>
      </c>
      <c r="U75" s="40">
        <v>9.1999999999999993</v>
      </c>
      <c r="V75" s="34">
        <v>5.24</v>
      </c>
      <c r="W75" s="40">
        <v>1.5</v>
      </c>
      <c r="X75" s="4">
        <f t="shared" si="13"/>
        <v>50.580000000000005</v>
      </c>
      <c r="Y75" s="34">
        <v>18.329999999999998</v>
      </c>
      <c r="Z75" s="40">
        <v>4.3</v>
      </c>
      <c r="AA75" s="33"/>
      <c r="AB75" s="40"/>
      <c r="AC75" s="34"/>
      <c r="AD75" s="40"/>
      <c r="AE75" s="4">
        <f t="shared" si="14"/>
        <v>0</v>
      </c>
      <c r="AF75" s="34"/>
      <c r="AG75" s="37"/>
    </row>
    <row r="76" spans="1:33" x14ac:dyDescent="0.2">
      <c r="A76" s="1" t="str" cm="1">
        <f t="array" ref="A76">IF(I76="","",IF(P76&lt;&gt;"",SUMPRODUCT((P$3:P$135&lt;&gt;"")*(G$3:G$135=G76)*(J$3:J$135&gt;J76)*(I$3:I$135="P"))+1,IF(O76&lt;&gt;"",SUMPRODUCT((O$3:O$135&lt;&gt;"")*(P$3:P$135="")*(G$3:G$135=G76)*(J$3:J$135&gt;J76)*(I$3:I$135="P"))+SUMPRODUCT((P$3:P$135&lt;&gt;"")*(G$3:G$135=G76)*(I$3:I$135="P"))+1,IF(N76&lt;&gt;"",SUMPRODUCT((N$3:N$135&lt;&gt;"")*(G$3:G$135=G76)*(J$3:J$135&gt;J76)*(I$3:I$135="P"))+1,IF(M76="P",SUMPRODUCT((O$3:O$135&lt;&gt;"")*(P$3:P$135="")*(G$3:G$135=G76)*(I$3:I$135="P"))+SUMPRODUCT((P$3:P$135&lt;&gt;"")*(G$3:G$135=G76)*(I$3:I$135="P"))+SUMPRODUCT((N$3:N$135&lt;&gt;"")*(G$3:G$135=G76)*(I$3:I$135="P"))+SUMPRODUCT((P$3:P$135="")*(O$3:O$135="")*(N$3:N$135="")*(M$3:M$135="P")*(G$3:G$135=G76)*(J$3:J$135&gt;J76)*(I$3:I$135="P"))+IF(H76="L5",SUMPRODUCT((P$3:P$135="")*(O$3:O$135="")*(N$3:N$135="")*(M$3:M$135="P")*(G$3:G$135=G76)*(J$3:J$135&lt;J76)*(H$3:H$135&lt;&gt;H76)*(I$3:I$135="P")),-1*SUMPRODUCT((P$3:P$135="")*(O$3:O$135="")*(N$3:N$135="")*(M$3:M$135="P")*(G$3:G$135=G76)*(J$3:J$135&gt;J76)*(H$3:H$135="L5")*(I$3:I$135="P")))+1,"")))))</f>
        <v/>
      </c>
      <c r="B76" s="1" t="str" cm="1">
        <f t="array" ref="B76">IF(P76&lt;&gt;"",SUMPRODUCT((P$3:P$135&lt;&gt;"")*(G$3:G$135=G76)*(J$3:J$135&gt;J76))+1,IF(O76&lt;&gt;"",SUMPRODUCT((O$3:O$135&lt;&gt;"")*(P$3:P$135="")*(G$3:G$135=G76)*(J$3:J$135&gt;J76))+SUMPRODUCT((P$3:P$135&lt;&gt;"")*(G$3:G$135=G76))+1,IF(N76&lt;&gt;"",SUMPRODUCT((N$3:N$135&lt;&gt;"")*(G$3:G$135=G76)*(J$3:J$135&gt;J76))+1,IF(M76="P",SUMPRODUCT((O$3:O$135&lt;&gt;"")*(P$3:P$135="")*(G$3:G$135=G76))+SUMPRODUCT((P$3:P$135&lt;&gt;"")*(G$3:G$135=G76))+SUMPRODUCT((N$3:N$135&lt;&gt;"")*(G$3:G$135=G76))+SUMPRODUCT((P$3:P$135="")*(O$3:O$135="")*(N$3:N$135="")*(M$3:M$135="P")*(G$3:G$135=G76)*(J$3:J$135&gt;J76))+IF(H76="L5",SUMPRODUCT((P$3:P$135="")*(O$3:O$135="")*(N$3:N$135="")*(M$3:M$135="P")*(G$3:G$135=G76)*(J$3:J$135&lt;J76)*(H$3:H$135&lt;&gt;H76)),-1*SUMPRODUCT((P$3:P$135="")*(O$3:O$135="")*(N$3:N$135="")*(M$3:M$135="P")*(G$3:G$135=G76)*(J$3:J$135&gt;J76)*(H$3:H$135="L5")))+1,""))))</f>
        <v/>
      </c>
      <c r="C76" s="36" t="s">
        <v>461</v>
      </c>
      <c r="D76" s="36" t="str">
        <f>IF(E76="","",VLOOKUP(E76,'Coaching Points'!A:B,2,0))</f>
        <v>AB</v>
      </c>
      <c r="E76" s="36" t="s">
        <v>29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 t="shared" si="10"/>
        <v>59.240003682999998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36.83</v>
      </c>
      <c r="S76" s="4">
        <f>IF(G76="17-21",LARGE(CHOOSE({1,2,3,4,5,6},T76,V76,Y76,AA76,AC76,AF76),2),IF(R76=X76,MAX(Y76,AA76,AC76,AF76),IF(R76=AE76,MAX(AF76,T76,V76,Y76),0)))</f>
        <v>22.41</v>
      </c>
      <c r="T76" s="33"/>
      <c r="U76" s="40"/>
      <c r="V76" s="34"/>
      <c r="W76" s="40"/>
      <c r="X76" s="4">
        <f t="shared" si="13"/>
        <v>0</v>
      </c>
      <c r="Y76" s="34"/>
      <c r="Z76" s="40"/>
      <c r="AA76" s="33">
        <v>36.83</v>
      </c>
      <c r="AB76" s="40">
        <v>0</v>
      </c>
      <c r="AC76" s="34">
        <v>22.41</v>
      </c>
      <c r="AD76" s="40">
        <v>4.0999999999999996</v>
      </c>
      <c r="AE76" s="4">
        <f t="shared" si="14"/>
        <v>59.239999999999995</v>
      </c>
      <c r="AF76" s="34"/>
      <c r="AG76" s="37"/>
    </row>
    <row r="77" spans="1:33" x14ac:dyDescent="0.2">
      <c r="A77" s="1" t="str" cm="1">
        <f t="array" ref="A77">IF(I77="","",IF(P77&lt;&gt;"",SUMPRODUCT((P$3:P$135&lt;&gt;"")*(G$3:G$135=G77)*(J$3:J$135&gt;J77)*(I$3:I$135="P"))+1,IF(O77&lt;&gt;"",SUMPRODUCT((O$3:O$135&lt;&gt;"")*(P$3:P$135="")*(G$3:G$135=G77)*(J$3:J$135&gt;J77)*(I$3:I$135="P"))+SUMPRODUCT((P$3:P$135&lt;&gt;"")*(G$3:G$135=G77)*(I$3:I$135="P"))+1,IF(N77&lt;&gt;"",SUMPRODUCT((N$3:N$135&lt;&gt;"")*(G$3:G$135=G77)*(J$3:J$135&gt;J77)*(I$3:I$135="P"))+1,IF(M77="P",SUMPRODUCT((O$3:O$135&lt;&gt;"")*(P$3:P$135="")*(G$3:G$135=G77)*(I$3:I$135="P"))+SUMPRODUCT((P$3:P$135&lt;&gt;"")*(G$3:G$135=G77)*(I$3:I$135="P"))+SUMPRODUCT((N$3:N$135&lt;&gt;"")*(G$3:G$135=G77)*(I$3:I$135="P"))+SUMPRODUCT((P$3:P$135="")*(O$3:O$135="")*(N$3:N$135="")*(M$3:M$135="P")*(G$3:G$135=G77)*(J$3:J$135&gt;J77)*(I$3:I$135="P"))+IF(H77="L5",SUMPRODUCT((P$3:P$135="")*(O$3:O$135="")*(N$3:N$135="")*(M$3:M$135="P")*(G$3:G$135=G77)*(J$3:J$135&lt;J77)*(H$3:H$135&lt;&gt;H77)*(I$3:I$135="P")),-1*SUMPRODUCT((P$3:P$135="")*(O$3:O$135="")*(N$3:N$135="")*(M$3:M$135="P")*(G$3:G$135=G77)*(J$3:J$135&gt;J77)*(H$3:H$135="L5")*(I$3:I$135="P")))+1,"")))))</f>
        <v/>
      </c>
      <c r="B77" s="1" t="str" cm="1">
        <f t="array" ref="B77">IF(P77&lt;&gt;"",SUMPRODUCT((P$3:P$135&lt;&gt;"")*(G$3:G$135=G77)*(J$3:J$135&gt;J77))+1,IF(O77&lt;&gt;"",SUMPRODUCT((O$3:O$135&lt;&gt;"")*(P$3:P$135="")*(G$3:G$135=G77)*(J$3:J$135&gt;J77))+SUMPRODUCT((P$3:P$135&lt;&gt;"")*(G$3:G$135=G77))+1,IF(N77&lt;&gt;"",SUMPRODUCT((N$3:N$135&lt;&gt;"")*(G$3:G$135=G77)*(J$3:J$135&gt;J77))+1,IF(M77="P",SUMPRODUCT((O$3:O$135&lt;&gt;"")*(P$3:P$135="")*(G$3:G$135=G77))+SUMPRODUCT((P$3:P$135&lt;&gt;"")*(G$3:G$135=G77))+SUMPRODUCT((N$3:N$135&lt;&gt;"")*(G$3:G$135=G77))+SUMPRODUCT((P$3:P$135="")*(O$3:O$135="")*(N$3:N$135="")*(M$3:M$135="P")*(G$3:G$135=G77)*(J$3:J$135&gt;J77))+IF(H77="L5",SUMPRODUCT((P$3:P$135="")*(O$3:O$135="")*(N$3:N$135="")*(M$3:M$135="P")*(G$3:G$135=G77)*(J$3:J$135&lt;J77)*(H$3:H$135&lt;&gt;H77)),-1*SUMPRODUCT((P$3:P$135="")*(O$3:O$135="")*(N$3:N$135="")*(M$3:M$135="P")*(G$3:G$135=G77)*(J$3:J$135&gt;J77)*(H$3:H$135="L5")))+1,""))))</f>
        <v/>
      </c>
      <c r="C77" s="36" t="s">
        <v>538</v>
      </c>
      <c r="D77" s="36" t="str">
        <f>IF(E77="","",VLOOKUP(E77,'Coaching Points'!A:B,2,0))</f>
        <v>AB</v>
      </c>
      <c r="E77" s="36" t="s">
        <v>29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68</v>
      </c>
      <c r="I77" s="43"/>
      <c r="J77" s="4">
        <f t="shared" si="10"/>
        <v>54.680104580000005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45.8</v>
      </c>
      <c r="S77" s="4">
        <f>IF(G77="17-21",LARGE(CHOOSE({1,2,3,4,5,6},T77,V77,Y77,AA77,AC77,AF77),2),IF(R77=X77,MAX(Y77,AA77,AC77,AF77),IF(R77=AE77,MAX(AF77,T77,V77,Y77),0)))</f>
        <v>8.8800000000000008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45.8</v>
      </c>
      <c r="AB77" s="40">
        <v>10.5</v>
      </c>
      <c r="AC77" s="34">
        <v>8.8800000000000008</v>
      </c>
      <c r="AD77" s="40">
        <v>1.9</v>
      </c>
      <c r="AE77" s="4">
        <f t="shared" si="14"/>
        <v>54.68</v>
      </c>
      <c r="AF77" s="34"/>
      <c r="AG77" s="37"/>
    </row>
    <row r="78" spans="1:33" x14ac:dyDescent="0.2">
      <c r="A78" s="1" t="str" cm="1">
        <f t="array" ref="A78">IF(I78="","",IF(P78&lt;&gt;"",SUMPRODUCT((P$3:P$135&lt;&gt;"")*(G$3:G$135=G78)*(J$3:J$135&gt;J78)*(I$3:I$135="P"))+1,IF(O78&lt;&gt;"",SUMPRODUCT((O$3:O$135&lt;&gt;"")*(P$3:P$135="")*(G$3:G$135=G78)*(J$3:J$135&gt;J78)*(I$3:I$135="P"))+SUMPRODUCT((P$3:P$135&lt;&gt;"")*(G$3:G$135=G78)*(I$3:I$135="P"))+1,IF(N78&lt;&gt;"",SUMPRODUCT((N$3:N$135&lt;&gt;"")*(G$3:G$135=G78)*(J$3:J$135&gt;J78)*(I$3:I$135="P"))+1,IF(M78="P",SUMPRODUCT((O$3:O$135&lt;&gt;"")*(P$3:P$135="")*(G$3:G$135=G78)*(I$3:I$135="P"))+SUMPRODUCT((P$3:P$135&lt;&gt;"")*(G$3:G$135=G78)*(I$3:I$135="P"))+SUMPRODUCT((N$3:N$135&lt;&gt;"")*(G$3:G$135=G78)*(I$3:I$135="P"))+SUMPRODUCT((P$3:P$135="")*(O$3:O$135="")*(N$3:N$135="")*(M$3:M$135="P")*(G$3:G$135=G78)*(J$3:J$135&gt;J78)*(I$3:I$135="P"))+IF(H78="L5",SUMPRODUCT((P$3:P$135="")*(O$3:O$135="")*(N$3:N$135="")*(M$3:M$135="P")*(G$3:G$135=G78)*(J$3:J$135&lt;J78)*(H$3:H$135&lt;&gt;H78)*(I$3:I$135="P")),-1*SUMPRODUCT((P$3:P$135="")*(O$3:O$135="")*(N$3:N$135="")*(M$3:M$135="P")*(G$3:G$135=G78)*(J$3:J$135&gt;J78)*(H$3:H$135="L5")*(I$3:I$135="P")))+1,"")))))</f>
        <v/>
      </c>
      <c r="B78" s="1" t="str" cm="1">
        <f t="array" ref="B78">IF(P78&lt;&gt;"",SUMPRODUCT((P$3:P$135&lt;&gt;"")*(G$3:G$135=G78)*(J$3:J$135&gt;J78))+1,IF(O78&lt;&gt;"",SUMPRODUCT((O$3:O$135&lt;&gt;"")*(P$3:P$135="")*(G$3:G$135=G78)*(J$3:J$135&gt;J78))+SUMPRODUCT((P$3:P$135&lt;&gt;"")*(G$3:G$135=G78))+1,IF(N78&lt;&gt;"",SUMPRODUCT((N$3:N$135&lt;&gt;"")*(G$3:G$135=G78)*(J$3:J$135&gt;J78))+1,IF(M78="P",SUMPRODUCT((O$3:O$135&lt;&gt;"")*(P$3:P$135="")*(G$3:G$135=G78))+SUMPRODUCT((P$3:P$135&lt;&gt;"")*(G$3:G$135=G78))+SUMPRODUCT((N$3:N$135&lt;&gt;"")*(G$3:G$135=G78))+SUMPRODUCT((P$3:P$135="")*(O$3:O$135="")*(N$3:N$135="")*(M$3:M$135="P")*(G$3:G$135=G78)*(J$3:J$135&gt;J78))+IF(H78="L5",SUMPRODUCT((P$3:P$135="")*(O$3:O$135="")*(N$3:N$135="")*(M$3:M$135="P")*(G$3:G$135=G78)*(J$3:J$135&lt;J78)*(H$3:H$135&lt;&gt;H78)),-1*SUMPRODUCT((P$3:P$135="")*(O$3:O$135="")*(N$3:N$135="")*(M$3:M$135="P")*(G$3:G$135=G78)*(J$3:J$135&gt;J78)*(H$3:H$135="L5")))+1,""))))</f>
        <v/>
      </c>
      <c r="C78" s="36" t="s">
        <v>246</v>
      </c>
      <c r="D78" s="36" t="str">
        <f>IF(E78="","",VLOOKUP(E78,'Coaching Points'!A:B,2,0))</f>
        <v>AB</v>
      </c>
      <c r="E78" s="36" t="s">
        <v>63</v>
      </c>
      <c r="F78" s="35">
        <v>2003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/>
      <c r="J78" s="4">
        <f t="shared" si="10"/>
        <v>53.820000000000007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36.270000000000003</v>
      </c>
      <c r="S78" s="4">
        <f>IF(G78="17-21",LARGE(CHOOSE({1,2,3,4,5,6},T78,V78,Y78,AA78,AC78,AF78),2),IF(R78=X78,MAX(Y78,AA78,AC78,AF78),IF(R78=AE78,MAX(AF78,T78,V78,Y78),0)))</f>
        <v>17.55</v>
      </c>
      <c r="T78" s="33">
        <v>36.270000000000003</v>
      </c>
      <c r="U78" s="40">
        <v>0</v>
      </c>
      <c r="V78" s="34">
        <v>17.55</v>
      </c>
      <c r="W78" s="40">
        <v>2.8</v>
      </c>
      <c r="X78" s="4">
        <f t="shared" si="13"/>
        <v>53.820000000000007</v>
      </c>
      <c r="Y78" s="34"/>
      <c r="Z78" s="40"/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$135&lt;&gt;"")*(G$3:G$135=G79)*(J$3:J$135&gt;J79)*(I$3:I$135="P"))+1,IF(O79&lt;&gt;"",SUMPRODUCT((O$3:O$135&lt;&gt;"")*(P$3:P$135="")*(G$3:G$135=G79)*(J$3:J$135&gt;J79)*(I$3:I$135="P"))+SUMPRODUCT((P$3:P$135&lt;&gt;"")*(G$3:G$135=G79)*(I$3:I$135="P"))+1,IF(N79&lt;&gt;"",SUMPRODUCT((N$3:N$135&lt;&gt;"")*(G$3:G$135=G79)*(J$3:J$135&gt;J79)*(I$3:I$135="P"))+1,IF(M79="P",SUMPRODUCT((O$3:O$135&lt;&gt;"")*(P$3:P$135="")*(G$3:G$135=G79)*(I$3:I$135="P"))+SUMPRODUCT((P$3:P$135&lt;&gt;"")*(G$3:G$135=G79)*(I$3:I$135="P"))+SUMPRODUCT((N$3:N$135&lt;&gt;"")*(G$3:G$135=G79)*(I$3:I$135="P"))+SUMPRODUCT((P$3:P$135="")*(O$3:O$135="")*(N$3:N$135="")*(M$3:M$135="P")*(G$3:G$135=G79)*(J$3:J$135&gt;J79)*(I$3:I$135="P"))+IF(H79="L5",SUMPRODUCT((P$3:P$135="")*(O$3:O$135="")*(N$3:N$135="")*(M$3:M$135="P")*(G$3:G$135=G79)*(J$3:J$135&lt;J79)*(H$3:H$135&lt;&gt;H79)*(I$3:I$135="P")),-1*SUMPRODUCT((P$3:P$135="")*(O$3:O$135="")*(N$3:N$135="")*(M$3:M$135="P")*(G$3:G$135=G79)*(J$3:J$135&gt;J79)*(H$3:H$135="L5")*(I$3:I$135="P")))+1,"")))))</f>
        <v/>
      </c>
      <c r="B79" s="1" t="str" cm="1">
        <f t="array" ref="B79">IF(P79&lt;&gt;"",SUMPRODUCT((P$3:P$135&lt;&gt;"")*(G$3:G$135=G79)*(J$3:J$135&gt;J79))+1,IF(O79&lt;&gt;"",SUMPRODUCT((O$3:O$135&lt;&gt;"")*(P$3:P$135="")*(G$3:G$135=G79)*(J$3:J$135&gt;J79))+SUMPRODUCT((P$3:P$135&lt;&gt;"")*(G$3:G$135=G79))+1,IF(N79&lt;&gt;"",SUMPRODUCT((N$3:N$135&lt;&gt;"")*(G$3:G$135=G79)*(J$3:J$135&gt;J79))+1,IF(M79="P",SUMPRODUCT((O$3:O$135&lt;&gt;"")*(P$3:P$135="")*(G$3:G$135=G79))+SUMPRODUCT((P$3:P$135&lt;&gt;"")*(G$3:G$135=G79))+SUMPRODUCT((N$3:N$135&lt;&gt;"")*(G$3:G$135=G79))+SUMPRODUCT((P$3:P$135="")*(O$3:O$135="")*(N$3:N$135="")*(M$3:M$135="P")*(G$3:G$135=G79)*(J$3:J$135&gt;J79))+IF(H79="L5",SUMPRODUCT((P$3:P$135="")*(O$3:O$135="")*(N$3:N$135="")*(M$3:M$135="P")*(G$3:G$135=G79)*(J$3:J$135&lt;J79)*(H$3:H$135&lt;&gt;H79)),-1*SUMPRODUCT((P$3:P$135="")*(O$3:O$135="")*(N$3:N$135="")*(M$3:M$135="P")*(G$3:G$135=G79)*(J$3:J$135&gt;J79)*(H$3:H$135="L5")))+1,""))))</f>
        <v/>
      </c>
      <c r="C79" s="36" t="s">
        <v>462</v>
      </c>
      <c r="D79" s="36" t="str">
        <f>IF(E79="","",VLOOKUP(E79,'Coaching Points'!A:B,2,0))</f>
        <v>AB</v>
      </c>
      <c r="E79" s="36" t="s">
        <v>424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66</v>
      </c>
      <c r="I79" s="43"/>
      <c r="J79" s="4">
        <f t="shared" si="10"/>
        <v>52.130003714999994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37.15</v>
      </c>
      <c r="S79" s="4">
        <f>IF(G79="17-21",LARGE(CHOOSE({1,2,3,4,5,6},T79,V79,Y79,AA79,AC79,AF79),2),IF(R79=X79,MAX(Y79,AA79,AC79,AF79),IF(R79=AE79,MAX(AF79,T79,V79,Y79),0)))</f>
        <v>14.98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37.15</v>
      </c>
      <c r="AB79" s="40">
        <v>0</v>
      </c>
      <c r="AC79" s="34">
        <v>14.98</v>
      </c>
      <c r="AD79" s="40">
        <v>2.4</v>
      </c>
      <c r="AE79" s="4">
        <f t="shared" si="14"/>
        <v>52.129999999999995</v>
      </c>
      <c r="AF79" s="34"/>
      <c r="AG79" s="37"/>
    </row>
    <row r="80" spans="1:33" x14ac:dyDescent="0.2">
      <c r="A80" s="1" t="str" cm="1">
        <f t="array" ref="A80">IF(I80="","",IF(P80&lt;&gt;"",SUMPRODUCT((P$3:P$135&lt;&gt;"")*(G$3:G$135=G80)*(J$3:J$135&gt;J80)*(I$3:I$135="P"))+1,IF(O80&lt;&gt;"",SUMPRODUCT((O$3:O$135&lt;&gt;"")*(P$3:P$135="")*(G$3:G$135=G80)*(J$3:J$135&gt;J80)*(I$3:I$135="P"))+SUMPRODUCT((P$3:P$135&lt;&gt;"")*(G$3:G$135=G80)*(I$3:I$135="P"))+1,IF(N80&lt;&gt;"",SUMPRODUCT((N$3:N$135&lt;&gt;"")*(G$3:G$135=G80)*(J$3:J$135&gt;J80)*(I$3:I$135="P"))+1,IF(M80="P",SUMPRODUCT((O$3:O$135&lt;&gt;"")*(P$3:P$135="")*(G$3:G$135=G80)*(I$3:I$135="P"))+SUMPRODUCT((P$3:P$135&lt;&gt;"")*(G$3:G$135=G80)*(I$3:I$135="P"))+SUMPRODUCT((N$3:N$135&lt;&gt;"")*(G$3:G$135=G80)*(I$3:I$135="P"))+SUMPRODUCT((P$3:P$135="")*(O$3:O$135="")*(N$3:N$135="")*(M$3:M$135="P")*(G$3:G$135=G80)*(J$3:J$135&gt;J80)*(I$3:I$135="P"))+IF(H80="L5",SUMPRODUCT((P$3:P$135="")*(O$3:O$135="")*(N$3:N$135="")*(M$3:M$135="P")*(G$3:G$135=G80)*(J$3:J$135&lt;J80)*(H$3:H$135&lt;&gt;H80)*(I$3:I$135="P")),-1*SUMPRODUCT((P$3:P$135="")*(O$3:O$135="")*(N$3:N$135="")*(M$3:M$135="P")*(G$3:G$135=G80)*(J$3:J$135&gt;J80)*(H$3:H$135="L5")*(I$3:I$135="P")))+1,"")))))</f>
        <v/>
      </c>
      <c r="B80" s="1" t="str" cm="1">
        <f t="array" ref="B80">IF(P80&lt;&gt;"",SUMPRODUCT((P$3:P$135&lt;&gt;"")*(G$3:G$135=G80)*(J$3:J$135&gt;J80))+1,IF(O80&lt;&gt;"",SUMPRODUCT((O$3:O$135&lt;&gt;"")*(P$3:P$135="")*(G$3:G$135=G80)*(J$3:J$135&gt;J80))+SUMPRODUCT((P$3:P$135&lt;&gt;"")*(G$3:G$135=G80))+1,IF(N80&lt;&gt;"",SUMPRODUCT((N$3:N$135&lt;&gt;"")*(G$3:G$135=G80)*(J$3:J$135&gt;J80))+1,IF(M80="P",SUMPRODUCT((O$3:O$135&lt;&gt;"")*(P$3:P$135="")*(G$3:G$135=G80))+SUMPRODUCT((P$3:P$135&lt;&gt;"")*(G$3:G$135=G80))+SUMPRODUCT((N$3:N$135&lt;&gt;"")*(G$3:G$135=G80))+SUMPRODUCT((P$3:P$135="")*(O$3:O$135="")*(N$3:N$135="")*(M$3:M$135="P")*(G$3:G$135=G80)*(J$3:J$135&gt;J80))+IF(H80="L5",SUMPRODUCT((P$3:P$135="")*(O$3:O$135="")*(N$3:N$135="")*(M$3:M$135="P")*(G$3:G$135=G80)*(J$3:J$135&lt;J80)*(H$3:H$135&lt;&gt;H80)),-1*SUMPRODUCT((P$3:P$135="")*(O$3:O$135="")*(N$3:N$135="")*(M$3:M$135="P")*(G$3:G$135=G80)*(J$3:J$135&gt;J80)*(H$3:H$135="L5")))+1,""))))</f>
        <v/>
      </c>
      <c r="C80" s="36" t="s">
        <v>463</v>
      </c>
      <c r="D80" s="36" t="str">
        <f>IF(E80="","",VLOOKUP(E80,'Coaching Points'!A:B,2,0))</f>
        <v>ON</v>
      </c>
      <c r="E80" s="36" t="s">
        <v>47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 t="shared" si="10"/>
        <v>51.870004438000002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44.38</v>
      </c>
      <c r="S80" s="4">
        <f>IF(G80="17-21",LARGE(CHOOSE({1,2,3,4,5,6},T80,V80,Y80,AA80,AC80,AF80),2),IF(R80=X80,MAX(Y80,AA80,AC80,AF80),IF(R80=AE80,MAX(AF80,T80,V80,Y80),0)))</f>
        <v>7.49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7.49</v>
      </c>
      <c r="AB80" s="40">
        <v>0</v>
      </c>
      <c r="AC80" s="34">
        <v>44.38</v>
      </c>
      <c r="AD80" s="40">
        <v>7.3</v>
      </c>
      <c r="AE80" s="4">
        <f t="shared" si="14"/>
        <v>51.870000000000005</v>
      </c>
      <c r="AF80" s="34"/>
      <c r="AG80" s="37"/>
    </row>
    <row r="81" spans="1:33" x14ac:dyDescent="0.2">
      <c r="A81" s="1" t="str" cm="1">
        <f t="array" ref="A81">IF(I81="","",IF(P81&lt;&gt;"",SUMPRODUCT((P$3:P$135&lt;&gt;"")*(G$3:G$135=G81)*(J$3:J$135&gt;J81)*(I$3:I$135="P"))+1,IF(O81&lt;&gt;"",SUMPRODUCT((O$3:O$135&lt;&gt;"")*(P$3:P$135="")*(G$3:G$135=G81)*(J$3:J$135&gt;J81)*(I$3:I$135="P"))+SUMPRODUCT((P$3:P$135&lt;&gt;"")*(G$3:G$135=G81)*(I$3:I$135="P"))+1,IF(N81&lt;&gt;"",SUMPRODUCT((N$3:N$135&lt;&gt;"")*(G$3:G$135=G81)*(J$3:J$135&gt;J81)*(I$3:I$135="P"))+1,IF(M81="P",SUMPRODUCT((O$3:O$135&lt;&gt;"")*(P$3:P$135="")*(G$3:G$135=G81)*(I$3:I$135="P"))+SUMPRODUCT((P$3:P$135&lt;&gt;"")*(G$3:G$135=G81)*(I$3:I$135="P"))+SUMPRODUCT((N$3:N$135&lt;&gt;"")*(G$3:G$135=G81)*(I$3:I$135="P"))+SUMPRODUCT((P$3:P$135="")*(O$3:O$135="")*(N$3:N$135="")*(M$3:M$135="P")*(G$3:G$135=G81)*(J$3:J$135&gt;J81)*(I$3:I$135="P"))+IF(H81="L5",SUMPRODUCT((P$3:P$135="")*(O$3:O$135="")*(N$3:N$135="")*(M$3:M$135="P")*(G$3:G$135=G81)*(J$3:J$135&lt;J81)*(H$3:H$135&lt;&gt;H81)*(I$3:I$135="P")),-1*SUMPRODUCT((P$3:P$135="")*(O$3:O$135="")*(N$3:N$135="")*(M$3:M$135="P")*(G$3:G$135=G81)*(J$3:J$135&gt;J81)*(H$3:H$135="L5")*(I$3:I$135="P")))+1,"")))))</f>
        <v/>
      </c>
      <c r="B81" s="1" t="str" cm="1">
        <f t="array" ref="B81">IF(P81&lt;&gt;"",SUMPRODUCT((P$3:P$135&lt;&gt;"")*(G$3:G$135=G81)*(J$3:J$135&gt;J81))+1,IF(O81&lt;&gt;"",SUMPRODUCT((O$3:O$135&lt;&gt;"")*(P$3:P$135="")*(G$3:G$135=G81)*(J$3:J$135&gt;J81))+SUMPRODUCT((P$3:P$135&lt;&gt;"")*(G$3:G$135=G81))+1,IF(N81&lt;&gt;"",SUMPRODUCT((N$3:N$135&lt;&gt;"")*(G$3:G$135=G81)*(J$3:J$135&gt;J81))+1,IF(M81="P",SUMPRODUCT((O$3:O$135&lt;&gt;"")*(P$3:P$135="")*(G$3:G$135=G81))+SUMPRODUCT((P$3:P$135&lt;&gt;"")*(G$3:G$135=G81))+SUMPRODUCT((N$3:N$135&lt;&gt;"")*(G$3:G$135=G81))+SUMPRODUCT((P$3:P$135="")*(O$3:O$135="")*(N$3:N$135="")*(M$3:M$135="P")*(G$3:G$135=G81)*(J$3:J$135&gt;J81))+IF(H81="L5",SUMPRODUCT((P$3:P$135="")*(O$3:O$135="")*(N$3:N$135="")*(M$3:M$135="P")*(G$3:G$135=G81)*(J$3:J$135&lt;J81)*(H$3:H$135&lt;&gt;H81)),-1*SUMPRODUCT((P$3:P$135="")*(O$3:O$135="")*(N$3:N$135="")*(M$3:M$135="P")*(G$3:G$135=G81)*(J$3:J$135&gt;J81)*(H$3:H$135="L5")))+1,""))))</f>
        <v/>
      </c>
      <c r="C81" s="36" t="s">
        <v>160</v>
      </c>
      <c r="D81" s="36" t="str">
        <f>IF(E81="","",VLOOKUP(E81,'Coaching Points'!A:B,2,0))</f>
        <v>ON</v>
      </c>
      <c r="E81" s="36" t="s">
        <v>38</v>
      </c>
      <c r="F81" s="35">
        <v>2002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74</v>
      </c>
      <c r="I81" s="43"/>
      <c r="J81" s="4">
        <f t="shared" si="10"/>
        <v>50.550200000000004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45.2</v>
      </c>
      <c r="S81" s="4">
        <f>IF(G81="17-21",LARGE(CHOOSE({1,2,3,4,5,6},T81,V81,Y81,AA81,AC81,AF81),2),IF(R81=X81,MAX(Y81,AA81,AC81,AF81),IF(R81=AE81,MAX(AF81,T81,V81,Y81),0)))</f>
        <v>5.35</v>
      </c>
      <c r="T81" s="33">
        <v>45.2</v>
      </c>
      <c r="U81" s="40">
        <v>9.9</v>
      </c>
      <c r="V81" s="34">
        <v>5.35</v>
      </c>
      <c r="W81" s="40">
        <v>1.5</v>
      </c>
      <c r="X81" s="4">
        <f t="shared" si="13"/>
        <v>45.2</v>
      </c>
      <c r="Y81" s="34"/>
      <c r="Z81" s="40"/>
      <c r="AA81" s="33"/>
      <c r="AB81" s="40"/>
      <c r="AC81" s="34"/>
      <c r="AD81" s="40"/>
      <c r="AE81" s="4">
        <f t="shared" si="14"/>
        <v>0</v>
      </c>
      <c r="AF81" s="34"/>
      <c r="AG81" s="37"/>
    </row>
    <row r="82" spans="1:33" x14ac:dyDescent="0.2">
      <c r="A82" s="1" t="str" cm="1">
        <f t="array" ref="A82">IF(I82="","",IF(P82&lt;&gt;"",SUMPRODUCT((P$3:P$135&lt;&gt;"")*(G$3:G$135=G82)*(J$3:J$135&gt;J82)*(I$3:I$135="P"))+1,IF(O82&lt;&gt;"",SUMPRODUCT((O$3:O$135&lt;&gt;"")*(P$3:P$135="")*(G$3:G$135=G82)*(J$3:J$135&gt;J82)*(I$3:I$135="P"))+SUMPRODUCT((P$3:P$135&lt;&gt;"")*(G$3:G$135=G82)*(I$3:I$135="P"))+1,IF(N82&lt;&gt;"",SUMPRODUCT((N$3:N$135&lt;&gt;"")*(G$3:G$135=G82)*(J$3:J$135&gt;J82)*(I$3:I$135="P"))+1,IF(M82="P",SUMPRODUCT((O$3:O$135&lt;&gt;"")*(P$3:P$135="")*(G$3:G$135=G82)*(I$3:I$135="P"))+SUMPRODUCT((P$3:P$135&lt;&gt;"")*(G$3:G$135=G82)*(I$3:I$135="P"))+SUMPRODUCT((N$3:N$135&lt;&gt;"")*(G$3:G$135=G82)*(I$3:I$135="P"))+SUMPRODUCT((P$3:P$135="")*(O$3:O$135="")*(N$3:N$135="")*(M$3:M$135="P")*(G$3:G$135=G82)*(J$3:J$135&gt;J82)*(I$3:I$135="P"))+IF(H82="L5",SUMPRODUCT((P$3:P$135="")*(O$3:O$135="")*(N$3:N$135="")*(M$3:M$135="P")*(G$3:G$135=G82)*(J$3:J$135&lt;J82)*(H$3:H$135&lt;&gt;H82)*(I$3:I$135="P")),-1*SUMPRODUCT((P$3:P$135="")*(O$3:O$135="")*(N$3:N$135="")*(M$3:M$135="P")*(G$3:G$135=G82)*(J$3:J$135&gt;J82)*(H$3:H$135="L5")*(I$3:I$135="P")))+1,"")))))</f>
        <v/>
      </c>
      <c r="B82" s="1" t="str" cm="1">
        <f t="array" ref="B82">IF(P82&lt;&gt;"",SUMPRODUCT((P$3:P$135&lt;&gt;"")*(G$3:G$135=G82)*(J$3:J$135&gt;J82))+1,IF(O82&lt;&gt;"",SUMPRODUCT((O$3:O$135&lt;&gt;"")*(P$3:P$135="")*(G$3:G$135=G82)*(J$3:J$135&gt;J82))+SUMPRODUCT((P$3:P$135&lt;&gt;"")*(G$3:G$135=G82))+1,IF(N82&lt;&gt;"",SUMPRODUCT((N$3:N$135&lt;&gt;"")*(G$3:G$135=G82)*(J$3:J$135&gt;J82))+1,IF(M82="P",SUMPRODUCT((O$3:O$135&lt;&gt;"")*(P$3:P$135="")*(G$3:G$135=G82))+SUMPRODUCT((P$3:P$135&lt;&gt;"")*(G$3:G$135=G82))+SUMPRODUCT((N$3:N$135&lt;&gt;"")*(G$3:G$135=G82))+SUMPRODUCT((P$3:P$135="")*(O$3:O$135="")*(N$3:N$135="")*(M$3:M$135="P")*(G$3:G$135=G82)*(J$3:J$135&gt;J82))+IF(H82="L5",SUMPRODUCT((P$3:P$135="")*(O$3:O$135="")*(N$3:N$135="")*(M$3:M$135="P")*(G$3:G$135=G82)*(J$3:J$135&lt;J82)*(H$3:H$135&lt;&gt;H82)),-1*SUMPRODUCT((P$3:P$135="")*(O$3:O$135="")*(N$3:N$135="")*(M$3:M$135="P")*(G$3:G$135=G82)*(J$3:J$135&gt;J82)*(H$3:H$135="L5")))+1,""))))</f>
        <v/>
      </c>
      <c r="C82" s="36" t="s">
        <v>464</v>
      </c>
      <c r="D82" s="36" t="str">
        <f>IF(E82="","",VLOOKUP(E82,'Coaching Points'!A:B,2,0))</f>
        <v>BC</v>
      </c>
      <c r="E82" s="36" t="s">
        <v>46</v>
      </c>
      <c r="F82" s="35">
        <v>2005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66</v>
      </c>
      <c r="I82" s="43"/>
      <c r="J82" s="4">
        <f t="shared" si="10"/>
        <v>41.570003743000001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37.43</v>
      </c>
      <c r="S82" s="4">
        <f>IF(G82="17-21",LARGE(CHOOSE({1,2,3,4,5,6},T82,V82,Y82,AA82,AC82,AF82),2),IF(R82=X82,MAX(Y82,AA82,AC82,AF82),IF(R82=AE82,MAX(AF82,T82,V82,Y82),0)))</f>
        <v>4.1399999999999997</v>
      </c>
      <c r="T82" s="33"/>
      <c r="U82" s="40"/>
      <c r="V82" s="34"/>
      <c r="W82" s="40"/>
      <c r="X82" s="4">
        <f t="shared" si="13"/>
        <v>0</v>
      </c>
      <c r="Y82" s="34"/>
      <c r="Z82" s="40"/>
      <c r="AA82" s="33">
        <v>37.43</v>
      </c>
      <c r="AB82" s="40">
        <v>0</v>
      </c>
      <c r="AC82" s="34">
        <v>4.1399999999999997</v>
      </c>
      <c r="AD82" s="40">
        <v>0.5</v>
      </c>
      <c r="AE82" s="4">
        <f t="shared" si="14"/>
        <v>41.57</v>
      </c>
      <c r="AF82" s="34"/>
      <c r="AG82" s="37"/>
    </row>
    <row r="83" spans="1:33" x14ac:dyDescent="0.2">
      <c r="A83" s="1" t="str" cm="1">
        <f t="array" ref="A83">IF(I83="","",IF(P83&lt;&gt;"",SUMPRODUCT((P$3:P$135&lt;&gt;"")*(G$3:G$135=G83)*(J$3:J$135&gt;J83)*(I$3:I$135="P"))+1,IF(O83&lt;&gt;"",SUMPRODUCT((O$3:O$135&lt;&gt;"")*(P$3:P$135="")*(G$3:G$135=G83)*(J$3:J$135&gt;J83)*(I$3:I$135="P"))+SUMPRODUCT((P$3:P$135&lt;&gt;"")*(G$3:G$135=G83)*(I$3:I$135="P"))+1,IF(N83&lt;&gt;"",SUMPRODUCT((N$3:N$135&lt;&gt;"")*(G$3:G$135=G83)*(J$3:J$135&gt;J83)*(I$3:I$135="P"))+1,IF(M83="P",SUMPRODUCT((O$3:O$135&lt;&gt;"")*(P$3:P$135="")*(G$3:G$135=G83)*(I$3:I$135="P"))+SUMPRODUCT((P$3:P$135&lt;&gt;"")*(G$3:G$135=G83)*(I$3:I$135="P"))+SUMPRODUCT((N$3:N$135&lt;&gt;"")*(G$3:G$135=G83)*(I$3:I$135="P"))+SUMPRODUCT((P$3:P$135="")*(O$3:O$135="")*(N$3:N$135="")*(M$3:M$135="P")*(G$3:G$135=G83)*(J$3:J$135&gt;J83)*(I$3:I$135="P"))+IF(H83="L5",SUMPRODUCT((P$3:P$135="")*(O$3:O$135="")*(N$3:N$135="")*(M$3:M$135="P")*(G$3:G$135=G83)*(J$3:J$135&lt;J83)*(H$3:H$135&lt;&gt;H83)*(I$3:I$135="P")),-1*SUMPRODUCT((P$3:P$135="")*(O$3:O$135="")*(N$3:N$135="")*(M$3:M$135="P")*(G$3:G$135=G83)*(J$3:J$135&gt;J83)*(H$3:H$135="L5")*(I$3:I$135="P")))+1,"")))))</f>
        <v/>
      </c>
      <c r="B83" s="1" t="str" cm="1">
        <f t="array" ref="B83">IF(P83&lt;&gt;"",SUMPRODUCT((P$3:P$135&lt;&gt;"")*(G$3:G$135=G83)*(J$3:J$135&gt;J83))+1,IF(O83&lt;&gt;"",SUMPRODUCT((O$3:O$135&lt;&gt;"")*(P$3:P$135="")*(G$3:G$135=G83)*(J$3:J$135&gt;J83))+SUMPRODUCT((P$3:P$135&lt;&gt;"")*(G$3:G$135=G83))+1,IF(N83&lt;&gt;"",SUMPRODUCT((N$3:N$135&lt;&gt;"")*(G$3:G$135=G83)*(J$3:J$135&gt;J83))+1,IF(M83="P",SUMPRODUCT((O$3:O$135&lt;&gt;"")*(P$3:P$135="")*(G$3:G$135=G83))+SUMPRODUCT((P$3:P$135&lt;&gt;"")*(G$3:G$135=G83))+SUMPRODUCT((N$3:N$135&lt;&gt;"")*(G$3:G$135=G83))+SUMPRODUCT((P$3:P$135="")*(O$3:O$135="")*(N$3:N$135="")*(M$3:M$135="P")*(G$3:G$135=G83)*(J$3:J$135&gt;J83))+IF(H83="L5",SUMPRODUCT((P$3:P$135="")*(O$3:O$135="")*(N$3:N$135="")*(M$3:M$135="P")*(G$3:G$135=G83)*(J$3:J$135&lt;J83)*(H$3:H$135&lt;&gt;H83)),-1*SUMPRODUCT((P$3:P$135="")*(O$3:O$135="")*(N$3:N$135="")*(M$3:M$135="P")*(G$3:G$135=G83)*(J$3:J$135&gt;J83)*(H$3:H$135="L5")))+1,""))))</f>
        <v/>
      </c>
      <c r="C83" s="36" t="s">
        <v>247</v>
      </c>
      <c r="D83" s="36" t="str">
        <f>IF(E83="","",VLOOKUP(E83,'Coaching Points'!A:B,2,0))</f>
        <v>BC</v>
      </c>
      <c r="E83" s="36" t="s">
        <v>41</v>
      </c>
      <c r="F83" s="35">
        <v>2004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 t="shared" si="10"/>
        <v>40.300001277999996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27.46</v>
      </c>
      <c r="S83" s="4">
        <f>IF(G83="17-21",LARGE(CHOOSE({1,2,3,4,5,6},T83,V83,Y83,AA83,AC83,AF83),2),IF(R83=X83,MAX(Y83,AA83,AC83,AF83),IF(R83=AE83,MAX(AF83,T83,V83,Y83),0)))</f>
        <v>12.84</v>
      </c>
      <c r="T83" s="33">
        <v>27.46</v>
      </c>
      <c r="U83" s="40">
        <v>0</v>
      </c>
      <c r="V83" s="34">
        <v>12.84</v>
      </c>
      <c r="W83" s="40">
        <v>2.9</v>
      </c>
      <c r="X83" s="4">
        <f t="shared" si="13"/>
        <v>40.299999999999997</v>
      </c>
      <c r="Y83" s="34"/>
      <c r="Z83" s="40"/>
      <c r="AA83" s="33">
        <v>12.78</v>
      </c>
      <c r="AB83" s="40">
        <v>0</v>
      </c>
      <c r="AC83" s="34">
        <v>4.79</v>
      </c>
      <c r="AD83" s="40">
        <v>1.3</v>
      </c>
      <c r="AE83" s="4">
        <f t="shared" si="14"/>
        <v>17.57</v>
      </c>
      <c r="AF83" s="34"/>
      <c r="AG83" s="37"/>
    </row>
    <row r="84" spans="1:33" x14ac:dyDescent="0.2">
      <c r="A84" s="1" t="str" cm="1">
        <f t="array" ref="A84">IF(I84="","",IF(P84&lt;&gt;"",SUMPRODUCT((P$3:P$135&lt;&gt;"")*(G$3:G$135=G84)*(J$3:J$135&gt;J84)*(I$3:I$135="P"))+1,IF(O84&lt;&gt;"",SUMPRODUCT((O$3:O$135&lt;&gt;"")*(P$3:P$135="")*(G$3:G$135=G84)*(J$3:J$135&gt;J84)*(I$3:I$135="P"))+SUMPRODUCT((P$3:P$135&lt;&gt;"")*(G$3:G$135=G84)*(I$3:I$135="P"))+1,IF(N84&lt;&gt;"",SUMPRODUCT((N$3:N$135&lt;&gt;"")*(G$3:G$135=G84)*(J$3:J$135&gt;J84)*(I$3:I$135="P"))+1,IF(M84="P",SUMPRODUCT((O$3:O$135&lt;&gt;"")*(P$3:P$135="")*(G$3:G$135=G84)*(I$3:I$135="P"))+SUMPRODUCT((P$3:P$135&lt;&gt;"")*(G$3:G$135=G84)*(I$3:I$135="P"))+SUMPRODUCT((N$3:N$135&lt;&gt;"")*(G$3:G$135=G84)*(I$3:I$135="P"))+SUMPRODUCT((P$3:P$135="")*(O$3:O$135="")*(N$3:N$135="")*(M$3:M$135="P")*(G$3:G$135=G84)*(J$3:J$135&gt;J84)*(I$3:I$135="P"))+IF(H84="L5",SUMPRODUCT((P$3:P$135="")*(O$3:O$135="")*(N$3:N$135="")*(M$3:M$135="P")*(G$3:G$135=G84)*(J$3:J$135&lt;J84)*(H$3:H$135&lt;&gt;H84)*(I$3:I$135="P")),-1*SUMPRODUCT((P$3:P$135="")*(O$3:O$135="")*(N$3:N$135="")*(M$3:M$135="P")*(G$3:G$135=G84)*(J$3:J$135&gt;J84)*(H$3:H$135="L5")*(I$3:I$135="P")))+1,"")))))</f>
        <v/>
      </c>
      <c r="B84" s="1" t="str" cm="1">
        <f t="array" ref="B84">IF(P84&lt;&gt;"",SUMPRODUCT((P$3:P$135&lt;&gt;"")*(G$3:G$135=G84)*(J$3:J$135&gt;J84))+1,IF(O84&lt;&gt;"",SUMPRODUCT((O$3:O$135&lt;&gt;"")*(P$3:P$135="")*(G$3:G$135=G84)*(J$3:J$135&gt;J84))+SUMPRODUCT((P$3:P$135&lt;&gt;"")*(G$3:G$135=G84))+1,IF(N84&lt;&gt;"",SUMPRODUCT((N$3:N$135&lt;&gt;"")*(G$3:G$135=G84)*(J$3:J$135&gt;J84))+1,IF(M84="P",SUMPRODUCT((O$3:O$135&lt;&gt;"")*(P$3:P$135="")*(G$3:G$135=G84))+SUMPRODUCT((P$3:P$135&lt;&gt;"")*(G$3:G$135=G84))+SUMPRODUCT((N$3:N$135&lt;&gt;"")*(G$3:G$135=G84))+SUMPRODUCT((P$3:P$135="")*(O$3:O$135="")*(N$3:N$135="")*(M$3:M$135="P")*(G$3:G$135=G84)*(J$3:J$135&gt;J84))+IF(H84="L5",SUMPRODUCT((P$3:P$135="")*(O$3:O$135="")*(N$3:N$135="")*(M$3:M$135="P")*(G$3:G$135=G84)*(J$3:J$135&lt;J84)*(H$3:H$135&lt;&gt;H84)),-1*SUMPRODUCT((P$3:P$135="")*(O$3:O$135="")*(N$3:N$135="")*(M$3:M$135="P")*(G$3:G$135=G84)*(J$3:J$135&gt;J84)*(H$3:H$135="L5")))+1,""))))</f>
        <v/>
      </c>
      <c r="C84" s="36" t="s">
        <v>540</v>
      </c>
      <c r="D84" s="36" t="str">
        <f>IF(E84="","",VLOOKUP(E84,'Coaching Points'!A:B,2,0))</f>
        <v>ON</v>
      </c>
      <c r="E84" s="36" t="s">
        <v>288</v>
      </c>
      <c r="F84" s="35">
        <v>2004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17-21</v>
      </c>
      <c r="H84" s="39" t="s">
        <v>68</v>
      </c>
      <c r="I84" s="43"/>
      <c r="J84" s="4">
        <f t="shared" si="10"/>
        <v>39.790102582000003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 t="shared" si="11"/>
        <v/>
      </c>
      <c r="R84" s="4">
        <f t="shared" si="12"/>
        <v>25.82</v>
      </c>
      <c r="S84" s="4">
        <f>IF(G84="17-21",LARGE(CHOOSE({1,2,3,4,5,6},T84,V84,Y84,AA84,AC84,AF84),2),IF(R84=X84,MAX(Y84,AA84,AC84,AF84),IF(R84=AE84,MAX(AF84,T84,V84,Y84),0)))</f>
        <v>13.97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13.97</v>
      </c>
      <c r="AB84" s="40">
        <v>3.6</v>
      </c>
      <c r="AC84" s="34">
        <v>25.82</v>
      </c>
      <c r="AD84" s="40">
        <v>5.2</v>
      </c>
      <c r="AE84" s="4">
        <f t="shared" si="14"/>
        <v>39.79</v>
      </c>
      <c r="AF84" s="34"/>
      <c r="AG84" s="37"/>
    </row>
    <row r="85" spans="1:33" x14ac:dyDescent="0.2">
      <c r="A85" s="1" t="str" cm="1">
        <f t="array" ref="A85">IF(I85="","",IF(P85&lt;&gt;"",SUMPRODUCT((P$3:P$135&lt;&gt;"")*(G$3:G$135=G85)*(J$3:J$135&gt;J85)*(I$3:I$135="P"))+1,IF(O85&lt;&gt;"",SUMPRODUCT((O$3:O$135&lt;&gt;"")*(P$3:P$135="")*(G$3:G$135=G85)*(J$3:J$135&gt;J85)*(I$3:I$135="P"))+SUMPRODUCT((P$3:P$135&lt;&gt;"")*(G$3:G$135=G85)*(I$3:I$135="P"))+1,IF(N85&lt;&gt;"",SUMPRODUCT((N$3:N$135&lt;&gt;"")*(G$3:G$135=G85)*(J$3:J$135&gt;J85)*(I$3:I$135="P"))+1,IF(M85="P",SUMPRODUCT((O$3:O$135&lt;&gt;"")*(P$3:P$135="")*(G$3:G$135=G85)*(I$3:I$135="P"))+SUMPRODUCT((P$3:P$135&lt;&gt;"")*(G$3:G$135=G85)*(I$3:I$135="P"))+SUMPRODUCT((N$3:N$135&lt;&gt;"")*(G$3:G$135=G85)*(I$3:I$135="P"))+SUMPRODUCT((P$3:P$135="")*(O$3:O$135="")*(N$3:N$135="")*(M$3:M$135="P")*(G$3:G$135=G85)*(J$3:J$135&gt;J85)*(I$3:I$135="P"))+IF(H85="L5",SUMPRODUCT((P$3:P$135="")*(O$3:O$135="")*(N$3:N$135="")*(M$3:M$135="P")*(G$3:G$135=G85)*(J$3:J$135&lt;J85)*(H$3:H$135&lt;&gt;H85)*(I$3:I$135="P")),-1*SUMPRODUCT((P$3:P$135="")*(O$3:O$135="")*(N$3:N$135="")*(M$3:M$135="P")*(G$3:G$135=G85)*(J$3:J$135&gt;J85)*(H$3:H$135="L5")*(I$3:I$135="P")))+1,"")))))</f>
        <v/>
      </c>
      <c r="B85" s="1" t="str" cm="1">
        <f t="array" ref="B85">IF(P85&lt;&gt;"",SUMPRODUCT((P$3:P$135&lt;&gt;"")*(G$3:G$135=G85)*(J$3:J$135&gt;J85))+1,IF(O85&lt;&gt;"",SUMPRODUCT((O$3:O$135&lt;&gt;"")*(P$3:P$135="")*(G$3:G$135=G85)*(J$3:J$135&gt;J85))+SUMPRODUCT((P$3:P$135&lt;&gt;"")*(G$3:G$135=G85))+1,IF(N85&lt;&gt;"",SUMPRODUCT((N$3:N$135&lt;&gt;"")*(G$3:G$135=G85)*(J$3:J$135&gt;J85))+1,IF(M85="P",SUMPRODUCT((O$3:O$135&lt;&gt;"")*(P$3:P$135="")*(G$3:G$135=G85))+SUMPRODUCT((P$3:P$135&lt;&gt;"")*(G$3:G$135=G85))+SUMPRODUCT((N$3:N$135&lt;&gt;"")*(G$3:G$135=G85))+SUMPRODUCT((P$3:P$135="")*(O$3:O$135="")*(N$3:N$135="")*(M$3:M$135="P")*(G$3:G$135=G85)*(J$3:J$135&gt;J85))+IF(H85="L5",SUMPRODUCT((P$3:P$135="")*(O$3:O$135="")*(N$3:N$135="")*(M$3:M$135="P")*(G$3:G$135=G85)*(J$3:J$135&lt;J85)*(H$3:H$135&lt;&gt;H85)),-1*SUMPRODUCT((P$3:P$135="")*(O$3:O$135="")*(N$3:N$135="")*(M$3:M$135="P")*(G$3:G$135=G85)*(J$3:J$135&gt;J85)*(H$3:H$135="L5")))+1,""))))</f>
        <v/>
      </c>
      <c r="C85" s="36" t="s">
        <v>465</v>
      </c>
      <c r="D85" s="36" t="str">
        <f>IF(E85="","",VLOOKUP(E85,'Coaching Points'!A:B,2,0))</f>
        <v>NB</v>
      </c>
      <c r="E85" s="36" t="s">
        <v>48</v>
      </c>
      <c r="F85" s="35">
        <v>2005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17-21</v>
      </c>
      <c r="H85" s="39" t="s">
        <v>66</v>
      </c>
      <c r="I85" s="43"/>
      <c r="J85" s="4">
        <f t="shared" si="10"/>
        <v>34.460002549000002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25.49</v>
      </c>
      <c r="S85" s="4">
        <f>IF(G85="17-21",LARGE(CHOOSE({1,2,3,4,5,6},T85,V85,Y85,AA85,AC85,AF85),2),IF(R85=X85,MAX(Y85,AA85,AC85,AF85),IF(R85=AE85,MAX(AF85,T85,V85,Y85),0)))</f>
        <v>8.9700000000000006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25.49</v>
      </c>
      <c r="AB85" s="40">
        <v>0</v>
      </c>
      <c r="AC85" s="34">
        <v>8.9700000000000006</v>
      </c>
      <c r="AD85" s="40">
        <v>1.8</v>
      </c>
      <c r="AE85" s="4">
        <f t="shared" si="14"/>
        <v>34.46</v>
      </c>
      <c r="AF85" s="34"/>
      <c r="AG85" s="37"/>
    </row>
    <row r="86" spans="1:33" x14ac:dyDescent="0.2">
      <c r="A86" s="1" t="str" cm="1">
        <f t="array" ref="A86">IF(I86="","",IF(P86&lt;&gt;"",SUMPRODUCT((P$3:P$135&lt;&gt;"")*(G$3:G$135=G86)*(J$3:J$135&gt;J86)*(I$3:I$135="P"))+1,IF(O86&lt;&gt;"",SUMPRODUCT((O$3:O$135&lt;&gt;"")*(P$3:P$135="")*(G$3:G$135=G86)*(J$3:J$135&gt;J86)*(I$3:I$135="P"))+SUMPRODUCT((P$3:P$135&lt;&gt;"")*(G$3:G$135=G86)*(I$3:I$135="P"))+1,IF(N86&lt;&gt;"",SUMPRODUCT((N$3:N$135&lt;&gt;"")*(G$3:G$135=G86)*(J$3:J$135&gt;J86)*(I$3:I$135="P"))+1,IF(M86="P",SUMPRODUCT((O$3:O$135&lt;&gt;"")*(P$3:P$135="")*(G$3:G$135=G86)*(I$3:I$135="P"))+SUMPRODUCT((P$3:P$135&lt;&gt;"")*(G$3:G$135=G86)*(I$3:I$135="P"))+SUMPRODUCT((N$3:N$135&lt;&gt;"")*(G$3:G$135=G86)*(I$3:I$135="P"))+SUMPRODUCT((P$3:P$135="")*(O$3:O$135="")*(N$3:N$135="")*(M$3:M$135="P")*(G$3:G$135=G86)*(J$3:J$135&gt;J86)*(I$3:I$135="P"))+IF(H86="L5",SUMPRODUCT((P$3:P$135="")*(O$3:O$135="")*(N$3:N$135="")*(M$3:M$135="P")*(G$3:G$135=G86)*(J$3:J$135&lt;J86)*(H$3:H$135&lt;&gt;H86)*(I$3:I$135="P")),-1*SUMPRODUCT((P$3:P$135="")*(O$3:O$135="")*(N$3:N$135="")*(M$3:M$135="P")*(G$3:G$135=G86)*(J$3:J$135&gt;J86)*(H$3:H$135="L5")*(I$3:I$135="P")))+1,"")))))</f>
        <v/>
      </c>
      <c r="B86" s="1" cm="1">
        <f t="array" ref="B86">IF(P86&lt;&gt;"",SUMPRODUCT((P$3:P$135&lt;&gt;"")*(G$3:G$135=G86)*(J$3:J$135&gt;J86))+1,IF(O86&lt;&gt;"",SUMPRODUCT((O$3:O$135&lt;&gt;"")*(P$3:P$135="")*(G$3:G$135=G86)*(J$3:J$135&gt;J86))+SUMPRODUCT((P$3:P$135&lt;&gt;"")*(G$3:G$135=G86))+1,IF(N86&lt;&gt;"",SUMPRODUCT((N$3:N$135&lt;&gt;"")*(G$3:G$135=G86)*(J$3:J$135&gt;J86))+1,IF(M86="P",SUMPRODUCT((O$3:O$135&lt;&gt;"")*(P$3:P$135="")*(G$3:G$135=G86))+SUMPRODUCT((P$3:P$135&lt;&gt;"")*(G$3:G$135=G86))+SUMPRODUCT((N$3:N$135&lt;&gt;"")*(G$3:G$135=G86))+SUMPRODUCT((P$3:P$135="")*(O$3:O$135="")*(N$3:N$135="")*(M$3:M$135="P")*(G$3:G$135=G86)*(J$3:J$135&gt;J86))+IF(H86="L5",SUMPRODUCT((P$3:P$135="")*(O$3:O$135="")*(N$3:N$135="")*(M$3:M$135="P")*(G$3:G$135=G86)*(J$3:J$135&lt;J86)*(H$3:H$135&lt;&gt;H86)),-1*SUMPRODUCT((P$3:P$135="")*(O$3:O$135="")*(N$3:N$135="")*(M$3:M$135="P")*(G$3:G$135=G86)*(J$3:J$135&gt;J86)*(H$3:H$135="L5")))+1,""))))</f>
        <v>1</v>
      </c>
      <c r="C86" s="36" t="s">
        <v>150</v>
      </c>
      <c r="D86" s="36" t="str">
        <f>IF(E86="","",VLOOKUP(E86,'Coaching Points'!A:B,2,0))</f>
        <v>QC</v>
      </c>
      <c r="E86" s="36" t="s">
        <v>84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/>
      <c r="J86" s="4">
        <f t="shared" si="10"/>
        <v>140.86020910099998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>P</v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>P</v>
      </c>
      <c r="N86" s="39">
        <v>1</v>
      </c>
      <c r="Q86" s="1" t="str">
        <f t="shared" si="11"/>
        <v/>
      </c>
      <c r="R86" s="4">
        <f t="shared" si="12"/>
        <v>91.009999999999991</v>
      </c>
      <c r="S86" s="4">
        <f>IF(G86="17-21",LARGE(CHOOSE({1,2,3,4,5,6},T86,V86,Y86,AA86,AC86,AF86),2),IF(R86=X86,MAX(Y86,AA86,AC86,AF86),IF(R86=AE86,MAX(AF86,T86,V86,Y86),0)))</f>
        <v>49.85</v>
      </c>
      <c r="T86" s="33">
        <v>40.86</v>
      </c>
      <c r="U86" s="40">
        <v>0</v>
      </c>
      <c r="V86" s="34">
        <v>49.06</v>
      </c>
      <c r="W86" s="40">
        <v>11.5</v>
      </c>
      <c r="X86" s="4">
        <f t="shared" si="13"/>
        <v>89.92</v>
      </c>
      <c r="Y86" s="34">
        <v>49.85</v>
      </c>
      <c r="Z86" s="40">
        <v>11.5</v>
      </c>
      <c r="AA86" s="33">
        <v>41.82</v>
      </c>
      <c r="AB86" s="40">
        <v>0</v>
      </c>
      <c r="AC86" s="34">
        <v>49.19</v>
      </c>
      <c r="AD86" s="40">
        <v>11.7</v>
      </c>
      <c r="AE86" s="4">
        <f t="shared" si="14"/>
        <v>91.009999999999991</v>
      </c>
      <c r="AF86" s="34">
        <v>49.47</v>
      </c>
      <c r="AG86" s="37">
        <v>11.7</v>
      </c>
    </row>
    <row r="87" spans="1:33" x14ac:dyDescent="0.2">
      <c r="A87" s="1" t="str" cm="1">
        <f t="array" ref="A87">IF(I87="","",IF(P87&lt;&gt;"",SUMPRODUCT((P$3:P$135&lt;&gt;"")*(G$3:G$135=G87)*(J$3:J$135&gt;J87)*(I$3:I$135="P"))+1,IF(O87&lt;&gt;"",SUMPRODUCT((O$3:O$135&lt;&gt;"")*(P$3:P$135="")*(G$3:G$135=G87)*(J$3:J$135&gt;J87)*(I$3:I$135="P"))+SUMPRODUCT((P$3:P$135&lt;&gt;"")*(G$3:G$135=G87)*(I$3:I$135="P"))+1,IF(N87&lt;&gt;"",SUMPRODUCT((N$3:N$135&lt;&gt;"")*(G$3:G$135=G87)*(J$3:J$135&gt;J87)*(I$3:I$135="P"))+1,IF(M87="P",SUMPRODUCT((O$3:O$135&lt;&gt;"")*(P$3:P$135="")*(G$3:G$135=G87)*(I$3:I$135="P"))+SUMPRODUCT((P$3:P$135&lt;&gt;"")*(G$3:G$135=G87)*(I$3:I$135="P"))+SUMPRODUCT((N$3:N$135&lt;&gt;"")*(G$3:G$135=G87)*(I$3:I$135="P"))+SUMPRODUCT((P$3:P$135="")*(O$3:O$135="")*(N$3:N$135="")*(M$3:M$135="P")*(G$3:G$135=G87)*(J$3:J$135&gt;J87)*(I$3:I$135="P"))+IF(H87="L5",SUMPRODUCT((P$3:P$135="")*(O$3:O$135="")*(N$3:N$135="")*(M$3:M$135="P")*(G$3:G$135=G87)*(J$3:J$135&lt;J87)*(H$3:H$135&lt;&gt;H87)*(I$3:I$135="P")),-1*SUMPRODUCT((P$3:P$135="")*(O$3:O$135="")*(N$3:N$135="")*(M$3:M$135="P")*(G$3:G$135=G87)*(J$3:J$135&gt;J87)*(H$3:H$135="L5")*(I$3:I$135="P")))+1,"")))))</f>
        <v/>
      </c>
      <c r="B87" s="1" t="str" cm="1">
        <f t="array" ref="B87">IF(P87&lt;&gt;"",SUMPRODUCT((P$3:P$135&lt;&gt;"")*(G$3:G$135=G87)*(J$3:J$135&gt;J87))+1,IF(O87&lt;&gt;"",SUMPRODUCT((O$3:O$135&lt;&gt;"")*(P$3:P$135="")*(G$3:G$135=G87)*(J$3:J$135&gt;J87))+SUMPRODUCT((P$3:P$135&lt;&gt;"")*(G$3:G$135=G87))+1,IF(N87&lt;&gt;"",SUMPRODUCT((N$3:N$135&lt;&gt;"")*(G$3:G$135=G87)*(J$3:J$135&gt;J87))+1,IF(M87="P",SUMPRODUCT((O$3:O$135&lt;&gt;"")*(P$3:P$135="")*(G$3:G$135=G87))+SUMPRODUCT((P$3:P$135&lt;&gt;"")*(G$3:G$135=G87))+SUMPRODUCT((N$3:N$135&lt;&gt;"")*(G$3:G$135=G87))+SUMPRODUCT((P$3:P$135="")*(O$3:O$135="")*(N$3:N$135="")*(M$3:M$135="P")*(G$3:G$135=G87)*(J$3:J$135&gt;J87))+IF(H87="L5",SUMPRODUCT((P$3:P$135="")*(O$3:O$135="")*(N$3:N$135="")*(M$3:M$135="P")*(G$3:G$135=G87)*(J$3:J$135&lt;J87)*(H$3:H$135&lt;&gt;H87)),-1*SUMPRODUCT((P$3:P$135="")*(O$3:O$135="")*(N$3:N$135="")*(M$3:M$135="P")*(G$3:G$135=G87)*(J$3:J$135&gt;J87)*(H$3:H$135="L5")))+1,""))))</f>
        <v/>
      </c>
      <c r="C87" s="36" t="s">
        <v>153</v>
      </c>
      <c r="D87" s="36" t="str">
        <f>IF(E87="","",VLOOKUP(E87,'Coaching Points'!A:B,2,0))</f>
        <v>BC</v>
      </c>
      <c r="E87" s="36" t="s">
        <v>46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65</v>
      </c>
      <c r="I87" s="43"/>
      <c r="J87" s="4">
        <f t="shared" si="10"/>
        <v>137.72020465700001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>P</v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88.27</v>
      </c>
      <c r="S87" s="4">
        <f>IF(G87="17-21",LARGE(CHOOSE({1,2,3,4,5,6},T87,V87,Y87,AA87,AC87,AF87),2),IF(R87=X87,MAX(Y87,AA87,AC87,AF87),IF(R87=AE87,MAX(AF87,T87,V87,Y87),0)))</f>
        <v>49.45</v>
      </c>
      <c r="T87" s="33">
        <v>40.729999999999997</v>
      </c>
      <c r="U87" s="40">
        <v>0</v>
      </c>
      <c r="V87" s="34">
        <v>47.54</v>
      </c>
      <c r="W87" s="40">
        <v>10.9</v>
      </c>
      <c r="X87" s="4">
        <f t="shared" si="13"/>
        <v>88.27</v>
      </c>
      <c r="Y87" s="34">
        <v>49.45</v>
      </c>
      <c r="Z87" s="40">
        <v>10.7</v>
      </c>
      <c r="AA87" s="33">
        <v>41.35</v>
      </c>
      <c r="AB87" s="40">
        <v>0</v>
      </c>
      <c r="AC87" s="34">
        <v>5.22</v>
      </c>
      <c r="AD87" s="40">
        <v>1.5</v>
      </c>
      <c r="AE87" s="4">
        <f t="shared" si="14"/>
        <v>46.57</v>
      </c>
      <c r="AF87" s="34"/>
      <c r="AG87" s="37"/>
    </row>
    <row r="88" spans="1:33" x14ac:dyDescent="0.2">
      <c r="A88" s="1" t="str" cm="1">
        <f t="array" ref="A88">IF(I88="","",IF(P88&lt;&gt;"",SUMPRODUCT((P$3:P$135&lt;&gt;"")*(G$3:G$135=G88)*(J$3:J$135&gt;J88)*(I$3:I$135="P"))+1,IF(O88&lt;&gt;"",SUMPRODUCT((O$3:O$135&lt;&gt;"")*(P$3:P$135="")*(G$3:G$135=G88)*(J$3:J$135&gt;J88)*(I$3:I$135="P"))+SUMPRODUCT((P$3:P$135&lt;&gt;"")*(G$3:G$135=G88)*(I$3:I$135="P"))+1,IF(N88&lt;&gt;"",SUMPRODUCT((N$3:N$135&lt;&gt;"")*(G$3:G$135=G88)*(J$3:J$135&gt;J88)*(I$3:I$135="P"))+1,IF(M88="P",SUMPRODUCT((O$3:O$135&lt;&gt;"")*(P$3:P$135="")*(G$3:G$135=G88)*(I$3:I$135="P"))+SUMPRODUCT((P$3:P$135&lt;&gt;"")*(G$3:G$135=G88)*(I$3:I$135="P"))+SUMPRODUCT((N$3:N$135&lt;&gt;"")*(G$3:G$135=G88)*(I$3:I$135="P"))+SUMPRODUCT((P$3:P$135="")*(O$3:O$135="")*(N$3:N$135="")*(M$3:M$135="P")*(G$3:G$135=G88)*(J$3:J$135&gt;J88)*(I$3:I$135="P"))+IF(H88="L5",SUMPRODUCT((P$3:P$135="")*(O$3:O$135="")*(N$3:N$135="")*(M$3:M$135="P")*(G$3:G$135=G88)*(J$3:J$135&lt;J88)*(H$3:H$135&lt;&gt;H88)*(I$3:I$135="P")),-1*SUMPRODUCT((P$3:P$135="")*(O$3:O$135="")*(N$3:N$135="")*(M$3:M$135="P")*(G$3:G$135=G88)*(J$3:J$135&gt;J88)*(H$3:H$135="L5")*(I$3:I$135="P")))+1,"")))))</f>
        <v/>
      </c>
      <c r="B88" s="1" t="str" cm="1">
        <f t="array" ref="B88">IF(P88&lt;&gt;"",SUMPRODUCT((P$3:P$135&lt;&gt;"")*(G$3:G$135=G88)*(J$3:J$135&gt;J88))+1,IF(O88&lt;&gt;"",SUMPRODUCT((O$3:O$135&lt;&gt;"")*(P$3:P$135="")*(G$3:G$135=G88)*(J$3:J$135&gt;J88))+SUMPRODUCT((P$3:P$135&lt;&gt;"")*(G$3:G$135=G88))+1,IF(N88&lt;&gt;"",SUMPRODUCT((N$3:N$135&lt;&gt;"")*(G$3:G$135=G88)*(J$3:J$135&gt;J88))+1,IF(M88="P",SUMPRODUCT((O$3:O$135&lt;&gt;"")*(P$3:P$135="")*(G$3:G$135=G88))+SUMPRODUCT((P$3:P$135&lt;&gt;"")*(G$3:G$135=G88))+SUMPRODUCT((N$3:N$135&lt;&gt;"")*(G$3:G$135=G88))+SUMPRODUCT((P$3:P$135="")*(O$3:O$135="")*(N$3:N$135="")*(M$3:M$135="P")*(G$3:G$135=G88)*(J$3:J$135&gt;J88))+IF(H88="L5",SUMPRODUCT((P$3:P$135="")*(O$3:O$135="")*(N$3:N$135="")*(M$3:M$135="P")*(G$3:G$135=G88)*(J$3:J$135&lt;J88)*(H$3:H$135&lt;&gt;H88)),-1*SUMPRODUCT((P$3:P$135="")*(O$3:O$135="")*(N$3:N$135="")*(M$3:M$135="P")*(G$3:G$135=G88)*(J$3:J$135&gt;J88)*(H$3:H$135="L5")))+1,""))))</f>
        <v/>
      </c>
      <c r="C88" s="36" t="s">
        <v>119</v>
      </c>
      <c r="D88" s="36" t="str">
        <f>IF(E88="","",VLOOKUP(E88,'Coaching Points'!A:B,2,0))</f>
        <v>BC</v>
      </c>
      <c r="E88" s="36" t="s">
        <v>46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67</v>
      </c>
      <c r="I88" s="43"/>
      <c r="J88" s="4">
        <f t="shared" si="10"/>
        <v>134.71010864200002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87.240000000000009</v>
      </c>
      <c r="S88" s="4">
        <f>IF(G88="17-21",LARGE(CHOOSE({1,2,3,4,5,6},T88,V88,Y88,AA88,AC88,AF88),2),IF(R88=X88,MAX(Y88,AA88,AC88,AF88),IF(R88=AE88,MAX(AF88,T88,V88,Y88),0)))</f>
        <v>47.47</v>
      </c>
      <c r="T88" s="33">
        <v>40.25</v>
      </c>
      <c r="U88" s="40">
        <v>0</v>
      </c>
      <c r="V88" s="34">
        <v>46.99</v>
      </c>
      <c r="W88" s="40">
        <v>10</v>
      </c>
      <c r="X88" s="4">
        <f t="shared" si="13"/>
        <v>87.240000000000009</v>
      </c>
      <c r="Y88" s="34">
        <v>47.47</v>
      </c>
      <c r="Z88" s="40">
        <v>10</v>
      </c>
      <c r="AA88" s="33">
        <v>39.78</v>
      </c>
      <c r="AB88" s="40">
        <v>0</v>
      </c>
      <c r="AC88" s="34">
        <v>46.64</v>
      </c>
      <c r="AD88" s="40">
        <v>11</v>
      </c>
      <c r="AE88" s="4">
        <f t="shared" si="14"/>
        <v>86.42</v>
      </c>
      <c r="AF88" s="34">
        <v>5.37</v>
      </c>
      <c r="AG88" s="37">
        <v>1.5</v>
      </c>
    </row>
    <row r="89" spans="1:33" x14ac:dyDescent="0.2">
      <c r="A89" s="1" t="str" cm="1">
        <f t="array" ref="A89">IF(I89="","",IF(P89&lt;&gt;"",SUMPRODUCT((P$3:P$135&lt;&gt;"")*(G$3:G$135=G89)*(J$3:J$135&gt;J89)*(I$3:I$135="P"))+1,IF(O89&lt;&gt;"",SUMPRODUCT((O$3:O$135&lt;&gt;"")*(P$3:P$135="")*(G$3:G$135=G89)*(J$3:J$135&gt;J89)*(I$3:I$135="P"))+SUMPRODUCT((P$3:P$135&lt;&gt;"")*(G$3:G$135=G89)*(I$3:I$135="P"))+1,IF(N89&lt;&gt;"",SUMPRODUCT((N$3:N$135&lt;&gt;"")*(G$3:G$135=G89)*(J$3:J$135&gt;J89)*(I$3:I$135="P"))+1,IF(M89="P",SUMPRODUCT((O$3:O$135&lt;&gt;"")*(P$3:P$135="")*(G$3:G$135=G89)*(I$3:I$135="P"))+SUMPRODUCT((P$3:P$135&lt;&gt;"")*(G$3:G$135=G89)*(I$3:I$135="P"))+SUMPRODUCT((N$3:N$135&lt;&gt;"")*(G$3:G$135=G89)*(I$3:I$135="P"))+SUMPRODUCT((P$3:P$135="")*(O$3:O$135="")*(N$3:N$135="")*(M$3:M$135="P")*(G$3:G$135=G89)*(J$3:J$135&gt;J89)*(I$3:I$135="P"))+IF(H89="L5",SUMPRODUCT((P$3:P$135="")*(O$3:O$135="")*(N$3:N$135="")*(M$3:M$135="P")*(G$3:G$135=G89)*(J$3:J$135&lt;J89)*(H$3:H$135&lt;&gt;H89)*(I$3:I$135="P")),-1*SUMPRODUCT((P$3:P$135="")*(O$3:O$135="")*(N$3:N$135="")*(M$3:M$135="P")*(G$3:G$135=G89)*(J$3:J$135&gt;J89)*(H$3:H$135="L5")*(I$3:I$135="P")))+1,"")))))</f>
        <v/>
      </c>
      <c r="B89" s="1" t="str" cm="1">
        <f t="array" ref="B89">IF(P89&lt;&gt;"",SUMPRODUCT((P$3:P$135&lt;&gt;"")*(G$3:G$135=G89)*(J$3:J$135&gt;J89))+1,IF(O89&lt;&gt;"",SUMPRODUCT((O$3:O$135&lt;&gt;"")*(P$3:P$135="")*(G$3:G$135=G89)*(J$3:J$135&gt;J89))+SUMPRODUCT((P$3:P$135&lt;&gt;"")*(G$3:G$135=G89))+1,IF(N89&lt;&gt;"",SUMPRODUCT((N$3:N$135&lt;&gt;"")*(G$3:G$135=G89)*(J$3:J$135&gt;J89))+1,IF(M89="P",SUMPRODUCT((O$3:O$135&lt;&gt;"")*(P$3:P$135="")*(G$3:G$135=G89))+SUMPRODUCT((P$3:P$135&lt;&gt;"")*(G$3:G$135=G89))+SUMPRODUCT((N$3:N$135&lt;&gt;"")*(G$3:G$135=G89))+SUMPRODUCT((P$3:P$135="")*(O$3:O$135="")*(N$3:N$135="")*(M$3:M$135="P")*(G$3:G$135=G89)*(J$3:J$135&gt;J89))+IF(H89="L5",SUMPRODUCT((P$3:P$135="")*(O$3:O$135="")*(N$3:N$135="")*(M$3:M$135="P")*(G$3:G$135=G89)*(J$3:J$135&lt;J89)*(H$3:H$135&lt;&gt;H89)),-1*SUMPRODUCT((P$3:P$135="")*(O$3:O$135="")*(N$3:N$135="")*(M$3:M$135="P")*(G$3:G$135=G89)*(J$3:J$135&gt;J89)*(H$3:H$135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134.48000883100002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88.31</v>
      </c>
      <c r="S89" s="4">
        <f>IF(G89="17-21",LARGE(CHOOSE({1,2,3,4,5,6},T89,V89,Y89,AA89,AC89,AF89),2),IF(R89=X89,MAX(Y89,AA89,AC89,AF89),IF(R89=AE89,MAX(AF89,T89,V89,Y89),0)))</f>
        <v>46.17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40.869999999999997</v>
      </c>
      <c r="AB89" s="40">
        <v>0</v>
      </c>
      <c r="AC89" s="34">
        <v>47.44</v>
      </c>
      <c r="AD89" s="40">
        <v>7.9</v>
      </c>
      <c r="AE89" s="4">
        <f t="shared" si="14"/>
        <v>88.31</v>
      </c>
      <c r="AF89" s="34">
        <v>46.17</v>
      </c>
      <c r="AG89" s="37">
        <v>7.9</v>
      </c>
    </row>
    <row r="90" spans="1:33" x14ac:dyDescent="0.2">
      <c r="A90" s="1" t="str" cm="1">
        <f t="array" ref="A90">IF(I90="","",IF(P90&lt;&gt;"",SUMPRODUCT((P$3:P$135&lt;&gt;"")*(G$3:G$135=G90)*(J$3:J$135&gt;J90)*(I$3:I$135="P"))+1,IF(O90&lt;&gt;"",SUMPRODUCT((O$3:O$135&lt;&gt;"")*(P$3:P$135="")*(G$3:G$135=G90)*(J$3:J$135&gt;J90)*(I$3:I$135="P"))+SUMPRODUCT((P$3:P$135&lt;&gt;"")*(G$3:G$135=G90)*(I$3:I$135="P"))+1,IF(N90&lt;&gt;"",SUMPRODUCT((N$3:N$135&lt;&gt;"")*(G$3:G$135=G90)*(J$3:J$135&gt;J90)*(I$3:I$135="P"))+1,IF(M90="P",SUMPRODUCT((O$3:O$135&lt;&gt;"")*(P$3:P$135="")*(G$3:G$135=G90)*(I$3:I$135="P"))+SUMPRODUCT((P$3:P$135&lt;&gt;"")*(G$3:G$135=G90)*(I$3:I$135="P"))+SUMPRODUCT((N$3:N$135&lt;&gt;"")*(G$3:G$135=G90)*(I$3:I$135="P"))+SUMPRODUCT((P$3:P$135="")*(O$3:O$135="")*(N$3:N$135="")*(M$3:M$135="P")*(G$3:G$135=G90)*(J$3:J$135&gt;J90)*(I$3:I$135="P"))+IF(H90="L5",SUMPRODUCT((P$3:P$135="")*(O$3:O$135="")*(N$3:N$135="")*(M$3:M$135="P")*(G$3:G$135=G90)*(J$3:J$135&lt;J90)*(H$3:H$135&lt;&gt;H90)*(I$3:I$135="P")),-1*SUMPRODUCT((P$3:P$135="")*(O$3:O$135="")*(N$3:N$135="")*(M$3:M$135="P")*(G$3:G$135=G90)*(J$3:J$135&gt;J90)*(H$3:H$135="L5")*(I$3:I$135="P")))+1,"")))))</f>
        <v/>
      </c>
      <c r="B90" s="1" t="str" cm="1">
        <f t="array" ref="B90">IF(P90&lt;&gt;"",SUMPRODUCT((P$3:P$135&lt;&gt;"")*(G$3:G$135=G90)*(J$3:J$135&gt;J90))+1,IF(O90&lt;&gt;"",SUMPRODUCT((O$3:O$135&lt;&gt;"")*(P$3:P$135="")*(G$3:G$135=G90)*(J$3:J$135&gt;J90))+SUMPRODUCT((P$3:P$135&lt;&gt;"")*(G$3:G$135=G90))+1,IF(N90&lt;&gt;"",SUMPRODUCT((N$3:N$135&lt;&gt;"")*(G$3:G$135=G90)*(J$3:J$135&gt;J90))+1,IF(M90="P",SUMPRODUCT((O$3:O$135&lt;&gt;"")*(P$3:P$135="")*(G$3:G$135=G90))+SUMPRODUCT((P$3:P$135&lt;&gt;"")*(G$3:G$135=G90))+SUMPRODUCT((N$3:N$135&lt;&gt;"")*(G$3:G$135=G90))+SUMPRODUCT((P$3:P$135="")*(O$3:O$135="")*(N$3:N$135="")*(M$3:M$135="P")*(G$3:G$135=G90)*(J$3:J$135&gt;J90))+IF(H90="L5",SUMPRODUCT((P$3:P$135="")*(O$3:O$135="")*(N$3:N$135="")*(M$3:M$135="P")*(G$3:G$135=G90)*(J$3:J$135&lt;J90)*(H$3:H$135&lt;&gt;H90)),-1*SUMPRODUCT((P$3:P$135="")*(O$3:O$135="")*(N$3:N$135="")*(M$3:M$135="P")*(G$3:G$135=G90)*(J$3:J$135&gt;J90)*(H$3:H$135="L5")))+1,""))))</f>
        <v/>
      </c>
      <c r="C90" s="36" t="s">
        <v>303</v>
      </c>
      <c r="D90" s="36" t="str">
        <f>IF(E90="","",VLOOKUP(E90,'Coaching Points'!A:B,2,0))</f>
        <v>AB</v>
      </c>
      <c r="E90" s="36" t="s">
        <v>29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132.34000867599997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>P</v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86.759999999999991</v>
      </c>
      <c r="S90" s="4">
        <f>IF(G90="17-21",LARGE(CHOOSE({1,2,3,4,5,6},T90,V90,Y90,AA90,AC90,AF90),2),IF(R90=X90,MAX(Y90,AA90,AC90,AF90),IF(R90=AE90,MAX(AF90,T90,V90,Y90),0)))</f>
        <v>45.58</v>
      </c>
      <c r="T90" s="33">
        <v>30.55</v>
      </c>
      <c r="U90" s="40">
        <v>0</v>
      </c>
      <c r="V90" s="34">
        <v>43.67</v>
      </c>
      <c r="W90" s="40">
        <v>8.1</v>
      </c>
      <c r="X90" s="4">
        <f t="shared" si="13"/>
        <v>74.22</v>
      </c>
      <c r="Y90" s="34">
        <v>45.58</v>
      </c>
      <c r="Z90" s="40">
        <v>8.1</v>
      </c>
      <c r="AA90" s="33">
        <v>40.01</v>
      </c>
      <c r="AB90" s="40">
        <v>0</v>
      </c>
      <c r="AC90" s="34">
        <v>46.75</v>
      </c>
      <c r="AD90" s="40">
        <v>8.8000000000000007</v>
      </c>
      <c r="AE90" s="4">
        <f t="shared" si="14"/>
        <v>86.759999999999991</v>
      </c>
      <c r="AF90" s="34">
        <v>5.25</v>
      </c>
      <c r="AG90" s="37">
        <v>1.3</v>
      </c>
    </row>
    <row r="91" spans="1:33" x14ac:dyDescent="0.2">
      <c r="A91" s="1" t="str" cm="1">
        <f t="array" ref="A91">IF(I91="","",IF(P91&lt;&gt;"",SUMPRODUCT((P$3:P$135&lt;&gt;"")*(G$3:G$135=G91)*(J$3:J$135&gt;J91)*(I$3:I$135="P"))+1,IF(O91&lt;&gt;"",SUMPRODUCT((O$3:O$135&lt;&gt;"")*(P$3:P$135="")*(G$3:G$135=G91)*(J$3:J$135&gt;J91)*(I$3:I$135="P"))+SUMPRODUCT((P$3:P$135&lt;&gt;"")*(G$3:G$135=G91)*(I$3:I$135="P"))+1,IF(N91&lt;&gt;"",SUMPRODUCT((N$3:N$135&lt;&gt;"")*(G$3:G$135=G91)*(J$3:J$135&gt;J91)*(I$3:I$135="P"))+1,IF(M91="P",SUMPRODUCT((O$3:O$135&lt;&gt;"")*(P$3:P$135="")*(G$3:G$135=G91)*(I$3:I$135="P"))+SUMPRODUCT((P$3:P$135&lt;&gt;"")*(G$3:G$135=G91)*(I$3:I$135="P"))+SUMPRODUCT((N$3:N$135&lt;&gt;"")*(G$3:G$135=G91)*(I$3:I$135="P"))+SUMPRODUCT((P$3:P$135="")*(O$3:O$135="")*(N$3:N$135="")*(M$3:M$135="P")*(G$3:G$135=G91)*(J$3:J$135&gt;J91)*(I$3:I$135="P"))+IF(H91="L5",SUMPRODUCT((P$3:P$135="")*(O$3:O$135="")*(N$3:N$135="")*(M$3:M$135="P")*(G$3:G$135=G91)*(J$3:J$135&lt;J91)*(H$3:H$135&lt;&gt;H91)*(I$3:I$135="P")),-1*SUMPRODUCT((P$3:P$135="")*(O$3:O$135="")*(N$3:N$135="")*(M$3:M$135="P")*(G$3:G$135=G91)*(J$3:J$135&gt;J91)*(H$3:H$135="L5")*(I$3:I$135="P")))+1,"")))))</f>
        <v/>
      </c>
      <c r="B91" s="1" t="str" cm="1">
        <f t="array" ref="B91">IF(P91&lt;&gt;"",SUMPRODUCT((P$3:P$135&lt;&gt;"")*(G$3:G$135=G91)*(J$3:J$135&gt;J91))+1,IF(O91&lt;&gt;"",SUMPRODUCT((O$3:O$135&lt;&gt;"")*(P$3:P$135="")*(G$3:G$135=G91)*(J$3:J$135&gt;J91))+SUMPRODUCT((P$3:P$135&lt;&gt;"")*(G$3:G$135=G91))+1,IF(N91&lt;&gt;"",SUMPRODUCT((N$3:N$135&lt;&gt;"")*(G$3:G$135=G91)*(J$3:J$135&gt;J91))+1,IF(M91="P",SUMPRODUCT((O$3:O$135&lt;&gt;"")*(P$3:P$135="")*(G$3:G$135=G91))+SUMPRODUCT((P$3:P$135&lt;&gt;"")*(G$3:G$135=G91))+SUMPRODUCT((N$3:N$135&lt;&gt;"")*(G$3:G$135=G91))+SUMPRODUCT((P$3:P$135="")*(O$3:O$135="")*(N$3:N$135="")*(M$3:M$135="P")*(G$3:G$135=G91)*(J$3:J$135&gt;J91))+IF(H91="L5",SUMPRODUCT((P$3:P$135="")*(O$3:O$135="")*(N$3:N$135="")*(M$3:M$135="P")*(G$3:G$135=G91)*(J$3:J$135&lt;J91)*(H$3:H$135&lt;&gt;H91)),-1*SUMPRODUCT((P$3:P$135="")*(O$3:O$135="")*(N$3:N$135="")*(M$3:M$135="P")*(G$3:G$135=G91)*(J$3:J$135&gt;J91)*(H$3:H$135="L5")))+1,""))))</f>
        <v/>
      </c>
      <c r="C91" s="36" t="s">
        <v>149</v>
      </c>
      <c r="D91" s="36" t="str">
        <f>IF(E91="","",VLOOKUP(E91,'Coaching Points'!A:B,2,0))</f>
        <v>QC</v>
      </c>
      <c r="E91" s="36" t="s">
        <v>59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67</v>
      </c>
      <c r="I91" s="43"/>
      <c r="J91" s="4">
        <f t="shared" si="10"/>
        <v>131.25010831200001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>P</v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84.68</v>
      </c>
      <c r="S91" s="4">
        <f>IF(G91="17-21",LARGE(CHOOSE({1,2,3,4,5,6},T91,V91,Y91,AA91,AC91,AF91),2),IF(R91=X91,MAX(Y91,AA91,AC91,AF91),IF(R91=AE91,MAX(AF91,T91,V91,Y91),0)))</f>
        <v>46.57</v>
      </c>
      <c r="T91" s="33">
        <v>39.54</v>
      </c>
      <c r="U91" s="40">
        <v>0</v>
      </c>
      <c r="V91" s="34">
        <v>45.14</v>
      </c>
      <c r="W91" s="40">
        <v>9.1</v>
      </c>
      <c r="X91" s="4">
        <f t="shared" si="13"/>
        <v>84.68</v>
      </c>
      <c r="Y91" s="34">
        <v>46.57</v>
      </c>
      <c r="Z91" s="40">
        <v>9.1</v>
      </c>
      <c r="AA91" s="33">
        <v>38.85</v>
      </c>
      <c r="AB91" s="40">
        <v>0</v>
      </c>
      <c r="AC91" s="34">
        <v>44.27</v>
      </c>
      <c r="AD91" s="40">
        <v>9.5</v>
      </c>
      <c r="AE91" s="4">
        <f t="shared" si="14"/>
        <v>83.12</v>
      </c>
      <c r="AF91" s="34">
        <v>44.3</v>
      </c>
      <c r="AG91" s="37">
        <v>8.8000000000000007</v>
      </c>
    </row>
    <row r="92" spans="1:33" x14ac:dyDescent="0.2">
      <c r="A92" s="1" t="str" cm="1">
        <f t="array" ref="A92">IF(I92="","",IF(P92&lt;&gt;"",SUMPRODUCT((P$3:P$135&lt;&gt;"")*(G$3:G$135=G92)*(J$3:J$135&gt;J92)*(I$3:I$135="P"))+1,IF(O92&lt;&gt;"",SUMPRODUCT((O$3:O$135&lt;&gt;"")*(P$3:P$135="")*(G$3:G$135=G92)*(J$3:J$135&gt;J92)*(I$3:I$135="P"))+SUMPRODUCT((P$3:P$135&lt;&gt;"")*(G$3:G$135=G92)*(I$3:I$135="P"))+1,IF(N92&lt;&gt;"",SUMPRODUCT((N$3:N$135&lt;&gt;"")*(G$3:G$135=G92)*(J$3:J$135&gt;J92)*(I$3:I$135="P"))+1,IF(M92="P",SUMPRODUCT((O$3:O$135&lt;&gt;"")*(P$3:P$135="")*(G$3:G$135=G92)*(I$3:I$135="P"))+SUMPRODUCT((P$3:P$135&lt;&gt;"")*(G$3:G$135=G92)*(I$3:I$135="P"))+SUMPRODUCT((N$3:N$135&lt;&gt;"")*(G$3:G$135=G92)*(I$3:I$135="P"))+SUMPRODUCT((P$3:P$135="")*(O$3:O$135="")*(N$3:N$135="")*(M$3:M$135="P")*(G$3:G$135=G92)*(J$3:J$135&gt;J92)*(I$3:I$135="P"))+IF(H92="L5",SUMPRODUCT((P$3:P$135="")*(O$3:O$135="")*(N$3:N$135="")*(M$3:M$135="P")*(G$3:G$135=G92)*(J$3:J$135&lt;J92)*(H$3:H$135&lt;&gt;H92)*(I$3:I$135="P")),-1*SUMPRODUCT((P$3:P$135="")*(O$3:O$135="")*(N$3:N$135="")*(M$3:M$135="P")*(G$3:G$135=G92)*(J$3:J$135&gt;J92)*(H$3:H$135="L5")*(I$3:I$135="P")))+1,"")))))</f>
        <v/>
      </c>
      <c r="B92" s="1" t="str" cm="1">
        <f t="array" ref="B92">IF(P92&lt;&gt;"",SUMPRODUCT((P$3:P$135&lt;&gt;"")*(G$3:G$135=G92)*(J$3:J$135&gt;J92))+1,IF(O92&lt;&gt;"",SUMPRODUCT((O$3:O$135&lt;&gt;"")*(P$3:P$135="")*(G$3:G$135=G92)*(J$3:J$135&gt;J92))+SUMPRODUCT((P$3:P$135&lt;&gt;"")*(G$3:G$135=G92))+1,IF(N92&lt;&gt;"",SUMPRODUCT((N$3:N$135&lt;&gt;"")*(G$3:G$135=G92)*(J$3:J$135&gt;J92))+1,IF(M92="P",SUMPRODUCT((O$3:O$135&lt;&gt;"")*(P$3:P$135="")*(G$3:G$135=G92))+SUMPRODUCT((P$3:P$135&lt;&gt;"")*(G$3:G$135=G92))+SUMPRODUCT((N$3:N$135&lt;&gt;"")*(G$3:G$135=G92))+SUMPRODUCT((P$3:P$135="")*(O$3:O$135="")*(N$3:N$135="")*(M$3:M$135="P")*(G$3:G$135=G92)*(J$3:J$135&gt;J92))+IF(H92="L5",SUMPRODUCT((P$3:P$135="")*(O$3:O$135="")*(N$3:N$135="")*(M$3:M$135="P")*(G$3:G$135=G92)*(J$3:J$135&lt;J92)*(H$3:H$135&lt;&gt;H92)),-1*SUMPRODUCT((P$3:P$135="")*(O$3:O$135="")*(N$3:N$135="")*(M$3:M$135="P")*(G$3:G$135=G92)*(J$3:J$135&gt;J92)*(H$3:H$135="L5")))+1,""))))</f>
        <v/>
      </c>
      <c r="C92" s="36" t="s">
        <v>245</v>
      </c>
      <c r="D92" s="36" t="str">
        <f>IF(E92="","",VLOOKUP(E92,'Coaching Points'!A:B,2,0))</f>
        <v>NS</v>
      </c>
      <c r="E92" s="36" t="s">
        <v>134</v>
      </c>
      <c r="F92" s="35">
        <v>2007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130.99000846200002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84.62</v>
      </c>
      <c r="S92" s="4">
        <f>IF(G92="17-21",LARGE(CHOOSE({1,2,3,4,5,6},T92,V92,Y92,AA92,AC92,AF92),2),IF(R92=X92,MAX(Y92,AA92,AC92,AF92),IF(R92=AE92,MAX(AF92,T92,V92,Y92),0)))</f>
        <v>46.37</v>
      </c>
      <c r="T92" s="33">
        <v>36.4</v>
      </c>
      <c r="U92" s="40">
        <v>0</v>
      </c>
      <c r="V92" s="34">
        <v>16.82</v>
      </c>
      <c r="W92" s="40">
        <v>2.6</v>
      </c>
      <c r="X92" s="4">
        <f t="shared" si="13"/>
        <v>53.22</v>
      </c>
      <c r="Y92" s="34"/>
      <c r="Z92" s="40"/>
      <c r="AA92" s="33">
        <v>38.549999999999997</v>
      </c>
      <c r="AB92" s="40">
        <v>0</v>
      </c>
      <c r="AC92" s="34">
        <v>46.07</v>
      </c>
      <c r="AD92" s="40">
        <v>7.8</v>
      </c>
      <c r="AE92" s="4">
        <f t="shared" si="14"/>
        <v>84.62</v>
      </c>
      <c r="AF92" s="34">
        <v>46.37</v>
      </c>
      <c r="AG92" s="37">
        <v>7.8</v>
      </c>
    </row>
    <row r="93" spans="1:33" x14ac:dyDescent="0.2">
      <c r="A93" s="1" t="str" cm="1">
        <f t="array" ref="A93">IF(I93="","",IF(P93&lt;&gt;"",SUMPRODUCT((P$3:P$135&lt;&gt;"")*(G$3:G$135=G93)*(J$3:J$135&gt;J93)*(I$3:I$135="P"))+1,IF(O93&lt;&gt;"",SUMPRODUCT((O$3:O$135&lt;&gt;"")*(P$3:P$135="")*(G$3:G$135=G93)*(J$3:J$135&gt;J93)*(I$3:I$135="P"))+SUMPRODUCT((P$3:P$135&lt;&gt;"")*(G$3:G$135=G93)*(I$3:I$135="P"))+1,IF(N93&lt;&gt;"",SUMPRODUCT((N$3:N$135&lt;&gt;"")*(G$3:G$135=G93)*(J$3:J$135&gt;J93)*(I$3:I$135="P"))+1,IF(M93="P",SUMPRODUCT((O$3:O$135&lt;&gt;"")*(P$3:P$135="")*(G$3:G$135=G93)*(I$3:I$135="P"))+SUMPRODUCT((P$3:P$135&lt;&gt;"")*(G$3:G$135=G93)*(I$3:I$135="P"))+SUMPRODUCT((N$3:N$135&lt;&gt;"")*(G$3:G$135=G93)*(I$3:I$135="P"))+SUMPRODUCT((P$3:P$135="")*(O$3:O$135="")*(N$3:N$135="")*(M$3:M$135="P")*(G$3:G$135=G93)*(J$3:J$135&gt;J93)*(I$3:I$135="P"))+IF(H93="L5",SUMPRODUCT((P$3:P$135="")*(O$3:O$135="")*(N$3:N$135="")*(M$3:M$135="P")*(G$3:G$135=G93)*(J$3:J$135&lt;J93)*(H$3:H$135&lt;&gt;H93)*(I$3:I$135="P")),-1*SUMPRODUCT((P$3:P$135="")*(O$3:O$135="")*(N$3:N$135="")*(M$3:M$135="P")*(G$3:G$135=G93)*(J$3:J$135&gt;J93)*(H$3:H$135="L5")*(I$3:I$135="P")))+1,"")))))</f>
        <v/>
      </c>
      <c r="B93" s="1" t="str" cm="1">
        <f t="array" ref="B93">IF(P93&lt;&gt;"",SUMPRODUCT((P$3:P$135&lt;&gt;"")*(G$3:G$135=G93)*(J$3:J$135&gt;J93))+1,IF(O93&lt;&gt;"",SUMPRODUCT((O$3:O$135&lt;&gt;"")*(P$3:P$135="")*(G$3:G$135=G93)*(J$3:J$135&gt;J93))+SUMPRODUCT((P$3:P$135&lt;&gt;"")*(G$3:G$135=G93))+1,IF(N93&lt;&gt;"",SUMPRODUCT((N$3:N$135&lt;&gt;"")*(G$3:G$135=G93)*(J$3:J$135&gt;J93))+1,IF(M93="P",SUMPRODUCT((O$3:O$135&lt;&gt;"")*(P$3:P$135="")*(G$3:G$135=G93))+SUMPRODUCT((P$3:P$135&lt;&gt;"")*(G$3:G$135=G93))+SUMPRODUCT((N$3:N$135&lt;&gt;"")*(G$3:G$135=G93))+SUMPRODUCT((P$3:P$135="")*(O$3:O$135="")*(N$3:N$135="")*(M$3:M$135="P")*(G$3:G$135=G93)*(J$3:J$135&gt;J93))+IF(H93="L5",SUMPRODUCT((P$3:P$135="")*(O$3:O$135="")*(N$3:N$135="")*(M$3:M$135="P")*(G$3:G$135=G93)*(J$3:J$135&lt;J93)*(H$3:H$135&lt;&gt;H93)),-1*SUMPRODUCT((P$3:P$135="")*(O$3:O$135="")*(N$3:N$135="")*(M$3:M$135="P")*(G$3:G$135=G93)*(J$3:J$135&gt;J93)*(H$3:H$135="L5")))+1,""))))</f>
        <v/>
      </c>
      <c r="C93" s="36" t="s">
        <v>304</v>
      </c>
      <c r="D93" s="36" t="str">
        <f>IF(E93="","",VLOOKUP(E93,'Coaching Points'!A:B,2,0))</f>
        <v>BC</v>
      </c>
      <c r="E93" s="36" t="s">
        <v>57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10"/>
        <v>130.30000843500002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 t="shared" si="11"/>
        <v/>
      </c>
      <c r="R93" s="4">
        <f t="shared" si="12"/>
        <v>84.35</v>
      </c>
      <c r="S93" s="4">
        <f>IF(G93="17-21",LARGE(CHOOSE({1,2,3,4,5,6},T93,V93,Y93,AA93,AC93,AF93),2),IF(R93=X93,MAX(Y93,AA93,AC93,AF93),IF(R93=AE93,MAX(AF93,T93,V93,Y93),0)))</f>
        <v>45.95</v>
      </c>
      <c r="T93" s="33">
        <v>38.4</v>
      </c>
      <c r="U93" s="40">
        <v>0</v>
      </c>
      <c r="V93" s="34">
        <v>45.17</v>
      </c>
      <c r="W93" s="40">
        <v>7.8</v>
      </c>
      <c r="X93" s="4">
        <f t="shared" si="13"/>
        <v>83.57</v>
      </c>
      <c r="Y93" s="34">
        <v>45.08</v>
      </c>
      <c r="Z93" s="40">
        <v>7.8</v>
      </c>
      <c r="AA93" s="33">
        <v>38.68</v>
      </c>
      <c r="AB93" s="40">
        <v>0</v>
      </c>
      <c r="AC93" s="34">
        <v>45.67</v>
      </c>
      <c r="AD93" s="40">
        <v>8.4</v>
      </c>
      <c r="AE93" s="4">
        <f t="shared" si="14"/>
        <v>84.35</v>
      </c>
      <c r="AF93" s="34">
        <v>45.95</v>
      </c>
      <c r="AG93" s="37">
        <v>8.4</v>
      </c>
    </row>
    <row r="94" spans="1:33" x14ac:dyDescent="0.2">
      <c r="A94" s="1" t="str" cm="1">
        <f t="array" ref="A94">IF(I94="","",IF(P94&lt;&gt;"",SUMPRODUCT((P$3:P$135&lt;&gt;"")*(G$3:G$135=G94)*(J$3:J$135&gt;J94)*(I$3:I$135="P"))+1,IF(O94&lt;&gt;"",SUMPRODUCT((O$3:O$135&lt;&gt;"")*(P$3:P$135="")*(G$3:G$135=G94)*(J$3:J$135&gt;J94)*(I$3:I$135="P"))+SUMPRODUCT((P$3:P$135&lt;&gt;"")*(G$3:G$135=G94)*(I$3:I$135="P"))+1,IF(N94&lt;&gt;"",SUMPRODUCT((N$3:N$135&lt;&gt;"")*(G$3:G$135=G94)*(J$3:J$135&gt;J94)*(I$3:I$135="P"))+1,IF(M94="P",SUMPRODUCT((O$3:O$135&lt;&gt;"")*(P$3:P$135="")*(G$3:G$135=G94)*(I$3:I$135="P"))+SUMPRODUCT((P$3:P$135&lt;&gt;"")*(G$3:G$135=G94)*(I$3:I$135="P"))+SUMPRODUCT((N$3:N$135&lt;&gt;"")*(G$3:G$135=G94)*(I$3:I$135="P"))+SUMPRODUCT((P$3:P$135="")*(O$3:O$135="")*(N$3:N$135="")*(M$3:M$135="P")*(G$3:G$135=G94)*(J$3:J$135&gt;J94)*(I$3:I$135="P"))+IF(H94="L5",SUMPRODUCT((P$3:P$135="")*(O$3:O$135="")*(N$3:N$135="")*(M$3:M$135="P")*(G$3:G$135=G94)*(J$3:J$135&lt;J94)*(H$3:H$135&lt;&gt;H94)*(I$3:I$135="P")),-1*SUMPRODUCT((P$3:P$135="")*(O$3:O$135="")*(N$3:N$135="")*(M$3:M$135="P")*(G$3:G$135=G94)*(J$3:J$135&gt;J94)*(H$3:H$135="L5")*(I$3:I$135="P")))+1,"")))))</f>
        <v/>
      </c>
      <c r="B94" s="1" t="str" cm="1">
        <f t="array" ref="B94">IF(P94&lt;&gt;"",SUMPRODUCT((P$3:P$135&lt;&gt;"")*(G$3:G$135=G94)*(J$3:J$135&gt;J94))+1,IF(O94&lt;&gt;"",SUMPRODUCT((O$3:O$135&lt;&gt;"")*(P$3:P$135="")*(G$3:G$135=G94)*(J$3:J$135&gt;J94))+SUMPRODUCT((P$3:P$135&lt;&gt;"")*(G$3:G$135=G94))+1,IF(N94&lt;&gt;"",SUMPRODUCT((N$3:N$135&lt;&gt;"")*(G$3:G$135=G94)*(J$3:J$135&gt;J94))+1,IF(M94="P",SUMPRODUCT((O$3:O$135&lt;&gt;"")*(P$3:P$135="")*(G$3:G$135=G94))+SUMPRODUCT((P$3:P$135&lt;&gt;"")*(G$3:G$135=G94))+SUMPRODUCT((N$3:N$135&lt;&gt;"")*(G$3:G$135=G94))+SUMPRODUCT((P$3:P$135="")*(O$3:O$135="")*(N$3:N$135="")*(M$3:M$135="P")*(G$3:G$135=G94)*(J$3:J$135&gt;J94))+IF(H94="L5",SUMPRODUCT((P$3:P$135="")*(O$3:O$135="")*(N$3:N$135="")*(M$3:M$135="P")*(G$3:G$135=G94)*(J$3:J$135&lt;J94)*(H$3:H$135&lt;&gt;H94)),-1*SUMPRODUCT((P$3:P$135="")*(O$3:O$135="")*(N$3:N$135="")*(M$3:M$135="P")*(G$3:G$135=G94)*(J$3:J$135&gt;J94)*(H$3:H$135="L5")))+1,""))))</f>
        <v/>
      </c>
      <c r="C94" s="36" t="s">
        <v>236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129.870008329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83.289999999999992</v>
      </c>
      <c r="S94" s="4">
        <f>IF(G94="17-21",LARGE(CHOOSE({1,2,3,4,5,6},T94,V94,Y94,AA94,AC94,AF94),2),IF(R94=X94,MAX(Y94,AA94,AC94,AF94),IF(R94=AE94,MAX(AF94,T94,V94,Y94),0)))</f>
        <v>46.58</v>
      </c>
      <c r="T94" s="33">
        <v>35.020000000000003</v>
      </c>
      <c r="U94" s="40">
        <v>0</v>
      </c>
      <c r="V94" s="34">
        <v>43.32</v>
      </c>
      <c r="W94" s="40">
        <v>9.1</v>
      </c>
      <c r="X94" s="4">
        <f t="shared" si="13"/>
        <v>78.34</v>
      </c>
      <c r="Y94" s="34">
        <v>43.34</v>
      </c>
      <c r="Z94" s="40">
        <v>9.1</v>
      </c>
      <c r="AA94" s="33">
        <v>39.04</v>
      </c>
      <c r="AB94" s="40">
        <v>0</v>
      </c>
      <c r="AC94" s="34">
        <v>44.25</v>
      </c>
      <c r="AD94" s="40">
        <v>9.6</v>
      </c>
      <c r="AE94" s="4">
        <f t="shared" si="14"/>
        <v>83.289999999999992</v>
      </c>
      <c r="AF94" s="34">
        <v>46.58</v>
      </c>
      <c r="AG94" s="37">
        <v>9.6</v>
      </c>
    </row>
    <row r="95" spans="1:33" x14ac:dyDescent="0.2">
      <c r="A95" s="1" t="str" cm="1">
        <f t="array" ref="A95">IF(I95="","",IF(P95&lt;&gt;"",SUMPRODUCT((P$3:P$135&lt;&gt;"")*(G$3:G$135=G95)*(J$3:J$135&gt;J95)*(I$3:I$135="P"))+1,IF(O95&lt;&gt;"",SUMPRODUCT((O$3:O$135&lt;&gt;"")*(P$3:P$135="")*(G$3:G$135=G95)*(J$3:J$135&gt;J95)*(I$3:I$135="P"))+SUMPRODUCT((P$3:P$135&lt;&gt;"")*(G$3:G$135=G95)*(I$3:I$135="P"))+1,IF(N95&lt;&gt;"",SUMPRODUCT((N$3:N$135&lt;&gt;"")*(G$3:G$135=G95)*(J$3:J$135&gt;J95)*(I$3:I$135="P"))+1,IF(M95="P",SUMPRODUCT((O$3:O$135&lt;&gt;"")*(P$3:P$135="")*(G$3:G$135=G95)*(I$3:I$135="P"))+SUMPRODUCT((P$3:P$135&lt;&gt;"")*(G$3:G$135=G95)*(I$3:I$135="P"))+SUMPRODUCT((N$3:N$135&lt;&gt;"")*(G$3:G$135=G95)*(I$3:I$135="P"))+SUMPRODUCT((P$3:P$135="")*(O$3:O$135="")*(N$3:N$135="")*(M$3:M$135="P")*(G$3:G$135=G95)*(J$3:J$135&gt;J95)*(I$3:I$135="P"))+IF(H95="L5",SUMPRODUCT((P$3:P$135="")*(O$3:O$135="")*(N$3:N$135="")*(M$3:M$135="P")*(G$3:G$135=G95)*(J$3:J$135&lt;J95)*(H$3:H$135&lt;&gt;H95)*(I$3:I$135="P")),-1*SUMPRODUCT((P$3:P$135="")*(O$3:O$135="")*(N$3:N$135="")*(M$3:M$135="P")*(G$3:G$135=G95)*(J$3:J$135&gt;J95)*(H$3:H$135="L5")*(I$3:I$135="P")))+1,"")))))</f>
        <v/>
      </c>
      <c r="B95" s="1" t="str" cm="1">
        <f t="array" ref="B95">IF(P95&lt;&gt;"",SUMPRODUCT((P$3:P$135&lt;&gt;"")*(G$3:G$135=G95)*(J$3:J$135&gt;J95))+1,IF(O95&lt;&gt;"",SUMPRODUCT((O$3:O$135&lt;&gt;"")*(P$3:P$135="")*(G$3:G$135=G95)*(J$3:J$135&gt;J95))+SUMPRODUCT((P$3:P$135&lt;&gt;"")*(G$3:G$135=G95))+1,IF(N95&lt;&gt;"",SUMPRODUCT((N$3:N$135&lt;&gt;"")*(G$3:G$135=G95)*(J$3:J$135&gt;J95))+1,IF(M95="P",SUMPRODUCT((O$3:O$135&lt;&gt;"")*(P$3:P$135="")*(G$3:G$135=G95))+SUMPRODUCT((P$3:P$135&lt;&gt;"")*(G$3:G$135=G95))+SUMPRODUCT((N$3:N$135&lt;&gt;"")*(G$3:G$135=G95))+SUMPRODUCT((P$3:P$135="")*(O$3:O$135="")*(N$3:N$135="")*(M$3:M$135="P")*(G$3:G$135=G95)*(J$3:J$135&gt;J95))+IF(H95="L5",SUMPRODUCT((P$3:P$135="")*(O$3:O$135="")*(N$3:N$135="")*(M$3:M$135="P")*(G$3:G$135=G95)*(J$3:J$135&lt;J95)*(H$3:H$135&lt;&gt;H95)),-1*SUMPRODUCT((P$3:P$135="")*(O$3:O$135="")*(N$3:N$135="")*(M$3:M$135="P")*(G$3:G$135=G95)*(J$3:J$135&gt;J95)*(H$3:H$135="L5")))+1,""))))</f>
        <v/>
      </c>
      <c r="C95" s="36" t="s">
        <v>152</v>
      </c>
      <c r="D95" s="36" t="str">
        <f>IF(E95="","",VLOOKUP(E95,'Coaching Points'!A:B,2,0))</f>
        <v>SK</v>
      </c>
      <c r="E95" s="36" t="s">
        <v>45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67</v>
      </c>
      <c r="I95" s="43"/>
      <c r="J95" s="4">
        <f t="shared" si="10"/>
        <v>128.83010845500002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84.550000000000011</v>
      </c>
      <c r="S95" s="4">
        <f>IF(G95="17-21",LARGE(CHOOSE({1,2,3,4,5,6},T95,V95,Y95,AA95,AC95,AF95),2),IF(R95=X95,MAX(Y95,AA95,AC95,AF95),IF(R95=AE95,MAX(AF95,T95,V95,Y95),0)))</f>
        <v>44.28</v>
      </c>
      <c r="T95" s="33">
        <v>38.69</v>
      </c>
      <c r="U95" s="40">
        <v>0</v>
      </c>
      <c r="V95" s="34">
        <v>44.28</v>
      </c>
      <c r="W95" s="40">
        <v>8.4</v>
      </c>
      <c r="X95" s="4">
        <f t="shared" si="13"/>
        <v>82.97</v>
      </c>
      <c r="Y95" s="34">
        <v>43.99</v>
      </c>
      <c r="Z95" s="40">
        <v>7.9</v>
      </c>
      <c r="AA95" s="33">
        <v>39.17</v>
      </c>
      <c r="AB95" s="40">
        <v>0</v>
      </c>
      <c r="AC95" s="34">
        <v>45.38</v>
      </c>
      <c r="AD95" s="40">
        <v>8.8000000000000007</v>
      </c>
      <c r="AE95" s="4">
        <f t="shared" si="14"/>
        <v>84.550000000000011</v>
      </c>
      <c r="AF95" s="34">
        <v>18.39</v>
      </c>
      <c r="AG95" s="37">
        <v>3.7</v>
      </c>
    </row>
    <row r="96" spans="1:33" x14ac:dyDescent="0.2">
      <c r="A96" s="1" t="str" cm="1">
        <f t="array" ref="A96">IF(I96="","",IF(P96&lt;&gt;"",SUMPRODUCT((P$3:P$135&lt;&gt;"")*(G$3:G$135=G96)*(J$3:J$135&gt;J96)*(I$3:I$135="P"))+1,IF(O96&lt;&gt;"",SUMPRODUCT((O$3:O$135&lt;&gt;"")*(P$3:P$135="")*(G$3:G$135=G96)*(J$3:J$135&gt;J96)*(I$3:I$135="P"))+SUMPRODUCT((P$3:P$135&lt;&gt;"")*(G$3:G$135=G96)*(I$3:I$135="P"))+1,IF(N96&lt;&gt;"",SUMPRODUCT((N$3:N$135&lt;&gt;"")*(G$3:G$135=G96)*(J$3:J$135&gt;J96)*(I$3:I$135="P"))+1,IF(M96="P",SUMPRODUCT((O$3:O$135&lt;&gt;"")*(P$3:P$135="")*(G$3:G$135=G96)*(I$3:I$135="P"))+SUMPRODUCT((P$3:P$135&lt;&gt;"")*(G$3:G$135=G96)*(I$3:I$135="P"))+SUMPRODUCT((N$3:N$135&lt;&gt;"")*(G$3:G$135=G96)*(I$3:I$135="P"))+SUMPRODUCT((P$3:P$135="")*(O$3:O$135="")*(N$3:N$135="")*(M$3:M$135="P")*(G$3:G$135=G96)*(J$3:J$135&gt;J96)*(I$3:I$135="P"))+IF(H96="L5",SUMPRODUCT((P$3:P$135="")*(O$3:O$135="")*(N$3:N$135="")*(M$3:M$135="P")*(G$3:G$135=G96)*(J$3:J$135&lt;J96)*(H$3:H$135&lt;&gt;H96)*(I$3:I$135="P")),-1*SUMPRODUCT((P$3:P$135="")*(O$3:O$135="")*(N$3:N$135="")*(M$3:M$135="P")*(G$3:G$135=G96)*(J$3:J$135&gt;J96)*(H$3:H$135="L5")*(I$3:I$135="P")))+1,"")))))</f>
        <v/>
      </c>
      <c r="B96" s="1" t="str" cm="1">
        <f t="array" ref="B96">IF(P96&lt;&gt;"",SUMPRODUCT((P$3:P$135&lt;&gt;"")*(G$3:G$135=G96)*(J$3:J$135&gt;J96))+1,IF(O96&lt;&gt;"",SUMPRODUCT((O$3:O$135&lt;&gt;"")*(P$3:P$135="")*(G$3:G$135=G96)*(J$3:J$135&gt;J96))+SUMPRODUCT((P$3:P$135&lt;&gt;"")*(G$3:G$135=G96))+1,IF(N96&lt;&gt;"",SUMPRODUCT((N$3:N$135&lt;&gt;"")*(G$3:G$135=G96)*(J$3:J$135&gt;J96))+1,IF(M96="P",SUMPRODUCT((O$3:O$135&lt;&gt;"")*(P$3:P$135="")*(G$3:G$135=G96))+SUMPRODUCT((P$3:P$135&lt;&gt;"")*(G$3:G$135=G96))+SUMPRODUCT((N$3:N$135&lt;&gt;"")*(G$3:G$135=G96))+SUMPRODUCT((P$3:P$135="")*(O$3:O$135="")*(N$3:N$135="")*(M$3:M$135="P")*(G$3:G$135=G96)*(J$3:J$135&gt;J96))+IF(H96="L5",SUMPRODUCT((P$3:P$135="")*(O$3:O$135="")*(N$3:N$135="")*(M$3:M$135="P")*(G$3:G$135=G96)*(J$3:J$135&lt;J96)*(H$3:H$135&lt;&gt;H96)),-1*SUMPRODUCT((P$3:P$135="")*(O$3:O$135="")*(N$3:N$135="")*(M$3:M$135="P")*(G$3:G$135=G96)*(J$3:J$135&gt;J96)*(H$3:H$135="L5")))+1,""))))</f>
        <v/>
      </c>
      <c r="C96" s="36" t="s">
        <v>305</v>
      </c>
      <c r="D96" s="36" t="str">
        <f>IF(E96="","",VLOOKUP(E96,'Coaching Points'!A:B,2,0))</f>
        <v>AB</v>
      </c>
      <c r="E96" s="36" t="s">
        <v>58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128.82000831899998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>P</v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83.19</v>
      </c>
      <c r="S96" s="4">
        <f>IF(G96="17-21",LARGE(CHOOSE({1,2,3,4,5,6},T96,V96,Y96,AA96,AC96,AF96),2),IF(R96=X96,MAX(Y96,AA96,AC96,AF96),IF(R96=AE96,MAX(AF96,T96,V96,Y96),0)))</f>
        <v>45.63</v>
      </c>
      <c r="T96" s="33">
        <v>37.06</v>
      </c>
      <c r="U96" s="40">
        <v>0</v>
      </c>
      <c r="V96" s="34">
        <v>45.22</v>
      </c>
      <c r="W96" s="40">
        <v>8.4</v>
      </c>
      <c r="X96" s="4">
        <f t="shared" si="13"/>
        <v>82.28</v>
      </c>
      <c r="Y96" s="34">
        <v>42.42</v>
      </c>
      <c r="Z96" s="40">
        <v>7.2</v>
      </c>
      <c r="AA96" s="33">
        <v>38.090000000000003</v>
      </c>
      <c r="AB96" s="40">
        <v>0</v>
      </c>
      <c r="AC96" s="34">
        <v>45.1</v>
      </c>
      <c r="AD96" s="40">
        <v>9.1</v>
      </c>
      <c r="AE96" s="4">
        <f t="shared" si="14"/>
        <v>83.19</v>
      </c>
      <c r="AF96" s="34">
        <v>45.63</v>
      </c>
      <c r="AG96" s="37">
        <v>9.1</v>
      </c>
    </row>
    <row r="97" spans="1:33" x14ac:dyDescent="0.2">
      <c r="A97" s="1" t="str" cm="1">
        <f t="array" ref="A97">IF(I97="","",IF(P97&lt;&gt;"",SUMPRODUCT((P$3:P$135&lt;&gt;"")*(G$3:G$135=G97)*(J$3:J$135&gt;J97)*(I$3:I$135="P"))+1,IF(O97&lt;&gt;"",SUMPRODUCT((O$3:O$135&lt;&gt;"")*(P$3:P$135="")*(G$3:G$135=G97)*(J$3:J$135&gt;J97)*(I$3:I$135="P"))+SUMPRODUCT((P$3:P$135&lt;&gt;"")*(G$3:G$135=G97)*(I$3:I$135="P"))+1,IF(N97&lt;&gt;"",SUMPRODUCT((N$3:N$135&lt;&gt;"")*(G$3:G$135=G97)*(J$3:J$135&gt;J97)*(I$3:I$135="P"))+1,IF(M97="P",SUMPRODUCT((O$3:O$135&lt;&gt;"")*(P$3:P$135="")*(G$3:G$135=G97)*(I$3:I$135="P"))+SUMPRODUCT((P$3:P$135&lt;&gt;"")*(G$3:G$135=G97)*(I$3:I$135="P"))+SUMPRODUCT((N$3:N$135&lt;&gt;"")*(G$3:G$135=G97)*(I$3:I$135="P"))+SUMPRODUCT((P$3:P$135="")*(O$3:O$135="")*(N$3:N$135="")*(M$3:M$135="P")*(G$3:G$135=G97)*(J$3:J$135&gt;J97)*(I$3:I$135="P"))+IF(H97="L5",SUMPRODUCT((P$3:P$135="")*(O$3:O$135="")*(N$3:N$135="")*(M$3:M$135="P")*(G$3:G$135=G97)*(J$3:J$135&lt;J97)*(H$3:H$135&lt;&gt;H97)*(I$3:I$135="P")),-1*SUMPRODUCT((P$3:P$135="")*(O$3:O$135="")*(N$3:N$135="")*(M$3:M$135="P")*(G$3:G$135=G97)*(J$3:J$135&gt;J97)*(H$3:H$135="L5")*(I$3:I$135="P")))+1,"")))))</f>
        <v/>
      </c>
      <c r="B97" s="1" t="str" cm="1">
        <f t="array" ref="B97">IF(P97&lt;&gt;"",SUMPRODUCT((P$3:P$135&lt;&gt;"")*(G$3:G$135=G97)*(J$3:J$135&gt;J97))+1,IF(O97&lt;&gt;"",SUMPRODUCT((O$3:O$135&lt;&gt;"")*(P$3:P$135="")*(G$3:G$135=G97)*(J$3:J$135&gt;J97))+SUMPRODUCT((P$3:P$135&lt;&gt;"")*(G$3:G$135=G97))+1,IF(N97&lt;&gt;"",SUMPRODUCT((N$3:N$135&lt;&gt;"")*(G$3:G$135=G97)*(J$3:J$135&gt;J97))+1,IF(M97="P",SUMPRODUCT((O$3:O$135&lt;&gt;"")*(P$3:P$135="")*(G$3:G$135=G97))+SUMPRODUCT((P$3:P$135&lt;&gt;"")*(G$3:G$135=G97))+SUMPRODUCT((N$3:N$135&lt;&gt;"")*(G$3:G$135=G97))+SUMPRODUCT((P$3:P$135="")*(O$3:O$135="")*(N$3:N$135="")*(M$3:M$135="P")*(G$3:G$135=G97)*(J$3:J$135&gt;J97))+IF(H97="L5",SUMPRODUCT((P$3:P$135="")*(O$3:O$135="")*(N$3:N$135="")*(M$3:M$135="P")*(G$3:G$135=G97)*(J$3:J$135&lt;J97)*(H$3:H$135&lt;&gt;H97)),-1*SUMPRODUCT((P$3:P$135="")*(O$3:O$135="")*(N$3:N$135="")*(M$3:M$135="P")*(G$3:G$135=G97)*(J$3:J$135&gt;J97)*(H$3:H$135="L5")))+1,""))))</f>
        <v/>
      </c>
      <c r="C97" s="36" t="s">
        <v>467</v>
      </c>
      <c r="D97" s="36" t="str">
        <f>IF(E97="","",VLOOKUP(E97,'Coaching Points'!A:B,2,0))</f>
        <v>ON</v>
      </c>
      <c r="E97" s="36" t="s">
        <v>113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127.40000837300001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83.73</v>
      </c>
      <c r="S97" s="4">
        <f>IF(G97="17-21",LARGE(CHOOSE({1,2,3,4,5,6},T97,V97,Y97,AA97,AC97,AF97),2),IF(R97=X97,MAX(Y97,AA97,AC97,AF97),IF(R97=AE97,MAX(AF97,T97,V97,Y97),0)))</f>
        <v>43.67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38.74</v>
      </c>
      <c r="AB97" s="40">
        <v>0</v>
      </c>
      <c r="AC97" s="34">
        <v>44.99</v>
      </c>
      <c r="AD97" s="40">
        <v>7.8</v>
      </c>
      <c r="AE97" s="4">
        <f t="shared" si="14"/>
        <v>83.73</v>
      </c>
      <c r="AF97" s="34">
        <v>43.67</v>
      </c>
      <c r="AG97" s="37">
        <v>7.8</v>
      </c>
    </row>
    <row r="98" spans="1:33" x14ac:dyDescent="0.2">
      <c r="A98" s="1" t="str" cm="1">
        <f t="array" ref="A98">IF(I98="","",IF(P98&lt;&gt;"",SUMPRODUCT((P$3:P$135&lt;&gt;"")*(G$3:G$135=G98)*(J$3:J$135&gt;J98)*(I$3:I$135="P"))+1,IF(O98&lt;&gt;"",SUMPRODUCT((O$3:O$135&lt;&gt;"")*(P$3:P$135="")*(G$3:G$135=G98)*(J$3:J$135&gt;J98)*(I$3:I$135="P"))+SUMPRODUCT((P$3:P$135&lt;&gt;"")*(G$3:G$135=G98)*(I$3:I$135="P"))+1,IF(N98&lt;&gt;"",SUMPRODUCT((N$3:N$135&lt;&gt;"")*(G$3:G$135=G98)*(J$3:J$135&gt;J98)*(I$3:I$135="P"))+1,IF(M98="P",SUMPRODUCT((O$3:O$135&lt;&gt;"")*(P$3:P$135="")*(G$3:G$135=G98)*(I$3:I$135="P"))+SUMPRODUCT((P$3:P$135&lt;&gt;"")*(G$3:G$135=G98)*(I$3:I$135="P"))+SUMPRODUCT((N$3:N$135&lt;&gt;"")*(G$3:G$135=G98)*(I$3:I$135="P"))+SUMPRODUCT((P$3:P$135="")*(O$3:O$135="")*(N$3:N$135="")*(M$3:M$135="P")*(G$3:G$135=G98)*(J$3:J$135&gt;J98)*(I$3:I$135="P"))+IF(H98="L5",SUMPRODUCT((P$3:P$135="")*(O$3:O$135="")*(N$3:N$135="")*(M$3:M$135="P")*(G$3:G$135=G98)*(J$3:J$135&lt;J98)*(H$3:H$135&lt;&gt;H98)*(I$3:I$135="P")),-1*SUMPRODUCT((P$3:P$135="")*(O$3:O$135="")*(N$3:N$135="")*(M$3:M$135="P")*(G$3:G$135=G98)*(J$3:J$135&gt;J98)*(H$3:H$135="L5")*(I$3:I$135="P")))+1,"")))))</f>
        <v/>
      </c>
      <c r="B98" s="1" t="str" cm="1">
        <f t="array" ref="B98">IF(P98&lt;&gt;"",SUMPRODUCT((P$3:P$135&lt;&gt;"")*(G$3:G$135=G98)*(J$3:J$135&gt;J98))+1,IF(O98&lt;&gt;"",SUMPRODUCT((O$3:O$135&lt;&gt;"")*(P$3:P$135="")*(G$3:G$135=G98)*(J$3:J$135&gt;J98))+SUMPRODUCT((P$3:P$135&lt;&gt;"")*(G$3:G$135=G98))+1,IF(N98&lt;&gt;"",SUMPRODUCT((N$3:N$135&lt;&gt;"")*(G$3:G$135=G98)*(J$3:J$135&gt;J98))+1,IF(M98="P",SUMPRODUCT((O$3:O$135&lt;&gt;"")*(P$3:P$135="")*(G$3:G$135=G98))+SUMPRODUCT((P$3:P$135&lt;&gt;"")*(G$3:G$135=G98))+SUMPRODUCT((N$3:N$135&lt;&gt;"")*(G$3:G$135=G98))+SUMPRODUCT((P$3:P$135="")*(O$3:O$135="")*(N$3:N$135="")*(M$3:M$135="P")*(G$3:G$135=G98)*(J$3:J$135&gt;J98))+IF(H98="L5",SUMPRODUCT((P$3:P$135="")*(O$3:O$135="")*(N$3:N$135="")*(M$3:M$135="P")*(G$3:G$135=G98)*(J$3:J$135&lt;J98)*(H$3:H$135&lt;&gt;H98)),-1*SUMPRODUCT((P$3:P$135="")*(O$3:O$135="")*(N$3:N$135="")*(M$3:M$135="P")*(G$3:G$135=G98)*(J$3:J$135&gt;J98)*(H$3:H$135="L5")))+1,""))))</f>
        <v/>
      </c>
      <c r="C98" s="36" t="s">
        <v>468</v>
      </c>
      <c r="D98" s="36" t="str">
        <f>IF(E98="","",VLOOKUP(E98,'Coaching Points'!A:B,2,0))</f>
        <v>ON</v>
      </c>
      <c r="E98" s="36" t="s">
        <v>288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0"/>
        <v>127.26000832000001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83.2</v>
      </c>
      <c r="S98" s="4">
        <f>IF(G98="17-21",LARGE(CHOOSE({1,2,3,4,5,6},T98,V98,Y98,AA98,AC98,AF98),2),IF(R98=X98,MAX(Y98,AA98,AC98,AF98),IF(R98=AE98,MAX(AF98,T98,V98,Y98),0)))</f>
        <v>44.06</v>
      </c>
      <c r="T98" s="33"/>
      <c r="U98" s="40"/>
      <c r="V98" s="34"/>
      <c r="W98" s="40"/>
      <c r="X98" s="4">
        <f t="shared" si="13"/>
        <v>0</v>
      </c>
      <c r="Y98" s="34"/>
      <c r="Z98" s="40"/>
      <c r="AA98" s="33">
        <v>38.67</v>
      </c>
      <c r="AB98" s="40">
        <v>0</v>
      </c>
      <c r="AC98" s="34">
        <v>44.53</v>
      </c>
      <c r="AD98" s="40">
        <v>7.1</v>
      </c>
      <c r="AE98" s="4">
        <f t="shared" si="14"/>
        <v>83.2</v>
      </c>
      <c r="AF98" s="34">
        <v>44.06</v>
      </c>
      <c r="AG98" s="37">
        <v>7.1</v>
      </c>
    </row>
    <row r="99" spans="1:33" x14ac:dyDescent="0.2">
      <c r="A99" s="1" t="str" cm="1">
        <f t="array" ref="A99">IF(I99="","",IF(P99&lt;&gt;"",SUMPRODUCT((P$3:P$135&lt;&gt;"")*(G$3:G$135=G99)*(J$3:J$135&gt;J99)*(I$3:I$135="P"))+1,IF(O99&lt;&gt;"",SUMPRODUCT((O$3:O$135&lt;&gt;"")*(P$3:P$135="")*(G$3:G$135=G99)*(J$3:J$135&gt;J99)*(I$3:I$135="P"))+SUMPRODUCT((P$3:P$135&lt;&gt;"")*(G$3:G$135=G99)*(I$3:I$135="P"))+1,IF(N99&lt;&gt;"",SUMPRODUCT((N$3:N$135&lt;&gt;"")*(G$3:G$135=G99)*(J$3:J$135&gt;J99)*(I$3:I$135="P"))+1,IF(M99="P",SUMPRODUCT((O$3:O$135&lt;&gt;"")*(P$3:P$135="")*(G$3:G$135=G99)*(I$3:I$135="P"))+SUMPRODUCT((P$3:P$135&lt;&gt;"")*(G$3:G$135=G99)*(I$3:I$135="P"))+SUMPRODUCT((N$3:N$135&lt;&gt;"")*(G$3:G$135=G99)*(I$3:I$135="P"))+SUMPRODUCT((P$3:P$135="")*(O$3:O$135="")*(N$3:N$135="")*(M$3:M$135="P")*(G$3:G$135=G99)*(J$3:J$135&gt;J99)*(I$3:I$135="P"))+IF(H99="L5",SUMPRODUCT((P$3:P$135="")*(O$3:O$135="")*(N$3:N$135="")*(M$3:M$135="P")*(G$3:G$135=G99)*(J$3:J$135&lt;J99)*(H$3:H$135&lt;&gt;H99)*(I$3:I$135="P")),-1*SUMPRODUCT((P$3:P$135="")*(O$3:O$135="")*(N$3:N$135="")*(M$3:M$135="P")*(G$3:G$135=G99)*(J$3:J$135&gt;J99)*(H$3:H$135="L5")*(I$3:I$135="P")))+1,"")))))</f>
        <v/>
      </c>
      <c r="B99" s="1" t="str" cm="1">
        <f t="array" ref="B99">IF(P99&lt;&gt;"",SUMPRODUCT((P$3:P$135&lt;&gt;"")*(G$3:G$135=G99)*(J$3:J$135&gt;J99))+1,IF(O99&lt;&gt;"",SUMPRODUCT((O$3:O$135&lt;&gt;"")*(P$3:P$135="")*(G$3:G$135=G99)*(J$3:J$135&gt;J99))+SUMPRODUCT((P$3:P$135&lt;&gt;"")*(G$3:G$135=G99))+1,IF(N99&lt;&gt;"",SUMPRODUCT((N$3:N$135&lt;&gt;"")*(G$3:G$135=G99)*(J$3:J$135&gt;J99))+1,IF(M99="P",SUMPRODUCT((O$3:O$135&lt;&gt;"")*(P$3:P$135="")*(G$3:G$135=G99))+SUMPRODUCT((P$3:P$135&lt;&gt;"")*(G$3:G$135=G99))+SUMPRODUCT((N$3:N$135&lt;&gt;"")*(G$3:G$135=G99))+SUMPRODUCT((P$3:P$135="")*(O$3:O$135="")*(N$3:N$135="")*(M$3:M$135="P")*(G$3:G$135=G99)*(J$3:J$135&gt;J99))+IF(H99="L5",SUMPRODUCT((P$3:P$135="")*(O$3:O$135="")*(N$3:N$135="")*(M$3:M$135="P")*(G$3:G$135=G99)*(J$3:J$135&lt;J99)*(H$3:H$135&lt;&gt;H99)),-1*SUMPRODUCT((P$3:P$135="")*(O$3:O$135="")*(N$3:N$135="")*(M$3:M$135="P")*(G$3:G$135=G99)*(J$3:J$135&gt;J99)*(H$3:H$135="L5")))+1,""))))</f>
        <v/>
      </c>
      <c r="C99" s="36" t="s">
        <v>469</v>
      </c>
      <c r="D99" s="36" t="str">
        <f>IF(E99="","",VLOOKUP(E99,'Coaching Points'!A:B,2,0))</f>
        <v>NL</v>
      </c>
      <c r="E99" s="36" t="s">
        <v>421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ref="J99:J134" si="15">R99+S99+IF(OR(H99="Junior",H99="Senior"),0.0002,IF(OR(H99="L7",H99="L6"),0.0001,0))+IF(G99="17-21",MAX(AA99,AC99,AF99),AE99)*0.0000001</f>
        <v>126.64000826900001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ref="Q99:Q134" si="16">IF(A99&lt;5,IF(_xlfn.MAXIFS(A:A,G:G,G99)&gt;3,5-A99,_xlfn.MAXIFS(A:A,G:G,G99)+1-A99),"")</f>
        <v/>
      </c>
      <c r="R99" s="4">
        <f t="shared" ref="R99:R134" si="17">IF(G99="17-21",MAX(T99,V99,Y99,AA99,AC99,AF99),MAX(X99,AE99))</f>
        <v>82.69</v>
      </c>
      <c r="S99" s="4">
        <f>IF(G99="17-21",LARGE(CHOOSE({1,2,3,4,5,6},T99,V99,Y99,AA99,AC99,AF99),2),IF(R99=X99,MAX(Y99,AA99,AC99,AF99),IF(R99=AE99,MAX(AF99,T99,V99,Y99),0)))</f>
        <v>43.95</v>
      </c>
      <c r="T99" s="33"/>
      <c r="U99" s="40"/>
      <c r="V99" s="34"/>
      <c r="W99" s="40"/>
      <c r="X99" s="4">
        <f t="shared" ref="X99:X134" si="18">IF(H99="Senior",MAX(T99,V99),T99+V99)</f>
        <v>0</v>
      </c>
      <c r="Y99" s="34"/>
      <c r="Z99" s="40"/>
      <c r="AA99" s="33">
        <v>37.74</v>
      </c>
      <c r="AB99" s="40">
        <v>0</v>
      </c>
      <c r="AC99" s="34">
        <v>44.95</v>
      </c>
      <c r="AD99" s="40">
        <v>8.1</v>
      </c>
      <c r="AE99" s="4">
        <f t="shared" ref="AE99:AE134" si="19">IF(H99="Senior",MAX(AA99,AC99),AA99+AC99)</f>
        <v>82.69</v>
      </c>
      <c r="AF99" s="34">
        <v>43.95</v>
      </c>
      <c r="AG99" s="37">
        <v>8.1</v>
      </c>
    </row>
    <row r="100" spans="1:33" x14ac:dyDescent="0.2">
      <c r="A100" s="1" t="str" cm="1">
        <f t="array" ref="A100">IF(I100="","",IF(P100&lt;&gt;"",SUMPRODUCT((P$3:P$135&lt;&gt;"")*(G$3:G$135=G100)*(J$3:J$135&gt;J100)*(I$3:I$135="P"))+1,IF(O100&lt;&gt;"",SUMPRODUCT((O$3:O$135&lt;&gt;"")*(P$3:P$135="")*(G$3:G$135=G100)*(J$3:J$135&gt;J100)*(I$3:I$135="P"))+SUMPRODUCT((P$3:P$135&lt;&gt;"")*(G$3:G$135=G100)*(I$3:I$135="P"))+1,IF(N100&lt;&gt;"",SUMPRODUCT((N$3:N$135&lt;&gt;"")*(G$3:G$135=G100)*(J$3:J$135&gt;J100)*(I$3:I$135="P"))+1,IF(M100="P",SUMPRODUCT((O$3:O$135&lt;&gt;"")*(P$3:P$135="")*(G$3:G$135=G100)*(I$3:I$135="P"))+SUMPRODUCT((P$3:P$135&lt;&gt;"")*(G$3:G$135=G100)*(I$3:I$135="P"))+SUMPRODUCT((N$3:N$135&lt;&gt;"")*(G$3:G$135=G100)*(I$3:I$135="P"))+SUMPRODUCT((P$3:P$135="")*(O$3:O$135="")*(N$3:N$135="")*(M$3:M$135="P")*(G$3:G$135=G100)*(J$3:J$135&gt;J100)*(I$3:I$135="P"))+IF(H100="L5",SUMPRODUCT((P$3:P$135="")*(O$3:O$135="")*(N$3:N$135="")*(M$3:M$135="P")*(G$3:G$135=G100)*(J$3:J$135&lt;J100)*(H$3:H$135&lt;&gt;H100)*(I$3:I$135="P")),-1*SUMPRODUCT((P$3:P$135="")*(O$3:O$135="")*(N$3:N$135="")*(M$3:M$135="P")*(G$3:G$135=G100)*(J$3:J$135&gt;J100)*(H$3:H$135="L5")*(I$3:I$135="P")))+1,"")))))</f>
        <v/>
      </c>
      <c r="B100" s="1" t="str" cm="1">
        <f t="array" ref="B100">IF(P100&lt;&gt;"",SUMPRODUCT((P$3:P$135&lt;&gt;"")*(G$3:G$135=G100)*(J$3:J$135&gt;J100))+1,IF(O100&lt;&gt;"",SUMPRODUCT((O$3:O$135&lt;&gt;"")*(P$3:P$135="")*(G$3:G$135=G100)*(J$3:J$135&gt;J100))+SUMPRODUCT((P$3:P$135&lt;&gt;"")*(G$3:G$135=G100))+1,IF(N100&lt;&gt;"",SUMPRODUCT((N$3:N$135&lt;&gt;"")*(G$3:G$135=G100)*(J$3:J$135&gt;J100))+1,IF(M100="P",SUMPRODUCT((O$3:O$135&lt;&gt;"")*(P$3:P$135="")*(G$3:G$135=G100))+SUMPRODUCT((P$3:P$135&lt;&gt;"")*(G$3:G$135=G100))+SUMPRODUCT((N$3:N$135&lt;&gt;"")*(G$3:G$135=G100))+SUMPRODUCT((P$3:P$135="")*(O$3:O$135="")*(N$3:N$135="")*(M$3:M$135="P")*(G$3:G$135=G100)*(J$3:J$135&gt;J100))+IF(H100="L5",SUMPRODUCT((P$3:P$135="")*(O$3:O$135="")*(N$3:N$135="")*(M$3:M$135="P")*(G$3:G$135=G100)*(J$3:J$135&lt;J100)*(H$3:H$135&lt;&gt;H100)),-1*SUMPRODUCT((P$3:P$135="")*(O$3:O$135="")*(N$3:N$135="")*(M$3:M$135="P")*(G$3:G$135=G100)*(J$3:J$135&gt;J100)*(H$3:H$135="L5")))+1,""))))</f>
        <v/>
      </c>
      <c r="C100" s="36" t="s">
        <v>120</v>
      </c>
      <c r="D100" s="36" t="str">
        <f>IF(E100="","",VLOOKUP(E100,'Coaching Points'!A:B,2,0))</f>
        <v>AB</v>
      </c>
      <c r="E100" s="36" t="s">
        <v>29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126.380008154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6"/>
        <v/>
      </c>
      <c r="R100" s="4">
        <f t="shared" si="17"/>
        <v>81.539999999999992</v>
      </c>
      <c r="S100" s="4">
        <f>IF(G100="17-21",LARGE(CHOOSE({1,2,3,4,5,6},T100,V100,Y100,AA100,AC100,AF100),2),IF(R100=X100,MAX(Y100,AA100,AC100,AF100),IF(R100=AE100,MAX(AF100,T100,V100,Y100),0)))</f>
        <v>44.84</v>
      </c>
      <c r="T100" s="33">
        <v>36.47</v>
      </c>
      <c r="U100" s="40">
        <v>0</v>
      </c>
      <c r="V100" s="34">
        <v>44.84</v>
      </c>
      <c r="W100" s="40">
        <v>7.8</v>
      </c>
      <c r="X100" s="4">
        <f t="shared" si="18"/>
        <v>81.31</v>
      </c>
      <c r="Y100" s="34">
        <v>44.64</v>
      </c>
      <c r="Z100" s="40">
        <v>7.8</v>
      </c>
      <c r="AA100" s="33">
        <v>38.299999999999997</v>
      </c>
      <c r="AB100" s="40">
        <v>0</v>
      </c>
      <c r="AC100" s="34">
        <v>43.24</v>
      </c>
      <c r="AD100" s="40">
        <v>7.7</v>
      </c>
      <c r="AE100" s="4">
        <f t="shared" si="19"/>
        <v>81.539999999999992</v>
      </c>
      <c r="AF100" s="34"/>
      <c r="AG100" s="37"/>
    </row>
    <row r="101" spans="1:33" x14ac:dyDescent="0.2">
      <c r="A101" s="1" t="str" cm="1">
        <f t="array" ref="A101">IF(I101="","",IF(P101&lt;&gt;"",SUMPRODUCT((P$3:P$135&lt;&gt;"")*(G$3:G$135=G101)*(J$3:J$135&gt;J101)*(I$3:I$135="P"))+1,IF(O101&lt;&gt;"",SUMPRODUCT((O$3:O$135&lt;&gt;"")*(P$3:P$135="")*(G$3:G$135=G101)*(J$3:J$135&gt;J101)*(I$3:I$135="P"))+SUMPRODUCT((P$3:P$135&lt;&gt;"")*(G$3:G$135=G101)*(I$3:I$135="P"))+1,IF(N101&lt;&gt;"",SUMPRODUCT((N$3:N$135&lt;&gt;"")*(G$3:G$135=G101)*(J$3:J$135&gt;J101)*(I$3:I$135="P"))+1,IF(M101="P",SUMPRODUCT((O$3:O$135&lt;&gt;"")*(P$3:P$135="")*(G$3:G$135=G101)*(I$3:I$135="P"))+SUMPRODUCT((P$3:P$135&lt;&gt;"")*(G$3:G$135=G101)*(I$3:I$135="P"))+SUMPRODUCT((N$3:N$135&lt;&gt;"")*(G$3:G$135=G101)*(I$3:I$135="P"))+SUMPRODUCT((P$3:P$135="")*(O$3:O$135="")*(N$3:N$135="")*(M$3:M$135="P")*(G$3:G$135=G101)*(J$3:J$135&gt;J101)*(I$3:I$135="P"))+IF(H101="L5",SUMPRODUCT((P$3:P$135="")*(O$3:O$135="")*(N$3:N$135="")*(M$3:M$135="P")*(G$3:G$135=G101)*(J$3:J$135&lt;J101)*(H$3:H$135&lt;&gt;H101)*(I$3:I$135="P")),-1*SUMPRODUCT((P$3:P$135="")*(O$3:O$135="")*(N$3:N$135="")*(M$3:M$135="P")*(G$3:G$135=G101)*(J$3:J$135&gt;J101)*(H$3:H$135="L5")*(I$3:I$135="P")))+1,"")))))</f>
        <v/>
      </c>
      <c r="B101" s="1" t="str" cm="1">
        <f t="array" ref="B101">IF(P101&lt;&gt;"",SUMPRODUCT((P$3:P$135&lt;&gt;"")*(G$3:G$135=G101)*(J$3:J$135&gt;J101))+1,IF(O101&lt;&gt;"",SUMPRODUCT((O$3:O$135&lt;&gt;"")*(P$3:P$135="")*(G$3:G$135=G101)*(J$3:J$135&gt;J101))+SUMPRODUCT((P$3:P$135&lt;&gt;"")*(G$3:G$135=G101))+1,IF(N101&lt;&gt;"",SUMPRODUCT((N$3:N$135&lt;&gt;"")*(G$3:G$135=G101)*(J$3:J$135&gt;J101))+1,IF(M101="P",SUMPRODUCT((O$3:O$135&lt;&gt;"")*(P$3:P$135="")*(G$3:G$135=G101))+SUMPRODUCT((P$3:P$135&lt;&gt;"")*(G$3:G$135=G101))+SUMPRODUCT((N$3:N$135&lt;&gt;"")*(G$3:G$135=G101))+SUMPRODUCT((P$3:P$135="")*(O$3:O$135="")*(N$3:N$135="")*(M$3:M$135="P")*(G$3:G$135=G101)*(J$3:J$135&gt;J101))+IF(H101="L5",SUMPRODUCT((P$3:P$135="")*(O$3:O$135="")*(N$3:N$135="")*(M$3:M$135="P")*(G$3:G$135=G101)*(J$3:J$135&lt;J101)*(H$3:H$135&lt;&gt;H101)),-1*SUMPRODUCT((P$3:P$135="")*(O$3:O$135="")*(N$3:N$135="")*(M$3:M$135="P")*(G$3:G$135=G101)*(J$3:J$135&gt;J101)*(H$3:H$135="L5")))+1,""))))</f>
        <v/>
      </c>
      <c r="C101" s="36" t="s">
        <v>243</v>
      </c>
      <c r="D101" s="36" t="str">
        <f>IF(E101="","",VLOOKUP(E101,'Coaching Points'!A:B,2,0))</f>
        <v>ON</v>
      </c>
      <c r="E101" s="36" t="s">
        <v>38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125.66999999999999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6"/>
        <v/>
      </c>
      <c r="R101" s="4">
        <f t="shared" si="17"/>
        <v>80.819999999999993</v>
      </c>
      <c r="S101" s="4">
        <f>IF(G101="17-21",LARGE(CHOOSE({1,2,3,4,5,6},T101,V101,Y101,AA101,AC101,AF101),2),IF(R101=X101,MAX(Y101,AA101,AC101,AF101),IF(R101=AE101,MAX(AF101,T101,V101,Y101),0)))</f>
        <v>44.85</v>
      </c>
      <c r="T101" s="33">
        <v>37.5</v>
      </c>
      <c r="U101" s="40">
        <v>0</v>
      </c>
      <c r="V101" s="34">
        <v>43.32</v>
      </c>
      <c r="W101" s="40">
        <v>7.6</v>
      </c>
      <c r="X101" s="4">
        <f t="shared" si="18"/>
        <v>80.819999999999993</v>
      </c>
      <c r="Y101" s="34">
        <v>44.85</v>
      </c>
      <c r="Z101" s="40">
        <v>7.6</v>
      </c>
      <c r="AA101" s="33"/>
      <c r="AB101" s="40"/>
      <c r="AC101" s="34"/>
      <c r="AD101" s="40"/>
      <c r="AE101" s="4">
        <f t="shared" si="19"/>
        <v>0</v>
      </c>
      <c r="AF101" s="34"/>
      <c r="AG101" s="37"/>
    </row>
    <row r="102" spans="1:33" x14ac:dyDescent="0.2">
      <c r="A102" s="1" t="str" cm="1">
        <f t="array" ref="A102">IF(I102="","",IF(P102&lt;&gt;"",SUMPRODUCT((P$3:P$135&lt;&gt;"")*(G$3:G$135=G102)*(J$3:J$135&gt;J102)*(I$3:I$135="P"))+1,IF(O102&lt;&gt;"",SUMPRODUCT((O$3:O$135&lt;&gt;"")*(P$3:P$135="")*(G$3:G$135=G102)*(J$3:J$135&gt;J102)*(I$3:I$135="P"))+SUMPRODUCT((P$3:P$135&lt;&gt;"")*(G$3:G$135=G102)*(I$3:I$135="P"))+1,IF(N102&lt;&gt;"",SUMPRODUCT((N$3:N$135&lt;&gt;"")*(G$3:G$135=G102)*(J$3:J$135&gt;J102)*(I$3:I$135="P"))+1,IF(M102="P",SUMPRODUCT((O$3:O$135&lt;&gt;"")*(P$3:P$135="")*(G$3:G$135=G102)*(I$3:I$135="P"))+SUMPRODUCT((P$3:P$135&lt;&gt;"")*(G$3:G$135=G102)*(I$3:I$135="P"))+SUMPRODUCT((N$3:N$135&lt;&gt;"")*(G$3:G$135=G102)*(I$3:I$135="P"))+SUMPRODUCT((P$3:P$135="")*(O$3:O$135="")*(N$3:N$135="")*(M$3:M$135="P")*(G$3:G$135=G102)*(J$3:J$135&gt;J102)*(I$3:I$135="P"))+IF(H102="L5",SUMPRODUCT((P$3:P$135="")*(O$3:O$135="")*(N$3:N$135="")*(M$3:M$135="P")*(G$3:G$135=G102)*(J$3:J$135&lt;J102)*(H$3:H$135&lt;&gt;H102)*(I$3:I$135="P")),-1*SUMPRODUCT((P$3:P$135="")*(O$3:O$135="")*(N$3:N$135="")*(M$3:M$135="P")*(G$3:G$135=G102)*(J$3:J$135&gt;J102)*(H$3:H$135="L5")*(I$3:I$135="P")))+1,"")))))</f>
        <v/>
      </c>
      <c r="B102" s="1" t="str" cm="1">
        <f t="array" ref="B102">IF(P102&lt;&gt;"",SUMPRODUCT((P$3:P$135&lt;&gt;"")*(G$3:G$135=G102)*(J$3:J$135&gt;J102))+1,IF(O102&lt;&gt;"",SUMPRODUCT((O$3:O$135&lt;&gt;"")*(P$3:P$135="")*(G$3:G$135=G102)*(J$3:J$135&gt;J102))+SUMPRODUCT((P$3:P$135&lt;&gt;"")*(G$3:G$135=G102))+1,IF(N102&lt;&gt;"",SUMPRODUCT((N$3:N$135&lt;&gt;"")*(G$3:G$135=G102)*(J$3:J$135&gt;J102))+1,IF(M102="P",SUMPRODUCT((O$3:O$135&lt;&gt;"")*(P$3:P$135="")*(G$3:G$135=G102))+SUMPRODUCT((P$3:P$135&lt;&gt;"")*(G$3:G$135=G102))+SUMPRODUCT((N$3:N$135&lt;&gt;"")*(G$3:G$135=G102))+SUMPRODUCT((P$3:P$135="")*(O$3:O$135="")*(N$3:N$135="")*(M$3:M$135="P")*(G$3:G$135=G102)*(J$3:J$135&gt;J102))+IF(H102="L5",SUMPRODUCT((P$3:P$135="")*(O$3:O$135="")*(N$3:N$135="")*(M$3:M$135="P")*(G$3:G$135=G102)*(J$3:J$135&lt;J102)*(H$3:H$135&lt;&gt;H102)),-1*SUMPRODUCT((P$3:P$135="")*(O$3:O$135="")*(N$3:N$135="")*(M$3:M$135="P")*(G$3:G$135=G102)*(J$3:J$135&gt;J102)*(H$3:H$135="L5")))+1,""))))</f>
        <v/>
      </c>
      <c r="C102" s="36" t="s">
        <v>127</v>
      </c>
      <c r="D102" s="36" t="str">
        <f>IF(E102="","",VLOOKUP(E102,'Coaching Points'!A:B,2,0))</f>
        <v>ON</v>
      </c>
      <c r="E102" s="36" t="s">
        <v>73</v>
      </c>
      <c r="F102" s="35">
        <v>2007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66</v>
      </c>
      <c r="I102" s="43"/>
      <c r="J102" s="4">
        <f t="shared" si="15"/>
        <v>124.91000554199999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6"/>
        <v/>
      </c>
      <c r="R102" s="4">
        <f t="shared" si="17"/>
        <v>84.039999999999992</v>
      </c>
      <c r="S102" s="4">
        <f>IF(G102="17-21",LARGE(CHOOSE({1,2,3,4,5,6},T102,V102,Y102,AA102,AC102,AF102),2),IF(R102=X102,MAX(Y102,AA102,AC102,AF102),IF(R102=AE102,MAX(AF102,T102,V102,Y102),0)))</f>
        <v>40.869999999999997</v>
      </c>
      <c r="T102" s="33">
        <v>38.47</v>
      </c>
      <c r="U102" s="40">
        <v>0</v>
      </c>
      <c r="V102" s="34">
        <v>45.57</v>
      </c>
      <c r="W102" s="40">
        <v>8.1999999999999993</v>
      </c>
      <c r="X102" s="4">
        <f t="shared" si="18"/>
        <v>84.039999999999992</v>
      </c>
      <c r="Y102" s="34">
        <v>40.799999999999997</v>
      </c>
      <c r="Z102" s="40">
        <v>6.4</v>
      </c>
      <c r="AA102" s="33">
        <v>40.869999999999997</v>
      </c>
      <c r="AB102" s="40">
        <v>0</v>
      </c>
      <c r="AC102" s="34">
        <v>14.55</v>
      </c>
      <c r="AD102" s="40">
        <v>2.9</v>
      </c>
      <c r="AE102" s="4">
        <f t="shared" si="19"/>
        <v>55.42</v>
      </c>
      <c r="AF102" s="34"/>
      <c r="AG102" s="37"/>
    </row>
    <row r="103" spans="1:33" x14ac:dyDescent="0.2">
      <c r="A103" s="1" t="str" cm="1">
        <f t="array" ref="A103">IF(I103="","",IF(P103&lt;&gt;"",SUMPRODUCT((P$3:P$135&lt;&gt;"")*(G$3:G$135=G103)*(J$3:J$135&gt;J103)*(I$3:I$135="P"))+1,IF(O103&lt;&gt;"",SUMPRODUCT((O$3:O$135&lt;&gt;"")*(P$3:P$135="")*(G$3:G$135=G103)*(J$3:J$135&gt;J103)*(I$3:I$135="P"))+SUMPRODUCT((P$3:P$135&lt;&gt;"")*(G$3:G$135=G103)*(I$3:I$135="P"))+1,IF(N103&lt;&gt;"",SUMPRODUCT((N$3:N$135&lt;&gt;"")*(G$3:G$135=G103)*(J$3:J$135&gt;J103)*(I$3:I$135="P"))+1,IF(M103="P",SUMPRODUCT((O$3:O$135&lt;&gt;"")*(P$3:P$135="")*(G$3:G$135=G103)*(I$3:I$135="P"))+SUMPRODUCT((P$3:P$135&lt;&gt;"")*(G$3:G$135=G103)*(I$3:I$135="P"))+SUMPRODUCT((N$3:N$135&lt;&gt;"")*(G$3:G$135=G103)*(I$3:I$135="P"))+SUMPRODUCT((P$3:P$135="")*(O$3:O$135="")*(N$3:N$135="")*(M$3:M$135="P")*(G$3:G$135=G103)*(J$3:J$135&gt;J103)*(I$3:I$135="P"))+IF(H103="L5",SUMPRODUCT((P$3:P$135="")*(O$3:O$135="")*(N$3:N$135="")*(M$3:M$135="P")*(G$3:G$135=G103)*(J$3:J$135&lt;J103)*(H$3:H$135&lt;&gt;H103)*(I$3:I$135="P")),-1*SUMPRODUCT((P$3:P$135="")*(O$3:O$135="")*(N$3:N$135="")*(M$3:M$135="P")*(G$3:G$135=G103)*(J$3:J$135&gt;J103)*(H$3:H$135="L5")*(I$3:I$135="P")))+1,"")))))</f>
        <v/>
      </c>
      <c r="B103" s="1" t="str" cm="1">
        <f t="array" ref="B103">IF(P103&lt;&gt;"",SUMPRODUCT((P$3:P$135&lt;&gt;"")*(G$3:G$135=G103)*(J$3:J$135&gt;J103))+1,IF(O103&lt;&gt;"",SUMPRODUCT((O$3:O$135&lt;&gt;"")*(P$3:P$135="")*(G$3:G$135=G103)*(J$3:J$135&gt;J103))+SUMPRODUCT((P$3:P$135&lt;&gt;"")*(G$3:G$135=G103))+1,IF(N103&lt;&gt;"",SUMPRODUCT((N$3:N$135&lt;&gt;"")*(G$3:G$135=G103)*(J$3:J$135&gt;J103))+1,IF(M103="P",SUMPRODUCT((O$3:O$135&lt;&gt;"")*(P$3:P$135="")*(G$3:G$135=G103))+SUMPRODUCT((P$3:P$135&lt;&gt;"")*(G$3:G$135=G103))+SUMPRODUCT((N$3:N$135&lt;&gt;"")*(G$3:G$135=G103))+SUMPRODUCT((P$3:P$135="")*(O$3:O$135="")*(N$3:N$135="")*(M$3:M$135="P")*(G$3:G$135=G103)*(J$3:J$135&gt;J103))+IF(H103="L5",SUMPRODUCT((P$3:P$135="")*(O$3:O$135="")*(N$3:N$135="")*(M$3:M$135="P")*(G$3:G$135=G103)*(J$3:J$135&lt;J103)*(H$3:H$135&lt;&gt;H103)),-1*SUMPRODUCT((P$3:P$135="")*(O$3:O$135="")*(N$3:N$135="")*(M$3:M$135="P")*(G$3:G$135=G103)*(J$3:J$135&gt;J103)*(H$3:H$135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290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123.27000851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>P</v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 t="shared" si="16"/>
        <v/>
      </c>
      <c r="R103" s="4">
        <f t="shared" si="17"/>
        <v>85.1</v>
      </c>
      <c r="S103" s="4">
        <f>IF(G103="17-21",LARGE(CHOOSE({1,2,3,4,5,6},T103,V103,Y103,AA103,AC103,AF103),2),IF(R103=X103,MAX(Y103,AA103,AC103,AF103),IF(R103=AE103,MAX(AF103,T103,V103,Y103),0)))</f>
        <v>38.17</v>
      </c>
      <c r="T103" s="33">
        <v>38.17</v>
      </c>
      <c r="U103" s="40">
        <v>0</v>
      </c>
      <c r="V103" s="34">
        <v>38</v>
      </c>
      <c r="W103" s="40">
        <v>7</v>
      </c>
      <c r="X103" s="4">
        <f t="shared" si="18"/>
        <v>76.17</v>
      </c>
      <c r="Y103" s="34">
        <v>8.85</v>
      </c>
      <c r="Z103" s="40">
        <v>1.8</v>
      </c>
      <c r="AA103" s="33">
        <v>39.409999999999997</v>
      </c>
      <c r="AB103" s="40">
        <v>0</v>
      </c>
      <c r="AC103" s="34">
        <v>45.69</v>
      </c>
      <c r="AD103" s="40">
        <v>9.1</v>
      </c>
      <c r="AE103" s="4">
        <f t="shared" si="19"/>
        <v>85.1</v>
      </c>
      <c r="AF103" s="34">
        <v>31.68</v>
      </c>
      <c r="AG103" s="37">
        <v>6.4</v>
      </c>
    </row>
    <row r="104" spans="1:33" x14ac:dyDescent="0.2">
      <c r="A104" s="1" t="str" cm="1">
        <f t="array" ref="A104">IF(I104="","",IF(P104&lt;&gt;"",SUMPRODUCT((P$3:P$135&lt;&gt;"")*(G$3:G$135=G104)*(J$3:J$135&gt;J104)*(I$3:I$135="P"))+1,IF(O104&lt;&gt;"",SUMPRODUCT((O$3:O$135&lt;&gt;"")*(P$3:P$135="")*(G$3:G$135=G104)*(J$3:J$135&gt;J104)*(I$3:I$135="P"))+SUMPRODUCT((P$3:P$135&lt;&gt;"")*(G$3:G$135=G104)*(I$3:I$135="P"))+1,IF(N104&lt;&gt;"",SUMPRODUCT((N$3:N$135&lt;&gt;"")*(G$3:G$135=G104)*(J$3:J$135&gt;J104)*(I$3:I$135="P"))+1,IF(M104="P",SUMPRODUCT((O$3:O$135&lt;&gt;"")*(P$3:P$135="")*(G$3:G$135=G104)*(I$3:I$135="P"))+SUMPRODUCT((P$3:P$135&lt;&gt;"")*(G$3:G$135=G104)*(I$3:I$135="P"))+SUMPRODUCT((N$3:N$135&lt;&gt;"")*(G$3:G$135=G104)*(I$3:I$135="P"))+SUMPRODUCT((P$3:P$135="")*(O$3:O$135="")*(N$3:N$135="")*(M$3:M$135="P")*(G$3:G$135=G104)*(J$3:J$135&gt;J104)*(I$3:I$135="P"))+IF(H104="L5",SUMPRODUCT((P$3:P$135="")*(O$3:O$135="")*(N$3:N$135="")*(M$3:M$135="P")*(G$3:G$135=G104)*(J$3:J$135&lt;J104)*(H$3:H$135&lt;&gt;H104)*(I$3:I$135="P")),-1*SUMPRODUCT((P$3:P$135="")*(O$3:O$135="")*(N$3:N$135="")*(M$3:M$135="P")*(G$3:G$135=G104)*(J$3:J$135&gt;J104)*(H$3:H$135="L5")*(I$3:I$135="P")))+1,"")))))</f>
        <v/>
      </c>
      <c r="B104" s="1" t="str" cm="1">
        <f t="array" ref="B104">IF(P104&lt;&gt;"",SUMPRODUCT((P$3:P$135&lt;&gt;"")*(G$3:G$135=G104)*(J$3:J$135&gt;J104))+1,IF(O104&lt;&gt;"",SUMPRODUCT((O$3:O$135&lt;&gt;"")*(P$3:P$135="")*(G$3:G$135=G104)*(J$3:J$135&gt;J104))+SUMPRODUCT((P$3:P$135&lt;&gt;"")*(G$3:G$135=G104))+1,IF(N104&lt;&gt;"",SUMPRODUCT((N$3:N$135&lt;&gt;"")*(G$3:G$135=G104)*(J$3:J$135&gt;J104))+1,IF(M104="P",SUMPRODUCT((O$3:O$135&lt;&gt;"")*(P$3:P$135="")*(G$3:G$135=G104))+SUMPRODUCT((P$3:P$135&lt;&gt;"")*(G$3:G$135=G104))+SUMPRODUCT((N$3:N$135&lt;&gt;"")*(G$3:G$135=G104))+SUMPRODUCT((P$3:P$135="")*(O$3:O$135="")*(N$3:N$135="")*(M$3:M$135="P")*(G$3:G$135=G104)*(J$3:J$135&gt;J104))+IF(H104="L5",SUMPRODUCT((P$3:P$135="")*(O$3:O$135="")*(N$3:N$135="")*(M$3:M$135="P")*(G$3:G$135=G104)*(J$3:J$135&lt;J104)*(H$3:H$135&lt;&gt;H104)),-1*SUMPRODUCT((P$3:P$135="")*(O$3:O$135="")*(N$3:N$135="")*(M$3:M$135="P")*(G$3:G$135=G104)*(J$3:J$135&gt;J104)*(H$3:H$135="L5")))+1,""))))</f>
        <v/>
      </c>
      <c r="C104" s="36" t="s">
        <v>238</v>
      </c>
      <c r="D104" s="36" t="str">
        <f>IF(E104="","",VLOOKUP(E104,'Coaching Points'!A:B,2,0))</f>
        <v>AB</v>
      </c>
      <c r="E104" s="36" t="s">
        <v>58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66</v>
      </c>
      <c r="I104" s="43"/>
      <c r="J104" s="4">
        <f t="shared" si="15"/>
        <v>122.560004726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 t="shared" si="16"/>
        <v/>
      </c>
      <c r="R104" s="4">
        <f t="shared" si="17"/>
        <v>79.84</v>
      </c>
      <c r="S104" s="4">
        <f>IF(G104="17-21",LARGE(CHOOSE({1,2,3,4,5,6},T104,V104,Y104,AA104,AC104,AF104),2),IF(R104=X104,MAX(Y104,AA104,AC104,AF104),IF(R104=AE104,MAX(AF104,T104,V104,Y104),0)))</f>
        <v>42.72</v>
      </c>
      <c r="T104" s="33">
        <v>36.200000000000003</v>
      </c>
      <c r="U104" s="40">
        <v>0</v>
      </c>
      <c r="V104" s="34">
        <v>43.64</v>
      </c>
      <c r="W104" s="40">
        <v>8.5</v>
      </c>
      <c r="X104" s="4">
        <f t="shared" si="18"/>
        <v>79.84</v>
      </c>
      <c r="Y104" s="34">
        <v>42.72</v>
      </c>
      <c r="Z104" s="40">
        <v>8.5</v>
      </c>
      <c r="AA104" s="33">
        <v>37.869999999999997</v>
      </c>
      <c r="AB104" s="40">
        <v>0</v>
      </c>
      <c r="AC104" s="34">
        <v>9.39</v>
      </c>
      <c r="AD104" s="40">
        <v>1.9</v>
      </c>
      <c r="AE104" s="4">
        <f t="shared" si="19"/>
        <v>47.26</v>
      </c>
      <c r="AF104" s="34"/>
      <c r="AG104" s="37"/>
    </row>
    <row r="105" spans="1:33" x14ac:dyDescent="0.2">
      <c r="A105" s="1" t="str" cm="1">
        <f t="array" ref="A105">IF(I105="","",IF(P105&lt;&gt;"",SUMPRODUCT((P$3:P$135&lt;&gt;"")*(G$3:G$135=G105)*(J$3:J$135&gt;J105)*(I$3:I$135="P"))+1,IF(O105&lt;&gt;"",SUMPRODUCT((O$3:O$135&lt;&gt;"")*(P$3:P$135="")*(G$3:G$135=G105)*(J$3:J$135&gt;J105)*(I$3:I$135="P"))+SUMPRODUCT((P$3:P$135&lt;&gt;"")*(G$3:G$135=G105)*(I$3:I$135="P"))+1,IF(N105&lt;&gt;"",SUMPRODUCT((N$3:N$135&lt;&gt;"")*(G$3:G$135=G105)*(J$3:J$135&gt;J105)*(I$3:I$135="P"))+1,IF(M105="P",SUMPRODUCT((O$3:O$135&lt;&gt;"")*(P$3:P$135="")*(G$3:G$135=G105)*(I$3:I$135="P"))+SUMPRODUCT((P$3:P$135&lt;&gt;"")*(G$3:G$135=G105)*(I$3:I$135="P"))+SUMPRODUCT((N$3:N$135&lt;&gt;"")*(G$3:G$135=G105)*(I$3:I$135="P"))+SUMPRODUCT((P$3:P$135="")*(O$3:O$135="")*(N$3:N$135="")*(M$3:M$135="P")*(G$3:G$135=G105)*(J$3:J$135&gt;J105)*(I$3:I$135="P"))+IF(H105="L5",SUMPRODUCT((P$3:P$135="")*(O$3:O$135="")*(N$3:N$135="")*(M$3:M$135="P")*(G$3:G$135=G105)*(J$3:J$135&lt;J105)*(H$3:H$135&lt;&gt;H105)*(I$3:I$135="P")),-1*SUMPRODUCT((P$3:P$135="")*(O$3:O$135="")*(N$3:N$135="")*(M$3:M$135="P")*(G$3:G$135=G105)*(J$3:J$135&gt;J105)*(H$3:H$135="L5")*(I$3:I$135="P")))+1,"")))))</f>
        <v/>
      </c>
      <c r="B105" s="1" t="str" cm="1">
        <f t="array" ref="B105">IF(P105&lt;&gt;"",SUMPRODUCT((P$3:P$135&lt;&gt;"")*(G$3:G$135=G105)*(J$3:J$135&gt;J105))+1,IF(O105&lt;&gt;"",SUMPRODUCT((O$3:O$135&lt;&gt;"")*(P$3:P$135="")*(G$3:G$135=G105)*(J$3:J$135&gt;J105))+SUMPRODUCT((P$3:P$135&lt;&gt;"")*(G$3:G$135=G105))+1,IF(N105&lt;&gt;"",SUMPRODUCT((N$3:N$135&lt;&gt;"")*(G$3:G$135=G105)*(J$3:J$135&gt;J105))+1,IF(M105="P",SUMPRODUCT((O$3:O$135&lt;&gt;"")*(P$3:P$135="")*(G$3:G$135=G105))+SUMPRODUCT((P$3:P$135&lt;&gt;"")*(G$3:G$135=G105))+SUMPRODUCT((N$3:N$135&lt;&gt;"")*(G$3:G$135=G105))+SUMPRODUCT((P$3:P$135="")*(O$3:O$135="")*(N$3:N$135="")*(M$3:M$135="P")*(G$3:G$135=G105)*(J$3:J$135&gt;J105))+IF(H105="L5",SUMPRODUCT((P$3:P$135="")*(O$3:O$135="")*(N$3:N$135="")*(M$3:M$135="P")*(G$3:G$135=G105)*(J$3:J$135&lt;J105)*(H$3:H$135&lt;&gt;H105)),-1*SUMPRODUCT((P$3:P$135="")*(O$3:O$135="")*(N$3:N$135="")*(M$3:M$135="P")*(G$3:G$135=G105)*(J$3:J$135&gt;J105)*(H$3:H$135="L5")))+1,""))))</f>
        <v/>
      </c>
      <c r="C105" s="36" t="s">
        <v>241</v>
      </c>
      <c r="D105" s="36" t="str">
        <f>IF(E105="","",VLOOKUP(E105,'Coaching Points'!A:B,2,0))</f>
        <v>BC</v>
      </c>
      <c r="E105" s="36" t="s">
        <v>62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 t="shared" si="15"/>
        <v>119.82000750399999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 t="shared" si="16"/>
        <v/>
      </c>
      <c r="R105" s="4">
        <f t="shared" si="17"/>
        <v>77.56</v>
      </c>
      <c r="S105" s="4">
        <f>IF(G105="17-21",LARGE(CHOOSE({1,2,3,4,5,6},T105,V105,Y105,AA105,AC105,AF105),2),IF(R105=X105,MAX(Y105,AA105,AC105,AF105),IF(R105=AE105,MAX(AF105,T105,V105,Y105),0)))</f>
        <v>42.26</v>
      </c>
      <c r="T105" s="33">
        <v>35.58</v>
      </c>
      <c r="U105" s="40">
        <v>0</v>
      </c>
      <c r="V105" s="34">
        <v>41.98</v>
      </c>
      <c r="W105" s="40">
        <v>8.4</v>
      </c>
      <c r="X105" s="4">
        <f t="shared" si="18"/>
        <v>77.56</v>
      </c>
      <c r="Y105" s="34">
        <v>42.26</v>
      </c>
      <c r="Z105" s="40">
        <v>7.1</v>
      </c>
      <c r="AA105" s="33">
        <v>34.39</v>
      </c>
      <c r="AB105" s="40">
        <v>0</v>
      </c>
      <c r="AC105" s="34">
        <v>40.65</v>
      </c>
      <c r="AD105" s="40">
        <v>8.5</v>
      </c>
      <c r="AE105" s="4">
        <f t="shared" si="19"/>
        <v>75.039999999999992</v>
      </c>
      <c r="AF105" s="34"/>
      <c r="AG105" s="37"/>
    </row>
    <row r="106" spans="1:33" x14ac:dyDescent="0.2">
      <c r="A106" s="1" t="str" cm="1">
        <f t="array" ref="A106">IF(I106="","",IF(P106&lt;&gt;"",SUMPRODUCT((P$3:P$135&lt;&gt;"")*(G$3:G$135=G106)*(J$3:J$135&gt;J106)*(I$3:I$135="P"))+1,IF(O106&lt;&gt;"",SUMPRODUCT((O$3:O$135&lt;&gt;"")*(P$3:P$135="")*(G$3:G$135=G106)*(J$3:J$135&gt;J106)*(I$3:I$135="P"))+SUMPRODUCT((P$3:P$135&lt;&gt;"")*(G$3:G$135=G106)*(I$3:I$135="P"))+1,IF(N106&lt;&gt;"",SUMPRODUCT((N$3:N$135&lt;&gt;"")*(G$3:G$135=G106)*(J$3:J$135&gt;J106)*(I$3:I$135="P"))+1,IF(M106="P",SUMPRODUCT((O$3:O$135&lt;&gt;"")*(P$3:P$135="")*(G$3:G$135=G106)*(I$3:I$135="P"))+SUMPRODUCT((P$3:P$135&lt;&gt;"")*(G$3:G$135=G106)*(I$3:I$135="P"))+SUMPRODUCT((N$3:N$135&lt;&gt;"")*(G$3:G$135=G106)*(I$3:I$135="P"))+SUMPRODUCT((P$3:P$135="")*(O$3:O$135="")*(N$3:N$135="")*(M$3:M$135="P")*(G$3:G$135=G106)*(J$3:J$135&gt;J106)*(I$3:I$135="P"))+IF(H106="L5",SUMPRODUCT((P$3:P$135="")*(O$3:O$135="")*(N$3:N$135="")*(M$3:M$135="P")*(G$3:G$135=G106)*(J$3:J$135&lt;J106)*(H$3:H$135&lt;&gt;H106)*(I$3:I$135="P")),-1*SUMPRODUCT((P$3:P$135="")*(O$3:O$135="")*(N$3:N$135="")*(M$3:M$135="P")*(G$3:G$135=G106)*(J$3:J$135&gt;J106)*(H$3:H$135="L5")*(I$3:I$135="P")))+1,"")))))</f>
        <v/>
      </c>
      <c r="B106" s="1" t="str" cm="1">
        <f t="array" ref="B106">IF(P106&lt;&gt;"",SUMPRODUCT((P$3:P$135&lt;&gt;"")*(G$3:G$135=G106)*(J$3:J$135&gt;J106))+1,IF(O106&lt;&gt;"",SUMPRODUCT((O$3:O$135&lt;&gt;"")*(P$3:P$135="")*(G$3:G$135=G106)*(J$3:J$135&gt;J106))+SUMPRODUCT((P$3:P$135&lt;&gt;"")*(G$3:G$135=G106))+1,IF(N106&lt;&gt;"",SUMPRODUCT((N$3:N$135&lt;&gt;"")*(G$3:G$135=G106)*(J$3:J$135&gt;J106))+1,IF(M106="P",SUMPRODUCT((O$3:O$135&lt;&gt;"")*(P$3:P$135="")*(G$3:G$135=G106))+SUMPRODUCT((P$3:P$135&lt;&gt;"")*(G$3:G$135=G106))+SUMPRODUCT((N$3:N$135&lt;&gt;"")*(G$3:G$135=G106))+SUMPRODUCT((P$3:P$135="")*(O$3:O$135="")*(N$3:N$135="")*(M$3:M$135="P")*(G$3:G$135=G106)*(J$3:J$135&gt;J106))+IF(H106="L5",SUMPRODUCT((P$3:P$135="")*(O$3:O$135="")*(N$3:N$135="")*(M$3:M$135="P")*(G$3:G$135=G106)*(J$3:J$135&lt;J106)*(H$3:H$135&lt;&gt;H106)),-1*SUMPRODUCT((P$3:P$135="")*(O$3:O$135="")*(N$3:N$135="")*(M$3:M$135="P")*(G$3:G$135=G106)*(J$3:J$135&gt;J106)*(H$3:H$135="L5")))+1,""))))</f>
        <v/>
      </c>
      <c r="C106" s="36" t="s">
        <v>117</v>
      </c>
      <c r="D106" s="36" t="str">
        <f>IF(E106="","",VLOOKUP(E106,'Coaching Points'!A:B,2,0))</f>
        <v>AB</v>
      </c>
      <c r="E106" s="36" t="s">
        <v>64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67</v>
      </c>
      <c r="I106" s="43"/>
      <c r="J106" s="4">
        <f t="shared" si="15"/>
        <v>118.700108001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>P</v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 t="shared" si="16"/>
        <v/>
      </c>
      <c r="R106" s="4">
        <f t="shared" si="17"/>
        <v>80.010000000000005</v>
      </c>
      <c r="S106" s="4">
        <f>IF(G106="17-21",LARGE(CHOOSE({1,2,3,4,5,6},T106,V106,Y106,AA106,AC106,AF106),2),IF(R106=X106,MAX(Y106,AA106,AC106,AF106),IF(R106=AE106,MAX(AF106,T106,V106,Y106),0)))</f>
        <v>38.69</v>
      </c>
      <c r="T106" s="33">
        <v>38.69</v>
      </c>
      <c r="U106" s="40">
        <v>0</v>
      </c>
      <c r="V106" s="34">
        <v>8.84</v>
      </c>
      <c r="W106" s="40">
        <v>1.9</v>
      </c>
      <c r="X106" s="4">
        <f t="shared" si="18"/>
        <v>47.53</v>
      </c>
      <c r="Y106" s="34" t="s">
        <v>311</v>
      </c>
      <c r="Z106" s="40" t="s">
        <v>311</v>
      </c>
      <c r="AA106" s="33">
        <v>37.450000000000003</v>
      </c>
      <c r="AB106" s="40">
        <v>0</v>
      </c>
      <c r="AC106" s="34">
        <v>42.56</v>
      </c>
      <c r="AD106" s="40">
        <v>9.8000000000000007</v>
      </c>
      <c r="AE106" s="4">
        <f t="shared" si="19"/>
        <v>80.010000000000005</v>
      </c>
      <c r="AF106" s="34">
        <v>23.38</v>
      </c>
      <c r="AG106" s="37">
        <v>5.4</v>
      </c>
    </row>
    <row r="107" spans="1:33" x14ac:dyDescent="0.2">
      <c r="A107" s="1" t="str" cm="1">
        <f t="array" ref="A107">IF(I107="","",IF(P107&lt;&gt;"",SUMPRODUCT((P$3:P$135&lt;&gt;"")*(G$3:G$135=G107)*(J$3:J$135&gt;J107)*(I$3:I$135="P"))+1,IF(O107&lt;&gt;"",SUMPRODUCT((O$3:O$135&lt;&gt;"")*(P$3:P$135="")*(G$3:G$135=G107)*(J$3:J$135&gt;J107)*(I$3:I$135="P"))+SUMPRODUCT((P$3:P$135&lt;&gt;"")*(G$3:G$135=G107)*(I$3:I$135="P"))+1,IF(N107&lt;&gt;"",SUMPRODUCT((N$3:N$135&lt;&gt;"")*(G$3:G$135=G107)*(J$3:J$135&gt;J107)*(I$3:I$135="P"))+1,IF(M107="P",SUMPRODUCT((O$3:O$135&lt;&gt;"")*(P$3:P$135="")*(G$3:G$135=G107)*(I$3:I$135="P"))+SUMPRODUCT((P$3:P$135&lt;&gt;"")*(G$3:G$135=G107)*(I$3:I$135="P"))+SUMPRODUCT((N$3:N$135&lt;&gt;"")*(G$3:G$135=G107)*(I$3:I$135="P"))+SUMPRODUCT((P$3:P$135="")*(O$3:O$135="")*(N$3:N$135="")*(M$3:M$135="P")*(G$3:G$135=G107)*(J$3:J$135&gt;J107)*(I$3:I$135="P"))+IF(H107="L5",SUMPRODUCT((P$3:P$135="")*(O$3:O$135="")*(N$3:N$135="")*(M$3:M$135="P")*(G$3:G$135=G107)*(J$3:J$135&lt;J107)*(H$3:H$135&lt;&gt;H107)*(I$3:I$135="P")),-1*SUMPRODUCT((P$3:P$135="")*(O$3:O$135="")*(N$3:N$135="")*(M$3:M$135="P")*(G$3:G$135=G107)*(J$3:J$135&gt;J107)*(H$3:H$135="L5")*(I$3:I$135="P")))+1,"")))))</f>
        <v/>
      </c>
      <c r="B107" s="1" t="str" cm="1">
        <f t="array" ref="B107">IF(P107&lt;&gt;"",SUMPRODUCT((P$3:P$135&lt;&gt;"")*(G$3:G$135=G107)*(J$3:J$135&gt;J107))+1,IF(O107&lt;&gt;"",SUMPRODUCT((O$3:O$135&lt;&gt;"")*(P$3:P$135="")*(G$3:G$135=G107)*(J$3:J$135&gt;J107))+SUMPRODUCT((P$3:P$135&lt;&gt;"")*(G$3:G$135=G107))+1,IF(N107&lt;&gt;"",SUMPRODUCT((N$3:N$135&lt;&gt;"")*(G$3:G$135=G107)*(J$3:J$135&gt;J107))+1,IF(M107="P",SUMPRODUCT((O$3:O$135&lt;&gt;"")*(P$3:P$135="")*(G$3:G$135=G107))+SUMPRODUCT((P$3:P$135&lt;&gt;"")*(G$3:G$135=G107))+SUMPRODUCT((N$3:N$135&lt;&gt;"")*(G$3:G$135=G107))+SUMPRODUCT((P$3:P$135="")*(O$3:O$135="")*(N$3:N$135="")*(M$3:M$135="P")*(G$3:G$135=G107)*(J$3:J$135&gt;J107))+IF(H107="L5",SUMPRODUCT((P$3:P$135="")*(O$3:O$135="")*(N$3:N$135="")*(M$3:M$135="P")*(G$3:G$135=G107)*(J$3:J$135&lt;J107)*(H$3:H$135&lt;&gt;H107)),-1*SUMPRODUCT((P$3:P$135="")*(O$3:O$135="")*(N$3:N$135="")*(M$3:M$135="P")*(G$3:G$135=G107)*(J$3:J$135&gt;J107)*(H$3:H$135="L5")))+1,""))))</f>
        <v/>
      </c>
      <c r="C107" s="36" t="s">
        <v>306</v>
      </c>
      <c r="D107" s="36" t="str">
        <f>IF(E107="","",VLOOKUP(E107,'Coaching Points'!A:B,2,0))</f>
        <v>AB</v>
      </c>
      <c r="E107" s="36" t="s">
        <v>40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 t="shared" si="15"/>
        <v>117.510008132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>P</v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 t="shared" si="16"/>
        <v/>
      </c>
      <c r="R107" s="4">
        <f t="shared" si="17"/>
        <v>81.319999999999993</v>
      </c>
      <c r="S107" s="4">
        <f>IF(G107="17-21",LARGE(CHOOSE({1,2,3,4,5,6},T107,V107,Y107,AA107,AC107,AF107),2),IF(R107=X107,MAX(Y107,AA107,AC107,AF107),IF(R107=AE107,MAX(AF107,T107,V107,Y107),0)))</f>
        <v>36.19</v>
      </c>
      <c r="T107" s="33">
        <v>36.19</v>
      </c>
      <c r="U107" s="40">
        <v>0</v>
      </c>
      <c r="V107" s="34">
        <v>5.12</v>
      </c>
      <c r="W107" s="40">
        <v>1.3</v>
      </c>
      <c r="X107" s="4">
        <f t="shared" si="18"/>
        <v>41.309999999999995</v>
      </c>
      <c r="Y107" s="34"/>
      <c r="Z107" s="40"/>
      <c r="AA107" s="33">
        <v>37.909999999999997</v>
      </c>
      <c r="AB107" s="40">
        <v>0</v>
      </c>
      <c r="AC107" s="34">
        <v>43.41</v>
      </c>
      <c r="AD107" s="40">
        <v>9.1</v>
      </c>
      <c r="AE107" s="4">
        <f t="shared" si="19"/>
        <v>81.319999999999993</v>
      </c>
      <c r="AF107" s="34"/>
      <c r="AG107" s="37"/>
    </row>
    <row r="108" spans="1:33" x14ac:dyDescent="0.2">
      <c r="A108" s="1" t="str" cm="1">
        <f t="array" ref="A108">IF(I108="","",IF(P108&lt;&gt;"",SUMPRODUCT((P$3:P$135&lt;&gt;"")*(G$3:G$135=G108)*(J$3:J$135&gt;J108)*(I$3:I$135="P"))+1,IF(O108&lt;&gt;"",SUMPRODUCT((O$3:O$135&lt;&gt;"")*(P$3:P$135="")*(G$3:G$135=G108)*(J$3:J$135&gt;J108)*(I$3:I$135="P"))+SUMPRODUCT((P$3:P$135&lt;&gt;"")*(G$3:G$135=G108)*(I$3:I$135="P"))+1,IF(N108&lt;&gt;"",SUMPRODUCT((N$3:N$135&lt;&gt;"")*(G$3:G$135=G108)*(J$3:J$135&gt;J108)*(I$3:I$135="P"))+1,IF(M108="P",SUMPRODUCT((O$3:O$135&lt;&gt;"")*(P$3:P$135="")*(G$3:G$135=G108)*(I$3:I$135="P"))+SUMPRODUCT((P$3:P$135&lt;&gt;"")*(G$3:G$135=G108)*(I$3:I$135="P"))+SUMPRODUCT((N$3:N$135&lt;&gt;"")*(G$3:G$135=G108)*(I$3:I$135="P"))+SUMPRODUCT((P$3:P$135="")*(O$3:O$135="")*(N$3:N$135="")*(M$3:M$135="P")*(G$3:G$135=G108)*(J$3:J$135&gt;J108)*(I$3:I$135="P"))+IF(H108="L5",SUMPRODUCT((P$3:P$135="")*(O$3:O$135="")*(N$3:N$135="")*(M$3:M$135="P")*(G$3:G$135=G108)*(J$3:J$135&lt;J108)*(H$3:H$135&lt;&gt;H108)*(I$3:I$135="P")),-1*SUMPRODUCT((P$3:P$135="")*(O$3:O$135="")*(N$3:N$135="")*(M$3:M$135="P")*(G$3:G$135=G108)*(J$3:J$135&gt;J108)*(H$3:H$135="L5")*(I$3:I$135="P")))+1,"")))))</f>
        <v/>
      </c>
      <c r="B108" s="1" t="str" cm="1">
        <f t="array" ref="B108">IF(P108&lt;&gt;"",SUMPRODUCT((P$3:P$135&lt;&gt;"")*(G$3:G$135=G108)*(J$3:J$135&gt;J108))+1,IF(O108&lt;&gt;"",SUMPRODUCT((O$3:O$135&lt;&gt;"")*(P$3:P$135="")*(G$3:G$135=G108)*(J$3:J$135&gt;J108))+SUMPRODUCT((P$3:P$135&lt;&gt;"")*(G$3:G$135=G108))+1,IF(N108&lt;&gt;"",SUMPRODUCT((N$3:N$135&lt;&gt;"")*(G$3:G$135=G108)*(J$3:J$135&gt;J108))+1,IF(M108="P",SUMPRODUCT((O$3:O$135&lt;&gt;"")*(P$3:P$135="")*(G$3:G$135=G108))+SUMPRODUCT((P$3:P$135&lt;&gt;"")*(G$3:G$135=G108))+SUMPRODUCT((N$3:N$135&lt;&gt;"")*(G$3:G$135=G108))+SUMPRODUCT((P$3:P$135="")*(O$3:O$135="")*(N$3:N$135="")*(M$3:M$135="P")*(G$3:G$135=G108)*(J$3:J$135&gt;J108))+IF(H108="L5",SUMPRODUCT((P$3:P$135="")*(O$3:O$135="")*(N$3:N$135="")*(M$3:M$135="P")*(G$3:G$135=G108)*(J$3:J$135&lt;J108)*(H$3:H$135&lt;&gt;H108)),-1*SUMPRODUCT((P$3:P$135="")*(O$3:O$135="")*(N$3:N$135="")*(M$3:M$135="P")*(G$3:G$135=G108)*(J$3:J$135&gt;J108)*(H$3:H$135="L5")))+1,""))))</f>
        <v/>
      </c>
      <c r="C108" s="36" t="s">
        <v>470</v>
      </c>
      <c r="D108" s="36" t="str">
        <f>IF(E108="","",VLOOKUP(E108,'Coaching Points'!A:B,2,0))</f>
        <v>QC</v>
      </c>
      <c r="E108" s="36" t="s">
        <v>96</v>
      </c>
      <c r="F108" s="35">
        <v>2008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 t="shared" si="15"/>
        <v>101.94000833199999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 t="shared" si="16"/>
        <v/>
      </c>
      <c r="R108" s="4">
        <f t="shared" si="17"/>
        <v>83.32</v>
      </c>
      <c r="S108" s="4">
        <f>IF(G108="17-21",LARGE(CHOOSE({1,2,3,4,5,6},T108,V108,Y108,AA108,AC108,AF108),2),IF(R108=X108,MAX(Y108,AA108,AC108,AF108),IF(R108=AE108,MAX(AF108,T108,V108,Y108),0)))</f>
        <v>18.62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39.32</v>
      </c>
      <c r="AB108" s="40">
        <v>0</v>
      </c>
      <c r="AC108" s="34">
        <v>44</v>
      </c>
      <c r="AD108" s="40">
        <v>7.7</v>
      </c>
      <c r="AE108" s="4">
        <f t="shared" si="19"/>
        <v>83.32</v>
      </c>
      <c r="AF108" s="34">
        <v>18.62</v>
      </c>
      <c r="AG108" s="37">
        <v>3.3</v>
      </c>
    </row>
    <row r="109" spans="1:33" x14ac:dyDescent="0.2">
      <c r="A109" s="1" t="str" cm="1">
        <f t="array" ref="A109">IF(I109="","",IF(P109&lt;&gt;"",SUMPRODUCT((P$3:P$135&lt;&gt;"")*(G$3:G$135=G109)*(J$3:J$135&gt;J109)*(I$3:I$135="P"))+1,IF(O109&lt;&gt;"",SUMPRODUCT((O$3:O$135&lt;&gt;"")*(P$3:P$135="")*(G$3:G$135=G109)*(J$3:J$135&gt;J109)*(I$3:I$135="P"))+SUMPRODUCT((P$3:P$135&lt;&gt;"")*(G$3:G$135=G109)*(I$3:I$135="P"))+1,IF(N109&lt;&gt;"",SUMPRODUCT((N$3:N$135&lt;&gt;"")*(G$3:G$135=G109)*(J$3:J$135&gt;J109)*(I$3:I$135="P"))+1,IF(M109="P",SUMPRODUCT((O$3:O$135&lt;&gt;"")*(P$3:P$135="")*(G$3:G$135=G109)*(I$3:I$135="P"))+SUMPRODUCT((P$3:P$135&lt;&gt;"")*(G$3:G$135=G109)*(I$3:I$135="P"))+SUMPRODUCT((N$3:N$135&lt;&gt;"")*(G$3:G$135=G109)*(I$3:I$135="P"))+SUMPRODUCT((P$3:P$135="")*(O$3:O$135="")*(N$3:N$135="")*(M$3:M$135="P")*(G$3:G$135=G109)*(J$3:J$135&gt;J109)*(I$3:I$135="P"))+IF(H109="L5",SUMPRODUCT((P$3:P$135="")*(O$3:O$135="")*(N$3:N$135="")*(M$3:M$135="P")*(G$3:G$135=G109)*(J$3:J$135&lt;J109)*(H$3:H$135&lt;&gt;H109)*(I$3:I$135="P")),-1*SUMPRODUCT((P$3:P$135="")*(O$3:O$135="")*(N$3:N$135="")*(M$3:M$135="P")*(G$3:G$135=G109)*(J$3:J$135&gt;J109)*(H$3:H$135="L5")*(I$3:I$135="P")))+1,"")))))</f>
        <v/>
      </c>
      <c r="B109" s="1" t="str" cm="1">
        <f t="array" ref="B109">IF(P109&lt;&gt;"",SUMPRODUCT((P$3:P$135&lt;&gt;"")*(G$3:G$135=G109)*(J$3:J$135&gt;J109))+1,IF(O109&lt;&gt;"",SUMPRODUCT((O$3:O$135&lt;&gt;"")*(P$3:P$135="")*(G$3:G$135=G109)*(J$3:J$135&gt;J109))+SUMPRODUCT((P$3:P$135&lt;&gt;"")*(G$3:G$135=G109))+1,IF(N109&lt;&gt;"",SUMPRODUCT((N$3:N$135&lt;&gt;"")*(G$3:G$135=G109)*(J$3:J$135&gt;J109))+1,IF(M109="P",SUMPRODUCT((O$3:O$135&lt;&gt;"")*(P$3:P$135="")*(G$3:G$135=G109))+SUMPRODUCT((P$3:P$135&lt;&gt;"")*(G$3:G$135=G109))+SUMPRODUCT((N$3:N$135&lt;&gt;"")*(G$3:G$135=G109))+SUMPRODUCT((P$3:P$135="")*(O$3:O$135="")*(N$3:N$135="")*(M$3:M$135="P")*(G$3:G$135=G109)*(J$3:J$135&gt;J109))+IF(H109="L5",SUMPRODUCT((P$3:P$135="")*(O$3:O$135="")*(N$3:N$135="")*(M$3:M$135="P")*(G$3:G$135=G109)*(J$3:J$135&lt;J109)*(H$3:H$135&lt;&gt;H109)),-1*SUMPRODUCT((P$3:P$135="")*(O$3:O$135="")*(N$3:N$135="")*(M$3:M$135="P")*(G$3:G$135=G109)*(J$3:J$135&gt;J109)*(H$3:H$135="L5")))+1,""))))</f>
        <v/>
      </c>
      <c r="C109" s="36" t="s">
        <v>471</v>
      </c>
      <c r="D109" s="36" t="str">
        <f>IF(E109="","",VLOOKUP(E109,'Coaching Points'!A:B,2,0))</f>
        <v>QC</v>
      </c>
      <c r="E109" s="36" t="s">
        <v>84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 t="shared" si="15"/>
        <v>82.300008230000017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 t="shared" si="16"/>
        <v/>
      </c>
      <c r="R109" s="4">
        <f t="shared" si="17"/>
        <v>82.300000000000011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39.270000000000003</v>
      </c>
      <c r="AB109" s="40">
        <v>0</v>
      </c>
      <c r="AC109" s="34">
        <v>43.03</v>
      </c>
      <c r="AD109" s="40">
        <v>7.6</v>
      </c>
      <c r="AE109" s="4">
        <f t="shared" si="19"/>
        <v>82.300000000000011</v>
      </c>
      <c r="AF109" s="34"/>
      <c r="AG109" s="37"/>
    </row>
    <row r="110" spans="1:33" x14ac:dyDescent="0.2">
      <c r="A110" s="1" t="str" cm="1">
        <f t="array" ref="A110">IF(I110="","",IF(P110&lt;&gt;"",SUMPRODUCT((P$3:P$135&lt;&gt;"")*(G$3:G$135=G110)*(J$3:J$135&gt;J110)*(I$3:I$135="P"))+1,IF(O110&lt;&gt;"",SUMPRODUCT((O$3:O$135&lt;&gt;"")*(P$3:P$135="")*(G$3:G$135=G110)*(J$3:J$135&gt;J110)*(I$3:I$135="P"))+SUMPRODUCT((P$3:P$135&lt;&gt;"")*(G$3:G$135=G110)*(I$3:I$135="P"))+1,IF(N110&lt;&gt;"",SUMPRODUCT((N$3:N$135&lt;&gt;"")*(G$3:G$135=G110)*(J$3:J$135&gt;J110)*(I$3:I$135="P"))+1,IF(M110="P",SUMPRODUCT((O$3:O$135&lt;&gt;"")*(P$3:P$135="")*(G$3:G$135=G110)*(I$3:I$135="P"))+SUMPRODUCT((P$3:P$135&lt;&gt;"")*(G$3:G$135=G110)*(I$3:I$135="P"))+SUMPRODUCT((N$3:N$135&lt;&gt;"")*(G$3:G$135=G110)*(I$3:I$135="P"))+SUMPRODUCT((P$3:P$135="")*(O$3:O$135="")*(N$3:N$135="")*(M$3:M$135="P")*(G$3:G$135=G110)*(J$3:J$135&gt;J110)*(I$3:I$135="P"))+IF(H110="L5",SUMPRODUCT((P$3:P$135="")*(O$3:O$135="")*(N$3:N$135="")*(M$3:M$135="P")*(G$3:G$135=G110)*(J$3:J$135&lt;J110)*(H$3:H$135&lt;&gt;H110)*(I$3:I$135="P")),-1*SUMPRODUCT((P$3:P$135="")*(O$3:O$135="")*(N$3:N$135="")*(M$3:M$135="P")*(G$3:G$135=G110)*(J$3:J$135&gt;J110)*(H$3:H$135="L5")*(I$3:I$135="P")))+1,"")))))</f>
        <v/>
      </c>
      <c r="B110" s="1" t="str" cm="1">
        <f t="array" ref="B110">IF(P110&lt;&gt;"",SUMPRODUCT((P$3:P$135&lt;&gt;"")*(G$3:G$135=G110)*(J$3:J$135&gt;J110))+1,IF(O110&lt;&gt;"",SUMPRODUCT((O$3:O$135&lt;&gt;"")*(P$3:P$135="")*(G$3:G$135=G110)*(J$3:J$135&gt;J110))+SUMPRODUCT((P$3:P$135&lt;&gt;"")*(G$3:G$135=G110))+1,IF(N110&lt;&gt;"",SUMPRODUCT((N$3:N$135&lt;&gt;"")*(G$3:G$135=G110)*(J$3:J$135&gt;J110))+1,IF(M110="P",SUMPRODUCT((O$3:O$135&lt;&gt;"")*(P$3:P$135="")*(G$3:G$135=G110))+SUMPRODUCT((P$3:P$135&lt;&gt;"")*(G$3:G$135=G110))+SUMPRODUCT((N$3:N$135&lt;&gt;"")*(G$3:G$135=G110))+SUMPRODUCT((P$3:P$135="")*(O$3:O$135="")*(N$3:N$135="")*(M$3:M$135="P")*(G$3:G$135=G110)*(J$3:J$135&gt;J110))+IF(H110="L5",SUMPRODUCT((P$3:P$135="")*(O$3:O$135="")*(N$3:N$135="")*(M$3:M$135="P")*(G$3:G$135=G110)*(J$3:J$135&lt;J110)*(H$3:H$135&lt;&gt;H110)),-1*SUMPRODUCT((P$3:P$135="")*(O$3:O$135="")*(N$3:N$135="")*(M$3:M$135="P")*(G$3:G$135=G110)*(J$3:J$135&gt;J110)*(H$3:H$135="L5")))+1,""))))</f>
        <v/>
      </c>
      <c r="C110" s="36" t="s">
        <v>472</v>
      </c>
      <c r="D110" s="36" t="str">
        <f>IF(E110="","",VLOOKUP(E110,'Coaching Points'!A:B,2,0))</f>
        <v>ON</v>
      </c>
      <c r="E110" s="36" t="s">
        <v>113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 t="shared" si="15"/>
        <v>81.860008186000002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 t="shared" si="16"/>
        <v/>
      </c>
      <c r="R110" s="4">
        <f t="shared" si="17"/>
        <v>81.86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38.15</v>
      </c>
      <c r="AB110" s="40">
        <v>0</v>
      </c>
      <c r="AC110" s="34">
        <v>43.71</v>
      </c>
      <c r="AD110" s="40">
        <v>8</v>
      </c>
      <c r="AE110" s="4">
        <f t="shared" si="19"/>
        <v>81.86</v>
      </c>
      <c r="AF110" s="34"/>
      <c r="AG110" s="37"/>
    </row>
    <row r="111" spans="1:33" x14ac:dyDescent="0.2">
      <c r="A111" s="1" t="str" cm="1">
        <f t="array" ref="A111">IF(I111="","",IF(P111&lt;&gt;"",SUMPRODUCT((P$3:P$135&lt;&gt;"")*(G$3:G$135=G111)*(J$3:J$135&gt;J111)*(I$3:I$135="P"))+1,IF(O111&lt;&gt;"",SUMPRODUCT((O$3:O$135&lt;&gt;"")*(P$3:P$135="")*(G$3:G$135=G111)*(J$3:J$135&gt;J111)*(I$3:I$135="P"))+SUMPRODUCT((P$3:P$135&lt;&gt;"")*(G$3:G$135=G111)*(I$3:I$135="P"))+1,IF(N111&lt;&gt;"",SUMPRODUCT((N$3:N$135&lt;&gt;"")*(G$3:G$135=G111)*(J$3:J$135&gt;J111)*(I$3:I$135="P"))+1,IF(M111="P",SUMPRODUCT((O$3:O$135&lt;&gt;"")*(P$3:P$135="")*(G$3:G$135=G111)*(I$3:I$135="P"))+SUMPRODUCT((P$3:P$135&lt;&gt;"")*(G$3:G$135=G111)*(I$3:I$135="P"))+SUMPRODUCT((N$3:N$135&lt;&gt;"")*(G$3:G$135=G111)*(I$3:I$135="P"))+SUMPRODUCT((P$3:P$135="")*(O$3:O$135="")*(N$3:N$135="")*(M$3:M$135="P")*(G$3:G$135=G111)*(J$3:J$135&gt;J111)*(I$3:I$135="P"))+IF(H111="L5",SUMPRODUCT((P$3:P$135="")*(O$3:O$135="")*(N$3:N$135="")*(M$3:M$135="P")*(G$3:G$135=G111)*(J$3:J$135&lt;J111)*(H$3:H$135&lt;&gt;H111)*(I$3:I$135="P")),-1*SUMPRODUCT((P$3:P$135="")*(O$3:O$135="")*(N$3:N$135="")*(M$3:M$135="P")*(G$3:G$135=G111)*(J$3:J$135&gt;J111)*(H$3:H$135="L5")*(I$3:I$135="P")))+1,"")))))</f>
        <v/>
      </c>
      <c r="B111" s="1" t="str" cm="1">
        <f t="array" ref="B111">IF(P111&lt;&gt;"",SUMPRODUCT((P$3:P$135&lt;&gt;"")*(G$3:G$135=G111)*(J$3:J$135&gt;J111))+1,IF(O111&lt;&gt;"",SUMPRODUCT((O$3:O$135&lt;&gt;"")*(P$3:P$135="")*(G$3:G$135=G111)*(J$3:J$135&gt;J111))+SUMPRODUCT((P$3:P$135&lt;&gt;"")*(G$3:G$135=G111))+1,IF(N111&lt;&gt;"",SUMPRODUCT((N$3:N$135&lt;&gt;"")*(G$3:G$135=G111)*(J$3:J$135&gt;J111))+1,IF(M111="P",SUMPRODUCT((O$3:O$135&lt;&gt;"")*(P$3:P$135="")*(G$3:G$135=G111))+SUMPRODUCT((P$3:P$135&lt;&gt;"")*(G$3:G$135=G111))+SUMPRODUCT((N$3:N$135&lt;&gt;"")*(G$3:G$135=G111))+SUMPRODUCT((P$3:P$135="")*(O$3:O$135="")*(N$3:N$135="")*(M$3:M$135="P")*(G$3:G$135=G111)*(J$3:J$135&gt;J111))+IF(H111="L5",SUMPRODUCT((P$3:P$135="")*(O$3:O$135="")*(N$3:N$135="")*(M$3:M$135="P")*(G$3:G$135=G111)*(J$3:J$135&lt;J111)*(H$3:H$135&lt;&gt;H111)),-1*SUMPRODUCT((P$3:P$135="")*(O$3:O$135="")*(N$3:N$135="")*(M$3:M$135="P")*(G$3:G$135=G111)*(J$3:J$135&gt;J111)*(H$3:H$135="L5")))+1,""))))</f>
        <v/>
      </c>
      <c r="C111" s="36" t="s">
        <v>473</v>
      </c>
      <c r="D111" s="36" t="str">
        <f>IF(E111="","",VLOOKUP(E111,'Coaching Points'!A:B,2,0))</f>
        <v>ON</v>
      </c>
      <c r="E111" s="36" t="s">
        <v>47</v>
      </c>
      <c r="F111" s="35">
        <v>2008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 t="shared" si="15"/>
        <v>80.290008028999992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 t="shared" si="16"/>
        <v/>
      </c>
      <c r="R111" s="4">
        <f t="shared" si="17"/>
        <v>80.289999999999992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37.11</v>
      </c>
      <c r="AB111" s="40">
        <v>0</v>
      </c>
      <c r="AC111" s="34">
        <v>43.18</v>
      </c>
      <c r="AD111" s="40">
        <v>7.8</v>
      </c>
      <c r="AE111" s="4">
        <f t="shared" si="19"/>
        <v>80.289999999999992</v>
      </c>
      <c r="AF111" s="34"/>
      <c r="AG111" s="37"/>
    </row>
    <row r="112" spans="1:33" x14ac:dyDescent="0.2">
      <c r="A112" s="1" t="str" cm="1">
        <f t="array" ref="A112">IF(I112="","",IF(P112&lt;&gt;"",SUMPRODUCT((P$3:P$135&lt;&gt;"")*(G$3:G$135=G112)*(J$3:J$135&gt;J112)*(I$3:I$135="P"))+1,IF(O112&lt;&gt;"",SUMPRODUCT((O$3:O$135&lt;&gt;"")*(P$3:P$135="")*(G$3:G$135=G112)*(J$3:J$135&gt;J112)*(I$3:I$135="P"))+SUMPRODUCT((P$3:P$135&lt;&gt;"")*(G$3:G$135=G112)*(I$3:I$135="P"))+1,IF(N112&lt;&gt;"",SUMPRODUCT((N$3:N$135&lt;&gt;"")*(G$3:G$135=G112)*(J$3:J$135&gt;J112)*(I$3:I$135="P"))+1,IF(M112="P",SUMPRODUCT((O$3:O$135&lt;&gt;"")*(P$3:P$135="")*(G$3:G$135=G112)*(I$3:I$135="P"))+SUMPRODUCT((P$3:P$135&lt;&gt;"")*(G$3:G$135=G112)*(I$3:I$135="P"))+SUMPRODUCT((N$3:N$135&lt;&gt;"")*(G$3:G$135=G112)*(I$3:I$135="P"))+SUMPRODUCT((P$3:P$135="")*(O$3:O$135="")*(N$3:N$135="")*(M$3:M$135="P")*(G$3:G$135=G112)*(J$3:J$135&gt;J112)*(I$3:I$135="P"))+IF(H112="L5",SUMPRODUCT((P$3:P$135="")*(O$3:O$135="")*(N$3:N$135="")*(M$3:M$135="P")*(G$3:G$135=G112)*(J$3:J$135&lt;J112)*(H$3:H$135&lt;&gt;H112)*(I$3:I$135="P")),-1*SUMPRODUCT((P$3:P$135="")*(O$3:O$135="")*(N$3:N$135="")*(M$3:M$135="P")*(G$3:G$135=G112)*(J$3:J$135&gt;J112)*(H$3:H$135="L5")*(I$3:I$135="P")))+1,"")))))</f>
        <v/>
      </c>
      <c r="B112" s="1" t="str" cm="1">
        <f t="array" ref="B112">IF(P112&lt;&gt;"",SUMPRODUCT((P$3:P$135&lt;&gt;"")*(G$3:G$135=G112)*(J$3:J$135&gt;J112))+1,IF(O112&lt;&gt;"",SUMPRODUCT((O$3:O$135&lt;&gt;"")*(P$3:P$135="")*(G$3:G$135=G112)*(J$3:J$135&gt;J112))+SUMPRODUCT((P$3:P$135&lt;&gt;"")*(G$3:G$135=G112))+1,IF(N112&lt;&gt;"",SUMPRODUCT((N$3:N$135&lt;&gt;"")*(G$3:G$135=G112)*(J$3:J$135&gt;J112))+1,IF(M112="P",SUMPRODUCT((O$3:O$135&lt;&gt;"")*(P$3:P$135="")*(G$3:G$135=G112))+SUMPRODUCT((P$3:P$135&lt;&gt;"")*(G$3:G$135=G112))+SUMPRODUCT((N$3:N$135&lt;&gt;"")*(G$3:G$135=G112))+SUMPRODUCT((P$3:P$135="")*(O$3:O$135="")*(N$3:N$135="")*(M$3:M$135="P")*(G$3:G$135=G112)*(J$3:J$135&gt;J112))+IF(H112="L5",SUMPRODUCT((P$3:P$135="")*(O$3:O$135="")*(N$3:N$135="")*(M$3:M$135="P")*(G$3:G$135=G112)*(J$3:J$135&lt;J112)*(H$3:H$135&lt;&gt;H112)),-1*SUMPRODUCT((P$3:P$135="")*(O$3:O$135="")*(N$3:N$135="")*(M$3:M$135="P")*(G$3:G$135=G112)*(J$3:J$135&gt;J112)*(H$3:H$135="L5")))+1,""))))</f>
        <v/>
      </c>
      <c r="C112" s="36" t="s">
        <v>474</v>
      </c>
      <c r="D112" s="36" t="str">
        <f>IF(E112="","",VLOOKUP(E112,'Coaching Points'!A:B,2,0))</f>
        <v>BC</v>
      </c>
      <c r="E112" s="36" t="s">
        <v>61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 t="shared" si="15"/>
        <v>79.310007931000001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 t="shared" si="16"/>
        <v/>
      </c>
      <c r="R112" s="4">
        <f t="shared" si="17"/>
        <v>79.31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 t="shared" si="18"/>
        <v>0</v>
      </c>
      <c r="Y112" s="34"/>
      <c r="Z112" s="40"/>
      <c r="AA112" s="33">
        <v>36.28</v>
      </c>
      <c r="AB112" s="40">
        <v>0</v>
      </c>
      <c r="AC112" s="34">
        <v>43.03</v>
      </c>
      <c r="AD112" s="40">
        <v>7.8</v>
      </c>
      <c r="AE112" s="4">
        <f t="shared" si="19"/>
        <v>79.31</v>
      </c>
      <c r="AF112" s="34"/>
      <c r="AG112" s="37"/>
    </row>
    <row r="113" spans="1:33" x14ac:dyDescent="0.2">
      <c r="A113" s="1" t="str" cm="1">
        <f t="array" ref="A113">IF(I113="","",IF(P113&lt;&gt;"",SUMPRODUCT((P$3:P$135&lt;&gt;"")*(G$3:G$135=G113)*(J$3:J$135&gt;J113)*(I$3:I$135="P"))+1,IF(O113&lt;&gt;"",SUMPRODUCT((O$3:O$135&lt;&gt;"")*(P$3:P$135="")*(G$3:G$135=G113)*(J$3:J$135&gt;J113)*(I$3:I$135="P"))+SUMPRODUCT((P$3:P$135&lt;&gt;"")*(G$3:G$135=G113)*(I$3:I$135="P"))+1,IF(N113&lt;&gt;"",SUMPRODUCT((N$3:N$135&lt;&gt;"")*(G$3:G$135=G113)*(J$3:J$135&gt;J113)*(I$3:I$135="P"))+1,IF(M113="P",SUMPRODUCT((O$3:O$135&lt;&gt;"")*(P$3:P$135="")*(G$3:G$135=G113)*(I$3:I$135="P"))+SUMPRODUCT((P$3:P$135&lt;&gt;"")*(G$3:G$135=G113)*(I$3:I$135="P"))+SUMPRODUCT((N$3:N$135&lt;&gt;"")*(G$3:G$135=G113)*(I$3:I$135="P"))+SUMPRODUCT((P$3:P$135="")*(O$3:O$135="")*(N$3:N$135="")*(M$3:M$135="P")*(G$3:G$135=G113)*(J$3:J$135&gt;J113)*(I$3:I$135="P"))+IF(H113="L5",SUMPRODUCT((P$3:P$135="")*(O$3:O$135="")*(N$3:N$135="")*(M$3:M$135="P")*(G$3:G$135=G113)*(J$3:J$135&lt;J113)*(H$3:H$135&lt;&gt;H113)*(I$3:I$135="P")),-1*SUMPRODUCT((P$3:P$135="")*(O$3:O$135="")*(N$3:N$135="")*(M$3:M$135="P")*(G$3:G$135=G113)*(J$3:J$135&gt;J113)*(H$3:H$135="L5")*(I$3:I$135="P")))+1,"")))))</f>
        <v/>
      </c>
      <c r="B113" s="1" t="str" cm="1">
        <f t="array" ref="B113">IF(P113&lt;&gt;"",SUMPRODUCT((P$3:P$135&lt;&gt;"")*(G$3:G$135=G113)*(J$3:J$135&gt;J113))+1,IF(O113&lt;&gt;"",SUMPRODUCT((O$3:O$135&lt;&gt;"")*(P$3:P$135="")*(G$3:G$135=G113)*(J$3:J$135&gt;J113))+SUMPRODUCT((P$3:P$135&lt;&gt;"")*(G$3:G$135=G113))+1,IF(N113&lt;&gt;"",SUMPRODUCT((N$3:N$135&lt;&gt;"")*(G$3:G$135=G113)*(J$3:J$135&gt;J113))+1,IF(M113="P",SUMPRODUCT((O$3:O$135&lt;&gt;"")*(P$3:P$135="")*(G$3:G$135=G113))+SUMPRODUCT((P$3:P$135&lt;&gt;"")*(G$3:G$135=G113))+SUMPRODUCT((N$3:N$135&lt;&gt;"")*(G$3:G$135=G113))+SUMPRODUCT((P$3:P$135="")*(O$3:O$135="")*(N$3:N$135="")*(M$3:M$135="P")*(G$3:G$135=G113)*(J$3:J$135&gt;J113))+IF(H113="L5",SUMPRODUCT((P$3:P$135="")*(O$3:O$135="")*(N$3:N$135="")*(M$3:M$135="P")*(G$3:G$135=G113)*(J$3:J$135&lt;J113)*(H$3:H$135&lt;&gt;H113)),-1*SUMPRODUCT((P$3:P$135="")*(O$3:O$135="")*(N$3:N$135="")*(M$3:M$135="P")*(G$3:G$135=G113)*(J$3:J$135&gt;J113)*(H$3:H$135="L5")))+1,""))))</f>
        <v/>
      </c>
      <c r="C113" s="36" t="s">
        <v>475</v>
      </c>
      <c r="D113" s="36" t="str">
        <f>IF(E113="","",VLOOKUP(E113,'Coaching Points'!A:B,2,0))</f>
        <v>BC</v>
      </c>
      <c r="E113" s="36" t="s">
        <v>41</v>
      </c>
      <c r="F113" s="35">
        <v>2007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 t="shared" si="15"/>
        <v>77.350007734999991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 t="shared" si="16"/>
        <v/>
      </c>
      <c r="R113" s="4">
        <f t="shared" si="17"/>
        <v>77.349999999999994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 t="shared" si="18"/>
        <v>0</v>
      </c>
      <c r="Y113" s="34"/>
      <c r="Z113" s="40"/>
      <c r="AA113" s="33">
        <v>35.78</v>
      </c>
      <c r="AB113" s="40">
        <v>0</v>
      </c>
      <c r="AC113" s="34">
        <v>41.57</v>
      </c>
      <c r="AD113" s="40">
        <v>6.4</v>
      </c>
      <c r="AE113" s="4">
        <f t="shared" si="19"/>
        <v>77.349999999999994</v>
      </c>
      <c r="AF113" s="34"/>
      <c r="AG113" s="37"/>
    </row>
    <row r="114" spans="1:33" x14ac:dyDescent="0.2">
      <c r="A114" s="1" t="str" cm="1">
        <f t="array" ref="A114">IF(I114="","",IF(P114&lt;&gt;"",SUMPRODUCT((P$3:P$135&lt;&gt;"")*(G$3:G$135=G114)*(J$3:J$135&gt;J114)*(I$3:I$135="P"))+1,IF(O114&lt;&gt;"",SUMPRODUCT((O$3:O$135&lt;&gt;"")*(P$3:P$135="")*(G$3:G$135=G114)*(J$3:J$135&gt;J114)*(I$3:I$135="P"))+SUMPRODUCT((P$3:P$135&lt;&gt;"")*(G$3:G$135=G114)*(I$3:I$135="P"))+1,IF(N114&lt;&gt;"",SUMPRODUCT((N$3:N$135&lt;&gt;"")*(G$3:G$135=G114)*(J$3:J$135&gt;J114)*(I$3:I$135="P"))+1,IF(M114="P",SUMPRODUCT((O$3:O$135&lt;&gt;"")*(P$3:P$135="")*(G$3:G$135=G114)*(I$3:I$135="P"))+SUMPRODUCT((P$3:P$135&lt;&gt;"")*(G$3:G$135=G114)*(I$3:I$135="P"))+SUMPRODUCT((N$3:N$135&lt;&gt;"")*(G$3:G$135=G114)*(I$3:I$135="P"))+SUMPRODUCT((P$3:P$135="")*(O$3:O$135="")*(N$3:N$135="")*(M$3:M$135="P")*(G$3:G$135=G114)*(J$3:J$135&gt;J114)*(I$3:I$135="P"))+IF(H114="L5",SUMPRODUCT((P$3:P$135="")*(O$3:O$135="")*(N$3:N$135="")*(M$3:M$135="P")*(G$3:G$135=G114)*(J$3:J$135&lt;J114)*(H$3:H$135&lt;&gt;H114)*(I$3:I$135="P")),-1*SUMPRODUCT((P$3:P$135="")*(O$3:O$135="")*(N$3:N$135="")*(M$3:M$135="P")*(G$3:G$135=G114)*(J$3:J$135&gt;J114)*(H$3:H$135="L5")*(I$3:I$135="P")))+1,"")))))</f>
        <v/>
      </c>
      <c r="B114" s="1" t="str" cm="1">
        <f t="array" ref="B114">IF(P114&lt;&gt;"",SUMPRODUCT((P$3:P$135&lt;&gt;"")*(G$3:G$135=G114)*(J$3:J$135&gt;J114))+1,IF(O114&lt;&gt;"",SUMPRODUCT((O$3:O$135&lt;&gt;"")*(P$3:P$135="")*(G$3:G$135=G114)*(J$3:J$135&gt;J114))+SUMPRODUCT((P$3:P$135&lt;&gt;"")*(G$3:G$135=G114))+1,IF(N114&lt;&gt;"",SUMPRODUCT((N$3:N$135&lt;&gt;"")*(G$3:G$135=G114)*(J$3:J$135&gt;J114))+1,IF(M114="P",SUMPRODUCT((O$3:O$135&lt;&gt;"")*(P$3:P$135="")*(G$3:G$135=G114))+SUMPRODUCT((P$3:P$135&lt;&gt;"")*(G$3:G$135=G114))+SUMPRODUCT((N$3:N$135&lt;&gt;"")*(G$3:G$135=G114))+SUMPRODUCT((P$3:P$135="")*(O$3:O$135="")*(N$3:N$135="")*(M$3:M$135="P")*(G$3:G$135=G114)*(J$3:J$135&gt;J114))+IF(H114="L5",SUMPRODUCT((P$3:P$135="")*(O$3:O$135="")*(N$3:N$135="")*(M$3:M$135="P")*(G$3:G$135=G114)*(J$3:J$135&lt;J114)*(H$3:H$135&lt;&gt;H114)),-1*SUMPRODUCT((P$3:P$135="")*(O$3:O$135="")*(N$3:N$135="")*(M$3:M$135="P")*(G$3:G$135=G114)*(J$3:J$135&gt;J114)*(H$3:H$135="L5")))+1,""))))</f>
        <v/>
      </c>
      <c r="C114" s="36" t="s">
        <v>476</v>
      </c>
      <c r="D114" s="36" t="str">
        <f>IF(E114="","",VLOOKUP(E114,'Coaching Points'!A:B,2,0))</f>
        <v>BC</v>
      </c>
      <c r="E114" s="36" t="s">
        <v>57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 t="shared" si="15"/>
        <v>76.450007644999999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 t="shared" si="16"/>
        <v/>
      </c>
      <c r="R114" s="4">
        <f t="shared" si="17"/>
        <v>76.45</v>
      </c>
      <c r="S114" s="4">
        <f>IF(G114="17-21",LARGE(CHOOSE({1,2,3,4,5,6},T114,V114,Y114,AA114,AC114,AF114),2),IF(R114=X114,MAX(Y114,AA114,AC114,AF114),IF(R114=AE114,MAX(AF114,T114,V114,Y114),0)))</f>
        <v>0</v>
      </c>
      <c r="T114" s="33"/>
      <c r="U114" s="40"/>
      <c r="V114" s="34"/>
      <c r="W114" s="40"/>
      <c r="X114" s="4">
        <f t="shared" si="18"/>
        <v>0</v>
      </c>
      <c r="Y114" s="34"/>
      <c r="Z114" s="40"/>
      <c r="AA114" s="33">
        <v>35.6</v>
      </c>
      <c r="AB114" s="40">
        <v>0</v>
      </c>
      <c r="AC114" s="34">
        <v>40.85</v>
      </c>
      <c r="AD114" s="40">
        <v>7.1</v>
      </c>
      <c r="AE114" s="4">
        <f t="shared" si="19"/>
        <v>76.45</v>
      </c>
      <c r="AF114" s="34"/>
      <c r="AG114" s="37"/>
    </row>
    <row r="115" spans="1:33" x14ac:dyDescent="0.2">
      <c r="A115" s="1" t="str" cm="1">
        <f t="array" ref="A115">IF(I115="","",IF(P115&lt;&gt;"",SUMPRODUCT((P$3:P$135&lt;&gt;"")*(G$3:G$135=G115)*(J$3:J$135&gt;J115)*(I$3:I$135="P"))+1,IF(O115&lt;&gt;"",SUMPRODUCT((O$3:O$135&lt;&gt;"")*(P$3:P$135="")*(G$3:G$135=G115)*(J$3:J$135&gt;J115)*(I$3:I$135="P"))+SUMPRODUCT((P$3:P$135&lt;&gt;"")*(G$3:G$135=G115)*(I$3:I$135="P"))+1,IF(N115&lt;&gt;"",SUMPRODUCT((N$3:N$135&lt;&gt;"")*(G$3:G$135=G115)*(J$3:J$135&gt;J115)*(I$3:I$135="P"))+1,IF(M115="P",SUMPRODUCT((O$3:O$135&lt;&gt;"")*(P$3:P$135="")*(G$3:G$135=G115)*(I$3:I$135="P"))+SUMPRODUCT((P$3:P$135&lt;&gt;"")*(G$3:G$135=G115)*(I$3:I$135="P"))+SUMPRODUCT((N$3:N$135&lt;&gt;"")*(G$3:G$135=G115)*(I$3:I$135="P"))+SUMPRODUCT((P$3:P$135="")*(O$3:O$135="")*(N$3:N$135="")*(M$3:M$135="P")*(G$3:G$135=G115)*(J$3:J$135&gt;J115)*(I$3:I$135="P"))+IF(H115="L5",SUMPRODUCT((P$3:P$135="")*(O$3:O$135="")*(N$3:N$135="")*(M$3:M$135="P")*(G$3:G$135=G115)*(J$3:J$135&lt;J115)*(H$3:H$135&lt;&gt;H115)*(I$3:I$135="P")),-1*SUMPRODUCT((P$3:P$135="")*(O$3:O$135="")*(N$3:N$135="")*(M$3:M$135="P")*(G$3:G$135=G115)*(J$3:J$135&gt;J115)*(H$3:H$135="L5")*(I$3:I$135="P")))+1,"")))))</f>
        <v/>
      </c>
      <c r="B115" s="1" t="str" cm="1">
        <f t="array" ref="B115">IF(P115&lt;&gt;"",SUMPRODUCT((P$3:P$135&lt;&gt;"")*(G$3:G$135=G115)*(J$3:J$135&gt;J115))+1,IF(O115&lt;&gt;"",SUMPRODUCT((O$3:O$135&lt;&gt;"")*(P$3:P$135="")*(G$3:G$135=G115)*(J$3:J$135&gt;J115))+SUMPRODUCT((P$3:P$135&lt;&gt;"")*(G$3:G$135=G115))+1,IF(N115&lt;&gt;"",SUMPRODUCT((N$3:N$135&lt;&gt;"")*(G$3:G$135=G115)*(J$3:J$135&gt;J115))+1,IF(M115="P",SUMPRODUCT((O$3:O$135&lt;&gt;"")*(P$3:P$135="")*(G$3:G$135=G115))+SUMPRODUCT((P$3:P$135&lt;&gt;"")*(G$3:G$135=G115))+SUMPRODUCT((N$3:N$135&lt;&gt;"")*(G$3:G$135=G115))+SUMPRODUCT((P$3:P$135="")*(O$3:O$135="")*(N$3:N$135="")*(M$3:M$135="P")*(G$3:G$135=G115)*(J$3:J$135&gt;J115))+IF(H115="L5",SUMPRODUCT((P$3:P$135="")*(O$3:O$135="")*(N$3:N$135="")*(M$3:M$135="P")*(G$3:G$135=G115)*(J$3:J$135&lt;J115)*(H$3:H$135&lt;&gt;H115)),-1*SUMPRODUCT((P$3:P$135="")*(O$3:O$135="")*(N$3:N$135="")*(M$3:M$135="P")*(G$3:G$135=G115)*(J$3:J$135&gt;J115)*(H$3:H$135="L5")))+1,""))))</f>
        <v/>
      </c>
      <c r="C115" s="36" t="s">
        <v>477</v>
      </c>
      <c r="D115" s="36" t="str">
        <f>IF(E115="","",VLOOKUP(E115,'Coaching Points'!A:B,2,0))</f>
        <v>ON</v>
      </c>
      <c r="E115" s="36" t="s">
        <v>113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 t="shared" si="15"/>
        <v>73.550007354999991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 t="shared" si="16"/>
        <v/>
      </c>
      <c r="R115" s="4">
        <f t="shared" si="17"/>
        <v>73.55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>
        <v>35.97</v>
      </c>
      <c r="AB115" s="40">
        <v>0</v>
      </c>
      <c r="AC115" s="34">
        <v>37.58</v>
      </c>
      <c r="AD115" s="40">
        <v>8</v>
      </c>
      <c r="AE115" s="4">
        <f t="shared" si="19"/>
        <v>73.55</v>
      </c>
      <c r="AF115" s="34"/>
      <c r="AG115" s="37"/>
    </row>
    <row r="116" spans="1:33" x14ac:dyDescent="0.2">
      <c r="A116" s="1" t="str" cm="1">
        <f t="array" ref="A116">IF(I116="","",IF(P116&lt;&gt;"",SUMPRODUCT((P$3:P$135&lt;&gt;"")*(G$3:G$135=G116)*(J$3:J$135&gt;J116)*(I$3:I$135="P"))+1,IF(O116&lt;&gt;"",SUMPRODUCT((O$3:O$135&lt;&gt;"")*(P$3:P$135="")*(G$3:G$135=G116)*(J$3:J$135&gt;J116)*(I$3:I$135="P"))+SUMPRODUCT((P$3:P$135&lt;&gt;"")*(G$3:G$135=G116)*(I$3:I$135="P"))+1,IF(N116&lt;&gt;"",SUMPRODUCT((N$3:N$135&lt;&gt;"")*(G$3:G$135=G116)*(J$3:J$135&gt;J116)*(I$3:I$135="P"))+1,IF(M116="P",SUMPRODUCT((O$3:O$135&lt;&gt;"")*(P$3:P$135="")*(G$3:G$135=G116)*(I$3:I$135="P"))+SUMPRODUCT((P$3:P$135&lt;&gt;"")*(G$3:G$135=G116)*(I$3:I$135="P"))+SUMPRODUCT((N$3:N$135&lt;&gt;"")*(G$3:G$135=G116)*(I$3:I$135="P"))+SUMPRODUCT((P$3:P$135="")*(O$3:O$135="")*(N$3:N$135="")*(M$3:M$135="P")*(G$3:G$135=G116)*(J$3:J$135&gt;J116)*(I$3:I$135="P"))+IF(H116="L5",SUMPRODUCT((P$3:P$135="")*(O$3:O$135="")*(N$3:N$135="")*(M$3:M$135="P")*(G$3:G$135=G116)*(J$3:J$135&lt;J116)*(H$3:H$135&lt;&gt;H116)*(I$3:I$135="P")),-1*SUMPRODUCT((P$3:P$135="")*(O$3:O$135="")*(N$3:N$135="")*(M$3:M$135="P")*(G$3:G$135=G116)*(J$3:J$135&gt;J116)*(H$3:H$135="L5")*(I$3:I$135="P")))+1,"")))))</f>
        <v/>
      </c>
      <c r="B116" s="1" t="str" cm="1">
        <f t="array" ref="B116">IF(P116&lt;&gt;"",SUMPRODUCT((P$3:P$135&lt;&gt;"")*(G$3:G$135=G116)*(J$3:J$135&gt;J116))+1,IF(O116&lt;&gt;"",SUMPRODUCT((O$3:O$135&lt;&gt;"")*(P$3:P$135="")*(G$3:G$135=G116)*(J$3:J$135&gt;J116))+SUMPRODUCT((P$3:P$135&lt;&gt;"")*(G$3:G$135=G116))+1,IF(N116&lt;&gt;"",SUMPRODUCT((N$3:N$135&lt;&gt;"")*(G$3:G$135=G116)*(J$3:J$135&gt;J116))+1,IF(M116="P",SUMPRODUCT((O$3:O$135&lt;&gt;"")*(P$3:P$135="")*(G$3:G$135=G116))+SUMPRODUCT((P$3:P$135&lt;&gt;"")*(G$3:G$135=G116))+SUMPRODUCT((N$3:N$135&lt;&gt;"")*(G$3:G$135=G116))+SUMPRODUCT((P$3:P$135="")*(O$3:O$135="")*(N$3:N$135="")*(M$3:M$135="P")*(G$3:G$135=G116)*(J$3:J$135&gt;J116))+IF(H116="L5",SUMPRODUCT((P$3:P$135="")*(O$3:O$135="")*(N$3:N$135="")*(M$3:M$135="P")*(G$3:G$135=G116)*(J$3:J$135&lt;J116)*(H$3:H$135&lt;&gt;H116)),-1*SUMPRODUCT((P$3:P$135="")*(O$3:O$135="")*(N$3:N$135="")*(M$3:M$135="P")*(G$3:G$135=G116)*(J$3:J$135&gt;J116)*(H$3:H$135="L5")))+1,""))))</f>
        <v/>
      </c>
      <c r="C116" s="36" t="s">
        <v>307</v>
      </c>
      <c r="D116" s="36" t="str">
        <f>IF(E116="","",VLOOKUP(E116,'Coaching Points'!A:B,2,0))</f>
        <v>QC</v>
      </c>
      <c r="E116" s="36" t="s">
        <v>84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 t="shared" si="15"/>
        <v>72.47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 t="shared" si="16"/>
        <v/>
      </c>
      <c r="R116" s="4">
        <f t="shared" si="17"/>
        <v>72.47</v>
      </c>
      <c r="S116" s="4">
        <f>IF(G116="17-21",LARGE(CHOOSE({1,2,3,4,5,6},T116,V116,Y116,AA116,AC116,AF116),2),IF(R116=X116,MAX(Y116,AA116,AC116,AF116),IF(R116=AE116,MAX(AF116,T116,V116,Y116),0)))</f>
        <v>0</v>
      </c>
      <c r="T116" s="33">
        <v>30.89</v>
      </c>
      <c r="U116" s="40">
        <v>0</v>
      </c>
      <c r="V116" s="34">
        <v>41.58</v>
      </c>
      <c r="W116" s="40">
        <v>7</v>
      </c>
      <c r="X116" s="4">
        <f t="shared" si="18"/>
        <v>72.47</v>
      </c>
      <c r="Y116" s="34"/>
      <c r="Z116" s="40"/>
      <c r="AA116" s="33"/>
      <c r="AB116" s="40"/>
      <c r="AC116" s="34"/>
      <c r="AD116" s="40"/>
      <c r="AE116" s="4">
        <f t="shared" si="19"/>
        <v>0</v>
      </c>
      <c r="AF116" s="34"/>
      <c r="AG116" s="37"/>
    </row>
    <row r="117" spans="1:33" x14ac:dyDescent="0.2">
      <c r="A117" s="1" t="str" cm="1">
        <f t="array" ref="A117">IF(I117="","",IF(P117&lt;&gt;"",SUMPRODUCT((P$3:P$135&lt;&gt;"")*(G$3:G$135=G117)*(J$3:J$135&gt;J117)*(I$3:I$135="P"))+1,IF(O117&lt;&gt;"",SUMPRODUCT((O$3:O$135&lt;&gt;"")*(P$3:P$135="")*(G$3:G$135=G117)*(J$3:J$135&gt;J117)*(I$3:I$135="P"))+SUMPRODUCT((P$3:P$135&lt;&gt;"")*(G$3:G$135=G117)*(I$3:I$135="P"))+1,IF(N117&lt;&gt;"",SUMPRODUCT((N$3:N$135&lt;&gt;"")*(G$3:G$135=G117)*(J$3:J$135&gt;J117)*(I$3:I$135="P"))+1,IF(M117="P",SUMPRODUCT((O$3:O$135&lt;&gt;"")*(P$3:P$135="")*(G$3:G$135=G117)*(I$3:I$135="P"))+SUMPRODUCT((P$3:P$135&lt;&gt;"")*(G$3:G$135=G117)*(I$3:I$135="P"))+SUMPRODUCT((N$3:N$135&lt;&gt;"")*(G$3:G$135=G117)*(I$3:I$135="P"))+SUMPRODUCT((P$3:P$135="")*(O$3:O$135="")*(N$3:N$135="")*(M$3:M$135="P")*(G$3:G$135=G117)*(J$3:J$135&gt;J117)*(I$3:I$135="P"))+IF(H117="L5",SUMPRODUCT((P$3:P$135="")*(O$3:O$135="")*(N$3:N$135="")*(M$3:M$135="P")*(G$3:G$135=G117)*(J$3:J$135&lt;J117)*(H$3:H$135&lt;&gt;H117)*(I$3:I$135="P")),-1*SUMPRODUCT((P$3:P$135="")*(O$3:O$135="")*(N$3:N$135="")*(M$3:M$135="P")*(G$3:G$135=G117)*(J$3:J$135&gt;J117)*(H$3:H$135="L5")*(I$3:I$135="P")))+1,"")))))</f>
        <v/>
      </c>
      <c r="B117" s="1" t="str" cm="1">
        <f t="array" ref="B117">IF(P117&lt;&gt;"",SUMPRODUCT((P$3:P$135&lt;&gt;"")*(G$3:G$135=G117)*(J$3:J$135&gt;J117))+1,IF(O117&lt;&gt;"",SUMPRODUCT((O$3:O$135&lt;&gt;"")*(P$3:P$135="")*(G$3:G$135=G117)*(J$3:J$135&gt;J117))+SUMPRODUCT((P$3:P$135&lt;&gt;"")*(G$3:G$135=G117))+1,IF(N117&lt;&gt;"",SUMPRODUCT((N$3:N$135&lt;&gt;"")*(G$3:G$135=G117)*(J$3:J$135&gt;J117))+1,IF(M117="P",SUMPRODUCT((O$3:O$135&lt;&gt;"")*(P$3:P$135="")*(G$3:G$135=G117))+SUMPRODUCT((P$3:P$135&lt;&gt;"")*(G$3:G$135=G117))+SUMPRODUCT((N$3:N$135&lt;&gt;"")*(G$3:G$135=G117))+SUMPRODUCT((P$3:P$135="")*(O$3:O$135="")*(N$3:N$135="")*(M$3:M$135="P")*(G$3:G$135=G117)*(J$3:J$135&gt;J117))+IF(H117="L5",SUMPRODUCT((P$3:P$135="")*(O$3:O$135="")*(N$3:N$135="")*(M$3:M$135="P")*(G$3:G$135=G117)*(J$3:J$135&lt;J117)*(H$3:H$135&lt;&gt;H117)),-1*SUMPRODUCT((P$3:P$135="")*(O$3:O$135="")*(N$3:N$135="")*(M$3:M$135="P")*(G$3:G$135=G117)*(J$3:J$135&gt;J117)*(H$3:H$135="L5")))+1,""))))</f>
        <v/>
      </c>
      <c r="C117" s="36" t="s">
        <v>478</v>
      </c>
      <c r="D117" s="36" t="str">
        <f>IF(E117="","",VLOOKUP(E117,'Coaching Points'!A:B,2,0))</f>
        <v>SK</v>
      </c>
      <c r="E117" s="36" t="s">
        <v>60</v>
      </c>
      <c r="F117" s="35">
        <v>2008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 t="shared" si="15"/>
        <v>63.450006345000006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 t="shared" si="16"/>
        <v/>
      </c>
      <c r="R117" s="4">
        <f t="shared" si="17"/>
        <v>63.45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 t="shared" si="18"/>
        <v>0</v>
      </c>
      <c r="Y117" s="34"/>
      <c r="Z117" s="40"/>
      <c r="AA117" s="33">
        <v>36.74</v>
      </c>
      <c r="AB117" s="40">
        <v>0</v>
      </c>
      <c r="AC117" s="34">
        <v>26.71</v>
      </c>
      <c r="AD117" s="40">
        <v>4.8</v>
      </c>
      <c r="AE117" s="4">
        <f t="shared" si="19"/>
        <v>63.45</v>
      </c>
      <c r="AF117" s="34"/>
      <c r="AG117" s="37"/>
    </row>
    <row r="118" spans="1:33" x14ac:dyDescent="0.2">
      <c r="A118" s="1" t="str" cm="1">
        <f t="array" ref="A118">IF(I118="","",IF(P118&lt;&gt;"",SUMPRODUCT((P$3:P$135&lt;&gt;"")*(G$3:G$135=G118)*(J$3:J$135&gt;J118)*(I$3:I$135="P"))+1,IF(O118&lt;&gt;"",SUMPRODUCT((O$3:O$135&lt;&gt;"")*(P$3:P$135="")*(G$3:G$135=G118)*(J$3:J$135&gt;J118)*(I$3:I$135="P"))+SUMPRODUCT((P$3:P$135&lt;&gt;"")*(G$3:G$135=G118)*(I$3:I$135="P"))+1,IF(N118&lt;&gt;"",SUMPRODUCT((N$3:N$135&lt;&gt;"")*(G$3:G$135=G118)*(J$3:J$135&gt;J118)*(I$3:I$135="P"))+1,IF(M118="P",SUMPRODUCT((O$3:O$135&lt;&gt;"")*(P$3:P$135="")*(G$3:G$135=G118)*(I$3:I$135="P"))+SUMPRODUCT((P$3:P$135&lt;&gt;"")*(G$3:G$135=G118)*(I$3:I$135="P"))+SUMPRODUCT((N$3:N$135&lt;&gt;"")*(G$3:G$135=G118)*(I$3:I$135="P"))+SUMPRODUCT((P$3:P$135="")*(O$3:O$135="")*(N$3:N$135="")*(M$3:M$135="P")*(G$3:G$135=G118)*(J$3:J$135&gt;J118)*(I$3:I$135="P"))+IF(H118="L5",SUMPRODUCT((P$3:P$135="")*(O$3:O$135="")*(N$3:N$135="")*(M$3:M$135="P")*(G$3:G$135=G118)*(J$3:J$135&lt;J118)*(H$3:H$135&lt;&gt;H118)*(I$3:I$135="P")),-1*SUMPRODUCT((P$3:P$135="")*(O$3:O$135="")*(N$3:N$135="")*(M$3:M$135="P")*(G$3:G$135=G118)*(J$3:J$135&gt;J118)*(H$3:H$135="L5")*(I$3:I$135="P")))+1,"")))))</f>
        <v/>
      </c>
      <c r="B118" s="1" t="str" cm="1">
        <f t="array" ref="B118">IF(P118&lt;&gt;"",SUMPRODUCT((P$3:P$135&lt;&gt;"")*(G$3:G$135=G118)*(J$3:J$135&gt;J118))+1,IF(O118&lt;&gt;"",SUMPRODUCT((O$3:O$135&lt;&gt;"")*(P$3:P$135="")*(G$3:G$135=G118)*(J$3:J$135&gt;J118))+SUMPRODUCT((P$3:P$135&lt;&gt;"")*(G$3:G$135=G118))+1,IF(N118&lt;&gt;"",SUMPRODUCT((N$3:N$135&lt;&gt;"")*(G$3:G$135=G118)*(J$3:J$135&gt;J118))+1,IF(M118="P",SUMPRODUCT((O$3:O$135&lt;&gt;"")*(P$3:P$135="")*(G$3:G$135=G118))+SUMPRODUCT((P$3:P$135&lt;&gt;"")*(G$3:G$135=G118))+SUMPRODUCT((N$3:N$135&lt;&gt;"")*(G$3:G$135=G118))+SUMPRODUCT((P$3:P$135="")*(O$3:O$135="")*(N$3:N$135="")*(M$3:M$135="P")*(G$3:G$135=G118)*(J$3:J$135&gt;J118))+IF(H118="L5",SUMPRODUCT((P$3:P$135="")*(O$3:O$135="")*(N$3:N$135="")*(M$3:M$135="P")*(G$3:G$135=G118)*(J$3:J$135&lt;J118)*(H$3:H$135&lt;&gt;H118)),-1*SUMPRODUCT((P$3:P$135="")*(O$3:O$135="")*(N$3:N$135="")*(M$3:M$135="P")*(G$3:G$135=G118)*(J$3:J$135&gt;J118)*(H$3:H$135="L5")))+1,""))))</f>
        <v/>
      </c>
      <c r="C118" s="36" t="s">
        <v>357</v>
      </c>
      <c r="D118" s="36" t="str">
        <f>IF(E118="","",VLOOKUP(E118,'Coaching Points'!A:B,2,0))</f>
        <v>SK</v>
      </c>
      <c r="E118" s="36" t="s">
        <v>60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 t="shared" si="15"/>
        <v>58.820005882000004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 t="shared" si="16"/>
        <v/>
      </c>
      <c r="R118" s="4">
        <f t="shared" si="17"/>
        <v>58.82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 t="shared" si="18"/>
        <v>0</v>
      </c>
      <c r="Y118" s="34"/>
      <c r="Z118" s="40"/>
      <c r="AA118" s="33">
        <v>36.4</v>
      </c>
      <c r="AB118" s="40">
        <v>0</v>
      </c>
      <c r="AC118" s="34">
        <v>22.42</v>
      </c>
      <c r="AD118" s="40">
        <v>4.5999999999999996</v>
      </c>
      <c r="AE118" s="4">
        <f t="shared" si="19"/>
        <v>58.82</v>
      </c>
      <c r="AF118" s="34"/>
      <c r="AG118" s="37"/>
    </row>
    <row r="119" spans="1:33" x14ac:dyDescent="0.2">
      <c r="A119" s="1" t="str" cm="1">
        <f t="array" ref="A119">IF(I119="","",IF(P119&lt;&gt;"",SUMPRODUCT((P$3:P$135&lt;&gt;"")*(G$3:G$135=G119)*(J$3:J$135&gt;J119)*(I$3:I$135="P"))+1,IF(O119&lt;&gt;"",SUMPRODUCT((O$3:O$135&lt;&gt;"")*(P$3:P$135="")*(G$3:G$135=G119)*(J$3:J$135&gt;J119)*(I$3:I$135="P"))+SUMPRODUCT((P$3:P$135&lt;&gt;"")*(G$3:G$135=G119)*(I$3:I$135="P"))+1,IF(N119&lt;&gt;"",SUMPRODUCT((N$3:N$135&lt;&gt;"")*(G$3:G$135=G119)*(J$3:J$135&gt;J119)*(I$3:I$135="P"))+1,IF(M119="P",SUMPRODUCT((O$3:O$135&lt;&gt;"")*(P$3:P$135="")*(G$3:G$135=G119)*(I$3:I$135="P"))+SUMPRODUCT((P$3:P$135&lt;&gt;"")*(G$3:G$135=G119)*(I$3:I$135="P"))+SUMPRODUCT((N$3:N$135&lt;&gt;"")*(G$3:G$135=G119)*(I$3:I$135="P"))+SUMPRODUCT((P$3:P$135="")*(O$3:O$135="")*(N$3:N$135="")*(M$3:M$135="P")*(G$3:G$135=G119)*(J$3:J$135&gt;J119)*(I$3:I$135="P"))+IF(H119="L5",SUMPRODUCT((P$3:P$135="")*(O$3:O$135="")*(N$3:N$135="")*(M$3:M$135="P")*(G$3:G$135=G119)*(J$3:J$135&lt;J119)*(H$3:H$135&lt;&gt;H119)*(I$3:I$135="P")),-1*SUMPRODUCT((P$3:P$135="")*(O$3:O$135="")*(N$3:N$135="")*(M$3:M$135="P")*(G$3:G$135=G119)*(J$3:J$135&gt;J119)*(H$3:H$135="L5")*(I$3:I$135="P")))+1,"")))))</f>
        <v/>
      </c>
      <c r="B119" s="1" t="str" cm="1">
        <f t="array" ref="B119">IF(P119&lt;&gt;"",SUMPRODUCT((P$3:P$135&lt;&gt;"")*(G$3:G$135=G119)*(J$3:J$135&gt;J119))+1,IF(O119&lt;&gt;"",SUMPRODUCT((O$3:O$135&lt;&gt;"")*(P$3:P$135="")*(G$3:G$135=G119)*(J$3:J$135&gt;J119))+SUMPRODUCT((P$3:P$135&lt;&gt;"")*(G$3:G$135=G119))+1,IF(N119&lt;&gt;"",SUMPRODUCT((N$3:N$135&lt;&gt;"")*(G$3:G$135=G119)*(J$3:J$135&gt;J119))+1,IF(M119="P",SUMPRODUCT((O$3:O$135&lt;&gt;"")*(P$3:P$135="")*(G$3:G$135=G119))+SUMPRODUCT((P$3:P$135&lt;&gt;"")*(G$3:G$135=G119))+SUMPRODUCT((N$3:N$135&lt;&gt;"")*(G$3:G$135=G119))+SUMPRODUCT((P$3:P$135="")*(O$3:O$135="")*(N$3:N$135="")*(M$3:M$135="P")*(G$3:G$135=G119)*(J$3:J$135&gt;J119))+IF(H119="L5",SUMPRODUCT((P$3:P$135="")*(O$3:O$135="")*(N$3:N$135="")*(M$3:M$135="P")*(G$3:G$135=G119)*(J$3:J$135&lt;J119)*(H$3:H$135&lt;&gt;H119)),-1*SUMPRODUCT((P$3:P$135="")*(O$3:O$135="")*(N$3:N$135="")*(M$3:M$135="P")*(G$3:G$135=G119)*(J$3:J$135&gt;J119)*(H$3:H$135="L5")))+1,""))))</f>
        <v/>
      </c>
      <c r="C119" s="36" t="s">
        <v>479</v>
      </c>
      <c r="D119" s="36" t="str">
        <f>IF(E119="","",VLOOKUP(E119,'Coaching Points'!A:B,2,0))</f>
        <v>NL</v>
      </c>
      <c r="E119" s="36" t="s">
        <v>421</v>
      </c>
      <c r="F119" s="35">
        <v>2007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15-16</v>
      </c>
      <c r="H119" s="39" t="s">
        <v>66</v>
      </c>
      <c r="I119" s="43"/>
      <c r="J119" s="4">
        <f t="shared" si="15"/>
        <v>41.620004162000001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/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1" t="str">
        <f t="shared" si="16"/>
        <v/>
      </c>
      <c r="R119" s="4">
        <f t="shared" si="17"/>
        <v>41.62</v>
      </c>
      <c r="S119" s="4">
        <f>IF(G119="17-21",LARGE(CHOOSE({1,2,3,4,5,6},T119,V119,Y119,AA119,AC119,AF119),2),IF(R119=X119,MAX(Y119,AA119,AC119,AF119),IF(R119=AE119,MAX(AF119,T119,V119,Y119),0)))</f>
        <v>0</v>
      </c>
      <c r="T119" s="33"/>
      <c r="U119" s="40"/>
      <c r="V119" s="34"/>
      <c r="W119" s="40"/>
      <c r="X119" s="4">
        <f t="shared" si="18"/>
        <v>0</v>
      </c>
      <c r="Y119" s="34"/>
      <c r="Z119" s="40"/>
      <c r="AA119" s="33">
        <v>36.79</v>
      </c>
      <c r="AB119" s="40">
        <v>0</v>
      </c>
      <c r="AC119" s="34">
        <v>4.83</v>
      </c>
      <c r="AD119" s="40">
        <v>1.3</v>
      </c>
      <c r="AE119" s="4">
        <f t="shared" si="19"/>
        <v>41.62</v>
      </c>
      <c r="AF119" s="34"/>
      <c r="AG119" s="37"/>
    </row>
    <row r="120" spans="1:33" x14ac:dyDescent="0.2">
      <c r="A120" s="1" t="str" cm="1">
        <f t="array" ref="A120">IF(I120="","",IF(P120&lt;&gt;"",SUMPRODUCT((P$3:P$135&lt;&gt;"")*(G$3:G$135=G120)*(J$3:J$135&gt;J120)*(I$3:I$135="P"))+1,IF(O120&lt;&gt;"",SUMPRODUCT((O$3:O$135&lt;&gt;"")*(P$3:P$135="")*(G$3:G$135=G120)*(J$3:J$135&gt;J120)*(I$3:I$135="P"))+SUMPRODUCT((P$3:P$135&lt;&gt;"")*(G$3:G$135=G120)*(I$3:I$135="P"))+1,IF(N120&lt;&gt;"",SUMPRODUCT((N$3:N$135&lt;&gt;"")*(G$3:G$135=G120)*(J$3:J$135&gt;J120)*(I$3:I$135="P"))+1,IF(M120="P",SUMPRODUCT((O$3:O$135&lt;&gt;"")*(P$3:P$135="")*(G$3:G$135=G120)*(I$3:I$135="P"))+SUMPRODUCT((P$3:P$135&lt;&gt;"")*(G$3:G$135=G120)*(I$3:I$135="P"))+SUMPRODUCT((N$3:N$135&lt;&gt;"")*(G$3:G$135=G120)*(I$3:I$135="P"))+SUMPRODUCT((P$3:P$135="")*(O$3:O$135="")*(N$3:N$135="")*(M$3:M$135="P")*(G$3:G$135=G120)*(J$3:J$135&gt;J120)*(I$3:I$135="P"))+IF(H120="L5",SUMPRODUCT((P$3:P$135="")*(O$3:O$135="")*(N$3:N$135="")*(M$3:M$135="P")*(G$3:G$135=G120)*(J$3:J$135&lt;J120)*(H$3:H$135&lt;&gt;H120)*(I$3:I$135="P")),-1*SUMPRODUCT((P$3:P$135="")*(O$3:O$135="")*(N$3:N$135="")*(M$3:M$135="P")*(G$3:G$135=G120)*(J$3:J$135&gt;J120)*(H$3:H$135="L5")*(I$3:I$135="P")))+1,"")))))</f>
        <v/>
      </c>
      <c r="B120" s="1" t="str" cm="1">
        <f t="array" ref="B120">IF(P120&lt;&gt;"",SUMPRODUCT((P$3:P$135&lt;&gt;"")*(G$3:G$135=G120)*(J$3:J$135&gt;J120))+1,IF(O120&lt;&gt;"",SUMPRODUCT((O$3:O$135&lt;&gt;"")*(P$3:P$135="")*(G$3:G$135=G120)*(J$3:J$135&gt;J120))+SUMPRODUCT((P$3:P$135&lt;&gt;"")*(G$3:G$135=G120))+1,IF(N120&lt;&gt;"",SUMPRODUCT((N$3:N$135&lt;&gt;"")*(G$3:G$135=G120)*(J$3:J$135&gt;J120))+1,IF(M120="P",SUMPRODUCT((O$3:O$135&lt;&gt;"")*(P$3:P$135="")*(G$3:G$135=G120))+SUMPRODUCT((P$3:P$135&lt;&gt;"")*(G$3:G$135=G120))+SUMPRODUCT((N$3:N$135&lt;&gt;"")*(G$3:G$135=G120))+SUMPRODUCT((P$3:P$135="")*(O$3:O$135="")*(N$3:N$135="")*(M$3:M$135="P")*(G$3:G$135=G120)*(J$3:J$135&gt;J120))+IF(H120="L5",SUMPRODUCT((P$3:P$135="")*(O$3:O$135="")*(N$3:N$135="")*(M$3:M$135="P")*(G$3:G$135=G120)*(J$3:J$135&lt;J120)*(H$3:H$135&lt;&gt;H120)),-1*SUMPRODUCT((P$3:P$135="")*(O$3:O$135="")*(N$3:N$135="")*(M$3:M$135="P")*(G$3:G$135=G120)*(J$3:J$135&gt;J120)*(H$3:H$135="L5")))+1,""))))</f>
        <v/>
      </c>
      <c r="C120" s="36" t="s">
        <v>480</v>
      </c>
      <c r="D120" s="36" t="str">
        <f>IF(E120="","",VLOOKUP(E120,'Coaching Points'!A:B,2,0))</f>
        <v>ON</v>
      </c>
      <c r="E120" s="36" t="s">
        <v>113</v>
      </c>
      <c r="F120" s="35">
        <v>2007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15-16</v>
      </c>
      <c r="H120" s="39" t="s">
        <v>66</v>
      </c>
      <c r="I120" s="43"/>
      <c r="J120" s="4">
        <f t="shared" si="15"/>
        <v>28.530002853000003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/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 t="shared" si="16"/>
        <v/>
      </c>
      <c r="R120" s="4">
        <f t="shared" si="17"/>
        <v>28.53</v>
      </c>
      <c r="S120" s="4">
        <f>IF(G120="17-21",LARGE(CHOOSE({1,2,3,4,5,6},T120,V120,Y120,AA120,AC120,AF120),2),IF(R120=X120,MAX(Y120,AA120,AC120,AF120),IF(R120=AE120,MAX(AF120,T120,V120,Y120),0)))</f>
        <v>0</v>
      </c>
      <c r="T120" s="33"/>
      <c r="U120" s="40"/>
      <c r="V120" s="34"/>
      <c r="W120" s="40"/>
      <c r="X120" s="4">
        <f t="shared" si="18"/>
        <v>0</v>
      </c>
      <c r="Y120" s="34"/>
      <c r="Z120" s="40"/>
      <c r="AA120" s="33">
        <v>19.02</v>
      </c>
      <c r="AB120" s="40">
        <v>0</v>
      </c>
      <c r="AC120" s="34">
        <v>9.51</v>
      </c>
      <c r="AD120" s="40">
        <v>1.9</v>
      </c>
      <c r="AE120" s="4">
        <f t="shared" si="19"/>
        <v>28.53</v>
      </c>
      <c r="AF120" s="34"/>
      <c r="AG120" s="37"/>
    </row>
    <row r="121" spans="1:33" x14ac:dyDescent="0.2">
      <c r="A121" s="1" t="str" cm="1">
        <f t="array" ref="A121">IF(I121="","",IF(P121&lt;&gt;"",SUMPRODUCT((P$3:P$135&lt;&gt;"")*(G$3:G$135=G121)*(J$3:J$135&gt;J121)*(I$3:I$135="P"))+1,IF(O121&lt;&gt;"",SUMPRODUCT((O$3:O$135&lt;&gt;"")*(P$3:P$135="")*(G$3:G$135=G121)*(J$3:J$135&gt;J121)*(I$3:I$135="P"))+SUMPRODUCT((P$3:P$135&lt;&gt;"")*(G$3:G$135=G121)*(I$3:I$135="P"))+1,IF(N121&lt;&gt;"",SUMPRODUCT((N$3:N$135&lt;&gt;"")*(G$3:G$135=G121)*(J$3:J$135&gt;J121)*(I$3:I$135="P"))+1,IF(M121="P",SUMPRODUCT((O$3:O$135&lt;&gt;"")*(P$3:P$135="")*(G$3:G$135=G121)*(I$3:I$135="P"))+SUMPRODUCT((P$3:P$135&lt;&gt;"")*(G$3:G$135=G121)*(I$3:I$135="P"))+SUMPRODUCT((N$3:N$135&lt;&gt;"")*(G$3:G$135=G121)*(I$3:I$135="P"))+SUMPRODUCT((P$3:P$135="")*(O$3:O$135="")*(N$3:N$135="")*(M$3:M$135="P")*(G$3:G$135=G121)*(J$3:J$135&gt;J121)*(I$3:I$135="P"))+IF(H121="L5",SUMPRODUCT((P$3:P$135="")*(O$3:O$135="")*(N$3:N$135="")*(M$3:M$135="P")*(G$3:G$135=G121)*(J$3:J$135&lt;J121)*(H$3:H$135&lt;&gt;H121)*(I$3:I$135="P")),-1*SUMPRODUCT((P$3:P$135="")*(O$3:O$135="")*(N$3:N$135="")*(M$3:M$135="P")*(G$3:G$135=G121)*(J$3:J$135&gt;J121)*(H$3:H$135="L5")*(I$3:I$135="P")))+1,"")))))</f>
        <v/>
      </c>
      <c r="B121" s="1" cm="1">
        <f t="array" ref="B121">IF(P121&lt;&gt;"",SUMPRODUCT((P$3:P$135&lt;&gt;"")*(G$3:G$135=G121)*(J$3:J$135&gt;J121))+1,IF(O121&lt;&gt;"",SUMPRODUCT((O$3:O$135&lt;&gt;"")*(P$3:P$135="")*(G$3:G$135=G121)*(J$3:J$135&gt;J121))+SUMPRODUCT((P$3:P$135&lt;&gt;"")*(G$3:G$135=G121))+1,IF(N121&lt;&gt;"",SUMPRODUCT((N$3:N$135&lt;&gt;"")*(G$3:G$135=G121)*(J$3:J$135&gt;J121))+1,IF(M121="P",SUMPRODUCT((O$3:O$135&lt;&gt;"")*(P$3:P$135="")*(G$3:G$135=G121))+SUMPRODUCT((P$3:P$135&lt;&gt;"")*(G$3:G$135=G121))+SUMPRODUCT((N$3:N$135&lt;&gt;"")*(G$3:G$135=G121))+SUMPRODUCT((P$3:P$135="")*(O$3:O$135="")*(N$3:N$135="")*(M$3:M$135="P")*(G$3:G$135=G121)*(J$3:J$135&gt;J121))+IF(H121="L5",SUMPRODUCT((P$3:P$135="")*(O$3:O$135="")*(N$3:N$135="")*(M$3:M$135="P")*(G$3:G$135=G121)*(J$3:J$135&lt;J121)*(H$3:H$135&lt;&gt;H121)),-1*SUMPRODUCT((P$3:P$135="")*(O$3:O$135="")*(N$3:N$135="")*(M$3:M$135="P")*(G$3:G$135=G121)*(J$3:J$135&gt;J121)*(H$3:H$135="L5")))+1,""))))</f>
        <v>1</v>
      </c>
      <c r="C121" s="36" t="s">
        <v>118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67</v>
      </c>
      <c r="I121" s="43"/>
      <c r="J121" s="4">
        <f t="shared" si="15"/>
        <v>133.27010870399999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>P</v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>P</v>
      </c>
      <c r="Q121" s="1" t="str">
        <f t="shared" si="16"/>
        <v/>
      </c>
      <c r="R121" s="4">
        <f t="shared" si="17"/>
        <v>87.039999999999992</v>
      </c>
      <c r="S121" s="4">
        <f>IF(G121="17-21",LARGE(CHOOSE({1,2,3,4,5,6},T121,V121,Y121,AA121,AC121,AF121),2),IF(R121=X121,MAX(Y121,AA121,AC121,AF121),IF(R121=AE121,MAX(AF121,T121,V121,Y121),0)))</f>
        <v>46.23</v>
      </c>
      <c r="T121" s="33">
        <v>40.17</v>
      </c>
      <c r="U121" s="40">
        <v>0</v>
      </c>
      <c r="V121" s="34">
        <v>5.58</v>
      </c>
      <c r="W121" s="40">
        <v>1.5</v>
      </c>
      <c r="X121" s="4">
        <f t="shared" si="18"/>
        <v>45.75</v>
      </c>
      <c r="Y121" s="34" t="s">
        <v>311</v>
      </c>
      <c r="Z121" s="40" t="s">
        <v>311</v>
      </c>
      <c r="AA121" s="33">
        <v>39.58</v>
      </c>
      <c r="AB121" s="40">
        <v>0</v>
      </c>
      <c r="AC121" s="34">
        <v>47.46</v>
      </c>
      <c r="AD121" s="40">
        <v>11</v>
      </c>
      <c r="AE121" s="4">
        <f t="shared" si="19"/>
        <v>87.039999999999992</v>
      </c>
      <c r="AF121" s="34">
        <v>46.23</v>
      </c>
      <c r="AG121" s="37">
        <v>10.9</v>
      </c>
    </row>
    <row r="122" spans="1:33" x14ac:dyDescent="0.2">
      <c r="A122" s="1" t="str" cm="1">
        <f t="array" ref="A122">IF(I122="","",IF(P122&lt;&gt;"",SUMPRODUCT((P$3:P$135&lt;&gt;"")*(G$3:G$135=G122)*(J$3:J$135&gt;J122)*(I$3:I$135="P"))+1,IF(O122&lt;&gt;"",SUMPRODUCT((O$3:O$135&lt;&gt;"")*(P$3:P$135="")*(G$3:G$135=G122)*(J$3:J$135&gt;J122)*(I$3:I$135="P"))+SUMPRODUCT((P$3:P$135&lt;&gt;"")*(G$3:G$135=G122)*(I$3:I$135="P"))+1,IF(N122&lt;&gt;"",SUMPRODUCT((N$3:N$135&lt;&gt;"")*(G$3:G$135=G122)*(J$3:J$135&gt;J122)*(I$3:I$135="P"))+1,IF(M122="P",SUMPRODUCT((O$3:O$135&lt;&gt;"")*(P$3:P$135="")*(G$3:G$135=G122)*(I$3:I$135="P"))+SUMPRODUCT((P$3:P$135&lt;&gt;"")*(G$3:G$135=G122)*(I$3:I$135="P"))+SUMPRODUCT((N$3:N$135&lt;&gt;"")*(G$3:G$135=G122)*(I$3:I$135="P"))+SUMPRODUCT((P$3:P$135="")*(O$3:O$135="")*(N$3:N$135="")*(M$3:M$135="P")*(G$3:G$135=G122)*(J$3:J$135&gt;J122)*(I$3:I$135="P"))+IF(H122="L5",SUMPRODUCT((P$3:P$135="")*(O$3:O$135="")*(N$3:N$135="")*(M$3:M$135="P")*(G$3:G$135=G122)*(J$3:J$135&lt;J122)*(H$3:H$135&lt;&gt;H122)*(I$3:I$135="P")),-1*SUMPRODUCT((P$3:P$135="")*(O$3:O$135="")*(N$3:N$135="")*(M$3:M$135="P")*(G$3:G$135=G122)*(J$3:J$135&gt;J122)*(H$3:H$135="L5")*(I$3:I$135="P")))+1,"")))))</f>
        <v/>
      </c>
      <c r="B122" s="1" t="str" cm="1">
        <f t="array" ref="B122">IF(P122&lt;&gt;"",SUMPRODUCT((P$3:P$135&lt;&gt;"")*(G$3:G$135=G122)*(J$3:J$135&gt;J122))+1,IF(O122&lt;&gt;"",SUMPRODUCT((O$3:O$135&lt;&gt;"")*(P$3:P$135="")*(G$3:G$135=G122)*(J$3:J$135&gt;J122))+SUMPRODUCT((P$3:P$135&lt;&gt;"")*(G$3:G$135=G122))+1,IF(N122&lt;&gt;"",SUMPRODUCT((N$3:N$135&lt;&gt;"")*(G$3:G$135=G122)*(J$3:J$135&gt;J122))+1,IF(M122="P",SUMPRODUCT((O$3:O$135&lt;&gt;"")*(P$3:P$135="")*(G$3:G$135=G122))+SUMPRODUCT((P$3:P$135&lt;&gt;"")*(G$3:G$135=G122))+SUMPRODUCT((N$3:N$135&lt;&gt;"")*(G$3:G$135=G122))+SUMPRODUCT((P$3:P$135="")*(O$3:O$135="")*(N$3:N$135="")*(M$3:M$135="P")*(G$3:G$135=G122)*(J$3:J$135&gt;J122))+IF(H122="L5",SUMPRODUCT((P$3:P$135="")*(O$3:O$135="")*(N$3:N$135="")*(M$3:M$135="P")*(G$3:G$135=G122)*(J$3:J$135&lt;J122)*(H$3:H$135&lt;&gt;H122)),-1*SUMPRODUCT((P$3:P$135="")*(O$3:O$135="")*(N$3:N$135="")*(M$3:M$135="P")*(G$3:G$135=G122)*(J$3:J$135&gt;J122)*(H$3:H$135="L5")))+1,""))))</f>
        <v/>
      </c>
      <c r="C122" s="36" t="s">
        <v>239</v>
      </c>
      <c r="D122" s="36" t="str">
        <f>IF(E122="","",VLOOKUP(E122,'Coaching Points'!A:B,2,0))</f>
        <v>QC</v>
      </c>
      <c r="E122" s="36" t="s">
        <v>96</v>
      </c>
      <c r="F122" s="35">
        <v>2009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67</v>
      </c>
      <c r="I122" s="43"/>
      <c r="J122" s="4">
        <f t="shared" si="15"/>
        <v>135.43010834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 t="shared" si="16"/>
        <v/>
      </c>
      <c r="R122" s="4">
        <f t="shared" si="17"/>
        <v>86.92</v>
      </c>
      <c r="S122" s="4">
        <f>IF(G122="17-21",LARGE(CHOOSE({1,2,3,4,5,6},T122,V122,Y122,AA122,AC122,AF122),2),IF(R122=X122,MAX(Y122,AA122,AC122,AF122),IF(R122=AE122,MAX(AF122,T122,V122,Y122),0)))</f>
        <v>48.51</v>
      </c>
      <c r="T122" s="33">
        <v>40.090000000000003</v>
      </c>
      <c r="U122" s="40">
        <v>0</v>
      </c>
      <c r="V122" s="34">
        <v>46.83</v>
      </c>
      <c r="W122" s="40">
        <v>9.6</v>
      </c>
      <c r="X122" s="4">
        <f t="shared" si="18"/>
        <v>86.92</v>
      </c>
      <c r="Y122" s="34">
        <v>10.06</v>
      </c>
      <c r="Z122" s="40">
        <v>2.2999999999999998</v>
      </c>
      <c r="AA122" s="33">
        <v>40.090000000000003</v>
      </c>
      <c r="AB122" s="40">
        <v>0</v>
      </c>
      <c r="AC122" s="34">
        <v>43.31</v>
      </c>
      <c r="AD122" s="40">
        <v>8.3000000000000007</v>
      </c>
      <c r="AE122" s="4">
        <f t="shared" si="19"/>
        <v>83.4</v>
      </c>
      <c r="AF122" s="34">
        <v>48.51</v>
      </c>
      <c r="AG122" s="37">
        <v>9.6999999999999993</v>
      </c>
    </row>
    <row r="123" spans="1:33" x14ac:dyDescent="0.2">
      <c r="A123" s="1" t="str" cm="1">
        <f t="array" ref="A123">IF(I123="","",IF(P123&lt;&gt;"",SUMPRODUCT((P$3:P$135&lt;&gt;"")*(G$3:G$135=G123)*(J$3:J$135&gt;J123)*(I$3:I$135="P"))+1,IF(O123&lt;&gt;"",SUMPRODUCT((O$3:O$135&lt;&gt;"")*(P$3:P$135="")*(G$3:G$135=G123)*(J$3:J$135&gt;J123)*(I$3:I$135="P"))+SUMPRODUCT((P$3:P$135&lt;&gt;"")*(G$3:G$135=G123)*(I$3:I$135="P"))+1,IF(N123&lt;&gt;"",SUMPRODUCT((N$3:N$135&lt;&gt;"")*(G$3:G$135=G123)*(J$3:J$135&gt;J123)*(I$3:I$135="P"))+1,IF(M123="P",SUMPRODUCT((O$3:O$135&lt;&gt;"")*(P$3:P$135="")*(G$3:G$135=G123)*(I$3:I$135="P"))+SUMPRODUCT((P$3:P$135&lt;&gt;"")*(G$3:G$135=G123)*(I$3:I$135="P"))+SUMPRODUCT((N$3:N$135&lt;&gt;"")*(G$3:G$135=G123)*(I$3:I$135="P"))+SUMPRODUCT((P$3:P$135="")*(O$3:O$135="")*(N$3:N$135="")*(M$3:M$135="P")*(G$3:G$135=G123)*(J$3:J$135&gt;J123)*(I$3:I$135="P"))+IF(H123="L5",SUMPRODUCT((P$3:P$135="")*(O$3:O$135="")*(N$3:N$135="")*(M$3:M$135="P")*(G$3:G$135=G123)*(J$3:J$135&lt;J123)*(H$3:H$135&lt;&gt;H123)*(I$3:I$135="P")),-1*SUMPRODUCT((P$3:P$135="")*(O$3:O$135="")*(N$3:N$135="")*(M$3:M$135="P")*(G$3:G$135=G123)*(J$3:J$135&gt;J123)*(H$3:H$135="L5")*(I$3:I$135="P")))+1,"")))))</f>
        <v/>
      </c>
      <c r="B123" s="1" t="str" cm="1">
        <f t="array" ref="B123">IF(P123&lt;&gt;"",SUMPRODUCT((P$3:P$135&lt;&gt;"")*(G$3:G$135=G123)*(J$3:J$135&gt;J123))+1,IF(O123&lt;&gt;"",SUMPRODUCT((O$3:O$135&lt;&gt;"")*(P$3:P$135="")*(G$3:G$135=G123)*(J$3:J$135&gt;J123))+SUMPRODUCT((P$3:P$135&lt;&gt;"")*(G$3:G$135=G123))+1,IF(N123&lt;&gt;"",SUMPRODUCT((N$3:N$135&lt;&gt;"")*(G$3:G$135=G123)*(J$3:J$135&gt;J123))+1,IF(M123="P",SUMPRODUCT((O$3:O$135&lt;&gt;"")*(P$3:P$135="")*(G$3:G$135=G123))+SUMPRODUCT((P$3:P$135&lt;&gt;"")*(G$3:G$135=G123))+SUMPRODUCT((N$3:N$135&lt;&gt;"")*(G$3:G$135=G123))+SUMPRODUCT((P$3:P$135="")*(O$3:O$135="")*(N$3:N$135="")*(M$3:M$135="P")*(G$3:G$135=G123)*(J$3:J$135&gt;J123))+IF(H123="L5",SUMPRODUCT((P$3:P$135="")*(O$3:O$135="")*(N$3:N$135="")*(M$3:M$135="P")*(G$3:G$135=G123)*(J$3:J$135&lt;J123)*(H$3:H$135&lt;&gt;H123)),-1*SUMPRODUCT((P$3:P$135="")*(O$3:O$135="")*(N$3:N$135="")*(M$3:M$135="P")*(G$3:G$135=G123)*(J$3:J$135&gt;J123)*(H$3:H$135="L5")))+1,""))))</f>
        <v/>
      </c>
      <c r="C123" s="36" t="s">
        <v>148</v>
      </c>
      <c r="D123" s="36" t="str">
        <f>IF(E123="","",VLOOKUP(E123,'Coaching Points'!A:B,2,0))</f>
        <v>BC</v>
      </c>
      <c r="E123" s="36" t="s">
        <v>41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65</v>
      </c>
      <c r="I123" s="43"/>
      <c r="J123" s="4">
        <f t="shared" si="15"/>
        <v>130.58020801800001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 t="shared" si="16"/>
        <v/>
      </c>
      <c r="R123" s="4">
        <f t="shared" si="17"/>
        <v>83.81</v>
      </c>
      <c r="S123" s="4">
        <f>IF(G123="17-21",LARGE(CHOOSE({1,2,3,4,5,6},T123,V123,Y123,AA123,AC123,AF123),2),IF(R123=X123,MAX(Y123,AA123,AC123,AF123),IF(R123=AE123,MAX(AF123,T123,V123,Y123),0)))</f>
        <v>46.77</v>
      </c>
      <c r="T123" s="33">
        <v>39.47</v>
      </c>
      <c r="U123" s="40">
        <v>0</v>
      </c>
      <c r="V123" s="34">
        <v>44.34</v>
      </c>
      <c r="W123" s="40">
        <v>10</v>
      </c>
      <c r="X123" s="4">
        <f t="shared" si="18"/>
        <v>83.81</v>
      </c>
      <c r="Y123" s="34"/>
      <c r="Z123" s="40"/>
      <c r="AA123" s="33">
        <v>40.54</v>
      </c>
      <c r="AB123" s="40">
        <v>0</v>
      </c>
      <c r="AC123" s="34">
        <v>39.64</v>
      </c>
      <c r="AD123" s="40">
        <v>9.6</v>
      </c>
      <c r="AE123" s="4">
        <f t="shared" si="19"/>
        <v>80.180000000000007</v>
      </c>
      <c r="AF123" s="34">
        <v>46.77</v>
      </c>
      <c r="AG123" s="37">
        <v>10.9</v>
      </c>
    </row>
    <row r="124" spans="1:33" x14ac:dyDescent="0.2">
      <c r="A124" s="1" t="str" cm="1">
        <f t="array" ref="A124">IF(I124="","",IF(P124&lt;&gt;"",SUMPRODUCT((P$3:P$135&lt;&gt;"")*(G$3:G$135=G124)*(J$3:J$135&gt;J124)*(I$3:I$135="P"))+1,IF(O124&lt;&gt;"",SUMPRODUCT((O$3:O$135&lt;&gt;"")*(P$3:P$135="")*(G$3:G$135=G124)*(J$3:J$135&gt;J124)*(I$3:I$135="P"))+SUMPRODUCT((P$3:P$135&lt;&gt;"")*(G$3:G$135=G124)*(I$3:I$135="P"))+1,IF(N124&lt;&gt;"",SUMPRODUCT((N$3:N$135&lt;&gt;"")*(G$3:G$135=G124)*(J$3:J$135&gt;J124)*(I$3:I$135="P"))+1,IF(M124="P",SUMPRODUCT((O$3:O$135&lt;&gt;"")*(P$3:P$135="")*(G$3:G$135=G124)*(I$3:I$135="P"))+SUMPRODUCT((P$3:P$135&lt;&gt;"")*(G$3:G$135=G124)*(I$3:I$135="P"))+SUMPRODUCT((N$3:N$135&lt;&gt;"")*(G$3:G$135=G124)*(I$3:I$135="P"))+SUMPRODUCT((P$3:P$135="")*(O$3:O$135="")*(N$3:N$135="")*(M$3:M$135="P")*(G$3:G$135=G124)*(J$3:J$135&gt;J124)*(I$3:I$135="P"))+IF(H124="L5",SUMPRODUCT((P$3:P$135="")*(O$3:O$135="")*(N$3:N$135="")*(M$3:M$135="P")*(G$3:G$135=G124)*(J$3:J$135&lt;J124)*(H$3:H$135&lt;&gt;H124)*(I$3:I$135="P")),-1*SUMPRODUCT((P$3:P$135="")*(O$3:O$135="")*(N$3:N$135="")*(M$3:M$135="P")*(G$3:G$135=G124)*(J$3:J$135&gt;J124)*(H$3:H$135="L5")*(I$3:I$135="P")))+1,"")))))</f>
        <v/>
      </c>
      <c r="B124" s="1" t="str" cm="1">
        <f t="array" ref="B124">IF(P124&lt;&gt;"",SUMPRODUCT((P$3:P$135&lt;&gt;"")*(G$3:G$135=G124)*(J$3:J$135&gt;J124))+1,IF(O124&lt;&gt;"",SUMPRODUCT((O$3:O$135&lt;&gt;"")*(P$3:P$135="")*(G$3:G$135=G124)*(J$3:J$135&gt;J124))+SUMPRODUCT((P$3:P$135&lt;&gt;"")*(G$3:G$135=G124))+1,IF(N124&lt;&gt;"",SUMPRODUCT((N$3:N$135&lt;&gt;"")*(G$3:G$135=G124)*(J$3:J$135&gt;J124))+1,IF(M124="P",SUMPRODUCT((O$3:O$135&lt;&gt;"")*(P$3:P$135="")*(G$3:G$135=G124))+SUMPRODUCT((P$3:P$135&lt;&gt;"")*(G$3:G$135=G124))+SUMPRODUCT((N$3:N$135&lt;&gt;"")*(G$3:G$135=G124))+SUMPRODUCT((P$3:P$135="")*(O$3:O$135="")*(N$3:N$135="")*(M$3:M$135="P")*(G$3:G$135=G124)*(J$3:J$135&gt;J124))+IF(H124="L5",SUMPRODUCT((P$3:P$135="")*(O$3:O$135="")*(N$3:N$135="")*(M$3:M$135="P")*(G$3:G$135=G124)*(J$3:J$135&lt;J124)*(H$3:H$135&lt;&gt;H124)),-1*SUMPRODUCT((P$3:P$135="")*(O$3:O$135="")*(N$3:N$135="")*(M$3:M$135="P")*(G$3:G$135=G124)*(J$3:J$135&gt;J124)*(H$3:H$135="L5")))+1,""))))</f>
        <v/>
      </c>
      <c r="C124" s="36" t="s">
        <v>481</v>
      </c>
      <c r="D124" s="36" t="str">
        <f>IF(E124="","",VLOOKUP(E124,'Coaching Points'!A:B,2,0))</f>
        <v>ON</v>
      </c>
      <c r="E124" s="36" t="s">
        <v>113</v>
      </c>
      <c r="F124" s="35">
        <v>2010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 t="shared" si="15"/>
        <v>130.04000840199998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 t="shared" si="16"/>
        <v/>
      </c>
      <c r="R124" s="4">
        <f t="shared" si="17"/>
        <v>84.02</v>
      </c>
      <c r="S124" s="4">
        <f>IF(G124="17-21",LARGE(CHOOSE({1,2,3,4,5,6},T124,V124,Y124,AA124,AC124,AF124),2),IF(R124=X124,MAX(Y124,AA124,AC124,AF124),IF(R124=AE124,MAX(AF124,T124,V124,Y124),0)))</f>
        <v>46.02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38.69</v>
      </c>
      <c r="AB124" s="40">
        <v>0</v>
      </c>
      <c r="AC124" s="34">
        <v>45.33</v>
      </c>
      <c r="AD124" s="40">
        <v>8.5</v>
      </c>
      <c r="AE124" s="4">
        <f t="shared" si="19"/>
        <v>84.02</v>
      </c>
      <c r="AF124" s="34">
        <v>46.02</v>
      </c>
      <c r="AG124" s="37">
        <v>7.8</v>
      </c>
    </row>
    <row r="125" spans="1:33" x14ac:dyDescent="0.2">
      <c r="A125" s="1" t="str" cm="1">
        <f t="array" ref="A125">IF(I125="","",IF(P125&lt;&gt;"",SUMPRODUCT((P$3:P$135&lt;&gt;"")*(G$3:G$135=G125)*(J$3:J$135&gt;J125)*(I$3:I$135="P"))+1,IF(O125&lt;&gt;"",SUMPRODUCT((O$3:O$135&lt;&gt;"")*(P$3:P$135="")*(G$3:G$135=G125)*(J$3:J$135&gt;J125)*(I$3:I$135="P"))+SUMPRODUCT((P$3:P$135&lt;&gt;"")*(G$3:G$135=G125)*(I$3:I$135="P"))+1,IF(N125&lt;&gt;"",SUMPRODUCT((N$3:N$135&lt;&gt;"")*(G$3:G$135=G125)*(J$3:J$135&gt;J125)*(I$3:I$135="P"))+1,IF(M125="P",SUMPRODUCT((O$3:O$135&lt;&gt;"")*(P$3:P$135="")*(G$3:G$135=G125)*(I$3:I$135="P"))+SUMPRODUCT((P$3:P$135&lt;&gt;"")*(G$3:G$135=G125)*(I$3:I$135="P"))+SUMPRODUCT((N$3:N$135&lt;&gt;"")*(G$3:G$135=G125)*(I$3:I$135="P"))+SUMPRODUCT((P$3:P$135="")*(O$3:O$135="")*(N$3:N$135="")*(M$3:M$135="P")*(G$3:G$135=G125)*(J$3:J$135&gt;J125)*(I$3:I$135="P"))+IF(H125="L5",SUMPRODUCT((P$3:P$135="")*(O$3:O$135="")*(N$3:N$135="")*(M$3:M$135="P")*(G$3:G$135=G125)*(J$3:J$135&lt;J125)*(H$3:H$135&lt;&gt;H125)*(I$3:I$135="P")),-1*SUMPRODUCT((P$3:P$135="")*(O$3:O$135="")*(N$3:N$135="")*(M$3:M$135="P")*(G$3:G$135=G125)*(J$3:J$135&gt;J125)*(H$3:H$135="L5")*(I$3:I$135="P")))+1,"")))))</f>
        <v/>
      </c>
      <c r="B125" s="1" t="str" cm="1">
        <f t="array" ref="B125">IF(P125&lt;&gt;"",SUMPRODUCT((P$3:P$135&lt;&gt;"")*(G$3:G$135=G125)*(J$3:J$135&gt;J125))+1,IF(O125&lt;&gt;"",SUMPRODUCT((O$3:O$135&lt;&gt;"")*(P$3:P$135="")*(G$3:G$135=G125)*(J$3:J$135&gt;J125))+SUMPRODUCT((P$3:P$135&lt;&gt;"")*(G$3:G$135=G125))+1,IF(N125&lt;&gt;"",SUMPRODUCT((N$3:N$135&lt;&gt;"")*(G$3:G$135=G125)*(J$3:J$135&gt;J125))+1,IF(M125="P",SUMPRODUCT((O$3:O$135&lt;&gt;"")*(P$3:P$135="")*(G$3:G$135=G125))+SUMPRODUCT((P$3:P$135&lt;&gt;"")*(G$3:G$135=G125))+SUMPRODUCT((N$3:N$135&lt;&gt;"")*(G$3:G$135=G125))+SUMPRODUCT((P$3:P$135="")*(O$3:O$135="")*(N$3:N$135="")*(M$3:M$135="P")*(G$3:G$135=G125)*(J$3:J$135&gt;J125))+IF(H125="L5",SUMPRODUCT((P$3:P$135="")*(O$3:O$135="")*(N$3:N$135="")*(M$3:M$135="P")*(G$3:G$135=G125)*(J$3:J$135&lt;J125)*(H$3:H$135&lt;&gt;H125)),-1*SUMPRODUCT((P$3:P$135="")*(O$3:O$135="")*(N$3:N$135="")*(M$3:M$135="P")*(G$3:G$135=G125)*(J$3:J$135&gt;J125)*(H$3:H$135="L5")))+1,""))))</f>
        <v/>
      </c>
      <c r="C125" s="36" t="s">
        <v>482</v>
      </c>
      <c r="D125" s="36" t="str">
        <f>IF(E125="","",VLOOKUP(E125,'Coaching Points'!A:B,2,0))</f>
        <v>ON</v>
      </c>
      <c r="E125" s="36" t="s">
        <v>288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/>
      <c r="J125" s="4">
        <f t="shared" si="15"/>
        <v>129.15000837400001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 t="shared" si="16"/>
        <v/>
      </c>
      <c r="R125" s="4">
        <f t="shared" si="17"/>
        <v>83.740000000000009</v>
      </c>
      <c r="S125" s="4">
        <f>IF(G125="17-21",LARGE(CHOOSE({1,2,3,4,5,6},T125,V125,Y125,AA125,AC125,AF125),2),IF(R125=X125,MAX(Y125,AA125,AC125,AF125),IF(R125=AE125,MAX(AF125,T125,V125,Y125),0)))</f>
        <v>45.41</v>
      </c>
      <c r="T125" s="33"/>
      <c r="U125" s="40"/>
      <c r="V125" s="34"/>
      <c r="W125" s="40"/>
      <c r="X125" s="4">
        <f t="shared" si="18"/>
        <v>0</v>
      </c>
      <c r="Y125" s="34"/>
      <c r="Z125" s="40"/>
      <c r="AA125" s="33">
        <v>38.25</v>
      </c>
      <c r="AB125" s="40">
        <v>0</v>
      </c>
      <c r="AC125" s="34">
        <v>45.49</v>
      </c>
      <c r="AD125" s="40">
        <v>6.9</v>
      </c>
      <c r="AE125" s="4">
        <f t="shared" si="19"/>
        <v>83.740000000000009</v>
      </c>
      <c r="AF125" s="34">
        <v>45.41</v>
      </c>
      <c r="AG125" s="37">
        <v>6.9</v>
      </c>
    </row>
    <row r="126" spans="1:33" x14ac:dyDescent="0.2">
      <c r="A126" s="1" t="str" cm="1">
        <f t="array" ref="A126">IF(I126="","",IF(P126&lt;&gt;"",SUMPRODUCT((P$3:P$135&lt;&gt;"")*(G$3:G$135=G126)*(J$3:J$135&gt;J126)*(I$3:I$135="P"))+1,IF(O126&lt;&gt;"",SUMPRODUCT((O$3:O$135&lt;&gt;"")*(P$3:P$135="")*(G$3:G$135=G126)*(J$3:J$135&gt;J126)*(I$3:I$135="P"))+SUMPRODUCT((P$3:P$135&lt;&gt;"")*(G$3:G$135=G126)*(I$3:I$135="P"))+1,IF(N126&lt;&gt;"",SUMPRODUCT((N$3:N$135&lt;&gt;"")*(G$3:G$135=G126)*(J$3:J$135&gt;J126)*(I$3:I$135="P"))+1,IF(M126="P",SUMPRODUCT((O$3:O$135&lt;&gt;"")*(P$3:P$135="")*(G$3:G$135=G126)*(I$3:I$135="P"))+SUMPRODUCT((P$3:P$135&lt;&gt;"")*(G$3:G$135=G126)*(I$3:I$135="P"))+SUMPRODUCT((N$3:N$135&lt;&gt;"")*(G$3:G$135=G126)*(I$3:I$135="P"))+SUMPRODUCT((P$3:P$135="")*(O$3:O$135="")*(N$3:N$135="")*(M$3:M$135="P")*(G$3:G$135=G126)*(J$3:J$135&gt;J126)*(I$3:I$135="P"))+IF(H126="L5",SUMPRODUCT((P$3:P$135="")*(O$3:O$135="")*(N$3:N$135="")*(M$3:M$135="P")*(G$3:G$135=G126)*(J$3:J$135&lt;J126)*(H$3:H$135&lt;&gt;H126)*(I$3:I$135="P")),-1*SUMPRODUCT((P$3:P$135="")*(O$3:O$135="")*(N$3:N$135="")*(M$3:M$135="P")*(G$3:G$135=G126)*(J$3:J$135&gt;J126)*(H$3:H$135="L5")*(I$3:I$135="P")))+1,"")))))</f>
        <v/>
      </c>
      <c r="B126" s="1" t="str" cm="1">
        <f t="array" ref="B126">IF(P126&lt;&gt;"",SUMPRODUCT((P$3:P$135&lt;&gt;"")*(G$3:G$135=G126)*(J$3:J$135&gt;J126))+1,IF(O126&lt;&gt;"",SUMPRODUCT((O$3:O$135&lt;&gt;"")*(P$3:P$135="")*(G$3:G$135=G126)*(J$3:J$135&gt;J126))+SUMPRODUCT((P$3:P$135&lt;&gt;"")*(G$3:G$135=G126))+1,IF(N126&lt;&gt;"",SUMPRODUCT((N$3:N$135&lt;&gt;"")*(G$3:G$135=G126)*(J$3:J$135&gt;J126))+1,IF(M126="P",SUMPRODUCT((O$3:O$135&lt;&gt;"")*(P$3:P$135="")*(G$3:G$135=G126))+SUMPRODUCT((P$3:P$135&lt;&gt;"")*(G$3:G$135=G126))+SUMPRODUCT((N$3:N$135&lt;&gt;"")*(G$3:G$135=G126))+SUMPRODUCT((P$3:P$135="")*(O$3:O$135="")*(N$3:N$135="")*(M$3:M$135="P")*(G$3:G$135=G126)*(J$3:J$135&gt;J126))+IF(H126="L5",SUMPRODUCT((P$3:P$135="")*(O$3:O$135="")*(N$3:N$135="")*(M$3:M$135="P")*(G$3:G$135=G126)*(J$3:J$135&lt;J126)*(H$3:H$135&lt;&gt;H126)),-1*SUMPRODUCT((P$3:P$135="")*(O$3:O$135="")*(N$3:N$135="")*(M$3:M$135="P")*(G$3:G$135=G126)*(J$3:J$135&gt;J126)*(H$3:H$135="L5")))+1,""))))</f>
        <v/>
      </c>
      <c r="C126" s="36" t="s">
        <v>483</v>
      </c>
      <c r="D126" s="36" t="str">
        <f>IF(E126="","",VLOOKUP(E126,'Coaching Points'!A:B,2,0))</f>
        <v>AB</v>
      </c>
      <c r="E126" s="36" t="s">
        <v>29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 t="shared" si="15"/>
        <v>127.220008179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 t="shared" si="16"/>
        <v/>
      </c>
      <c r="R126" s="4">
        <f t="shared" si="17"/>
        <v>81.789999999999992</v>
      </c>
      <c r="S126" s="4">
        <f>IF(G126="17-21",LARGE(CHOOSE({1,2,3,4,5,6},T126,V126,Y126,AA126,AC126,AF126),2),IF(R126=X126,MAX(Y126,AA126,AC126,AF126),IF(R126=AE126,MAX(AF126,T126,V126,Y126),0)))</f>
        <v>45.43</v>
      </c>
      <c r="T126" s="33"/>
      <c r="U126" s="40"/>
      <c r="V126" s="34"/>
      <c r="W126" s="40"/>
      <c r="X126" s="4">
        <f t="shared" si="18"/>
        <v>0</v>
      </c>
      <c r="Y126" s="34"/>
      <c r="Z126" s="40"/>
      <c r="AA126" s="33">
        <v>37.81</v>
      </c>
      <c r="AB126" s="40">
        <v>0</v>
      </c>
      <c r="AC126" s="34">
        <v>43.98</v>
      </c>
      <c r="AD126" s="40">
        <v>7.3</v>
      </c>
      <c r="AE126" s="4">
        <f t="shared" si="19"/>
        <v>81.789999999999992</v>
      </c>
      <c r="AF126" s="34">
        <v>45.43</v>
      </c>
      <c r="AG126" s="37">
        <v>7.3</v>
      </c>
    </row>
    <row r="127" spans="1:33" x14ac:dyDescent="0.2">
      <c r="A127" s="1" t="str" cm="1">
        <f t="array" ref="A127">IF(I127="","",IF(P127&lt;&gt;"",SUMPRODUCT((P$3:P$135&lt;&gt;"")*(G$3:G$135=G127)*(J$3:J$135&gt;J127)*(I$3:I$135="P"))+1,IF(O127&lt;&gt;"",SUMPRODUCT((O$3:O$135&lt;&gt;"")*(P$3:P$135="")*(G$3:G$135=G127)*(J$3:J$135&gt;J127)*(I$3:I$135="P"))+SUMPRODUCT((P$3:P$135&lt;&gt;"")*(G$3:G$135=G127)*(I$3:I$135="P"))+1,IF(N127&lt;&gt;"",SUMPRODUCT((N$3:N$135&lt;&gt;"")*(G$3:G$135=G127)*(J$3:J$135&gt;J127)*(I$3:I$135="P"))+1,IF(M127="P",SUMPRODUCT((O$3:O$135&lt;&gt;"")*(P$3:P$135="")*(G$3:G$135=G127)*(I$3:I$135="P"))+SUMPRODUCT((P$3:P$135&lt;&gt;"")*(G$3:G$135=G127)*(I$3:I$135="P"))+SUMPRODUCT((N$3:N$135&lt;&gt;"")*(G$3:G$135=G127)*(I$3:I$135="P"))+SUMPRODUCT((P$3:P$135="")*(O$3:O$135="")*(N$3:N$135="")*(M$3:M$135="P")*(G$3:G$135=G127)*(J$3:J$135&gt;J127)*(I$3:I$135="P"))+IF(H127="L5",SUMPRODUCT((P$3:P$135="")*(O$3:O$135="")*(N$3:N$135="")*(M$3:M$135="P")*(G$3:G$135=G127)*(J$3:J$135&lt;J127)*(H$3:H$135&lt;&gt;H127)*(I$3:I$135="P")),-1*SUMPRODUCT((P$3:P$135="")*(O$3:O$135="")*(N$3:N$135="")*(M$3:M$135="P")*(G$3:G$135=G127)*(J$3:J$135&gt;J127)*(H$3:H$135="L5")*(I$3:I$135="P")))+1,"")))))</f>
        <v/>
      </c>
      <c r="B127" s="1" t="str" cm="1">
        <f t="array" ref="B127">IF(P127&lt;&gt;"",SUMPRODUCT((P$3:P$135&lt;&gt;"")*(G$3:G$135=G127)*(J$3:J$135&gt;J127))+1,IF(O127&lt;&gt;"",SUMPRODUCT((O$3:O$135&lt;&gt;"")*(P$3:P$135="")*(G$3:G$135=G127)*(J$3:J$135&gt;J127))+SUMPRODUCT((P$3:P$135&lt;&gt;"")*(G$3:G$135=G127))+1,IF(N127&lt;&gt;"",SUMPRODUCT((N$3:N$135&lt;&gt;"")*(G$3:G$135=G127)*(J$3:J$135&gt;J127))+1,IF(M127="P",SUMPRODUCT((O$3:O$135&lt;&gt;"")*(P$3:P$135="")*(G$3:G$135=G127))+SUMPRODUCT((P$3:P$135&lt;&gt;"")*(G$3:G$135=G127))+SUMPRODUCT((N$3:N$135&lt;&gt;"")*(G$3:G$135=G127))+SUMPRODUCT((P$3:P$135="")*(O$3:O$135="")*(N$3:N$135="")*(M$3:M$135="P")*(G$3:G$135=G127)*(J$3:J$135&gt;J127))+IF(H127="L5",SUMPRODUCT((P$3:P$135="")*(O$3:O$135="")*(N$3:N$135="")*(M$3:M$135="P")*(G$3:G$135=G127)*(J$3:J$135&lt;J127)*(H$3:H$135&lt;&gt;H127)),-1*SUMPRODUCT((P$3:P$135="")*(O$3:O$135="")*(N$3:N$135="")*(M$3:M$135="P")*(G$3:G$135=G127)*(J$3:J$135&gt;J127)*(H$3:H$135="L5")))+1,""))))</f>
        <v/>
      </c>
      <c r="C127" s="36" t="s">
        <v>308</v>
      </c>
      <c r="D127" s="36" t="str">
        <f>IF(E127="","",VLOOKUP(E127,'Coaching Points'!A:B,2,0))</f>
        <v>AB</v>
      </c>
      <c r="E127" s="36" t="s">
        <v>29</v>
      </c>
      <c r="F127" s="35">
        <v>2009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 t="shared" si="15"/>
        <v>126.450007927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 t="shared" si="16"/>
        <v/>
      </c>
      <c r="R127" s="4">
        <f t="shared" si="17"/>
        <v>81.39</v>
      </c>
      <c r="S127" s="4">
        <f>IF(G127="17-21",LARGE(CHOOSE({1,2,3,4,5,6},T127,V127,Y127,AA127,AC127,AF127),2),IF(R127=X127,MAX(Y127,AA127,AC127,AF127),IF(R127=AE127,MAX(AF127,T127,V127,Y127),0)))</f>
        <v>45.06</v>
      </c>
      <c r="T127" s="33">
        <v>37.880000000000003</v>
      </c>
      <c r="U127" s="40">
        <v>0</v>
      </c>
      <c r="V127" s="34">
        <v>43.51</v>
      </c>
      <c r="W127" s="40">
        <v>7.6</v>
      </c>
      <c r="X127" s="4">
        <f t="shared" si="18"/>
        <v>81.39</v>
      </c>
      <c r="Y127" s="34">
        <v>45.06</v>
      </c>
      <c r="Z127" s="40">
        <v>7.6</v>
      </c>
      <c r="AA127" s="33">
        <v>34.65</v>
      </c>
      <c r="AB127" s="40">
        <v>0</v>
      </c>
      <c r="AC127" s="34">
        <v>44.62</v>
      </c>
      <c r="AD127" s="40">
        <v>7.6</v>
      </c>
      <c r="AE127" s="4">
        <f t="shared" si="19"/>
        <v>79.27</v>
      </c>
      <c r="AF127" s="34">
        <v>44.2</v>
      </c>
      <c r="AG127" s="37">
        <v>7.6</v>
      </c>
    </row>
    <row r="128" spans="1:33" x14ac:dyDescent="0.2">
      <c r="A128" s="1" t="str" cm="1">
        <f t="array" ref="A128">IF(I128="","",IF(P128&lt;&gt;"",SUMPRODUCT((P$3:P$135&lt;&gt;"")*(G$3:G$135=G128)*(J$3:J$135&gt;J128)*(I$3:I$135="P"))+1,IF(O128&lt;&gt;"",SUMPRODUCT((O$3:O$135&lt;&gt;"")*(P$3:P$135="")*(G$3:G$135=G128)*(J$3:J$135&gt;J128)*(I$3:I$135="P"))+SUMPRODUCT((P$3:P$135&lt;&gt;"")*(G$3:G$135=G128)*(I$3:I$135="P"))+1,IF(N128&lt;&gt;"",SUMPRODUCT((N$3:N$135&lt;&gt;"")*(G$3:G$135=G128)*(J$3:J$135&gt;J128)*(I$3:I$135="P"))+1,IF(M128="P",SUMPRODUCT((O$3:O$135&lt;&gt;"")*(P$3:P$135="")*(G$3:G$135=G128)*(I$3:I$135="P"))+SUMPRODUCT((P$3:P$135&lt;&gt;"")*(G$3:G$135=G128)*(I$3:I$135="P"))+SUMPRODUCT((N$3:N$135&lt;&gt;"")*(G$3:G$135=G128)*(I$3:I$135="P"))+SUMPRODUCT((P$3:P$135="")*(O$3:O$135="")*(N$3:N$135="")*(M$3:M$135="P")*(G$3:G$135=G128)*(J$3:J$135&gt;J128)*(I$3:I$135="P"))+IF(H128="L5",SUMPRODUCT((P$3:P$135="")*(O$3:O$135="")*(N$3:N$135="")*(M$3:M$135="P")*(G$3:G$135=G128)*(J$3:J$135&lt;J128)*(H$3:H$135&lt;&gt;H128)*(I$3:I$135="P")),-1*SUMPRODUCT((P$3:P$135="")*(O$3:O$135="")*(N$3:N$135="")*(M$3:M$135="P")*(G$3:G$135=G128)*(J$3:J$135&gt;J128)*(H$3:H$135="L5")*(I$3:I$135="P")))+1,"")))))</f>
        <v/>
      </c>
      <c r="B128" s="1" t="str" cm="1">
        <f t="array" ref="B128">IF(P128&lt;&gt;"",SUMPRODUCT((P$3:P$135&lt;&gt;"")*(G$3:G$135=G128)*(J$3:J$135&gt;J128))+1,IF(O128&lt;&gt;"",SUMPRODUCT((O$3:O$135&lt;&gt;"")*(P$3:P$135="")*(G$3:G$135=G128)*(J$3:J$135&gt;J128))+SUMPRODUCT((P$3:P$135&lt;&gt;"")*(G$3:G$135=G128))+1,IF(N128&lt;&gt;"",SUMPRODUCT((N$3:N$135&lt;&gt;"")*(G$3:G$135=G128)*(J$3:J$135&gt;J128))+1,IF(M128="P",SUMPRODUCT((O$3:O$135&lt;&gt;"")*(P$3:P$135="")*(G$3:G$135=G128))+SUMPRODUCT((P$3:P$135&lt;&gt;"")*(G$3:G$135=G128))+SUMPRODUCT((N$3:N$135&lt;&gt;"")*(G$3:G$135=G128))+SUMPRODUCT((P$3:P$135="")*(O$3:O$135="")*(N$3:N$135="")*(M$3:M$135="P")*(G$3:G$135=G128)*(J$3:J$135&gt;J128))+IF(H128="L5",SUMPRODUCT((P$3:P$135="")*(O$3:O$135="")*(N$3:N$135="")*(M$3:M$135="P")*(G$3:G$135=G128)*(J$3:J$135&lt;J128)*(H$3:H$135&lt;&gt;H128)),-1*SUMPRODUCT((P$3:P$135="")*(O$3:O$135="")*(N$3:N$135="")*(M$3:M$135="P")*(G$3:G$135=G128)*(J$3:J$135&gt;J128)*(H$3:H$135="L5")))+1,""))))</f>
        <v/>
      </c>
      <c r="C128" s="36" t="s">
        <v>484</v>
      </c>
      <c r="D128" s="36" t="str">
        <f>IF(E128="","",VLOOKUP(E128,'Coaching Points'!A:B,2,0))</f>
        <v>NL</v>
      </c>
      <c r="E128" s="36" t="s">
        <v>421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 t="shared" si="15"/>
        <v>125.91000814900001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 t="shared" si="16"/>
        <v/>
      </c>
      <c r="R128" s="4">
        <f t="shared" si="17"/>
        <v>81.490000000000009</v>
      </c>
      <c r="S128" s="4">
        <f>IF(G128="17-21",LARGE(CHOOSE({1,2,3,4,5,6},T128,V128,Y128,AA128,AC128,AF128),2),IF(R128=X128,MAX(Y128,AA128,AC128,AF128),IF(R128=AE128,MAX(AF128,T128,V128,Y128),0)))</f>
        <v>44.42</v>
      </c>
      <c r="T128" s="33"/>
      <c r="U128" s="40"/>
      <c r="V128" s="34"/>
      <c r="W128" s="40"/>
      <c r="X128" s="4">
        <f t="shared" si="18"/>
        <v>0</v>
      </c>
      <c r="Y128" s="34"/>
      <c r="Z128" s="40"/>
      <c r="AA128" s="33">
        <v>38.67</v>
      </c>
      <c r="AB128" s="40">
        <v>0</v>
      </c>
      <c r="AC128" s="34">
        <v>42.82</v>
      </c>
      <c r="AD128" s="40">
        <v>7.2</v>
      </c>
      <c r="AE128" s="4">
        <f t="shared" si="19"/>
        <v>81.490000000000009</v>
      </c>
      <c r="AF128" s="34">
        <v>44.42</v>
      </c>
      <c r="AG128" s="37">
        <v>7.8</v>
      </c>
    </row>
    <row r="129" spans="1:33" x14ac:dyDescent="0.2">
      <c r="A129" s="1" t="str" cm="1">
        <f t="array" ref="A129">IF(I129="","",IF(P129&lt;&gt;"",SUMPRODUCT((P$3:P$135&lt;&gt;"")*(G$3:G$135=G129)*(J$3:J$135&gt;J129)*(I$3:I$135="P"))+1,IF(O129&lt;&gt;"",SUMPRODUCT((O$3:O$135&lt;&gt;"")*(P$3:P$135="")*(G$3:G$135=G129)*(J$3:J$135&gt;J129)*(I$3:I$135="P"))+SUMPRODUCT((P$3:P$135&lt;&gt;"")*(G$3:G$135=G129)*(I$3:I$135="P"))+1,IF(N129&lt;&gt;"",SUMPRODUCT((N$3:N$135&lt;&gt;"")*(G$3:G$135=G129)*(J$3:J$135&gt;J129)*(I$3:I$135="P"))+1,IF(M129="P",SUMPRODUCT((O$3:O$135&lt;&gt;"")*(P$3:P$135="")*(G$3:G$135=G129)*(I$3:I$135="P"))+SUMPRODUCT((P$3:P$135&lt;&gt;"")*(G$3:G$135=G129)*(I$3:I$135="P"))+SUMPRODUCT((N$3:N$135&lt;&gt;"")*(G$3:G$135=G129)*(I$3:I$135="P"))+SUMPRODUCT((P$3:P$135="")*(O$3:O$135="")*(N$3:N$135="")*(M$3:M$135="P")*(G$3:G$135=G129)*(J$3:J$135&gt;J129)*(I$3:I$135="P"))+IF(H129="L5",SUMPRODUCT((P$3:P$135="")*(O$3:O$135="")*(N$3:N$135="")*(M$3:M$135="P")*(G$3:G$135=G129)*(J$3:J$135&lt;J129)*(H$3:H$135&lt;&gt;H129)*(I$3:I$135="P")),-1*SUMPRODUCT((P$3:P$135="")*(O$3:O$135="")*(N$3:N$135="")*(M$3:M$135="P")*(G$3:G$135=G129)*(J$3:J$135&gt;J129)*(H$3:H$135="L5")*(I$3:I$135="P")))+1,"")))))</f>
        <v/>
      </c>
      <c r="B129" s="1" t="str" cm="1">
        <f t="array" ref="B129">IF(P129&lt;&gt;"",SUMPRODUCT((P$3:P$135&lt;&gt;"")*(G$3:G$135=G129)*(J$3:J$135&gt;J129))+1,IF(O129&lt;&gt;"",SUMPRODUCT((O$3:O$135&lt;&gt;"")*(P$3:P$135="")*(G$3:G$135=G129)*(J$3:J$135&gt;J129))+SUMPRODUCT((P$3:P$135&lt;&gt;"")*(G$3:G$135=G129))+1,IF(N129&lt;&gt;"",SUMPRODUCT((N$3:N$135&lt;&gt;"")*(G$3:G$135=G129)*(J$3:J$135&gt;J129))+1,IF(M129="P",SUMPRODUCT((O$3:O$135&lt;&gt;"")*(P$3:P$135="")*(G$3:G$135=G129))+SUMPRODUCT((P$3:P$135&lt;&gt;"")*(G$3:G$135=G129))+SUMPRODUCT((N$3:N$135&lt;&gt;"")*(G$3:G$135=G129))+SUMPRODUCT((P$3:P$135="")*(O$3:O$135="")*(N$3:N$135="")*(M$3:M$135="P")*(G$3:G$135=G129)*(J$3:J$135&gt;J129))+IF(H129="L5",SUMPRODUCT((P$3:P$135="")*(O$3:O$135="")*(N$3:N$135="")*(M$3:M$135="P")*(G$3:G$135=G129)*(J$3:J$135&lt;J129)*(H$3:H$135&lt;&gt;H129)),-1*SUMPRODUCT((P$3:P$135="")*(O$3:O$135="")*(N$3:N$135="")*(M$3:M$135="P")*(G$3:G$135=G129)*(J$3:J$135&gt;J129)*(H$3:H$135="L5")))+1,""))))</f>
        <v/>
      </c>
      <c r="C129" s="36" t="s">
        <v>485</v>
      </c>
      <c r="D129" s="36" t="str">
        <f>IF(E129="","",VLOOKUP(E129,'Coaching Points'!A:B,2,0))</f>
        <v>BC</v>
      </c>
      <c r="E129" s="36" t="s">
        <v>37</v>
      </c>
      <c r="F129" s="35">
        <v>2010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/>
      <c r="J129" s="4">
        <f t="shared" si="15"/>
        <v>125.82000810800002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 t="shared" si="16"/>
        <v/>
      </c>
      <c r="R129" s="4">
        <f t="shared" si="17"/>
        <v>81.080000000000013</v>
      </c>
      <c r="S129" s="4">
        <f>IF(G129="17-21",LARGE(CHOOSE({1,2,3,4,5,6},T129,V129,Y129,AA129,AC129,AF129),2),IF(R129=X129,MAX(Y129,AA129,AC129,AF129),IF(R129=AE129,MAX(AF129,T129,V129,Y129),0)))</f>
        <v>44.74</v>
      </c>
      <c r="T129" s="33"/>
      <c r="U129" s="40"/>
      <c r="V129" s="34"/>
      <c r="W129" s="40"/>
      <c r="X129" s="4">
        <f t="shared" si="18"/>
        <v>0</v>
      </c>
      <c r="Y129" s="34"/>
      <c r="Z129" s="40"/>
      <c r="AA129" s="33">
        <v>37.74</v>
      </c>
      <c r="AB129" s="40">
        <v>0</v>
      </c>
      <c r="AC129" s="34">
        <v>43.34</v>
      </c>
      <c r="AD129" s="40">
        <v>7.1</v>
      </c>
      <c r="AE129" s="4">
        <f t="shared" si="19"/>
        <v>81.080000000000013</v>
      </c>
      <c r="AF129" s="34">
        <v>44.74</v>
      </c>
      <c r="AG129" s="37">
        <v>7.1</v>
      </c>
    </row>
    <row r="130" spans="1:33" x14ac:dyDescent="0.2">
      <c r="A130" s="1" t="str" cm="1">
        <f t="array" ref="A130">IF(I130="","",IF(P130&lt;&gt;"",SUMPRODUCT((P$3:P$135&lt;&gt;"")*(G$3:G$135=G130)*(J$3:J$135&gt;J130)*(I$3:I$135="P"))+1,IF(O130&lt;&gt;"",SUMPRODUCT((O$3:O$135&lt;&gt;"")*(P$3:P$135="")*(G$3:G$135=G130)*(J$3:J$135&gt;J130)*(I$3:I$135="P"))+SUMPRODUCT((P$3:P$135&lt;&gt;"")*(G$3:G$135=G130)*(I$3:I$135="P"))+1,IF(N130&lt;&gt;"",SUMPRODUCT((N$3:N$135&lt;&gt;"")*(G$3:G$135=G130)*(J$3:J$135&gt;J130)*(I$3:I$135="P"))+1,IF(M130="P",SUMPRODUCT((O$3:O$135&lt;&gt;"")*(P$3:P$135="")*(G$3:G$135=G130)*(I$3:I$135="P"))+SUMPRODUCT((P$3:P$135&lt;&gt;"")*(G$3:G$135=G130)*(I$3:I$135="P"))+SUMPRODUCT((N$3:N$135&lt;&gt;"")*(G$3:G$135=G130)*(I$3:I$135="P"))+SUMPRODUCT((P$3:P$135="")*(O$3:O$135="")*(N$3:N$135="")*(M$3:M$135="P")*(G$3:G$135=G130)*(J$3:J$135&gt;J130)*(I$3:I$135="P"))+IF(H130="L5",SUMPRODUCT((P$3:P$135="")*(O$3:O$135="")*(N$3:N$135="")*(M$3:M$135="P")*(G$3:G$135=G130)*(J$3:J$135&lt;J130)*(H$3:H$135&lt;&gt;H130)*(I$3:I$135="P")),-1*SUMPRODUCT((P$3:P$135="")*(O$3:O$135="")*(N$3:N$135="")*(M$3:M$135="P")*(G$3:G$135=G130)*(J$3:J$135&gt;J130)*(H$3:H$135="L5")*(I$3:I$135="P")))+1,"")))))</f>
        <v/>
      </c>
      <c r="B130" s="1" t="str" cm="1">
        <f t="array" ref="B130">IF(P130&lt;&gt;"",SUMPRODUCT((P$3:P$135&lt;&gt;"")*(G$3:G$135=G130)*(J$3:J$135&gt;J130))+1,IF(O130&lt;&gt;"",SUMPRODUCT((O$3:O$135&lt;&gt;"")*(P$3:P$135="")*(G$3:G$135=G130)*(J$3:J$135&gt;J130))+SUMPRODUCT((P$3:P$135&lt;&gt;"")*(G$3:G$135=G130))+1,IF(N130&lt;&gt;"",SUMPRODUCT((N$3:N$135&lt;&gt;"")*(G$3:G$135=G130)*(J$3:J$135&gt;J130))+1,IF(M130="P",SUMPRODUCT((O$3:O$135&lt;&gt;"")*(P$3:P$135="")*(G$3:G$135=G130))+SUMPRODUCT((P$3:P$135&lt;&gt;"")*(G$3:G$135=G130))+SUMPRODUCT((N$3:N$135&lt;&gt;"")*(G$3:G$135=G130))+SUMPRODUCT((P$3:P$135="")*(O$3:O$135="")*(N$3:N$135="")*(M$3:M$135="P")*(G$3:G$135=G130)*(J$3:J$135&gt;J130))+IF(H130="L5",SUMPRODUCT((P$3:P$135="")*(O$3:O$135="")*(N$3:N$135="")*(M$3:M$135="P")*(G$3:G$135=G130)*(J$3:J$135&lt;J130)*(H$3:H$135&lt;&gt;H130)),-1*SUMPRODUCT((P$3:P$135="")*(O$3:O$135="")*(N$3:N$135="")*(M$3:M$135="P")*(G$3:G$135=G130)*(J$3:J$135&gt;J130)*(H$3:H$135="L5")))+1,""))))</f>
        <v/>
      </c>
      <c r="C130" s="36" t="s">
        <v>310</v>
      </c>
      <c r="D130" s="36" t="str">
        <f>IF(E130="","",VLOOKUP(E130,'Coaching Points'!A:B,2,0))</f>
        <v>AB</v>
      </c>
      <c r="E130" s="36" t="s">
        <v>40</v>
      </c>
      <c r="F130" s="35">
        <v>2009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 t="shared" si="15"/>
        <v>125.480007972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 t="shared" si="16"/>
        <v/>
      </c>
      <c r="R130" s="4">
        <f t="shared" si="17"/>
        <v>79.72</v>
      </c>
      <c r="S130" s="4">
        <f>IF(G130="17-21",LARGE(CHOOSE({1,2,3,4,5,6},T130,V130,Y130,AA130,AC130,AF130),2),IF(R130=X130,MAX(Y130,AA130,AC130,AF130),IF(R130=AE130,MAX(AF130,T130,V130,Y130),0)))</f>
        <v>45.76</v>
      </c>
      <c r="T130" s="33">
        <v>11.62</v>
      </c>
      <c r="U130" s="40">
        <v>0</v>
      </c>
      <c r="V130" s="34">
        <v>45.76</v>
      </c>
      <c r="W130" s="40">
        <v>8.1</v>
      </c>
      <c r="X130" s="4">
        <f t="shared" si="18"/>
        <v>57.379999999999995</v>
      </c>
      <c r="Y130" s="34">
        <v>40.82</v>
      </c>
      <c r="Z130" s="40">
        <v>7.4</v>
      </c>
      <c r="AA130" s="33">
        <v>36.159999999999997</v>
      </c>
      <c r="AB130" s="40">
        <v>0</v>
      </c>
      <c r="AC130" s="34">
        <v>43.56</v>
      </c>
      <c r="AD130" s="40">
        <v>8.8000000000000007</v>
      </c>
      <c r="AE130" s="4">
        <f t="shared" si="19"/>
        <v>79.72</v>
      </c>
      <c r="AF130" s="34">
        <v>44.02</v>
      </c>
      <c r="AG130" s="37">
        <v>8.8000000000000007</v>
      </c>
    </row>
    <row r="131" spans="1:33" x14ac:dyDescent="0.2">
      <c r="A131" s="1" t="str" cm="1">
        <f t="array" ref="A131">IF(I131="","",IF(P131&lt;&gt;"",SUMPRODUCT((P$3:P$135&lt;&gt;"")*(G$3:G$135=G131)*(J$3:J$135&gt;J131)*(I$3:I$135="P"))+1,IF(O131&lt;&gt;"",SUMPRODUCT((O$3:O$135&lt;&gt;"")*(P$3:P$135="")*(G$3:G$135=G131)*(J$3:J$135&gt;J131)*(I$3:I$135="P"))+SUMPRODUCT((P$3:P$135&lt;&gt;"")*(G$3:G$135=G131)*(I$3:I$135="P"))+1,IF(N131&lt;&gt;"",SUMPRODUCT((N$3:N$135&lt;&gt;"")*(G$3:G$135=G131)*(J$3:J$135&gt;J131)*(I$3:I$135="P"))+1,IF(M131="P",SUMPRODUCT((O$3:O$135&lt;&gt;"")*(P$3:P$135="")*(G$3:G$135=G131)*(I$3:I$135="P"))+SUMPRODUCT((P$3:P$135&lt;&gt;"")*(G$3:G$135=G131)*(I$3:I$135="P"))+SUMPRODUCT((N$3:N$135&lt;&gt;"")*(G$3:G$135=G131)*(I$3:I$135="P"))+SUMPRODUCT((P$3:P$135="")*(O$3:O$135="")*(N$3:N$135="")*(M$3:M$135="P")*(G$3:G$135=G131)*(J$3:J$135&gt;J131)*(I$3:I$135="P"))+IF(H131="L5",SUMPRODUCT((P$3:P$135="")*(O$3:O$135="")*(N$3:N$135="")*(M$3:M$135="P")*(G$3:G$135=G131)*(J$3:J$135&lt;J131)*(H$3:H$135&lt;&gt;H131)*(I$3:I$135="P")),-1*SUMPRODUCT((P$3:P$135="")*(O$3:O$135="")*(N$3:N$135="")*(M$3:M$135="P")*(G$3:G$135=G131)*(J$3:J$135&gt;J131)*(H$3:H$135="L5")*(I$3:I$135="P")))+1,"")))))</f>
        <v/>
      </c>
      <c r="B131" s="1" t="str" cm="1">
        <f t="array" ref="B131">IF(P131&lt;&gt;"",SUMPRODUCT((P$3:P$135&lt;&gt;"")*(G$3:G$135=G131)*(J$3:J$135&gt;J131))+1,IF(O131&lt;&gt;"",SUMPRODUCT((O$3:O$135&lt;&gt;"")*(P$3:P$135="")*(G$3:G$135=G131)*(J$3:J$135&gt;J131))+SUMPRODUCT((P$3:P$135&lt;&gt;"")*(G$3:G$135=G131))+1,IF(N131&lt;&gt;"",SUMPRODUCT((N$3:N$135&lt;&gt;"")*(G$3:G$135=G131)*(J$3:J$135&gt;J131))+1,IF(M131="P",SUMPRODUCT((O$3:O$135&lt;&gt;"")*(P$3:P$135="")*(G$3:G$135=G131))+SUMPRODUCT((P$3:P$135&lt;&gt;"")*(G$3:G$135=G131))+SUMPRODUCT((N$3:N$135&lt;&gt;"")*(G$3:G$135=G131))+SUMPRODUCT((P$3:P$135="")*(O$3:O$135="")*(N$3:N$135="")*(M$3:M$135="P")*(G$3:G$135=G131)*(J$3:J$135&gt;J131))+IF(H131="L5",SUMPRODUCT((P$3:P$135="")*(O$3:O$135="")*(N$3:N$135="")*(M$3:M$135="P")*(G$3:G$135=G131)*(J$3:J$135&lt;J131)*(H$3:H$135&lt;&gt;H131)),-1*SUMPRODUCT((P$3:P$135="")*(O$3:O$135="")*(N$3:N$135="")*(M$3:M$135="P")*(G$3:G$135=G131)*(J$3:J$135&gt;J131)*(H$3:H$135="L5")))+1,""))))</f>
        <v/>
      </c>
      <c r="C131" s="36" t="s">
        <v>358</v>
      </c>
      <c r="D131" s="36" t="str">
        <f>IF(E131="","",VLOOKUP(E131,'Coaching Points'!A:B,2,0))</f>
        <v>AB</v>
      </c>
      <c r="E131" s="36" t="s">
        <v>29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/>
      <c r="J131" s="4">
        <f t="shared" si="15"/>
        <v>123.49000792599998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/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 t="shared" si="16"/>
        <v/>
      </c>
      <c r="R131" s="4">
        <f t="shared" si="17"/>
        <v>79.259999999999991</v>
      </c>
      <c r="S131" s="4">
        <f>IF(G131="17-21",LARGE(CHOOSE({1,2,3,4,5,6},T131,V131,Y131,AA131,AC131,AF131),2),IF(R131=X131,MAX(Y131,AA131,AC131,AF131),IF(R131=AE131,MAX(AF131,T131,V131,Y131),0)))</f>
        <v>44.23</v>
      </c>
      <c r="T131" s="33"/>
      <c r="U131" s="40"/>
      <c r="V131" s="34"/>
      <c r="W131" s="40"/>
      <c r="X131" s="4">
        <f t="shared" si="18"/>
        <v>0</v>
      </c>
      <c r="Y131" s="34"/>
      <c r="Z131" s="40"/>
      <c r="AA131" s="33">
        <v>38.26</v>
      </c>
      <c r="AB131" s="40">
        <v>0</v>
      </c>
      <c r="AC131" s="34">
        <v>41</v>
      </c>
      <c r="AD131" s="40">
        <v>7.3</v>
      </c>
      <c r="AE131" s="4">
        <f t="shared" si="19"/>
        <v>79.259999999999991</v>
      </c>
      <c r="AF131" s="34">
        <v>44.23</v>
      </c>
      <c r="AG131" s="37">
        <v>7.3</v>
      </c>
    </row>
    <row r="132" spans="1:33" x14ac:dyDescent="0.2">
      <c r="A132" s="1" t="str" cm="1">
        <f t="array" ref="A132">IF(I132="","",IF(P132&lt;&gt;"",SUMPRODUCT((P$3:P$135&lt;&gt;"")*(G$3:G$135=G132)*(J$3:J$135&gt;J132)*(I$3:I$135="P"))+1,IF(O132&lt;&gt;"",SUMPRODUCT((O$3:O$135&lt;&gt;"")*(P$3:P$135="")*(G$3:G$135=G132)*(J$3:J$135&gt;J132)*(I$3:I$135="P"))+SUMPRODUCT((P$3:P$135&lt;&gt;"")*(G$3:G$135=G132)*(I$3:I$135="P"))+1,IF(N132&lt;&gt;"",SUMPRODUCT((N$3:N$135&lt;&gt;"")*(G$3:G$135=G132)*(J$3:J$135&gt;J132)*(I$3:I$135="P"))+1,IF(M132="P",SUMPRODUCT((O$3:O$135&lt;&gt;"")*(P$3:P$135="")*(G$3:G$135=G132)*(I$3:I$135="P"))+SUMPRODUCT((P$3:P$135&lt;&gt;"")*(G$3:G$135=G132)*(I$3:I$135="P"))+SUMPRODUCT((N$3:N$135&lt;&gt;"")*(G$3:G$135=G132)*(I$3:I$135="P"))+SUMPRODUCT((P$3:P$135="")*(O$3:O$135="")*(N$3:N$135="")*(M$3:M$135="P")*(G$3:G$135=G132)*(J$3:J$135&gt;J132)*(I$3:I$135="P"))+IF(H132="L5",SUMPRODUCT((P$3:P$135="")*(O$3:O$135="")*(N$3:N$135="")*(M$3:M$135="P")*(G$3:G$135=G132)*(J$3:J$135&lt;J132)*(H$3:H$135&lt;&gt;H132)*(I$3:I$135="P")),-1*SUMPRODUCT((P$3:P$135="")*(O$3:O$135="")*(N$3:N$135="")*(M$3:M$135="P")*(G$3:G$135=G132)*(J$3:J$135&gt;J132)*(H$3:H$135="L5")*(I$3:I$135="P")))+1,"")))))</f>
        <v/>
      </c>
      <c r="B132" s="1" t="str" cm="1">
        <f t="array" ref="B132">IF(P132&lt;&gt;"",SUMPRODUCT((P$3:P$135&lt;&gt;"")*(G$3:G$135=G132)*(J$3:J$135&gt;J132))+1,IF(O132&lt;&gt;"",SUMPRODUCT((O$3:O$135&lt;&gt;"")*(P$3:P$135="")*(G$3:G$135=G132)*(J$3:J$135&gt;J132))+SUMPRODUCT((P$3:P$135&lt;&gt;"")*(G$3:G$135=G132))+1,IF(N132&lt;&gt;"",SUMPRODUCT((N$3:N$135&lt;&gt;"")*(G$3:G$135=G132)*(J$3:J$135&gt;J132))+1,IF(M132="P",SUMPRODUCT((O$3:O$135&lt;&gt;"")*(P$3:P$135="")*(G$3:G$135=G132))+SUMPRODUCT((P$3:P$135&lt;&gt;"")*(G$3:G$135=G132))+SUMPRODUCT((N$3:N$135&lt;&gt;"")*(G$3:G$135=G132))+SUMPRODUCT((P$3:P$135="")*(O$3:O$135="")*(N$3:N$135="")*(M$3:M$135="P")*(G$3:G$135=G132)*(J$3:J$135&gt;J132))+IF(H132="L5",SUMPRODUCT((P$3:P$135="")*(O$3:O$135="")*(N$3:N$135="")*(M$3:M$135="P")*(G$3:G$135=G132)*(J$3:J$135&lt;J132)*(H$3:H$135&lt;&gt;H132)),-1*SUMPRODUCT((P$3:P$135="")*(O$3:O$135="")*(N$3:N$135="")*(M$3:M$135="P")*(G$3:G$135=G132)*(J$3:J$135&gt;J132)*(H$3:H$135="L5")))+1,""))))</f>
        <v/>
      </c>
      <c r="C132" s="36" t="s">
        <v>309</v>
      </c>
      <c r="D132" s="36" t="str">
        <f>IF(E132="","",VLOOKUP(E132,'Coaching Points'!A:B,2,0))</f>
        <v>AB</v>
      </c>
      <c r="E132" s="36" t="s">
        <v>40</v>
      </c>
      <c r="F132" s="35">
        <v>2010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 t="shared" si="15"/>
        <v>123.060007275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 t="shared" si="16"/>
        <v/>
      </c>
      <c r="R132" s="4">
        <f t="shared" si="17"/>
        <v>78.16</v>
      </c>
      <c r="S132" s="4">
        <f>IF(G132="17-21",LARGE(CHOOSE({1,2,3,4,5,6},T132,V132,Y132,AA132,AC132,AF132),2),IF(R132=X132,MAX(Y132,AA132,AC132,AF132),IF(R132=AE132,MAX(AF132,T132,V132,Y132),0)))</f>
        <v>44.9</v>
      </c>
      <c r="T132" s="33">
        <v>35.479999999999997</v>
      </c>
      <c r="U132" s="40">
        <v>0</v>
      </c>
      <c r="V132" s="34">
        <v>42.68</v>
      </c>
      <c r="W132" s="40">
        <v>8.1</v>
      </c>
      <c r="X132" s="4">
        <f t="shared" si="18"/>
        <v>78.16</v>
      </c>
      <c r="Y132" s="34">
        <v>43.02</v>
      </c>
      <c r="Z132" s="40">
        <v>8.1</v>
      </c>
      <c r="AA132" s="33">
        <v>29.44</v>
      </c>
      <c r="AB132" s="40">
        <v>0</v>
      </c>
      <c r="AC132" s="34">
        <v>43.31</v>
      </c>
      <c r="AD132" s="40">
        <v>8.9</v>
      </c>
      <c r="AE132" s="4">
        <f t="shared" si="19"/>
        <v>72.75</v>
      </c>
      <c r="AF132" s="34">
        <v>44.9</v>
      </c>
      <c r="AG132" s="37">
        <v>8.9</v>
      </c>
    </row>
    <row r="133" spans="1:33" x14ac:dyDescent="0.2">
      <c r="A133" s="1" t="str" cm="1">
        <f t="array" ref="A133">IF(I133="","",IF(P133&lt;&gt;"",SUMPRODUCT((P$3:P$135&lt;&gt;"")*(G$3:G$135=G133)*(J$3:J$135&gt;J133)*(I$3:I$135="P"))+1,IF(O133&lt;&gt;"",SUMPRODUCT((O$3:O$135&lt;&gt;"")*(P$3:P$135="")*(G$3:G$135=G133)*(J$3:J$135&gt;J133)*(I$3:I$135="P"))+SUMPRODUCT((P$3:P$135&lt;&gt;"")*(G$3:G$135=G133)*(I$3:I$135="P"))+1,IF(N133&lt;&gt;"",SUMPRODUCT((N$3:N$135&lt;&gt;"")*(G$3:G$135=G133)*(J$3:J$135&gt;J133)*(I$3:I$135="P"))+1,IF(M133="P",SUMPRODUCT((O$3:O$135&lt;&gt;"")*(P$3:P$135="")*(G$3:G$135=G133)*(I$3:I$135="P"))+SUMPRODUCT((P$3:P$135&lt;&gt;"")*(G$3:G$135=G133)*(I$3:I$135="P"))+SUMPRODUCT((N$3:N$135&lt;&gt;"")*(G$3:G$135=G133)*(I$3:I$135="P"))+SUMPRODUCT((P$3:P$135="")*(O$3:O$135="")*(N$3:N$135="")*(M$3:M$135="P")*(G$3:G$135=G133)*(J$3:J$135&gt;J133)*(I$3:I$135="P"))+IF(H133="L5",SUMPRODUCT((P$3:P$135="")*(O$3:O$135="")*(N$3:N$135="")*(M$3:M$135="P")*(G$3:G$135=G133)*(J$3:J$135&lt;J133)*(H$3:H$135&lt;&gt;H133)*(I$3:I$135="P")),-1*SUMPRODUCT((P$3:P$135="")*(O$3:O$135="")*(N$3:N$135="")*(M$3:M$135="P")*(G$3:G$135=G133)*(J$3:J$135&gt;J133)*(H$3:H$135="L5")*(I$3:I$135="P")))+1,"")))))</f>
        <v/>
      </c>
      <c r="B133" s="1" t="str" cm="1">
        <f t="array" ref="B133">IF(P133&lt;&gt;"",SUMPRODUCT((P$3:P$135&lt;&gt;"")*(G$3:G$135=G133)*(J$3:J$135&gt;J133))+1,IF(O133&lt;&gt;"",SUMPRODUCT((O$3:O$135&lt;&gt;"")*(P$3:P$135="")*(G$3:G$135=G133)*(J$3:J$135&gt;J133))+SUMPRODUCT((P$3:P$135&lt;&gt;"")*(G$3:G$135=G133))+1,IF(N133&lt;&gt;"",SUMPRODUCT((N$3:N$135&lt;&gt;"")*(G$3:G$135=G133)*(J$3:J$135&gt;J133))+1,IF(M133="P",SUMPRODUCT((O$3:O$135&lt;&gt;"")*(P$3:P$135="")*(G$3:G$135=G133))+SUMPRODUCT((P$3:P$135&lt;&gt;"")*(G$3:G$135=G133))+SUMPRODUCT((N$3:N$135&lt;&gt;"")*(G$3:G$135=G133))+SUMPRODUCT((P$3:P$135="")*(O$3:O$135="")*(N$3:N$135="")*(M$3:M$135="P")*(G$3:G$135=G133)*(J$3:J$135&gt;J133))+IF(H133="L5",SUMPRODUCT((P$3:P$135="")*(O$3:O$135="")*(N$3:N$135="")*(M$3:M$135="P")*(G$3:G$135=G133)*(J$3:J$135&lt;J133)*(H$3:H$135&lt;&gt;H133)),-1*SUMPRODUCT((P$3:P$135="")*(O$3:O$135="")*(N$3:N$135="")*(M$3:M$135="P")*(G$3:G$135=G133)*(J$3:J$135&gt;J133)*(H$3:H$135="L5")))+1,""))))</f>
        <v/>
      </c>
      <c r="C133" s="36" t="s">
        <v>237</v>
      </c>
      <c r="D133" s="36" t="str">
        <f>IF(E133="","",VLOOKUP(E133,'Coaching Points'!A:B,2,0))</f>
        <v>BC</v>
      </c>
      <c r="E133" s="36" t="s">
        <v>41</v>
      </c>
      <c r="F133" s="35">
        <v>2009</v>
      </c>
      <c r="G133" s="1" t="str">
        <f>IF(OR('Qualifying Scores'!$B$1-F133&gt;21,'Qualifying Scores'!$B$1-F133&lt;11),"Not Age Eligible",IF('Qualifying Scores'!$B$1-F133&gt;16,"17-21",IF('Qualifying Scores'!$B$1-F133&gt;14,"15-16",IF('Qualifying Scores'!$B$1-F133&gt;12,"13-14",IF('Qualifying Scores'!$B$1-F133&gt;10,"11-12","Not Age Eligible")))))</f>
        <v>13-14</v>
      </c>
      <c r="H133" s="39" t="s">
        <v>66</v>
      </c>
      <c r="I133" s="43"/>
      <c r="J133" s="4">
        <f t="shared" si="15"/>
        <v>119.09000570400001</v>
      </c>
      <c r="K133" s="3" t="str">
        <f>IF(G133="Not Age Eligible","",IF(G133="17-21",IF(MAX(T133,V133,Y133,AA133,AC133,AF133)&gt;=LOOKUP(G133,'Qualifying Scores'!$A$4:$A$7,'Qualifying Scores'!$C$4:$C$7),"P",""),IF(MAX(X133-U133,AE133-AB133)&gt;=LOOKUP(G133,'Qualifying Scores'!$A$4:$A$7,'Qualifying Scores'!$C$4:$C$7),"P","")))</f>
        <v/>
      </c>
      <c r="L133" s="3" t="str">
        <f>IF(G133="Not Age Eligible","",IF(G133="17-21",IF(MAX(U133,W133,Z133,AB133,AD133,AG133)&gt;=LOOKUP(G133,'Qualifying Scores'!$A$10:$A$13,'Qualifying Scores'!$C$10:$C$13),"P",""),IF(MAX(W133,AD133)&gt;=LOOKUP(G133,'Qualifying Scores'!$A$10:$A$13,'Qualifying Scores'!$C$10:$C$13),"P","")))</f>
        <v>P</v>
      </c>
      <c r="M133" s="3" t="str">
        <f>IF(G133="Not Age Eligible","",IF(G133="17-21",IF(OR(AND(T133&gt;=LOOKUP(G133,'Qualifying Scores'!$A$4:$A$7,'Qualifying Scores'!$C$4:$C$7),U133&gt;=LOOKUP(G133,'Qualifying Scores'!$A$10:$A$13,'Qualifying Scores'!$C$10:$C$13)),AND(V133&gt;=LOOKUP(G133,'Qualifying Scores'!$A$4:$A$7,'Qualifying Scores'!$C$4:$C$7),W133&gt;=LOOKUP(G133,'Qualifying Scores'!$A$10:$A$13,'Qualifying Scores'!$C$10:$C$13)),AND(Y133&gt;=LOOKUP(G133,'Qualifying Scores'!$A$4:$A$7,'Qualifying Scores'!$C$4:$C$7),Z133&gt;=LOOKUP(G133,'Qualifying Scores'!$A$10:$A$13,'Qualifying Scores'!$C$10:$C$13)),AND(AA133&gt;=LOOKUP(G133,'Qualifying Scores'!$A$4:$A$7,'Qualifying Scores'!$C$4:$C$7),AB133&gt;=LOOKUP(G133,'Qualifying Scores'!$A$10:$A$13,'Qualifying Scores'!$C$10:$C$13)),AND(AC133&gt;=LOOKUP(G133,'Qualifying Scores'!$A$4:$A$7,'Qualifying Scores'!$C$4:$C$7),AD133&gt;=LOOKUP(G133,'Qualifying Scores'!$A$10:$A$13,'Qualifying Scores'!$C$10:$C$13)),AND(AF133&gt;=LOOKUP(G133,'Qualifying Scores'!$A$4:$A$7,'Qualifying Scores'!$C$4:$C$7),AG133&gt;=LOOKUP(G133,'Qualifying Scores'!$A$10:$A$13,'Qualifying Scores'!$C$10:$C$13))),"P",""),IF(OR(AND(X133-U133&gt;=LOOKUP(G133,'Qualifying Scores'!$A$4:$A$7,'Qualifying Scores'!$C$4:$C$7),W133&gt;=LOOKUP(G133,'Qualifying Scores'!$A$10:$A$13,'Qualifying Scores'!$C$10:$C$13)),AND(AE133-AB133&gt;=LOOKUP(G133,'Qualifying Scores'!$A$4:$A$7,'Qualifying Scores'!$C$4:$C$7),AD133&gt;=LOOKUP(G133,'Qualifying Scores'!$A$10:$A$13,'Qualifying Scores'!$C$10:$C$13))),"P","")))</f>
        <v/>
      </c>
      <c r="Q133" s="1" t="str">
        <f t="shared" si="16"/>
        <v/>
      </c>
      <c r="R133" s="4">
        <f t="shared" si="17"/>
        <v>74.960000000000008</v>
      </c>
      <c r="S133" s="4">
        <f>IF(G133="17-21",LARGE(CHOOSE({1,2,3,4,5,6},T133,V133,Y133,AA133,AC133,AF133),2),IF(R133=X133,MAX(Y133,AA133,AC133,AF133),IF(R133=AE133,MAX(AF133,T133,V133,Y133),0)))</f>
        <v>44.13</v>
      </c>
      <c r="T133" s="33">
        <v>30.42</v>
      </c>
      <c r="U133" s="40">
        <v>0</v>
      </c>
      <c r="V133" s="34">
        <v>44.54</v>
      </c>
      <c r="W133" s="40">
        <v>9.1</v>
      </c>
      <c r="X133" s="4">
        <f t="shared" si="18"/>
        <v>74.960000000000008</v>
      </c>
      <c r="Y133" s="34">
        <v>44.13</v>
      </c>
      <c r="Z133" s="40">
        <v>9.1</v>
      </c>
      <c r="AA133" s="33">
        <v>37.950000000000003</v>
      </c>
      <c r="AB133" s="40">
        <v>0</v>
      </c>
      <c r="AC133" s="34">
        <v>19.09</v>
      </c>
      <c r="AD133" s="40">
        <v>4.5999999999999996</v>
      </c>
      <c r="AE133" s="4">
        <f t="shared" si="19"/>
        <v>57.040000000000006</v>
      </c>
      <c r="AF133" s="34"/>
      <c r="AG133" s="37"/>
    </row>
    <row r="134" spans="1:33" x14ac:dyDescent="0.2">
      <c r="A134" s="1" t="str" cm="1">
        <f t="array" ref="A134">IF(I134="","",IF(P134&lt;&gt;"",SUMPRODUCT((P$3:P$135&lt;&gt;"")*(G$3:G$135=G134)*(J$3:J$135&gt;J134)*(I$3:I$135="P"))+1,IF(O134&lt;&gt;"",SUMPRODUCT((O$3:O$135&lt;&gt;"")*(P$3:P$135="")*(G$3:G$135=G134)*(J$3:J$135&gt;J134)*(I$3:I$135="P"))+SUMPRODUCT((P$3:P$135&lt;&gt;"")*(G$3:G$135=G134)*(I$3:I$135="P"))+1,IF(N134&lt;&gt;"",SUMPRODUCT((N$3:N$135&lt;&gt;"")*(G$3:G$135=G134)*(J$3:J$135&gt;J134)*(I$3:I$135="P"))+1,IF(M134="P",SUMPRODUCT((O$3:O$135&lt;&gt;"")*(P$3:P$135="")*(G$3:G$135=G134)*(I$3:I$135="P"))+SUMPRODUCT((P$3:P$135&lt;&gt;"")*(G$3:G$135=G134)*(I$3:I$135="P"))+SUMPRODUCT((N$3:N$135&lt;&gt;"")*(G$3:G$135=G134)*(I$3:I$135="P"))+SUMPRODUCT((P$3:P$135="")*(O$3:O$135="")*(N$3:N$135="")*(M$3:M$135="P")*(G$3:G$135=G134)*(J$3:J$135&gt;J134)*(I$3:I$135="P"))+IF(H134="L5",SUMPRODUCT((P$3:P$135="")*(O$3:O$135="")*(N$3:N$135="")*(M$3:M$135="P")*(G$3:G$135=G134)*(J$3:J$135&lt;J134)*(H$3:H$135&lt;&gt;H134)*(I$3:I$135="P")),-1*SUMPRODUCT((P$3:P$135="")*(O$3:O$135="")*(N$3:N$135="")*(M$3:M$135="P")*(G$3:G$135=G134)*(J$3:J$135&gt;J134)*(H$3:H$135="L5")*(I$3:I$135="P")))+1,"")))))</f>
        <v/>
      </c>
      <c r="B134" s="1" t="str" cm="1">
        <f t="array" ref="B134">IF(P134&lt;&gt;"",SUMPRODUCT((P$3:P$135&lt;&gt;"")*(G$3:G$135=G134)*(J$3:J$135&gt;J134))+1,IF(O134&lt;&gt;"",SUMPRODUCT((O$3:O$135&lt;&gt;"")*(P$3:P$135="")*(G$3:G$135=G134)*(J$3:J$135&gt;J134))+SUMPRODUCT((P$3:P$135&lt;&gt;"")*(G$3:G$135=G134))+1,IF(N134&lt;&gt;"",SUMPRODUCT((N$3:N$135&lt;&gt;"")*(G$3:G$135=G134)*(J$3:J$135&gt;J134))+1,IF(M134="P",SUMPRODUCT((O$3:O$135&lt;&gt;"")*(P$3:P$135="")*(G$3:G$135=G134))+SUMPRODUCT((P$3:P$135&lt;&gt;"")*(G$3:G$135=G134))+SUMPRODUCT((N$3:N$135&lt;&gt;"")*(G$3:G$135=G134))+SUMPRODUCT((P$3:P$135="")*(O$3:O$135="")*(N$3:N$135="")*(M$3:M$135="P")*(G$3:G$135=G134)*(J$3:J$135&gt;J134))+IF(H134="L5",SUMPRODUCT((P$3:P$135="")*(O$3:O$135="")*(N$3:N$135="")*(M$3:M$135="P")*(G$3:G$135=G134)*(J$3:J$135&lt;J134)*(H$3:H$135&lt;&gt;H134)),-1*SUMPRODUCT((P$3:P$135="")*(O$3:O$135="")*(N$3:N$135="")*(M$3:M$135="P")*(G$3:G$135=G134)*(J$3:J$135&gt;J134)*(H$3:H$135="L5")))+1,""))))</f>
        <v/>
      </c>
      <c r="C134" s="36" t="s">
        <v>486</v>
      </c>
      <c r="D134" s="36" t="str">
        <f>IF(E134="","",VLOOKUP(E134,'Coaching Points'!A:B,2,0))</f>
        <v>ON</v>
      </c>
      <c r="E134" s="36" t="s">
        <v>285</v>
      </c>
      <c r="F134" s="35">
        <v>2009</v>
      </c>
      <c r="G134" s="1" t="str">
        <f>IF(OR('Qualifying Scores'!$B$1-F134&gt;21,'Qualifying Scores'!$B$1-F134&lt;11),"Not Age Eligible",IF('Qualifying Scores'!$B$1-F134&gt;16,"17-21",IF('Qualifying Scores'!$B$1-F134&gt;14,"15-16",IF('Qualifying Scores'!$B$1-F134&gt;12,"13-14",IF('Qualifying Scores'!$B$1-F134&gt;10,"11-12","Not Age Eligible")))))</f>
        <v>13-14</v>
      </c>
      <c r="H134" s="39" t="s">
        <v>66</v>
      </c>
      <c r="I134" s="43"/>
      <c r="J134" s="4">
        <f t="shared" si="15"/>
        <v>99.220008554000003</v>
      </c>
      <c r="K134" s="3" t="str">
        <f>IF(G134="Not Age Eligible","",IF(G134="17-21",IF(MAX(T134,V134,Y134,AA134,AC134,AF134)&gt;=LOOKUP(G134,'Qualifying Scores'!$A$4:$A$7,'Qualifying Scores'!$C$4:$C$7),"P",""),IF(MAX(X134-U134,AE134-AB134)&gt;=LOOKUP(G134,'Qualifying Scores'!$A$4:$A$7,'Qualifying Scores'!$C$4:$C$7),"P","")))</f>
        <v/>
      </c>
      <c r="L134" s="3" t="str">
        <f>IF(G134="Not Age Eligible","",IF(G134="17-21",IF(MAX(U134,W134,Z134,AB134,AD134,AG134)&gt;=LOOKUP(G134,'Qualifying Scores'!$A$10:$A$13,'Qualifying Scores'!$C$10:$C$13),"P",""),IF(MAX(W134,AD134)&gt;=LOOKUP(G134,'Qualifying Scores'!$A$10:$A$13,'Qualifying Scores'!$C$10:$C$13),"P","")))</f>
        <v>P</v>
      </c>
      <c r="M134" s="3" t="str">
        <f>IF(G134="Not Age Eligible","",IF(G134="17-21",IF(OR(AND(T134&gt;=LOOKUP(G134,'Qualifying Scores'!$A$4:$A$7,'Qualifying Scores'!$C$4:$C$7),U134&gt;=LOOKUP(G134,'Qualifying Scores'!$A$10:$A$13,'Qualifying Scores'!$C$10:$C$13)),AND(V134&gt;=LOOKUP(G134,'Qualifying Scores'!$A$4:$A$7,'Qualifying Scores'!$C$4:$C$7),W134&gt;=LOOKUP(G134,'Qualifying Scores'!$A$10:$A$13,'Qualifying Scores'!$C$10:$C$13)),AND(Y134&gt;=LOOKUP(G134,'Qualifying Scores'!$A$4:$A$7,'Qualifying Scores'!$C$4:$C$7),Z134&gt;=LOOKUP(G134,'Qualifying Scores'!$A$10:$A$13,'Qualifying Scores'!$C$10:$C$13)),AND(AA134&gt;=LOOKUP(G134,'Qualifying Scores'!$A$4:$A$7,'Qualifying Scores'!$C$4:$C$7),AB134&gt;=LOOKUP(G134,'Qualifying Scores'!$A$10:$A$13,'Qualifying Scores'!$C$10:$C$13)),AND(AC134&gt;=LOOKUP(G134,'Qualifying Scores'!$A$4:$A$7,'Qualifying Scores'!$C$4:$C$7),AD134&gt;=LOOKUP(G134,'Qualifying Scores'!$A$10:$A$13,'Qualifying Scores'!$C$10:$C$13)),AND(AF134&gt;=LOOKUP(G134,'Qualifying Scores'!$A$4:$A$7,'Qualifying Scores'!$C$4:$C$7),AG134&gt;=LOOKUP(G134,'Qualifying Scores'!$A$10:$A$13,'Qualifying Scores'!$C$10:$C$13))),"P",""),IF(OR(AND(X134-U134&gt;=LOOKUP(G134,'Qualifying Scores'!$A$4:$A$7,'Qualifying Scores'!$C$4:$C$7),W134&gt;=LOOKUP(G134,'Qualifying Scores'!$A$10:$A$13,'Qualifying Scores'!$C$10:$C$13)),AND(AE134-AB134&gt;=LOOKUP(G134,'Qualifying Scores'!$A$4:$A$7,'Qualifying Scores'!$C$4:$C$7),AD134&gt;=LOOKUP(G134,'Qualifying Scores'!$A$10:$A$13,'Qualifying Scores'!$C$10:$C$13))),"P","")))</f>
        <v/>
      </c>
      <c r="Q134" s="1" t="str">
        <f t="shared" si="16"/>
        <v/>
      </c>
      <c r="R134" s="4">
        <f t="shared" si="17"/>
        <v>85.539999999999992</v>
      </c>
      <c r="S134" s="4">
        <f>IF(G134="17-21",LARGE(CHOOSE({1,2,3,4,5,6},T134,V134,Y134,AA134,AC134,AF134),2),IF(R134=X134,MAX(Y134,AA134,AC134,AF134),IF(R134=AE134,MAX(AF134,T134,V134,Y134),0)))</f>
        <v>13.68</v>
      </c>
      <c r="T134" s="33"/>
      <c r="U134" s="40"/>
      <c r="V134" s="34"/>
      <c r="W134" s="40"/>
      <c r="X134" s="4">
        <f t="shared" si="18"/>
        <v>0</v>
      </c>
      <c r="Y134" s="34"/>
      <c r="Z134" s="40"/>
      <c r="AA134" s="33">
        <v>39.42</v>
      </c>
      <c r="AB134" s="40">
        <v>0</v>
      </c>
      <c r="AC134" s="34">
        <v>46.12</v>
      </c>
      <c r="AD134" s="40">
        <v>8.8000000000000007</v>
      </c>
      <c r="AE134" s="4">
        <f t="shared" si="19"/>
        <v>85.539999999999992</v>
      </c>
      <c r="AF134" s="34">
        <v>13.68</v>
      </c>
      <c r="AG134" s="37">
        <v>3.4</v>
      </c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  <row r="188" spans="2:33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4"/>
      <c r="Y188" s="34"/>
      <c r="Z188" s="40"/>
      <c r="AA188" s="33"/>
      <c r="AB188" s="40"/>
      <c r="AC188" s="34"/>
      <c r="AD188" s="40"/>
      <c r="AE188" s="4"/>
      <c r="AF188" s="34"/>
      <c r="AG188" s="37"/>
    </row>
    <row r="189" spans="2:33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4"/>
      <c r="Y189" s="34"/>
      <c r="Z189" s="40"/>
      <c r="AA189" s="33"/>
      <c r="AB189" s="40"/>
      <c r="AC189" s="34"/>
      <c r="AD189" s="40"/>
      <c r="AE189" s="4"/>
      <c r="AF189" s="34"/>
      <c r="AG189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34">
      <sortCondition descending="1" ref="G1:G135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35:XFD1048576 A3:AK134 AM3:XFD134">
    <cfRule type="expression" dxfId="63" priority="17">
      <formula>IF($G1="17-21",1,0)</formula>
    </cfRule>
    <cfRule type="expression" dxfId="62" priority="18">
      <formula>IF($G1="15-16",1,0)</formula>
    </cfRule>
    <cfRule type="expression" dxfId="61" priority="19">
      <formula>IF($G1="13-14",1,0)</formula>
    </cfRule>
    <cfRule type="expression" dxfId="60" priority="20">
      <formula>IF($G1="11-12",1,0)</formula>
    </cfRule>
  </conditionalFormatting>
  <conditionalFormatting sqref="R1:S1 S2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conditionalFormatting sqref="AL3:AL134">
    <cfRule type="expression" dxfId="55" priority="1">
      <formula>IF($G3="17-21",1,0)</formula>
    </cfRule>
    <cfRule type="expression" dxfId="54" priority="2">
      <formula>IF($G3="15-16",1,0)</formula>
    </cfRule>
    <cfRule type="expression" dxfId="53" priority="3">
      <formula>IF($G3="13-14",1,0)</formula>
    </cfRule>
    <cfRule type="expression" dxfId="52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372</v>
      </c>
      <c r="T1" s="69" t="s">
        <v>373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/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30" si="0"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 t="shared" ref="R3:R30" si="1">IF(A3&lt;5,IF(_xlfn.MAXIFS(A:A,H:H,H3)&gt;3,5-A3,_xlfn.MAXIFS(A:A,H:H,H3)+1-A3),"")</f>
        <v/>
      </c>
      <c r="S3" s="4">
        <f t="shared" ref="S3:S30" si="2"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30" si="3"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 t="shared" ref="AF3:AF30" si="4"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393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 t="shared" si="4"/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385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284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 t="shared" si="4"/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331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 t="shared" si="3"/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386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39.72</v>
      </c>
      <c r="AC7" s="40">
        <v>9.6</v>
      </c>
      <c r="AD7" s="34"/>
      <c r="AE7" s="40"/>
      <c r="AF7" s="4">
        <f t="shared" si="4"/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335</v>
      </c>
      <c r="D8" s="36" t="str">
        <f>IF(E8="","",VLOOKUP(E8,'Coaching Points'!A:B,2,0)&amp;"/"&amp;VLOOKUP(F8,'Coaching Points'!A:B,2,0))</f>
        <v>ON/ON</v>
      </c>
      <c r="E8" s="36" t="s">
        <v>293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 t="shared" si="0"/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 t="shared" si="3"/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 t="shared" si="4"/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376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41.05</v>
      </c>
      <c r="AC9" s="40">
        <v>8.5</v>
      </c>
      <c r="AD9" s="34"/>
      <c r="AE9" s="40"/>
      <c r="AF9" s="4">
        <f t="shared" si="4"/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334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 t="shared" si="3"/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 t="shared" si="4"/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378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 t="shared" si="0"/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 t="shared" si="4"/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379</v>
      </c>
      <c r="D12" s="36" t="str">
        <f>IF(E12="","",VLOOKUP(E12,'Coaching Points'!A:B,2,0)&amp;"/"&amp;VLOOKUP(F12,'Coaching Points'!A:B,2,0))</f>
        <v>BC/ON</v>
      </c>
      <c r="E12" s="36" t="s">
        <v>290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 t="shared" si="0"/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 t="shared" si="4"/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381</v>
      </c>
      <c r="D13" s="36" t="str">
        <f>IF(E13="","",VLOOKUP(E13,'Coaching Points'!A:B,2,0)&amp;"/"&amp;VLOOKUP(F13,'Coaching Points'!A:B,2,0))</f>
        <v>NL/NL</v>
      </c>
      <c r="E13" s="36" t="s">
        <v>421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 t="shared" si="4"/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332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/>
      <c r="K14" s="4">
        <f t="shared" si="0"/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 t="shared" si="3"/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 t="shared" si="4"/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394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/>
      <c r="K15" s="4">
        <f t="shared" si="0"/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 t="shared" si="1"/>
        <v/>
      </c>
      <c r="S15" s="4">
        <f t="shared" si="2"/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 t="shared" si="4"/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382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 t="shared" si="1"/>
        <v/>
      </c>
      <c r="S16" s="4">
        <f t="shared" si="2"/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 t="shared" si="4"/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333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 t="shared" si="1"/>
        <v/>
      </c>
      <c r="S17" s="4">
        <f t="shared" si="2"/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 t="shared" si="3"/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 t="shared" si="4"/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254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 t="shared" si="0"/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 t="shared" si="1"/>
        <v/>
      </c>
      <c r="S18" s="4">
        <f t="shared" si="2"/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 t="shared" si="3"/>
        <v>9.4499999999999993</v>
      </c>
      <c r="Z18" s="34"/>
      <c r="AA18" s="40"/>
      <c r="AB18" s="33"/>
      <c r="AC18" s="40"/>
      <c r="AD18" s="34"/>
      <c r="AE18" s="40"/>
      <c r="AF18" s="4">
        <f t="shared" si="4"/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389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 t="shared" si="1"/>
        <v/>
      </c>
      <c r="S19" s="4">
        <f t="shared" si="2"/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 t="shared" si="4"/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390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 t="shared" si="0"/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 t="shared" si="1"/>
        <v/>
      </c>
      <c r="S20" s="4">
        <f t="shared" si="2"/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 t="shared" si="4"/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336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 t="shared" si="1"/>
        <v/>
      </c>
      <c r="S21" s="4">
        <f t="shared" si="2"/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 t="shared" si="3"/>
        <v>4.8899999999999997</v>
      </c>
      <c r="Z21" s="34"/>
      <c r="AA21" s="40"/>
      <c r="AB21" s="33"/>
      <c r="AC21" s="40"/>
      <c r="AD21" s="34"/>
      <c r="AE21" s="40"/>
      <c r="AF21" s="4">
        <f t="shared" si="4"/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392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 t="shared" si="1"/>
        <v/>
      </c>
      <c r="S22" s="4">
        <f t="shared" si="2"/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 t="shared" si="3"/>
        <v>0</v>
      </c>
      <c r="Z22" s="34"/>
      <c r="AA22" s="40"/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387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/>
      <c r="K23" s="4">
        <f t="shared" si="0"/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 t="shared" si="1"/>
        <v/>
      </c>
      <c r="S23" s="4">
        <f t="shared" si="2"/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 t="shared" si="4"/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388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 t="shared" si="0"/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 t="shared" si="1"/>
        <v/>
      </c>
      <c r="S24" s="4">
        <f t="shared" si="2"/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 t="shared" si="3"/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 t="shared" si="4"/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377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 t="shared" si="0"/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 t="shared" si="1"/>
        <v/>
      </c>
      <c r="S25" s="4">
        <f t="shared" si="2"/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 t="shared" si="4"/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380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 t="shared" si="0"/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 t="shared" si="1"/>
        <v/>
      </c>
      <c r="S26" s="4">
        <f t="shared" si="2"/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 t="shared" si="4"/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253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287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/>
      <c r="K27" s="4">
        <f t="shared" si="0"/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 t="shared" si="1"/>
        <v/>
      </c>
      <c r="S27" s="4">
        <f t="shared" si="2"/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 t="shared" si="3"/>
        <v>16.260000000000002</v>
      </c>
      <c r="Z27" s="34"/>
      <c r="AA27" s="40"/>
      <c r="AB27" s="33"/>
      <c r="AC27" s="40"/>
      <c r="AD27" s="34"/>
      <c r="AE27" s="40"/>
      <c r="AF27" s="4">
        <f t="shared" si="4"/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383</v>
      </c>
      <c r="D28" s="36" t="str">
        <f>IF(E28="","",VLOOKUP(E28,'Coaching Points'!A:B,2,0)&amp;"/"&amp;VLOOKUP(F28,'Coaching Points'!A:B,2,0))</f>
        <v>SK/MB</v>
      </c>
      <c r="E28" s="36" t="s">
        <v>573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 t="shared" si="0"/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 t="shared" si="1"/>
        <v/>
      </c>
      <c r="S28" s="4">
        <f t="shared" si="2"/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 t="shared" si="4"/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391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/>
      <c r="K29" s="4">
        <f t="shared" si="0"/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 t="shared" si="1"/>
        <v/>
      </c>
      <c r="S29" s="4">
        <f t="shared" si="2"/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 t="shared" si="3"/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 t="shared" si="4"/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384</v>
      </c>
      <c r="D30" s="36" t="str">
        <f>IF(E30="","",VLOOKUP(E30,'Coaching Points'!A:B,2,0)&amp;"/"&amp;VLOOKUP(F30,'Coaching Points'!A:B,2,0))</f>
        <v>NS/NS</v>
      </c>
      <c r="E30" s="36" t="s">
        <v>289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/>
      <c r="K30" s="4">
        <f t="shared" si="0"/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 t="shared" si="1"/>
        <v/>
      </c>
      <c r="S30" s="4">
        <f t="shared" si="2"/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 t="shared" si="4"/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0">
      <sortCondition descending="1" ref="H1:H3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51" priority="9">
      <formula>IF($H1="17-21",1,0)</formula>
    </cfRule>
    <cfRule type="expression" dxfId="50" priority="10">
      <formula>IF($H1="15-16",1,0)</formula>
    </cfRule>
    <cfRule type="expression" dxfId="49" priority="11">
      <formula>IF($H1="13-14",1,0)</formula>
    </cfRule>
    <cfRule type="expression" dxfId="48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372</v>
      </c>
      <c r="T1" s="69" t="s">
        <v>373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/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346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46" si="0"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 t="shared" ref="R3:R46" si="1">IF(A3&lt;5,IF(_xlfn.MAXIFS(A:A,H:H,H3)&gt;3,5-A3,_xlfn.MAXIFS(A:A,H:H,H3)+1-A3),"")</f>
        <v/>
      </c>
      <c r="S3" s="4">
        <f t="shared" ref="S3:S46" si="2"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46" si="3"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 t="shared" ref="AF3:AF46" si="4">IF(I3="Senior",MAX(AB3,AD3),AB3+AD3)</f>
        <v>44.63</v>
      </c>
      <c r="AG3" s="34">
        <v>43.27</v>
      </c>
      <c r="AH3" s="37">
        <v>9.6</v>
      </c>
    </row>
    <row r="4" spans="1:34" x14ac:dyDescent="0.2">
      <c r="A4" s="1" t="str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/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395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287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 t="shared" si="1"/>
        <v/>
      </c>
      <c r="S4" s="4">
        <f t="shared" si="2"/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 t="shared" si="4"/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344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 t="shared" si="3"/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 t="shared" si="4"/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337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 t="shared" si="3"/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 t="shared" si="4"/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396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42.64</v>
      </c>
      <c r="AC7" s="40">
        <v>7.1</v>
      </c>
      <c r="AD7" s="34"/>
      <c r="AE7" s="40"/>
      <c r="AF7" s="4">
        <f t="shared" si="4"/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397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42.68</v>
      </c>
      <c r="AC8" s="40">
        <v>7.4</v>
      </c>
      <c r="AD8" s="34"/>
      <c r="AE8" s="40"/>
      <c r="AF8" s="4">
        <f t="shared" si="4"/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398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42.96</v>
      </c>
      <c r="AC9" s="40">
        <v>7.6</v>
      </c>
      <c r="AD9" s="34"/>
      <c r="AE9" s="40"/>
      <c r="AF9" s="4">
        <f t="shared" si="4"/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261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 t="shared" si="0"/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 t="shared" si="3"/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 t="shared" si="4"/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260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291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 t="shared" si="3"/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 t="shared" si="4"/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414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 t="shared" si="4"/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415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 t="shared" si="0"/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 t="shared" si="4"/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416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 t="shared" si="0"/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 t="shared" si="4"/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259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 t="shared" si="3"/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 t="shared" si="4"/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339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 t="shared" si="3"/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340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 t="shared" si="3"/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342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 t="shared" si="0"/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 t="shared" si="3"/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 t="shared" si="4"/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417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 t="shared" si="4"/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401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 t="shared" si="0"/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 t="shared" si="4"/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418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 t="shared" si="4"/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 t="shared" si="1"/>
        <v/>
      </c>
      <c r="S22" s="4">
        <f t="shared" si="2"/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 t="shared" si="3"/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403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/>
      <c r="K23" s="4">
        <f t="shared" si="0"/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 t="shared" si="1"/>
        <v/>
      </c>
      <c r="S23" s="4">
        <f t="shared" si="2"/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 t="shared" si="4"/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256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 t="shared" si="0"/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 t="shared" si="1"/>
        <v/>
      </c>
      <c r="S24" s="4">
        <f t="shared" si="2"/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 t="shared" si="3"/>
        <v>33.770000000000003</v>
      </c>
      <c r="Z24" s="34"/>
      <c r="AA24" s="40"/>
      <c r="AB24" s="33"/>
      <c r="AC24" s="40"/>
      <c r="AD24" s="34"/>
      <c r="AE24" s="40"/>
      <c r="AF24" s="4">
        <f t="shared" si="4"/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406</v>
      </c>
      <c r="D25" s="36" t="str">
        <f>IF(E25="","",VLOOKUP(E25,'Coaching Points'!A:B,2,0)&amp;"/"&amp;VLOOKUP(F25,'Coaching Points'!A:B,2,0))</f>
        <v>ON/ON</v>
      </c>
      <c r="E25" s="36" t="s">
        <v>422</v>
      </c>
      <c r="F25" s="36" t="s">
        <v>422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 t="shared" si="0"/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 t="shared" si="1"/>
        <v/>
      </c>
      <c r="S25" s="4">
        <f t="shared" si="2"/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 t="shared" si="4"/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407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 t="shared" si="0"/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 t="shared" si="1"/>
        <v/>
      </c>
      <c r="S26" s="4">
        <f t="shared" si="2"/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 t="shared" si="4"/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567</v>
      </c>
      <c r="D27" s="36" t="str">
        <f>IF(E27="","",VLOOKUP(E27,'Coaching Points'!A:B,2,0)&amp;"/"&amp;VLOOKUP(F27,'Coaching Points'!A:B,2,0))</f>
        <v>QC/QC</v>
      </c>
      <c r="E27" s="36" t="s">
        <v>203</v>
      </c>
      <c r="F27" s="36" t="s">
        <v>203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/>
      <c r="J27" s="43"/>
      <c r="K27" s="4">
        <f t="shared" si="0"/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 t="shared" si="1"/>
        <v/>
      </c>
      <c r="S27" s="4">
        <f t="shared" si="2"/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 t="shared" si="4"/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408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 t="shared" si="0"/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 t="shared" si="1"/>
        <v/>
      </c>
      <c r="S28" s="4">
        <f t="shared" si="2"/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 t="shared" si="4"/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343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 t="shared" si="0"/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 t="shared" si="1"/>
        <v/>
      </c>
      <c r="S29" s="4">
        <f t="shared" si="2"/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 t="shared" si="3"/>
        <v>17.79</v>
      </c>
      <c r="Z29" s="34"/>
      <c r="AA29" s="40"/>
      <c r="AB29" s="33"/>
      <c r="AC29" s="40"/>
      <c r="AD29" s="34"/>
      <c r="AE29" s="40"/>
      <c r="AF29" s="4">
        <f t="shared" si="4"/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409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 t="shared" si="0"/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 t="shared" si="1"/>
        <v/>
      </c>
      <c r="S30" s="4">
        <f t="shared" si="2"/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 t="shared" si="4"/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410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 t="shared" si="0"/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 t="shared" si="1"/>
        <v/>
      </c>
      <c r="S31" s="4">
        <f t="shared" si="2"/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 t="shared" si="4"/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420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 t="shared" si="0"/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 t="shared" si="1"/>
        <v/>
      </c>
      <c r="S32" s="4">
        <f t="shared" si="2"/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 t="shared" si="4"/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257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 t="shared" si="0"/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 t="shared" si="1"/>
        <v/>
      </c>
      <c r="S33" s="4">
        <f t="shared" si="2"/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 t="shared" si="3"/>
        <v>4.8499999999999996</v>
      </c>
      <c r="Z33" s="34"/>
      <c r="AA33" s="40"/>
      <c r="AB33" s="33"/>
      <c r="AC33" s="40"/>
      <c r="AD33" s="34"/>
      <c r="AE33" s="40"/>
      <c r="AF33" s="4">
        <f t="shared" si="4"/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411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284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 t="shared" si="0"/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 t="shared" si="1"/>
        <v/>
      </c>
      <c r="S34" s="4">
        <f t="shared" si="2"/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 t="shared" si="4"/>
        <v>4.74</v>
      </c>
      <c r="AG34" s="34"/>
      <c r="AH34" s="37"/>
    </row>
    <row r="35" spans="1:34" x14ac:dyDescent="0.2">
      <c r="A35" s="1" t="str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/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345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/>
      <c r="K35" s="4">
        <f t="shared" si="0"/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 t="str">
        <f t="shared" si="1"/>
        <v/>
      </c>
      <c r="S35" s="4">
        <f t="shared" si="2"/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 t="shared" si="3"/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 t="shared" si="4"/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258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290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 t="shared" si="0"/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 t="shared" si="1"/>
        <v/>
      </c>
      <c r="S36" s="4">
        <f t="shared" si="2"/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 t="shared" si="3"/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 t="shared" si="4"/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338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/>
      <c r="K37" s="4">
        <f t="shared" si="0"/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 t="shared" si="1"/>
        <v/>
      </c>
      <c r="S37" s="4">
        <f t="shared" si="2"/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 t="shared" si="3"/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 t="shared" si="4"/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399</v>
      </c>
      <c r="D38" s="36" t="str">
        <f>IF(E38="","",VLOOKUP(E38,'Coaching Points'!A:B,2,0)&amp;"/"&amp;VLOOKUP(F38,'Coaching Points'!A:B,2,0))</f>
        <v>ON/ON</v>
      </c>
      <c r="E38" s="36" t="s">
        <v>288</v>
      </c>
      <c r="F38" s="36" t="s">
        <v>288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 t="shared" si="0"/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 t="shared" si="1"/>
        <v/>
      </c>
      <c r="S38" s="4">
        <f t="shared" si="2"/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 t="shared" si="4"/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400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/>
      <c r="K39" s="4">
        <f t="shared" si="0"/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 t="shared" si="1"/>
        <v/>
      </c>
      <c r="S39" s="4">
        <f t="shared" si="2"/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 t="shared" si="3"/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 t="shared" si="4"/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402</v>
      </c>
      <c r="D40" s="36" t="str">
        <f>IF(E40="","",VLOOKUP(E40,'Coaching Points'!A:B,2,0)&amp;"/"&amp;VLOOKUP(F40,'Coaching Points'!A:B,2,0))</f>
        <v>NL/NL</v>
      </c>
      <c r="E40" s="36" t="s">
        <v>421</v>
      </c>
      <c r="F40" s="36" t="s">
        <v>421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 t="shared" si="0"/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 t="shared" si="1"/>
        <v/>
      </c>
      <c r="S40" s="4">
        <f t="shared" si="2"/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 t="shared" si="3"/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 t="shared" si="4"/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405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 t="shared" si="0"/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 t="shared" si="1"/>
        <v/>
      </c>
      <c r="S41" s="4">
        <f t="shared" si="2"/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 t="shared" si="3"/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 t="shared" si="4"/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419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/>
      <c r="K42" s="4">
        <f t="shared" si="0"/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 t="shared" si="1"/>
        <v/>
      </c>
      <c r="S42" s="4">
        <f t="shared" si="2"/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 t="shared" si="3"/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 t="shared" si="4"/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412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 t="shared" si="0"/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 t="shared" si="1"/>
        <v/>
      </c>
      <c r="S43" s="4">
        <f t="shared" si="2"/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 t="shared" si="3"/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 t="shared" si="4"/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413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/>
      <c r="K44" s="4">
        <f t="shared" si="0"/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 t="shared" si="1"/>
        <v/>
      </c>
      <c r="S44" s="4">
        <f t="shared" si="2"/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 t="shared" si="3"/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 t="shared" si="4"/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341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 t="shared" si="0"/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 t="shared" si="1"/>
        <v/>
      </c>
      <c r="S45" s="4">
        <f t="shared" si="2"/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 t="shared" si="3"/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 t="shared" si="4"/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404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 t="shared" si="0"/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 t="shared" si="1"/>
        <v/>
      </c>
      <c r="S46" s="4">
        <f t="shared" si="2"/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 t="shared" si="3"/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 t="shared" si="4"/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46">
      <sortCondition descending="1" ref="H1:H4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47:XFD1048576 A3:AI46 AL3:XFD46">
    <cfRule type="expression" dxfId="47" priority="13">
      <formula>IF($H1="17-21",1,0)</formula>
    </cfRule>
    <cfRule type="expression" dxfId="46" priority="14">
      <formula>IF($H1="15-16",1,0)</formula>
    </cfRule>
    <cfRule type="expression" dxfId="45" priority="15">
      <formula>IF($H1="13-14",1,0)</formula>
    </cfRule>
    <cfRule type="expression" dxfId="44" priority="16">
      <formula>IF($H1="11-12",1,0)</formula>
    </cfRule>
  </conditionalFormatting>
  <conditionalFormatting sqref="S1:T2">
    <cfRule type="expression" dxfId="43" priority="5">
      <formula>IF($H1="17-21",1,0)</formula>
    </cfRule>
    <cfRule type="expression" dxfId="42" priority="6">
      <formula>IF($H1="15-16",1,0)</formula>
    </cfRule>
    <cfRule type="expression" dxfId="41" priority="7">
      <formula>IF($H1="13-14",1,0)</formula>
    </cfRule>
    <cfRule type="expression" dxfId="40" priority="8">
      <formula>IF($H1="11-12",1,0)</formula>
    </cfRule>
  </conditionalFormatting>
  <conditionalFormatting sqref="AJ3:AK46">
    <cfRule type="expression" dxfId="39" priority="1">
      <formula>IF($H3="17-21",1,0)</formula>
    </cfRule>
    <cfRule type="expression" dxfId="38" priority="2">
      <formula>IF($H3="15-16",1,0)</formula>
    </cfRule>
    <cfRule type="expression" dxfId="37" priority="3">
      <formula>IF($H3="13-14",1,0)</formula>
    </cfRule>
    <cfRule type="expression" dxfId="36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$100&lt;&gt;"")*(G$3:G$100=G3)*(J$3:J$100&gt;J3)*(I$3:I$100="P"))+1,IF(O3&lt;&gt;"",SUMPRODUCT((O$3:O$100&lt;&gt;"")*(P$3:P$100="")*(G$3:G$100=G3)*(J$3:J$100&gt;J3)*(I$3:I$100="P"))+SUMPRODUCT((P$3:P$100&lt;&gt;"")*(G$3:G$100=G3)*(I$3:I$100="P"))+1,IF(N3&lt;&gt;"",SUMPRODUCT((N$3:N$100&lt;&gt;"")*(G$3:G$100=G3)*(J$3:J$100&gt;J3)*(I$3:I$100="P"))+1,IF(M3="P",SUMPRODUCT((O$3:O$100&lt;&gt;"")*(P$3:P$100="")*(G$3:G$100=G3)*(I$3:I$100="P"))+SUMPRODUCT((P$3:P$100&lt;&gt;"")*(G$3:G$100=G3)*(I$3:I$100="P"))+SUMPRODUCT((N$3:N$100&lt;&gt;"")*(G$3:G$100=G3)*(I$3:I$100="P"))+SUMPRODUCT((P$3:P$100="")*(O$3:O$100="")*(N$3:N$100="")*(M$3:M$100="P")*(G$3:G$100=G3)*(J$3:J$100&gt;J3)*(I$3:I$100="P"))+IF(H3="L5",SUMPRODUCT((P$3:P$100="")*(O$3:O$100="")*(N$3:N$100="")*(M$3:M$100="P")*(G$3:G$100=G3)*(J$3:J$100&lt;J3)*(H$3:H$100&lt;&gt;H3)*(I$3:I$100="P")),-1*SUMPRODUCT((P$3:P$100="")*(O$3:O$100="")*(N$3:N$100="")*(M$3:M$100="P")*(G$3:G$100=G3)*(J$3:J$100&gt;J3)*(H$3:H$100="L5")*(I$3:I$100="P")))+1,"")))))</f>
        <v/>
      </c>
      <c r="B3" s="1" cm="1">
        <f t="array" ref="B3">IF(P3&lt;&gt;"",SUMPRODUCT((P$3:P$100&lt;&gt;"")*(G$3:G$100=G3)*(J$3:J$100&gt;J3))+1,IF(O3&lt;&gt;"",SUMPRODUCT((O$3:O$100&lt;&gt;"")*(P$3:P$100="")*(G$3:G$100=G3)*(J$3:J$100&gt;J3))+SUMPRODUCT((P$3:P$100&lt;&gt;"")*(G$3:G$100=G3))+1,IF(N3&lt;&gt;"",SUMPRODUCT((N$3:N$100&lt;&gt;"")*(G$3:G$100=G3)*(J$3:J$100&gt;J3))+1,IF(M3="P",SUMPRODUCT((O$3:O$100&lt;&gt;"")*(P$3:P$100="")*(G$3:G$100=G3))+SUMPRODUCT((P$3:P$100&lt;&gt;"")*(G$3:G$100=G3))+SUMPRODUCT((N$3:N$100&lt;&gt;"")*(G$3:G$100=G3))+SUMPRODUCT((P$3:P$100="")*(O$3:O$100="")*(N$3:N$100="")*(M$3:M$100="P")*(G$3:G$100=G3)*(J$3:J$100&gt;J3))+IF(H3="L5",SUMPRODUCT((P$3:P$100="")*(O$3:O$100="")*(N$3:N$100="")*(M$3:M$100="P")*(G$3:G$100=G3)*(J$3:J$100&lt;J3)*(H$3:H$100&lt;&gt;H3)),-1*SUMPRODUCT((P$3:P$100="")*(O$3:O$100="")*(N$3:N$100="")*(M$3:M$100="P")*(G$3:G$100=G3)*(J$3:J$100&gt;J3)*(H$3:H$100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119.90020605000001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60.5</v>
      </c>
      <c r="S3" s="4">
        <f t="shared" ref="S3:S34" si="3">IF(R3=T3,MAX(V3,X3,Z3),IF(R3=X3,MAX(T3,V3,Z3),0))</f>
        <v>59.4</v>
      </c>
      <c r="T3" s="33">
        <v>58.7</v>
      </c>
      <c r="U3" s="40">
        <v>20.8</v>
      </c>
      <c r="V3" s="34">
        <v>58.8</v>
      </c>
      <c r="W3" s="40">
        <v>20.8</v>
      </c>
      <c r="X3" s="33">
        <v>60.5</v>
      </c>
      <c r="Y3" s="40">
        <v>21.1</v>
      </c>
      <c r="Z3" s="34">
        <v>59.4</v>
      </c>
      <c r="AA3" s="37">
        <v>22.7</v>
      </c>
    </row>
    <row r="4" spans="1:27" x14ac:dyDescent="0.2">
      <c r="A4" s="1" t="str" cm="1">
        <f t="array" ref="A4">IF(I4="","",IF(P4&lt;&gt;"",SUMPRODUCT((P$3:P$100&lt;&gt;"")*(G$3:G$100=G4)*(J$3:J$100&gt;J4)*(I$3:I$100="P"))+1,IF(O4&lt;&gt;"",SUMPRODUCT((O$3:O$100&lt;&gt;"")*(P$3:P$100="")*(G$3:G$100=G4)*(J$3:J$100&gt;J4)*(I$3:I$100="P"))+SUMPRODUCT((P$3:P$100&lt;&gt;"")*(G$3:G$100=G4)*(I$3:I$100="P"))+1,IF(N4&lt;&gt;"",SUMPRODUCT((N$3:N$100&lt;&gt;"")*(G$3:G$100=G4)*(J$3:J$100&gt;J4)*(I$3:I$100="P"))+1,IF(M4="P",SUMPRODUCT((O$3:O$100&lt;&gt;"")*(P$3:P$100="")*(G$3:G$100=G4)*(I$3:I$100="P"))+SUMPRODUCT((P$3:P$100&lt;&gt;"")*(G$3:G$100=G4)*(I$3:I$100="P"))+SUMPRODUCT((N$3:N$100&lt;&gt;"")*(G$3:G$100=G4)*(I$3:I$100="P"))+SUMPRODUCT((P$3:P$100="")*(O$3:O$100="")*(N$3:N$100="")*(M$3:M$100="P")*(G$3:G$100=G4)*(J$3:J$100&gt;J4)*(I$3:I$100="P"))+IF(H4="L5",SUMPRODUCT((P$3:P$100="")*(O$3:O$100="")*(N$3:N$100="")*(M$3:M$100="P")*(G$3:G$100=G4)*(J$3:J$100&lt;J4)*(H$3:H$100&lt;&gt;H4)*(I$3:I$100="P")),-1*SUMPRODUCT((P$3:P$100="")*(O$3:O$100="")*(N$3:N$100="")*(M$3:M$100="P")*(G$3:G$100=G4)*(J$3:J$100&gt;J4)*(H$3:H$100="L5")*(I$3:I$100="P")))+1,"")))))</f>
        <v/>
      </c>
      <c r="B4" s="1" cm="1">
        <f t="array" ref="B4">IF(P4&lt;&gt;"",SUMPRODUCT((P$3:P$100&lt;&gt;"")*(G$3:G$100=G4)*(J$3:J$100&gt;J4))+1,IF(O4&lt;&gt;"",SUMPRODUCT((O$3:O$100&lt;&gt;"")*(P$3:P$100="")*(G$3:G$100=G4)*(J$3:J$100&gt;J4))+SUMPRODUCT((P$3:P$100&lt;&gt;"")*(G$3:G$100=G4))+1,IF(N4&lt;&gt;"",SUMPRODUCT((N$3:N$100&lt;&gt;"")*(G$3:G$100=G4)*(J$3:J$100&gt;J4))+1,IF(M4="P",SUMPRODUCT((O$3:O$100&lt;&gt;"")*(P$3:P$100="")*(G$3:G$100=G4))+SUMPRODUCT((P$3:P$100&lt;&gt;"")*(G$3:G$100=G4))+SUMPRODUCT((N$3:N$100&lt;&gt;"")*(G$3:G$100=G4))+SUMPRODUCT((P$3:P$100="")*(O$3:O$100="")*(N$3:N$100="")*(M$3:M$100="P")*(G$3:G$100=G4)*(J$3:J$100&gt;J4))+IF(H4="L5",SUMPRODUCT((P$3:P$100="")*(O$3:O$100="")*(N$3:N$100="")*(M$3:M$100="P")*(G$3:G$100=G4)*(J$3:J$100&lt;J4)*(H$3:H$100&lt;&gt;H4)),-1*SUMPRODUCT((P$3:P$100="")*(O$3:O$100="")*(N$3:N$100="")*(M$3:M$100="P")*(G$3:G$100=G4)*(J$3:J$100&gt;J4)*(H$3:H$100="L5")))+1,""))))</f>
        <v>2</v>
      </c>
      <c r="C4" s="36" t="s">
        <v>170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104.90020536000002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3</v>
      </c>
      <c r="Q4" s="1" t="str">
        <f t="shared" si="1"/>
        <v/>
      </c>
      <c r="R4" s="4">
        <f t="shared" si="2"/>
        <v>53.6</v>
      </c>
      <c r="S4" s="4">
        <f t="shared" si="3"/>
        <v>51.3</v>
      </c>
      <c r="T4" s="33">
        <v>50.8</v>
      </c>
      <c r="U4" s="40">
        <v>16</v>
      </c>
      <c r="V4" s="34">
        <v>51.3</v>
      </c>
      <c r="W4" s="40">
        <v>14.8</v>
      </c>
      <c r="X4" s="33">
        <v>53.6</v>
      </c>
      <c r="Y4" s="40">
        <v>16.799999999999997</v>
      </c>
      <c r="Z4" s="34">
        <v>50.9</v>
      </c>
      <c r="AA4" s="37">
        <v>14.8</v>
      </c>
    </row>
    <row r="5" spans="1:27" x14ac:dyDescent="0.2">
      <c r="A5" s="1" t="str" cm="1">
        <f t="array" ref="A5">IF(I5="","",IF(P5&lt;&gt;"",SUMPRODUCT((P$3:P$100&lt;&gt;"")*(G$3:G$100=G5)*(J$3:J$100&gt;J5)*(I$3:I$100="P"))+1,IF(O5&lt;&gt;"",SUMPRODUCT((O$3:O$100&lt;&gt;"")*(P$3:P$100="")*(G$3:G$100=G5)*(J$3:J$100&gt;J5)*(I$3:I$100="P"))+SUMPRODUCT((P$3:P$100&lt;&gt;"")*(G$3:G$100=G5)*(I$3:I$100="P"))+1,IF(N5&lt;&gt;"",SUMPRODUCT((N$3:N$100&lt;&gt;"")*(G$3:G$100=G5)*(J$3:J$100&gt;J5)*(I$3:I$100="P"))+1,IF(M5="P",SUMPRODUCT((O$3:O$100&lt;&gt;"")*(P$3:P$100="")*(G$3:G$100=G5)*(I$3:I$100="P"))+SUMPRODUCT((P$3:P$100&lt;&gt;"")*(G$3:G$100=G5)*(I$3:I$100="P"))+SUMPRODUCT((N$3:N$100&lt;&gt;"")*(G$3:G$100=G5)*(I$3:I$100="P"))+SUMPRODUCT((P$3:P$100="")*(O$3:O$100="")*(N$3:N$100="")*(M$3:M$100="P")*(G$3:G$100=G5)*(J$3:J$100&gt;J5)*(I$3:I$100="P"))+IF(H5="L5",SUMPRODUCT((P$3:P$100="")*(O$3:O$100="")*(N$3:N$100="")*(M$3:M$100="P")*(G$3:G$100=G5)*(J$3:J$100&lt;J5)*(H$3:H$100&lt;&gt;H5)*(I$3:I$100="P")),-1*SUMPRODUCT((P$3:P$100="")*(O$3:O$100="")*(N$3:N$100="")*(M$3:M$100="P")*(G$3:G$100=G5)*(J$3:J$100&gt;J5)*(H$3:H$100="L5")*(I$3:I$100="P")))+1,"")))))</f>
        <v/>
      </c>
      <c r="B5" s="1" cm="1">
        <f t="array" ref="B5">IF(P5&lt;&gt;"",SUMPRODUCT((P$3:P$100&lt;&gt;"")*(G$3:G$100=G5)*(J$3:J$100&gt;J5))+1,IF(O5&lt;&gt;"",SUMPRODUCT((O$3:O$100&lt;&gt;"")*(P$3:P$100="")*(G$3:G$100=G5)*(J$3:J$100&gt;J5))+SUMPRODUCT((P$3:P$100&lt;&gt;"")*(G$3:G$100=G5))+1,IF(N5&lt;&gt;"",SUMPRODUCT((N$3:N$100&lt;&gt;"")*(G$3:G$100=G5)*(J$3:J$100&gt;J5))+1,IF(M5="P",SUMPRODUCT((O$3:O$100&lt;&gt;"")*(P$3:P$100="")*(G$3:G$100=G5))+SUMPRODUCT((P$3:P$100&lt;&gt;"")*(G$3:G$100=G5))+SUMPRODUCT((N$3:N$100&lt;&gt;"")*(G$3:G$100=G5))+SUMPRODUCT((P$3:P$100="")*(O$3:O$100="")*(N$3:N$100="")*(M$3:M$100="P")*(G$3:G$100=G5)*(J$3:J$100&gt;J5))+IF(H5="L5",SUMPRODUCT((P$3:P$100="")*(O$3:O$100="")*(N$3:N$100="")*(M$3:M$100="P")*(G$3:G$100=G5)*(J$3:J$100&lt;J5)*(H$3:H$100&lt;&gt;H5)),-1*SUMPRODUCT((P$3:P$100="")*(O$3:O$100="")*(N$3:N$100="")*(M$3:M$100="P")*(G$3:G$100=G5)*(J$3:J$100&gt;J5)*(H$3:H$100="L5")))+1,""))))</f>
        <v>3</v>
      </c>
      <c r="C5" s="36" t="s">
        <v>233</v>
      </c>
      <c r="D5" s="36" t="str">
        <f>IF(E5="","",VLOOKUP(E5,'Coaching Points'!A:B,2,0))</f>
        <v>ON</v>
      </c>
      <c r="E5" s="36" t="s">
        <v>100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102.20020000000001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P5" s="39">
        <v>7</v>
      </c>
      <c r="Q5" s="1" t="str">
        <f t="shared" si="1"/>
        <v/>
      </c>
      <c r="R5" s="4">
        <f t="shared" si="2"/>
        <v>51.2</v>
      </c>
      <c r="S5" s="4">
        <f t="shared" si="3"/>
        <v>51</v>
      </c>
      <c r="T5" s="33">
        <v>51.2</v>
      </c>
      <c r="U5" s="40">
        <v>14</v>
      </c>
      <c r="V5" s="34">
        <v>51</v>
      </c>
      <c r="W5" s="40">
        <v>15.2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$100&lt;&gt;"")*(G$3:G$100=G6)*(J$3:J$100&gt;J6)*(I$3:I$100="P"))+1,IF(O6&lt;&gt;"",SUMPRODUCT((O$3:O$100&lt;&gt;"")*(P$3:P$100="")*(G$3:G$100=G6)*(J$3:J$100&gt;J6)*(I$3:I$100="P"))+SUMPRODUCT((P$3:P$100&lt;&gt;"")*(G$3:G$100=G6)*(I$3:I$100="P"))+1,IF(N6&lt;&gt;"",SUMPRODUCT((N$3:N$100&lt;&gt;"")*(G$3:G$100=G6)*(J$3:J$100&gt;J6)*(I$3:I$100="P"))+1,IF(M6="P",SUMPRODUCT((O$3:O$100&lt;&gt;"")*(P$3:P$100="")*(G$3:G$100=G6)*(I$3:I$100="P"))+SUMPRODUCT((P$3:P$100&lt;&gt;"")*(G$3:G$100=G6)*(I$3:I$100="P"))+SUMPRODUCT((N$3:N$100&lt;&gt;"")*(G$3:G$100=G6)*(I$3:I$100="P"))+SUMPRODUCT((P$3:P$100="")*(O$3:O$100="")*(N$3:N$100="")*(M$3:M$100="P")*(G$3:G$100=G6)*(J$3:J$100&gt;J6)*(I$3:I$100="P"))+IF(H6="L5",SUMPRODUCT((P$3:P$100="")*(O$3:O$100="")*(N$3:N$100="")*(M$3:M$100="P")*(G$3:G$100=G6)*(J$3:J$100&lt;J6)*(H$3:H$100&lt;&gt;H6)*(I$3:I$100="P")),-1*SUMPRODUCT((P$3:P$100="")*(O$3:O$100="")*(N$3:N$100="")*(M$3:M$100="P")*(G$3:G$100=G6)*(J$3:J$100&gt;J6)*(H$3:H$100="L5")*(I$3:I$100="P")))+1,"")))))</f>
        <v/>
      </c>
      <c r="B6" s="1" cm="1">
        <f t="array" ref="B6">IF(P6&lt;&gt;"",SUMPRODUCT((P$3:P$100&lt;&gt;"")*(G$3:G$100=G6)*(J$3:J$100&gt;J6))+1,IF(O6&lt;&gt;"",SUMPRODUCT((O$3:O$100&lt;&gt;"")*(P$3:P$100="")*(G$3:G$100=G6)*(J$3:J$100&gt;J6))+SUMPRODUCT((P$3:P$100&lt;&gt;"")*(G$3:G$100=G6))+1,IF(N6&lt;&gt;"",SUMPRODUCT((N$3:N$100&lt;&gt;"")*(G$3:G$100=G6)*(J$3:J$100&gt;J6))+1,IF(M6="P",SUMPRODUCT((O$3:O$100&lt;&gt;"")*(P$3:P$100="")*(G$3:G$100=G6))+SUMPRODUCT((P$3:P$100&lt;&gt;"")*(G$3:G$100=G6))+SUMPRODUCT((N$3:N$100&lt;&gt;"")*(G$3:G$100=G6))+SUMPRODUCT((P$3:P$100="")*(O$3:O$100="")*(N$3:N$100="")*(M$3:M$100="P")*(G$3:G$100=G6)*(J$3:J$100&gt;J6))+IF(H6="L5",SUMPRODUCT((P$3:P$100="")*(O$3:O$100="")*(N$3:N$100="")*(M$3:M$100="P")*(G$3:G$100=G6)*(J$3:J$100&lt;J6)*(H$3:H$100&lt;&gt;H6)),-1*SUMPRODUCT((P$3:P$100="")*(O$3:O$100="")*(N$3:N$100="")*(M$3:M$100="P")*(G$3:G$100=G6)*(J$3:J$100&gt;J6)*(H$3:H$100="L5")))+1,""))))</f>
        <v>4</v>
      </c>
      <c r="C6" s="36" t="s">
        <v>105</v>
      </c>
      <c r="D6" s="36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101.3002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O6" s="39">
        <v>4</v>
      </c>
      <c r="P6" s="39">
        <v>6</v>
      </c>
      <c r="Q6" s="1" t="str">
        <f t="shared" si="1"/>
        <v/>
      </c>
      <c r="R6" s="4">
        <f t="shared" si="2"/>
        <v>50</v>
      </c>
      <c r="S6" s="4">
        <f t="shared" si="3"/>
        <v>51.3</v>
      </c>
      <c r="T6" s="33">
        <v>50</v>
      </c>
      <c r="U6" s="40">
        <v>15.7</v>
      </c>
      <c r="V6" s="34">
        <v>51.3</v>
      </c>
      <c r="W6" s="40">
        <v>15.3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$100&lt;&gt;"")*(G$3:G$100=G7)*(J$3:J$100&gt;J7)*(I$3:I$100="P"))+1,IF(O7&lt;&gt;"",SUMPRODUCT((O$3:O$100&lt;&gt;"")*(P$3:P$100="")*(G$3:G$100=G7)*(J$3:J$100&gt;J7)*(I$3:I$100="P"))+SUMPRODUCT((P$3:P$100&lt;&gt;"")*(G$3:G$100=G7)*(I$3:I$100="P"))+1,IF(N7&lt;&gt;"",SUMPRODUCT((N$3:N$100&lt;&gt;"")*(G$3:G$100=G7)*(J$3:J$100&gt;J7)*(I$3:I$100="P"))+1,IF(M7="P",SUMPRODUCT((O$3:O$100&lt;&gt;"")*(P$3:P$100="")*(G$3:G$100=G7)*(I$3:I$100="P"))+SUMPRODUCT((P$3:P$100&lt;&gt;"")*(G$3:G$100=G7)*(I$3:I$100="P"))+SUMPRODUCT((N$3:N$100&lt;&gt;"")*(G$3:G$100=G7)*(I$3:I$100="P"))+SUMPRODUCT((P$3:P$100="")*(O$3:O$100="")*(N$3:N$100="")*(M$3:M$100="P")*(G$3:G$100=G7)*(J$3:J$100&gt;J7)*(I$3:I$100="P"))+IF(H7="L5",SUMPRODUCT((P$3:P$100="")*(O$3:O$100="")*(N$3:N$100="")*(M$3:M$100="P")*(G$3:G$100=G7)*(J$3:J$100&lt;J7)*(H$3:H$100&lt;&gt;H7)*(I$3:I$100="P")),-1*SUMPRODUCT((P$3:P$100="")*(O$3:O$100="")*(N$3:N$100="")*(M$3:M$100="P")*(G$3:G$100=G7)*(J$3:J$100&gt;J7)*(H$3:H$100="L5")*(I$3:I$100="P")))+1,"")))))</f>
        <v/>
      </c>
      <c r="B7" s="1" cm="1">
        <f t="array" ref="B7">IF(P7&lt;&gt;"",SUMPRODUCT((P$3:P$100&lt;&gt;"")*(G$3:G$100=G7)*(J$3:J$100&gt;J7))+1,IF(O7&lt;&gt;"",SUMPRODUCT((O$3:O$100&lt;&gt;"")*(P$3:P$100="")*(G$3:G$100=G7)*(J$3:J$100&gt;J7))+SUMPRODUCT((P$3:P$100&lt;&gt;"")*(G$3:G$100=G7))+1,IF(N7&lt;&gt;"",SUMPRODUCT((N$3:N$100&lt;&gt;"")*(G$3:G$100=G7)*(J$3:J$100&gt;J7))+1,IF(M7="P",SUMPRODUCT((O$3:O$100&lt;&gt;"")*(P$3:P$100="")*(G$3:G$100=G7))+SUMPRODUCT((P$3:P$100&lt;&gt;"")*(G$3:G$100=G7))+SUMPRODUCT((N$3:N$100&lt;&gt;"")*(G$3:G$100=G7))+SUMPRODUCT((P$3:P$100="")*(O$3:O$100="")*(N$3:N$100="")*(M$3:M$100="P")*(G$3:G$100=G7)*(J$3:J$100&gt;J7))+IF(H7="L5",SUMPRODUCT((P$3:P$100="")*(O$3:O$100="")*(N$3:N$100="")*(M$3:M$100="P")*(G$3:G$100=G7)*(J$3:J$100&lt;J7)*(H$3:H$100&lt;&gt;H7)),-1*SUMPRODUCT((P$3:P$100="")*(O$3:O$100="")*(N$3:N$100="")*(M$3:M$100="P")*(G$3:G$100=G7)*(J$3:J$100&gt;J7)*(H$3:H$100="L5")))+1,""))))</f>
        <v>5</v>
      </c>
      <c r="C7" s="36" t="s">
        <v>351</v>
      </c>
      <c r="D7" s="36" t="str">
        <f>IF(E7="","",VLOOKUP(E7,'Coaching Points'!A:B,2,0))</f>
        <v>BC</v>
      </c>
      <c r="E7" s="36" t="s">
        <v>41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99.900205140000011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P7" s="39">
        <v>8</v>
      </c>
      <c r="Q7" s="1" t="str">
        <f t="shared" si="1"/>
        <v/>
      </c>
      <c r="R7" s="4">
        <f t="shared" si="2"/>
        <v>51.4</v>
      </c>
      <c r="S7" s="4">
        <f t="shared" si="3"/>
        <v>48.5</v>
      </c>
      <c r="T7" s="33">
        <v>45.5</v>
      </c>
      <c r="U7" s="40">
        <v>9.6999999999999993</v>
      </c>
      <c r="V7" s="34"/>
      <c r="W7" s="40"/>
      <c r="X7" s="33">
        <v>51.4</v>
      </c>
      <c r="Y7" s="40">
        <v>15.4</v>
      </c>
      <c r="Z7" s="34">
        <v>48.5</v>
      </c>
      <c r="AA7" s="37">
        <v>12.399999999999999</v>
      </c>
    </row>
    <row r="8" spans="1:27" x14ac:dyDescent="0.2">
      <c r="A8" s="1" t="str" cm="1">
        <f t="array" ref="A8">IF(I8="","",IF(P8&lt;&gt;"",SUMPRODUCT((P$3:P$100&lt;&gt;"")*(G$3:G$100=G8)*(J$3:J$100&gt;J8)*(I$3:I$100="P"))+1,IF(O8&lt;&gt;"",SUMPRODUCT((O$3:O$100&lt;&gt;"")*(P$3:P$100="")*(G$3:G$100=G8)*(J$3:J$100&gt;J8)*(I$3:I$100="P"))+SUMPRODUCT((P$3:P$100&lt;&gt;"")*(G$3:G$100=G8)*(I$3:I$100="P"))+1,IF(N8&lt;&gt;"",SUMPRODUCT((N$3:N$100&lt;&gt;"")*(G$3:G$100=G8)*(J$3:J$100&gt;J8)*(I$3:I$100="P"))+1,IF(M8="P",SUMPRODUCT((O$3:O$100&lt;&gt;"")*(P$3:P$100="")*(G$3:G$100=G8)*(I$3:I$100="P"))+SUMPRODUCT((P$3:P$100&lt;&gt;"")*(G$3:G$100=G8)*(I$3:I$100="P"))+SUMPRODUCT((N$3:N$100&lt;&gt;"")*(G$3:G$100=G8)*(I$3:I$100="P"))+SUMPRODUCT((P$3:P$100="")*(O$3:O$100="")*(N$3:N$100="")*(M$3:M$100="P")*(G$3:G$100=G8)*(J$3:J$100&gt;J8)*(I$3:I$100="P"))+IF(H8="L5",SUMPRODUCT((P$3:P$100="")*(O$3:O$100="")*(N$3:N$100="")*(M$3:M$100="P")*(G$3:G$100=G8)*(J$3:J$100&lt;J8)*(H$3:H$100&lt;&gt;H8)*(I$3:I$100="P")),-1*SUMPRODUCT((P$3:P$100="")*(O$3:O$100="")*(N$3:N$100="")*(M$3:M$100="P")*(G$3:G$100=G8)*(J$3:J$100&gt;J8)*(H$3:H$100="L5")*(I$3:I$100="P")))+1,"")))))</f>
        <v/>
      </c>
      <c r="B8" s="1" cm="1">
        <f t="array" ref="B8">IF(P8&lt;&gt;"",SUMPRODUCT((P$3:P$100&lt;&gt;"")*(G$3:G$100=G8)*(J$3:J$100&gt;J8))+1,IF(O8&lt;&gt;"",SUMPRODUCT((O$3:O$100&lt;&gt;"")*(P$3:P$100="")*(G$3:G$100=G8)*(J$3:J$100&gt;J8))+SUMPRODUCT((P$3:P$100&lt;&gt;"")*(G$3:G$100=G8))+1,IF(N8&lt;&gt;"",SUMPRODUCT((N$3:N$100&lt;&gt;"")*(G$3:G$100=G8)*(J$3:J$100&gt;J8))+1,IF(M8="P",SUMPRODUCT((O$3:O$100&lt;&gt;"")*(P$3:P$100="")*(G$3:G$100=G8))+SUMPRODUCT((P$3:P$100&lt;&gt;"")*(G$3:G$100=G8))+SUMPRODUCT((N$3:N$100&lt;&gt;"")*(G$3:G$100=G8))+SUMPRODUCT((P$3:P$100="")*(O$3:O$100="")*(N$3:N$100="")*(M$3:M$100="P")*(G$3:G$100=G8)*(J$3:J$100&gt;J8))+IF(H8="L5",SUMPRODUCT((P$3:P$100="")*(O$3:O$100="")*(N$3:N$100="")*(M$3:M$100="P")*(G$3:G$100=G8)*(J$3:J$100&lt;J8)*(H$3:H$100&lt;&gt;H8)),-1*SUMPRODUCT((P$3:P$100="")*(O$3:O$100="")*(N$3:N$100="")*(M$3:M$100="P")*(G$3:G$100=G8)*(J$3:J$100&gt;J8)*(H$3:H$100="L5")))+1,""))))</f>
        <v>6</v>
      </c>
      <c r="C8" s="36" t="s">
        <v>527</v>
      </c>
      <c r="D8" s="36" t="str">
        <f>IF(E8="","",VLOOKUP(E8,'Coaching Points'!A:B,2,0))</f>
        <v>ON</v>
      </c>
      <c r="E8" s="36" t="s">
        <v>47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517</v>
      </c>
      <c r="I8" s="43"/>
      <c r="J8" s="4">
        <f t="shared" si="0"/>
        <v>51.20000512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O8" s="39">
        <v>2</v>
      </c>
      <c r="P8" s="39">
        <v>2</v>
      </c>
      <c r="Q8" s="1" t="str">
        <f t="shared" si="1"/>
        <v/>
      </c>
      <c r="R8" s="4">
        <f t="shared" si="2"/>
        <v>51.2</v>
      </c>
      <c r="S8" s="4">
        <f t="shared" si="3"/>
        <v>0</v>
      </c>
      <c r="T8" s="33"/>
      <c r="U8" s="40"/>
      <c r="V8" s="34"/>
      <c r="W8" s="40"/>
      <c r="X8" s="33">
        <v>51.2</v>
      </c>
      <c r="Y8" s="40">
        <v>14</v>
      </c>
      <c r="Z8" s="34"/>
      <c r="AA8" s="37"/>
    </row>
    <row r="9" spans="1:27" x14ac:dyDescent="0.2">
      <c r="A9" s="1" t="str" cm="1">
        <f t="array" ref="A9">IF(I9="","",IF(P9&lt;&gt;"",SUMPRODUCT((P$3:P$100&lt;&gt;"")*(G$3:G$100=G9)*(J$3:J$100&gt;J9)*(I$3:I$100="P"))+1,IF(O9&lt;&gt;"",SUMPRODUCT((O$3:O$100&lt;&gt;"")*(P$3:P$100="")*(G$3:G$100=G9)*(J$3:J$100&gt;J9)*(I$3:I$100="P"))+SUMPRODUCT((P$3:P$100&lt;&gt;"")*(G$3:G$100=G9)*(I$3:I$100="P"))+1,IF(N9&lt;&gt;"",SUMPRODUCT((N$3:N$100&lt;&gt;"")*(G$3:G$100=G9)*(J$3:J$100&gt;J9)*(I$3:I$100="P"))+1,IF(M9="P",SUMPRODUCT((O$3:O$100&lt;&gt;"")*(P$3:P$100="")*(G$3:G$100=G9)*(I$3:I$100="P"))+SUMPRODUCT((P$3:P$100&lt;&gt;"")*(G$3:G$100=G9)*(I$3:I$100="P"))+SUMPRODUCT((N$3:N$100&lt;&gt;"")*(G$3:G$100=G9)*(I$3:I$100="P"))+SUMPRODUCT((P$3:P$100="")*(O$3:O$100="")*(N$3:N$100="")*(M$3:M$100="P")*(G$3:G$100=G9)*(J$3:J$100&gt;J9)*(I$3:I$100="P"))+IF(H9="L5",SUMPRODUCT((P$3:P$100="")*(O$3:O$100="")*(N$3:N$100="")*(M$3:M$100="P")*(G$3:G$100=G9)*(J$3:J$100&lt;J9)*(H$3:H$100&lt;&gt;H9)*(I$3:I$100="P")),-1*SUMPRODUCT((P$3:P$100="")*(O$3:O$100="")*(N$3:N$100="")*(M$3:M$100="P")*(G$3:G$100=G9)*(J$3:J$100&gt;J9)*(H$3:H$100="L5")*(I$3:I$100="P")))+1,"")))))</f>
        <v/>
      </c>
      <c r="B9" s="1" cm="1">
        <f t="array" ref="B9">IF(P9&lt;&gt;"",SUMPRODUCT((P$3:P$100&lt;&gt;"")*(G$3:G$100=G9)*(J$3:J$100&gt;J9))+1,IF(O9&lt;&gt;"",SUMPRODUCT((O$3:O$100&lt;&gt;"")*(P$3:P$100="")*(G$3:G$100=G9)*(J$3:J$100&gt;J9))+SUMPRODUCT((P$3:P$100&lt;&gt;"")*(G$3:G$100=G9))+1,IF(N9&lt;&gt;"",SUMPRODUCT((N$3:N$100&lt;&gt;"")*(G$3:G$100=G9)*(J$3:J$100&gt;J9))+1,IF(M9="P",SUMPRODUCT((O$3:O$100&lt;&gt;"")*(P$3:P$100="")*(G$3:G$100=G9))+SUMPRODUCT((P$3:P$100&lt;&gt;"")*(G$3:G$100=G9))+SUMPRODUCT((N$3:N$100&lt;&gt;"")*(G$3:G$100=G9))+SUMPRODUCT((P$3:P$100="")*(O$3:O$100="")*(N$3:N$100="")*(M$3:M$100="P")*(G$3:G$100=G9)*(J$3:J$100&gt;J9))+IF(H9="L5",SUMPRODUCT((P$3:P$100="")*(O$3:O$100="")*(N$3:N$100="")*(M$3:M$100="P")*(G$3:G$100=G9)*(J$3:J$100&lt;J9)*(H$3:H$100&lt;&gt;H9)),-1*SUMPRODUCT((P$3:P$100="")*(O$3:O$100="")*(N$3:N$100="")*(M$3:M$100="P")*(G$3:G$100=G9)*(J$3:J$100&gt;J9)*(H$3:H$100="L5")))+1,""))))</f>
        <v>7</v>
      </c>
      <c r="C9" s="36" t="s">
        <v>526</v>
      </c>
      <c r="D9" s="36" t="str">
        <f>IF(E9="","",VLOOKUP(E9,'Coaching Points'!A:B,2,0))</f>
        <v>MB</v>
      </c>
      <c r="E9" s="36" t="s">
        <v>568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517</v>
      </c>
      <c r="I9" s="43"/>
      <c r="J9" s="4">
        <f t="shared" si="0"/>
        <v>104.90000529000001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 t="shared" si="1"/>
        <v/>
      </c>
      <c r="R9" s="4">
        <f t="shared" si="2"/>
        <v>52.9</v>
      </c>
      <c r="S9" s="4">
        <f t="shared" si="3"/>
        <v>52</v>
      </c>
      <c r="T9" s="33"/>
      <c r="U9" s="40"/>
      <c r="V9" s="34"/>
      <c r="W9" s="40"/>
      <c r="X9" s="33">
        <v>52.9</v>
      </c>
      <c r="Y9" s="40">
        <v>14.8</v>
      </c>
      <c r="Z9" s="34">
        <v>52</v>
      </c>
      <c r="AA9" s="37">
        <v>14.399999999999999</v>
      </c>
    </row>
    <row r="10" spans="1:27" x14ac:dyDescent="0.2">
      <c r="A10" s="1" t="str" cm="1">
        <f t="array" ref="A10">IF(I10="","",IF(P10&lt;&gt;"",SUMPRODUCT((P$3:P$100&lt;&gt;"")*(G$3:G$100=G10)*(J$3:J$100&gt;J10)*(I$3:I$100="P"))+1,IF(O10&lt;&gt;"",SUMPRODUCT((O$3:O$100&lt;&gt;"")*(P$3:P$100="")*(G$3:G$100=G10)*(J$3:J$100&gt;J10)*(I$3:I$100="P"))+SUMPRODUCT((P$3:P$100&lt;&gt;"")*(G$3:G$100=G10)*(I$3:I$100="P"))+1,IF(N10&lt;&gt;"",SUMPRODUCT((N$3:N$100&lt;&gt;"")*(G$3:G$100=G10)*(J$3:J$100&gt;J10)*(I$3:I$100="P"))+1,IF(M10="P",SUMPRODUCT((O$3:O$100&lt;&gt;"")*(P$3:P$100="")*(G$3:G$100=G10)*(I$3:I$100="P"))+SUMPRODUCT((P$3:P$100&lt;&gt;"")*(G$3:G$100=G10)*(I$3:I$100="P"))+SUMPRODUCT((N$3:N$100&lt;&gt;"")*(G$3:G$100=G10)*(I$3:I$100="P"))+SUMPRODUCT((P$3:P$100="")*(O$3:O$100="")*(N$3:N$100="")*(M$3:M$100="P")*(G$3:G$100=G10)*(J$3:J$100&gt;J10)*(I$3:I$100="P"))+IF(H10="L5",SUMPRODUCT((P$3:P$100="")*(O$3:O$100="")*(N$3:N$100="")*(M$3:M$100="P")*(G$3:G$100=G10)*(J$3:J$100&lt;J10)*(H$3:H$100&lt;&gt;H10)*(I$3:I$100="P")),-1*SUMPRODUCT((P$3:P$100="")*(O$3:O$100="")*(N$3:N$100="")*(M$3:M$100="P")*(G$3:G$100=G10)*(J$3:J$100&gt;J10)*(H$3:H$100="L5")*(I$3:I$100="P")))+1,"")))))</f>
        <v/>
      </c>
      <c r="B10" s="1" cm="1">
        <f t="array" ref="B10">IF(P10&lt;&gt;"",SUMPRODUCT((P$3:P$100&lt;&gt;"")*(G$3:G$100=G10)*(J$3:J$100&gt;J10))+1,IF(O10&lt;&gt;"",SUMPRODUCT((O$3:O$100&lt;&gt;"")*(P$3:P$100="")*(G$3:G$100=G10)*(J$3:J$100&gt;J10))+SUMPRODUCT((P$3:P$100&lt;&gt;"")*(G$3:G$100=G10))+1,IF(N10&lt;&gt;"",SUMPRODUCT((N$3:N$100&lt;&gt;"")*(G$3:G$100=G10)*(J$3:J$100&gt;J10))+1,IF(M10="P",SUMPRODUCT((O$3:O$100&lt;&gt;"")*(P$3:P$100="")*(G$3:G$100=G10))+SUMPRODUCT((P$3:P$100&lt;&gt;"")*(G$3:G$100=G10))+SUMPRODUCT((N$3:N$100&lt;&gt;"")*(G$3:G$100=G10))+SUMPRODUCT((P$3:P$100="")*(O$3:O$100="")*(N$3:N$100="")*(M$3:M$100="P")*(G$3:G$100=G10)*(J$3:J$100&gt;J10))+IF(H10="L5",SUMPRODUCT((P$3:P$100="")*(O$3:O$100="")*(N$3:N$100="")*(M$3:M$100="P")*(G$3:G$100=G10)*(J$3:J$100&lt;J10)*(H$3:H$100&lt;&gt;H10)),-1*SUMPRODUCT((P$3:P$100="")*(O$3:O$100="")*(N$3:N$100="")*(M$3:M$100="P")*(G$3:G$100=G10)*(J$3:J$100&gt;J10)*(H$3:H$100="L5")))+1,""))))</f>
        <v>8</v>
      </c>
      <c r="C10" s="36" t="s">
        <v>226</v>
      </c>
      <c r="D10" s="36" t="str">
        <f>IF(E10="","",VLOOKUP(E10,'Coaching Points'!A:B,2,0))</f>
        <v>QC</v>
      </c>
      <c r="E10" s="36" t="s">
        <v>3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102.00020252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 t="shared" si="1"/>
        <v/>
      </c>
      <c r="R10" s="4">
        <f t="shared" si="2"/>
        <v>51</v>
      </c>
      <c r="S10" s="4">
        <f t="shared" si="3"/>
        <v>51</v>
      </c>
      <c r="T10" s="33">
        <v>51</v>
      </c>
      <c r="U10" s="40">
        <v>15.2</v>
      </c>
      <c r="V10" s="34">
        <v>51</v>
      </c>
      <c r="W10" s="40">
        <v>15.2</v>
      </c>
      <c r="X10" s="33">
        <v>25.2</v>
      </c>
      <c r="Y10" s="40">
        <v>7.6</v>
      </c>
      <c r="Z10" s="34"/>
      <c r="AA10" s="37"/>
    </row>
    <row r="11" spans="1:27" x14ac:dyDescent="0.2">
      <c r="A11" s="1" t="str" cm="1">
        <f t="array" ref="A11">IF(I11="","",IF(P11&lt;&gt;"",SUMPRODUCT((P$3:P$100&lt;&gt;"")*(G$3:G$100=G11)*(J$3:J$100&gt;J11)*(I$3:I$100="P"))+1,IF(O11&lt;&gt;"",SUMPRODUCT((O$3:O$100&lt;&gt;"")*(P$3:P$100="")*(G$3:G$100=G11)*(J$3:J$100&gt;J11)*(I$3:I$100="P"))+SUMPRODUCT((P$3:P$100&lt;&gt;"")*(G$3:G$100=G11)*(I$3:I$100="P"))+1,IF(N11&lt;&gt;"",SUMPRODUCT((N$3:N$100&lt;&gt;"")*(G$3:G$100=G11)*(J$3:J$100&gt;J11)*(I$3:I$100="P"))+1,IF(M11="P",SUMPRODUCT((O$3:O$100&lt;&gt;"")*(P$3:P$100="")*(G$3:G$100=G11)*(I$3:I$100="P"))+SUMPRODUCT((P$3:P$100&lt;&gt;"")*(G$3:G$100=G11)*(I$3:I$100="P"))+SUMPRODUCT((N$3:N$100&lt;&gt;"")*(G$3:G$100=G11)*(I$3:I$100="P"))+SUMPRODUCT((P$3:P$100="")*(O$3:O$100="")*(N$3:N$100="")*(M$3:M$100="P")*(G$3:G$100=G11)*(J$3:J$100&gt;J11)*(I$3:I$100="P"))+IF(H11="L5",SUMPRODUCT((P$3:P$100="")*(O$3:O$100="")*(N$3:N$100="")*(M$3:M$100="P")*(G$3:G$100=G11)*(J$3:J$100&lt;J11)*(H$3:H$100&lt;&gt;H11)*(I$3:I$100="P")),-1*SUMPRODUCT((P$3:P$100="")*(O$3:O$100="")*(N$3:N$100="")*(M$3:M$100="P")*(G$3:G$100=G11)*(J$3:J$100&gt;J11)*(H$3:H$100="L5")*(I$3:I$100="P")))+1,"")))))</f>
        <v/>
      </c>
      <c r="B11" s="1" cm="1">
        <f t="array" ref="B11">IF(P11&lt;&gt;"",SUMPRODUCT((P$3:P$100&lt;&gt;"")*(G$3:G$100=G11)*(J$3:J$100&gt;J11))+1,IF(O11&lt;&gt;"",SUMPRODUCT((O$3:O$100&lt;&gt;"")*(P$3:P$100="")*(G$3:G$100=G11)*(J$3:J$100&gt;J11))+SUMPRODUCT((P$3:P$100&lt;&gt;"")*(G$3:G$100=G11))+1,IF(N11&lt;&gt;"",SUMPRODUCT((N$3:N$100&lt;&gt;"")*(G$3:G$100=G11)*(J$3:J$100&gt;J11))+1,IF(M11="P",SUMPRODUCT((O$3:O$100&lt;&gt;"")*(P$3:P$100="")*(G$3:G$100=G11))+SUMPRODUCT((P$3:P$100&lt;&gt;"")*(G$3:G$100=G11))+SUMPRODUCT((N$3:N$100&lt;&gt;"")*(G$3:G$100=G11))+SUMPRODUCT((P$3:P$100="")*(O$3:O$100="")*(N$3:N$100="")*(M$3:M$100="P")*(G$3:G$100=G11)*(J$3:J$100&gt;J11))+IF(H11="L5",SUMPRODUCT((P$3:P$100="")*(O$3:O$100="")*(N$3:N$100="")*(M$3:M$100="P")*(G$3:G$100=G11)*(J$3:J$100&lt;J11)*(H$3:H$100&lt;&gt;H11)),-1*SUMPRODUCT((P$3:P$100="")*(O$3:O$100="")*(N$3:N$100="")*(M$3:M$100="P")*(G$3:G$100=G11)*(J$3:J$100&gt;J11)*(H$3:H$100="L5")))+1,""))))</f>
        <v>9</v>
      </c>
      <c r="C11" s="36" t="s">
        <v>97</v>
      </c>
      <c r="D11" s="36" t="str">
        <f>IF(E11="","",VLOOKUP(E11,'Coaching Points'!A:B,2,0))</f>
        <v>MB</v>
      </c>
      <c r="E11" s="36" t="s">
        <v>69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101.9001051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 t="shared" si="1"/>
        <v/>
      </c>
      <c r="R11" s="4">
        <f t="shared" si="2"/>
        <v>50.9</v>
      </c>
      <c r="S11" s="4">
        <f t="shared" si="3"/>
        <v>51</v>
      </c>
      <c r="T11" s="33">
        <v>48.4</v>
      </c>
      <c r="U11" s="40">
        <v>12.4</v>
      </c>
      <c r="V11" s="34">
        <v>49.8</v>
      </c>
      <c r="W11" s="40">
        <v>13.2</v>
      </c>
      <c r="X11" s="33">
        <v>50.9</v>
      </c>
      <c r="Y11" s="40">
        <v>14</v>
      </c>
      <c r="Z11" s="34">
        <v>51</v>
      </c>
      <c r="AA11" s="37">
        <v>14</v>
      </c>
    </row>
    <row r="12" spans="1:27" x14ac:dyDescent="0.2">
      <c r="A12" s="1" t="str" cm="1">
        <f t="array" ref="A12">IF(I12="","",IF(P12&lt;&gt;"",SUMPRODUCT((P$3:P$100&lt;&gt;"")*(G$3:G$100=G12)*(J$3:J$100&gt;J12)*(I$3:I$100="P"))+1,IF(O12&lt;&gt;"",SUMPRODUCT((O$3:O$100&lt;&gt;"")*(P$3:P$100="")*(G$3:G$100=G12)*(J$3:J$100&gt;J12)*(I$3:I$100="P"))+SUMPRODUCT((P$3:P$100&lt;&gt;"")*(G$3:G$100=G12)*(I$3:I$100="P"))+1,IF(N12&lt;&gt;"",SUMPRODUCT((N$3:N$100&lt;&gt;"")*(G$3:G$100=G12)*(J$3:J$100&gt;J12)*(I$3:I$100="P"))+1,IF(M12="P",SUMPRODUCT((O$3:O$100&lt;&gt;"")*(P$3:P$100="")*(G$3:G$100=G12)*(I$3:I$100="P"))+SUMPRODUCT((P$3:P$100&lt;&gt;"")*(G$3:G$100=G12)*(I$3:I$100="P"))+SUMPRODUCT((N$3:N$100&lt;&gt;"")*(G$3:G$100=G12)*(I$3:I$100="P"))+SUMPRODUCT((P$3:P$100="")*(O$3:O$100="")*(N$3:N$100="")*(M$3:M$100="P")*(G$3:G$100=G12)*(J$3:J$100&gt;J12)*(I$3:I$100="P"))+IF(H12="L5",SUMPRODUCT((P$3:P$100="")*(O$3:O$100="")*(N$3:N$100="")*(M$3:M$100="P")*(G$3:G$100=G12)*(J$3:J$100&lt;J12)*(H$3:H$100&lt;&gt;H12)*(I$3:I$100="P")),-1*SUMPRODUCT((P$3:P$100="")*(O$3:O$100="")*(N$3:N$100="")*(M$3:M$100="P")*(G$3:G$100=G12)*(J$3:J$100&gt;J12)*(H$3:H$100="L5")*(I$3:I$100="P")))+1,"")))))</f>
        <v/>
      </c>
      <c r="B12" s="1" cm="1">
        <f t="array" ref="B12">IF(P12&lt;&gt;"",SUMPRODUCT((P$3:P$100&lt;&gt;"")*(G$3:G$100=G12)*(J$3:J$100&gt;J12))+1,IF(O12&lt;&gt;"",SUMPRODUCT((O$3:O$100&lt;&gt;"")*(P$3:P$100="")*(G$3:G$100=G12)*(J$3:J$100&gt;J12))+SUMPRODUCT((P$3:P$100&lt;&gt;"")*(G$3:G$100=G12))+1,IF(N12&lt;&gt;"",SUMPRODUCT((N$3:N$100&lt;&gt;"")*(G$3:G$100=G12)*(J$3:J$100&gt;J12))+1,IF(M12="P",SUMPRODUCT((O$3:O$100&lt;&gt;"")*(P$3:P$100="")*(G$3:G$100=G12))+SUMPRODUCT((P$3:P$100&lt;&gt;"")*(G$3:G$100=G12))+SUMPRODUCT((N$3:N$100&lt;&gt;"")*(G$3:G$100=G12))+SUMPRODUCT((P$3:P$100="")*(O$3:O$100="")*(N$3:N$100="")*(M$3:M$100="P")*(G$3:G$100=G12)*(J$3:J$100&gt;J12))+IF(H12="L5",SUMPRODUCT((P$3:P$100="")*(O$3:O$100="")*(N$3:N$100="")*(M$3:M$100="P")*(G$3:G$100=G12)*(J$3:J$100&lt;J12)*(H$3:H$100&lt;&gt;H12)),-1*SUMPRODUCT((P$3:P$100="")*(O$3:O$100="")*(N$3:N$100="")*(M$3:M$100="P")*(G$3:G$100=G12)*(J$3:J$100&gt;J12)*(H$3:H$100="L5")))+1,""))))</f>
        <v>10</v>
      </c>
      <c r="C12" s="36" t="s">
        <v>112</v>
      </c>
      <c r="D12" s="36" t="str">
        <f>IF(E12="","",VLOOKUP(E12,'Coaching Points'!A:B,2,0))</f>
        <v>QC</v>
      </c>
      <c r="E12" s="36" t="s">
        <v>3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100.0001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 t="shared" si="1"/>
        <v/>
      </c>
      <c r="R12" s="4">
        <f t="shared" si="2"/>
        <v>49.7</v>
      </c>
      <c r="S12" s="4">
        <f t="shared" si="3"/>
        <v>50.3</v>
      </c>
      <c r="T12" s="33">
        <v>49.7</v>
      </c>
      <c r="U12" s="40">
        <v>12.4</v>
      </c>
      <c r="V12" s="34">
        <v>50.3</v>
      </c>
      <c r="W12" s="40">
        <v>12.4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$100&lt;&gt;"")*(G$3:G$100=G13)*(J$3:J$100&gt;J13)*(I$3:I$100="P"))+1,IF(O13&lt;&gt;"",SUMPRODUCT((O$3:O$100&lt;&gt;"")*(P$3:P$100="")*(G$3:G$100=G13)*(J$3:J$100&gt;J13)*(I$3:I$100="P"))+SUMPRODUCT((P$3:P$100&lt;&gt;"")*(G$3:G$100=G13)*(I$3:I$100="P"))+1,IF(N13&lt;&gt;"",SUMPRODUCT((N$3:N$100&lt;&gt;"")*(G$3:G$100=G13)*(J$3:J$100&gt;J13)*(I$3:I$100="P"))+1,IF(M13="P",SUMPRODUCT((O$3:O$100&lt;&gt;"")*(P$3:P$100="")*(G$3:G$100=G13)*(I$3:I$100="P"))+SUMPRODUCT((P$3:P$100&lt;&gt;"")*(G$3:G$100=G13)*(I$3:I$100="P"))+SUMPRODUCT((N$3:N$100&lt;&gt;"")*(G$3:G$100=G13)*(I$3:I$100="P"))+SUMPRODUCT((P$3:P$100="")*(O$3:O$100="")*(N$3:N$100="")*(M$3:M$100="P")*(G$3:G$100=G13)*(J$3:J$100&gt;J13)*(I$3:I$100="P"))+IF(H13="L5",SUMPRODUCT((P$3:P$100="")*(O$3:O$100="")*(N$3:N$100="")*(M$3:M$100="P")*(G$3:G$100=G13)*(J$3:J$100&lt;J13)*(H$3:H$100&lt;&gt;H13)*(I$3:I$100="P")),-1*SUMPRODUCT((P$3:P$100="")*(O$3:O$100="")*(N$3:N$100="")*(M$3:M$100="P")*(G$3:G$100=G13)*(J$3:J$100&gt;J13)*(H$3:H$100="L5")*(I$3:I$100="P")))+1,"")))))</f>
        <v/>
      </c>
      <c r="B13" s="1" cm="1">
        <f t="array" ref="B13">IF(P13&lt;&gt;"",SUMPRODUCT((P$3:P$100&lt;&gt;"")*(G$3:G$100=G13)*(J$3:J$100&gt;J13))+1,IF(O13&lt;&gt;"",SUMPRODUCT((O$3:O$100&lt;&gt;"")*(P$3:P$100="")*(G$3:G$100=G13)*(J$3:J$100&gt;J13))+SUMPRODUCT((P$3:P$100&lt;&gt;"")*(G$3:G$100=G13))+1,IF(N13&lt;&gt;"",SUMPRODUCT((N$3:N$100&lt;&gt;"")*(G$3:G$100=G13)*(J$3:J$100&gt;J13))+1,IF(M13="P",SUMPRODUCT((O$3:O$100&lt;&gt;"")*(P$3:P$100="")*(G$3:G$100=G13))+SUMPRODUCT((P$3:P$100&lt;&gt;"")*(G$3:G$100=G13))+SUMPRODUCT((N$3:N$100&lt;&gt;"")*(G$3:G$100=G13))+SUMPRODUCT((P$3:P$100="")*(O$3:O$100="")*(N$3:N$100="")*(M$3:M$100="P")*(G$3:G$100=G13)*(J$3:J$100&gt;J13))+IF(H13="L5",SUMPRODUCT((P$3:P$100="")*(O$3:O$100="")*(N$3:N$100="")*(M$3:M$100="P")*(G$3:G$100=G13)*(J$3:J$100&lt;J13)*(H$3:H$100&lt;&gt;H13)),-1*SUMPRODUCT((P$3:P$100="")*(O$3:O$100="")*(N$3:N$100="")*(M$3:M$100="P")*(G$3:G$100=G13)*(J$3:J$100&gt;J13)*(H$3:H$100="L5")))+1,""))))</f>
        <v>11</v>
      </c>
      <c r="C13" s="36" t="s">
        <v>107</v>
      </c>
      <c r="D13" s="36" t="str">
        <f>IF(E13="","",VLOOKUP(E13,'Coaching Points'!A:B,2,0))</f>
        <v>ON</v>
      </c>
      <c r="E13" s="36" t="s">
        <v>73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74</v>
      </c>
      <c r="I13" s="43"/>
      <c r="J13" s="4">
        <f t="shared" si="0"/>
        <v>99.900205040000017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 t="shared" si="1"/>
        <v/>
      </c>
      <c r="R13" s="4">
        <f t="shared" si="2"/>
        <v>49.5</v>
      </c>
      <c r="S13" s="4">
        <f t="shared" si="3"/>
        <v>50.4</v>
      </c>
      <c r="T13" s="33">
        <v>24.2</v>
      </c>
      <c r="U13" s="40">
        <v>6</v>
      </c>
      <c r="V13" s="34"/>
      <c r="W13" s="40"/>
      <c r="X13" s="33">
        <v>49.5</v>
      </c>
      <c r="Y13" s="40">
        <v>12.4</v>
      </c>
      <c r="Z13" s="34">
        <v>50.4</v>
      </c>
      <c r="AA13" s="37">
        <v>13.2</v>
      </c>
    </row>
    <row r="14" spans="1:27" x14ac:dyDescent="0.2">
      <c r="A14" s="1" t="str" cm="1">
        <f t="array" ref="A14">IF(I14="","",IF(P14&lt;&gt;"",SUMPRODUCT((P$3:P$100&lt;&gt;"")*(G$3:G$100=G14)*(J$3:J$100&gt;J14)*(I$3:I$100="P"))+1,IF(O14&lt;&gt;"",SUMPRODUCT((O$3:O$100&lt;&gt;"")*(P$3:P$100="")*(G$3:G$100=G14)*(J$3:J$100&gt;J14)*(I$3:I$100="P"))+SUMPRODUCT((P$3:P$100&lt;&gt;"")*(G$3:G$100=G14)*(I$3:I$100="P"))+1,IF(N14&lt;&gt;"",SUMPRODUCT((N$3:N$100&lt;&gt;"")*(G$3:G$100=G14)*(J$3:J$100&gt;J14)*(I$3:I$100="P"))+1,IF(M14="P",SUMPRODUCT((O$3:O$100&lt;&gt;"")*(P$3:P$100="")*(G$3:G$100=G14)*(I$3:I$100="P"))+SUMPRODUCT((P$3:P$100&lt;&gt;"")*(G$3:G$100=G14)*(I$3:I$100="P"))+SUMPRODUCT((N$3:N$100&lt;&gt;"")*(G$3:G$100=G14)*(I$3:I$100="P"))+SUMPRODUCT((P$3:P$100="")*(O$3:O$100="")*(N$3:N$100="")*(M$3:M$100="P")*(G$3:G$100=G14)*(J$3:J$100&gt;J14)*(I$3:I$100="P"))+IF(H14="L5",SUMPRODUCT((P$3:P$100="")*(O$3:O$100="")*(N$3:N$100="")*(M$3:M$100="P")*(G$3:G$100=G14)*(J$3:J$100&lt;J14)*(H$3:H$100&lt;&gt;H14)*(I$3:I$100="P")),-1*SUMPRODUCT((P$3:P$100="")*(O$3:O$100="")*(N$3:N$100="")*(M$3:M$100="P")*(G$3:G$100=G14)*(J$3:J$100&gt;J14)*(H$3:H$100="L5")*(I$3:I$100="P")))+1,"")))))</f>
        <v/>
      </c>
      <c r="B14" s="1" cm="1">
        <f t="array" ref="B14">IF(P14&lt;&gt;"",SUMPRODUCT((P$3:P$100&lt;&gt;"")*(G$3:G$100=G14)*(J$3:J$100&gt;J14))+1,IF(O14&lt;&gt;"",SUMPRODUCT((O$3:O$100&lt;&gt;"")*(P$3:P$100="")*(G$3:G$100=G14)*(J$3:J$100&gt;J14))+SUMPRODUCT((P$3:P$100&lt;&gt;"")*(G$3:G$100=G14))+1,IF(N14&lt;&gt;"",SUMPRODUCT((N$3:N$100&lt;&gt;"")*(G$3:G$100=G14)*(J$3:J$100&gt;J14))+1,IF(M14="P",SUMPRODUCT((O$3:O$100&lt;&gt;"")*(P$3:P$100="")*(G$3:G$100=G14))+SUMPRODUCT((P$3:P$100&lt;&gt;"")*(G$3:G$100=G14))+SUMPRODUCT((N$3:N$100&lt;&gt;"")*(G$3:G$100=G14))+SUMPRODUCT((P$3:P$100="")*(O$3:O$100="")*(N$3:N$100="")*(M$3:M$100="P")*(G$3:G$100=G14)*(J$3:J$100&gt;J14))+IF(H14="L5",SUMPRODUCT((P$3:P$100="")*(O$3:O$100="")*(N$3:N$100="")*(M$3:M$100="P")*(G$3:G$100=G14)*(J$3:J$100&lt;J14)*(H$3:H$100&lt;&gt;H14)),-1*SUMPRODUCT((P$3:P$100="")*(O$3:O$100="")*(N$3:N$100="")*(M$3:M$100="P")*(G$3:G$100=G14)*(J$3:J$100&gt;J14)*(H$3:H$100="L5")))+1,""))))</f>
        <v>12</v>
      </c>
      <c r="C14" s="36" t="s">
        <v>75</v>
      </c>
      <c r="D14" s="36" t="str">
        <f>IF(E14="","",VLOOKUP(E14,'Coaching Points'!A:B,2,0))</f>
        <v>ON</v>
      </c>
      <c r="E14" s="36" t="s">
        <v>71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99.600105020000001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49.4</v>
      </c>
      <c r="S14" s="4">
        <f t="shared" si="3"/>
        <v>50.2</v>
      </c>
      <c r="T14" s="33">
        <v>40.1</v>
      </c>
      <c r="U14" s="40">
        <v>3.5</v>
      </c>
      <c r="V14" s="34">
        <v>45.6</v>
      </c>
      <c r="W14" s="40">
        <v>9.6000000000000014</v>
      </c>
      <c r="X14" s="33">
        <v>49.4</v>
      </c>
      <c r="Y14" s="40">
        <v>12.8</v>
      </c>
      <c r="Z14" s="34">
        <v>50.2</v>
      </c>
      <c r="AA14" s="37">
        <v>12.8</v>
      </c>
    </row>
    <row r="15" spans="1:27" x14ac:dyDescent="0.2">
      <c r="A15" s="1" t="str" cm="1">
        <f t="array" ref="A15">IF(I15="","",IF(P15&lt;&gt;"",SUMPRODUCT((P$3:P$100&lt;&gt;"")*(G$3:G$100=G15)*(J$3:J$100&gt;J15)*(I$3:I$100="P"))+1,IF(O15&lt;&gt;"",SUMPRODUCT((O$3:O$100&lt;&gt;"")*(P$3:P$100="")*(G$3:G$100=G15)*(J$3:J$100&gt;J15)*(I$3:I$100="P"))+SUMPRODUCT((P$3:P$100&lt;&gt;"")*(G$3:G$100=G15)*(I$3:I$100="P"))+1,IF(N15&lt;&gt;"",SUMPRODUCT((N$3:N$100&lt;&gt;"")*(G$3:G$100=G15)*(J$3:J$100&gt;J15)*(I$3:I$100="P"))+1,IF(M15="P",SUMPRODUCT((O$3:O$100&lt;&gt;"")*(P$3:P$100="")*(G$3:G$100=G15)*(I$3:I$100="P"))+SUMPRODUCT((P$3:P$100&lt;&gt;"")*(G$3:G$100=G15)*(I$3:I$100="P"))+SUMPRODUCT((N$3:N$100&lt;&gt;"")*(G$3:G$100=G15)*(I$3:I$100="P"))+SUMPRODUCT((P$3:P$100="")*(O$3:O$100="")*(N$3:N$100="")*(M$3:M$100="P")*(G$3:G$100=G15)*(J$3:J$100&gt;J15)*(I$3:I$100="P"))+IF(H15="L5",SUMPRODUCT((P$3:P$100="")*(O$3:O$100="")*(N$3:N$100="")*(M$3:M$100="P")*(G$3:G$100=G15)*(J$3:J$100&lt;J15)*(H$3:H$100&lt;&gt;H15)*(I$3:I$100="P")),-1*SUMPRODUCT((P$3:P$100="")*(O$3:O$100="")*(N$3:N$100="")*(M$3:M$100="P")*(G$3:G$100=G15)*(J$3:J$100&gt;J15)*(H$3:H$100="L5")*(I$3:I$100="P")))+1,"")))))</f>
        <v/>
      </c>
      <c r="B15" s="1" cm="1">
        <f t="array" ref="B15">IF(P15&lt;&gt;"",SUMPRODUCT((P$3:P$100&lt;&gt;"")*(G$3:G$100=G15)*(J$3:J$100&gt;J15))+1,IF(O15&lt;&gt;"",SUMPRODUCT((O$3:O$100&lt;&gt;"")*(P$3:P$100="")*(G$3:G$100=G15)*(J$3:J$100&gt;J15))+SUMPRODUCT((P$3:P$100&lt;&gt;"")*(G$3:G$100=G15))+1,IF(N15&lt;&gt;"",SUMPRODUCT((N$3:N$100&lt;&gt;"")*(G$3:G$100=G15)*(J$3:J$100&gt;J15))+1,IF(M15="P",SUMPRODUCT((O$3:O$100&lt;&gt;"")*(P$3:P$100="")*(G$3:G$100=G15))+SUMPRODUCT((P$3:P$100&lt;&gt;"")*(G$3:G$100=G15))+SUMPRODUCT((N$3:N$100&lt;&gt;"")*(G$3:G$100=G15))+SUMPRODUCT((P$3:P$100="")*(O$3:O$100="")*(N$3:N$100="")*(M$3:M$100="P")*(G$3:G$100=G15)*(J$3:J$100&gt;J15))+IF(H15="L5",SUMPRODUCT((P$3:P$100="")*(O$3:O$100="")*(N$3:N$100="")*(M$3:M$100="P")*(G$3:G$100=G15)*(J$3:J$100&lt;J15)*(H$3:H$100&lt;&gt;H15)),-1*SUMPRODUCT((P$3:P$100="")*(O$3:O$100="")*(N$3:N$100="")*(M$3:M$100="P")*(G$3:G$100=G15)*(J$3:J$100&gt;J15)*(H$3:H$100="L5")))+1,""))))</f>
        <v>13</v>
      </c>
      <c r="C15" s="36" t="s">
        <v>172</v>
      </c>
      <c r="D15" s="36" t="str">
        <f>IF(E15="","",VLOOKUP(E15,'Coaching Points'!A:B,2,0))</f>
        <v>AB</v>
      </c>
      <c r="E15" s="36" t="s">
        <v>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99.00010497000001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49.7</v>
      </c>
      <c r="S15" s="4">
        <f t="shared" si="3"/>
        <v>49.3</v>
      </c>
      <c r="T15" s="33">
        <v>48.5</v>
      </c>
      <c r="U15" s="40">
        <v>13.3</v>
      </c>
      <c r="V15" s="34">
        <v>49.3</v>
      </c>
      <c r="W15" s="40">
        <v>13.3</v>
      </c>
      <c r="X15" s="33">
        <v>49.7</v>
      </c>
      <c r="Y15" s="40">
        <v>14.1</v>
      </c>
      <c r="Z15" s="34">
        <v>49.1</v>
      </c>
      <c r="AA15" s="37">
        <v>14.1</v>
      </c>
    </row>
    <row r="16" spans="1:27" x14ac:dyDescent="0.2">
      <c r="A16" s="1" t="str" cm="1">
        <f t="array" ref="A16">IF(I16="","",IF(P16&lt;&gt;"",SUMPRODUCT((P$3:P$100&lt;&gt;"")*(G$3:G$100=G16)*(J$3:J$100&gt;J16)*(I$3:I$100="P"))+1,IF(O16&lt;&gt;"",SUMPRODUCT((O$3:O$100&lt;&gt;"")*(P$3:P$100="")*(G$3:G$100=G16)*(J$3:J$100&gt;J16)*(I$3:I$100="P"))+SUMPRODUCT((P$3:P$100&lt;&gt;"")*(G$3:G$100=G16)*(I$3:I$100="P"))+1,IF(N16&lt;&gt;"",SUMPRODUCT((N$3:N$100&lt;&gt;"")*(G$3:G$100=G16)*(J$3:J$100&gt;J16)*(I$3:I$100="P"))+1,IF(M16="P",SUMPRODUCT((O$3:O$100&lt;&gt;"")*(P$3:P$100="")*(G$3:G$100=G16)*(I$3:I$100="P"))+SUMPRODUCT((P$3:P$100&lt;&gt;"")*(G$3:G$100=G16)*(I$3:I$100="P"))+SUMPRODUCT((N$3:N$100&lt;&gt;"")*(G$3:G$100=G16)*(I$3:I$100="P"))+SUMPRODUCT((P$3:P$100="")*(O$3:O$100="")*(N$3:N$100="")*(M$3:M$100="P")*(G$3:G$100=G16)*(J$3:J$100&gt;J16)*(I$3:I$100="P"))+IF(H16="L5",SUMPRODUCT((P$3:P$100="")*(O$3:O$100="")*(N$3:N$100="")*(M$3:M$100="P")*(G$3:G$100=G16)*(J$3:J$100&lt;J16)*(H$3:H$100&lt;&gt;H16)*(I$3:I$100="P")),-1*SUMPRODUCT((P$3:P$100="")*(O$3:O$100="")*(N$3:N$100="")*(M$3:M$100="P")*(G$3:G$100=G16)*(J$3:J$100&gt;J16)*(H$3:H$100="L5")*(I$3:I$100="P")))+1,"")))))</f>
        <v/>
      </c>
      <c r="B16" s="1" cm="1">
        <f t="array" ref="B16">IF(P16&lt;&gt;"",SUMPRODUCT((P$3:P$100&lt;&gt;"")*(G$3:G$100=G16)*(J$3:J$100&gt;J16))+1,IF(O16&lt;&gt;"",SUMPRODUCT((O$3:O$100&lt;&gt;"")*(P$3:P$100="")*(G$3:G$100=G16)*(J$3:J$100&gt;J16))+SUMPRODUCT((P$3:P$100&lt;&gt;"")*(G$3:G$100=G16))+1,IF(N16&lt;&gt;"",SUMPRODUCT((N$3:N$100&lt;&gt;"")*(G$3:G$100=G16)*(J$3:J$100&gt;J16))+1,IF(M16="P",SUMPRODUCT((O$3:O$100&lt;&gt;"")*(P$3:P$100="")*(G$3:G$100=G16))+SUMPRODUCT((P$3:P$100&lt;&gt;"")*(G$3:G$100=G16))+SUMPRODUCT((N$3:N$100&lt;&gt;"")*(G$3:G$100=G16))+SUMPRODUCT((P$3:P$100="")*(O$3:O$100="")*(N$3:N$100="")*(M$3:M$100="P")*(G$3:G$100=G16)*(J$3:J$100&gt;J16))+IF(H16="L5",SUMPRODUCT((P$3:P$100="")*(O$3:O$100="")*(N$3:N$100="")*(M$3:M$100="P")*(G$3:G$100=G16)*(J$3:J$100&lt;J16)*(H$3:H$100&lt;&gt;H16)),-1*SUMPRODUCT((P$3:P$100="")*(O$3:O$100="")*(N$3:N$100="")*(M$3:M$100="P")*(G$3:G$100=G16)*(J$3:J$100&gt;J16)*(H$3:H$100="L5")))+1,""))))</f>
        <v>14</v>
      </c>
      <c r="C16" s="36" t="s">
        <v>294</v>
      </c>
      <c r="D16" s="36" t="str">
        <f>IF(E16="","",VLOOKUP(E16,'Coaching Points'!A:B,2,0))</f>
        <v>QC</v>
      </c>
      <c r="E16" s="36" t="s">
        <v>203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99.00010494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49.4</v>
      </c>
      <c r="S16" s="4">
        <f t="shared" si="3"/>
        <v>49.6</v>
      </c>
      <c r="T16" s="33">
        <v>43.3</v>
      </c>
      <c r="U16" s="40">
        <v>7.1999999999999993</v>
      </c>
      <c r="V16" s="34">
        <v>49.6</v>
      </c>
      <c r="W16" s="40">
        <v>11.6</v>
      </c>
      <c r="X16" s="33">
        <v>49.4</v>
      </c>
      <c r="Y16" s="40">
        <v>11.6</v>
      </c>
      <c r="Z16" s="34">
        <v>49.4</v>
      </c>
      <c r="AA16" s="37">
        <v>10.8</v>
      </c>
    </row>
    <row r="17" spans="1:27" x14ac:dyDescent="0.2">
      <c r="A17" s="1" t="str" cm="1">
        <f t="array" ref="A17">IF(I17="","",IF(P17&lt;&gt;"",SUMPRODUCT((P$3:P$100&lt;&gt;"")*(G$3:G$100=G17)*(J$3:J$100&gt;J17)*(I$3:I$100="P"))+1,IF(O17&lt;&gt;"",SUMPRODUCT((O$3:O$100&lt;&gt;"")*(P$3:P$100="")*(G$3:G$100=G17)*(J$3:J$100&gt;J17)*(I$3:I$100="P"))+SUMPRODUCT((P$3:P$100&lt;&gt;"")*(G$3:G$100=G17)*(I$3:I$100="P"))+1,IF(N17&lt;&gt;"",SUMPRODUCT((N$3:N$100&lt;&gt;"")*(G$3:G$100=G17)*(J$3:J$100&gt;J17)*(I$3:I$100="P"))+1,IF(M17="P",SUMPRODUCT((O$3:O$100&lt;&gt;"")*(P$3:P$100="")*(G$3:G$100=G17)*(I$3:I$100="P"))+SUMPRODUCT((P$3:P$100&lt;&gt;"")*(G$3:G$100=G17)*(I$3:I$100="P"))+SUMPRODUCT((N$3:N$100&lt;&gt;"")*(G$3:G$100=G17)*(I$3:I$100="P"))+SUMPRODUCT((P$3:P$100="")*(O$3:O$100="")*(N$3:N$100="")*(M$3:M$100="P")*(G$3:G$100=G17)*(J$3:J$100&gt;J17)*(I$3:I$100="P"))+IF(H17="L5",SUMPRODUCT((P$3:P$100="")*(O$3:O$100="")*(N$3:N$100="")*(M$3:M$100="P")*(G$3:G$100=G17)*(J$3:J$100&lt;J17)*(H$3:H$100&lt;&gt;H17)*(I$3:I$100="P")),-1*SUMPRODUCT((P$3:P$100="")*(O$3:O$100="")*(N$3:N$100="")*(M$3:M$100="P")*(G$3:G$100=G17)*(J$3:J$100&gt;J17)*(H$3:H$100="L5")*(I$3:I$100="P")))+1,"")))))</f>
        <v/>
      </c>
      <c r="B17" s="1" cm="1">
        <f t="array" ref="B17">IF(P17&lt;&gt;"",SUMPRODUCT((P$3:P$100&lt;&gt;"")*(G$3:G$100=G17)*(J$3:J$100&gt;J17))+1,IF(O17&lt;&gt;"",SUMPRODUCT((O$3:O$100&lt;&gt;"")*(P$3:P$100="")*(G$3:G$100=G17)*(J$3:J$100&gt;J17))+SUMPRODUCT((P$3:P$100&lt;&gt;"")*(G$3:G$100=G17))+1,IF(N17&lt;&gt;"",SUMPRODUCT((N$3:N$100&lt;&gt;"")*(G$3:G$100=G17)*(J$3:J$100&gt;J17))+1,IF(M17="P",SUMPRODUCT((O$3:O$100&lt;&gt;"")*(P$3:P$100="")*(G$3:G$100=G17))+SUMPRODUCT((P$3:P$100&lt;&gt;"")*(G$3:G$100=G17))+SUMPRODUCT((N$3:N$100&lt;&gt;"")*(G$3:G$100=G17))+SUMPRODUCT((P$3:P$100="")*(O$3:O$100="")*(N$3:N$100="")*(M$3:M$100="P")*(G$3:G$100=G17)*(J$3:J$100&gt;J17))+IF(H17="L5",SUMPRODUCT((P$3:P$100="")*(O$3:O$100="")*(N$3:N$100="")*(M$3:M$100="P")*(G$3:G$100=G17)*(J$3:J$100&lt;J17)*(H$3:H$100&lt;&gt;H17)),-1*SUMPRODUCT((P$3:P$100="")*(O$3:O$100="")*(N$3:N$100="")*(M$3:M$100="P")*(G$3:G$100=G17)*(J$3:J$100&gt;J17)*(H$3:H$100="L5")))+1,""))))</f>
        <v>15</v>
      </c>
      <c r="C17" s="36" t="s">
        <v>90</v>
      </c>
      <c r="D17" s="36" t="str">
        <f>IF(E17="","",VLOOKUP(E17,'Coaching Points'!A:B,2,0))</f>
        <v>ON</v>
      </c>
      <c r="E17" s="36" t="s">
        <v>47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98.80010498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 t="shared" si="1"/>
        <v/>
      </c>
      <c r="R17" s="4">
        <f t="shared" si="2"/>
        <v>49</v>
      </c>
      <c r="S17" s="4">
        <f t="shared" si="3"/>
        <v>49.8</v>
      </c>
      <c r="T17" s="33">
        <v>49</v>
      </c>
      <c r="U17" s="40">
        <v>12</v>
      </c>
      <c r="V17" s="34">
        <v>47.1</v>
      </c>
      <c r="W17" s="40">
        <v>11.6</v>
      </c>
      <c r="X17" s="33">
        <v>48.7</v>
      </c>
      <c r="Y17" s="40">
        <v>13.2</v>
      </c>
      <c r="Z17" s="34">
        <v>49.8</v>
      </c>
      <c r="AA17" s="37">
        <v>14</v>
      </c>
    </row>
    <row r="18" spans="1:27" x14ac:dyDescent="0.2">
      <c r="A18" s="1" t="str" cm="1">
        <f t="array" ref="A18">IF(I18="","",IF(P18&lt;&gt;"",SUMPRODUCT((P$3:P$100&lt;&gt;"")*(G$3:G$100=G18)*(J$3:J$100&gt;J18)*(I$3:I$100="P"))+1,IF(O18&lt;&gt;"",SUMPRODUCT((O$3:O$100&lt;&gt;"")*(P$3:P$100="")*(G$3:G$100=G18)*(J$3:J$100&gt;J18)*(I$3:I$100="P"))+SUMPRODUCT((P$3:P$100&lt;&gt;"")*(G$3:G$100=G18)*(I$3:I$100="P"))+1,IF(N18&lt;&gt;"",SUMPRODUCT((N$3:N$100&lt;&gt;"")*(G$3:G$100=G18)*(J$3:J$100&gt;J18)*(I$3:I$100="P"))+1,IF(M18="P",SUMPRODUCT((O$3:O$100&lt;&gt;"")*(P$3:P$100="")*(G$3:G$100=G18)*(I$3:I$100="P"))+SUMPRODUCT((P$3:P$100&lt;&gt;"")*(G$3:G$100=G18)*(I$3:I$100="P"))+SUMPRODUCT((N$3:N$100&lt;&gt;"")*(G$3:G$100=G18)*(I$3:I$100="P"))+SUMPRODUCT((P$3:P$100="")*(O$3:O$100="")*(N$3:N$100="")*(M$3:M$100="P")*(G$3:G$100=G18)*(J$3:J$100&gt;J18)*(I$3:I$100="P"))+IF(H18="L5",SUMPRODUCT((P$3:P$100="")*(O$3:O$100="")*(N$3:N$100="")*(M$3:M$100="P")*(G$3:G$100=G18)*(J$3:J$100&lt;J18)*(H$3:H$100&lt;&gt;H18)*(I$3:I$100="P")),-1*SUMPRODUCT((P$3:P$100="")*(O$3:O$100="")*(N$3:N$100="")*(M$3:M$100="P")*(G$3:G$100=G18)*(J$3:J$100&gt;J18)*(H$3:H$100="L5")*(I$3:I$100="P")))+1,"")))))</f>
        <v/>
      </c>
      <c r="B18" s="1" cm="1">
        <f t="array" ref="B18">IF(P18&lt;&gt;"",SUMPRODUCT((P$3:P$100&lt;&gt;"")*(G$3:G$100=G18)*(J$3:J$100&gt;J18))+1,IF(O18&lt;&gt;"",SUMPRODUCT((O$3:O$100&lt;&gt;"")*(P$3:P$100="")*(G$3:G$100=G18)*(J$3:J$100&gt;J18))+SUMPRODUCT((P$3:P$100&lt;&gt;"")*(G$3:G$100=G18))+1,IF(N18&lt;&gt;"",SUMPRODUCT((N$3:N$100&lt;&gt;"")*(G$3:G$100=G18)*(J$3:J$100&gt;J18))+1,IF(M18="P",SUMPRODUCT((O$3:O$100&lt;&gt;"")*(P$3:P$100="")*(G$3:G$100=G18))+SUMPRODUCT((P$3:P$100&lt;&gt;"")*(G$3:G$100=G18))+SUMPRODUCT((N$3:N$100&lt;&gt;"")*(G$3:G$100=G18))+SUMPRODUCT((P$3:P$100="")*(O$3:O$100="")*(N$3:N$100="")*(M$3:M$100="P")*(G$3:G$100=G18)*(J$3:J$100&gt;J18))+IF(H18="L5",SUMPRODUCT((P$3:P$100="")*(O$3:O$100="")*(N$3:N$100="")*(M$3:M$100="P")*(G$3:G$100=G18)*(J$3:J$100&lt;J18)*(H$3:H$100&lt;&gt;H18)),-1*SUMPRODUCT((P$3:P$100="")*(O$3:O$100="")*(N$3:N$100="")*(M$3:M$100="P")*(G$3:G$100=G18)*(J$3:J$100&gt;J18)*(H$3:H$100="L5")))+1,""))))</f>
        <v>16</v>
      </c>
      <c r="C18" s="36" t="s">
        <v>217</v>
      </c>
      <c r="D18" s="36" t="str">
        <f>IF(E18="","",VLOOKUP(E18,'Coaching Points'!A:B,2,0))</f>
        <v>BC</v>
      </c>
      <c r="E18" s="36" t="s">
        <v>284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96.50010485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1" t="str">
        <f t="shared" si="1"/>
        <v/>
      </c>
      <c r="R18" s="4">
        <f t="shared" si="2"/>
        <v>48.5</v>
      </c>
      <c r="S18" s="4">
        <f t="shared" si="3"/>
        <v>48</v>
      </c>
      <c r="T18" s="33">
        <v>44.1</v>
      </c>
      <c r="U18" s="40">
        <v>7.8</v>
      </c>
      <c r="V18" s="34">
        <v>40.799999999999997</v>
      </c>
      <c r="W18" s="40">
        <v>5.9</v>
      </c>
      <c r="X18" s="33">
        <v>48.5</v>
      </c>
      <c r="Y18" s="40">
        <v>14.1</v>
      </c>
      <c r="Z18" s="34">
        <v>48</v>
      </c>
      <c r="AA18" s="37">
        <v>14.100000000000001</v>
      </c>
    </row>
    <row r="19" spans="1:27" x14ac:dyDescent="0.2">
      <c r="A19" s="1" t="str" cm="1">
        <f t="array" ref="A19">IF(I19="","",IF(P19&lt;&gt;"",SUMPRODUCT((P$3:P$100&lt;&gt;"")*(G$3:G$100=G19)*(J$3:J$100&gt;J19)*(I$3:I$100="P"))+1,IF(O19&lt;&gt;"",SUMPRODUCT((O$3:O$100&lt;&gt;"")*(P$3:P$100="")*(G$3:G$100=G19)*(J$3:J$100&gt;J19)*(I$3:I$100="P"))+SUMPRODUCT((P$3:P$100&lt;&gt;"")*(G$3:G$100=G19)*(I$3:I$100="P"))+1,IF(N19&lt;&gt;"",SUMPRODUCT((N$3:N$100&lt;&gt;"")*(G$3:G$100=G19)*(J$3:J$100&gt;J19)*(I$3:I$100="P"))+1,IF(M19="P",SUMPRODUCT((O$3:O$100&lt;&gt;"")*(P$3:P$100="")*(G$3:G$100=G19)*(I$3:I$100="P"))+SUMPRODUCT((P$3:P$100&lt;&gt;"")*(G$3:G$100=G19)*(I$3:I$100="P"))+SUMPRODUCT((N$3:N$100&lt;&gt;"")*(G$3:G$100=G19)*(I$3:I$100="P"))+SUMPRODUCT((P$3:P$100="")*(O$3:O$100="")*(N$3:N$100="")*(M$3:M$100="P")*(G$3:G$100=G19)*(J$3:J$100&gt;J19)*(I$3:I$100="P"))+IF(H19="L5",SUMPRODUCT((P$3:P$100="")*(O$3:O$100="")*(N$3:N$100="")*(M$3:M$100="P")*(G$3:G$100=G19)*(J$3:J$100&lt;J19)*(H$3:H$100&lt;&gt;H19)*(I$3:I$100="P")),-1*SUMPRODUCT((P$3:P$100="")*(O$3:O$100="")*(N$3:N$100="")*(M$3:M$100="P")*(G$3:G$100=G19)*(J$3:J$100&gt;J19)*(H$3:H$100="L5")*(I$3:I$100="P")))+1,"")))))</f>
        <v/>
      </c>
      <c r="B19" s="1" cm="1">
        <f t="array" ref="B19">IF(P19&lt;&gt;"",SUMPRODUCT((P$3:P$100&lt;&gt;"")*(G$3:G$100=G19)*(J$3:J$100&gt;J19))+1,IF(O19&lt;&gt;"",SUMPRODUCT((O$3:O$100&lt;&gt;"")*(P$3:P$100="")*(G$3:G$100=G19)*(J$3:J$100&gt;J19))+SUMPRODUCT((P$3:P$100&lt;&gt;"")*(G$3:G$100=G19))+1,IF(N19&lt;&gt;"",SUMPRODUCT((N$3:N$100&lt;&gt;"")*(G$3:G$100=G19)*(J$3:J$100&gt;J19))+1,IF(M19="P",SUMPRODUCT((O$3:O$100&lt;&gt;"")*(P$3:P$100="")*(G$3:G$100=G19))+SUMPRODUCT((P$3:P$100&lt;&gt;"")*(G$3:G$100=G19))+SUMPRODUCT((N$3:N$100&lt;&gt;"")*(G$3:G$100=G19))+SUMPRODUCT((P$3:P$100="")*(O$3:O$100="")*(N$3:N$100="")*(M$3:M$100="P")*(G$3:G$100=G19)*(J$3:J$100&gt;J19))+IF(H19="L5",SUMPRODUCT((P$3:P$100="")*(O$3:O$100="")*(N$3:N$100="")*(M$3:M$100="P")*(G$3:G$100=G19)*(J$3:J$100&lt;J19)*(H$3:H$100&lt;&gt;H19)),-1*SUMPRODUCT((P$3:P$100="")*(O$3:O$100="")*(N$3:N$100="")*(M$3:M$100="P")*(G$3:G$100=G19)*(J$3:J$100&gt;J19)*(H$3:H$100="L5")))+1,""))))</f>
        <v>17</v>
      </c>
      <c r="C19" s="36" t="s">
        <v>114</v>
      </c>
      <c r="D19" s="36" t="str">
        <f>IF(E19="","",VLOOKUP(E19,'Coaching Points'!A:B,2,0))</f>
        <v>QC</v>
      </c>
      <c r="E19" s="36" t="s">
        <v>3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 t="shared" si="0"/>
        <v>95.400200000000012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1" t="str">
        <f t="shared" si="1"/>
        <v/>
      </c>
      <c r="R19" s="4">
        <f t="shared" si="2"/>
        <v>49.5</v>
      </c>
      <c r="S19" s="4">
        <f t="shared" si="3"/>
        <v>45.9</v>
      </c>
      <c r="T19" s="33">
        <v>49.5</v>
      </c>
      <c r="U19" s="40">
        <v>12.399999999999999</v>
      </c>
      <c r="V19" s="34">
        <v>45.9</v>
      </c>
      <c r="W19" s="40">
        <v>10.8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$100&lt;&gt;"")*(G$3:G$100=G20)*(J$3:J$100&gt;J20)*(I$3:I$100="P"))+1,IF(O20&lt;&gt;"",SUMPRODUCT((O$3:O$100&lt;&gt;"")*(P$3:P$100="")*(G$3:G$100=G20)*(J$3:J$100&gt;J20)*(I$3:I$100="P"))+SUMPRODUCT((P$3:P$100&lt;&gt;"")*(G$3:G$100=G20)*(I$3:I$100="P"))+1,IF(N20&lt;&gt;"",SUMPRODUCT((N$3:N$100&lt;&gt;"")*(G$3:G$100=G20)*(J$3:J$100&gt;J20)*(I$3:I$100="P"))+1,IF(M20="P",SUMPRODUCT((O$3:O$100&lt;&gt;"")*(P$3:P$100="")*(G$3:G$100=G20)*(I$3:I$100="P"))+SUMPRODUCT((P$3:P$100&lt;&gt;"")*(G$3:G$100=G20)*(I$3:I$100="P"))+SUMPRODUCT((N$3:N$100&lt;&gt;"")*(G$3:G$100=G20)*(I$3:I$100="P"))+SUMPRODUCT((P$3:P$100="")*(O$3:O$100="")*(N$3:N$100="")*(M$3:M$100="P")*(G$3:G$100=G20)*(J$3:J$100&gt;J20)*(I$3:I$100="P"))+IF(H20="L5",SUMPRODUCT((P$3:P$100="")*(O$3:O$100="")*(N$3:N$100="")*(M$3:M$100="P")*(G$3:G$100=G20)*(J$3:J$100&lt;J20)*(H$3:H$100&lt;&gt;H20)*(I$3:I$100="P")),-1*SUMPRODUCT((P$3:P$100="")*(O$3:O$100="")*(N$3:N$100="")*(M$3:M$100="P")*(G$3:G$100=G20)*(J$3:J$100&gt;J20)*(H$3:H$100="L5")*(I$3:I$100="P")))+1,"")))))</f>
        <v/>
      </c>
      <c r="B20" s="1" cm="1">
        <f t="array" ref="B20">IF(P20&lt;&gt;"",SUMPRODUCT((P$3:P$100&lt;&gt;"")*(G$3:G$100=G20)*(J$3:J$100&gt;J20))+1,IF(O20&lt;&gt;"",SUMPRODUCT((O$3:O$100&lt;&gt;"")*(P$3:P$100="")*(G$3:G$100=G20)*(J$3:J$100&gt;J20))+SUMPRODUCT((P$3:P$100&lt;&gt;"")*(G$3:G$100=G20))+1,IF(N20&lt;&gt;"",SUMPRODUCT((N$3:N$100&lt;&gt;"")*(G$3:G$100=G20)*(J$3:J$100&gt;J20))+1,IF(M20="P",SUMPRODUCT((O$3:O$100&lt;&gt;"")*(P$3:P$100="")*(G$3:G$100=G20))+SUMPRODUCT((P$3:P$100&lt;&gt;"")*(G$3:G$100=G20))+SUMPRODUCT((N$3:N$100&lt;&gt;"")*(G$3:G$100=G20))+SUMPRODUCT((P$3:P$100="")*(O$3:O$100="")*(N$3:N$100="")*(M$3:M$100="P")*(G$3:G$100=G20)*(J$3:J$100&gt;J20))+IF(H20="L5",SUMPRODUCT((P$3:P$100="")*(O$3:O$100="")*(N$3:N$100="")*(M$3:M$100="P")*(G$3:G$100=G20)*(J$3:J$100&lt;J20)*(H$3:H$100&lt;&gt;H20)),-1*SUMPRODUCT((P$3:P$100="")*(O$3:O$100="")*(N$3:N$100="")*(M$3:M$100="P")*(G$3:G$100=G20)*(J$3:J$100&gt;J20)*(H$3:H$100="L5")))+1,""))))</f>
        <v>18</v>
      </c>
      <c r="C20" s="36" t="s">
        <v>280</v>
      </c>
      <c r="D20" s="36" t="str">
        <f>IF(E20="","",VLOOKUP(E20,'Coaching Points'!A:B,2,0))</f>
        <v>AB</v>
      </c>
      <c r="E20" s="36" t="s">
        <v>29</v>
      </c>
      <c r="F20" s="35">
        <v>2002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74</v>
      </c>
      <c r="I20" s="43"/>
      <c r="J20" s="4">
        <f t="shared" si="0"/>
        <v>73.200204880000001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 t="shared" si="1"/>
        <v/>
      </c>
      <c r="R20" s="4">
        <f t="shared" si="2"/>
        <v>48.8</v>
      </c>
      <c r="S20" s="4">
        <f t="shared" si="3"/>
        <v>24.4</v>
      </c>
      <c r="T20" s="33">
        <v>24.4</v>
      </c>
      <c r="U20" s="40">
        <v>6</v>
      </c>
      <c r="V20" s="34"/>
      <c r="W20" s="40"/>
      <c r="X20" s="33">
        <v>48.8</v>
      </c>
      <c r="Y20" s="40">
        <v>13.2</v>
      </c>
      <c r="Z20" s="34"/>
      <c r="AA20" s="37"/>
    </row>
    <row r="21" spans="1:27" x14ac:dyDescent="0.2">
      <c r="A21" s="1" t="str" cm="1">
        <f t="array" ref="A21">IF(I21="","",IF(P21&lt;&gt;"",SUMPRODUCT((P$3:P$100&lt;&gt;"")*(G$3:G$100=G21)*(J$3:J$100&gt;J21)*(I$3:I$100="P"))+1,IF(O21&lt;&gt;"",SUMPRODUCT((O$3:O$100&lt;&gt;"")*(P$3:P$100="")*(G$3:G$100=G21)*(J$3:J$100&gt;J21)*(I$3:I$100="P"))+SUMPRODUCT((P$3:P$100&lt;&gt;"")*(G$3:G$100=G21)*(I$3:I$100="P"))+1,IF(N21&lt;&gt;"",SUMPRODUCT((N$3:N$100&lt;&gt;"")*(G$3:G$100=G21)*(J$3:J$100&gt;J21)*(I$3:I$100="P"))+1,IF(M21="P",SUMPRODUCT((O$3:O$100&lt;&gt;"")*(P$3:P$100="")*(G$3:G$100=G21)*(I$3:I$100="P"))+SUMPRODUCT((P$3:P$100&lt;&gt;"")*(G$3:G$100=G21)*(I$3:I$100="P"))+SUMPRODUCT((N$3:N$100&lt;&gt;"")*(G$3:G$100=G21)*(I$3:I$100="P"))+SUMPRODUCT((P$3:P$100="")*(O$3:O$100="")*(N$3:N$100="")*(M$3:M$100="P")*(G$3:G$100=G21)*(J$3:J$100&gt;J21)*(I$3:I$100="P"))+IF(H21="L5",SUMPRODUCT((P$3:P$100="")*(O$3:O$100="")*(N$3:N$100="")*(M$3:M$100="P")*(G$3:G$100=G21)*(J$3:J$100&lt;J21)*(H$3:H$100&lt;&gt;H21)*(I$3:I$100="P")),-1*SUMPRODUCT((P$3:P$100="")*(O$3:O$100="")*(N$3:N$100="")*(M$3:M$100="P")*(G$3:G$100=G21)*(J$3:J$100&gt;J21)*(H$3:H$100="L5")*(I$3:I$100="P")))+1,"")))))</f>
        <v/>
      </c>
      <c r="B21" s="1" cm="1">
        <f t="array" ref="B21">IF(P21&lt;&gt;"",SUMPRODUCT((P$3:P$100&lt;&gt;"")*(G$3:G$100=G21)*(J$3:J$100&gt;J21))+1,IF(O21&lt;&gt;"",SUMPRODUCT((O$3:O$100&lt;&gt;"")*(P$3:P$100="")*(G$3:G$100=G21)*(J$3:J$100&gt;J21))+SUMPRODUCT((P$3:P$100&lt;&gt;"")*(G$3:G$100=G21))+1,IF(N21&lt;&gt;"",SUMPRODUCT((N$3:N$100&lt;&gt;"")*(G$3:G$100=G21)*(J$3:J$100&gt;J21))+1,IF(M21="P",SUMPRODUCT((O$3:O$100&lt;&gt;"")*(P$3:P$100="")*(G$3:G$100=G21))+SUMPRODUCT((P$3:P$100&lt;&gt;"")*(G$3:G$100=G21))+SUMPRODUCT((N$3:N$100&lt;&gt;"")*(G$3:G$100=G21))+SUMPRODUCT((P$3:P$100="")*(O$3:O$100="")*(N$3:N$100="")*(M$3:M$100="P")*(G$3:G$100=G21)*(J$3:J$100&gt;J21))+IF(H21="L5",SUMPRODUCT((P$3:P$100="")*(O$3:O$100="")*(N$3:N$100="")*(M$3:M$100="P")*(G$3:G$100=G21)*(J$3:J$100&lt;J21)*(H$3:H$100&lt;&gt;H21)),-1*SUMPRODUCT((P$3:P$100="")*(O$3:O$100="")*(N$3:N$100="")*(M$3:M$100="P")*(G$3:G$100=G21)*(J$3:J$100&gt;J21)*(H$3:H$100="L5")))+1,""))))</f>
        <v>19</v>
      </c>
      <c r="C21" s="36" t="s">
        <v>108</v>
      </c>
      <c r="D21" s="36" t="str">
        <f>IF(E21="","",VLOOKUP(E21,'Coaching Points'!A:B,2,0))</f>
        <v>BC</v>
      </c>
      <c r="E21" s="36" t="s">
        <v>41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74</v>
      </c>
      <c r="I21" s="43"/>
      <c r="J21" s="4">
        <f t="shared" si="0"/>
        <v>68.100201839999997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 t="shared" si="1"/>
        <v/>
      </c>
      <c r="R21" s="4">
        <f t="shared" si="2"/>
        <v>49.7</v>
      </c>
      <c r="S21" s="4">
        <f t="shared" si="3"/>
        <v>18.399999999999999</v>
      </c>
      <c r="T21" s="33">
        <v>49.7</v>
      </c>
      <c r="U21" s="40">
        <v>14</v>
      </c>
      <c r="V21" s="34"/>
      <c r="W21" s="40"/>
      <c r="X21" s="33">
        <v>18.399999999999999</v>
      </c>
      <c r="Y21" s="40">
        <v>3.4</v>
      </c>
      <c r="Z21" s="34"/>
      <c r="AA21" s="37"/>
    </row>
    <row r="22" spans="1:27" x14ac:dyDescent="0.2">
      <c r="A22" s="1" t="str" cm="1">
        <f t="array" ref="A22">IF(I22="","",IF(P22&lt;&gt;"",SUMPRODUCT((P$3:P$100&lt;&gt;"")*(G$3:G$100=G22)*(J$3:J$100&gt;J22)*(I$3:I$100="P"))+1,IF(O22&lt;&gt;"",SUMPRODUCT((O$3:O$100&lt;&gt;"")*(P$3:P$100="")*(G$3:G$100=G22)*(J$3:J$100&gt;J22)*(I$3:I$100="P"))+SUMPRODUCT((P$3:P$100&lt;&gt;"")*(G$3:G$100=G22)*(I$3:I$100="P"))+1,IF(N22&lt;&gt;"",SUMPRODUCT((N$3:N$100&lt;&gt;"")*(G$3:G$100=G22)*(J$3:J$100&gt;J22)*(I$3:I$100="P"))+1,IF(M22="P",SUMPRODUCT((O$3:O$100&lt;&gt;"")*(P$3:P$100="")*(G$3:G$100=G22)*(I$3:I$100="P"))+SUMPRODUCT((P$3:P$100&lt;&gt;"")*(G$3:G$100=G22)*(I$3:I$100="P"))+SUMPRODUCT((N$3:N$100&lt;&gt;"")*(G$3:G$100=G22)*(I$3:I$100="P"))+SUMPRODUCT((P$3:P$100="")*(O$3:O$100="")*(N$3:N$100="")*(M$3:M$100="P")*(G$3:G$100=G22)*(J$3:J$100&gt;J22)*(I$3:I$100="P"))+IF(H22="L5",SUMPRODUCT((P$3:P$100="")*(O$3:O$100="")*(N$3:N$100="")*(M$3:M$100="P")*(G$3:G$100=G22)*(J$3:J$100&lt;J22)*(H$3:H$100&lt;&gt;H22)*(I$3:I$100="P")),-1*SUMPRODUCT((P$3:P$100="")*(O$3:O$100="")*(N$3:N$100="")*(M$3:M$100="P")*(G$3:G$100=G22)*(J$3:J$100&gt;J22)*(H$3:H$100="L5")*(I$3:I$100="P")))+1,"")))))</f>
        <v/>
      </c>
      <c r="B22" s="1" cm="1">
        <f t="array" ref="B22">IF(P22&lt;&gt;"",SUMPRODUCT((P$3:P$100&lt;&gt;"")*(G$3:G$100=G22)*(J$3:J$100&gt;J22))+1,IF(O22&lt;&gt;"",SUMPRODUCT((O$3:O$100&lt;&gt;"")*(P$3:P$100="")*(G$3:G$100=G22)*(J$3:J$100&gt;J22))+SUMPRODUCT((P$3:P$100&lt;&gt;"")*(G$3:G$100=G22))+1,IF(N22&lt;&gt;"",SUMPRODUCT((N$3:N$100&lt;&gt;"")*(G$3:G$100=G22)*(J$3:J$100&gt;J22))+1,IF(M22="P",SUMPRODUCT((O$3:O$100&lt;&gt;"")*(P$3:P$100="")*(G$3:G$100=G22))+SUMPRODUCT((P$3:P$100&lt;&gt;"")*(G$3:G$100=G22))+SUMPRODUCT((N$3:N$100&lt;&gt;"")*(G$3:G$100=G22))+SUMPRODUCT((P$3:P$100="")*(O$3:O$100="")*(N$3:N$100="")*(M$3:M$100="P")*(G$3:G$100=G22)*(J$3:J$100&gt;J22))+IF(H22="L5",SUMPRODUCT((P$3:P$100="")*(O$3:O$100="")*(N$3:N$100="")*(M$3:M$100="P")*(G$3:G$100=G22)*(J$3:J$100&lt;J22)*(H$3:H$100&lt;&gt;H22)),-1*SUMPRODUCT((P$3:P$100="")*(O$3:O$100="")*(N$3:N$100="")*(M$3:M$100="P")*(G$3:G$100=G22)*(J$3:J$100&gt;J22)*(H$3:H$100="L5")))+1,""))))</f>
        <v>20</v>
      </c>
      <c r="C22" s="36" t="s">
        <v>227</v>
      </c>
      <c r="D22" s="36" t="str">
        <f>IF(E22="","",VLOOKUP(E22,'Coaching Points'!A:B,2,0))</f>
        <v>QC</v>
      </c>
      <c r="E22" s="36" t="s">
        <v>286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96.200004849999999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 t="shared" si="1"/>
        <v/>
      </c>
      <c r="R22" s="4">
        <f t="shared" si="2"/>
        <v>48.5</v>
      </c>
      <c r="S22" s="4">
        <f t="shared" si="3"/>
        <v>47.7</v>
      </c>
      <c r="T22" s="33">
        <v>44.1</v>
      </c>
      <c r="U22" s="40">
        <v>6.6</v>
      </c>
      <c r="V22" s="34">
        <v>44.7</v>
      </c>
      <c r="W22" s="40">
        <v>8.3000000000000007</v>
      </c>
      <c r="X22" s="33">
        <v>48.5</v>
      </c>
      <c r="Y22" s="40">
        <v>12.8</v>
      </c>
      <c r="Z22" s="34">
        <v>47.7</v>
      </c>
      <c r="AA22" s="37">
        <v>13.2</v>
      </c>
    </row>
    <row r="23" spans="1:27" x14ac:dyDescent="0.2">
      <c r="A23" s="1" t="str" cm="1">
        <f t="array" ref="A23">IF(I23="","",IF(P23&lt;&gt;"",SUMPRODUCT((P$3:P$100&lt;&gt;"")*(G$3:G$100=G23)*(J$3:J$100&gt;J23)*(I$3:I$100="P"))+1,IF(O23&lt;&gt;"",SUMPRODUCT((O$3:O$100&lt;&gt;"")*(P$3:P$100="")*(G$3:G$100=G23)*(J$3:J$100&gt;J23)*(I$3:I$100="P"))+SUMPRODUCT((P$3:P$100&lt;&gt;"")*(G$3:G$100=G23)*(I$3:I$100="P"))+1,IF(N23&lt;&gt;"",SUMPRODUCT((N$3:N$100&lt;&gt;"")*(G$3:G$100=G23)*(J$3:J$100&gt;J23)*(I$3:I$100="P"))+1,IF(M23="P",SUMPRODUCT((O$3:O$100&lt;&gt;"")*(P$3:P$100="")*(G$3:G$100=G23)*(I$3:I$100="P"))+SUMPRODUCT((P$3:P$100&lt;&gt;"")*(G$3:G$100=G23)*(I$3:I$100="P"))+SUMPRODUCT((N$3:N$100&lt;&gt;"")*(G$3:G$100=G23)*(I$3:I$100="P"))+SUMPRODUCT((P$3:P$100="")*(O$3:O$100="")*(N$3:N$100="")*(M$3:M$100="P")*(G$3:G$100=G23)*(J$3:J$100&gt;J23)*(I$3:I$100="P"))+IF(H23="L5",SUMPRODUCT((P$3:P$100="")*(O$3:O$100="")*(N$3:N$100="")*(M$3:M$100="P")*(G$3:G$100=G23)*(J$3:J$100&lt;J23)*(H$3:H$100&lt;&gt;H23)*(I$3:I$100="P")),-1*SUMPRODUCT((P$3:P$100="")*(O$3:O$100="")*(N$3:N$100="")*(M$3:M$100="P")*(G$3:G$100=G23)*(J$3:J$100&gt;J23)*(H$3:H$100="L5")*(I$3:I$100="P")))+1,"")))))</f>
        <v/>
      </c>
      <c r="B23" s="1" cm="1">
        <f t="array" ref="B23">IF(P23&lt;&gt;"",SUMPRODUCT((P$3:P$100&lt;&gt;"")*(G$3:G$100=G23)*(J$3:J$100&gt;J23))+1,IF(O23&lt;&gt;"",SUMPRODUCT((O$3:O$100&lt;&gt;"")*(P$3:P$100="")*(G$3:G$100=G23)*(J$3:J$100&gt;J23))+SUMPRODUCT((P$3:P$100&lt;&gt;"")*(G$3:G$100=G23))+1,IF(N23&lt;&gt;"",SUMPRODUCT((N$3:N$100&lt;&gt;"")*(G$3:G$100=G23)*(J$3:J$100&gt;J23))+1,IF(M23="P",SUMPRODUCT((O$3:O$100&lt;&gt;"")*(P$3:P$100="")*(G$3:G$100=G23))+SUMPRODUCT((P$3:P$100&lt;&gt;"")*(G$3:G$100=G23))+SUMPRODUCT((N$3:N$100&lt;&gt;"")*(G$3:G$100=G23))+SUMPRODUCT((P$3:P$100="")*(O$3:O$100="")*(N$3:N$100="")*(M$3:M$100="P")*(G$3:G$100=G23)*(J$3:J$100&gt;J23))+IF(H23="L5",SUMPRODUCT((P$3:P$100="")*(O$3:O$100="")*(N$3:N$100="")*(M$3:M$100="P")*(G$3:G$100=G23)*(J$3:J$100&lt;J23)*(H$3:H$100&lt;&gt;H23)),-1*SUMPRODUCT((P$3:P$100="")*(O$3:O$100="")*(N$3:N$100="")*(M$3:M$100="P")*(G$3:G$100=G23)*(J$3:J$100&gt;J23)*(H$3:H$100="L5")))+1,""))))</f>
        <v>21</v>
      </c>
      <c r="C23" s="36" t="s">
        <v>347</v>
      </c>
      <c r="D23" s="36" t="str">
        <f>IF(E23="","",VLOOKUP(E23,'Coaching Points'!A:B,2,0))</f>
        <v>BC</v>
      </c>
      <c r="E23" s="36" t="s">
        <v>41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94.100004839999997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 t="shared" si="1"/>
        <v/>
      </c>
      <c r="R23" s="4">
        <f t="shared" si="2"/>
        <v>48.4</v>
      </c>
      <c r="S23" s="4">
        <f t="shared" si="3"/>
        <v>45.7</v>
      </c>
      <c r="T23" s="33">
        <v>45.7</v>
      </c>
      <c r="U23" s="40">
        <v>8.8000000000000007</v>
      </c>
      <c r="V23" s="34">
        <v>44</v>
      </c>
      <c r="W23" s="40">
        <v>6.9</v>
      </c>
      <c r="X23" s="33">
        <v>48.4</v>
      </c>
      <c r="Y23" s="40">
        <v>13.3</v>
      </c>
      <c r="Z23" s="34">
        <v>39.9</v>
      </c>
      <c r="AA23" s="37">
        <v>5.1999999999999993</v>
      </c>
    </row>
    <row r="24" spans="1:27" x14ac:dyDescent="0.2">
      <c r="A24" s="1" t="str" cm="1">
        <f t="array" ref="A24">IF(I24="","",IF(P24&lt;&gt;"",SUMPRODUCT((P$3:P$100&lt;&gt;"")*(G$3:G$100=G24)*(J$3:J$100&gt;J24)*(I$3:I$100="P"))+1,IF(O24&lt;&gt;"",SUMPRODUCT((O$3:O$100&lt;&gt;"")*(P$3:P$100="")*(G$3:G$100=G24)*(J$3:J$100&gt;J24)*(I$3:I$100="P"))+SUMPRODUCT((P$3:P$100&lt;&gt;"")*(G$3:G$100=G24)*(I$3:I$100="P"))+1,IF(N24&lt;&gt;"",SUMPRODUCT((N$3:N$100&lt;&gt;"")*(G$3:G$100=G24)*(J$3:J$100&gt;J24)*(I$3:I$100="P"))+1,IF(M24="P",SUMPRODUCT((O$3:O$100&lt;&gt;"")*(P$3:P$100="")*(G$3:G$100=G24)*(I$3:I$100="P"))+SUMPRODUCT((P$3:P$100&lt;&gt;"")*(G$3:G$100=G24)*(I$3:I$100="P"))+SUMPRODUCT((N$3:N$100&lt;&gt;"")*(G$3:G$100=G24)*(I$3:I$100="P"))+SUMPRODUCT((P$3:P$100="")*(O$3:O$100="")*(N$3:N$100="")*(M$3:M$100="P")*(G$3:G$100=G24)*(J$3:J$100&gt;J24)*(I$3:I$100="P"))+IF(H24="L5",SUMPRODUCT((P$3:P$100="")*(O$3:O$100="")*(N$3:N$100="")*(M$3:M$100="P")*(G$3:G$100=G24)*(J$3:J$100&lt;J24)*(H$3:H$100&lt;&gt;H24)*(I$3:I$100="P")),-1*SUMPRODUCT((P$3:P$100="")*(O$3:O$100="")*(N$3:N$100="")*(M$3:M$100="P")*(G$3:G$100=G24)*(J$3:J$100&gt;J24)*(H$3:H$100="L5")*(I$3:I$100="P")))+1,"")))))</f>
        <v/>
      </c>
      <c r="B24" s="1" t="str" cm="1">
        <f t="array" ref="B24">IF(P24&lt;&gt;"",SUMPRODUCT((P$3:P$100&lt;&gt;"")*(G$3:G$100=G24)*(J$3:J$100&gt;J24))+1,IF(O24&lt;&gt;"",SUMPRODUCT((O$3:O$100&lt;&gt;"")*(P$3:P$100="")*(G$3:G$100=G24)*(J$3:J$100&gt;J24))+SUMPRODUCT((P$3:P$100&lt;&gt;"")*(G$3:G$100=G24))+1,IF(N24&lt;&gt;"",SUMPRODUCT((N$3:N$100&lt;&gt;"")*(G$3:G$100=G24)*(J$3:J$100&gt;J24))+1,IF(M24="P",SUMPRODUCT((O$3:O$100&lt;&gt;"")*(P$3:P$100="")*(G$3:G$100=G24))+SUMPRODUCT((P$3:P$100&lt;&gt;"")*(G$3:G$100=G24))+SUMPRODUCT((N$3:N$100&lt;&gt;"")*(G$3:G$100=G24))+SUMPRODUCT((P$3:P$100="")*(O$3:O$100="")*(N$3:N$100="")*(M$3:M$100="P")*(G$3:G$100=G24)*(J$3:J$100&gt;J24))+IF(H24="L5",SUMPRODUCT((P$3:P$100="")*(O$3:O$100="")*(N$3:N$100="")*(M$3:M$100="P")*(G$3:G$100=G24)*(J$3:J$100&lt;J24)*(H$3:H$100&lt;&gt;H24)),-1*SUMPRODUCT((P$3:P$100="")*(O$3:O$100="")*(N$3:N$100="")*(M$3:M$100="P")*(G$3:G$100=G24)*(J$3:J$100&gt;J24)*(H$3:H$100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 t="shared" si="1"/>
        <v/>
      </c>
      <c r="R24" s="4">
        <f t="shared" si="2"/>
        <v>47.1</v>
      </c>
      <c r="S24" s="4">
        <f t="shared" si="3"/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$100&lt;&gt;"")*(G$3:G$100=G25)*(J$3:J$100&gt;J25)*(I$3:I$100="P"))+1,IF(O25&lt;&gt;"",SUMPRODUCT((O$3:O$100&lt;&gt;"")*(P$3:P$100="")*(G$3:G$100=G25)*(J$3:J$100&gt;J25)*(I$3:I$100="P"))+SUMPRODUCT((P$3:P$100&lt;&gt;"")*(G$3:G$100=G25)*(I$3:I$100="P"))+1,IF(N25&lt;&gt;"",SUMPRODUCT((N$3:N$100&lt;&gt;"")*(G$3:G$100=G25)*(J$3:J$100&gt;J25)*(I$3:I$100="P"))+1,IF(M25="P",SUMPRODUCT((O$3:O$100&lt;&gt;"")*(P$3:P$100="")*(G$3:G$100=G25)*(I$3:I$100="P"))+SUMPRODUCT((P$3:P$100&lt;&gt;"")*(G$3:G$100=G25)*(I$3:I$100="P"))+SUMPRODUCT((N$3:N$100&lt;&gt;"")*(G$3:G$100=G25)*(I$3:I$100="P"))+SUMPRODUCT((P$3:P$100="")*(O$3:O$100="")*(N$3:N$100="")*(M$3:M$100="P")*(G$3:G$100=G25)*(J$3:J$100&gt;J25)*(I$3:I$100="P"))+IF(H25="L5",SUMPRODUCT((P$3:P$100="")*(O$3:O$100="")*(N$3:N$100="")*(M$3:M$100="P")*(G$3:G$100=G25)*(J$3:J$100&lt;J25)*(H$3:H$100&lt;&gt;H25)*(I$3:I$100="P")),-1*SUMPRODUCT((P$3:P$100="")*(O$3:O$100="")*(N$3:N$100="")*(M$3:M$100="P")*(G$3:G$100=G25)*(J$3:J$100&gt;J25)*(H$3:H$100="L5")*(I$3:I$100="P")))+1,"")))))</f>
        <v/>
      </c>
      <c r="B25" s="1" t="str" cm="1">
        <f t="array" ref="B25">IF(P25&lt;&gt;"",SUMPRODUCT((P$3:P$100&lt;&gt;"")*(G$3:G$100=G25)*(J$3:J$100&gt;J25))+1,IF(O25&lt;&gt;"",SUMPRODUCT((O$3:O$100&lt;&gt;"")*(P$3:P$100="")*(G$3:G$100=G25)*(J$3:J$100&gt;J25))+SUMPRODUCT((P$3:P$100&lt;&gt;"")*(G$3:G$100=G25))+1,IF(N25&lt;&gt;"",SUMPRODUCT((N$3:N$100&lt;&gt;"")*(G$3:G$100=G25)*(J$3:J$100&gt;J25))+1,IF(M25="P",SUMPRODUCT((O$3:O$100&lt;&gt;"")*(P$3:P$100="")*(G$3:G$100=G25))+SUMPRODUCT((P$3:P$100&lt;&gt;"")*(G$3:G$100=G25))+SUMPRODUCT((N$3:N$100&lt;&gt;"")*(G$3:G$100=G25))+SUMPRODUCT((P$3:P$100="")*(O$3:O$100="")*(N$3:N$100="")*(M$3:M$100="P")*(G$3:G$100=G25)*(J$3:J$100&gt;J25))+IF(H25="L5",SUMPRODUCT((P$3:P$100="")*(O$3:O$100="")*(N$3:N$100="")*(M$3:M$100="P")*(G$3:G$100=G25)*(J$3:J$100&lt;J25)*(H$3:H$100&lt;&gt;H25)),-1*SUMPRODUCT((P$3:P$100="")*(O$3:O$100="")*(N$3:N$100="")*(M$3:M$100="P")*(G$3:G$100=G25)*(J$3:J$100&gt;J25)*(H$3:H$100="L5")))+1,""))))</f>
        <v/>
      </c>
      <c r="C25" s="36" t="s">
        <v>220</v>
      </c>
      <c r="D25" s="36" t="str">
        <f>IF(E25="","",VLOOKUP(E25,'Coaching Points'!A:B,2,0))</f>
        <v>ON</v>
      </c>
      <c r="E25" s="36" t="s">
        <v>47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93.200004750000005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 t="shared" si="1"/>
        <v/>
      </c>
      <c r="R25" s="4">
        <f t="shared" si="2"/>
        <v>45.7</v>
      </c>
      <c r="S25" s="4">
        <f t="shared" si="3"/>
        <v>47.5</v>
      </c>
      <c r="T25" s="33">
        <v>44.1</v>
      </c>
      <c r="U25" s="40">
        <v>7.9</v>
      </c>
      <c r="V25" s="34">
        <v>44.1</v>
      </c>
      <c r="W25" s="40">
        <v>7</v>
      </c>
      <c r="X25" s="33">
        <v>45.7</v>
      </c>
      <c r="Y25" s="40">
        <v>10.8</v>
      </c>
      <c r="Z25" s="34">
        <v>47.5</v>
      </c>
      <c r="AA25" s="37">
        <v>10.4</v>
      </c>
    </row>
    <row r="26" spans="1:27" x14ac:dyDescent="0.2">
      <c r="A26" s="1" t="str" cm="1">
        <f t="array" ref="A26">IF(I26="","",IF(P26&lt;&gt;"",SUMPRODUCT((P$3:P$100&lt;&gt;"")*(G$3:G$100=G26)*(J$3:J$100&gt;J26)*(I$3:I$100="P"))+1,IF(O26&lt;&gt;"",SUMPRODUCT((O$3:O$100&lt;&gt;"")*(P$3:P$100="")*(G$3:G$100=G26)*(J$3:J$100&gt;J26)*(I$3:I$100="P"))+SUMPRODUCT((P$3:P$100&lt;&gt;"")*(G$3:G$100=G26)*(I$3:I$100="P"))+1,IF(N26&lt;&gt;"",SUMPRODUCT((N$3:N$100&lt;&gt;"")*(G$3:G$100=G26)*(J$3:J$100&gt;J26)*(I$3:I$100="P"))+1,IF(M26="P",SUMPRODUCT((O$3:O$100&lt;&gt;"")*(P$3:P$100="")*(G$3:G$100=G26)*(I$3:I$100="P"))+SUMPRODUCT((P$3:P$100&lt;&gt;"")*(G$3:G$100=G26)*(I$3:I$100="P"))+SUMPRODUCT((N$3:N$100&lt;&gt;"")*(G$3:G$100=G26)*(I$3:I$100="P"))+SUMPRODUCT((P$3:P$100="")*(O$3:O$100="")*(N$3:N$100="")*(M$3:M$100="P")*(G$3:G$100=G26)*(J$3:J$100&gt;J26)*(I$3:I$100="P"))+IF(H26="L5",SUMPRODUCT((P$3:P$100="")*(O$3:O$100="")*(N$3:N$100="")*(M$3:M$100="P")*(G$3:G$100=G26)*(J$3:J$100&lt;J26)*(H$3:H$100&lt;&gt;H26)*(I$3:I$100="P")),-1*SUMPRODUCT((P$3:P$100="")*(O$3:O$100="")*(N$3:N$100="")*(M$3:M$100="P")*(G$3:G$100=G26)*(J$3:J$100&gt;J26)*(H$3:H$100="L5")*(I$3:I$100="P")))+1,"")))))</f>
        <v/>
      </c>
      <c r="B26" s="1" t="str" cm="1">
        <f t="array" ref="B26">IF(P26&lt;&gt;"",SUMPRODUCT((P$3:P$100&lt;&gt;"")*(G$3:G$100=G26)*(J$3:J$100&gt;J26))+1,IF(O26&lt;&gt;"",SUMPRODUCT((O$3:O$100&lt;&gt;"")*(P$3:P$100="")*(G$3:G$100=G26)*(J$3:J$100&gt;J26))+SUMPRODUCT((P$3:P$100&lt;&gt;"")*(G$3:G$100=G26))+1,IF(N26&lt;&gt;"",SUMPRODUCT((N$3:N$100&lt;&gt;"")*(G$3:G$100=G26)*(J$3:J$100&gt;J26))+1,IF(M26="P",SUMPRODUCT((O$3:O$100&lt;&gt;"")*(P$3:P$100="")*(G$3:G$100=G26))+SUMPRODUCT((P$3:P$100&lt;&gt;"")*(G$3:G$100=G26))+SUMPRODUCT((N$3:N$100&lt;&gt;"")*(G$3:G$100=G26))+SUMPRODUCT((P$3:P$100="")*(O$3:O$100="")*(N$3:N$100="")*(M$3:M$100="P")*(G$3:G$100=G26)*(J$3:J$100&gt;J26))+IF(H26="L5",SUMPRODUCT((P$3:P$100="")*(O$3:O$100="")*(N$3:N$100="")*(M$3:M$100="P")*(G$3:G$100=G26)*(J$3:J$100&lt;J26)*(H$3:H$100&lt;&gt;H26)),-1*SUMPRODUCT((P$3:P$100="")*(O$3:O$100="")*(N$3:N$100="")*(M$3:M$100="P")*(G$3:G$100=G26)*(J$3:J$100&gt;J26)*(H$3:H$100="L5")))+1,""))))</f>
        <v/>
      </c>
      <c r="C26" s="36" t="s">
        <v>98</v>
      </c>
      <c r="D26" s="36" t="str">
        <f>IF(E26="","",VLOOKUP(E26,'Coaching Points'!A:B,2,0))</f>
        <v>BC</v>
      </c>
      <c r="E26" s="36" t="s">
        <v>62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90.800104300000015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 t="shared" si="1"/>
        <v/>
      </c>
      <c r="R26" s="4">
        <f t="shared" si="2"/>
        <v>45.6</v>
      </c>
      <c r="S26" s="4">
        <f t="shared" si="3"/>
        <v>45.2</v>
      </c>
      <c r="T26" s="33">
        <v>45.6</v>
      </c>
      <c r="U26" s="40">
        <v>10.4</v>
      </c>
      <c r="V26" s="34">
        <v>45.2</v>
      </c>
      <c r="W26" s="40">
        <v>10.4</v>
      </c>
      <c r="X26" s="33">
        <v>43</v>
      </c>
      <c r="Y26" s="40">
        <v>7.6</v>
      </c>
      <c r="Z26" s="34"/>
      <c r="AA26" s="37"/>
    </row>
    <row r="27" spans="1:27" x14ac:dyDescent="0.2">
      <c r="A27" s="1" t="str" cm="1">
        <f t="array" ref="A27">IF(I27="","",IF(P27&lt;&gt;"",SUMPRODUCT((P$3:P$100&lt;&gt;"")*(G$3:G$100=G27)*(J$3:J$100&gt;J27)*(I$3:I$100="P"))+1,IF(O27&lt;&gt;"",SUMPRODUCT((O$3:O$100&lt;&gt;"")*(P$3:P$100="")*(G$3:G$100=G27)*(J$3:J$100&gt;J27)*(I$3:I$100="P"))+SUMPRODUCT((P$3:P$100&lt;&gt;"")*(G$3:G$100=G27)*(I$3:I$100="P"))+1,IF(N27&lt;&gt;"",SUMPRODUCT((N$3:N$100&lt;&gt;"")*(G$3:G$100=G27)*(J$3:J$100&gt;J27)*(I$3:I$100="P"))+1,IF(M27="P",SUMPRODUCT((O$3:O$100&lt;&gt;"")*(P$3:P$100="")*(G$3:G$100=G27)*(I$3:I$100="P"))+SUMPRODUCT((P$3:P$100&lt;&gt;"")*(G$3:G$100=G27)*(I$3:I$100="P"))+SUMPRODUCT((N$3:N$100&lt;&gt;"")*(G$3:G$100=G27)*(I$3:I$100="P"))+SUMPRODUCT((P$3:P$100="")*(O$3:O$100="")*(N$3:N$100="")*(M$3:M$100="P")*(G$3:G$100=G27)*(J$3:J$100&gt;J27)*(I$3:I$100="P"))+IF(H27="L5",SUMPRODUCT((P$3:P$100="")*(O$3:O$100="")*(N$3:N$100="")*(M$3:M$100="P")*(G$3:G$100=G27)*(J$3:J$100&lt;J27)*(H$3:H$100&lt;&gt;H27)*(I$3:I$100="P")),-1*SUMPRODUCT((P$3:P$100="")*(O$3:O$100="")*(N$3:N$100="")*(M$3:M$100="P")*(G$3:G$100=G27)*(J$3:J$100&gt;J27)*(H$3:H$100="L5")*(I$3:I$100="P")))+1,"")))))</f>
        <v/>
      </c>
      <c r="B27" s="1" t="str" cm="1">
        <f t="array" ref="B27">IF(P27&lt;&gt;"",SUMPRODUCT((P$3:P$100&lt;&gt;"")*(G$3:G$100=G27)*(J$3:J$100&gt;J27))+1,IF(O27&lt;&gt;"",SUMPRODUCT((O$3:O$100&lt;&gt;"")*(P$3:P$100="")*(G$3:G$100=G27)*(J$3:J$100&gt;J27))+SUMPRODUCT((P$3:P$100&lt;&gt;"")*(G$3:G$100=G27))+1,IF(N27&lt;&gt;"",SUMPRODUCT((N$3:N$100&lt;&gt;"")*(G$3:G$100=G27)*(J$3:J$100&gt;J27))+1,IF(M27="P",SUMPRODUCT((O$3:O$100&lt;&gt;"")*(P$3:P$100="")*(G$3:G$100=G27))+SUMPRODUCT((P$3:P$100&lt;&gt;"")*(G$3:G$100=G27))+SUMPRODUCT((N$3:N$100&lt;&gt;"")*(G$3:G$100=G27))+SUMPRODUCT((P$3:P$100="")*(O$3:O$100="")*(N$3:N$100="")*(M$3:M$100="P")*(G$3:G$100=G27)*(J$3:J$100&gt;J27))+IF(H27="L5",SUMPRODUCT((P$3:P$100="")*(O$3:O$100="")*(N$3:N$100="")*(M$3:M$100="P")*(G$3:G$100=G27)*(J$3:J$100&lt;J27)*(H$3:H$100&lt;&gt;H27)),-1*SUMPRODUCT((P$3:P$100="")*(O$3:O$100="")*(N$3:N$100="")*(M$3:M$100="P")*(G$3:G$100=G27)*(J$3:J$100&gt;J27)*(H$3:H$100="L5")))+1,""))))</f>
        <v/>
      </c>
      <c r="C27" s="36" t="s">
        <v>232</v>
      </c>
      <c r="D27" s="36" t="str">
        <f>IF(E27="","",VLOOKUP(E27,'Coaching Points'!A:B,2,0))</f>
        <v>ON</v>
      </c>
      <c r="E27" s="36" t="s">
        <v>293</v>
      </c>
      <c r="F27" s="35">
        <v>2002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90.100004509999991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 t="shared" si="1"/>
        <v/>
      </c>
      <c r="R27" s="4">
        <f t="shared" si="2"/>
        <v>45.1</v>
      </c>
      <c r="S27" s="4">
        <f t="shared" si="3"/>
        <v>45</v>
      </c>
      <c r="T27" s="33"/>
      <c r="U27" s="40"/>
      <c r="V27" s="34"/>
      <c r="W27" s="40"/>
      <c r="X27" s="33">
        <v>45.1</v>
      </c>
      <c r="Y27" s="40">
        <v>7.9</v>
      </c>
      <c r="Z27" s="34">
        <v>45</v>
      </c>
      <c r="AA27" s="37">
        <v>7</v>
      </c>
    </row>
    <row r="28" spans="1:27" x14ac:dyDescent="0.2">
      <c r="A28" s="1" t="str" cm="1">
        <f t="array" ref="A28">IF(I28="","",IF(P28&lt;&gt;"",SUMPRODUCT((P$3:P$100&lt;&gt;"")*(G$3:G$100=G28)*(J$3:J$100&gt;J28)*(I$3:I$100="P"))+1,IF(O28&lt;&gt;"",SUMPRODUCT((O$3:O$100&lt;&gt;"")*(P$3:P$100="")*(G$3:G$100=G28)*(J$3:J$100&gt;J28)*(I$3:I$100="P"))+SUMPRODUCT((P$3:P$100&lt;&gt;"")*(G$3:G$100=G28)*(I$3:I$100="P"))+1,IF(N28&lt;&gt;"",SUMPRODUCT((N$3:N$100&lt;&gt;"")*(G$3:G$100=G28)*(J$3:J$100&gt;J28)*(I$3:I$100="P"))+1,IF(M28="P",SUMPRODUCT((O$3:O$100&lt;&gt;"")*(P$3:P$100="")*(G$3:G$100=G28)*(I$3:I$100="P"))+SUMPRODUCT((P$3:P$100&lt;&gt;"")*(G$3:G$100=G28)*(I$3:I$100="P"))+SUMPRODUCT((N$3:N$100&lt;&gt;"")*(G$3:G$100=G28)*(I$3:I$100="P"))+SUMPRODUCT((P$3:P$100="")*(O$3:O$100="")*(N$3:N$100="")*(M$3:M$100="P")*(G$3:G$100=G28)*(J$3:J$100&gt;J28)*(I$3:I$100="P"))+IF(H28="L5",SUMPRODUCT((P$3:P$100="")*(O$3:O$100="")*(N$3:N$100="")*(M$3:M$100="P")*(G$3:G$100=G28)*(J$3:J$100&lt;J28)*(H$3:H$100&lt;&gt;H28)*(I$3:I$100="P")),-1*SUMPRODUCT((P$3:P$100="")*(O$3:O$100="")*(N$3:N$100="")*(M$3:M$100="P")*(G$3:G$100=G28)*(J$3:J$100&gt;J28)*(H$3:H$100="L5")*(I$3:I$100="P")))+1,"")))))</f>
        <v/>
      </c>
      <c r="B28" s="1" t="str" cm="1">
        <f t="array" ref="B28">IF(P28&lt;&gt;"",SUMPRODUCT((P$3:P$100&lt;&gt;"")*(G$3:G$100=G28)*(J$3:J$100&gt;J28))+1,IF(O28&lt;&gt;"",SUMPRODUCT((O$3:O$100&lt;&gt;"")*(P$3:P$100="")*(G$3:G$100=G28)*(J$3:J$100&gt;J28))+SUMPRODUCT((P$3:P$100&lt;&gt;"")*(G$3:G$100=G28))+1,IF(N28&lt;&gt;"",SUMPRODUCT((N$3:N$100&lt;&gt;"")*(G$3:G$100=G28)*(J$3:J$100&gt;J28))+1,IF(M28="P",SUMPRODUCT((O$3:O$100&lt;&gt;"")*(P$3:P$100="")*(G$3:G$100=G28))+SUMPRODUCT((P$3:P$100&lt;&gt;"")*(G$3:G$100=G28))+SUMPRODUCT((N$3:N$100&lt;&gt;"")*(G$3:G$100=G28))+SUMPRODUCT((P$3:P$100="")*(O$3:O$100="")*(N$3:N$100="")*(M$3:M$100="P")*(G$3:G$100=G28)*(J$3:J$100&gt;J28))+IF(H28="L5",SUMPRODUCT((P$3:P$100="")*(O$3:O$100="")*(N$3:N$100="")*(M$3:M$100="P")*(G$3:G$100=G28)*(J$3:J$100&lt;J28)*(H$3:H$100&lt;&gt;H28)),-1*SUMPRODUCT((P$3:P$100="")*(O$3:O$100="")*(N$3:N$100="")*(M$3:M$100="P")*(G$3:G$100=G28)*(J$3:J$100&gt;J28)*(H$3:H$100="L5")))+1,""))))</f>
        <v/>
      </c>
      <c r="C28" s="36" t="s">
        <v>229</v>
      </c>
      <c r="D28" s="36" t="str">
        <f>IF(E28="","",VLOOKUP(E28,'Coaching Points'!A:B,2,0))</f>
        <v>QC</v>
      </c>
      <c r="E28" s="36" t="s">
        <v>96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89.200004469999996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 t="shared" si="1"/>
        <v/>
      </c>
      <c r="R28" s="4">
        <f t="shared" si="2"/>
        <v>44.7</v>
      </c>
      <c r="S28" s="4">
        <f t="shared" si="3"/>
        <v>44.5</v>
      </c>
      <c r="T28" s="33">
        <v>42.6</v>
      </c>
      <c r="U28" s="40">
        <v>4.8000000000000007</v>
      </c>
      <c r="V28" s="34"/>
      <c r="W28" s="40"/>
      <c r="X28" s="33">
        <v>44.7</v>
      </c>
      <c r="Y28" s="40">
        <v>7.3000000000000007</v>
      </c>
      <c r="Z28" s="34">
        <v>44.5</v>
      </c>
      <c r="AA28" s="37">
        <v>6.8</v>
      </c>
    </row>
    <row r="29" spans="1:27" x14ac:dyDescent="0.2">
      <c r="A29" s="1" t="str" cm="1">
        <f t="array" ref="A29">IF(I29="","",IF(P29&lt;&gt;"",SUMPRODUCT((P$3:P$100&lt;&gt;"")*(G$3:G$100=G29)*(J$3:J$100&gt;J29)*(I$3:I$100="P"))+1,IF(O29&lt;&gt;"",SUMPRODUCT((O$3:O$100&lt;&gt;"")*(P$3:P$100="")*(G$3:G$100=G29)*(J$3:J$100&gt;J29)*(I$3:I$100="P"))+SUMPRODUCT((P$3:P$100&lt;&gt;"")*(G$3:G$100=G29)*(I$3:I$100="P"))+1,IF(N29&lt;&gt;"",SUMPRODUCT((N$3:N$100&lt;&gt;"")*(G$3:G$100=G29)*(J$3:J$100&gt;J29)*(I$3:I$100="P"))+1,IF(M29="P",SUMPRODUCT((O$3:O$100&lt;&gt;"")*(P$3:P$100="")*(G$3:G$100=G29)*(I$3:I$100="P"))+SUMPRODUCT((P$3:P$100&lt;&gt;"")*(G$3:G$100=G29)*(I$3:I$100="P"))+SUMPRODUCT((N$3:N$100&lt;&gt;"")*(G$3:G$100=G29)*(I$3:I$100="P"))+SUMPRODUCT((P$3:P$100="")*(O$3:O$100="")*(N$3:N$100="")*(M$3:M$100="P")*(G$3:G$100=G29)*(J$3:J$100&gt;J29)*(I$3:I$100="P"))+IF(H29="L5",SUMPRODUCT((P$3:P$100="")*(O$3:O$100="")*(N$3:N$100="")*(M$3:M$100="P")*(G$3:G$100=G29)*(J$3:J$100&lt;J29)*(H$3:H$100&lt;&gt;H29)*(I$3:I$100="P")),-1*SUMPRODUCT((P$3:P$100="")*(O$3:O$100="")*(N$3:N$100="")*(M$3:M$100="P")*(G$3:G$100=G29)*(J$3:J$100&gt;J29)*(H$3:H$100="L5")*(I$3:I$100="P")))+1,"")))))</f>
        <v/>
      </c>
      <c r="B29" s="1" t="str" cm="1">
        <f t="array" ref="B29">IF(P29&lt;&gt;"",SUMPRODUCT((P$3:P$100&lt;&gt;"")*(G$3:G$100=G29)*(J$3:J$100&gt;J29))+1,IF(O29&lt;&gt;"",SUMPRODUCT((O$3:O$100&lt;&gt;"")*(P$3:P$100="")*(G$3:G$100=G29)*(J$3:J$100&gt;J29))+SUMPRODUCT((P$3:P$100&lt;&gt;"")*(G$3:G$100=G29))+1,IF(N29&lt;&gt;"",SUMPRODUCT((N$3:N$100&lt;&gt;"")*(G$3:G$100=G29)*(J$3:J$100&gt;J29))+1,IF(M29="P",SUMPRODUCT((O$3:O$100&lt;&gt;"")*(P$3:P$100="")*(G$3:G$100=G29))+SUMPRODUCT((P$3:P$100&lt;&gt;"")*(G$3:G$100=G29))+SUMPRODUCT((N$3:N$100&lt;&gt;"")*(G$3:G$100=G29))+SUMPRODUCT((P$3:P$100="")*(O$3:O$100="")*(N$3:N$100="")*(M$3:M$100="P")*(G$3:G$100=G29)*(J$3:J$100&gt;J29))+IF(H29="L5",SUMPRODUCT((P$3:P$100="")*(O$3:O$100="")*(N$3:N$100="")*(M$3:M$100="P")*(G$3:G$100=G29)*(J$3:J$100&lt;J29)*(H$3:H$100&lt;&gt;H29)),-1*SUMPRODUCT((P$3:P$100="")*(O$3:O$100="")*(N$3:N$100="")*(M$3:M$100="P")*(G$3:G$100=G29)*(J$3:J$100&gt;J29)*(H$3:H$100="L5")))+1,""))))</f>
        <v/>
      </c>
      <c r="C29" s="36" t="s">
        <v>505</v>
      </c>
      <c r="D29" s="36" t="str">
        <f>IF(E29="","",VLOOKUP(E29,'Coaching Points'!A:B,2,0))</f>
        <v>BC</v>
      </c>
      <c r="E29" s="36" t="s">
        <v>37</v>
      </c>
      <c r="F29" s="35">
        <v>2002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 t="shared" si="0"/>
        <v>88.900104520000014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 t="shared" si="1"/>
        <v/>
      </c>
      <c r="R29" s="4">
        <f t="shared" si="2"/>
        <v>45.2</v>
      </c>
      <c r="S29" s="4">
        <f t="shared" si="3"/>
        <v>43.7</v>
      </c>
      <c r="T29" s="33"/>
      <c r="U29" s="40"/>
      <c r="V29" s="34"/>
      <c r="W29" s="40"/>
      <c r="X29" s="33">
        <v>45.2</v>
      </c>
      <c r="Y29" s="40">
        <v>9.6000000000000014</v>
      </c>
      <c r="Z29" s="34">
        <v>43.7</v>
      </c>
      <c r="AA29" s="37">
        <v>8.8000000000000007</v>
      </c>
    </row>
    <row r="30" spans="1:27" x14ac:dyDescent="0.2">
      <c r="A30" s="1" t="str" cm="1">
        <f t="array" ref="A30">IF(I30="","",IF(P30&lt;&gt;"",SUMPRODUCT((P$3:P$100&lt;&gt;"")*(G$3:G$100=G30)*(J$3:J$100&gt;J30)*(I$3:I$100="P"))+1,IF(O30&lt;&gt;"",SUMPRODUCT((O$3:O$100&lt;&gt;"")*(P$3:P$100="")*(G$3:G$100=G30)*(J$3:J$100&gt;J30)*(I$3:I$100="P"))+SUMPRODUCT((P$3:P$100&lt;&gt;"")*(G$3:G$100=G30)*(I$3:I$100="P"))+1,IF(N30&lt;&gt;"",SUMPRODUCT((N$3:N$100&lt;&gt;"")*(G$3:G$100=G30)*(J$3:J$100&gt;J30)*(I$3:I$100="P"))+1,IF(M30="P",SUMPRODUCT((O$3:O$100&lt;&gt;"")*(P$3:P$100="")*(G$3:G$100=G30)*(I$3:I$100="P"))+SUMPRODUCT((P$3:P$100&lt;&gt;"")*(G$3:G$100=G30)*(I$3:I$100="P"))+SUMPRODUCT((N$3:N$100&lt;&gt;"")*(G$3:G$100=G30)*(I$3:I$100="P"))+SUMPRODUCT((P$3:P$100="")*(O$3:O$100="")*(N$3:N$100="")*(M$3:M$100="P")*(G$3:G$100=G30)*(J$3:J$100&gt;J30)*(I$3:I$100="P"))+IF(H30="L5",SUMPRODUCT((P$3:P$100="")*(O$3:O$100="")*(N$3:N$100="")*(M$3:M$100="P")*(G$3:G$100=G30)*(J$3:J$100&lt;J30)*(H$3:H$100&lt;&gt;H30)*(I$3:I$100="P")),-1*SUMPRODUCT((P$3:P$100="")*(O$3:O$100="")*(N$3:N$100="")*(M$3:M$100="P")*(G$3:G$100=G30)*(J$3:J$100&gt;J30)*(H$3:H$100="L5")*(I$3:I$100="P")))+1,"")))))</f>
        <v/>
      </c>
      <c r="B30" s="1" t="str" cm="1">
        <f t="array" ref="B30">IF(P30&lt;&gt;"",SUMPRODUCT((P$3:P$100&lt;&gt;"")*(G$3:G$100=G30)*(J$3:J$100&gt;J30))+1,IF(O30&lt;&gt;"",SUMPRODUCT((O$3:O$100&lt;&gt;"")*(P$3:P$100="")*(G$3:G$100=G30)*(J$3:J$100&gt;J30))+SUMPRODUCT((P$3:P$100&lt;&gt;"")*(G$3:G$100=G30))+1,IF(N30&lt;&gt;"",SUMPRODUCT((N$3:N$100&lt;&gt;"")*(G$3:G$100=G30)*(J$3:J$100&gt;J30))+1,IF(M30="P",SUMPRODUCT((O$3:O$100&lt;&gt;"")*(P$3:P$100="")*(G$3:G$100=G30))+SUMPRODUCT((P$3:P$100&lt;&gt;"")*(G$3:G$100=G30))+SUMPRODUCT((N$3:N$100&lt;&gt;"")*(G$3:G$100=G30))+SUMPRODUCT((P$3:P$100="")*(O$3:O$100="")*(N$3:N$100="")*(M$3:M$100="P")*(G$3:G$100=G30)*(J$3:J$100&gt;J30))+IF(H30="L5",SUMPRODUCT((P$3:P$100="")*(O$3:O$100="")*(N$3:N$100="")*(M$3:M$100="P")*(G$3:G$100=G30)*(J$3:J$100&lt;J30)*(H$3:H$100&lt;&gt;H30)),-1*SUMPRODUCT((P$3:P$100="")*(O$3:O$100="")*(N$3:N$100="")*(M$3:M$100="P")*(G$3:G$100=G30)*(J$3:J$100&gt;J30)*(H$3:H$100="L5")))+1,""))))</f>
        <v/>
      </c>
      <c r="C30" s="36" t="s">
        <v>348</v>
      </c>
      <c r="D30" s="36" t="str">
        <f>IF(E30="","",VLOOKUP(E30,'Coaching Points'!A:B,2,0))</f>
        <v>QC</v>
      </c>
      <c r="E30" s="36" t="s">
        <v>96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88.700004509999999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 t="shared" si="1"/>
        <v/>
      </c>
      <c r="R30" s="4">
        <f t="shared" si="2"/>
        <v>45.1</v>
      </c>
      <c r="S30" s="4">
        <f t="shared" si="3"/>
        <v>43.6</v>
      </c>
      <c r="T30" s="33">
        <v>43.6</v>
      </c>
      <c r="U30" s="40">
        <v>6.2</v>
      </c>
      <c r="V30" s="34"/>
      <c r="W30" s="40"/>
      <c r="X30" s="33">
        <v>45.1</v>
      </c>
      <c r="Y30" s="40">
        <v>7.8000000000000007</v>
      </c>
      <c r="Z30" s="34">
        <v>43.3</v>
      </c>
      <c r="AA30" s="37">
        <v>7.2</v>
      </c>
    </row>
    <row r="31" spans="1:27" x14ac:dyDescent="0.2">
      <c r="A31" s="1" t="str" cm="1">
        <f t="array" ref="A31">IF(I31="","",IF(P31&lt;&gt;"",SUMPRODUCT((P$3:P$100&lt;&gt;"")*(G$3:G$100=G31)*(J$3:J$100&gt;J31)*(I$3:I$100="P"))+1,IF(O31&lt;&gt;"",SUMPRODUCT((O$3:O$100&lt;&gt;"")*(P$3:P$100="")*(G$3:G$100=G31)*(J$3:J$100&gt;J31)*(I$3:I$100="P"))+SUMPRODUCT((P$3:P$100&lt;&gt;"")*(G$3:G$100=G31)*(I$3:I$100="P"))+1,IF(N31&lt;&gt;"",SUMPRODUCT((N$3:N$100&lt;&gt;"")*(G$3:G$100=G31)*(J$3:J$100&gt;J31)*(I$3:I$100="P"))+1,IF(M31="P",SUMPRODUCT((O$3:O$100&lt;&gt;"")*(P$3:P$100="")*(G$3:G$100=G31)*(I$3:I$100="P"))+SUMPRODUCT((P$3:P$100&lt;&gt;"")*(G$3:G$100=G31)*(I$3:I$100="P"))+SUMPRODUCT((N$3:N$100&lt;&gt;"")*(G$3:G$100=G31)*(I$3:I$100="P"))+SUMPRODUCT((P$3:P$100="")*(O$3:O$100="")*(N$3:N$100="")*(M$3:M$100="P")*(G$3:G$100=G31)*(J$3:J$100&gt;J31)*(I$3:I$100="P"))+IF(H31="L5",SUMPRODUCT((P$3:P$100="")*(O$3:O$100="")*(N$3:N$100="")*(M$3:M$100="P")*(G$3:G$100=G31)*(J$3:J$100&lt;J31)*(H$3:H$100&lt;&gt;H31)*(I$3:I$100="P")),-1*SUMPRODUCT((P$3:P$100="")*(O$3:O$100="")*(N$3:N$100="")*(M$3:M$100="P")*(G$3:G$100=G31)*(J$3:J$100&gt;J31)*(H$3:H$100="L5")*(I$3:I$100="P")))+1,"")))))</f>
        <v/>
      </c>
      <c r="B31" s="1" t="str" cm="1">
        <f t="array" ref="B31">IF(P31&lt;&gt;"",SUMPRODUCT((P$3:P$100&lt;&gt;"")*(G$3:G$100=G31)*(J$3:J$100&gt;J31))+1,IF(O31&lt;&gt;"",SUMPRODUCT((O$3:O$100&lt;&gt;"")*(P$3:P$100="")*(G$3:G$100=G31)*(J$3:J$100&gt;J31))+SUMPRODUCT((P$3:P$100&lt;&gt;"")*(G$3:G$100=G31))+1,IF(N31&lt;&gt;"",SUMPRODUCT((N$3:N$100&lt;&gt;"")*(G$3:G$100=G31)*(J$3:J$100&gt;J31))+1,IF(M31="P",SUMPRODUCT((O$3:O$100&lt;&gt;"")*(P$3:P$100="")*(G$3:G$100=G31))+SUMPRODUCT((P$3:P$100&lt;&gt;"")*(G$3:G$100=G31))+SUMPRODUCT((N$3:N$100&lt;&gt;"")*(G$3:G$100=G31))+SUMPRODUCT((P$3:P$100="")*(O$3:O$100="")*(N$3:N$100="")*(M$3:M$100="P")*(G$3:G$100=G31)*(J$3:J$100&gt;J31))+IF(H31="L5",SUMPRODUCT((P$3:P$100="")*(O$3:O$100="")*(N$3:N$100="")*(M$3:M$100="P")*(G$3:G$100=G31)*(J$3:J$100&lt;J31)*(H$3:H$100&lt;&gt;H31)),-1*SUMPRODUCT((P$3:P$100="")*(O$3:O$100="")*(N$3:N$100="")*(M$3:M$100="P")*(G$3:G$100=G31)*(J$3:J$100&gt;J31)*(H$3:H$100="L5")))+1,""))))</f>
        <v/>
      </c>
      <c r="C31" s="36" t="s">
        <v>91</v>
      </c>
      <c r="D31" s="36" t="str">
        <f>IF(E31="","",VLOOKUP(E31,'Coaching Points'!A:B,2,0))</f>
        <v>ON</v>
      </c>
      <c r="E31" s="36" t="s">
        <v>47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88.400004420000002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 t="shared" si="1"/>
        <v/>
      </c>
      <c r="R31" s="4">
        <f t="shared" si="2"/>
        <v>44.2</v>
      </c>
      <c r="S31" s="4">
        <f t="shared" si="3"/>
        <v>44.2</v>
      </c>
      <c r="T31" s="33">
        <v>44.1</v>
      </c>
      <c r="U31" s="40">
        <v>8</v>
      </c>
      <c r="V31" s="34">
        <v>43.4</v>
      </c>
      <c r="W31" s="40">
        <v>6.8</v>
      </c>
      <c r="X31" s="33">
        <v>44.2</v>
      </c>
      <c r="Y31" s="40">
        <v>7.9</v>
      </c>
      <c r="Z31" s="34">
        <v>44.2</v>
      </c>
      <c r="AA31" s="37">
        <v>7</v>
      </c>
    </row>
    <row r="32" spans="1:27" x14ac:dyDescent="0.2">
      <c r="A32" s="1" t="str" cm="1">
        <f t="array" ref="A32">IF(I32="","",IF(P32&lt;&gt;"",SUMPRODUCT((P$3:P$100&lt;&gt;"")*(G$3:G$100=G32)*(J$3:J$100&gt;J32)*(I$3:I$100="P"))+1,IF(O32&lt;&gt;"",SUMPRODUCT((O$3:O$100&lt;&gt;"")*(P$3:P$100="")*(G$3:G$100=G32)*(J$3:J$100&gt;J32)*(I$3:I$100="P"))+SUMPRODUCT((P$3:P$100&lt;&gt;"")*(G$3:G$100=G32)*(I$3:I$100="P"))+1,IF(N32&lt;&gt;"",SUMPRODUCT((N$3:N$100&lt;&gt;"")*(G$3:G$100=G32)*(J$3:J$100&gt;J32)*(I$3:I$100="P"))+1,IF(M32="P",SUMPRODUCT((O$3:O$100&lt;&gt;"")*(P$3:P$100="")*(G$3:G$100=G32)*(I$3:I$100="P"))+SUMPRODUCT((P$3:P$100&lt;&gt;"")*(G$3:G$100=G32)*(I$3:I$100="P"))+SUMPRODUCT((N$3:N$100&lt;&gt;"")*(G$3:G$100=G32)*(I$3:I$100="P"))+SUMPRODUCT((P$3:P$100="")*(O$3:O$100="")*(N$3:N$100="")*(M$3:M$100="P")*(G$3:G$100=G32)*(J$3:J$100&gt;J32)*(I$3:I$100="P"))+IF(H32="L5",SUMPRODUCT((P$3:P$100="")*(O$3:O$100="")*(N$3:N$100="")*(M$3:M$100="P")*(G$3:G$100=G32)*(J$3:J$100&lt;J32)*(H$3:H$100&lt;&gt;H32)*(I$3:I$100="P")),-1*SUMPRODUCT((P$3:P$100="")*(O$3:O$100="")*(N$3:N$100="")*(M$3:M$100="P")*(G$3:G$100=G32)*(J$3:J$100&gt;J32)*(H$3:H$100="L5")*(I$3:I$100="P")))+1,"")))))</f>
        <v/>
      </c>
      <c r="B32" s="1" t="str" cm="1">
        <f t="array" ref="B32">IF(P32&lt;&gt;"",SUMPRODUCT((P$3:P$100&lt;&gt;"")*(G$3:G$100=G32)*(J$3:J$100&gt;J32))+1,IF(O32&lt;&gt;"",SUMPRODUCT((O$3:O$100&lt;&gt;"")*(P$3:P$100="")*(G$3:G$100=G32)*(J$3:J$100&gt;J32))+SUMPRODUCT((P$3:P$100&lt;&gt;"")*(G$3:G$100=G32))+1,IF(N32&lt;&gt;"",SUMPRODUCT((N$3:N$100&lt;&gt;"")*(G$3:G$100=G32)*(J$3:J$100&gt;J32))+1,IF(M32="P",SUMPRODUCT((O$3:O$100&lt;&gt;"")*(P$3:P$100="")*(G$3:G$100=G32))+SUMPRODUCT((P$3:P$100&lt;&gt;"")*(G$3:G$100=G32))+SUMPRODUCT((N$3:N$100&lt;&gt;"")*(G$3:G$100=G32))+SUMPRODUCT((P$3:P$100="")*(O$3:O$100="")*(N$3:N$100="")*(M$3:M$100="P")*(G$3:G$100=G32)*(J$3:J$100&gt;J32))+IF(H32="L5",SUMPRODUCT((P$3:P$100="")*(O$3:O$100="")*(N$3:N$100="")*(M$3:M$100="P")*(G$3:G$100=G32)*(J$3:J$100&lt;J32)*(H$3:H$100&lt;&gt;H32)),-1*SUMPRODUCT((P$3:P$100="")*(O$3:O$100="")*(N$3:N$100="")*(M$3:M$100="P")*(G$3:G$100=G32)*(J$3:J$100&gt;J32)*(H$3:H$100="L5")))+1,""))))</f>
        <v/>
      </c>
      <c r="C32" s="36" t="s">
        <v>502</v>
      </c>
      <c r="D32" s="36" t="str">
        <f>IF(E32="","",VLOOKUP(E32,'Coaching Points'!A:B,2,0))</f>
        <v>ON</v>
      </c>
      <c r="E32" s="36" t="s">
        <v>292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88.000004419999996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 t="shared" si="1"/>
        <v/>
      </c>
      <c r="R32" s="4">
        <f t="shared" si="2"/>
        <v>44.2</v>
      </c>
      <c r="S32" s="4">
        <f t="shared" si="3"/>
        <v>43.8</v>
      </c>
      <c r="T32" s="33"/>
      <c r="U32" s="40"/>
      <c r="V32" s="34"/>
      <c r="W32" s="40"/>
      <c r="X32" s="33">
        <v>44.2</v>
      </c>
      <c r="Y32" s="40">
        <v>6.7</v>
      </c>
      <c r="Z32" s="34">
        <v>43.8</v>
      </c>
      <c r="AA32" s="37">
        <v>6.1</v>
      </c>
    </row>
    <row r="33" spans="1:27" x14ac:dyDescent="0.2">
      <c r="A33" s="1" t="str" cm="1">
        <f t="array" ref="A33">IF(I33="","",IF(P33&lt;&gt;"",SUMPRODUCT((P$3:P$100&lt;&gt;"")*(G$3:G$100=G33)*(J$3:J$100&gt;J33)*(I$3:I$100="P"))+1,IF(O33&lt;&gt;"",SUMPRODUCT((O$3:O$100&lt;&gt;"")*(P$3:P$100="")*(G$3:G$100=G33)*(J$3:J$100&gt;J33)*(I$3:I$100="P"))+SUMPRODUCT((P$3:P$100&lt;&gt;"")*(G$3:G$100=G33)*(I$3:I$100="P"))+1,IF(N33&lt;&gt;"",SUMPRODUCT((N$3:N$100&lt;&gt;"")*(G$3:G$100=G33)*(J$3:J$100&gt;J33)*(I$3:I$100="P"))+1,IF(M33="P",SUMPRODUCT((O$3:O$100&lt;&gt;"")*(P$3:P$100="")*(G$3:G$100=G33)*(I$3:I$100="P"))+SUMPRODUCT((P$3:P$100&lt;&gt;"")*(G$3:G$100=G33)*(I$3:I$100="P"))+SUMPRODUCT((N$3:N$100&lt;&gt;"")*(G$3:G$100=G33)*(I$3:I$100="P"))+SUMPRODUCT((P$3:P$100="")*(O$3:O$100="")*(N$3:N$100="")*(M$3:M$100="P")*(G$3:G$100=G33)*(J$3:J$100&gt;J33)*(I$3:I$100="P"))+IF(H33="L5",SUMPRODUCT((P$3:P$100="")*(O$3:O$100="")*(N$3:N$100="")*(M$3:M$100="P")*(G$3:G$100=G33)*(J$3:J$100&lt;J33)*(H$3:H$100&lt;&gt;H33)*(I$3:I$100="P")),-1*SUMPRODUCT((P$3:P$100="")*(O$3:O$100="")*(N$3:N$100="")*(M$3:M$100="P")*(G$3:G$100=G33)*(J$3:J$100&gt;J33)*(H$3:H$100="L5")*(I$3:I$100="P")))+1,"")))))</f>
        <v/>
      </c>
      <c r="B33" s="1" t="str" cm="1">
        <f t="array" ref="B33">IF(P33&lt;&gt;"",SUMPRODUCT((P$3:P$100&lt;&gt;"")*(G$3:G$100=G33)*(J$3:J$100&gt;J33))+1,IF(O33&lt;&gt;"",SUMPRODUCT((O$3:O$100&lt;&gt;"")*(P$3:P$100="")*(G$3:G$100=G33)*(J$3:J$100&gt;J33))+SUMPRODUCT((P$3:P$100&lt;&gt;"")*(G$3:G$100=G33))+1,IF(N33&lt;&gt;"",SUMPRODUCT((N$3:N$100&lt;&gt;"")*(G$3:G$100=G33)*(J$3:J$100&gt;J33))+1,IF(M33="P",SUMPRODUCT((O$3:O$100&lt;&gt;"")*(P$3:P$100="")*(G$3:G$100=G33))+SUMPRODUCT((P$3:P$100&lt;&gt;"")*(G$3:G$100=G33))+SUMPRODUCT((N$3:N$100&lt;&gt;"")*(G$3:G$100=G33))+SUMPRODUCT((P$3:P$100="")*(O$3:O$100="")*(N$3:N$100="")*(M$3:M$100="P")*(G$3:G$100=G33)*(J$3:J$100&gt;J33))+IF(H33="L5",SUMPRODUCT((P$3:P$100="")*(O$3:O$100="")*(N$3:N$100="")*(M$3:M$100="P")*(G$3:G$100=G33)*(J$3:J$100&lt;J33)*(H$3:H$100&lt;&gt;H33)),-1*SUMPRODUCT((P$3:P$100="")*(O$3:O$100="")*(N$3:N$100="")*(M$3:M$100="P")*(G$3:G$100=G33)*(J$3:J$100&gt;J33)*(H$3:H$100="L5")))+1,""))))</f>
        <v/>
      </c>
      <c r="C33" s="36" t="s">
        <v>224</v>
      </c>
      <c r="D33" s="36" t="str">
        <f>IF(E33="","",VLOOKUP(E33,'Coaching Points'!A:B,2,0))</f>
        <v>ON</v>
      </c>
      <c r="E33" s="36" t="s">
        <v>73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87.800004410000014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 t="shared" si="1"/>
        <v/>
      </c>
      <c r="R33" s="4">
        <f t="shared" si="2"/>
        <v>44.1</v>
      </c>
      <c r="S33" s="4">
        <f t="shared" si="3"/>
        <v>43.7</v>
      </c>
      <c r="T33" s="33">
        <v>42.5</v>
      </c>
      <c r="U33" s="40">
        <v>6.2</v>
      </c>
      <c r="V33" s="34">
        <v>40.1</v>
      </c>
      <c r="W33" s="40">
        <v>4</v>
      </c>
      <c r="X33" s="33">
        <v>44.1</v>
      </c>
      <c r="Y33" s="40">
        <v>6.9</v>
      </c>
      <c r="Z33" s="34">
        <v>43.7</v>
      </c>
      <c r="AA33" s="37">
        <v>7.3000000000000007</v>
      </c>
    </row>
    <row r="34" spans="1:27" x14ac:dyDescent="0.2">
      <c r="A34" s="1" t="str" cm="1">
        <f t="array" ref="A34">IF(I34="","",IF(P34&lt;&gt;"",SUMPRODUCT((P$3:P$100&lt;&gt;"")*(G$3:G$100=G34)*(J$3:J$100&gt;J34)*(I$3:I$100="P"))+1,IF(O34&lt;&gt;"",SUMPRODUCT((O$3:O$100&lt;&gt;"")*(P$3:P$100="")*(G$3:G$100=G34)*(J$3:J$100&gt;J34)*(I$3:I$100="P"))+SUMPRODUCT((P$3:P$100&lt;&gt;"")*(G$3:G$100=G34)*(I$3:I$100="P"))+1,IF(N34&lt;&gt;"",SUMPRODUCT((N$3:N$100&lt;&gt;"")*(G$3:G$100=G34)*(J$3:J$100&gt;J34)*(I$3:I$100="P"))+1,IF(M34="P",SUMPRODUCT((O$3:O$100&lt;&gt;"")*(P$3:P$100="")*(G$3:G$100=G34)*(I$3:I$100="P"))+SUMPRODUCT((P$3:P$100&lt;&gt;"")*(G$3:G$100=G34)*(I$3:I$100="P"))+SUMPRODUCT((N$3:N$100&lt;&gt;"")*(G$3:G$100=G34)*(I$3:I$100="P"))+SUMPRODUCT((P$3:P$100="")*(O$3:O$100="")*(N$3:N$100="")*(M$3:M$100="P")*(G$3:G$100=G34)*(J$3:J$100&gt;J34)*(I$3:I$100="P"))+IF(H34="L5",SUMPRODUCT((P$3:P$100="")*(O$3:O$100="")*(N$3:N$100="")*(M$3:M$100="P")*(G$3:G$100=G34)*(J$3:J$100&lt;J34)*(H$3:H$100&lt;&gt;H34)*(I$3:I$100="P")),-1*SUMPRODUCT((P$3:P$100="")*(O$3:O$100="")*(N$3:N$100="")*(M$3:M$100="P")*(G$3:G$100=G34)*(J$3:J$100&gt;J34)*(H$3:H$100="L5")*(I$3:I$100="P")))+1,"")))))</f>
        <v/>
      </c>
      <c r="B34" s="1" t="str" cm="1">
        <f t="array" ref="B34">IF(P34&lt;&gt;"",SUMPRODUCT((P$3:P$100&lt;&gt;"")*(G$3:G$100=G34)*(J$3:J$100&gt;J34))+1,IF(O34&lt;&gt;"",SUMPRODUCT((O$3:O$100&lt;&gt;"")*(P$3:P$100="")*(G$3:G$100=G34)*(J$3:J$100&gt;J34))+SUMPRODUCT((P$3:P$100&lt;&gt;"")*(G$3:G$100=G34))+1,IF(N34&lt;&gt;"",SUMPRODUCT((N$3:N$100&lt;&gt;"")*(G$3:G$100=G34)*(J$3:J$100&gt;J34))+1,IF(M34="P",SUMPRODUCT((O$3:O$100&lt;&gt;"")*(P$3:P$100="")*(G$3:G$100=G34))+SUMPRODUCT((P$3:P$100&lt;&gt;"")*(G$3:G$100=G34))+SUMPRODUCT((N$3:N$100&lt;&gt;"")*(G$3:G$100=G34))+SUMPRODUCT((P$3:P$100="")*(O$3:O$100="")*(N$3:N$100="")*(M$3:M$100="P")*(G$3:G$100=G34)*(J$3:J$100&gt;J34))+IF(H34="L5",SUMPRODUCT((P$3:P$100="")*(O$3:O$100="")*(N$3:N$100="")*(M$3:M$100="P")*(G$3:G$100=G34)*(J$3:J$100&lt;J34)*(H$3:H$100&lt;&gt;H34)),-1*SUMPRODUCT((P$3:P$100="")*(O$3:O$100="")*(N$3:N$100="")*(M$3:M$100="P")*(G$3:G$100=G34)*(J$3:J$100&gt;J34)*(H$3:H$100="L5")))+1,""))))</f>
        <v/>
      </c>
      <c r="C34" s="36" t="s">
        <v>436</v>
      </c>
      <c r="D34" s="36" t="str">
        <f>IF(E34="","",VLOOKUP(E34,'Coaching Points'!A:B,2,0))</f>
        <v>BC</v>
      </c>
      <c r="E34" s="36" t="s">
        <v>437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87.200004399999997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 t="shared" si="1"/>
        <v/>
      </c>
      <c r="R34" s="4">
        <f t="shared" si="2"/>
        <v>44</v>
      </c>
      <c r="S34" s="4">
        <f t="shared" si="3"/>
        <v>43.2</v>
      </c>
      <c r="T34" s="33"/>
      <c r="U34" s="40"/>
      <c r="V34" s="34"/>
      <c r="W34" s="40"/>
      <c r="X34" s="33">
        <v>44</v>
      </c>
      <c r="Y34" s="40">
        <v>6.6</v>
      </c>
      <c r="Z34" s="34">
        <v>43.2</v>
      </c>
      <c r="AA34" s="37">
        <v>6.5</v>
      </c>
    </row>
    <row r="35" spans="1:27" x14ac:dyDescent="0.2">
      <c r="A35" s="1" t="str" cm="1">
        <f t="array" ref="A35">IF(I35="","",IF(P35&lt;&gt;"",SUMPRODUCT((P$3:P$100&lt;&gt;"")*(G$3:G$100=G35)*(J$3:J$100&gt;J35)*(I$3:I$100="P"))+1,IF(O35&lt;&gt;"",SUMPRODUCT((O$3:O$100&lt;&gt;"")*(P$3:P$100="")*(G$3:G$100=G35)*(J$3:J$100&gt;J35)*(I$3:I$100="P"))+SUMPRODUCT((P$3:P$100&lt;&gt;"")*(G$3:G$100=G35)*(I$3:I$100="P"))+1,IF(N35&lt;&gt;"",SUMPRODUCT((N$3:N$100&lt;&gt;"")*(G$3:G$100=G35)*(J$3:J$100&gt;J35)*(I$3:I$100="P"))+1,IF(M35="P",SUMPRODUCT((O$3:O$100&lt;&gt;"")*(P$3:P$100="")*(G$3:G$100=G35)*(I$3:I$100="P"))+SUMPRODUCT((P$3:P$100&lt;&gt;"")*(G$3:G$100=G35)*(I$3:I$100="P"))+SUMPRODUCT((N$3:N$100&lt;&gt;"")*(G$3:G$100=G35)*(I$3:I$100="P"))+SUMPRODUCT((P$3:P$100="")*(O$3:O$100="")*(N$3:N$100="")*(M$3:M$100="P")*(G$3:G$100=G35)*(J$3:J$100&gt;J35)*(I$3:I$100="P"))+IF(H35="L5",SUMPRODUCT((P$3:P$100="")*(O$3:O$100="")*(N$3:N$100="")*(M$3:M$100="P")*(G$3:G$100=G35)*(J$3:J$100&lt;J35)*(H$3:H$100&lt;&gt;H35)*(I$3:I$100="P")),-1*SUMPRODUCT((P$3:P$100="")*(O$3:O$100="")*(N$3:N$100="")*(M$3:M$100="P")*(G$3:G$100=G35)*(J$3:J$100&gt;J35)*(H$3:H$100="L5")*(I$3:I$100="P")))+1,"")))))</f>
        <v/>
      </c>
      <c r="B35" s="1" t="str" cm="1">
        <f t="array" ref="B35">IF(P35&lt;&gt;"",SUMPRODUCT((P$3:P$100&lt;&gt;"")*(G$3:G$100=G35)*(J$3:J$100&gt;J35))+1,IF(O35&lt;&gt;"",SUMPRODUCT((O$3:O$100&lt;&gt;"")*(P$3:P$100="")*(G$3:G$100=G35)*(J$3:J$100&gt;J35))+SUMPRODUCT((P$3:P$100&lt;&gt;"")*(G$3:G$100=G35))+1,IF(N35&lt;&gt;"",SUMPRODUCT((N$3:N$100&lt;&gt;"")*(G$3:G$100=G35)*(J$3:J$100&gt;J35))+1,IF(M35="P",SUMPRODUCT((O$3:O$100&lt;&gt;"")*(P$3:P$100="")*(G$3:G$100=G35))+SUMPRODUCT((P$3:P$100&lt;&gt;"")*(G$3:G$100=G35))+SUMPRODUCT((N$3:N$100&lt;&gt;"")*(G$3:G$100=G35))+SUMPRODUCT((P$3:P$100="")*(O$3:O$100="")*(N$3:N$100="")*(M$3:M$100="P")*(G$3:G$100=G35)*(J$3:J$100&gt;J35))+IF(H35="L5",SUMPRODUCT((P$3:P$100="")*(O$3:O$100="")*(N$3:N$100="")*(M$3:M$100="P")*(G$3:G$100=G35)*(J$3:J$100&lt;J35)*(H$3:H$100&lt;&gt;H35)),-1*SUMPRODUCT((P$3:P$100="")*(O$3:O$100="")*(N$3:N$100="")*(M$3:M$100="P")*(G$3:G$100=G35)*(J$3:J$100&gt;J35)*(H$3:H$100="L5")))+1,""))))</f>
        <v/>
      </c>
      <c r="C35" s="36" t="s">
        <v>427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86.900004460000005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44.6</v>
      </c>
      <c r="S35" s="4">
        <f t="shared" ref="S35:S66" si="7">IF(R35=T35,MAX(V35,X35,Z35),IF(R35=X35,MAX(T35,V35,Z35),0))</f>
        <v>42.3</v>
      </c>
      <c r="T35" s="33"/>
      <c r="U35" s="40"/>
      <c r="V35" s="34"/>
      <c r="W35" s="40"/>
      <c r="X35" s="33">
        <v>44.6</v>
      </c>
      <c r="Y35" s="40">
        <v>8.8000000000000007</v>
      </c>
      <c r="Z35" s="34">
        <v>42.3</v>
      </c>
      <c r="AA35" s="37">
        <v>6.9</v>
      </c>
    </row>
    <row r="36" spans="1:27" x14ac:dyDescent="0.2">
      <c r="A36" s="1" t="str" cm="1">
        <f t="array" ref="A36">IF(I36="","",IF(P36&lt;&gt;"",SUMPRODUCT((P$3:P$100&lt;&gt;"")*(G$3:G$100=G36)*(J$3:J$100&gt;J36)*(I$3:I$100="P"))+1,IF(O36&lt;&gt;"",SUMPRODUCT((O$3:O$100&lt;&gt;"")*(P$3:P$100="")*(G$3:G$100=G36)*(J$3:J$100&gt;J36)*(I$3:I$100="P"))+SUMPRODUCT((P$3:P$100&lt;&gt;"")*(G$3:G$100=G36)*(I$3:I$100="P"))+1,IF(N36&lt;&gt;"",SUMPRODUCT((N$3:N$100&lt;&gt;"")*(G$3:G$100=G36)*(J$3:J$100&gt;J36)*(I$3:I$100="P"))+1,IF(M36="P",SUMPRODUCT((O$3:O$100&lt;&gt;"")*(P$3:P$100="")*(G$3:G$100=G36)*(I$3:I$100="P"))+SUMPRODUCT((P$3:P$100&lt;&gt;"")*(G$3:G$100=G36)*(I$3:I$100="P"))+SUMPRODUCT((N$3:N$100&lt;&gt;"")*(G$3:G$100=G36)*(I$3:I$100="P"))+SUMPRODUCT((P$3:P$100="")*(O$3:O$100="")*(N$3:N$100="")*(M$3:M$100="P")*(G$3:G$100=G36)*(J$3:J$100&gt;J36)*(I$3:I$100="P"))+IF(H36="L5",SUMPRODUCT((P$3:P$100="")*(O$3:O$100="")*(N$3:N$100="")*(M$3:M$100="P")*(G$3:G$100=G36)*(J$3:J$100&lt;J36)*(H$3:H$100&lt;&gt;H36)*(I$3:I$100="P")),-1*SUMPRODUCT((P$3:P$100="")*(O$3:O$100="")*(N$3:N$100="")*(M$3:M$100="P")*(G$3:G$100=G36)*(J$3:J$100&gt;J36)*(H$3:H$100="L5")*(I$3:I$100="P")))+1,"")))))</f>
        <v/>
      </c>
      <c r="B36" s="1" t="str" cm="1">
        <f t="array" ref="B36">IF(P36&lt;&gt;"",SUMPRODUCT((P$3:P$100&lt;&gt;"")*(G$3:G$100=G36)*(J$3:J$100&gt;J36))+1,IF(O36&lt;&gt;"",SUMPRODUCT((O$3:O$100&lt;&gt;"")*(P$3:P$100="")*(G$3:G$100=G36)*(J$3:J$100&gt;J36))+SUMPRODUCT((P$3:P$100&lt;&gt;"")*(G$3:G$100=G36))+1,IF(N36&lt;&gt;"",SUMPRODUCT((N$3:N$100&lt;&gt;"")*(G$3:G$100=G36)*(J$3:J$100&gt;J36))+1,IF(M36="P",SUMPRODUCT((O$3:O$100&lt;&gt;"")*(P$3:P$100="")*(G$3:G$100=G36))+SUMPRODUCT((P$3:P$100&lt;&gt;"")*(G$3:G$100=G36))+SUMPRODUCT((N$3:N$100&lt;&gt;"")*(G$3:G$100=G36))+SUMPRODUCT((P$3:P$100="")*(O$3:O$100="")*(N$3:N$100="")*(M$3:M$100="P")*(G$3:G$100=G36)*(J$3:J$100&gt;J36))+IF(H36="L5",SUMPRODUCT((P$3:P$100="")*(O$3:O$100="")*(N$3:N$100="")*(M$3:M$100="P")*(G$3:G$100=G36)*(J$3:J$100&lt;J36)*(H$3:H$100&lt;&gt;H36)),-1*SUMPRODUCT((P$3:P$100="")*(O$3:O$100="")*(N$3:N$100="")*(M$3:M$100="P")*(G$3:G$100=G36)*(J$3:J$100&gt;J36)*(H$3:H$100="L5")))+1,""))))</f>
        <v/>
      </c>
      <c r="C36" s="36" t="s">
        <v>95</v>
      </c>
      <c r="D36" s="36" t="str">
        <f>IF(E36="","",VLOOKUP(E36,'Coaching Points'!A:B,2,0))</f>
        <v>QC</v>
      </c>
      <c r="E36" s="36" t="s">
        <v>96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86.70000435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 t="shared" si="5"/>
        <v/>
      </c>
      <c r="R36" s="4">
        <f t="shared" si="6"/>
        <v>43.5</v>
      </c>
      <c r="S36" s="4">
        <f t="shared" si="7"/>
        <v>43.2</v>
      </c>
      <c r="T36" s="33">
        <v>42.8</v>
      </c>
      <c r="U36" s="40">
        <v>5.4</v>
      </c>
      <c r="V36" s="34"/>
      <c r="W36" s="40"/>
      <c r="X36" s="33">
        <v>43.5</v>
      </c>
      <c r="Y36" s="40">
        <v>6.5</v>
      </c>
      <c r="Z36" s="34">
        <v>43.2</v>
      </c>
      <c r="AA36" s="37">
        <v>6.4</v>
      </c>
    </row>
    <row r="37" spans="1:27" x14ac:dyDescent="0.2">
      <c r="A37" s="1" t="str" cm="1">
        <f t="array" ref="A37">IF(I37="","",IF(P37&lt;&gt;"",SUMPRODUCT((P$3:P$100&lt;&gt;"")*(G$3:G$100=G37)*(J$3:J$100&gt;J37)*(I$3:I$100="P"))+1,IF(O37&lt;&gt;"",SUMPRODUCT((O$3:O$100&lt;&gt;"")*(P$3:P$100="")*(G$3:G$100=G37)*(J$3:J$100&gt;J37)*(I$3:I$100="P"))+SUMPRODUCT((P$3:P$100&lt;&gt;"")*(G$3:G$100=G37)*(I$3:I$100="P"))+1,IF(N37&lt;&gt;"",SUMPRODUCT((N$3:N$100&lt;&gt;"")*(G$3:G$100=G37)*(J$3:J$100&gt;J37)*(I$3:I$100="P"))+1,IF(M37="P",SUMPRODUCT((O$3:O$100&lt;&gt;"")*(P$3:P$100="")*(G$3:G$100=G37)*(I$3:I$100="P"))+SUMPRODUCT((P$3:P$100&lt;&gt;"")*(G$3:G$100=G37)*(I$3:I$100="P"))+SUMPRODUCT((N$3:N$100&lt;&gt;"")*(G$3:G$100=G37)*(I$3:I$100="P"))+SUMPRODUCT((P$3:P$100="")*(O$3:O$100="")*(N$3:N$100="")*(M$3:M$100="P")*(G$3:G$100=G37)*(J$3:J$100&gt;J37)*(I$3:I$100="P"))+IF(H37="L5",SUMPRODUCT((P$3:P$100="")*(O$3:O$100="")*(N$3:N$100="")*(M$3:M$100="P")*(G$3:G$100=G37)*(J$3:J$100&lt;J37)*(H$3:H$100&lt;&gt;H37)*(I$3:I$100="P")),-1*SUMPRODUCT((P$3:P$100="")*(O$3:O$100="")*(N$3:N$100="")*(M$3:M$100="P")*(G$3:G$100=G37)*(J$3:J$100&gt;J37)*(H$3:H$100="L5")*(I$3:I$100="P")))+1,"")))))</f>
        <v/>
      </c>
      <c r="B37" s="1" t="str" cm="1">
        <f t="array" ref="B37">IF(P37&lt;&gt;"",SUMPRODUCT((P$3:P$100&lt;&gt;"")*(G$3:G$100=G37)*(J$3:J$100&gt;J37))+1,IF(O37&lt;&gt;"",SUMPRODUCT((O$3:O$100&lt;&gt;"")*(P$3:P$100="")*(G$3:G$100=G37)*(J$3:J$100&gt;J37))+SUMPRODUCT((P$3:P$100&lt;&gt;"")*(G$3:G$100=G37))+1,IF(N37&lt;&gt;"",SUMPRODUCT((N$3:N$100&lt;&gt;"")*(G$3:G$100=G37)*(J$3:J$100&gt;J37))+1,IF(M37="P",SUMPRODUCT((O$3:O$100&lt;&gt;"")*(P$3:P$100="")*(G$3:G$100=G37))+SUMPRODUCT((P$3:P$100&lt;&gt;"")*(G$3:G$100=G37))+SUMPRODUCT((N$3:N$100&lt;&gt;"")*(G$3:G$100=G37))+SUMPRODUCT((P$3:P$100="")*(O$3:O$100="")*(N$3:N$100="")*(M$3:M$100="P")*(G$3:G$100=G37)*(J$3:J$100&gt;J37))+IF(H37="L5",SUMPRODUCT((P$3:P$100="")*(O$3:O$100="")*(N$3:N$100="")*(M$3:M$100="P")*(G$3:G$100=G37)*(J$3:J$100&lt;J37)*(H$3:H$100&lt;&gt;H37)),-1*SUMPRODUCT((P$3:P$100="")*(O$3:O$100="")*(N$3:N$100="")*(M$3:M$100="P")*(G$3:G$100=G37)*(J$3:J$100&gt;J37)*(H$3:H$100="L5")))+1,""))))</f>
        <v/>
      </c>
      <c r="C37" s="36" t="s">
        <v>324</v>
      </c>
      <c r="D37" s="36" t="str">
        <f>IF(E37="","",VLOOKUP(E37,'Coaching Points'!A:B,2,0))</f>
        <v>AB</v>
      </c>
      <c r="E37" s="36" t="s">
        <v>64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85.800004370000011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 t="shared" si="5"/>
        <v/>
      </c>
      <c r="R37" s="4">
        <f t="shared" si="6"/>
        <v>43.7</v>
      </c>
      <c r="S37" s="4">
        <f t="shared" si="7"/>
        <v>42.1</v>
      </c>
      <c r="T37" s="33">
        <v>42.1</v>
      </c>
      <c r="U37" s="40">
        <v>6</v>
      </c>
      <c r="V37" s="34"/>
      <c r="W37" s="40"/>
      <c r="X37" s="33">
        <v>43.7</v>
      </c>
      <c r="Y37" s="40">
        <v>7.8000000000000007</v>
      </c>
      <c r="Z37" s="34">
        <v>42</v>
      </c>
      <c r="AA37" s="37">
        <v>6</v>
      </c>
    </row>
    <row r="38" spans="1:27" x14ac:dyDescent="0.2">
      <c r="A38" s="1" t="str" cm="1">
        <f t="array" ref="A38">IF(I38="","",IF(P38&lt;&gt;"",SUMPRODUCT((P$3:P$100&lt;&gt;"")*(G$3:G$100=G38)*(J$3:J$100&gt;J38)*(I$3:I$100="P"))+1,IF(O38&lt;&gt;"",SUMPRODUCT((O$3:O$100&lt;&gt;"")*(P$3:P$100="")*(G$3:G$100=G38)*(J$3:J$100&gt;J38)*(I$3:I$100="P"))+SUMPRODUCT((P$3:P$100&lt;&gt;"")*(G$3:G$100=G38)*(I$3:I$100="P"))+1,IF(N38&lt;&gt;"",SUMPRODUCT((N$3:N$100&lt;&gt;"")*(G$3:G$100=G38)*(J$3:J$100&gt;J38)*(I$3:I$100="P"))+1,IF(M38="P",SUMPRODUCT((O$3:O$100&lt;&gt;"")*(P$3:P$100="")*(G$3:G$100=G38)*(I$3:I$100="P"))+SUMPRODUCT((P$3:P$100&lt;&gt;"")*(G$3:G$100=G38)*(I$3:I$100="P"))+SUMPRODUCT((N$3:N$100&lt;&gt;"")*(G$3:G$100=G38)*(I$3:I$100="P"))+SUMPRODUCT((P$3:P$100="")*(O$3:O$100="")*(N$3:N$100="")*(M$3:M$100="P")*(G$3:G$100=G38)*(J$3:J$100&gt;J38)*(I$3:I$100="P"))+IF(H38="L5",SUMPRODUCT((P$3:P$100="")*(O$3:O$100="")*(N$3:N$100="")*(M$3:M$100="P")*(G$3:G$100=G38)*(J$3:J$100&lt;J38)*(H$3:H$100&lt;&gt;H38)*(I$3:I$100="P")),-1*SUMPRODUCT((P$3:P$100="")*(O$3:O$100="")*(N$3:N$100="")*(M$3:M$100="P")*(G$3:G$100=G38)*(J$3:J$100&gt;J38)*(H$3:H$100="L5")*(I$3:I$100="P")))+1,"")))))</f>
        <v/>
      </c>
      <c r="B38" s="1" t="str" cm="1">
        <f t="array" ref="B38">IF(P38&lt;&gt;"",SUMPRODUCT((P$3:P$100&lt;&gt;"")*(G$3:G$100=G38)*(J$3:J$100&gt;J38))+1,IF(O38&lt;&gt;"",SUMPRODUCT((O$3:O$100&lt;&gt;"")*(P$3:P$100="")*(G$3:G$100=G38)*(J$3:J$100&gt;J38))+SUMPRODUCT((P$3:P$100&lt;&gt;"")*(G$3:G$100=G38))+1,IF(N38&lt;&gt;"",SUMPRODUCT((N$3:N$100&lt;&gt;"")*(G$3:G$100=G38)*(J$3:J$100&gt;J38))+1,IF(M38="P",SUMPRODUCT((O$3:O$100&lt;&gt;"")*(P$3:P$100="")*(G$3:G$100=G38))+SUMPRODUCT((P$3:P$100&lt;&gt;"")*(G$3:G$100=G38))+SUMPRODUCT((N$3:N$100&lt;&gt;"")*(G$3:G$100=G38))+SUMPRODUCT((P$3:P$100="")*(O$3:O$100="")*(N$3:N$100="")*(M$3:M$100="P")*(G$3:G$100=G38)*(J$3:J$100&gt;J38))+IF(H38="L5",SUMPRODUCT((P$3:P$100="")*(O$3:O$100="")*(N$3:N$100="")*(M$3:M$100="P")*(G$3:G$100=G38)*(J$3:J$100&lt;J38)*(H$3:H$100&lt;&gt;H38)),-1*SUMPRODUCT((P$3:P$100="")*(O$3:O$100="")*(N$3:N$100="")*(M$3:M$100="P")*(G$3:G$100=G38)*(J$3:J$100&gt;J38)*(H$3:H$100="L5")))+1,""))))</f>
        <v/>
      </c>
      <c r="C38" s="36" t="s">
        <v>321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84.7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 t="shared" si="5"/>
        <v/>
      </c>
      <c r="R38" s="4">
        <f t="shared" si="6"/>
        <v>43</v>
      </c>
      <c r="S38" s="4">
        <f t="shared" si="7"/>
        <v>41.7</v>
      </c>
      <c r="T38" s="33">
        <v>43</v>
      </c>
      <c r="U38" s="40">
        <v>5.8000000000000007</v>
      </c>
      <c r="V38" s="34">
        <v>41.7</v>
      </c>
      <c r="W38" s="40">
        <v>6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$100&lt;&gt;"")*(G$3:G$100=G39)*(J$3:J$100&gt;J39)*(I$3:I$100="P"))+1,IF(O39&lt;&gt;"",SUMPRODUCT((O$3:O$100&lt;&gt;"")*(P$3:P$100="")*(G$3:G$100=G39)*(J$3:J$100&gt;J39)*(I$3:I$100="P"))+SUMPRODUCT((P$3:P$100&lt;&gt;"")*(G$3:G$100=G39)*(I$3:I$100="P"))+1,IF(N39&lt;&gt;"",SUMPRODUCT((N$3:N$100&lt;&gt;"")*(G$3:G$100=G39)*(J$3:J$100&gt;J39)*(I$3:I$100="P"))+1,IF(M39="P",SUMPRODUCT((O$3:O$100&lt;&gt;"")*(P$3:P$100="")*(G$3:G$100=G39)*(I$3:I$100="P"))+SUMPRODUCT((P$3:P$100&lt;&gt;"")*(G$3:G$100=G39)*(I$3:I$100="P"))+SUMPRODUCT((N$3:N$100&lt;&gt;"")*(G$3:G$100=G39)*(I$3:I$100="P"))+SUMPRODUCT((P$3:P$100="")*(O$3:O$100="")*(N$3:N$100="")*(M$3:M$100="P")*(G$3:G$100=G39)*(J$3:J$100&gt;J39)*(I$3:I$100="P"))+IF(H39="L5",SUMPRODUCT((P$3:P$100="")*(O$3:O$100="")*(N$3:N$100="")*(M$3:M$100="P")*(G$3:G$100=G39)*(J$3:J$100&lt;J39)*(H$3:H$100&lt;&gt;H39)*(I$3:I$100="P")),-1*SUMPRODUCT((P$3:P$100="")*(O$3:O$100="")*(N$3:N$100="")*(M$3:M$100="P")*(G$3:G$100=G39)*(J$3:J$100&gt;J39)*(H$3:H$100="L5")*(I$3:I$100="P")))+1,"")))))</f>
        <v/>
      </c>
      <c r="B39" s="1" t="str" cm="1">
        <f t="array" ref="B39">IF(P39&lt;&gt;"",SUMPRODUCT((P$3:P$100&lt;&gt;"")*(G$3:G$100=G39)*(J$3:J$100&gt;J39))+1,IF(O39&lt;&gt;"",SUMPRODUCT((O$3:O$100&lt;&gt;"")*(P$3:P$100="")*(G$3:G$100=G39)*(J$3:J$100&gt;J39))+SUMPRODUCT((P$3:P$100&lt;&gt;"")*(G$3:G$100=G39))+1,IF(N39&lt;&gt;"",SUMPRODUCT((N$3:N$100&lt;&gt;"")*(G$3:G$100=G39)*(J$3:J$100&gt;J39))+1,IF(M39="P",SUMPRODUCT((O$3:O$100&lt;&gt;"")*(P$3:P$100="")*(G$3:G$100=G39))+SUMPRODUCT((P$3:P$100&lt;&gt;"")*(G$3:G$100=G39))+SUMPRODUCT((N$3:N$100&lt;&gt;"")*(G$3:G$100=G39))+SUMPRODUCT((P$3:P$100="")*(O$3:O$100="")*(N$3:N$100="")*(M$3:M$100="P")*(G$3:G$100=G39)*(J$3:J$100&gt;J39))+IF(H39="L5",SUMPRODUCT((P$3:P$100="")*(O$3:O$100="")*(N$3:N$100="")*(M$3:M$100="P")*(G$3:G$100=G39)*(J$3:J$100&lt;J39)*(H$3:H$100&lt;&gt;H39)),-1*SUMPRODUCT((P$3:P$100="")*(O$3:O$100="")*(N$3:N$100="")*(M$3:M$100="P")*(G$3:G$100=G39)*(J$3:J$100&gt;J39)*(H$3:H$100="L5")))+1,""))))</f>
        <v/>
      </c>
      <c r="C39" s="36" t="s">
        <v>225</v>
      </c>
      <c r="D39" s="36" t="str">
        <f>IF(E39="","",VLOOKUP(E39,'Coaching Points'!A:B,2,0))</f>
        <v>ON</v>
      </c>
      <c r="E39" s="36" t="s">
        <v>285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82.600004189999993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 t="shared" si="5"/>
        <v/>
      </c>
      <c r="R39" s="4">
        <f t="shared" si="6"/>
        <v>41.9</v>
      </c>
      <c r="S39" s="4">
        <f t="shared" si="7"/>
        <v>40.700000000000003</v>
      </c>
      <c r="T39" s="33">
        <v>40.700000000000003</v>
      </c>
      <c r="U39" s="40">
        <v>4.7</v>
      </c>
      <c r="V39" s="34"/>
      <c r="W39" s="40"/>
      <c r="X39" s="33">
        <v>41.9</v>
      </c>
      <c r="Y39" s="40">
        <v>6</v>
      </c>
      <c r="Z39" s="34"/>
      <c r="AA39" s="37"/>
    </row>
    <row r="40" spans="1:27" x14ac:dyDescent="0.2">
      <c r="A40" s="1" t="str" cm="1">
        <f t="array" ref="A40">IF(I40="","",IF(P40&lt;&gt;"",SUMPRODUCT((P$3:P$100&lt;&gt;"")*(G$3:G$100=G40)*(J$3:J$100&gt;J40)*(I$3:I$100="P"))+1,IF(O40&lt;&gt;"",SUMPRODUCT((O$3:O$100&lt;&gt;"")*(P$3:P$100="")*(G$3:G$100=G40)*(J$3:J$100&gt;J40)*(I$3:I$100="P"))+SUMPRODUCT((P$3:P$100&lt;&gt;"")*(G$3:G$100=G40)*(I$3:I$100="P"))+1,IF(N40&lt;&gt;"",SUMPRODUCT((N$3:N$100&lt;&gt;"")*(G$3:G$100=G40)*(J$3:J$100&gt;J40)*(I$3:I$100="P"))+1,IF(M40="P",SUMPRODUCT((O$3:O$100&lt;&gt;"")*(P$3:P$100="")*(G$3:G$100=G40)*(I$3:I$100="P"))+SUMPRODUCT((P$3:P$100&lt;&gt;"")*(G$3:G$100=G40)*(I$3:I$100="P"))+SUMPRODUCT((N$3:N$100&lt;&gt;"")*(G$3:G$100=G40)*(I$3:I$100="P"))+SUMPRODUCT((P$3:P$100="")*(O$3:O$100="")*(N$3:N$100="")*(M$3:M$100="P")*(G$3:G$100=G40)*(J$3:J$100&gt;J40)*(I$3:I$100="P"))+IF(H40="L5",SUMPRODUCT((P$3:P$100="")*(O$3:O$100="")*(N$3:N$100="")*(M$3:M$100="P")*(G$3:G$100=G40)*(J$3:J$100&lt;J40)*(H$3:H$100&lt;&gt;H40)*(I$3:I$100="P")),-1*SUMPRODUCT((P$3:P$100="")*(O$3:O$100="")*(N$3:N$100="")*(M$3:M$100="P")*(G$3:G$100=G40)*(J$3:J$100&gt;J40)*(H$3:H$100="L5")*(I$3:I$100="P")))+1,"")))))</f>
        <v/>
      </c>
      <c r="B40" s="1" t="str" cm="1">
        <f t="array" ref="B40">IF(P40&lt;&gt;"",SUMPRODUCT((P$3:P$100&lt;&gt;"")*(G$3:G$100=G40)*(J$3:J$100&gt;J40))+1,IF(O40&lt;&gt;"",SUMPRODUCT((O$3:O$100&lt;&gt;"")*(P$3:P$100="")*(G$3:G$100=G40)*(J$3:J$100&gt;J40))+SUMPRODUCT((P$3:P$100&lt;&gt;"")*(G$3:G$100=G40))+1,IF(N40&lt;&gt;"",SUMPRODUCT((N$3:N$100&lt;&gt;"")*(G$3:G$100=G40)*(J$3:J$100&gt;J40))+1,IF(M40="P",SUMPRODUCT((O$3:O$100&lt;&gt;"")*(P$3:P$100="")*(G$3:G$100=G40))+SUMPRODUCT((P$3:P$100&lt;&gt;"")*(G$3:G$100=G40))+SUMPRODUCT((N$3:N$100&lt;&gt;"")*(G$3:G$100=G40))+SUMPRODUCT((P$3:P$100="")*(O$3:O$100="")*(N$3:N$100="")*(M$3:M$100="P")*(G$3:G$100=G40)*(J$3:J$100&gt;J40))+IF(H40="L5",SUMPRODUCT((P$3:P$100="")*(O$3:O$100="")*(N$3:N$100="")*(M$3:M$100="P")*(G$3:G$100=G40)*(J$3:J$100&lt;J40)*(H$3:H$100&lt;&gt;H40)),-1*SUMPRODUCT((P$3:P$100="")*(O$3:O$100="")*(N$3:N$100="")*(M$3:M$100="P")*(G$3:G$100=G40)*(J$3:J$100&gt;J40)*(H$3:H$100="L5")))+1,""))))</f>
        <v/>
      </c>
      <c r="C40" s="36" t="s">
        <v>93</v>
      </c>
      <c r="D40" s="36" t="str">
        <f>IF(E40="","",VLOOKUP(E40,'Coaching Points'!A:B,2,0))</f>
        <v>AB</v>
      </c>
      <c r="E40" s="36" t="s">
        <v>70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68</v>
      </c>
      <c r="I40" s="43"/>
      <c r="J40" s="4">
        <f t="shared" si="4"/>
        <v>78.700104289999999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 t="shared" si="5"/>
        <v/>
      </c>
      <c r="R40" s="4">
        <f t="shared" si="6"/>
        <v>42.9</v>
      </c>
      <c r="S40" s="4">
        <f t="shared" si="7"/>
        <v>35.799999999999997</v>
      </c>
      <c r="T40" s="33">
        <v>35.799999999999997</v>
      </c>
      <c r="U40" s="40">
        <v>6.1</v>
      </c>
      <c r="V40" s="34"/>
      <c r="W40" s="40"/>
      <c r="X40" s="33">
        <v>42.9</v>
      </c>
      <c r="Y40" s="40">
        <v>7.6</v>
      </c>
      <c r="Z40" s="34"/>
      <c r="AA40" s="37"/>
    </row>
    <row r="41" spans="1:27" x14ac:dyDescent="0.2">
      <c r="A41" s="1" t="str" cm="1">
        <f t="array" ref="A41">IF(I41="","",IF(P41&lt;&gt;"",SUMPRODUCT((P$3:P$100&lt;&gt;"")*(G$3:G$100=G41)*(J$3:J$100&gt;J41)*(I$3:I$100="P"))+1,IF(O41&lt;&gt;"",SUMPRODUCT((O$3:O$100&lt;&gt;"")*(P$3:P$100="")*(G$3:G$100=G41)*(J$3:J$100&gt;J41)*(I$3:I$100="P"))+SUMPRODUCT((P$3:P$100&lt;&gt;"")*(G$3:G$100=G41)*(I$3:I$100="P"))+1,IF(N41&lt;&gt;"",SUMPRODUCT((N$3:N$100&lt;&gt;"")*(G$3:G$100=G41)*(J$3:J$100&gt;J41)*(I$3:I$100="P"))+1,IF(M41="P",SUMPRODUCT((O$3:O$100&lt;&gt;"")*(P$3:P$100="")*(G$3:G$100=G41)*(I$3:I$100="P"))+SUMPRODUCT((P$3:P$100&lt;&gt;"")*(G$3:G$100=G41)*(I$3:I$100="P"))+SUMPRODUCT((N$3:N$100&lt;&gt;"")*(G$3:G$100=G41)*(I$3:I$100="P"))+SUMPRODUCT((P$3:P$100="")*(O$3:O$100="")*(N$3:N$100="")*(M$3:M$100="P")*(G$3:G$100=G41)*(J$3:J$100&gt;J41)*(I$3:I$100="P"))+IF(H41="L5",SUMPRODUCT((P$3:P$100="")*(O$3:O$100="")*(N$3:N$100="")*(M$3:M$100="P")*(G$3:G$100=G41)*(J$3:J$100&lt;J41)*(H$3:H$100&lt;&gt;H41)*(I$3:I$100="P")),-1*SUMPRODUCT((P$3:P$100="")*(O$3:O$100="")*(N$3:N$100="")*(M$3:M$100="P")*(G$3:G$100=G41)*(J$3:J$100&gt;J41)*(H$3:H$100="L5")*(I$3:I$100="P")))+1,"")))))</f>
        <v/>
      </c>
      <c r="B41" s="1" t="str" cm="1">
        <f t="array" ref="B41">IF(P41&lt;&gt;"",SUMPRODUCT((P$3:P$100&lt;&gt;"")*(G$3:G$100=G41)*(J$3:J$100&gt;J41))+1,IF(O41&lt;&gt;"",SUMPRODUCT((O$3:O$100&lt;&gt;"")*(P$3:P$100="")*(G$3:G$100=G41)*(J$3:J$100&gt;J41))+SUMPRODUCT((P$3:P$100&lt;&gt;"")*(G$3:G$100=G41))+1,IF(N41&lt;&gt;"",SUMPRODUCT((N$3:N$100&lt;&gt;"")*(G$3:G$100=G41)*(J$3:J$100&gt;J41))+1,IF(M41="P",SUMPRODUCT((O$3:O$100&lt;&gt;"")*(P$3:P$100="")*(G$3:G$100=G41))+SUMPRODUCT((P$3:P$100&lt;&gt;"")*(G$3:G$100=G41))+SUMPRODUCT((N$3:N$100&lt;&gt;"")*(G$3:G$100=G41))+SUMPRODUCT((P$3:P$100="")*(O$3:O$100="")*(N$3:N$100="")*(M$3:M$100="P")*(G$3:G$100=G41)*(J$3:J$100&gt;J41))+IF(H41="L5",SUMPRODUCT((P$3:P$100="")*(O$3:O$100="")*(N$3:N$100="")*(M$3:M$100="P")*(G$3:G$100=G41)*(J$3:J$100&lt;J41)*(H$3:H$100&lt;&gt;H41)),-1*SUMPRODUCT((P$3:P$100="")*(O$3:O$100="")*(N$3:N$100="")*(M$3:M$100="P")*(G$3:G$100=G41)*(J$3:J$100&gt;J41)*(H$3:H$100="L5")))+1,""))))</f>
        <v/>
      </c>
      <c r="C41" s="36" t="s">
        <v>169</v>
      </c>
      <c r="D41" s="36" t="str">
        <f>IF(E41="","",VLOOKUP(E41,'Coaching Points'!A:B,2,0))</f>
        <v>AB</v>
      </c>
      <c r="E41" s="36" t="s">
        <v>64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74</v>
      </c>
      <c r="I41" s="43"/>
      <c r="J41" s="4">
        <f t="shared" si="4"/>
        <v>72.900202650000011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 t="shared" si="5"/>
        <v/>
      </c>
      <c r="R41" s="4">
        <f t="shared" si="6"/>
        <v>46.4</v>
      </c>
      <c r="S41" s="4">
        <f t="shared" si="7"/>
        <v>26.5</v>
      </c>
      <c r="T41" s="33">
        <v>46.4</v>
      </c>
      <c r="U41" s="40">
        <v>10.4</v>
      </c>
      <c r="V41" s="34"/>
      <c r="W41" s="40"/>
      <c r="X41" s="33">
        <v>26.5</v>
      </c>
      <c r="Y41" s="40">
        <v>9.1999999999999993</v>
      </c>
      <c r="Z41" s="34"/>
      <c r="AA41" s="37"/>
    </row>
    <row r="42" spans="1:27" x14ac:dyDescent="0.2">
      <c r="A42" s="1" t="str" cm="1">
        <f t="array" ref="A42">IF(I42="","",IF(P42&lt;&gt;"",SUMPRODUCT((P$3:P$100&lt;&gt;"")*(G$3:G$100=G42)*(J$3:J$100&gt;J42)*(I$3:I$100="P"))+1,IF(O42&lt;&gt;"",SUMPRODUCT((O$3:O$100&lt;&gt;"")*(P$3:P$100="")*(G$3:G$100=G42)*(J$3:J$100&gt;J42)*(I$3:I$100="P"))+SUMPRODUCT((P$3:P$100&lt;&gt;"")*(G$3:G$100=G42)*(I$3:I$100="P"))+1,IF(N42&lt;&gt;"",SUMPRODUCT((N$3:N$100&lt;&gt;"")*(G$3:G$100=G42)*(J$3:J$100&gt;J42)*(I$3:I$100="P"))+1,IF(M42="P",SUMPRODUCT((O$3:O$100&lt;&gt;"")*(P$3:P$100="")*(G$3:G$100=G42)*(I$3:I$100="P"))+SUMPRODUCT((P$3:P$100&lt;&gt;"")*(G$3:G$100=G42)*(I$3:I$100="P"))+SUMPRODUCT((N$3:N$100&lt;&gt;"")*(G$3:G$100=G42)*(I$3:I$100="P"))+SUMPRODUCT((P$3:P$100="")*(O$3:O$100="")*(N$3:N$100="")*(M$3:M$100="P")*(G$3:G$100=G42)*(J$3:J$100&gt;J42)*(I$3:I$100="P"))+IF(H42="L5",SUMPRODUCT((P$3:P$100="")*(O$3:O$100="")*(N$3:N$100="")*(M$3:M$100="P")*(G$3:G$100=G42)*(J$3:J$100&lt;J42)*(H$3:H$100&lt;&gt;H42)*(I$3:I$100="P")),-1*SUMPRODUCT((P$3:P$100="")*(O$3:O$100="")*(N$3:N$100="")*(M$3:M$100="P")*(G$3:G$100=G42)*(J$3:J$100&gt;J42)*(H$3:H$100="L5")*(I$3:I$100="P")))+1,"")))))</f>
        <v/>
      </c>
      <c r="B42" s="1" t="str" cm="1">
        <f t="array" ref="B42">IF(P42&lt;&gt;"",SUMPRODUCT((P$3:P$100&lt;&gt;"")*(G$3:G$100=G42)*(J$3:J$100&gt;J42))+1,IF(O42&lt;&gt;"",SUMPRODUCT((O$3:O$100&lt;&gt;"")*(P$3:P$100="")*(G$3:G$100=G42)*(J$3:J$100&gt;J42))+SUMPRODUCT((P$3:P$100&lt;&gt;"")*(G$3:G$100=G42))+1,IF(N42&lt;&gt;"",SUMPRODUCT((N$3:N$100&lt;&gt;"")*(G$3:G$100=G42)*(J$3:J$100&gt;J42))+1,IF(M42="P",SUMPRODUCT((O$3:O$100&lt;&gt;"")*(P$3:P$100="")*(G$3:G$100=G42))+SUMPRODUCT((P$3:P$100&lt;&gt;"")*(G$3:G$100=G42))+SUMPRODUCT((N$3:N$100&lt;&gt;"")*(G$3:G$100=G42))+SUMPRODUCT((P$3:P$100="")*(O$3:O$100="")*(N$3:N$100="")*(M$3:M$100="P")*(G$3:G$100=G42)*(J$3:J$100&gt;J42))+IF(H42="L5",SUMPRODUCT((P$3:P$100="")*(O$3:O$100="")*(N$3:N$100="")*(M$3:M$100="P")*(G$3:G$100=G42)*(J$3:J$100&lt;J42)*(H$3:H$100&lt;&gt;H42)),-1*SUMPRODUCT((P$3:P$100="")*(O$3:O$100="")*(N$3:N$100="")*(M$3:M$100="P")*(G$3:G$100=G42)*(J$3:J$100&gt;J42)*(H$3:H$100="L5")))+1,""))))</f>
        <v/>
      </c>
      <c r="C42" s="36" t="s">
        <v>320</v>
      </c>
      <c r="D42" s="36" t="str">
        <f>IF(E42="","",VLOOKUP(E42,'Coaching Points'!A:B,2,0))</f>
        <v>AB</v>
      </c>
      <c r="E42" s="36" t="s">
        <v>29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65.400004320000008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 t="shared" si="5"/>
        <v/>
      </c>
      <c r="R42" s="4">
        <f t="shared" si="6"/>
        <v>43.2</v>
      </c>
      <c r="S42" s="4">
        <f t="shared" si="7"/>
        <v>22.2</v>
      </c>
      <c r="T42" s="33">
        <v>22.2</v>
      </c>
      <c r="U42" s="40">
        <v>4.4000000000000004</v>
      </c>
      <c r="V42" s="34"/>
      <c r="W42" s="40"/>
      <c r="X42" s="33">
        <v>43.2</v>
      </c>
      <c r="Y42" s="40">
        <v>8</v>
      </c>
      <c r="Z42" s="34"/>
      <c r="AA42" s="37"/>
    </row>
    <row r="43" spans="1:27" x14ac:dyDescent="0.2">
      <c r="A43" s="1" t="str" cm="1">
        <f t="array" ref="A43">IF(I43="","",IF(P43&lt;&gt;"",SUMPRODUCT((P$3:P$100&lt;&gt;"")*(G$3:G$100=G43)*(J$3:J$100&gt;J43)*(I$3:I$100="P"))+1,IF(O43&lt;&gt;"",SUMPRODUCT((O$3:O$100&lt;&gt;"")*(P$3:P$100="")*(G$3:G$100=G43)*(J$3:J$100&gt;J43)*(I$3:I$100="P"))+SUMPRODUCT((P$3:P$100&lt;&gt;"")*(G$3:G$100=G43)*(I$3:I$100="P"))+1,IF(N43&lt;&gt;"",SUMPRODUCT((N$3:N$100&lt;&gt;"")*(G$3:G$100=G43)*(J$3:J$100&gt;J43)*(I$3:I$100="P"))+1,IF(M43="P",SUMPRODUCT((O$3:O$100&lt;&gt;"")*(P$3:P$100="")*(G$3:G$100=G43)*(I$3:I$100="P"))+SUMPRODUCT((P$3:P$100&lt;&gt;"")*(G$3:G$100=G43)*(I$3:I$100="P"))+SUMPRODUCT((N$3:N$100&lt;&gt;"")*(G$3:G$100=G43)*(I$3:I$100="P"))+SUMPRODUCT((P$3:P$100="")*(O$3:O$100="")*(N$3:N$100="")*(M$3:M$100="P")*(G$3:G$100=G43)*(J$3:J$100&gt;J43)*(I$3:I$100="P"))+IF(H43="L5",SUMPRODUCT((P$3:P$100="")*(O$3:O$100="")*(N$3:N$100="")*(M$3:M$100="P")*(G$3:G$100=G43)*(J$3:J$100&lt;J43)*(H$3:H$100&lt;&gt;H43)*(I$3:I$100="P")),-1*SUMPRODUCT((P$3:P$100="")*(O$3:O$100="")*(N$3:N$100="")*(M$3:M$100="P")*(G$3:G$100=G43)*(J$3:J$100&gt;J43)*(H$3:H$100="L5")*(I$3:I$100="P")))+1,"")))))</f>
        <v/>
      </c>
      <c r="B43" s="1" t="str" cm="1">
        <f t="array" ref="B43">IF(P43&lt;&gt;"",SUMPRODUCT((P$3:P$100&lt;&gt;"")*(G$3:G$100=G43)*(J$3:J$100&gt;J43))+1,IF(O43&lt;&gt;"",SUMPRODUCT((O$3:O$100&lt;&gt;"")*(P$3:P$100="")*(G$3:G$100=G43)*(J$3:J$100&gt;J43))+SUMPRODUCT((P$3:P$100&lt;&gt;"")*(G$3:G$100=G43))+1,IF(N43&lt;&gt;"",SUMPRODUCT((N$3:N$100&lt;&gt;"")*(G$3:G$100=G43)*(J$3:J$100&gt;J43))+1,IF(M43="P",SUMPRODUCT((O$3:O$100&lt;&gt;"")*(P$3:P$100="")*(G$3:G$100=G43))+SUMPRODUCT((P$3:P$100&lt;&gt;"")*(G$3:G$100=G43))+SUMPRODUCT((N$3:N$100&lt;&gt;"")*(G$3:G$100=G43))+SUMPRODUCT((P$3:P$100="")*(O$3:O$100="")*(N$3:N$100="")*(M$3:M$100="P")*(G$3:G$100=G43)*(J$3:J$100&gt;J43))+IF(H43="L5",SUMPRODUCT((P$3:P$100="")*(O$3:O$100="")*(N$3:N$100="")*(M$3:M$100="P")*(G$3:G$100=G43)*(J$3:J$100&lt;J43)*(H$3:H$100&lt;&gt;H43)),-1*SUMPRODUCT((P$3:P$100="")*(O$3:O$100="")*(N$3:N$100="")*(M$3:M$100="P")*(G$3:G$100=G43)*(J$3:J$100&gt;J43)*(H$3:H$100="L5")))+1,""))))</f>
        <v/>
      </c>
      <c r="C43" s="36" t="s">
        <v>221</v>
      </c>
      <c r="D43" s="36" t="str">
        <f>IF(E43="","",VLOOKUP(E43,'Coaching Points'!A:B,2,0))</f>
        <v>NB</v>
      </c>
      <c r="E43" s="36" t="s">
        <v>48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64.900000000000006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 t="shared" si="5"/>
        <v/>
      </c>
      <c r="R43" s="4">
        <f t="shared" si="6"/>
        <v>42.7</v>
      </c>
      <c r="S43" s="4">
        <f t="shared" si="7"/>
        <v>22.2</v>
      </c>
      <c r="T43" s="33">
        <v>42.7</v>
      </c>
      <c r="U43" s="40">
        <v>6.6</v>
      </c>
      <c r="V43" s="34">
        <v>22.2</v>
      </c>
      <c r="W43" s="40">
        <v>3.3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$100&lt;&gt;"")*(G$3:G$100=G44)*(J$3:J$100&gt;J44)*(I$3:I$100="P"))+1,IF(O44&lt;&gt;"",SUMPRODUCT((O$3:O$100&lt;&gt;"")*(P$3:P$100="")*(G$3:G$100=G44)*(J$3:J$100&gt;J44)*(I$3:I$100="P"))+SUMPRODUCT((P$3:P$100&lt;&gt;"")*(G$3:G$100=G44)*(I$3:I$100="P"))+1,IF(N44&lt;&gt;"",SUMPRODUCT((N$3:N$100&lt;&gt;"")*(G$3:G$100=G44)*(J$3:J$100&gt;J44)*(I$3:I$100="P"))+1,IF(M44="P",SUMPRODUCT((O$3:O$100&lt;&gt;"")*(P$3:P$100="")*(G$3:G$100=G44)*(I$3:I$100="P"))+SUMPRODUCT((P$3:P$100&lt;&gt;"")*(G$3:G$100=G44)*(I$3:I$100="P"))+SUMPRODUCT((N$3:N$100&lt;&gt;"")*(G$3:G$100=G44)*(I$3:I$100="P"))+SUMPRODUCT((P$3:P$100="")*(O$3:O$100="")*(N$3:N$100="")*(M$3:M$100="P")*(G$3:G$100=G44)*(J$3:J$100&gt;J44)*(I$3:I$100="P"))+IF(H44="L5",SUMPRODUCT((P$3:P$100="")*(O$3:O$100="")*(N$3:N$100="")*(M$3:M$100="P")*(G$3:G$100=G44)*(J$3:J$100&lt;J44)*(H$3:H$100&lt;&gt;H44)*(I$3:I$100="P")),-1*SUMPRODUCT((P$3:P$100="")*(O$3:O$100="")*(N$3:N$100="")*(M$3:M$100="P")*(G$3:G$100=G44)*(J$3:J$100&gt;J44)*(H$3:H$100="L5")*(I$3:I$100="P")))+1,"")))))</f>
        <v/>
      </c>
      <c r="B44" s="1" t="str" cm="1">
        <f t="array" ref="B44">IF(P44&lt;&gt;"",SUMPRODUCT((P$3:P$100&lt;&gt;"")*(G$3:G$100=G44)*(J$3:J$100&gt;J44))+1,IF(O44&lt;&gt;"",SUMPRODUCT((O$3:O$100&lt;&gt;"")*(P$3:P$100="")*(G$3:G$100=G44)*(J$3:J$100&gt;J44))+SUMPRODUCT((P$3:P$100&lt;&gt;"")*(G$3:G$100=G44))+1,IF(N44&lt;&gt;"",SUMPRODUCT((N$3:N$100&lt;&gt;"")*(G$3:G$100=G44)*(J$3:J$100&gt;J44))+1,IF(M44="P",SUMPRODUCT((O$3:O$100&lt;&gt;"")*(P$3:P$100="")*(G$3:G$100=G44))+SUMPRODUCT((P$3:P$100&lt;&gt;"")*(G$3:G$100=G44))+SUMPRODUCT((N$3:N$100&lt;&gt;"")*(G$3:G$100=G44))+SUMPRODUCT((P$3:P$100="")*(O$3:O$100="")*(N$3:N$100="")*(M$3:M$100="P")*(G$3:G$100=G44)*(J$3:J$100&gt;J44))+IF(H44="L5",SUMPRODUCT((P$3:P$100="")*(O$3:O$100="")*(N$3:N$100="")*(M$3:M$100="P")*(G$3:G$100=G44)*(J$3:J$100&lt;J44)*(H$3:H$100&lt;&gt;H44)),-1*SUMPRODUCT((P$3:P$100="")*(O$3:O$100="")*(N$3:N$100="")*(M$3:M$100="P")*(G$3:G$100=G44)*(J$3:J$100&gt;J44)*(H$3:H$100="L5")))+1,""))))</f>
        <v/>
      </c>
      <c r="C44" s="36" t="s">
        <v>168</v>
      </c>
      <c r="D44" s="36" t="str">
        <f>IF(E44="","",VLOOKUP(E44,'Coaching Points'!A:B,2,0))</f>
        <v>AB</v>
      </c>
      <c r="E44" s="36" t="s">
        <v>64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60.900004110000005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 t="shared" si="5"/>
        <v/>
      </c>
      <c r="R44" s="4">
        <f t="shared" si="6"/>
        <v>41.1</v>
      </c>
      <c r="S44" s="4">
        <f t="shared" si="7"/>
        <v>19.8</v>
      </c>
      <c r="T44" s="33">
        <v>19.8</v>
      </c>
      <c r="U44" s="40">
        <v>2.1</v>
      </c>
      <c r="V44" s="34"/>
      <c r="W44" s="40"/>
      <c r="X44" s="33">
        <v>41.1</v>
      </c>
      <c r="Y44" s="40">
        <v>4.8000000000000007</v>
      </c>
      <c r="Z44" s="34"/>
      <c r="AA44" s="37"/>
    </row>
    <row r="45" spans="1:27" x14ac:dyDescent="0.2">
      <c r="A45" s="1" t="str" cm="1">
        <f t="array" ref="A45">IF(I45="","",IF(P45&lt;&gt;"",SUMPRODUCT((P$3:P$100&lt;&gt;"")*(G$3:G$100=G45)*(J$3:J$100&gt;J45)*(I$3:I$100="P"))+1,IF(O45&lt;&gt;"",SUMPRODUCT((O$3:O$100&lt;&gt;"")*(P$3:P$100="")*(G$3:G$100=G45)*(J$3:J$100&gt;J45)*(I$3:I$100="P"))+SUMPRODUCT((P$3:P$100&lt;&gt;"")*(G$3:G$100=G45)*(I$3:I$100="P"))+1,IF(N45&lt;&gt;"",SUMPRODUCT((N$3:N$100&lt;&gt;"")*(G$3:G$100=G45)*(J$3:J$100&gt;J45)*(I$3:I$100="P"))+1,IF(M45="P",SUMPRODUCT((O$3:O$100&lt;&gt;"")*(P$3:P$100="")*(G$3:G$100=G45)*(I$3:I$100="P"))+SUMPRODUCT((P$3:P$100&lt;&gt;"")*(G$3:G$100=G45)*(I$3:I$100="P"))+SUMPRODUCT((N$3:N$100&lt;&gt;"")*(G$3:G$100=G45)*(I$3:I$100="P"))+SUMPRODUCT((P$3:P$100="")*(O$3:O$100="")*(N$3:N$100="")*(M$3:M$100="P")*(G$3:G$100=G45)*(J$3:J$100&gt;J45)*(I$3:I$100="P"))+IF(H45="L5",SUMPRODUCT((P$3:P$100="")*(O$3:O$100="")*(N$3:N$100="")*(M$3:M$100="P")*(G$3:G$100=G45)*(J$3:J$100&lt;J45)*(H$3:H$100&lt;&gt;H45)*(I$3:I$100="P")),-1*SUMPRODUCT((P$3:P$100="")*(O$3:O$100="")*(N$3:N$100="")*(M$3:M$100="P")*(G$3:G$100=G45)*(J$3:J$100&gt;J45)*(H$3:H$100="L5")*(I$3:I$100="P")))+1,"")))))</f>
        <v/>
      </c>
      <c r="B45" s="1" t="str" cm="1">
        <f t="array" ref="B45">IF(P45&lt;&gt;"",SUMPRODUCT((P$3:P$100&lt;&gt;"")*(G$3:G$100=G45)*(J$3:J$100&gt;J45))+1,IF(O45&lt;&gt;"",SUMPRODUCT((O$3:O$100&lt;&gt;"")*(P$3:P$100="")*(G$3:G$100=G45)*(J$3:J$100&gt;J45))+SUMPRODUCT((P$3:P$100&lt;&gt;"")*(G$3:G$100=G45))+1,IF(N45&lt;&gt;"",SUMPRODUCT((N$3:N$100&lt;&gt;"")*(G$3:G$100=G45)*(J$3:J$100&gt;J45))+1,IF(M45="P",SUMPRODUCT((O$3:O$100&lt;&gt;"")*(P$3:P$100="")*(G$3:G$100=G45))+SUMPRODUCT((P$3:P$100&lt;&gt;"")*(G$3:G$100=G45))+SUMPRODUCT((N$3:N$100&lt;&gt;"")*(G$3:G$100=G45))+SUMPRODUCT((P$3:P$100="")*(O$3:O$100="")*(N$3:N$100="")*(M$3:M$100="P")*(G$3:G$100=G45)*(J$3:J$100&gt;J45))+IF(H45="L5",SUMPRODUCT((P$3:P$100="")*(O$3:O$100="")*(N$3:N$100="")*(M$3:M$100="P")*(G$3:G$100=G45)*(J$3:J$100&lt;J45)*(H$3:H$100&lt;&gt;H45)),-1*SUMPRODUCT((P$3:P$100="")*(O$3:O$100="")*(N$3:N$100="")*(M$3:M$100="P")*(G$3:G$100=G45)*(J$3:J$100&gt;J45)*(H$3:H$100="L5")))+1,""))))</f>
        <v/>
      </c>
      <c r="C45" s="36" t="s">
        <v>228</v>
      </c>
      <c r="D45" s="36" t="str">
        <f>IF(E45="","",VLOOKUP(E45,'Coaching Points'!A:B,2,0))</f>
        <v>QC</v>
      </c>
      <c r="E45" s="36" t="s">
        <v>203</v>
      </c>
      <c r="F45" s="35">
        <v>2002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68</v>
      </c>
      <c r="I45" s="43"/>
      <c r="J45" s="4">
        <f t="shared" si="4"/>
        <v>47.400100000000002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 t="shared" si="5"/>
        <v/>
      </c>
      <c r="R45" s="4">
        <f t="shared" si="6"/>
        <v>47.4</v>
      </c>
      <c r="S45" s="4">
        <f t="shared" si="7"/>
        <v>0</v>
      </c>
      <c r="T45" s="33">
        <v>47.4</v>
      </c>
      <c r="U45" s="40">
        <v>9.6000000000000014</v>
      </c>
      <c r="V45" s="34"/>
      <c r="W45" s="40"/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$100&lt;&gt;"")*(G$3:G$100=G46)*(J$3:J$100&gt;J46)*(I$3:I$100="P"))+1,IF(O46&lt;&gt;"",SUMPRODUCT((O$3:O$100&lt;&gt;"")*(P$3:P$100="")*(G$3:G$100=G46)*(J$3:J$100&gt;J46)*(I$3:I$100="P"))+SUMPRODUCT((P$3:P$100&lt;&gt;"")*(G$3:G$100=G46)*(I$3:I$100="P"))+1,IF(N46&lt;&gt;"",SUMPRODUCT((N$3:N$100&lt;&gt;"")*(G$3:G$100=G46)*(J$3:J$100&gt;J46)*(I$3:I$100="P"))+1,IF(M46="P",SUMPRODUCT((O$3:O$100&lt;&gt;"")*(P$3:P$100="")*(G$3:G$100=G46)*(I$3:I$100="P"))+SUMPRODUCT((P$3:P$100&lt;&gt;"")*(G$3:G$100=G46)*(I$3:I$100="P"))+SUMPRODUCT((N$3:N$100&lt;&gt;"")*(G$3:G$100=G46)*(I$3:I$100="P"))+SUMPRODUCT((P$3:P$100="")*(O$3:O$100="")*(N$3:N$100="")*(M$3:M$100="P")*(G$3:G$100=G46)*(J$3:J$100&gt;J46)*(I$3:I$100="P"))+IF(H46="L5",SUMPRODUCT((P$3:P$100="")*(O$3:O$100="")*(N$3:N$100="")*(M$3:M$100="P")*(G$3:G$100=G46)*(J$3:J$100&lt;J46)*(H$3:H$100&lt;&gt;H46)*(I$3:I$100="P")),-1*SUMPRODUCT((P$3:P$100="")*(O$3:O$100="")*(N$3:N$100="")*(M$3:M$100="P")*(G$3:G$100=G46)*(J$3:J$100&gt;J46)*(H$3:H$100="L5")*(I$3:I$100="P")))+1,"")))))</f>
        <v/>
      </c>
      <c r="B46" s="1" t="str" cm="1">
        <f t="array" ref="B46">IF(P46&lt;&gt;"",SUMPRODUCT((P$3:P$100&lt;&gt;"")*(G$3:G$100=G46)*(J$3:J$100&gt;J46))+1,IF(O46&lt;&gt;"",SUMPRODUCT((O$3:O$100&lt;&gt;"")*(P$3:P$100="")*(G$3:G$100=G46)*(J$3:J$100&gt;J46))+SUMPRODUCT((P$3:P$100&lt;&gt;"")*(G$3:G$100=G46))+1,IF(N46&lt;&gt;"",SUMPRODUCT((N$3:N$100&lt;&gt;"")*(G$3:G$100=G46)*(J$3:J$100&gt;J46))+1,IF(M46="P",SUMPRODUCT((O$3:O$100&lt;&gt;"")*(P$3:P$100="")*(G$3:G$100=G46))+SUMPRODUCT((P$3:P$100&lt;&gt;"")*(G$3:G$100=G46))+SUMPRODUCT((N$3:N$100&lt;&gt;"")*(G$3:G$100=G46))+SUMPRODUCT((P$3:P$100="")*(O$3:O$100="")*(N$3:N$100="")*(M$3:M$100="P")*(G$3:G$100=G46)*(J$3:J$100&gt;J46))+IF(H46="L5",SUMPRODUCT((P$3:P$100="")*(O$3:O$100="")*(N$3:N$100="")*(M$3:M$100="P")*(G$3:G$100=G46)*(J$3:J$100&lt;J46)*(H$3:H$100&lt;&gt;H46)),-1*SUMPRODUCT((P$3:P$100="")*(O$3:O$100="")*(N$3:N$100="")*(M$3:M$100="P")*(G$3:G$100=G46)*(J$3:J$100&gt;J46)*(H$3:H$100="L5")))+1,""))))</f>
        <v/>
      </c>
      <c r="C46" s="36" t="s">
        <v>506</v>
      </c>
      <c r="D46" s="36" t="str">
        <f>IF(E46="","",VLOOKUP(E46,'Coaching Points'!A:B,2,0))</f>
        <v>QC</v>
      </c>
      <c r="E46" s="36" t="s">
        <v>203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68</v>
      </c>
      <c r="I46" s="43"/>
      <c r="J46" s="4">
        <f t="shared" si="4"/>
        <v>47.200104720000006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 t="shared" si="5"/>
        <v/>
      </c>
      <c r="R46" s="4">
        <f t="shared" si="6"/>
        <v>47.2</v>
      </c>
      <c r="S46" s="4">
        <f t="shared" si="7"/>
        <v>0</v>
      </c>
      <c r="T46" s="33"/>
      <c r="U46" s="40"/>
      <c r="V46" s="34"/>
      <c r="W46" s="40"/>
      <c r="X46" s="33">
        <v>47.2</v>
      </c>
      <c r="Y46" s="40">
        <v>9.6</v>
      </c>
      <c r="Z46" s="34"/>
      <c r="AA46" s="37"/>
    </row>
    <row r="47" spans="1:27" x14ac:dyDescent="0.2">
      <c r="A47" s="1" t="str" cm="1">
        <f t="array" ref="A47">IF(I47="","",IF(P47&lt;&gt;"",SUMPRODUCT((P$3:P$100&lt;&gt;"")*(G$3:G$100=G47)*(J$3:J$100&gt;J47)*(I$3:I$100="P"))+1,IF(O47&lt;&gt;"",SUMPRODUCT((O$3:O$100&lt;&gt;"")*(P$3:P$100="")*(G$3:G$100=G47)*(J$3:J$100&gt;J47)*(I$3:I$100="P"))+SUMPRODUCT((P$3:P$100&lt;&gt;"")*(G$3:G$100=G47)*(I$3:I$100="P"))+1,IF(N47&lt;&gt;"",SUMPRODUCT((N$3:N$100&lt;&gt;"")*(G$3:G$100=G47)*(J$3:J$100&gt;J47)*(I$3:I$100="P"))+1,IF(M47="P",SUMPRODUCT((O$3:O$100&lt;&gt;"")*(P$3:P$100="")*(G$3:G$100=G47)*(I$3:I$100="P"))+SUMPRODUCT((P$3:P$100&lt;&gt;"")*(G$3:G$100=G47)*(I$3:I$100="P"))+SUMPRODUCT((N$3:N$100&lt;&gt;"")*(G$3:G$100=G47)*(I$3:I$100="P"))+SUMPRODUCT((P$3:P$100="")*(O$3:O$100="")*(N$3:N$100="")*(M$3:M$100="P")*(G$3:G$100=G47)*(J$3:J$100&gt;J47)*(I$3:I$100="P"))+IF(H47="L5",SUMPRODUCT((P$3:P$100="")*(O$3:O$100="")*(N$3:N$100="")*(M$3:M$100="P")*(G$3:G$100=G47)*(J$3:J$100&lt;J47)*(H$3:H$100&lt;&gt;H47)*(I$3:I$100="P")),-1*SUMPRODUCT((P$3:P$100="")*(O$3:O$100="")*(N$3:N$100="")*(M$3:M$100="P")*(G$3:G$100=G47)*(J$3:J$100&gt;J47)*(H$3:H$100="L5")*(I$3:I$100="P")))+1,"")))))</f>
        <v/>
      </c>
      <c r="B47" s="1" t="str" cm="1">
        <f t="array" ref="B47">IF(P47&lt;&gt;"",SUMPRODUCT((P$3:P$100&lt;&gt;"")*(G$3:G$100=G47)*(J$3:J$100&gt;J47))+1,IF(O47&lt;&gt;"",SUMPRODUCT((O$3:O$100&lt;&gt;"")*(P$3:P$100="")*(G$3:G$100=G47)*(J$3:J$100&gt;J47))+SUMPRODUCT((P$3:P$100&lt;&gt;"")*(G$3:G$100=G47))+1,IF(N47&lt;&gt;"",SUMPRODUCT((N$3:N$100&lt;&gt;"")*(G$3:G$100=G47)*(J$3:J$100&gt;J47))+1,IF(M47="P",SUMPRODUCT((O$3:O$100&lt;&gt;"")*(P$3:P$100="")*(G$3:G$100=G47))+SUMPRODUCT((P$3:P$100&lt;&gt;"")*(G$3:G$100=G47))+SUMPRODUCT((N$3:N$100&lt;&gt;"")*(G$3:G$100=G47))+SUMPRODUCT((P$3:P$100="")*(O$3:O$100="")*(N$3:N$100="")*(M$3:M$100="P")*(G$3:G$100=G47)*(J$3:J$100&gt;J47))+IF(H47="L5",SUMPRODUCT((P$3:P$100="")*(O$3:O$100="")*(N$3:N$100="")*(M$3:M$100="P")*(G$3:G$100=G47)*(J$3:J$100&lt;J47)*(H$3:H$100&lt;&gt;H47)),-1*SUMPRODUCT((P$3:P$100="")*(O$3:O$100="")*(N$3:N$100="")*(M$3:M$100="P")*(G$3:G$100=G47)*(J$3:J$100&gt;J47)*(H$3:H$100="L5")))+1,""))))</f>
        <v/>
      </c>
      <c r="C47" s="36" t="s">
        <v>438</v>
      </c>
      <c r="D47" s="36" t="str">
        <f>IF(E47="","",VLOOKUP(E47,'Coaching Points'!A:B,2,0))</f>
        <v>BC</v>
      </c>
      <c r="E47" s="36" t="s">
        <v>37</v>
      </c>
      <c r="F47" s="35">
        <v>2002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517</v>
      </c>
      <c r="I47" s="43"/>
      <c r="J47" s="4">
        <f t="shared" si="4"/>
        <v>46.000004599999997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 t="shared" si="5"/>
        <v/>
      </c>
      <c r="R47" s="4">
        <f t="shared" si="6"/>
        <v>46</v>
      </c>
      <c r="S47" s="4">
        <f t="shared" si="7"/>
        <v>0</v>
      </c>
      <c r="T47" s="33"/>
      <c r="U47" s="40"/>
      <c r="V47" s="34"/>
      <c r="W47" s="40"/>
      <c r="X47" s="33">
        <v>46</v>
      </c>
      <c r="Y47" s="40">
        <v>12.4</v>
      </c>
      <c r="Z47" s="34"/>
      <c r="AA47" s="37"/>
    </row>
    <row r="48" spans="1:27" x14ac:dyDescent="0.2">
      <c r="A48" s="1" t="str" cm="1">
        <f t="array" ref="A48">IF(I48="","",IF(P48&lt;&gt;"",SUMPRODUCT((P$3:P$100&lt;&gt;"")*(G$3:G$100=G48)*(J$3:J$100&gt;J48)*(I$3:I$100="P"))+1,IF(O48&lt;&gt;"",SUMPRODUCT((O$3:O$100&lt;&gt;"")*(P$3:P$100="")*(G$3:G$100=G48)*(J$3:J$100&gt;J48)*(I$3:I$100="P"))+SUMPRODUCT((P$3:P$100&lt;&gt;"")*(G$3:G$100=G48)*(I$3:I$100="P"))+1,IF(N48&lt;&gt;"",SUMPRODUCT((N$3:N$100&lt;&gt;"")*(G$3:G$100=G48)*(J$3:J$100&gt;J48)*(I$3:I$100="P"))+1,IF(M48="P",SUMPRODUCT((O$3:O$100&lt;&gt;"")*(P$3:P$100="")*(G$3:G$100=G48)*(I$3:I$100="P"))+SUMPRODUCT((P$3:P$100&lt;&gt;"")*(G$3:G$100=G48)*(I$3:I$100="P"))+SUMPRODUCT((N$3:N$100&lt;&gt;"")*(G$3:G$100=G48)*(I$3:I$100="P"))+SUMPRODUCT((P$3:P$100="")*(O$3:O$100="")*(N$3:N$100="")*(M$3:M$100="P")*(G$3:G$100=G48)*(J$3:J$100&gt;J48)*(I$3:I$100="P"))+IF(H48="L5",SUMPRODUCT((P$3:P$100="")*(O$3:O$100="")*(N$3:N$100="")*(M$3:M$100="P")*(G$3:G$100=G48)*(J$3:J$100&lt;J48)*(H$3:H$100&lt;&gt;H48)*(I$3:I$100="P")),-1*SUMPRODUCT((P$3:P$100="")*(O$3:O$100="")*(N$3:N$100="")*(M$3:M$100="P")*(G$3:G$100=G48)*(J$3:J$100&gt;J48)*(H$3:H$100="L5")*(I$3:I$100="P")))+1,"")))))</f>
        <v/>
      </c>
      <c r="B48" s="1" t="str" cm="1">
        <f t="array" ref="B48">IF(P48&lt;&gt;"",SUMPRODUCT((P$3:P$100&lt;&gt;"")*(G$3:G$100=G48)*(J$3:J$100&gt;J48))+1,IF(O48&lt;&gt;"",SUMPRODUCT((O$3:O$100&lt;&gt;"")*(P$3:P$100="")*(G$3:G$100=G48)*(J$3:J$100&gt;J48))+SUMPRODUCT((P$3:P$100&lt;&gt;"")*(G$3:G$100=G48))+1,IF(N48&lt;&gt;"",SUMPRODUCT((N$3:N$100&lt;&gt;"")*(G$3:G$100=G48)*(J$3:J$100&gt;J48))+1,IF(M48="P",SUMPRODUCT((O$3:O$100&lt;&gt;"")*(P$3:P$100="")*(G$3:G$100=G48))+SUMPRODUCT((P$3:P$100&lt;&gt;"")*(G$3:G$100=G48))+SUMPRODUCT((N$3:N$100&lt;&gt;"")*(G$3:G$100=G48))+SUMPRODUCT((P$3:P$100="")*(O$3:O$100="")*(N$3:N$100="")*(M$3:M$100="P")*(G$3:G$100=G48)*(J$3:J$100&gt;J48))+IF(H48="L5",SUMPRODUCT((P$3:P$100="")*(O$3:O$100="")*(N$3:N$100="")*(M$3:M$100="P")*(G$3:G$100=G48)*(J$3:J$100&lt;J48)*(H$3:H$100&lt;&gt;H48)),-1*SUMPRODUCT((P$3:P$100="")*(O$3:O$100="")*(N$3:N$100="")*(M$3:M$100="P")*(G$3:G$100=G48)*(J$3:J$100&gt;J48)*(H$3:H$100="L5")))+1,""))))</f>
        <v/>
      </c>
      <c r="C48" s="36" t="s">
        <v>433</v>
      </c>
      <c r="D48" s="36" t="str">
        <f>IF(E48="","",VLOOKUP(E48,'Coaching Points'!A:B,2,0))</f>
        <v>AB</v>
      </c>
      <c r="E48" s="36" t="s">
        <v>64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68</v>
      </c>
      <c r="I48" s="43"/>
      <c r="J48" s="4">
        <f t="shared" si="4"/>
        <v>44.40010444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 t="shared" si="5"/>
        <v/>
      </c>
      <c r="R48" s="4">
        <f t="shared" si="6"/>
        <v>44.4</v>
      </c>
      <c r="S48" s="4">
        <f t="shared" si="7"/>
        <v>0</v>
      </c>
      <c r="T48" s="33"/>
      <c r="U48" s="40"/>
      <c r="V48" s="34"/>
      <c r="W48" s="40"/>
      <c r="X48" s="33">
        <v>44.4</v>
      </c>
      <c r="Y48" s="40">
        <v>9.8999999999999986</v>
      </c>
      <c r="Z48" s="34"/>
      <c r="AA48" s="37"/>
    </row>
    <row r="49" spans="1:27" x14ac:dyDescent="0.2">
      <c r="A49" s="1" t="str" cm="1">
        <f t="array" ref="A49">IF(I49="","",IF(P49&lt;&gt;"",SUMPRODUCT((P$3:P$100&lt;&gt;"")*(G$3:G$100=G49)*(J$3:J$100&gt;J49)*(I$3:I$100="P"))+1,IF(O49&lt;&gt;"",SUMPRODUCT((O$3:O$100&lt;&gt;"")*(P$3:P$100="")*(G$3:G$100=G49)*(J$3:J$100&gt;J49)*(I$3:I$100="P"))+SUMPRODUCT((P$3:P$100&lt;&gt;"")*(G$3:G$100=G49)*(I$3:I$100="P"))+1,IF(N49&lt;&gt;"",SUMPRODUCT((N$3:N$100&lt;&gt;"")*(G$3:G$100=G49)*(J$3:J$100&gt;J49)*(I$3:I$100="P"))+1,IF(M49="P",SUMPRODUCT((O$3:O$100&lt;&gt;"")*(P$3:P$100="")*(G$3:G$100=G49)*(I$3:I$100="P"))+SUMPRODUCT((P$3:P$100&lt;&gt;"")*(G$3:G$100=G49)*(I$3:I$100="P"))+SUMPRODUCT((N$3:N$100&lt;&gt;"")*(G$3:G$100=G49)*(I$3:I$100="P"))+SUMPRODUCT((P$3:P$100="")*(O$3:O$100="")*(N$3:N$100="")*(M$3:M$100="P")*(G$3:G$100=G49)*(J$3:J$100&gt;J49)*(I$3:I$100="P"))+IF(H49="L5",SUMPRODUCT((P$3:P$100="")*(O$3:O$100="")*(N$3:N$100="")*(M$3:M$100="P")*(G$3:G$100=G49)*(J$3:J$100&lt;J49)*(H$3:H$100&lt;&gt;H49)*(I$3:I$100="P")),-1*SUMPRODUCT((P$3:P$100="")*(O$3:O$100="")*(N$3:N$100="")*(M$3:M$100="P")*(G$3:G$100=G49)*(J$3:J$100&gt;J49)*(H$3:H$100="L5")*(I$3:I$100="P")))+1,"")))))</f>
        <v/>
      </c>
      <c r="B49" s="1" t="str" cm="1">
        <f t="array" ref="B49">IF(P49&lt;&gt;"",SUMPRODUCT((P$3:P$100&lt;&gt;"")*(G$3:G$100=G49)*(J$3:J$100&gt;J49))+1,IF(O49&lt;&gt;"",SUMPRODUCT((O$3:O$100&lt;&gt;"")*(P$3:P$100="")*(G$3:G$100=G49)*(J$3:J$100&gt;J49))+SUMPRODUCT((P$3:P$100&lt;&gt;"")*(G$3:G$100=G49))+1,IF(N49&lt;&gt;"",SUMPRODUCT((N$3:N$100&lt;&gt;"")*(G$3:G$100=G49)*(J$3:J$100&gt;J49))+1,IF(M49="P",SUMPRODUCT((O$3:O$100&lt;&gt;"")*(P$3:P$100="")*(G$3:G$100=G49))+SUMPRODUCT((P$3:P$100&lt;&gt;"")*(G$3:G$100=G49))+SUMPRODUCT((N$3:N$100&lt;&gt;"")*(G$3:G$100=G49))+SUMPRODUCT((P$3:P$100="")*(O$3:O$100="")*(N$3:N$100="")*(M$3:M$100="P")*(G$3:G$100=G49)*(J$3:J$100&gt;J49))+IF(H49="L5",SUMPRODUCT((P$3:P$100="")*(O$3:O$100="")*(N$3:N$100="")*(M$3:M$100="P")*(G$3:G$100=G49)*(J$3:J$100&lt;J49)*(H$3:H$100&lt;&gt;H49)),-1*SUMPRODUCT((P$3:P$100="")*(O$3:O$100="")*(N$3:N$100="")*(M$3:M$100="P")*(G$3:G$100=G49)*(J$3:J$100&gt;J49)*(H$3:H$100="L5")))+1,""))))</f>
        <v/>
      </c>
      <c r="C49" s="36" t="s">
        <v>430</v>
      </c>
      <c r="D49" s="36" t="str">
        <f>IF(E49="","",VLOOKUP(E49,'Coaching Points'!A:B,2,0))</f>
        <v>AB</v>
      </c>
      <c r="E49" s="36" t="s">
        <v>312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43.30000433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 t="shared" si="5"/>
        <v/>
      </c>
      <c r="R49" s="4">
        <f t="shared" si="6"/>
        <v>43.3</v>
      </c>
      <c r="S49" s="4">
        <f t="shared" si="7"/>
        <v>0</v>
      </c>
      <c r="T49" s="33"/>
      <c r="U49" s="40"/>
      <c r="V49" s="34"/>
      <c r="W49" s="40"/>
      <c r="X49" s="33">
        <v>43.3</v>
      </c>
      <c r="Y49" s="40">
        <v>6.3000000000000007</v>
      </c>
      <c r="Z49" s="34"/>
      <c r="AA49" s="37"/>
    </row>
    <row r="50" spans="1:27" x14ac:dyDescent="0.2">
      <c r="A50" s="1" t="str" cm="1">
        <f t="array" ref="A50">IF(I50="","",IF(P50&lt;&gt;"",SUMPRODUCT((P$3:P$100&lt;&gt;"")*(G$3:G$100=G50)*(J$3:J$100&gt;J50)*(I$3:I$100="P"))+1,IF(O50&lt;&gt;"",SUMPRODUCT((O$3:O$100&lt;&gt;"")*(P$3:P$100="")*(G$3:G$100=G50)*(J$3:J$100&gt;J50)*(I$3:I$100="P"))+SUMPRODUCT((P$3:P$100&lt;&gt;"")*(G$3:G$100=G50)*(I$3:I$100="P"))+1,IF(N50&lt;&gt;"",SUMPRODUCT((N$3:N$100&lt;&gt;"")*(G$3:G$100=G50)*(J$3:J$100&gt;J50)*(I$3:I$100="P"))+1,IF(M50="P",SUMPRODUCT((O$3:O$100&lt;&gt;"")*(P$3:P$100="")*(G$3:G$100=G50)*(I$3:I$100="P"))+SUMPRODUCT((P$3:P$100&lt;&gt;"")*(G$3:G$100=G50)*(I$3:I$100="P"))+SUMPRODUCT((N$3:N$100&lt;&gt;"")*(G$3:G$100=G50)*(I$3:I$100="P"))+SUMPRODUCT((P$3:P$100="")*(O$3:O$100="")*(N$3:N$100="")*(M$3:M$100="P")*(G$3:G$100=G50)*(J$3:J$100&gt;J50)*(I$3:I$100="P"))+IF(H50="L5",SUMPRODUCT((P$3:P$100="")*(O$3:O$100="")*(N$3:N$100="")*(M$3:M$100="P")*(G$3:G$100=G50)*(J$3:J$100&lt;J50)*(H$3:H$100&lt;&gt;H50)*(I$3:I$100="P")),-1*SUMPRODUCT((P$3:P$100="")*(O$3:O$100="")*(N$3:N$100="")*(M$3:M$100="P")*(G$3:G$100=G50)*(J$3:J$100&gt;J50)*(H$3:H$100="L5")*(I$3:I$100="P")))+1,"")))))</f>
        <v/>
      </c>
      <c r="B50" s="1" t="str" cm="1">
        <f t="array" ref="B50">IF(P50&lt;&gt;"",SUMPRODUCT((P$3:P$100&lt;&gt;"")*(G$3:G$100=G50)*(J$3:J$100&gt;J50))+1,IF(O50&lt;&gt;"",SUMPRODUCT((O$3:O$100&lt;&gt;"")*(P$3:P$100="")*(G$3:G$100=G50)*(J$3:J$100&gt;J50))+SUMPRODUCT((P$3:P$100&lt;&gt;"")*(G$3:G$100=G50))+1,IF(N50&lt;&gt;"",SUMPRODUCT((N$3:N$100&lt;&gt;"")*(G$3:G$100=G50)*(J$3:J$100&gt;J50))+1,IF(M50="P",SUMPRODUCT((O$3:O$100&lt;&gt;"")*(P$3:P$100="")*(G$3:G$100=G50))+SUMPRODUCT((P$3:P$100&lt;&gt;"")*(G$3:G$100=G50))+SUMPRODUCT((N$3:N$100&lt;&gt;"")*(G$3:G$100=G50))+SUMPRODUCT((P$3:P$100="")*(O$3:O$100="")*(N$3:N$100="")*(M$3:M$100="P")*(G$3:G$100=G50)*(J$3:J$100&gt;J50))+IF(H50="L5",SUMPRODUCT((P$3:P$100="")*(O$3:O$100="")*(N$3:N$100="")*(M$3:M$100="P")*(G$3:G$100=G50)*(J$3:J$100&lt;J50)*(H$3:H$100&lt;&gt;H50)),-1*SUMPRODUCT((P$3:P$100="")*(O$3:O$100="")*(N$3:N$100="")*(M$3:M$100="P")*(G$3:G$100=G50)*(J$3:J$100&gt;J50)*(H$3:H$100="L5")))+1,""))))</f>
        <v/>
      </c>
      <c r="C50" s="36" t="s">
        <v>434</v>
      </c>
      <c r="D50" s="36" t="str">
        <f>IF(E50="","",VLOOKUP(E50,'Coaching Points'!A:B,2,0))</f>
        <v>QC</v>
      </c>
      <c r="E50" s="36" t="s">
        <v>96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43.100004310000003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 t="shared" si="5"/>
        <v/>
      </c>
      <c r="R50" s="4">
        <f t="shared" si="6"/>
        <v>43.1</v>
      </c>
      <c r="S50" s="4">
        <f t="shared" si="7"/>
        <v>0</v>
      </c>
      <c r="T50" s="33"/>
      <c r="U50" s="40"/>
      <c r="V50" s="34"/>
      <c r="W50" s="40"/>
      <c r="X50" s="33">
        <v>43.1</v>
      </c>
      <c r="Y50" s="40">
        <v>6.5</v>
      </c>
      <c r="Z50" s="34"/>
      <c r="AA50" s="37"/>
    </row>
    <row r="51" spans="1:27" x14ac:dyDescent="0.2">
      <c r="A51" s="1" t="str" cm="1">
        <f t="array" ref="A51">IF(I51="","",IF(P51&lt;&gt;"",SUMPRODUCT((P$3:P$100&lt;&gt;"")*(G$3:G$100=G51)*(J$3:J$100&gt;J51)*(I$3:I$100="P"))+1,IF(O51&lt;&gt;"",SUMPRODUCT((O$3:O$100&lt;&gt;"")*(P$3:P$100="")*(G$3:G$100=G51)*(J$3:J$100&gt;J51)*(I$3:I$100="P"))+SUMPRODUCT((P$3:P$100&lt;&gt;"")*(G$3:G$100=G51)*(I$3:I$100="P"))+1,IF(N51&lt;&gt;"",SUMPRODUCT((N$3:N$100&lt;&gt;"")*(G$3:G$100=G51)*(J$3:J$100&gt;J51)*(I$3:I$100="P"))+1,IF(M51="P",SUMPRODUCT((O$3:O$100&lt;&gt;"")*(P$3:P$100="")*(G$3:G$100=G51)*(I$3:I$100="P"))+SUMPRODUCT((P$3:P$100&lt;&gt;"")*(G$3:G$100=G51)*(I$3:I$100="P"))+SUMPRODUCT((N$3:N$100&lt;&gt;"")*(G$3:G$100=G51)*(I$3:I$100="P"))+SUMPRODUCT((P$3:P$100="")*(O$3:O$100="")*(N$3:N$100="")*(M$3:M$100="P")*(G$3:G$100=G51)*(J$3:J$100&gt;J51)*(I$3:I$100="P"))+IF(H51="L5",SUMPRODUCT((P$3:P$100="")*(O$3:O$100="")*(N$3:N$100="")*(M$3:M$100="P")*(G$3:G$100=G51)*(J$3:J$100&lt;J51)*(H$3:H$100&lt;&gt;H51)*(I$3:I$100="P")),-1*SUMPRODUCT((P$3:P$100="")*(O$3:O$100="")*(N$3:N$100="")*(M$3:M$100="P")*(G$3:G$100=G51)*(J$3:J$100&gt;J51)*(H$3:H$100="L5")*(I$3:I$100="P")))+1,"")))))</f>
        <v/>
      </c>
      <c r="B51" s="1" t="str" cm="1">
        <f t="array" ref="B51">IF(P51&lt;&gt;"",SUMPRODUCT((P$3:P$100&lt;&gt;"")*(G$3:G$100=G51)*(J$3:J$100&gt;J51))+1,IF(O51&lt;&gt;"",SUMPRODUCT((O$3:O$100&lt;&gt;"")*(P$3:P$100="")*(G$3:G$100=G51)*(J$3:J$100&gt;J51))+SUMPRODUCT((P$3:P$100&lt;&gt;"")*(G$3:G$100=G51))+1,IF(N51&lt;&gt;"",SUMPRODUCT((N$3:N$100&lt;&gt;"")*(G$3:G$100=G51)*(J$3:J$100&gt;J51))+1,IF(M51="P",SUMPRODUCT((O$3:O$100&lt;&gt;"")*(P$3:P$100="")*(G$3:G$100=G51))+SUMPRODUCT((P$3:P$100&lt;&gt;"")*(G$3:G$100=G51))+SUMPRODUCT((N$3:N$100&lt;&gt;"")*(G$3:G$100=G51))+SUMPRODUCT((P$3:P$100="")*(O$3:O$100="")*(N$3:N$100="")*(M$3:M$100="P")*(G$3:G$100=G51)*(J$3:J$100&gt;J51))+IF(H51="L5",SUMPRODUCT((P$3:P$100="")*(O$3:O$100="")*(N$3:N$100="")*(M$3:M$100="P")*(G$3:G$100=G51)*(J$3:J$100&lt;J51)*(H$3:H$100&lt;&gt;H51)),-1*SUMPRODUCT((P$3:P$100="")*(O$3:O$100="")*(N$3:N$100="")*(M$3:M$100="P")*(G$3:G$100=G51)*(J$3:J$100&gt;J51)*(H$3:H$100="L5")))+1,""))))</f>
        <v/>
      </c>
      <c r="C51" s="36" t="s">
        <v>435</v>
      </c>
      <c r="D51" s="36" t="str">
        <f>IF(E51="","",VLOOKUP(E51,'Coaching Points'!A:B,2,0))</f>
        <v>BC</v>
      </c>
      <c r="E51" s="36" t="s">
        <v>62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42.000004199999999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 t="shared" si="5"/>
        <v/>
      </c>
      <c r="R51" s="4">
        <f t="shared" si="6"/>
        <v>42</v>
      </c>
      <c r="S51" s="4">
        <f t="shared" si="7"/>
        <v>0</v>
      </c>
      <c r="T51" s="33"/>
      <c r="U51" s="40"/>
      <c r="V51" s="34"/>
      <c r="W51" s="40"/>
      <c r="X51" s="33">
        <v>42</v>
      </c>
      <c r="Y51" s="40">
        <v>5.9</v>
      </c>
      <c r="Z51" s="34"/>
      <c r="AA51" s="37"/>
    </row>
    <row r="52" spans="1:27" x14ac:dyDescent="0.2">
      <c r="A52" s="1" t="str" cm="1">
        <f t="array" ref="A52">IF(I52="","",IF(P52&lt;&gt;"",SUMPRODUCT((P$3:P$100&lt;&gt;"")*(G$3:G$100=G52)*(J$3:J$100&gt;J52)*(I$3:I$100="P"))+1,IF(O52&lt;&gt;"",SUMPRODUCT((O$3:O$100&lt;&gt;"")*(P$3:P$100="")*(G$3:G$100=G52)*(J$3:J$100&gt;J52)*(I$3:I$100="P"))+SUMPRODUCT((P$3:P$100&lt;&gt;"")*(G$3:G$100=G52)*(I$3:I$100="P"))+1,IF(N52&lt;&gt;"",SUMPRODUCT((N$3:N$100&lt;&gt;"")*(G$3:G$100=G52)*(J$3:J$100&gt;J52)*(I$3:I$100="P"))+1,IF(M52="P",SUMPRODUCT((O$3:O$100&lt;&gt;"")*(P$3:P$100="")*(G$3:G$100=G52)*(I$3:I$100="P"))+SUMPRODUCT((P$3:P$100&lt;&gt;"")*(G$3:G$100=G52)*(I$3:I$100="P"))+SUMPRODUCT((N$3:N$100&lt;&gt;"")*(G$3:G$100=G52)*(I$3:I$100="P"))+SUMPRODUCT((P$3:P$100="")*(O$3:O$100="")*(N$3:N$100="")*(M$3:M$100="P")*(G$3:G$100=G52)*(J$3:J$100&gt;J52)*(I$3:I$100="P"))+IF(H52="L5",SUMPRODUCT((P$3:P$100="")*(O$3:O$100="")*(N$3:N$100="")*(M$3:M$100="P")*(G$3:G$100=G52)*(J$3:J$100&lt;J52)*(H$3:H$100&lt;&gt;H52)*(I$3:I$100="P")),-1*SUMPRODUCT((P$3:P$100="")*(O$3:O$100="")*(N$3:N$100="")*(M$3:M$100="P")*(G$3:G$100=G52)*(J$3:J$100&gt;J52)*(H$3:H$100="L5")*(I$3:I$100="P")))+1,"")))))</f>
        <v/>
      </c>
      <c r="B52" s="1" t="str" cm="1">
        <f t="array" ref="B52">IF(P52&lt;&gt;"",SUMPRODUCT((P$3:P$100&lt;&gt;"")*(G$3:G$100=G52)*(J$3:J$100&gt;J52))+1,IF(O52&lt;&gt;"",SUMPRODUCT((O$3:O$100&lt;&gt;"")*(P$3:P$100="")*(G$3:G$100=G52)*(J$3:J$100&gt;J52))+SUMPRODUCT((P$3:P$100&lt;&gt;"")*(G$3:G$100=G52))+1,IF(N52&lt;&gt;"",SUMPRODUCT((N$3:N$100&lt;&gt;"")*(G$3:G$100=G52)*(J$3:J$100&gt;J52))+1,IF(M52="P",SUMPRODUCT((O$3:O$100&lt;&gt;"")*(P$3:P$100="")*(G$3:G$100=G52))+SUMPRODUCT((P$3:P$100&lt;&gt;"")*(G$3:G$100=G52))+SUMPRODUCT((N$3:N$100&lt;&gt;"")*(G$3:G$100=G52))+SUMPRODUCT((P$3:P$100="")*(O$3:O$100="")*(N$3:N$100="")*(M$3:M$100="P")*(G$3:G$100=G52)*(J$3:J$100&gt;J52))+IF(H52="L5",SUMPRODUCT((P$3:P$100="")*(O$3:O$100="")*(N$3:N$100="")*(M$3:M$100="P")*(G$3:G$100=G52)*(J$3:J$100&lt;J52)*(H$3:H$100&lt;&gt;H52)),-1*SUMPRODUCT((P$3:P$100="")*(O$3:O$100="")*(N$3:N$100="")*(M$3:M$100="P")*(G$3:G$100=G52)*(J$3:J$100&gt;J52)*(H$3:H$100="L5")))+1,""))))</f>
        <v/>
      </c>
      <c r="C52" s="36" t="s">
        <v>503</v>
      </c>
      <c r="D52" s="36" t="str">
        <f>IF(E52="","",VLOOKUP(E52,'Coaching Points'!A:B,2,0))</f>
        <v>BC</v>
      </c>
      <c r="E52" s="36" t="s">
        <v>443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41.900004189999997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 t="shared" si="5"/>
        <v/>
      </c>
      <c r="R52" s="4">
        <f t="shared" si="6"/>
        <v>41.9</v>
      </c>
      <c r="S52" s="4">
        <f t="shared" si="7"/>
        <v>0</v>
      </c>
      <c r="T52" s="33"/>
      <c r="U52" s="40"/>
      <c r="V52" s="34"/>
      <c r="W52" s="40"/>
      <c r="X52" s="33">
        <v>41.9</v>
      </c>
      <c r="Y52" s="40">
        <v>5.7</v>
      </c>
      <c r="Z52" s="34"/>
      <c r="AA52" s="37"/>
    </row>
    <row r="53" spans="1:27" x14ac:dyDescent="0.2">
      <c r="A53" s="1" t="str" cm="1">
        <f t="array" ref="A53">IF(I53="","",IF(P53&lt;&gt;"",SUMPRODUCT((P$3:P$100&lt;&gt;"")*(G$3:G$100=G53)*(J$3:J$100&gt;J53)*(I$3:I$100="P"))+1,IF(O53&lt;&gt;"",SUMPRODUCT((O$3:O$100&lt;&gt;"")*(P$3:P$100="")*(G$3:G$100=G53)*(J$3:J$100&gt;J53)*(I$3:I$100="P"))+SUMPRODUCT((P$3:P$100&lt;&gt;"")*(G$3:G$100=G53)*(I$3:I$100="P"))+1,IF(N53&lt;&gt;"",SUMPRODUCT((N$3:N$100&lt;&gt;"")*(G$3:G$100=G53)*(J$3:J$100&gt;J53)*(I$3:I$100="P"))+1,IF(M53="P",SUMPRODUCT((O$3:O$100&lt;&gt;"")*(P$3:P$100="")*(G$3:G$100=G53)*(I$3:I$100="P"))+SUMPRODUCT((P$3:P$100&lt;&gt;"")*(G$3:G$100=G53)*(I$3:I$100="P"))+SUMPRODUCT((N$3:N$100&lt;&gt;"")*(G$3:G$100=G53)*(I$3:I$100="P"))+SUMPRODUCT((P$3:P$100="")*(O$3:O$100="")*(N$3:N$100="")*(M$3:M$100="P")*(G$3:G$100=G53)*(J$3:J$100&gt;J53)*(I$3:I$100="P"))+IF(H53="L5",SUMPRODUCT((P$3:P$100="")*(O$3:O$100="")*(N$3:N$100="")*(M$3:M$100="P")*(G$3:G$100=G53)*(J$3:J$100&lt;J53)*(H$3:H$100&lt;&gt;H53)*(I$3:I$100="P")),-1*SUMPRODUCT((P$3:P$100="")*(O$3:O$100="")*(N$3:N$100="")*(M$3:M$100="P")*(G$3:G$100=G53)*(J$3:J$100&gt;J53)*(H$3:H$100="L5")*(I$3:I$100="P")))+1,"")))))</f>
        <v/>
      </c>
      <c r="B53" s="1" t="str" cm="1">
        <f t="array" ref="B53">IF(P53&lt;&gt;"",SUMPRODUCT((P$3:P$100&lt;&gt;"")*(G$3:G$100=G53)*(J$3:J$100&gt;J53))+1,IF(O53&lt;&gt;"",SUMPRODUCT((O$3:O$100&lt;&gt;"")*(P$3:P$100="")*(G$3:G$100=G53)*(J$3:J$100&gt;J53))+SUMPRODUCT((P$3:P$100&lt;&gt;"")*(G$3:G$100=G53))+1,IF(N53&lt;&gt;"",SUMPRODUCT((N$3:N$100&lt;&gt;"")*(G$3:G$100=G53)*(J$3:J$100&gt;J53))+1,IF(M53="P",SUMPRODUCT((O$3:O$100&lt;&gt;"")*(P$3:P$100="")*(G$3:G$100=G53))+SUMPRODUCT((P$3:P$100&lt;&gt;"")*(G$3:G$100=G53))+SUMPRODUCT((N$3:N$100&lt;&gt;"")*(G$3:G$100=G53))+SUMPRODUCT((P$3:P$100="")*(O$3:O$100="")*(N$3:N$100="")*(M$3:M$100="P")*(G$3:G$100=G53)*(J$3:J$100&gt;J53))+IF(H53="L5",SUMPRODUCT((P$3:P$100="")*(O$3:O$100="")*(N$3:N$100="")*(M$3:M$100="P")*(G$3:G$100=G53)*(J$3:J$100&lt;J53)*(H$3:H$100&lt;&gt;H53)),-1*SUMPRODUCT((P$3:P$100="")*(O$3:O$100="")*(N$3:N$100="")*(M$3:M$100="P")*(G$3:G$100=G53)*(J$3:J$100&gt;J53)*(H$3:H$100="L5")))+1,""))))</f>
        <v/>
      </c>
      <c r="C53" s="36" t="s">
        <v>231</v>
      </c>
      <c r="D53" s="36" t="str">
        <f>IF(E53="","",VLOOKUP(E53,'Coaching Points'!A:B,2,0))</f>
        <v>BC</v>
      </c>
      <c r="E53" s="36" t="s">
        <v>443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40.700000000000003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 t="shared" si="5"/>
        <v/>
      </c>
      <c r="R53" s="4">
        <f t="shared" si="6"/>
        <v>40.700000000000003</v>
      </c>
      <c r="S53" s="4">
        <f t="shared" si="7"/>
        <v>0</v>
      </c>
      <c r="T53" s="33">
        <v>40.700000000000003</v>
      </c>
      <c r="U53" s="40">
        <v>4.9000000000000004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$100&lt;&gt;"")*(G$3:G$100=G54)*(J$3:J$100&gt;J54)*(I$3:I$100="P"))+1,IF(O54&lt;&gt;"",SUMPRODUCT((O$3:O$100&lt;&gt;"")*(P$3:P$100="")*(G$3:G$100=G54)*(J$3:J$100&gt;J54)*(I$3:I$100="P"))+SUMPRODUCT((P$3:P$100&lt;&gt;"")*(G$3:G$100=G54)*(I$3:I$100="P"))+1,IF(N54&lt;&gt;"",SUMPRODUCT((N$3:N$100&lt;&gt;"")*(G$3:G$100=G54)*(J$3:J$100&gt;J54)*(I$3:I$100="P"))+1,IF(M54="P",SUMPRODUCT((O$3:O$100&lt;&gt;"")*(P$3:P$100="")*(G$3:G$100=G54)*(I$3:I$100="P"))+SUMPRODUCT((P$3:P$100&lt;&gt;"")*(G$3:G$100=G54)*(I$3:I$100="P"))+SUMPRODUCT((N$3:N$100&lt;&gt;"")*(G$3:G$100=G54)*(I$3:I$100="P"))+SUMPRODUCT((P$3:P$100="")*(O$3:O$100="")*(N$3:N$100="")*(M$3:M$100="P")*(G$3:G$100=G54)*(J$3:J$100&gt;J54)*(I$3:I$100="P"))+IF(H54="L5",SUMPRODUCT((P$3:P$100="")*(O$3:O$100="")*(N$3:N$100="")*(M$3:M$100="P")*(G$3:G$100=G54)*(J$3:J$100&lt;J54)*(H$3:H$100&lt;&gt;H54)*(I$3:I$100="P")),-1*SUMPRODUCT((P$3:P$100="")*(O$3:O$100="")*(N$3:N$100="")*(M$3:M$100="P")*(G$3:G$100=G54)*(J$3:J$100&gt;J54)*(H$3:H$100="L5")*(I$3:I$100="P")))+1,"")))))</f>
        <v/>
      </c>
      <c r="B54" s="1" t="str" cm="1">
        <f t="array" ref="B54">IF(P54&lt;&gt;"",SUMPRODUCT((P$3:P$100&lt;&gt;"")*(G$3:G$100=G54)*(J$3:J$100&gt;J54))+1,IF(O54&lt;&gt;"",SUMPRODUCT((O$3:O$100&lt;&gt;"")*(P$3:P$100="")*(G$3:G$100=G54)*(J$3:J$100&gt;J54))+SUMPRODUCT((P$3:P$100&lt;&gt;"")*(G$3:G$100=G54))+1,IF(N54&lt;&gt;"",SUMPRODUCT((N$3:N$100&lt;&gt;"")*(G$3:G$100=G54)*(J$3:J$100&gt;J54))+1,IF(M54="P",SUMPRODUCT((O$3:O$100&lt;&gt;"")*(P$3:P$100="")*(G$3:G$100=G54))+SUMPRODUCT((P$3:P$100&lt;&gt;"")*(G$3:G$100=G54))+SUMPRODUCT((N$3:N$100&lt;&gt;"")*(G$3:G$100=G54))+SUMPRODUCT((P$3:P$100="")*(O$3:O$100="")*(N$3:N$100="")*(M$3:M$100="P")*(G$3:G$100=G54)*(J$3:J$100&gt;J54))+IF(H54="L5",SUMPRODUCT((P$3:P$100="")*(O$3:O$100="")*(N$3:N$100="")*(M$3:M$100="P")*(G$3:G$100=G54)*(J$3:J$100&lt;J54)*(H$3:H$100&lt;&gt;H54)),-1*SUMPRODUCT((P$3:P$100="")*(O$3:O$100="")*(N$3:N$100="")*(M$3:M$100="P")*(G$3:G$100=G54)*(J$3:J$100&gt;J54)*(H$3:H$100="L5")))+1,""))))</f>
        <v/>
      </c>
      <c r="C54" s="36" t="s">
        <v>504</v>
      </c>
      <c r="D54" s="36" t="str">
        <f>IF(E54="","",VLOOKUP(E54,'Coaching Points'!A:B,2,0))</f>
        <v>ON</v>
      </c>
      <c r="E54" s="36" t="s">
        <v>47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39.900003990000002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 t="shared" si="5"/>
        <v/>
      </c>
      <c r="R54" s="4">
        <f t="shared" si="6"/>
        <v>39.9</v>
      </c>
      <c r="S54" s="4">
        <f t="shared" si="7"/>
        <v>0</v>
      </c>
      <c r="T54" s="33"/>
      <c r="U54" s="40"/>
      <c r="V54" s="34"/>
      <c r="W54" s="40"/>
      <c r="X54" s="33">
        <v>39.9</v>
      </c>
      <c r="Y54" s="40">
        <v>3.9000000000000004</v>
      </c>
      <c r="Z54" s="34"/>
      <c r="AA54" s="37"/>
    </row>
    <row r="55" spans="1:27" x14ac:dyDescent="0.2">
      <c r="A55" s="1" t="str" cm="1">
        <f t="array" ref="A55">IF(I55="","",IF(P55&lt;&gt;"",SUMPRODUCT((P$3:P$100&lt;&gt;"")*(G$3:G$100=G55)*(J$3:J$100&gt;J55)*(I$3:I$100="P"))+1,IF(O55&lt;&gt;"",SUMPRODUCT((O$3:O$100&lt;&gt;"")*(P$3:P$100="")*(G$3:G$100=G55)*(J$3:J$100&gt;J55)*(I$3:I$100="P"))+SUMPRODUCT((P$3:P$100&lt;&gt;"")*(G$3:G$100=G55)*(I$3:I$100="P"))+1,IF(N55&lt;&gt;"",SUMPRODUCT((N$3:N$100&lt;&gt;"")*(G$3:G$100=G55)*(J$3:J$100&gt;J55)*(I$3:I$100="P"))+1,IF(M55="P",SUMPRODUCT((O$3:O$100&lt;&gt;"")*(P$3:P$100="")*(G$3:G$100=G55)*(I$3:I$100="P"))+SUMPRODUCT((P$3:P$100&lt;&gt;"")*(G$3:G$100=G55)*(I$3:I$100="P"))+SUMPRODUCT((N$3:N$100&lt;&gt;"")*(G$3:G$100=G55)*(I$3:I$100="P"))+SUMPRODUCT((P$3:P$100="")*(O$3:O$100="")*(N$3:N$100="")*(M$3:M$100="P")*(G$3:G$100=G55)*(J$3:J$100&gt;J55)*(I$3:I$100="P"))+IF(H55="L5",SUMPRODUCT((P$3:P$100="")*(O$3:O$100="")*(N$3:N$100="")*(M$3:M$100="P")*(G$3:G$100=G55)*(J$3:J$100&lt;J55)*(H$3:H$100&lt;&gt;H55)*(I$3:I$100="P")),-1*SUMPRODUCT((P$3:P$100="")*(O$3:O$100="")*(N$3:N$100="")*(M$3:M$100="P")*(G$3:G$100=G55)*(J$3:J$100&gt;J55)*(H$3:H$100="L5")*(I$3:I$100="P")))+1,"")))))</f>
        <v/>
      </c>
      <c r="B55" s="1" t="str" cm="1">
        <f t="array" ref="B55">IF(P55&lt;&gt;"",SUMPRODUCT((P$3:P$100&lt;&gt;"")*(G$3:G$100=G55)*(J$3:J$100&gt;J55))+1,IF(O55&lt;&gt;"",SUMPRODUCT((O$3:O$100&lt;&gt;"")*(P$3:P$100="")*(G$3:G$100=G55)*(J$3:J$100&gt;J55))+SUMPRODUCT((P$3:P$100&lt;&gt;"")*(G$3:G$100=G55))+1,IF(N55&lt;&gt;"",SUMPRODUCT((N$3:N$100&lt;&gt;"")*(G$3:G$100=G55)*(J$3:J$100&gt;J55))+1,IF(M55="P",SUMPRODUCT((O$3:O$100&lt;&gt;"")*(P$3:P$100="")*(G$3:G$100=G55))+SUMPRODUCT((P$3:P$100&lt;&gt;"")*(G$3:G$100=G55))+SUMPRODUCT((N$3:N$100&lt;&gt;"")*(G$3:G$100=G55))+SUMPRODUCT((P$3:P$100="")*(O$3:O$100="")*(N$3:N$100="")*(M$3:M$100="P")*(G$3:G$100=G55)*(J$3:J$100&gt;J55))+IF(H55="L5",SUMPRODUCT((P$3:P$100="")*(O$3:O$100="")*(N$3:N$100="")*(M$3:M$100="P")*(G$3:G$100=G55)*(J$3:J$100&lt;J55)*(H$3:H$100&lt;&gt;H55)),-1*SUMPRODUCT((P$3:P$100="")*(O$3:O$100="")*(N$3:N$100="")*(M$3:M$100="P")*(G$3:G$100=G55)*(J$3:J$100&gt;J55)*(H$3:H$100="L5")))+1,""))))</f>
        <v/>
      </c>
      <c r="C55" s="36" t="s">
        <v>432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 t="shared" si="4"/>
        <v>38.600103860000004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 t="shared" si="5"/>
        <v/>
      </c>
      <c r="R55" s="4">
        <f t="shared" si="6"/>
        <v>38.6</v>
      </c>
      <c r="S55" s="4">
        <f t="shared" si="7"/>
        <v>0</v>
      </c>
      <c r="T55" s="33"/>
      <c r="U55" s="40"/>
      <c r="V55" s="34"/>
      <c r="W55" s="40"/>
      <c r="X55" s="33">
        <v>38.6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$100&lt;&gt;"")*(G$3:G$100=G56)*(J$3:J$100&gt;J56)*(I$3:I$100="P"))+1,IF(O56&lt;&gt;"",SUMPRODUCT((O$3:O$100&lt;&gt;"")*(P$3:P$100="")*(G$3:G$100=G56)*(J$3:J$100&gt;J56)*(I$3:I$100="P"))+SUMPRODUCT((P$3:P$100&lt;&gt;"")*(G$3:G$100=G56)*(I$3:I$100="P"))+1,IF(N56&lt;&gt;"",SUMPRODUCT((N$3:N$100&lt;&gt;"")*(G$3:G$100=G56)*(J$3:J$100&gt;J56)*(I$3:I$100="P"))+1,IF(M56="P",SUMPRODUCT((O$3:O$100&lt;&gt;"")*(P$3:P$100="")*(G$3:G$100=G56)*(I$3:I$100="P"))+SUMPRODUCT((P$3:P$100&lt;&gt;"")*(G$3:G$100=G56)*(I$3:I$100="P"))+SUMPRODUCT((N$3:N$100&lt;&gt;"")*(G$3:G$100=G56)*(I$3:I$100="P"))+SUMPRODUCT((P$3:P$100="")*(O$3:O$100="")*(N$3:N$100="")*(M$3:M$100="P")*(G$3:G$100=G56)*(J$3:J$100&gt;J56)*(I$3:I$100="P"))+IF(H56="L5",SUMPRODUCT((P$3:P$100="")*(O$3:O$100="")*(N$3:N$100="")*(M$3:M$100="P")*(G$3:G$100=G56)*(J$3:J$100&lt;J56)*(H$3:H$100&lt;&gt;H56)*(I$3:I$100="P")),-1*SUMPRODUCT((P$3:P$100="")*(O$3:O$100="")*(N$3:N$100="")*(M$3:M$100="P")*(G$3:G$100=G56)*(J$3:J$100&gt;J56)*(H$3:H$100="L5")*(I$3:I$100="P")))+1,"")))))</f>
        <v/>
      </c>
      <c r="B56" s="1" t="str" cm="1">
        <f t="array" ref="B56">IF(P56&lt;&gt;"",SUMPRODUCT((P$3:P$100&lt;&gt;"")*(G$3:G$100=G56)*(J$3:J$100&gt;J56))+1,IF(O56&lt;&gt;"",SUMPRODUCT((O$3:O$100&lt;&gt;"")*(P$3:P$100="")*(G$3:G$100=G56)*(J$3:J$100&gt;J56))+SUMPRODUCT((P$3:P$100&lt;&gt;"")*(G$3:G$100=G56))+1,IF(N56&lt;&gt;"",SUMPRODUCT((N$3:N$100&lt;&gt;"")*(G$3:G$100=G56)*(J$3:J$100&gt;J56))+1,IF(M56="P",SUMPRODUCT((O$3:O$100&lt;&gt;"")*(P$3:P$100="")*(G$3:G$100=G56))+SUMPRODUCT((P$3:P$100&lt;&gt;"")*(G$3:G$100=G56))+SUMPRODUCT((N$3:N$100&lt;&gt;"")*(G$3:G$100=G56))+SUMPRODUCT((P$3:P$100="")*(O$3:O$100="")*(N$3:N$100="")*(M$3:M$100="P")*(G$3:G$100=G56)*(J$3:J$100&gt;J56))+IF(H56="L5",SUMPRODUCT((P$3:P$100="")*(O$3:O$100="")*(N$3:N$100="")*(M$3:M$100="P")*(G$3:G$100=G56)*(J$3:J$100&lt;J56)*(H$3:H$100&lt;&gt;H56)),-1*SUMPRODUCT((P$3:P$100="")*(O$3:O$100="")*(N$3:N$100="")*(M$3:M$100="P")*(G$3:G$100=G56)*(J$3:J$100&gt;J56)*(H$3:H$100="L5")))+1,""))))</f>
        <v/>
      </c>
      <c r="C56" s="36" t="s">
        <v>440</v>
      </c>
      <c r="D56" s="36" t="str">
        <f>IF(E56="","",VLOOKUP(E56,'Coaching Points'!A:B,2,0))</f>
        <v>BC</v>
      </c>
      <c r="E56" s="36" t="s">
        <v>46</v>
      </c>
      <c r="F56" s="35">
        <v>2003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4"/>
        <v>38.20010382000001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 t="shared" si="5"/>
        <v/>
      </c>
      <c r="R56" s="4">
        <f t="shared" si="6"/>
        <v>38.200000000000003</v>
      </c>
      <c r="S56" s="4">
        <f t="shared" si="7"/>
        <v>0</v>
      </c>
      <c r="T56" s="33"/>
      <c r="U56" s="40"/>
      <c r="V56" s="34"/>
      <c r="W56" s="40"/>
      <c r="X56" s="33">
        <v>38.200000000000003</v>
      </c>
      <c r="Y56" s="40">
        <v>5.2</v>
      </c>
      <c r="Z56" s="34"/>
      <c r="AA56" s="37"/>
    </row>
    <row r="57" spans="1:27" x14ac:dyDescent="0.2">
      <c r="A57" s="1" t="str" cm="1">
        <f t="array" ref="A57">IF(I57="","",IF(P57&lt;&gt;"",SUMPRODUCT((P$3:P$100&lt;&gt;"")*(G$3:G$100=G57)*(J$3:J$100&gt;J57)*(I$3:I$100="P"))+1,IF(O57&lt;&gt;"",SUMPRODUCT((O$3:O$100&lt;&gt;"")*(P$3:P$100="")*(G$3:G$100=G57)*(J$3:J$100&gt;J57)*(I$3:I$100="P"))+SUMPRODUCT((P$3:P$100&lt;&gt;"")*(G$3:G$100=G57)*(I$3:I$100="P"))+1,IF(N57&lt;&gt;"",SUMPRODUCT((N$3:N$100&lt;&gt;"")*(G$3:G$100=G57)*(J$3:J$100&gt;J57)*(I$3:I$100="P"))+1,IF(M57="P",SUMPRODUCT((O$3:O$100&lt;&gt;"")*(P$3:P$100="")*(G$3:G$100=G57)*(I$3:I$100="P"))+SUMPRODUCT((P$3:P$100&lt;&gt;"")*(G$3:G$100=G57)*(I$3:I$100="P"))+SUMPRODUCT((N$3:N$100&lt;&gt;"")*(G$3:G$100=G57)*(I$3:I$100="P"))+SUMPRODUCT((P$3:P$100="")*(O$3:O$100="")*(N$3:N$100="")*(M$3:M$100="P")*(G$3:G$100=G57)*(J$3:J$100&gt;J57)*(I$3:I$100="P"))+IF(H57="L5",SUMPRODUCT((P$3:P$100="")*(O$3:O$100="")*(N$3:N$100="")*(M$3:M$100="P")*(G$3:G$100=G57)*(J$3:J$100&lt;J57)*(H$3:H$100&lt;&gt;H57)*(I$3:I$100="P")),-1*SUMPRODUCT((P$3:P$100="")*(O$3:O$100="")*(N$3:N$100="")*(M$3:M$100="P")*(G$3:G$100=G57)*(J$3:J$100&gt;J57)*(H$3:H$100="L5")*(I$3:I$100="P")))+1,"")))))</f>
        <v/>
      </c>
      <c r="B57" s="1" t="str" cm="1">
        <f t="array" ref="B57">IF(P57&lt;&gt;"",SUMPRODUCT((P$3:P$100&lt;&gt;"")*(G$3:G$100=G57)*(J$3:J$100&gt;J57))+1,IF(O57&lt;&gt;"",SUMPRODUCT((O$3:O$100&lt;&gt;"")*(P$3:P$100="")*(G$3:G$100=G57)*(J$3:J$100&gt;J57))+SUMPRODUCT((P$3:P$100&lt;&gt;"")*(G$3:G$100=G57))+1,IF(N57&lt;&gt;"",SUMPRODUCT((N$3:N$100&lt;&gt;"")*(G$3:G$100=G57)*(J$3:J$100&gt;J57))+1,IF(M57="P",SUMPRODUCT((O$3:O$100&lt;&gt;"")*(P$3:P$100="")*(G$3:G$100=G57))+SUMPRODUCT((P$3:P$100&lt;&gt;"")*(G$3:G$100=G57))+SUMPRODUCT((N$3:N$100&lt;&gt;"")*(G$3:G$100=G57))+SUMPRODUCT((P$3:P$100="")*(O$3:O$100="")*(N$3:N$100="")*(M$3:M$100="P")*(G$3:G$100=G57)*(J$3:J$100&gt;J57))+IF(H57="L5",SUMPRODUCT((P$3:P$100="")*(O$3:O$100="")*(N$3:N$100="")*(M$3:M$100="P")*(G$3:G$100=G57)*(J$3:J$100&lt;J57)*(H$3:H$100&lt;&gt;H57)),-1*SUMPRODUCT((P$3:P$100="")*(O$3:O$100="")*(N$3:N$100="")*(M$3:M$100="P")*(G$3:G$100=G57)*(J$3:J$100&gt;J57)*(H$3:H$100="L5")))+1,""))))</f>
        <v/>
      </c>
      <c r="C57" s="36" t="s">
        <v>111</v>
      </c>
      <c r="D57" s="36" t="str">
        <f>IF(E57="","",VLOOKUP(E57,'Coaching Points'!A:B,2,0))</f>
        <v>BC</v>
      </c>
      <c r="E57" s="36" t="s">
        <v>46</v>
      </c>
      <c r="F57" s="35">
        <v>2005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4"/>
        <v>24.0001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 t="shared" si="5"/>
        <v/>
      </c>
      <c r="R57" s="4">
        <f t="shared" si="6"/>
        <v>24</v>
      </c>
      <c r="S57" s="4">
        <f t="shared" si="7"/>
        <v>0</v>
      </c>
      <c r="T57" s="33">
        <v>24</v>
      </c>
      <c r="U57" s="40">
        <v>6.8</v>
      </c>
      <c r="V57" s="34"/>
      <c r="W57" s="40"/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$100&lt;&gt;"")*(G$3:G$100=G58)*(J$3:J$100&gt;J58)*(I$3:I$100="P"))+1,IF(O58&lt;&gt;"",SUMPRODUCT((O$3:O$100&lt;&gt;"")*(P$3:P$100="")*(G$3:G$100=G58)*(J$3:J$100&gt;J58)*(I$3:I$100="P"))+SUMPRODUCT((P$3:P$100&lt;&gt;"")*(G$3:G$100=G58)*(I$3:I$100="P"))+1,IF(N58&lt;&gt;"",SUMPRODUCT((N$3:N$100&lt;&gt;"")*(G$3:G$100=G58)*(J$3:J$100&gt;J58)*(I$3:I$100="P"))+1,IF(M58="P",SUMPRODUCT((O$3:O$100&lt;&gt;"")*(P$3:P$100="")*(G$3:G$100=G58)*(I$3:I$100="P"))+SUMPRODUCT((P$3:P$100&lt;&gt;"")*(G$3:G$100=G58)*(I$3:I$100="P"))+SUMPRODUCT((N$3:N$100&lt;&gt;"")*(G$3:G$100=G58)*(I$3:I$100="P"))+SUMPRODUCT((P$3:P$100="")*(O$3:O$100="")*(N$3:N$100="")*(M$3:M$100="P")*(G$3:G$100=G58)*(J$3:J$100&gt;J58)*(I$3:I$100="P"))+IF(H58="L5",SUMPRODUCT((P$3:P$100="")*(O$3:O$100="")*(N$3:N$100="")*(M$3:M$100="P")*(G$3:G$100=G58)*(J$3:J$100&lt;J58)*(H$3:H$100&lt;&gt;H58)*(I$3:I$100="P")),-1*SUMPRODUCT((P$3:P$100="")*(O$3:O$100="")*(N$3:N$100="")*(M$3:M$100="P")*(G$3:G$100=G58)*(J$3:J$100&gt;J58)*(H$3:H$100="L5")*(I$3:I$100="P")))+1,"")))))</f>
        <v/>
      </c>
      <c r="B58" s="1" t="str" cm="1">
        <f t="array" ref="B58">IF(P58&lt;&gt;"",SUMPRODUCT((P$3:P$100&lt;&gt;"")*(G$3:G$100=G58)*(J$3:J$100&gt;J58))+1,IF(O58&lt;&gt;"",SUMPRODUCT((O$3:O$100&lt;&gt;"")*(P$3:P$100="")*(G$3:G$100=G58)*(J$3:J$100&gt;J58))+SUMPRODUCT((P$3:P$100&lt;&gt;"")*(G$3:G$100=G58))+1,IF(N58&lt;&gt;"",SUMPRODUCT((N$3:N$100&lt;&gt;"")*(G$3:G$100=G58)*(J$3:J$100&gt;J58))+1,IF(M58="P",SUMPRODUCT((O$3:O$100&lt;&gt;"")*(P$3:P$100="")*(G$3:G$100=G58))+SUMPRODUCT((P$3:P$100&lt;&gt;"")*(G$3:G$100=G58))+SUMPRODUCT((N$3:N$100&lt;&gt;"")*(G$3:G$100=G58))+SUMPRODUCT((P$3:P$100="")*(O$3:O$100="")*(N$3:N$100="")*(M$3:M$100="P")*(G$3:G$100=G58)*(J$3:J$100&gt;J58))+IF(H58="L5",SUMPRODUCT((P$3:P$100="")*(O$3:O$100="")*(N$3:N$100="")*(M$3:M$100="P")*(G$3:G$100=G58)*(J$3:J$100&lt;J58)*(H$3:H$100&lt;&gt;H58)),-1*SUMPRODUCT((P$3:P$100="")*(O$3:O$100="")*(N$3:N$100="")*(M$3:M$100="P")*(G$3:G$100=G58)*(J$3:J$100&gt;J58)*(H$3:H$100="L5")))+1,""))))</f>
        <v/>
      </c>
      <c r="C58" s="36" t="s">
        <v>426</v>
      </c>
      <c r="D58" s="36" t="str">
        <f>IF(E58="","",VLOOKUP(E58,'Coaching Points'!A:B,2,0))</f>
        <v>AB</v>
      </c>
      <c r="E58" s="36" t="s">
        <v>64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 t="shared" si="4"/>
        <v>19.800101980000001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 t="shared" si="5"/>
        <v/>
      </c>
      <c r="R58" s="4">
        <f t="shared" si="6"/>
        <v>19.8</v>
      </c>
      <c r="S58" s="4">
        <f t="shared" si="7"/>
        <v>0</v>
      </c>
      <c r="T58" s="33"/>
      <c r="U58" s="40"/>
      <c r="V58" s="34"/>
      <c r="W58" s="40"/>
      <c r="X58" s="33">
        <v>19.8</v>
      </c>
      <c r="Y58" s="40">
        <v>2.4</v>
      </c>
      <c r="Z58" s="34"/>
      <c r="AA58" s="37"/>
    </row>
    <row r="59" spans="1:27" x14ac:dyDescent="0.2">
      <c r="A59" s="1" t="str" cm="1">
        <f t="array" ref="A59">IF(I59="","",IF(P59&lt;&gt;"",SUMPRODUCT((P$3:P$100&lt;&gt;"")*(G$3:G$100=G59)*(J$3:J$100&gt;J59)*(I$3:I$100="P"))+1,IF(O59&lt;&gt;"",SUMPRODUCT((O$3:O$100&lt;&gt;"")*(P$3:P$100="")*(G$3:G$100=G59)*(J$3:J$100&gt;J59)*(I$3:I$100="P"))+SUMPRODUCT((P$3:P$100&lt;&gt;"")*(G$3:G$100=G59)*(I$3:I$100="P"))+1,IF(N59&lt;&gt;"",SUMPRODUCT((N$3:N$100&lt;&gt;"")*(G$3:G$100=G59)*(J$3:J$100&gt;J59)*(I$3:I$100="P"))+1,IF(M59="P",SUMPRODUCT((O$3:O$100&lt;&gt;"")*(P$3:P$100="")*(G$3:G$100=G59)*(I$3:I$100="P"))+SUMPRODUCT((P$3:P$100&lt;&gt;"")*(G$3:G$100=G59)*(I$3:I$100="P"))+SUMPRODUCT((N$3:N$100&lt;&gt;"")*(G$3:G$100=G59)*(I$3:I$100="P"))+SUMPRODUCT((P$3:P$100="")*(O$3:O$100="")*(N$3:N$100="")*(M$3:M$100="P")*(G$3:G$100=G59)*(J$3:J$100&gt;J59)*(I$3:I$100="P"))+IF(H59="L5",SUMPRODUCT((P$3:P$100="")*(O$3:O$100="")*(N$3:N$100="")*(M$3:M$100="P")*(G$3:G$100=G59)*(J$3:J$100&lt;J59)*(H$3:H$100&lt;&gt;H59)*(I$3:I$100="P")),-1*SUMPRODUCT((P$3:P$100="")*(O$3:O$100="")*(N$3:N$100="")*(M$3:M$100="P")*(G$3:G$100=G59)*(J$3:J$100&gt;J59)*(H$3:H$100="L5")*(I$3:I$100="P")))+1,"")))))</f>
        <v/>
      </c>
      <c r="B59" s="1" t="str" cm="1">
        <f t="array" ref="B59">IF(P59&lt;&gt;"",SUMPRODUCT((P$3:P$100&lt;&gt;"")*(G$3:G$100=G59)*(J$3:J$100&gt;J59))+1,IF(O59&lt;&gt;"",SUMPRODUCT((O$3:O$100&lt;&gt;"")*(P$3:P$100="")*(G$3:G$100=G59)*(J$3:J$100&gt;J59))+SUMPRODUCT((P$3:P$100&lt;&gt;"")*(G$3:G$100=G59))+1,IF(N59&lt;&gt;"",SUMPRODUCT((N$3:N$100&lt;&gt;"")*(G$3:G$100=G59)*(J$3:J$100&gt;J59))+1,IF(M59="P",SUMPRODUCT((O$3:O$100&lt;&gt;"")*(P$3:P$100="")*(G$3:G$100=G59))+SUMPRODUCT((P$3:P$100&lt;&gt;"")*(G$3:G$100=G59))+SUMPRODUCT((N$3:N$100&lt;&gt;"")*(G$3:G$100=G59))+SUMPRODUCT((P$3:P$100="")*(O$3:O$100="")*(N$3:N$100="")*(M$3:M$100="P")*(G$3:G$100=G59)*(J$3:J$100&gt;J59))+IF(H59="L5",SUMPRODUCT((P$3:P$100="")*(O$3:O$100="")*(N$3:N$100="")*(M$3:M$100="P")*(G$3:G$100=G59)*(J$3:J$100&lt;J59)*(H$3:H$100&lt;&gt;H59)),-1*SUMPRODUCT((P$3:P$100="")*(O$3:O$100="")*(N$3:N$100="")*(M$3:M$100="P")*(G$3:G$100=G59)*(J$3:J$100&gt;J59)*(H$3:H$100="L5")))+1,""))))</f>
        <v/>
      </c>
      <c r="C59" s="36" t="s">
        <v>222</v>
      </c>
      <c r="D59" s="36" t="str">
        <f>IF(E59="","",VLOOKUP(E59,'Coaching Points'!A:B,2,0))</f>
        <v>AB</v>
      </c>
      <c r="E59" s="36" t="s">
        <v>29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4"/>
        <v>19.8001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1" t="str">
        <f t="shared" si="5"/>
        <v/>
      </c>
      <c r="R59" s="4">
        <f t="shared" si="6"/>
        <v>19.8</v>
      </c>
      <c r="S59" s="4">
        <f t="shared" si="7"/>
        <v>0</v>
      </c>
      <c r="T59" s="33">
        <v>19.8</v>
      </c>
      <c r="U59" s="40">
        <v>2.4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$100&lt;&gt;"")*(G$3:G$100=G60)*(J$3:J$100&gt;J60)*(I$3:I$100="P"))+1,IF(O60&lt;&gt;"",SUMPRODUCT((O$3:O$100&lt;&gt;"")*(P$3:P$100="")*(G$3:G$100=G60)*(J$3:J$100&gt;J60)*(I$3:I$100="P"))+SUMPRODUCT((P$3:P$100&lt;&gt;"")*(G$3:G$100=G60)*(I$3:I$100="P"))+1,IF(N60&lt;&gt;"",SUMPRODUCT((N$3:N$100&lt;&gt;"")*(G$3:G$100=G60)*(J$3:J$100&gt;J60)*(I$3:I$100="P"))+1,IF(M60="P",SUMPRODUCT((O$3:O$100&lt;&gt;"")*(P$3:P$100="")*(G$3:G$100=G60)*(I$3:I$100="P"))+SUMPRODUCT((P$3:P$100&lt;&gt;"")*(G$3:G$100=G60)*(I$3:I$100="P"))+SUMPRODUCT((N$3:N$100&lt;&gt;"")*(G$3:G$100=G60)*(I$3:I$100="P"))+SUMPRODUCT((P$3:P$100="")*(O$3:O$100="")*(N$3:N$100="")*(M$3:M$100="P")*(G$3:G$100=G60)*(J$3:J$100&gt;J60)*(I$3:I$100="P"))+IF(H60="L5",SUMPRODUCT((P$3:P$100="")*(O$3:O$100="")*(N$3:N$100="")*(M$3:M$100="P")*(G$3:G$100=G60)*(J$3:J$100&lt;J60)*(H$3:H$100&lt;&gt;H60)*(I$3:I$100="P")),-1*SUMPRODUCT((P$3:P$100="")*(O$3:O$100="")*(N$3:N$100="")*(M$3:M$100="P")*(G$3:G$100=G60)*(J$3:J$100&gt;J60)*(H$3:H$100="L5")*(I$3:I$100="P")))+1,"")))))</f>
        <v/>
      </c>
      <c r="B60" s="1" cm="1">
        <f t="array" ref="B60">IF(P60&lt;&gt;"",SUMPRODUCT((P$3:P$100&lt;&gt;"")*(G$3:G$100=G60)*(J$3:J$100&gt;J60))+1,IF(O60&lt;&gt;"",SUMPRODUCT((O$3:O$100&lt;&gt;"")*(P$3:P$100="")*(G$3:G$100=G60)*(J$3:J$100&gt;J60))+SUMPRODUCT((P$3:P$100&lt;&gt;"")*(G$3:G$100=G60))+1,IF(N60&lt;&gt;"",SUMPRODUCT((N$3:N$100&lt;&gt;"")*(G$3:G$100=G60)*(J$3:J$100&gt;J60))+1,IF(M60="P",SUMPRODUCT((O$3:O$100&lt;&gt;"")*(P$3:P$100="")*(G$3:G$100=G60))+SUMPRODUCT((P$3:P$100&lt;&gt;"")*(G$3:G$100=G60))+SUMPRODUCT((N$3:N$100&lt;&gt;"")*(G$3:G$100=G60))+SUMPRODUCT((P$3:P$100="")*(O$3:O$100="")*(N$3:N$100="")*(M$3:M$100="P")*(G$3:G$100=G60)*(J$3:J$100&gt;J60))+IF(H60="L5",SUMPRODUCT((P$3:P$100="")*(O$3:O$100="")*(N$3:N$100="")*(M$3:M$100="P")*(G$3:G$100=G60)*(J$3:J$100&lt;J60)*(H$3:H$100&lt;&gt;H60)),-1*SUMPRODUCT((P$3:P$100="")*(O$3:O$100="")*(N$3:N$100="")*(M$3:M$100="P")*(G$3:G$100=G60)*(J$3:J$100&gt;J60)*(H$3:H$100="L5")))+1,""))))</f>
        <v>1</v>
      </c>
      <c r="C60" s="36" t="s">
        <v>86</v>
      </c>
      <c r="D60" s="36" t="str">
        <f>IF(E60="","",VLOOKUP(E60,'Coaching Points'!A:B,2,0))</f>
        <v>BC</v>
      </c>
      <c r="E60" s="36" t="s">
        <v>72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/>
      <c r="J60" s="4">
        <f t="shared" si="4"/>
        <v>101.00020518000001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1</v>
      </c>
      <c r="Q60" s="1" t="str">
        <f t="shared" si="5"/>
        <v/>
      </c>
      <c r="R60" s="4">
        <f t="shared" si="6"/>
        <v>51.8</v>
      </c>
      <c r="S60" s="4">
        <f t="shared" si="7"/>
        <v>49.2</v>
      </c>
      <c r="T60" s="33">
        <v>26.2</v>
      </c>
      <c r="U60" s="40">
        <v>7.6</v>
      </c>
      <c r="V60" s="34">
        <v>45.8</v>
      </c>
      <c r="W60" s="40">
        <v>10.8</v>
      </c>
      <c r="X60" s="33">
        <v>51.8</v>
      </c>
      <c r="Y60" s="40">
        <v>13.600000000000001</v>
      </c>
      <c r="Z60" s="34">
        <v>49.2</v>
      </c>
      <c r="AA60" s="37">
        <v>12.4</v>
      </c>
    </row>
    <row r="61" spans="1:27" x14ac:dyDescent="0.2">
      <c r="A61" s="1" t="str" cm="1">
        <f t="array" ref="A61">IF(I61="","",IF(P61&lt;&gt;"",SUMPRODUCT((P$3:P$100&lt;&gt;"")*(G$3:G$100=G61)*(J$3:J$100&gt;J61)*(I$3:I$100="P"))+1,IF(O61&lt;&gt;"",SUMPRODUCT((O$3:O$100&lt;&gt;"")*(P$3:P$100="")*(G$3:G$100=G61)*(J$3:J$100&gt;J61)*(I$3:I$100="P"))+SUMPRODUCT((P$3:P$100&lt;&gt;"")*(G$3:G$100=G61)*(I$3:I$100="P"))+1,IF(N61&lt;&gt;"",SUMPRODUCT((N$3:N$100&lt;&gt;"")*(G$3:G$100=G61)*(J$3:J$100&gt;J61)*(I$3:I$100="P"))+1,IF(M61="P",SUMPRODUCT((O$3:O$100&lt;&gt;"")*(P$3:P$100="")*(G$3:G$100=G61)*(I$3:I$100="P"))+SUMPRODUCT((P$3:P$100&lt;&gt;"")*(G$3:G$100=G61)*(I$3:I$100="P"))+SUMPRODUCT((N$3:N$100&lt;&gt;"")*(G$3:G$100=G61)*(I$3:I$100="P"))+SUMPRODUCT((P$3:P$100="")*(O$3:O$100="")*(N$3:N$100="")*(M$3:M$100="P")*(G$3:G$100=G61)*(J$3:J$100&gt;J61)*(I$3:I$100="P"))+IF(H61="L5",SUMPRODUCT((P$3:P$100="")*(O$3:O$100="")*(N$3:N$100="")*(M$3:M$100="P")*(G$3:G$100=G61)*(J$3:J$100&lt;J61)*(H$3:H$100&lt;&gt;H61)*(I$3:I$100="P")),-1*SUMPRODUCT((P$3:P$100="")*(O$3:O$100="")*(N$3:N$100="")*(M$3:M$100="P")*(G$3:G$100=G61)*(J$3:J$100&gt;J61)*(H$3:H$100="L5")*(I$3:I$100="P")))+1,"")))))</f>
        <v/>
      </c>
      <c r="B61" s="1" cm="1">
        <f t="array" ref="B61">IF(P61&lt;&gt;"",SUMPRODUCT((P$3:P$100&lt;&gt;"")*(G$3:G$100=G61)*(J$3:J$100&gt;J61))+1,IF(O61&lt;&gt;"",SUMPRODUCT((O$3:O$100&lt;&gt;"")*(P$3:P$100="")*(G$3:G$100=G61)*(J$3:J$100&gt;J61))+SUMPRODUCT((P$3:P$100&lt;&gt;"")*(G$3:G$100=G61))+1,IF(N61&lt;&gt;"",SUMPRODUCT((N$3:N$100&lt;&gt;"")*(G$3:G$100=G61)*(J$3:J$100&gt;J61))+1,IF(M61="P",SUMPRODUCT((O$3:O$100&lt;&gt;"")*(P$3:P$100="")*(G$3:G$100=G61))+SUMPRODUCT((P$3:P$100&lt;&gt;"")*(G$3:G$100=G61))+SUMPRODUCT((N$3:N$100&lt;&gt;"")*(G$3:G$100=G61))+SUMPRODUCT((P$3:P$100="")*(O$3:O$100="")*(N$3:N$100="")*(M$3:M$100="P")*(G$3:G$100=G61)*(J$3:J$100&gt;J61))+IF(H61="L5",SUMPRODUCT((P$3:P$100="")*(O$3:O$100="")*(N$3:N$100="")*(M$3:M$100="P")*(G$3:G$100=G61)*(J$3:J$100&lt;J61)*(H$3:H$100&lt;&gt;H61)),-1*SUMPRODUCT((P$3:P$100="")*(O$3:O$100="")*(N$3:N$100="")*(M$3:M$100="P")*(G$3:G$100=G61)*(J$3:J$100&gt;J61)*(H$3:H$100="L5")))+1,""))))</f>
        <v>2</v>
      </c>
      <c r="C61" s="36" t="s">
        <v>82</v>
      </c>
      <c r="D61" s="36" t="str">
        <f>IF(E61="","",VLOOKUP(E61,'Coaching Points'!A:B,2,0))</f>
        <v>AB</v>
      </c>
      <c r="E61" s="36" t="s">
        <v>64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4"/>
        <v>99.700205029999992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4</v>
      </c>
      <c r="Q61" s="1" t="str">
        <f t="shared" si="5"/>
        <v/>
      </c>
      <c r="R61" s="4">
        <f t="shared" si="6"/>
        <v>49.4</v>
      </c>
      <c r="S61" s="4">
        <f t="shared" si="7"/>
        <v>50.3</v>
      </c>
      <c r="T61" s="33">
        <v>49.4</v>
      </c>
      <c r="U61" s="40">
        <v>13.2</v>
      </c>
      <c r="V61" s="34">
        <v>49.3</v>
      </c>
      <c r="W61" s="40">
        <v>13.2</v>
      </c>
      <c r="X61" s="33">
        <v>41.8</v>
      </c>
      <c r="Y61" s="40">
        <v>6.8</v>
      </c>
      <c r="Z61" s="34">
        <v>50.3</v>
      </c>
      <c r="AA61" s="37">
        <v>14</v>
      </c>
    </row>
    <row r="62" spans="1:27" x14ac:dyDescent="0.2">
      <c r="A62" s="1" t="str" cm="1">
        <f t="array" ref="A62">IF(I62="","",IF(P62&lt;&gt;"",SUMPRODUCT((P$3:P$100&lt;&gt;"")*(G$3:G$100=G62)*(J$3:J$100&gt;J62)*(I$3:I$100="P"))+1,IF(O62&lt;&gt;"",SUMPRODUCT((O$3:O$100&lt;&gt;"")*(P$3:P$100="")*(G$3:G$100=G62)*(J$3:J$100&gt;J62)*(I$3:I$100="P"))+SUMPRODUCT((P$3:P$100&lt;&gt;"")*(G$3:G$100=G62)*(I$3:I$100="P"))+1,IF(N62&lt;&gt;"",SUMPRODUCT((N$3:N$100&lt;&gt;"")*(G$3:G$100=G62)*(J$3:J$100&gt;J62)*(I$3:I$100="P"))+1,IF(M62="P",SUMPRODUCT((O$3:O$100&lt;&gt;"")*(P$3:P$100="")*(G$3:G$100=G62)*(I$3:I$100="P"))+SUMPRODUCT((P$3:P$100&lt;&gt;"")*(G$3:G$100=G62)*(I$3:I$100="P"))+SUMPRODUCT((N$3:N$100&lt;&gt;"")*(G$3:G$100=G62)*(I$3:I$100="P"))+SUMPRODUCT((P$3:P$100="")*(O$3:O$100="")*(N$3:N$100="")*(M$3:M$100="P")*(G$3:G$100=G62)*(J$3:J$100&gt;J62)*(I$3:I$100="P"))+IF(H62="L5",SUMPRODUCT((P$3:P$100="")*(O$3:O$100="")*(N$3:N$100="")*(M$3:M$100="P")*(G$3:G$100=G62)*(J$3:J$100&lt;J62)*(H$3:H$100&lt;&gt;H62)*(I$3:I$100="P")),-1*SUMPRODUCT((P$3:P$100="")*(O$3:O$100="")*(N$3:N$100="")*(M$3:M$100="P")*(G$3:G$100=G62)*(J$3:J$100&gt;J62)*(H$3:H$100="L5")*(I$3:I$100="P")))+1,"")))))</f>
        <v/>
      </c>
      <c r="B62" s="1" cm="1">
        <f t="array" ref="B62">IF(P62&lt;&gt;"",SUMPRODUCT((P$3:P$100&lt;&gt;"")*(G$3:G$100=G62)*(J$3:J$100&gt;J62))+1,IF(O62&lt;&gt;"",SUMPRODUCT((O$3:O$100&lt;&gt;"")*(P$3:P$100="")*(G$3:G$100=G62)*(J$3:J$100&gt;J62))+SUMPRODUCT((P$3:P$100&lt;&gt;"")*(G$3:G$100=G62))+1,IF(N62&lt;&gt;"",SUMPRODUCT((N$3:N$100&lt;&gt;"")*(G$3:G$100=G62)*(J$3:J$100&gt;J62))+1,IF(M62="P",SUMPRODUCT((O$3:O$100&lt;&gt;"")*(P$3:P$100="")*(G$3:G$100=G62))+SUMPRODUCT((P$3:P$100&lt;&gt;"")*(G$3:G$100=G62))+SUMPRODUCT((N$3:N$100&lt;&gt;"")*(G$3:G$100=G62))+SUMPRODUCT((P$3:P$100="")*(O$3:O$100="")*(N$3:N$100="")*(M$3:M$100="P")*(G$3:G$100=G62)*(J$3:J$100&gt;J62))+IF(H62="L5",SUMPRODUCT((P$3:P$100="")*(O$3:O$100="")*(N$3:N$100="")*(M$3:M$100="P")*(G$3:G$100=G62)*(J$3:J$100&lt;J62)*(H$3:H$100&lt;&gt;H62)),-1*SUMPRODUCT((P$3:P$100="")*(O$3:O$100="")*(N$3:N$100="")*(M$3:M$100="P")*(G$3:G$100=G62)*(J$3:J$100&gt;J62)*(H$3:H$100="L5")))+1,""))))</f>
        <v>3</v>
      </c>
      <c r="C62" s="36" t="s">
        <v>278</v>
      </c>
      <c r="D62" s="36" t="str">
        <f>IF(E62="","",VLOOKUP(E62,'Coaching Points'!A:B,2,0))</f>
        <v>AB</v>
      </c>
      <c r="E62" s="36" t="s">
        <v>64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/>
      <c r="J62" s="4">
        <f t="shared" si="4"/>
        <v>99.700105010000001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3</v>
      </c>
      <c r="Q62" s="1" t="str">
        <f t="shared" si="5"/>
        <v/>
      </c>
      <c r="R62" s="4">
        <f t="shared" si="6"/>
        <v>49.6</v>
      </c>
      <c r="S62" s="4">
        <f t="shared" si="7"/>
        <v>50.1</v>
      </c>
      <c r="T62" s="33">
        <v>47.5</v>
      </c>
      <c r="U62" s="40">
        <v>10.4</v>
      </c>
      <c r="V62" s="34">
        <v>45.9</v>
      </c>
      <c r="W62" s="40">
        <v>9.5</v>
      </c>
      <c r="X62" s="33">
        <v>49.6</v>
      </c>
      <c r="Y62" s="40">
        <v>14.399999999999999</v>
      </c>
      <c r="Z62" s="34">
        <v>50.1</v>
      </c>
      <c r="AA62" s="37">
        <v>14.399999999999999</v>
      </c>
    </row>
    <row r="63" spans="1:27" x14ac:dyDescent="0.2">
      <c r="A63" s="1" t="str" cm="1">
        <f t="array" ref="A63">IF(I63="","",IF(P63&lt;&gt;"",SUMPRODUCT((P$3:P$100&lt;&gt;"")*(G$3:G$100=G63)*(J$3:J$100&gt;J63)*(I$3:I$100="P"))+1,IF(O63&lt;&gt;"",SUMPRODUCT((O$3:O$100&lt;&gt;"")*(P$3:P$100="")*(G$3:G$100=G63)*(J$3:J$100&gt;J63)*(I$3:I$100="P"))+SUMPRODUCT((P$3:P$100&lt;&gt;"")*(G$3:G$100=G63)*(I$3:I$100="P"))+1,IF(N63&lt;&gt;"",SUMPRODUCT((N$3:N$100&lt;&gt;"")*(G$3:G$100=G63)*(J$3:J$100&gt;J63)*(I$3:I$100="P"))+1,IF(M63="P",SUMPRODUCT((O$3:O$100&lt;&gt;"")*(P$3:P$100="")*(G$3:G$100=G63)*(I$3:I$100="P"))+SUMPRODUCT((P$3:P$100&lt;&gt;"")*(G$3:G$100=G63)*(I$3:I$100="P"))+SUMPRODUCT((N$3:N$100&lt;&gt;"")*(G$3:G$100=G63)*(I$3:I$100="P"))+SUMPRODUCT((P$3:P$100="")*(O$3:O$100="")*(N$3:N$100="")*(M$3:M$100="P")*(G$3:G$100=G63)*(J$3:J$100&gt;J63)*(I$3:I$100="P"))+IF(H63="L5",SUMPRODUCT((P$3:P$100="")*(O$3:O$100="")*(N$3:N$100="")*(M$3:M$100="P")*(G$3:G$100=G63)*(J$3:J$100&lt;J63)*(H$3:H$100&lt;&gt;H63)*(I$3:I$100="P")),-1*SUMPRODUCT((P$3:P$100="")*(O$3:O$100="")*(N$3:N$100="")*(M$3:M$100="P")*(G$3:G$100=G63)*(J$3:J$100&gt;J63)*(H$3:H$100="L5")*(I$3:I$100="P")))+1,"")))))</f>
        <v/>
      </c>
      <c r="B63" s="1" cm="1">
        <f t="array" ref="B63">IF(P63&lt;&gt;"",SUMPRODUCT((P$3:P$100&lt;&gt;"")*(G$3:G$100=G63)*(J$3:J$100&gt;J63))+1,IF(O63&lt;&gt;"",SUMPRODUCT((O$3:O$100&lt;&gt;"")*(P$3:P$100="")*(G$3:G$100=G63)*(J$3:J$100&gt;J63))+SUMPRODUCT((P$3:P$100&lt;&gt;"")*(G$3:G$100=G63))+1,IF(N63&lt;&gt;"",SUMPRODUCT((N$3:N$100&lt;&gt;"")*(G$3:G$100=G63)*(J$3:J$100&gt;J63))+1,IF(M63="P",SUMPRODUCT((O$3:O$100&lt;&gt;"")*(P$3:P$100="")*(G$3:G$100=G63))+SUMPRODUCT((P$3:P$100&lt;&gt;"")*(G$3:G$100=G63))+SUMPRODUCT((N$3:N$100&lt;&gt;"")*(G$3:G$100=G63))+SUMPRODUCT((P$3:P$100="")*(O$3:O$100="")*(N$3:N$100="")*(M$3:M$100="P")*(G$3:G$100=G63)*(J$3:J$100&gt;J63))+IF(H63="L5",SUMPRODUCT((P$3:P$100="")*(O$3:O$100="")*(N$3:N$100="")*(M$3:M$100="P")*(G$3:G$100=G63)*(J$3:J$100&lt;J63)*(H$3:H$100&lt;&gt;H63)),-1*SUMPRODUCT((P$3:P$100="")*(O$3:O$100="")*(N$3:N$100="")*(M$3:M$100="P")*(G$3:G$100=G63)*(J$3:J$100&gt;J63)*(H$3:H$100="L5")))+1,""))))</f>
        <v>4</v>
      </c>
      <c r="C63" s="36" t="s">
        <v>214</v>
      </c>
      <c r="D63" s="36" t="str">
        <f>IF(E63="","",VLOOKUP(E63,'Coaching Points'!A:B,2,0))</f>
        <v>AB</v>
      </c>
      <c r="E63" s="36" t="s">
        <v>40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/>
      <c r="J63" s="4">
        <f t="shared" si="4"/>
        <v>98.900204940000009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N63" s="39">
        <v>2</v>
      </c>
      <c r="Q63" s="1" t="str">
        <f t="shared" si="5"/>
        <v/>
      </c>
      <c r="R63" s="4">
        <f t="shared" si="6"/>
        <v>49.5</v>
      </c>
      <c r="S63" s="4">
        <f t="shared" si="7"/>
        <v>49.4</v>
      </c>
      <c r="T63" s="33">
        <v>49.5</v>
      </c>
      <c r="U63" s="40">
        <v>12</v>
      </c>
      <c r="V63" s="34">
        <v>48.7</v>
      </c>
      <c r="W63" s="40">
        <v>12</v>
      </c>
      <c r="X63" s="33">
        <v>49.4</v>
      </c>
      <c r="Y63" s="40">
        <v>12.8</v>
      </c>
      <c r="Z63" s="34">
        <v>47.4</v>
      </c>
      <c r="AA63" s="37">
        <v>11.600000000000001</v>
      </c>
    </row>
    <row r="64" spans="1:27" x14ac:dyDescent="0.2">
      <c r="A64" s="1" t="str" cm="1">
        <f t="array" ref="A64">IF(I64="","",IF(P64&lt;&gt;"",SUMPRODUCT((P$3:P$100&lt;&gt;"")*(G$3:G$100=G64)*(J$3:J$100&gt;J64)*(I$3:I$100="P"))+1,IF(O64&lt;&gt;"",SUMPRODUCT((O$3:O$100&lt;&gt;"")*(P$3:P$100="")*(G$3:G$100=G64)*(J$3:J$100&gt;J64)*(I$3:I$100="P"))+SUMPRODUCT((P$3:P$100&lt;&gt;"")*(G$3:G$100=G64)*(I$3:I$100="P"))+1,IF(N64&lt;&gt;"",SUMPRODUCT((N$3:N$100&lt;&gt;"")*(G$3:G$100=G64)*(J$3:J$100&gt;J64)*(I$3:I$100="P"))+1,IF(M64="P",SUMPRODUCT((O$3:O$100&lt;&gt;"")*(P$3:P$100="")*(G$3:G$100=G64)*(I$3:I$100="P"))+SUMPRODUCT((P$3:P$100&lt;&gt;"")*(G$3:G$100=G64)*(I$3:I$100="P"))+SUMPRODUCT((N$3:N$100&lt;&gt;"")*(G$3:G$100=G64)*(I$3:I$100="P"))+SUMPRODUCT((P$3:P$100="")*(O$3:O$100="")*(N$3:N$100="")*(M$3:M$100="P")*(G$3:G$100=G64)*(J$3:J$100&gt;J64)*(I$3:I$100="P"))+IF(H64="L5",SUMPRODUCT((P$3:P$100="")*(O$3:O$100="")*(N$3:N$100="")*(M$3:M$100="P")*(G$3:G$100=G64)*(J$3:J$100&lt;J64)*(H$3:H$100&lt;&gt;H64)*(I$3:I$100="P")),-1*SUMPRODUCT((P$3:P$100="")*(O$3:O$100="")*(N$3:N$100="")*(M$3:M$100="P")*(G$3:G$100=G64)*(J$3:J$100&gt;J64)*(H$3:H$100="L5")*(I$3:I$100="P")))+1,"")))))</f>
        <v/>
      </c>
      <c r="B64" s="1" cm="1">
        <f t="array" ref="B64">IF(P64&lt;&gt;"",SUMPRODUCT((P$3:P$100&lt;&gt;"")*(G$3:G$100=G64)*(J$3:J$100&gt;J64))+1,IF(O64&lt;&gt;"",SUMPRODUCT((O$3:O$100&lt;&gt;"")*(P$3:P$100="")*(G$3:G$100=G64)*(J$3:J$100&gt;J64))+SUMPRODUCT((P$3:P$100&lt;&gt;"")*(G$3:G$100=G64))+1,IF(N64&lt;&gt;"",SUMPRODUCT((N$3:N$100&lt;&gt;"")*(G$3:G$100=G64)*(J$3:J$100&gt;J64))+1,IF(M64="P",SUMPRODUCT((O$3:O$100&lt;&gt;"")*(P$3:P$100="")*(G$3:G$100=G64))+SUMPRODUCT((P$3:P$100&lt;&gt;"")*(G$3:G$100=G64))+SUMPRODUCT((N$3:N$100&lt;&gt;"")*(G$3:G$100=G64))+SUMPRODUCT((P$3:P$100="")*(O$3:O$100="")*(N$3:N$100="")*(M$3:M$100="P")*(G$3:G$100=G64)*(J$3:J$100&gt;J64))+IF(H64="L5",SUMPRODUCT((P$3:P$100="")*(O$3:O$100="")*(N$3:N$100="")*(M$3:M$100="P")*(G$3:G$100=G64)*(J$3:J$100&lt;J64)*(H$3:H$100&lt;&gt;H64)),-1*SUMPRODUCT((P$3:P$100="")*(O$3:O$100="")*(N$3:N$100="")*(M$3:M$100="P")*(G$3:G$100=G64)*(J$3:J$100&gt;J64)*(H$3:H$100="L5")))+1,""))))</f>
        <v>5</v>
      </c>
      <c r="C64" s="36" t="s">
        <v>89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/>
      <c r="J64" s="4">
        <f t="shared" si="4"/>
        <v>98.300104960000013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 t="shared" si="5"/>
        <v/>
      </c>
      <c r="R64" s="4">
        <f t="shared" si="6"/>
        <v>48.7</v>
      </c>
      <c r="S64" s="4">
        <f t="shared" si="7"/>
        <v>49.6</v>
      </c>
      <c r="T64" s="33">
        <v>45.7</v>
      </c>
      <c r="U64" s="40">
        <v>10</v>
      </c>
      <c r="V64" s="34">
        <v>45.7</v>
      </c>
      <c r="W64" s="40">
        <v>9.1</v>
      </c>
      <c r="X64" s="33">
        <v>48.7</v>
      </c>
      <c r="Y64" s="40">
        <v>13.3</v>
      </c>
      <c r="Z64" s="34">
        <v>49.6</v>
      </c>
      <c r="AA64" s="37">
        <v>12</v>
      </c>
    </row>
    <row r="65" spans="1:27" x14ac:dyDescent="0.2">
      <c r="A65" s="1" t="str" cm="1">
        <f t="array" ref="A65">IF(I65="","",IF(P65&lt;&gt;"",SUMPRODUCT((P$3:P$100&lt;&gt;"")*(G$3:G$100=G65)*(J$3:J$100&gt;J65)*(I$3:I$100="P"))+1,IF(O65&lt;&gt;"",SUMPRODUCT((O$3:O$100&lt;&gt;"")*(P$3:P$100="")*(G$3:G$100=G65)*(J$3:J$100&gt;J65)*(I$3:I$100="P"))+SUMPRODUCT((P$3:P$100&lt;&gt;"")*(G$3:G$100=G65)*(I$3:I$100="P"))+1,IF(N65&lt;&gt;"",SUMPRODUCT((N$3:N$100&lt;&gt;"")*(G$3:G$100=G65)*(J$3:J$100&gt;J65)*(I$3:I$100="P"))+1,IF(M65="P",SUMPRODUCT((O$3:O$100&lt;&gt;"")*(P$3:P$100="")*(G$3:G$100=G65)*(I$3:I$100="P"))+SUMPRODUCT((P$3:P$100&lt;&gt;"")*(G$3:G$100=G65)*(I$3:I$100="P"))+SUMPRODUCT((N$3:N$100&lt;&gt;"")*(G$3:G$100=G65)*(I$3:I$100="P"))+SUMPRODUCT((P$3:P$100="")*(O$3:O$100="")*(N$3:N$100="")*(M$3:M$100="P")*(G$3:G$100=G65)*(J$3:J$100&gt;J65)*(I$3:I$100="P"))+IF(H65="L5",SUMPRODUCT((P$3:P$100="")*(O$3:O$100="")*(N$3:N$100="")*(M$3:M$100="P")*(G$3:G$100=G65)*(J$3:J$100&lt;J65)*(H$3:H$100&lt;&gt;H65)*(I$3:I$100="P")),-1*SUMPRODUCT((P$3:P$100="")*(O$3:O$100="")*(N$3:N$100="")*(M$3:M$100="P")*(G$3:G$100=G65)*(J$3:J$100&gt;J65)*(H$3:H$100="L5")*(I$3:I$100="P")))+1,"")))))</f>
        <v/>
      </c>
      <c r="B65" s="1" cm="1">
        <f t="array" ref="B65">IF(P65&lt;&gt;"",SUMPRODUCT((P$3:P$100&lt;&gt;"")*(G$3:G$100=G65)*(J$3:J$100&gt;J65))+1,IF(O65&lt;&gt;"",SUMPRODUCT((O$3:O$100&lt;&gt;"")*(P$3:P$100="")*(G$3:G$100=G65)*(J$3:J$100&gt;J65))+SUMPRODUCT((P$3:P$100&lt;&gt;"")*(G$3:G$100=G65))+1,IF(N65&lt;&gt;"",SUMPRODUCT((N$3:N$100&lt;&gt;"")*(G$3:G$100=G65)*(J$3:J$100&gt;J65))+1,IF(M65="P",SUMPRODUCT((O$3:O$100&lt;&gt;"")*(P$3:P$100="")*(G$3:G$100=G65))+SUMPRODUCT((P$3:P$100&lt;&gt;"")*(G$3:G$100=G65))+SUMPRODUCT((N$3:N$100&lt;&gt;"")*(G$3:G$100=G65))+SUMPRODUCT((P$3:P$100="")*(O$3:O$100="")*(N$3:N$100="")*(M$3:M$100="P")*(G$3:G$100=G65)*(J$3:J$100&gt;J65))+IF(H65="L5",SUMPRODUCT((P$3:P$100="")*(O$3:O$100="")*(N$3:N$100="")*(M$3:M$100="P")*(G$3:G$100=G65)*(J$3:J$100&lt;J65)*(H$3:H$100&lt;&gt;H65)),-1*SUMPRODUCT((P$3:P$100="")*(O$3:O$100="")*(N$3:N$100="")*(M$3:M$100="P")*(G$3:G$100=G65)*(J$3:J$100&gt;J65)*(H$3:H$100="L5")))+1,""))))</f>
        <v>6</v>
      </c>
      <c r="C65" s="36" t="s">
        <v>102</v>
      </c>
      <c r="D65" s="36" t="str">
        <f>IF(E65="","",VLOOKUP(E65,'Coaching Points'!A:B,2,0))</f>
        <v>BC</v>
      </c>
      <c r="E65" s="36" t="s">
        <v>62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/>
      <c r="J65" s="4">
        <f t="shared" si="4"/>
        <v>95.300204520000023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 t="shared" si="5"/>
        <v/>
      </c>
      <c r="R65" s="4">
        <f t="shared" si="6"/>
        <v>48.2</v>
      </c>
      <c r="S65" s="4">
        <f t="shared" si="7"/>
        <v>47.1</v>
      </c>
      <c r="T65" s="33">
        <v>48.2</v>
      </c>
      <c r="U65" s="40">
        <v>11.6</v>
      </c>
      <c r="V65" s="34">
        <v>47.1</v>
      </c>
      <c r="W65" s="40">
        <v>11.6</v>
      </c>
      <c r="X65" s="33">
        <v>43.6</v>
      </c>
      <c r="Y65" s="40">
        <v>8.8000000000000007</v>
      </c>
      <c r="Z65" s="34">
        <v>45.2</v>
      </c>
      <c r="AA65" s="37">
        <v>11.6</v>
      </c>
    </row>
    <row r="66" spans="1:27" x14ac:dyDescent="0.2">
      <c r="A66" s="1" t="str" cm="1">
        <f t="array" ref="A66">IF(I66="","",IF(P66&lt;&gt;"",SUMPRODUCT((P$3:P$100&lt;&gt;"")*(G$3:G$100=G66)*(J$3:J$100&gt;J66)*(I$3:I$100="P"))+1,IF(O66&lt;&gt;"",SUMPRODUCT((O$3:O$100&lt;&gt;"")*(P$3:P$100="")*(G$3:G$100=G66)*(J$3:J$100&gt;J66)*(I$3:I$100="P"))+SUMPRODUCT((P$3:P$100&lt;&gt;"")*(G$3:G$100=G66)*(I$3:I$100="P"))+1,IF(N66&lt;&gt;"",SUMPRODUCT((N$3:N$100&lt;&gt;"")*(G$3:G$100=G66)*(J$3:J$100&gt;J66)*(I$3:I$100="P"))+1,IF(M66="P",SUMPRODUCT((O$3:O$100&lt;&gt;"")*(P$3:P$100="")*(G$3:G$100=G66)*(I$3:I$100="P"))+SUMPRODUCT((P$3:P$100&lt;&gt;"")*(G$3:G$100=G66)*(I$3:I$100="P"))+SUMPRODUCT((N$3:N$100&lt;&gt;"")*(G$3:G$100=G66)*(I$3:I$100="P"))+SUMPRODUCT((P$3:P$100="")*(O$3:O$100="")*(N$3:N$100="")*(M$3:M$100="P")*(G$3:G$100=G66)*(J$3:J$100&gt;J66)*(I$3:I$100="P"))+IF(H66="L5",SUMPRODUCT((P$3:P$100="")*(O$3:O$100="")*(N$3:N$100="")*(M$3:M$100="P")*(G$3:G$100=G66)*(J$3:J$100&lt;J66)*(H$3:H$100&lt;&gt;H66)*(I$3:I$100="P")),-1*SUMPRODUCT((P$3:P$100="")*(O$3:O$100="")*(N$3:N$100="")*(M$3:M$100="P")*(G$3:G$100=G66)*(J$3:J$100&gt;J66)*(H$3:H$100="L5")*(I$3:I$100="P")))+1,"")))))</f>
        <v/>
      </c>
      <c r="B66" s="1" cm="1">
        <f t="array" ref="B66">IF(P66&lt;&gt;"",SUMPRODUCT((P$3:P$100&lt;&gt;"")*(G$3:G$100=G66)*(J$3:J$100&gt;J66))+1,IF(O66&lt;&gt;"",SUMPRODUCT((O$3:O$100&lt;&gt;"")*(P$3:P$100="")*(G$3:G$100=G66)*(J$3:J$100&gt;J66))+SUMPRODUCT((P$3:P$100&lt;&gt;"")*(G$3:G$100=G66))+1,IF(N66&lt;&gt;"",SUMPRODUCT((N$3:N$100&lt;&gt;"")*(G$3:G$100=G66)*(J$3:J$100&gt;J66))+1,IF(M66="P",SUMPRODUCT((O$3:O$100&lt;&gt;"")*(P$3:P$100="")*(G$3:G$100=G66))+SUMPRODUCT((P$3:P$100&lt;&gt;"")*(G$3:G$100=G66))+SUMPRODUCT((N$3:N$100&lt;&gt;"")*(G$3:G$100=G66))+SUMPRODUCT((P$3:P$100="")*(O$3:O$100="")*(N$3:N$100="")*(M$3:M$100="P")*(G$3:G$100=G66)*(J$3:J$100&gt;J66))+IF(H66="L5",SUMPRODUCT((P$3:P$100="")*(O$3:O$100="")*(N$3:N$100="")*(M$3:M$100="P")*(G$3:G$100=G66)*(J$3:J$100&lt;J66)*(H$3:H$100&lt;&gt;H66)),-1*SUMPRODUCT((P$3:P$100="")*(O$3:O$100="")*(N$3:N$100="")*(M$3:M$100="P")*(G$3:G$100=G66)*(J$3:J$100&gt;J66)*(H$3:H$100="L5")))+1,""))))</f>
        <v>7</v>
      </c>
      <c r="C66" s="36" t="s">
        <v>441</v>
      </c>
      <c r="D66" s="36" t="str">
        <f>IF(E66="","",VLOOKUP(E66,'Coaching Points'!A:B,2,0))</f>
        <v>AB</v>
      </c>
      <c r="E66" s="36" t="s">
        <v>29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442</v>
      </c>
      <c r="I66" s="43"/>
      <c r="J66" s="4">
        <f t="shared" si="4"/>
        <v>93.600004809999987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 t="shared" si="5"/>
        <v/>
      </c>
      <c r="R66" s="4">
        <f t="shared" si="6"/>
        <v>45.5</v>
      </c>
      <c r="S66" s="4">
        <f t="shared" si="7"/>
        <v>48.1</v>
      </c>
      <c r="T66" s="33"/>
      <c r="U66" s="40"/>
      <c r="V66" s="34"/>
      <c r="W66" s="40"/>
      <c r="X66" s="33">
        <v>45.5</v>
      </c>
      <c r="Y66" s="40">
        <v>12.4</v>
      </c>
      <c r="Z66" s="34">
        <v>48.1</v>
      </c>
      <c r="AA66" s="37">
        <v>13.2</v>
      </c>
    </row>
    <row r="67" spans="1:27" x14ac:dyDescent="0.2">
      <c r="A67" s="1" t="str" cm="1">
        <f t="array" ref="A67">IF(I67="","",IF(P67&lt;&gt;"",SUMPRODUCT((P$3:P$100&lt;&gt;"")*(G$3:G$100=G67)*(J$3:J$100&gt;J67)*(I$3:I$100="P"))+1,IF(O67&lt;&gt;"",SUMPRODUCT((O$3:O$100&lt;&gt;"")*(P$3:P$100="")*(G$3:G$100=G67)*(J$3:J$100&gt;J67)*(I$3:I$100="P"))+SUMPRODUCT((P$3:P$100&lt;&gt;"")*(G$3:G$100=G67)*(I$3:I$100="P"))+1,IF(N67&lt;&gt;"",SUMPRODUCT((N$3:N$100&lt;&gt;"")*(G$3:G$100=G67)*(J$3:J$100&gt;J67)*(I$3:I$100="P"))+1,IF(M67="P",SUMPRODUCT((O$3:O$100&lt;&gt;"")*(P$3:P$100="")*(G$3:G$100=G67)*(I$3:I$100="P"))+SUMPRODUCT((P$3:P$100&lt;&gt;"")*(G$3:G$100=G67)*(I$3:I$100="P"))+SUMPRODUCT((N$3:N$100&lt;&gt;"")*(G$3:G$100=G67)*(I$3:I$100="P"))+SUMPRODUCT((P$3:P$100="")*(O$3:O$100="")*(N$3:N$100="")*(M$3:M$100="P")*(G$3:G$100=G67)*(J$3:J$100&gt;J67)*(I$3:I$100="P"))+IF(H67="L5",SUMPRODUCT((P$3:P$100="")*(O$3:O$100="")*(N$3:N$100="")*(M$3:M$100="P")*(G$3:G$100=G67)*(J$3:J$100&lt;J67)*(H$3:H$100&lt;&gt;H67)*(I$3:I$100="P")),-1*SUMPRODUCT((P$3:P$100="")*(O$3:O$100="")*(N$3:N$100="")*(M$3:M$100="P")*(G$3:G$100=G67)*(J$3:J$100&gt;J67)*(H$3:H$100="L5")*(I$3:I$100="P")))+1,"")))))</f>
        <v/>
      </c>
      <c r="B67" s="1" cm="1">
        <f t="array" ref="B67">IF(P67&lt;&gt;"",SUMPRODUCT((P$3:P$100&lt;&gt;"")*(G$3:G$100=G67)*(J$3:J$100&gt;J67))+1,IF(O67&lt;&gt;"",SUMPRODUCT((O$3:O$100&lt;&gt;"")*(P$3:P$100="")*(G$3:G$100=G67)*(J$3:J$100&gt;J67))+SUMPRODUCT((P$3:P$100&lt;&gt;"")*(G$3:G$100=G67))+1,IF(N67&lt;&gt;"",SUMPRODUCT((N$3:N$100&lt;&gt;"")*(G$3:G$100=G67)*(J$3:J$100&gt;J67))+1,IF(M67="P",SUMPRODUCT((O$3:O$100&lt;&gt;"")*(P$3:P$100="")*(G$3:G$100=G67))+SUMPRODUCT((P$3:P$100&lt;&gt;"")*(G$3:G$100=G67))+SUMPRODUCT((N$3:N$100&lt;&gt;"")*(G$3:G$100=G67))+SUMPRODUCT((P$3:P$100="")*(O$3:O$100="")*(N$3:N$100="")*(M$3:M$100="P")*(G$3:G$100=G67)*(J$3:J$100&gt;J67))+IF(H67="L5",SUMPRODUCT((P$3:P$100="")*(O$3:O$100="")*(N$3:N$100="")*(M$3:M$100="P")*(G$3:G$100=G67)*(J$3:J$100&lt;J67)*(H$3:H$100&lt;&gt;H67)),-1*SUMPRODUCT((P$3:P$100="")*(O$3:O$100="")*(N$3:N$100="")*(M$3:M$100="P")*(G$3:G$100=G67)*(J$3:J$100&gt;J67)*(H$3:H$100="L5")))+1,""))))</f>
        <v>8</v>
      </c>
      <c r="C67" s="36" t="s">
        <v>215</v>
      </c>
      <c r="D67" s="36" t="str">
        <f>IF(E67="","",VLOOKUP(E67,'Coaching Points'!A:B,2,0))</f>
        <v>NS</v>
      </c>
      <c r="E67" s="36" t="s">
        <v>134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99" si="8">R67+S67+IF(OR(H67="Junior",H67="Senior"),0.0002,IF(OR(H67="L7",H67="L6"),0.0001,0))+MAX(X67,Z67)*0.0000001</f>
        <v>93.000004779999998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 t="shared" ref="Q67:Q99" si="9">IF(A67&lt;5,IF(_xlfn.MAXIFS(A:A,G:G,G67)&gt;3,5-A67,_xlfn.MAXIFS(A:A,G:G,G67)+1-A67),"")</f>
        <v/>
      </c>
      <c r="R67" s="4">
        <f t="shared" ref="R67:R99" si="10">MAX(T67,X67)</f>
        <v>47.8</v>
      </c>
      <c r="S67" s="4">
        <f t="shared" ref="S67:S98" si="11">IF(R67=T67,MAX(V67,X67,Z67),IF(R67=X67,MAX(T67,V67,Z67),0))</f>
        <v>45.2</v>
      </c>
      <c r="T67" s="33">
        <v>42.3</v>
      </c>
      <c r="U67" s="40">
        <v>7.1</v>
      </c>
      <c r="V67" s="34">
        <v>43.2</v>
      </c>
      <c r="W67" s="40">
        <v>7.5</v>
      </c>
      <c r="X67" s="33">
        <v>47.8</v>
      </c>
      <c r="Y67" s="40">
        <v>11.2</v>
      </c>
      <c r="Z67" s="34">
        <v>45.2</v>
      </c>
      <c r="AA67" s="37">
        <v>9.6000000000000014</v>
      </c>
    </row>
    <row r="68" spans="1:27" x14ac:dyDescent="0.2">
      <c r="A68" s="1" t="str" cm="1">
        <f t="array" ref="A68">IF(I68="","",IF(P68&lt;&gt;"",SUMPRODUCT((P$3:P$100&lt;&gt;"")*(G$3:G$100=G68)*(J$3:J$100&gt;J68)*(I$3:I$100="P"))+1,IF(O68&lt;&gt;"",SUMPRODUCT((O$3:O$100&lt;&gt;"")*(P$3:P$100="")*(G$3:G$100=G68)*(J$3:J$100&gt;J68)*(I$3:I$100="P"))+SUMPRODUCT((P$3:P$100&lt;&gt;"")*(G$3:G$100=G68)*(I$3:I$100="P"))+1,IF(N68&lt;&gt;"",SUMPRODUCT((N$3:N$100&lt;&gt;"")*(G$3:G$100=G68)*(J$3:J$100&gt;J68)*(I$3:I$100="P"))+1,IF(M68="P",SUMPRODUCT((O$3:O$100&lt;&gt;"")*(P$3:P$100="")*(G$3:G$100=G68)*(I$3:I$100="P"))+SUMPRODUCT((P$3:P$100&lt;&gt;"")*(G$3:G$100=G68)*(I$3:I$100="P"))+SUMPRODUCT((N$3:N$100&lt;&gt;"")*(G$3:G$100=G68)*(I$3:I$100="P"))+SUMPRODUCT((P$3:P$100="")*(O$3:O$100="")*(N$3:N$100="")*(M$3:M$100="P")*(G$3:G$100=G68)*(J$3:J$100&gt;J68)*(I$3:I$100="P"))+IF(H68="L5",SUMPRODUCT((P$3:P$100="")*(O$3:O$100="")*(N$3:N$100="")*(M$3:M$100="P")*(G$3:G$100=G68)*(J$3:J$100&lt;J68)*(H$3:H$100&lt;&gt;H68)*(I$3:I$100="P")),-1*SUMPRODUCT((P$3:P$100="")*(O$3:O$100="")*(N$3:N$100="")*(M$3:M$100="P")*(G$3:G$100=G68)*(J$3:J$100&gt;J68)*(H$3:H$100="L5")*(I$3:I$100="P")))+1,"")))))</f>
        <v/>
      </c>
      <c r="B68" s="1" cm="1">
        <f t="array" ref="B68">IF(P68&lt;&gt;"",SUMPRODUCT((P$3:P$100&lt;&gt;"")*(G$3:G$100=G68)*(J$3:J$100&gt;J68))+1,IF(O68&lt;&gt;"",SUMPRODUCT((O$3:O$100&lt;&gt;"")*(P$3:P$100="")*(G$3:G$100=G68)*(J$3:J$100&gt;J68))+SUMPRODUCT((P$3:P$100&lt;&gt;"")*(G$3:G$100=G68))+1,IF(N68&lt;&gt;"",SUMPRODUCT((N$3:N$100&lt;&gt;"")*(G$3:G$100=G68)*(J$3:J$100&gt;J68))+1,IF(M68="P",SUMPRODUCT((O$3:O$100&lt;&gt;"")*(P$3:P$100="")*(G$3:G$100=G68))+SUMPRODUCT((P$3:P$100&lt;&gt;"")*(G$3:G$100=G68))+SUMPRODUCT((N$3:N$100&lt;&gt;"")*(G$3:G$100=G68))+SUMPRODUCT((P$3:P$100="")*(O$3:O$100="")*(N$3:N$100="")*(M$3:M$100="P")*(G$3:G$100=G68)*(J$3:J$100&gt;J68))+IF(H68="L5",SUMPRODUCT((P$3:P$100="")*(O$3:O$100="")*(N$3:N$100="")*(M$3:M$100="P")*(G$3:G$100=G68)*(J$3:J$100&lt;J68)*(H$3:H$100&lt;&gt;H68)),-1*SUMPRODUCT((P$3:P$100="")*(O$3:O$100="")*(N$3:N$100="")*(M$3:M$100="P")*(G$3:G$100=G68)*(J$3:J$100&gt;J68)*(H$3:H$100="L5")))+1,""))))</f>
        <v>9</v>
      </c>
      <c r="C68" s="36" t="s">
        <v>263</v>
      </c>
      <c r="D68" s="36" t="str">
        <f>IF(E68="","",VLOOKUP(E68,'Coaching Points'!A:B,2,0))</f>
        <v>BC</v>
      </c>
      <c r="E68" s="36" t="s">
        <v>41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8"/>
        <v>91.500004750000002</v>
      </c>
      <c r="K68" s="3" t="str">
        <f>IF(G68="Not Age Eligible","",IF(MAX(T68,V68,X68,Z68)&gt;=LOOKUP(G68,'Qualifying Scores'!$A$4:$A$7,'Qualifying Scores'!$F$4:$F$7),"P",""))</f>
        <v>P</v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>P</v>
      </c>
      <c r="Q68" s="1" t="str">
        <f t="shared" si="9"/>
        <v/>
      </c>
      <c r="R68" s="4">
        <f t="shared" si="10"/>
        <v>47.5</v>
      </c>
      <c r="S68" s="4">
        <f t="shared" si="11"/>
        <v>44</v>
      </c>
      <c r="T68" s="33">
        <v>44</v>
      </c>
      <c r="U68" s="40">
        <v>7.9</v>
      </c>
      <c r="V68" s="34">
        <v>42</v>
      </c>
      <c r="W68" s="40">
        <v>6.6999999999999993</v>
      </c>
      <c r="X68" s="33">
        <v>47.5</v>
      </c>
      <c r="Y68" s="40">
        <v>11.6</v>
      </c>
      <c r="Z68" s="34">
        <v>43.5</v>
      </c>
      <c r="AA68" s="37">
        <v>8.9</v>
      </c>
    </row>
    <row r="69" spans="1:27" x14ac:dyDescent="0.2">
      <c r="A69" s="1" t="str" cm="1">
        <f t="array" ref="A69">IF(I69="","",IF(P69&lt;&gt;"",SUMPRODUCT((P$3:P$100&lt;&gt;"")*(G$3:G$100=G69)*(J$3:J$100&gt;J69)*(I$3:I$100="P"))+1,IF(O69&lt;&gt;"",SUMPRODUCT((O$3:O$100&lt;&gt;"")*(P$3:P$100="")*(G$3:G$100=G69)*(J$3:J$100&gt;J69)*(I$3:I$100="P"))+SUMPRODUCT((P$3:P$100&lt;&gt;"")*(G$3:G$100=G69)*(I$3:I$100="P"))+1,IF(N69&lt;&gt;"",SUMPRODUCT((N$3:N$100&lt;&gt;"")*(G$3:G$100=G69)*(J$3:J$100&gt;J69)*(I$3:I$100="P"))+1,IF(M69="P",SUMPRODUCT((O$3:O$100&lt;&gt;"")*(P$3:P$100="")*(G$3:G$100=G69)*(I$3:I$100="P"))+SUMPRODUCT((P$3:P$100&lt;&gt;"")*(G$3:G$100=G69)*(I$3:I$100="P"))+SUMPRODUCT((N$3:N$100&lt;&gt;"")*(G$3:G$100=G69)*(I$3:I$100="P"))+SUMPRODUCT((P$3:P$100="")*(O$3:O$100="")*(N$3:N$100="")*(M$3:M$100="P")*(G$3:G$100=G69)*(J$3:J$100&gt;J69)*(I$3:I$100="P"))+IF(H69="L5",SUMPRODUCT((P$3:P$100="")*(O$3:O$100="")*(N$3:N$100="")*(M$3:M$100="P")*(G$3:G$100=G69)*(J$3:J$100&lt;J69)*(H$3:H$100&lt;&gt;H69)*(I$3:I$100="P")),-1*SUMPRODUCT((P$3:P$100="")*(O$3:O$100="")*(N$3:N$100="")*(M$3:M$100="P")*(G$3:G$100=G69)*(J$3:J$100&gt;J69)*(H$3:H$100="L5")*(I$3:I$100="P")))+1,"")))))</f>
        <v/>
      </c>
      <c r="B69" s="1" t="str" cm="1">
        <f t="array" ref="B69">IF(P69&lt;&gt;"",SUMPRODUCT((P$3:P$100&lt;&gt;"")*(G$3:G$100=G69)*(J$3:J$100&gt;J69))+1,IF(O69&lt;&gt;"",SUMPRODUCT((O$3:O$100&lt;&gt;"")*(P$3:P$100="")*(G$3:G$100=G69)*(J$3:J$100&gt;J69))+SUMPRODUCT((P$3:P$100&lt;&gt;"")*(G$3:G$100=G69))+1,IF(N69&lt;&gt;"",SUMPRODUCT((N$3:N$100&lt;&gt;"")*(G$3:G$100=G69)*(J$3:J$100&gt;J69))+1,IF(M69="P",SUMPRODUCT((O$3:O$100&lt;&gt;"")*(P$3:P$100="")*(G$3:G$100=G69))+SUMPRODUCT((P$3:P$100&lt;&gt;"")*(G$3:G$100=G69))+SUMPRODUCT((N$3:N$100&lt;&gt;"")*(G$3:G$100=G69))+SUMPRODUCT((P$3:P$100="")*(O$3:O$100="")*(N$3:N$100="")*(M$3:M$100="P")*(G$3:G$100=G69)*(J$3:J$100&gt;J69))+IF(H69="L5",SUMPRODUCT((P$3:P$100="")*(O$3:O$100="")*(N$3:N$100="")*(M$3:M$100="P")*(G$3:G$100=G69)*(J$3:J$100&lt;J69)*(H$3:H$100&lt;&gt;H69)),-1*SUMPRODUCT((P$3:P$100="")*(O$3:O$100="")*(N$3:N$100="")*(M$3:M$100="P")*(G$3:G$100=G69)*(J$3:J$100&gt;J69)*(H$3:H$100="L5")))+1,""))))</f>
        <v/>
      </c>
      <c r="C69" s="36" t="s">
        <v>163</v>
      </c>
      <c r="D69" s="36" t="str">
        <f>IF(E69="","",VLOOKUP(E69,'Coaching Points'!A:B,2,0))</f>
        <v>AB</v>
      </c>
      <c r="E69" s="36" t="s">
        <v>64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 t="shared" si="8"/>
        <v>92.300104630000007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 t="shared" si="9"/>
        <v/>
      </c>
      <c r="R69" s="4">
        <f t="shared" si="10"/>
        <v>46.3</v>
      </c>
      <c r="S69" s="4">
        <f t="shared" si="11"/>
        <v>46</v>
      </c>
      <c r="T69" s="33">
        <v>46</v>
      </c>
      <c r="U69" s="40">
        <v>8.3000000000000007</v>
      </c>
      <c r="V69" s="34">
        <v>43.4</v>
      </c>
      <c r="W69" s="40">
        <v>7.4</v>
      </c>
      <c r="X69" s="33">
        <v>46.3</v>
      </c>
      <c r="Y69" s="40">
        <v>8.3000000000000007</v>
      </c>
      <c r="Z69" s="34">
        <v>44.2</v>
      </c>
      <c r="AA69" s="37">
        <v>7.4</v>
      </c>
    </row>
    <row r="70" spans="1:27" x14ac:dyDescent="0.2">
      <c r="A70" s="1" t="str" cm="1">
        <f t="array" ref="A70">IF(I70="","",IF(P70&lt;&gt;"",SUMPRODUCT((P$3:P$100&lt;&gt;"")*(G$3:G$100=G70)*(J$3:J$100&gt;J70)*(I$3:I$100="P"))+1,IF(O70&lt;&gt;"",SUMPRODUCT((O$3:O$100&lt;&gt;"")*(P$3:P$100="")*(G$3:G$100=G70)*(J$3:J$100&gt;J70)*(I$3:I$100="P"))+SUMPRODUCT((P$3:P$100&lt;&gt;"")*(G$3:G$100=G70)*(I$3:I$100="P"))+1,IF(N70&lt;&gt;"",SUMPRODUCT((N$3:N$100&lt;&gt;"")*(G$3:G$100=G70)*(J$3:J$100&gt;J70)*(I$3:I$100="P"))+1,IF(M70="P",SUMPRODUCT((O$3:O$100&lt;&gt;"")*(P$3:P$100="")*(G$3:G$100=G70)*(I$3:I$100="P"))+SUMPRODUCT((P$3:P$100&lt;&gt;"")*(G$3:G$100=G70)*(I$3:I$100="P"))+SUMPRODUCT((N$3:N$100&lt;&gt;"")*(G$3:G$100=G70)*(I$3:I$100="P"))+SUMPRODUCT((P$3:P$100="")*(O$3:O$100="")*(N$3:N$100="")*(M$3:M$100="P")*(G$3:G$100=G70)*(J$3:J$100&gt;J70)*(I$3:I$100="P"))+IF(H70="L5",SUMPRODUCT((P$3:P$100="")*(O$3:O$100="")*(N$3:N$100="")*(M$3:M$100="P")*(G$3:G$100=G70)*(J$3:J$100&lt;J70)*(H$3:H$100&lt;&gt;H70)*(I$3:I$100="P")),-1*SUMPRODUCT((P$3:P$100="")*(O$3:O$100="")*(N$3:N$100="")*(M$3:M$100="P")*(G$3:G$100=G70)*(J$3:J$100&gt;J70)*(H$3:H$100="L5")*(I$3:I$100="P")))+1,"")))))</f>
        <v/>
      </c>
      <c r="B70" s="1" t="str" cm="1">
        <f t="array" ref="B70">IF(P70&lt;&gt;"",SUMPRODUCT((P$3:P$100&lt;&gt;"")*(G$3:G$100=G70)*(J$3:J$100&gt;J70))+1,IF(O70&lt;&gt;"",SUMPRODUCT((O$3:O$100&lt;&gt;"")*(P$3:P$100="")*(G$3:G$100=G70)*(J$3:J$100&gt;J70))+SUMPRODUCT((P$3:P$100&lt;&gt;"")*(G$3:G$100=G70))+1,IF(N70&lt;&gt;"",SUMPRODUCT((N$3:N$100&lt;&gt;"")*(G$3:G$100=G70)*(J$3:J$100&gt;J70))+1,IF(M70="P",SUMPRODUCT((O$3:O$100&lt;&gt;"")*(P$3:P$100="")*(G$3:G$100=G70))+SUMPRODUCT((P$3:P$100&lt;&gt;"")*(G$3:G$100=G70))+SUMPRODUCT((N$3:N$100&lt;&gt;"")*(G$3:G$100=G70))+SUMPRODUCT((P$3:P$100="")*(O$3:O$100="")*(N$3:N$100="")*(M$3:M$100="P")*(G$3:G$100=G70)*(J$3:J$100&gt;J70))+IF(H70="L5",SUMPRODUCT((P$3:P$100="")*(O$3:O$100="")*(N$3:N$100="")*(M$3:M$100="P")*(G$3:G$100=G70)*(J$3:J$100&lt;J70)*(H$3:H$100&lt;&gt;H70)),-1*SUMPRODUCT((P$3:P$100="")*(O$3:O$100="")*(N$3:N$100="")*(M$3:M$100="P")*(G$3:G$100=G70)*(J$3:J$100&gt;J70)*(H$3:H$100="L5")))+1,""))))</f>
        <v/>
      </c>
      <c r="C70" s="36" t="s">
        <v>80</v>
      </c>
      <c r="D70" s="36" t="str">
        <f>IF(E70="","",VLOOKUP(E70,'Coaching Points'!A:B,2,0))</f>
        <v>QC</v>
      </c>
      <c r="E70" s="36" t="s">
        <v>3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91.700099999999992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 t="shared" si="9"/>
        <v/>
      </c>
      <c r="R70" s="4">
        <f t="shared" si="10"/>
        <v>46.4</v>
      </c>
      <c r="S70" s="4">
        <f t="shared" si="11"/>
        <v>45.3</v>
      </c>
      <c r="T70" s="33">
        <v>46.4</v>
      </c>
      <c r="U70" s="40">
        <v>9.5</v>
      </c>
      <c r="V70" s="34">
        <v>45.3</v>
      </c>
      <c r="W70" s="40">
        <v>8.6999999999999993</v>
      </c>
      <c r="X70" s="33"/>
      <c r="Y70" s="40"/>
      <c r="Z70" s="34"/>
      <c r="AA70" s="37"/>
    </row>
    <row r="71" spans="1:27" x14ac:dyDescent="0.2">
      <c r="A71" s="1" t="str" cm="1">
        <f t="array" ref="A71">IF(I71="","",IF(P71&lt;&gt;"",SUMPRODUCT((P$3:P$100&lt;&gt;"")*(G$3:G$100=G71)*(J$3:J$100&gt;J71)*(I$3:I$100="P"))+1,IF(O71&lt;&gt;"",SUMPRODUCT((O$3:O$100&lt;&gt;"")*(P$3:P$100="")*(G$3:G$100=G71)*(J$3:J$100&gt;J71)*(I$3:I$100="P"))+SUMPRODUCT((P$3:P$100&lt;&gt;"")*(G$3:G$100=G71)*(I$3:I$100="P"))+1,IF(N71&lt;&gt;"",SUMPRODUCT((N$3:N$100&lt;&gt;"")*(G$3:G$100=G71)*(J$3:J$100&gt;J71)*(I$3:I$100="P"))+1,IF(M71="P",SUMPRODUCT((O$3:O$100&lt;&gt;"")*(P$3:P$100="")*(G$3:G$100=G71)*(I$3:I$100="P"))+SUMPRODUCT((P$3:P$100&lt;&gt;"")*(G$3:G$100=G71)*(I$3:I$100="P"))+SUMPRODUCT((N$3:N$100&lt;&gt;"")*(G$3:G$100=G71)*(I$3:I$100="P"))+SUMPRODUCT((P$3:P$100="")*(O$3:O$100="")*(N$3:N$100="")*(M$3:M$100="P")*(G$3:G$100=G71)*(J$3:J$100&gt;J71)*(I$3:I$100="P"))+IF(H71="L5",SUMPRODUCT((P$3:P$100="")*(O$3:O$100="")*(N$3:N$100="")*(M$3:M$100="P")*(G$3:G$100=G71)*(J$3:J$100&lt;J71)*(H$3:H$100&lt;&gt;H71)*(I$3:I$100="P")),-1*SUMPRODUCT((P$3:P$100="")*(O$3:O$100="")*(N$3:N$100="")*(M$3:M$100="P")*(G$3:G$100=G71)*(J$3:J$100&gt;J71)*(H$3:H$100="L5")*(I$3:I$100="P")))+1,"")))))</f>
        <v/>
      </c>
      <c r="B71" s="1" t="str" cm="1">
        <f t="array" ref="B71">IF(P71&lt;&gt;"",SUMPRODUCT((P$3:P$100&lt;&gt;"")*(G$3:G$100=G71)*(J$3:J$100&gt;J71))+1,IF(O71&lt;&gt;"",SUMPRODUCT((O$3:O$100&lt;&gt;"")*(P$3:P$100="")*(G$3:G$100=G71)*(J$3:J$100&gt;J71))+SUMPRODUCT((P$3:P$100&lt;&gt;"")*(G$3:G$100=G71))+1,IF(N71&lt;&gt;"",SUMPRODUCT((N$3:N$100&lt;&gt;"")*(G$3:G$100=G71)*(J$3:J$100&gt;J71))+1,IF(M71="P",SUMPRODUCT((O$3:O$100&lt;&gt;"")*(P$3:P$100="")*(G$3:G$100=G71))+SUMPRODUCT((P$3:P$100&lt;&gt;"")*(G$3:G$100=G71))+SUMPRODUCT((N$3:N$100&lt;&gt;"")*(G$3:G$100=G71))+SUMPRODUCT((P$3:P$100="")*(O$3:O$100="")*(N$3:N$100="")*(M$3:M$100="P")*(G$3:G$100=G71)*(J$3:J$100&gt;J71))+IF(H71="L5",SUMPRODUCT((P$3:P$100="")*(O$3:O$100="")*(N$3:N$100="")*(M$3:M$100="P")*(G$3:G$100=G71)*(J$3:J$100&lt;J71)*(H$3:H$100&lt;&gt;H71)),-1*SUMPRODUCT((P$3:P$100="")*(O$3:O$100="")*(N$3:N$100="")*(M$3:M$100="P")*(G$3:G$100=G71)*(J$3:J$100&gt;J71)*(H$3:H$100="L5")))+1,""))))</f>
        <v/>
      </c>
      <c r="C71" s="36" t="s">
        <v>265</v>
      </c>
      <c r="D71" s="36" t="str">
        <f>IF(E71="","",VLOOKUP(E71,'Coaching Points'!A:B,2,0))</f>
        <v>MB</v>
      </c>
      <c r="E71" s="36" t="s">
        <v>69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8"/>
        <v>91.400004640000006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 t="shared" si="9"/>
        <v/>
      </c>
      <c r="R71" s="4">
        <f t="shared" si="10"/>
        <v>46.4</v>
      </c>
      <c r="S71" s="4">
        <f t="shared" si="11"/>
        <v>45</v>
      </c>
      <c r="T71" s="33">
        <v>45</v>
      </c>
      <c r="U71" s="40">
        <v>8.1000000000000014</v>
      </c>
      <c r="V71" s="34">
        <v>43.6</v>
      </c>
      <c r="W71" s="40">
        <v>5.8000000000000007</v>
      </c>
      <c r="X71" s="33">
        <v>46.4</v>
      </c>
      <c r="Y71" s="40">
        <v>10.8</v>
      </c>
      <c r="Z71" s="34">
        <v>40.5</v>
      </c>
      <c r="AA71" s="37">
        <v>5.6000000000000005</v>
      </c>
    </row>
    <row r="72" spans="1:27" x14ac:dyDescent="0.2">
      <c r="A72" s="1" t="str" cm="1">
        <f t="array" ref="A72">IF(I72="","",IF(P72&lt;&gt;"",SUMPRODUCT((P$3:P$100&lt;&gt;"")*(G$3:G$100=G72)*(J$3:J$100&gt;J72)*(I$3:I$100="P"))+1,IF(O72&lt;&gt;"",SUMPRODUCT((O$3:O$100&lt;&gt;"")*(P$3:P$100="")*(G$3:G$100=G72)*(J$3:J$100&gt;J72)*(I$3:I$100="P"))+SUMPRODUCT((P$3:P$100&lt;&gt;"")*(G$3:G$100=G72)*(I$3:I$100="P"))+1,IF(N72&lt;&gt;"",SUMPRODUCT((N$3:N$100&lt;&gt;"")*(G$3:G$100=G72)*(J$3:J$100&gt;J72)*(I$3:I$100="P"))+1,IF(M72="P",SUMPRODUCT((O$3:O$100&lt;&gt;"")*(P$3:P$100="")*(G$3:G$100=G72)*(I$3:I$100="P"))+SUMPRODUCT((P$3:P$100&lt;&gt;"")*(G$3:G$100=G72)*(I$3:I$100="P"))+SUMPRODUCT((N$3:N$100&lt;&gt;"")*(G$3:G$100=G72)*(I$3:I$100="P"))+SUMPRODUCT((P$3:P$100="")*(O$3:O$100="")*(N$3:N$100="")*(M$3:M$100="P")*(G$3:G$100=G72)*(J$3:J$100&gt;J72)*(I$3:I$100="P"))+IF(H72="L5",SUMPRODUCT((P$3:P$100="")*(O$3:O$100="")*(N$3:N$100="")*(M$3:M$100="P")*(G$3:G$100=G72)*(J$3:J$100&lt;J72)*(H$3:H$100&lt;&gt;H72)*(I$3:I$100="P")),-1*SUMPRODUCT((P$3:P$100="")*(O$3:O$100="")*(N$3:N$100="")*(M$3:M$100="P")*(G$3:G$100=G72)*(J$3:J$100&gt;J72)*(H$3:H$100="L5")*(I$3:I$100="P")))+1,"")))))</f>
        <v/>
      </c>
      <c r="B72" s="1" t="str" cm="1">
        <f t="array" ref="B72">IF(P72&lt;&gt;"",SUMPRODUCT((P$3:P$100&lt;&gt;"")*(G$3:G$100=G72)*(J$3:J$100&gt;J72))+1,IF(O72&lt;&gt;"",SUMPRODUCT((O$3:O$100&lt;&gt;"")*(P$3:P$100="")*(G$3:G$100=G72)*(J$3:J$100&gt;J72))+SUMPRODUCT((P$3:P$100&lt;&gt;"")*(G$3:G$100=G72))+1,IF(N72&lt;&gt;"",SUMPRODUCT((N$3:N$100&lt;&gt;"")*(G$3:G$100=G72)*(J$3:J$100&gt;J72))+1,IF(M72="P",SUMPRODUCT((O$3:O$100&lt;&gt;"")*(P$3:P$100="")*(G$3:G$100=G72))+SUMPRODUCT((P$3:P$100&lt;&gt;"")*(G$3:G$100=G72))+SUMPRODUCT((N$3:N$100&lt;&gt;"")*(G$3:G$100=G72))+SUMPRODUCT((P$3:P$100="")*(O$3:O$100="")*(N$3:N$100="")*(M$3:M$100="P")*(G$3:G$100=G72)*(J$3:J$100&gt;J72))+IF(H72="L5",SUMPRODUCT((P$3:P$100="")*(O$3:O$100="")*(N$3:N$100="")*(M$3:M$100="P")*(G$3:G$100=G72)*(J$3:J$100&lt;J72)*(H$3:H$100&lt;&gt;H72)),-1*SUMPRODUCT((P$3:P$100="")*(O$3:O$100="")*(N$3:N$100="")*(M$3:M$100="P")*(G$3:G$100=G72)*(J$3:J$100&gt;J72)*(H$3:H$100="L5")))+1,""))))</f>
        <v/>
      </c>
      <c r="C72" s="36" t="s">
        <v>501</v>
      </c>
      <c r="D72" s="36" t="str">
        <f>IF(E72="","",VLOOKUP(E72,'Coaching Points'!A:B,2,0))</f>
        <v>BC</v>
      </c>
      <c r="E72" s="36" t="s">
        <v>443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8"/>
        <v>90.200104620000005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>P</v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 t="shared" si="9"/>
        <v/>
      </c>
      <c r="R72" s="4">
        <f t="shared" si="10"/>
        <v>46.2</v>
      </c>
      <c r="S72" s="4">
        <f t="shared" si="11"/>
        <v>44</v>
      </c>
      <c r="T72" s="33"/>
      <c r="U72" s="40"/>
      <c r="V72" s="34"/>
      <c r="W72" s="40"/>
      <c r="X72" s="33">
        <v>46.2</v>
      </c>
      <c r="Y72" s="40">
        <v>11.2</v>
      </c>
      <c r="Z72" s="34">
        <v>44</v>
      </c>
      <c r="AA72" s="37">
        <v>7.8</v>
      </c>
    </row>
    <row r="73" spans="1:27" x14ac:dyDescent="0.2">
      <c r="A73" s="1" t="str" cm="1">
        <f t="array" ref="A73">IF(I73="","",IF(P73&lt;&gt;"",SUMPRODUCT((P$3:P$100&lt;&gt;"")*(G$3:G$100=G73)*(J$3:J$100&gt;J73)*(I$3:I$100="P"))+1,IF(O73&lt;&gt;"",SUMPRODUCT((O$3:O$100&lt;&gt;"")*(P$3:P$100="")*(G$3:G$100=G73)*(J$3:J$100&gt;J73)*(I$3:I$100="P"))+SUMPRODUCT((P$3:P$100&lt;&gt;"")*(G$3:G$100=G73)*(I$3:I$100="P"))+1,IF(N73&lt;&gt;"",SUMPRODUCT((N$3:N$100&lt;&gt;"")*(G$3:G$100=G73)*(J$3:J$100&gt;J73)*(I$3:I$100="P"))+1,IF(M73="P",SUMPRODUCT((O$3:O$100&lt;&gt;"")*(P$3:P$100="")*(G$3:G$100=G73)*(I$3:I$100="P"))+SUMPRODUCT((P$3:P$100&lt;&gt;"")*(G$3:G$100=G73)*(I$3:I$100="P"))+SUMPRODUCT((N$3:N$100&lt;&gt;"")*(G$3:G$100=G73)*(I$3:I$100="P"))+SUMPRODUCT((P$3:P$100="")*(O$3:O$100="")*(N$3:N$100="")*(M$3:M$100="P")*(G$3:G$100=G73)*(J$3:J$100&gt;J73)*(I$3:I$100="P"))+IF(H73="L5",SUMPRODUCT((P$3:P$100="")*(O$3:O$100="")*(N$3:N$100="")*(M$3:M$100="P")*(G$3:G$100=G73)*(J$3:J$100&lt;J73)*(H$3:H$100&lt;&gt;H73)*(I$3:I$100="P")),-1*SUMPRODUCT((P$3:P$100="")*(O$3:O$100="")*(N$3:N$100="")*(M$3:M$100="P")*(G$3:G$100=G73)*(J$3:J$100&gt;J73)*(H$3:H$100="L5")*(I$3:I$100="P")))+1,"")))))</f>
        <v/>
      </c>
      <c r="B73" s="1" t="str" cm="1">
        <f t="array" ref="B73">IF(P73&lt;&gt;"",SUMPRODUCT((P$3:P$100&lt;&gt;"")*(G$3:G$100=G73)*(J$3:J$100&gt;J73))+1,IF(O73&lt;&gt;"",SUMPRODUCT((O$3:O$100&lt;&gt;"")*(P$3:P$100="")*(G$3:G$100=G73)*(J$3:J$100&gt;J73))+SUMPRODUCT((P$3:P$100&lt;&gt;"")*(G$3:G$100=G73))+1,IF(N73&lt;&gt;"",SUMPRODUCT((N$3:N$100&lt;&gt;"")*(G$3:G$100=G73)*(J$3:J$100&gt;J73))+1,IF(M73="P",SUMPRODUCT((O$3:O$100&lt;&gt;"")*(P$3:P$100="")*(G$3:G$100=G73))+SUMPRODUCT((P$3:P$100&lt;&gt;"")*(G$3:G$100=G73))+SUMPRODUCT((N$3:N$100&lt;&gt;"")*(G$3:G$100=G73))+SUMPRODUCT((P$3:P$100="")*(O$3:O$100="")*(N$3:N$100="")*(M$3:M$100="P")*(G$3:G$100=G73)*(J$3:J$100&gt;J73))+IF(H73="L5",SUMPRODUCT((P$3:P$100="")*(O$3:O$100="")*(N$3:N$100="")*(M$3:M$100="P")*(G$3:G$100=G73)*(J$3:J$100&lt;J73)*(H$3:H$100&lt;&gt;H73)),-1*SUMPRODUCT((P$3:P$100="")*(O$3:O$100="")*(N$3:N$100="")*(M$3:M$100="P")*(G$3:G$100=G73)*(J$3:J$100&gt;J73)*(H$3:H$100="L5")))+1,""))))</f>
        <v/>
      </c>
      <c r="C73" s="36" t="s">
        <v>223</v>
      </c>
      <c r="D73" s="36" t="str">
        <f>IF(E73="","",VLOOKUP(E73,'Coaching Points'!A:B,2,0))</f>
        <v>SK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/>
      <c r="J73" s="4">
        <f t="shared" si="8"/>
        <v>89.800104520000019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 t="shared" si="9"/>
        <v/>
      </c>
      <c r="R73" s="4">
        <f t="shared" si="10"/>
        <v>45.2</v>
      </c>
      <c r="S73" s="4">
        <f t="shared" si="11"/>
        <v>44.6</v>
      </c>
      <c r="T73" s="33">
        <v>44</v>
      </c>
      <c r="U73" s="40">
        <v>7.1</v>
      </c>
      <c r="V73" s="34">
        <v>44.2</v>
      </c>
      <c r="W73" s="40">
        <v>7.2</v>
      </c>
      <c r="X73" s="33">
        <v>45.2</v>
      </c>
      <c r="Y73" s="40">
        <v>9.6</v>
      </c>
      <c r="Z73" s="34">
        <v>44.6</v>
      </c>
      <c r="AA73" s="37">
        <v>7.7</v>
      </c>
    </row>
    <row r="74" spans="1:27" x14ac:dyDescent="0.2">
      <c r="A74" s="1" t="str" cm="1">
        <f t="array" ref="A74">IF(I74="","",IF(P74&lt;&gt;"",SUMPRODUCT((P$3:P$100&lt;&gt;"")*(G$3:G$100=G74)*(J$3:J$100&gt;J74)*(I$3:I$100="P"))+1,IF(O74&lt;&gt;"",SUMPRODUCT((O$3:O$100&lt;&gt;"")*(P$3:P$100="")*(G$3:G$100=G74)*(J$3:J$100&gt;J74)*(I$3:I$100="P"))+SUMPRODUCT((P$3:P$100&lt;&gt;"")*(G$3:G$100=G74)*(I$3:I$100="P"))+1,IF(N74&lt;&gt;"",SUMPRODUCT((N$3:N$100&lt;&gt;"")*(G$3:G$100=G74)*(J$3:J$100&gt;J74)*(I$3:I$100="P"))+1,IF(M74="P",SUMPRODUCT((O$3:O$100&lt;&gt;"")*(P$3:P$100="")*(G$3:G$100=G74)*(I$3:I$100="P"))+SUMPRODUCT((P$3:P$100&lt;&gt;"")*(G$3:G$100=G74)*(I$3:I$100="P"))+SUMPRODUCT((N$3:N$100&lt;&gt;"")*(G$3:G$100=G74)*(I$3:I$100="P"))+SUMPRODUCT((P$3:P$100="")*(O$3:O$100="")*(N$3:N$100="")*(M$3:M$100="P")*(G$3:G$100=G74)*(J$3:J$100&gt;J74)*(I$3:I$100="P"))+IF(H74="L5",SUMPRODUCT((P$3:P$100="")*(O$3:O$100="")*(N$3:N$100="")*(M$3:M$100="P")*(G$3:G$100=G74)*(J$3:J$100&lt;J74)*(H$3:H$100&lt;&gt;H74)*(I$3:I$100="P")),-1*SUMPRODUCT((P$3:P$100="")*(O$3:O$100="")*(N$3:N$100="")*(M$3:M$100="P")*(G$3:G$100=G74)*(J$3:J$100&gt;J74)*(H$3:H$100="L5")*(I$3:I$100="P")))+1,"")))))</f>
        <v/>
      </c>
      <c r="B74" s="1" t="str" cm="1">
        <f t="array" ref="B74">IF(P74&lt;&gt;"",SUMPRODUCT((P$3:P$100&lt;&gt;"")*(G$3:G$100=G74)*(J$3:J$100&gt;J74))+1,IF(O74&lt;&gt;"",SUMPRODUCT((O$3:O$100&lt;&gt;"")*(P$3:P$100="")*(G$3:G$100=G74)*(J$3:J$100&gt;J74))+SUMPRODUCT((P$3:P$100&lt;&gt;"")*(G$3:G$100=G74))+1,IF(N74&lt;&gt;"",SUMPRODUCT((N$3:N$100&lt;&gt;"")*(G$3:G$100=G74)*(J$3:J$100&gt;J74))+1,IF(M74="P",SUMPRODUCT((O$3:O$100&lt;&gt;"")*(P$3:P$100="")*(G$3:G$100=G74))+SUMPRODUCT((P$3:P$100&lt;&gt;"")*(G$3:G$100=G74))+SUMPRODUCT((N$3:N$100&lt;&gt;"")*(G$3:G$100=G74))+SUMPRODUCT((P$3:P$100="")*(O$3:O$100="")*(N$3:N$100="")*(M$3:M$100="P")*(G$3:G$100=G74)*(J$3:J$100&gt;J74))+IF(H74="L5",SUMPRODUCT((P$3:P$100="")*(O$3:O$100="")*(N$3:N$100="")*(M$3:M$100="P")*(G$3:G$100=G74)*(J$3:J$100&lt;J74)*(H$3:H$100&lt;&gt;H74)),-1*SUMPRODUCT((P$3:P$100="")*(O$3:O$100="")*(N$3:N$100="")*(M$3:M$100="P")*(G$3:G$100=G74)*(J$3:J$100&gt;J74)*(H$3:H$100="L5")))+1,""))))</f>
        <v/>
      </c>
      <c r="C74" s="36" t="s">
        <v>81</v>
      </c>
      <c r="D74" s="36" t="str">
        <f>IF(E74="","",VLOOKUP(E74,'Coaching Points'!A:B,2,0))</f>
        <v>ON</v>
      </c>
      <c r="E74" s="36" t="s">
        <v>47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89.700004489999984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 t="shared" si="9"/>
        <v/>
      </c>
      <c r="R74" s="4">
        <f t="shared" si="10"/>
        <v>44.8</v>
      </c>
      <c r="S74" s="4">
        <f t="shared" si="11"/>
        <v>44.9</v>
      </c>
      <c r="T74" s="33">
        <v>44.8</v>
      </c>
      <c r="U74" s="40">
        <v>7.1</v>
      </c>
      <c r="V74" s="34">
        <v>44.2</v>
      </c>
      <c r="W74" s="40">
        <v>6.9</v>
      </c>
      <c r="X74" s="33">
        <v>44.6</v>
      </c>
      <c r="Y74" s="40">
        <v>8.8000000000000007</v>
      </c>
      <c r="Z74" s="34">
        <v>44.9</v>
      </c>
      <c r="AA74" s="37">
        <v>7.1</v>
      </c>
    </row>
    <row r="75" spans="1:27" x14ac:dyDescent="0.2">
      <c r="A75" s="1" t="str" cm="1">
        <f t="array" ref="A75">IF(I75="","",IF(P75&lt;&gt;"",SUMPRODUCT((P$3:P$100&lt;&gt;"")*(G$3:G$100=G75)*(J$3:J$100&gt;J75)*(I$3:I$100="P"))+1,IF(O75&lt;&gt;"",SUMPRODUCT((O$3:O$100&lt;&gt;"")*(P$3:P$100="")*(G$3:G$100=G75)*(J$3:J$100&gt;J75)*(I$3:I$100="P"))+SUMPRODUCT((P$3:P$100&lt;&gt;"")*(G$3:G$100=G75)*(I$3:I$100="P"))+1,IF(N75&lt;&gt;"",SUMPRODUCT((N$3:N$100&lt;&gt;"")*(G$3:G$100=G75)*(J$3:J$100&gt;J75)*(I$3:I$100="P"))+1,IF(M75="P",SUMPRODUCT((O$3:O$100&lt;&gt;"")*(P$3:P$100="")*(G$3:G$100=G75)*(I$3:I$100="P"))+SUMPRODUCT((P$3:P$100&lt;&gt;"")*(G$3:G$100=G75)*(I$3:I$100="P"))+SUMPRODUCT((N$3:N$100&lt;&gt;"")*(G$3:G$100=G75)*(I$3:I$100="P"))+SUMPRODUCT((P$3:P$100="")*(O$3:O$100="")*(N$3:N$100="")*(M$3:M$100="P")*(G$3:G$100=G75)*(J$3:J$100&gt;J75)*(I$3:I$100="P"))+IF(H75="L5",SUMPRODUCT((P$3:P$100="")*(O$3:O$100="")*(N$3:N$100="")*(M$3:M$100="P")*(G$3:G$100=G75)*(J$3:J$100&lt;J75)*(H$3:H$100&lt;&gt;H75)*(I$3:I$100="P")),-1*SUMPRODUCT((P$3:P$100="")*(O$3:O$100="")*(N$3:N$100="")*(M$3:M$100="P")*(G$3:G$100=G75)*(J$3:J$100&gt;J75)*(H$3:H$100="L5")*(I$3:I$100="P")))+1,"")))))</f>
        <v/>
      </c>
      <c r="B75" s="1" t="str" cm="1">
        <f t="array" ref="B75">IF(P75&lt;&gt;"",SUMPRODUCT((P$3:P$100&lt;&gt;"")*(G$3:G$100=G75)*(J$3:J$100&gt;J75))+1,IF(O75&lt;&gt;"",SUMPRODUCT((O$3:O$100&lt;&gt;"")*(P$3:P$100="")*(G$3:G$100=G75)*(J$3:J$100&gt;J75))+SUMPRODUCT((P$3:P$100&lt;&gt;"")*(G$3:G$100=G75))+1,IF(N75&lt;&gt;"",SUMPRODUCT((N$3:N$100&lt;&gt;"")*(G$3:G$100=G75)*(J$3:J$100&gt;J75))+1,IF(M75="P",SUMPRODUCT((O$3:O$100&lt;&gt;"")*(P$3:P$100="")*(G$3:G$100=G75))+SUMPRODUCT((P$3:P$100&lt;&gt;"")*(G$3:G$100=G75))+SUMPRODUCT((N$3:N$100&lt;&gt;"")*(G$3:G$100=G75))+SUMPRODUCT((P$3:P$100="")*(O$3:O$100="")*(N$3:N$100="")*(M$3:M$100="P")*(G$3:G$100=G75)*(J$3:J$100&gt;J75))+IF(H75="L5",SUMPRODUCT((P$3:P$100="")*(O$3:O$100="")*(N$3:N$100="")*(M$3:M$100="P")*(G$3:G$100=G75)*(J$3:J$100&lt;J75)*(H$3:H$100&lt;&gt;H75)),-1*SUMPRODUCT((P$3:P$100="")*(O$3:O$100="")*(N$3:N$100="")*(M$3:M$100="P")*(G$3:G$100=G75)*(J$3:J$100&gt;J75)*(H$3:H$100="L5")))+1,""))))</f>
        <v/>
      </c>
      <c r="C75" s="36" t="s">
        <v>523</v>
      </c>
      <c r="D75" s="36" t="str">
        <f>IF(E75="","",VLOOKUP(E75,'Coaching Points'!A:B,2,0))</f>
        <v>SK</v>
      </c>
      <c r="E75" s="36" t="s">
        <v>573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89.300004529999995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 t="shared" si="9"/>
        <v/>
      </c>
      <c r="R75" s="4">
        <f t="shared" si="10"/>
        <v>44</v>
      </c>
      <c r="S75" s="4">
        <f t="shared" si="11"/>
        <v>45.3</v>
      </c>
      <c r="T75" s="33"/>
      <c r="U75" s="40"/>
      <c r="V75" s="34"/>
      <c r="W75" s="40"/>
      <c r="X75" s="33">
        <v>44</v>
      </c>
      <c r="Y75" s="40">
        <v>7.7</v>
      </c>
      <c r="Z75" s="34">
        <v>45.3</v>
      </c>
      <c r="AA75" s="37">
        <v>7.1</v>
      </c>
    </row>
    <row r="76" spans="1:27" x14ac:dyDescent="0.2">
      <c r="A76" s="1" t="str" cm="1">
        <f t="array" ref="A76">IF(I76="","",IF(P76&lt;&gt;"",SUMPRODUCT((P$3:P$100&lt;&gt;"")*(G$3:G$100=G76)*(J$3:J$100&gt;J76)*(I$3:I$100="P"))+1,IF(O76&lt;&gt;"",SUMPRODUCT((O$3:O$100&lt;&gt;"")*(P$3:P$100="")*(G$3:G$100=G76)*(J$3:J$100&gt;J76)*(I$3:I$100="P"))+SUMPRODUCT((P$3:P$100&lt;&gt;"")*(G$3:G$100=G76)*(I$3:I$100="P"))+1,IF(N76&lt;&gt;"",SUMPRODUCT((N$3:N$100&lt;&gt;"")*(G$3:G$100=G76)*(J$3:J$100&gt;J76)*(I$3:I$100="P"))+1,IF(M76="P",SUMPRODUCT((O$3:O$100&lt;&gt;"")*(P$3:P$100="")*(G$3:G$100=G76)*(I$3:I$100="P"))+SUMPRODUCT((P$3:P$100&lt;&gt;"")*(G$3:G$100=G76)*(I$3:I$100="P"))+SUMPRODUCT((N$3:N$100&lt;&gt;"")*(G$3:G$100=G76)*(I$3:I$100="P"))+SUMPRODUCT((P$3:P$100="")*(O$3:O$100="")*(N$3:N$100="")*(M$3:M$100="P")*(G$3:G$100=G76)*(J$3:J$100&gt;J76)*(I$3:I$100="P"))+IF(H76="L5",SUMPRODUCT((P$3:P$100="")*(O$3:O$100="")*(N$3:N$100="")*(M$3:M$100="P")*(G$3:G$100=G76)*(J$3:J$100&lt;J76)*(H$3:H$100&lt;&gt;H76)*(I$3:I$100="P")),-1*SUMPRODUCT((P$3:P$100="")*(O$3:O$100="")*(N$3:N$100="")*(M$3:M$100="P")*(G$3:G$100=G76)*(J$3:J$100&gt;J76)*(H$3:H$100="L5")*(I$3:I$100="P")))+1,"")))))</f>
        <v/>
      </c>
      <c r="B76" s="1" t="str" cm="1">
        <f t="array" ref="B76">IF(P76&lt;&gt;"",SUMPRODUCT((P$3:P$100&lt;&gt;"")*(G$3:G$100=G76)*(J$3:J$100&gt;J76))+1,IF(O76&lt;&gt;"",SUMPRODUCT((O$3:O$100&lt;&gt;"")*(P$3:P$100="")*(G$3:G$100=G76)*(J$3:J$100&gt;J76))+SUMPRODUCT((P$3:P$100&lt;&gt;"")*(G$3:G$100=G76))+1,IF(N76&lt;&gt;"",SUMPRODUCT((N$3:N$100&lt;&gt;"")*(G$3:G$100=G76)*(J$3:J$100&gt;J76))+1,IF(M76="P",SUMPRODUCT((O$3:O$100&lt;&gt;"")*(P$3:P$100="")*(G$3:G$100=G76))+SUMPRODUCT((P$3:P$100&lt;&gt;"")*(G$3:G$100=G76))+SUMPRODUCT((N$3:N$100&lt;&gt;"")*(G$3:G$100=G76))+SUMPRODUCT((P$3:P$100="")*(O$3:O$100="")*(N$3:N$100="")*(M$3:M$100="P")*(G$3:G$100=G76)*(J$3:J$100&gt;J76))+IF(H76="L5",SUMPRODUCT((P$3:P$100="")*(O$3:O$100="")*(N$3:N$100="")*(M$3:M$100="P")*(G$3:G$100=G76)*(J$3:J$100&lt;J76)*(H$3:H$100&lt;&gt;H76)),-1*SUMPRODUCT((P$3:P$100="")*(O$3:O$100="")*(N$3:N$100="")*(M$3:M$100="P")*(G$3:G$100=G76)*(J$3:J$100&gt;J76)*(H$3:H$100="L5")))+1,""))))</f>
        <v/>
      </c>
      <c r="C76" s="36" t="s">
        <v>218</v>
      </c>
      <c r="D76" s="36" t="str">
        <f>IF(E76="","",VLOOKUP(E76,'Coaching Points'!A:B,2,0))</f>
        <v>ON</v>
      </c>
      <c r="E76" s="36" t="s">
        <v>285</v>
      </c>
      <c r="F76" s="35">
        <v>2007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88.900004540000012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 t="shared" si="9"/>
        <v/>
      </c>
      <c r="R76" s="4">
        <f t="shared" si="10"/>
        <v>45.4</v>
      </c>
      <c r="S76" s="4">
        <f t="shared" si="11"/>
        <v>43.5</v>
      </c>
      <c r="T76" s="33">
        <v>41.9</v>
      </c>
      <c r="U76" s="40">
        <v>6.4</v>
      </c>
      <c r="V76" s="34">
        <v>42.9</v>
      </c>
      <c r="W76" s="40">
        <v>6.1</v>
      </c>
      <c r="X76" s="33">
        <v>45.4</v>
      </c>
      <c r="Y76" s="40">
        <v>7.8</v>
      </c>
      <c r="Z76" s="34">
        <v>43.5</v>
      </c>
      <c r="AA76" s="37">
        <v>6.3000000000000007</v>
      </c>
    </row>
    <row r="77" spans="1:27" x14ac:dyDescent="0.2">
      <c r="A77" s="1" t="str" cm="1">
        <f t="array" ref="A77">IF(I77="","",IF(P77&lt;&gt;"",SUMPRODUCT((P$3:P$100&lt;&gt;"")*(G$3:G$100=G77)*(J$3:J$100&gt;J77)*(I$3:I$100="P"))+1,IF(O77&lt;&gt;"",SUMPRODUCT((O$3:O$100&lt;&gt;"")*(P$3:P$100="")*(G$3:G$100=G77)*(J$3:J$100&gt;J77)*(I$3:I$100="P"))+SUMPRODUCT((P$3:P$100&lt;&gt;"")*(G$3:G$100=G77)*(I$3:I$100="P"))+1,IF(N77&lt;&gt;"",SUMPRODUCT((N$3:N$100&lt;&gt;"")*(G$3:G$100=G77)*(J$3:J$100&gt;J77)*(I$3:I$100="P"))+1,IF(M77="P",SUMPRODUCT((O$3:O$100&lt;&gt;"")*(P$3:P$100="")*(G$3:G$100=G77)*(I$3:I$100="P"))+SUMPRODUCT((P$3:P$100&lt;&gt;"")*(G$3:G$100=G77)*(I$3:I$100="P"))+SUMPRODUCT((N$3:N$100&lt;&gt;"")*(G$3:G$100=G77)*(I$3:I$100="P"))+SUMPRODUCT((P$3:P$100="")*(O$3:O$100="")*(N$3:N$100="")*(M$3:M$100="P")*(G$3:G$100=G77)*(J$3:J$100&gt;J77)*(I$3:I$100="P"))+IF(H77="L5",SUMPRODUCT((P$3:P$100="")*(O$3:O$100="")*(N$3:N$100="")*(M$3:M$100="P")*(G$3:G$100=G77)*(J$3:J$100&lt;J77)*(H$3:H$100&lt;&gt;H77)*(I$3:I$100="P")),-1*SUMPRODUCT((P$3:P$100="")*(O$3:O$100="")*(N$3:N$100="")*(M$3:M$100="P")*(G$3:G$100=G77)*(J$3:J$100&gt;J77)*(H$3:H$100="L5")*(I$3:I$100="P")))+1,"")))))</f>
        <v/>
      </c>
      <c r="B77" s="1" t="str" cm="1">
        <f t="array" ref="B77">IF(P77&lt;&gt;"",SUMPRODUCT((P$3:P$100&lt;&gt;"")*(G$3:G$100=G77)*(J$3:J$100&gt;J77))+1,IF(O77&lt;&gt;"",SUMPRODUCT((O$3:O$100&lt;&gt;"")*(P$3:P$100="")*(G$3:G$100=G77)*(J$3:J$100&gt;J77))+SUMPRODUCT((P$3:P$100&lt;&gt;"")*(G$3:G$100=G77))+1,IF(N77&lt;&gt;"",SUMPRODUCT((N$3:N$100&lt;&gt;"")*(G$3:G$100=G77)*(J$3:J$100&gt;J77))+1,IF(M77="P",SUMPRODUCT((O$3:O$100&lt;&gt;"")*(P$3:P$100="")*(G$3:G$100=G77))+SUMPRODUCT((P$3:P$100&lt;&gt;"")*(G$3:G$100=G77))+SUMPRODUCT((N$3:N$100&lt;&gt;"")*(G$3:G$100=G77))+SUMPRODUCT((P$3:P$100="")*(O$3:O$100="")*(N$3:N$100="")*(M$3:M$100="P")*(G$3:G$100=G77)*(J$3:J$100&gt;J77))+IF(H77="L5",SUMPRODUCT((P$3:P$100="")*(O$3:O$100="")*(N$3:N$100="")*(M$3:M$100="P")*(G$3:G$100=G77)*(J$3:J$100&lt;J77)*(H$3:H$100&lt;&gt;H77)),-1*SUMPRODUCT((P$3:P$100="")*(O$3:O$100="")*(N$3:N$100="")*(M$3:M$100="P")*(G$3:G$100=G77)*(J$3:J$100&gt;J77)*(H$3:H$100="L5")))+1,""))))</f>
        <v/>
      </c>
      <c r="C77" s="36" t="s">
        <v>79</v>
      </c>
      <c r="D77" s="36" t="str">
        <f>IF(E77="","",VLOOKUP(E77,'Coaching Points'!A:B,2,0))</f>
        <v>ON</v>
      </c>
      <c r="E77" s="36" t="s">
        <v>47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88.500004279999999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 t="shared" si="9"/>
        <v/>
      </c>
      <c r="R77" s="4">
        <f t="shared" si="10"/>
        <v>45.6</v>
      </c>
      <c r="S77" s="4">
        <f t="shared" si="11"/>
        <v>42.9</v>
      </c>
      <c r="T77" s="33">
        <v>45.6</v>
      </c>
      <c r="U77" s="40">
        <v>7.9</v>
      </c>
      <c r="V77" s="34">
        <v>42.9</v>
      </c>
      <c r="W77" s="40">
        <v>7</v>
      </c>
      <c r="X77" s="33">
        <v>41.2</v>
      </c>
      <c r="Y77" s="40">
        <v>7.2</v>
      </c>
      <c r="Z77" s="34">
        <v>42.8</v>
      </c>
      <c r="AA77" s="37">
        <v>7.1</v>
      </c>
    </row>
    <row r="78" spans="1:27" x14ac:dyDescent="0.2">
      <c r="A78" s="1" t="str" cm="1">
        <f t="array" ref="A78">IF(I78="","",IF(P78&lt;&gt;"",SUMPRODUCT((P$3:P$100&lt;&gt;"")*(G$3:G$100=G78)*(J$3:J$100&gt;J78)*(I$3:I$100="P"))+1,IF(O78&lt;&gt;"",SUMPRODUCT((O$3:O$100&lt;&gt;"")*(P$3:P$100="")*(G$3:G$100=G78)*(J$3:J$100&gt;J78)*(I$3:I$100="P"))+SUMPRODUCT((P$3:P$100&lt;&gt;"")*(G$3:G$100=G78)*(I$3:I$100="P"))+1,IF(N78&lt;&gt;"",SUMPRODUCT((N$3:N$100&lt;&gt;"")*(G$3:G$100=G78)*(J$3:J$100&gt;J78)*(I$3:I$100="P"))+1,IF(M78="P",SUMPRODUCT((O$3:O$100&lt;&gt;"")*(P$3:P$100="")*(G$3:G$100=G78)*(I$3:I$100="P"))+SUMPRODUCT((P$3:P$100&lt;&gt;"")*(G$3:G$100=G78)*(I$3:I$100="P"))+SUMPRODUCT((N$3:N$100&lt;&gt;"")*(G$3:G$100=G78)*(I$3:I$100="P"))+SUMPRODUCT((P$3:P$100="")*(O$3:O$100="")*(N$3:N$100="")*(M$3:M$100="P")*(G$3:G$100=G78)*(J$3:J$100&gt;J78)*(I$3:I$100="P"))+IF(H78="L5",SUMPRODUCT((P$3:P$100="")*(O$3:O$100="")*(N$3:N$100="")*(M$3:M$100="P")*(G$3:G$100=G78)*(J$3:J$100&lt;J78)*(H$3:H$100&lt;&gt;H78)*(I$3:I$100="P")),-1*SUMPRODUCT((P$3:P$100="")*(O$3:O$100="")*(N$3:N$100="")*(M$3:M$100="P")*(G$3:G$100=G78)*(J$3:J$100&gt;J78)*(H$3:H$100="L5")*(I$3:I$100="P")))+1,"")))))</f>
        <v/>
      </c>
      <c r="B78" s="1" t="str" cm="1">
        <f t="array" ref="B78">IF(P78&lt;&gt;"",SUMPRODUCT((P$3:P$100&lt;&gt;"")*(G$3:G$100=G78)*(J$3:J$100&gt;J78))+1,IF(O78&lt;&gt;"",SUMPRODUCT((O$3:O$100&lt;&gt;"")*(P$3:P$100="")*(G$3:G$100=G78)*(J$3:J$100&gt;J78))+SUMPRODUCT((P$3:P$100&lt;&gt;"")*(G$3:G$100=G78))+1,IF(N78&lt;&gt;"",SUMPRODUCT((N$3:N$100&lt;&gt;"")*(G$3:G$100=G78)*(J$3:J$100&gt;J78))+1,IF(M78="P",SUMPRODUCT((O$3:O$100&lt;&gt;"")*(P$3:P$100="")*(G$3:G$100=G78))+SUMPRODUCT((P$3:P$100&lt;&gt;"")*(G$3:G$100=G78))+SUMPRODUCT((N$3:N$100&lt;&gt;"")*(G$3:G$100=G78))+SUMPRODUCT((P$3:P$100="")*(O$3:O$100="")*(N$3:N$100="")*(M$3:M$100="P")*(G$3:G$100=G78)*(J$3:J$100&gt;J78))+IF(H78="L5",SUMPRODUCT((P$3:P$100="")*(O$3:O$100="")*(N$3:N$100="")*(M$3:M$100="P")*(G$3:G$100=G78)*(J$3:J$100&lt;J78)*(H$3:H$100&lt;&gt;H78)),-1*SUMPRODUCT((P$3:P$100="")*(O$3:O$100="")*(N$3:N$100="")*(M$3:M$100="P")*(G$3:G$100=G78)*(J$3:J$100&gt;J78)*(H$3:H$100="L5")))+1,""))))</f>
        <v/>
      </c>
      <c r="C78" s="36" t="s">
        <v>318</v>
      </c>
      <c r="D78" s="36" t="str">
        <f>IF(E78="","",VLOOKUP(E78,'Coaching Points'!A:B,2,0))</f>
        <v>BC</v>
      </c>
      <c r="E78" s="36" t="s">
        <v>284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87.700004429999993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 t="shared" si="9"/>
        <v/>
      </c>
      <c r="R78" s="4">
        <f t="shared" si="10"/>
        <v>44.3</v>
      </c>
      <c r="S78" s="4">
        <f t="shared" si="11"/>
        <v>43.4</v>
      </c>
      <c r="T78" s="33">
        <v>38.6</v>
      </c>
      <c r="U78" s="40">
        <v>3.3000000000000003</v>
      </c>
      <c r="V78" s="34">
        <v>40</v>
      </c>
      <c r="W78" s="40">
        <v>4.0999999999999996</v>
      </c>
      <c r="X78" s="33">
        <v>44.3</v>
      </c>
      <c r="Y78" s="40">
        <v>6.9</v>
      </c>
      <c r="Z78" s="34">
        <v>43.4</v>
      </c>
      <c r="AA78" s="37">
        <v>7.2</v>
      </c>
    </row>
    <row r="79" spans="1:27" x14ac:dyDescent="0.2">
      <c r="A79" s="1" t="str" cm="1">
        <f t="array" ref="A79">IF(I79="","",IF(P79&lt;&gt;"",SUMPRODUCT((P$3:P$100&lt;&gt;"")*(G$3:G$100=G79)*(J$3:J$100&gt;J79)*(I$3:I$100="P"))+1,IF(O79&lt;&gt;"",SUMPRODUCT((O$3:O$100&lt;&gt;"")*(P$3:P$100="")*(G$3:G$100=G79)*(J$3:J$100&gt;J79)*(I$3:I$100="P"))+SUMPRODUCT((P$3:P$100&lt;&gt;"")*(G$3:G$100=G79)*(I$3:I$100="P"))+1,IF(N79&lt;&gt;"",SUMPRODUCT((N$3:N$100&lt;&gt;"")*(G$3:G$100=G79)*(J$3:J$100&gt;J79)*(I$3:I$100="P"))+1,IF(M79="P",SUMPRODUCT((O$3:O$100&lt;&gt;"")*(P$3:P$100="")*(G$3:G$100=G79)*(I$3:I$100="P"))+SUMPRODUCT((P$3:P$100&lt;&gt;"")*(G$3:G$100=G79)*(I$3:I$100="P"))+SUMPRODUCT((N$3:N$100&lt;&gt;"")*(G$3:G$100=G79)*(I$3:I$100="P"))+SUMPRODUCT((P$3:P$100="")*(O$3:O$100="")*(N$3:N$100="")*(M$3:M$100="P")*(G$3:G$100=G79)*(J$3:J$100&gt;J79)*(I$3:I$100="P"))+IF(H79="L5",SUMPRODUCT((P$3:P$100="")*(O$3:O$100="")*(N$3:N$100="")*(M$3:M$100="P")*(G$3:G$100=G79)*(J$3:J$100&lt;J79)*(H$3:H$100&lt;&gt;H79)*(I$3:I$100="P")),-1*SUMPRODUCT((P$3:P$100="")*(O$3:O$100="")*(N$3:N$100="")*(M$3:M$100="P")*(G$3:G$100=G79)*(J$3:J$100&gt;J79)*(H$3:H$100="L5")*(I$3:I$100="P")))+1,"")))))</f>
        <v/>
      </c>
      <c r="B79" s="1" t="str" cm="1">
        <f t="array" ref="B79">IF(P79&lt;&gt;"",SUMPRODUCT((P$3:P$100&lt;&gt;"")*(G$3:G$100=G79)*(J$3:J$100&gt;J79))+1,IF(O79&lt;&gt;"",SUMPRODUCT((O$3:O$100&lt;&gt;"")*(P$3:P$100="")*(G$3:G$100=G79)*(J$3:J$100&gt;J79))+SUMPRODUCT((P$3:P$100&lt;&gt;"")*(G$3:G$100=G79))+1,IF(N79&lt;&gt;"",SUMPRODUCT((N$3:N$100&lt;&gt;"")*(G$3:G$100=G79)*(J$3:J$100&gt;J79))+1,IF(M79="P",SUMPRODUCT((O$3:O$100&lt;&gt;"")*(P$3:P$100="")*(G$3:G$100=G79))+SUMPRODUCT((P$3:P$100&lt;&gt;"")*(G$3:G$100=G79))+SUMPRODUCT((N$3:N$100&lt;&gt;"")*(G$3:G$100=G79))+SUMPRODUCT((P$3:P$100="")*(O$3:O$100="")*(N$3:N$100="")*(M$3:M$100="P")*(G$3:G$100=G79)*(J$3:J$100&gt;J79))+IF(H79="L5",SUMPRODUCT((P$3:P$100="")*(O$3:O$100="")*(N$3:N$100="")*(M$3:M$100="P")*(G$3:G$100=G79)*(J$3:J$100&lt;J79)*(H$3:H$100&lt;&gt;H79)),-1*SUMPRODUCT((P$3:P$100="")*(O$3:O$100="")*(N$3:N$100="")*(M$3:M$100="P")*(G$3:G$100=G79)*(J$3:J$100&gt;J79)*(H$3:H$100="L5")))+1,""))))</f>
        <v/>
      </c>
      <c r="C79" s="36" t="s">
        <v>490</v>
      </c>
      <c r="D79" s="36" t="str">
        <f>IF(E79="","",VLOOKUP(E79,'Coaching Points'!A:B,2,0))</f>
        <v>ON</v>
      </c>
      <c r="E79" s="36" t="s">
        <v>507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87.600004459999994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 t="shared" si="9"/>
        <v/>
      </c>
      <c r="R79" s="4">
        <f t="shared" si="10"/>
        <v>43</v>
      </c>
      <c r="S79" s="4">
        <f t="shared" si="11"/>
        <v>44.6</v>
      </c>
      <c r="T79" s="33"/>
      <c r="U79" s="40"/>
      <c r="V79" s="34"/>
      <c r="W79" s="40"/>
      <c r="X79" s="33">
        <v>43</v>
      </c>
      <c r="Y79" s="40">
        <v>6.3000000000000007</v>
      </c>
      <c r="Z79" s="34">
        <v>44.6</v>
      </c>
      <c r="AA79" s="37">
        <v>6.6999999999999993</v>
      </c>
    </row>
    <row r="80" spans="1:27" x14ac:dyDescent="0.2">
      <c r="A80" s="1" t="str" cm="1">
        <f t="array" ref="A80">IF(I80="","",IF(P80&lt;&gt;"",SUMPRODUCT((P$3:P$100&lt;&gt;"")*(G$3:G$100=G80)*(J$3:J$100&gt;J80)*(I$3:I$100="P"))+1,IF(O80&lt;&gt;"",SUMPRODUCT((O$3:O$100&lt;&gt;"")*(P$3:P$100="")*(G$3:G$100=G80)*(J$3:J$100&gt;J80)*(I$3:I$100="P"))+SUMPRODUCT((P$3:P$100&lt;&gt;"")*(G$3:G$100=G80)*(I$3:I$100="P"))+1,IF(N80&lt;&gt;"",SUMPRODUCT((N$3:N$100&lt;&gt;"")*(G$3:G$100=G80)*(J$3:J$100&gt;J80)*(I$3:I$100="P"))+1,IF(M80="P",SUMPRODUCT((O$3:O$100&lt;&gt;"")*(P$3:P$100="")*(G$3:G$100=G80)*(I$3:I$100="P"))+SUMPRODUCT((P$3:P$100&lt;&gt;"")*(G$3:G$100=G80)*(I$3:I$100="P"))+SUMPRODUCT((N$3:N$100&lt;&gt;"")*(G$3:G$100=G80)*(I$3:I$100="P"))+SUMPRODUCT((P$3:P$100="")*(O$3:O$100="")*(N$3:N$100="")*(M$3:M$100="P")*(G$3:G$100=G80)*(J$3:J$100&gt;J80)*(I$3:I$100="P"))+IF(H80="L5",SUMPRODUCT((P$3:P$100="")*(O$3:O$100="")*(N$3:N$100="")*(M$3:M$100="P")*(G$3:G$100=G80)*(J$3:J$100&lt;J80)*(H$3:H$100&lt;&gt;H80)*(I$3:I$100="P")),-1*SUMPRODUCT((P$3:P$100="")*(O$3:O$100="")*(N$3:N$100="")*(M$3:M$100="P")*(G$3:G$100=G80)*(J$3:J$100&gt;J80)*(H$3:H$100="L5")*(I$3:I$100="P")))+1,"")))))</f>
        <v/>
      </c>
      <c r="B80" s="1" t="str" cm="1">
        <f t="array" ref="B80">IF(P80&lt;&gt;"",SUMPRODUCT((P$3:P$100&lt;&gt;"")*(G$3:G$100=G80)*(J$3:J$100&gt;J80))+1,IF(O80&lt;&gt;"",SUMPRODUCT((O$3:O$100&lt;&gt;"")*(P$3:P$100="")*(G$3:G$100=G80)*(J$3:J$100&gt;J80))+SUMPRODUCT((P$3:P$100&lt;&gt;"")*(G$3:G$100=G80))+1,IF(N80&lt;&gt;"",SUMPRODUCT((N$3:N$100&lt;&gt;"")*(G$3:G$100=G80)*(J$3:J$100&gt;J80))+1,IF(M80="P",SUMPRODUCT((O$3:O$100&lt;&gt;"")*(P$3:P$100="")*(G$3:G$100=G80))+SUMPRODUCT((P$3:P$100&lt;&gt;"")*(G$3:G$100=G80))+SUMPRODUCT((N$3:N$100&lt;&gt;"")*(G$3:G$100=G80))+SUMPRODUCT((P$3:P$100="")*(O$3:O$100="")*(N$3:N$100="")*(M$3:M$100="P")*(G$3:G$100=G80)*(J$3:J$100&gt;J80))+IF(H80="L5",SUMPRODUCT((P$3:P$100="")*(O$3:O$100="")*(N$3:N$100="")*(M$3:M$100="P")*(G$3:G$100=G80)*(J$3:J$100&lt;J80)*(H$3:H$100&lt;&gt;H80)),-1*SUMPRODUCT((P$3:P$100="")*(O$3:O$100="")*(N$3:N$100="")*(M$3:M$100="P")*(G$3:G$100=G80)*(J$3:J$100&gt;J80)*(H$3:H$100="L5")))+1,""))))</f>
        <v/>
      </c>
      <c r="C80" s="36" t="s">
        <v>491</v>
      </c>
      <c r="D80" s="36" t="str">
        <f>IF(E80="","",VLOOKUP(E80,'Coaching Points'!A:B,2,0))</f>
        <v>QC</v>
      </c>
      <c r="E80" s="36" t="s">
        <v>96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87.200004379999982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 t="shared" si="9"/>
        <v/>
      </c>
      <c r="R80" s="4">
        <f t="shared" si="10"/>
        <v>43.4</v>
      </c>
      <c r="S80" s="4">
        <f t="shared" si="11"/>
        <v>43.8</v>
      </c>
      <c r="T80" s="33"/>
      <c r="U80" s="40"/>
      <c r="V80" s="34"/>
      <c r="W80" s="40"/>
      <c r="X80" s="33">
        <v>43.4</v>
      </c>
      <c r="Y80" s="40">
        <v>6</v>
      </c>
      <c r="Z80" s="34">
        <v>43.8</v>
      </c>
      <c r="AA80" s="37">
        <v>6.1</v>
      </c>
    </row>
    <row r="81" spans="1:27" x14ac:dyDescent="0.2">
      <c r="A81" s="1" t="str" cm="1">
        <f t="array" ref="A81">IF(I81="","",IF(P81&lt;&gt;"",SUMPRODUCT((P$3:P$100&lt;&gt;"")*(G$3:G$100=G81)*(J$3:J$100&gt;J81)*(I$3:I$100="P"))+1,IF(O81&lt;&gt;"",SUMPRODUCT((O$3:O$100&lt;&gt;"")*(P$3:P$100="")*(G$3:G$100=G81)*(J$3:J$100&gt;J81)*(I$3:I$100="P"))+SUMPRODUCT((P$3:P$100&lt;&gt;"")*(G$3:G$100=G81)*(I$3:I$100="P"))+1,IF(N81&lt;&gt;"",SUMPRODUCT((N$3:N$100&lt;&gt;"")*(G$3:G$100=G81)*(J$3:J$100&gt;J81)*(I$3:I$100="P"))+1,IF(M81="P",SUMPRODUCT((O$3:O$100&lt;&gt;"")*(P$3:P$100="")*(G$3:G$100=G81)*(I$3:I$100="P"))+SUMPRODUCT((P$3:P$100&lt;&gt;"")*(G$3:G$100=G81)*(I$3:I$100="P"))+SUMPRODUCT((N$3:N$100&lt;&gt;"")*(G$3:G$100=G81)*(I$3:I$100="P"))+SUMPRODUCT((P$3:P$100="")*(O$3:O$100="")*(N$3:N$100="")*(M$3:M$100="P")*(G$3:G$100=G81)*(J$3:J$100&gt;J81)*(I$3:I$100="P"))+IF(H81="L5",SUMPRODUCT((P$3:P$100="")*(O$3:O$100="")*(N$3:N$100="")*(M$3:M$100="P")*(G$3:G$100=G81)*(J$3:J$100&lt;J81)*(H$3:H$100&lt;&gt;H81)*(I$3:I$100="P")),-1*SUMPRODUCT((P$3:P$100="")*(O$3:O$100="")*(N$3:N$100="")*(M$3:M$100="P")*(G$3:G$100=G81)*(J$3:J$100&gt;J81)*(H$3:H$100="L5")*(I$3:I$100="P")))+1,"")))))</f>
        <v/>
      </c>
      <c r="B81" s="1" t="str" cm="1">
        <f t="array" ref="B81">IF(P81&lt;&gt;"",SUMPRODUCT((P$3:P$100&lt;&gt;"")*(G$3:G$100=G81)*(J$3:J$100&gt;J81))+1,IF(O81&lt;&gt;"",SUMPRODUCT((O$3:O$100&lt;&gt;"")*(P$3:P$100="")*(G$3:G$100=G81)*(J$3:J$100&gt;J81))+SUMPRODUCT((P$3:P$100&lt;&gt;"")*(G$3:G$100=G81))+1,IF(N81&lt;&gt;"",SUMPRODUCT((N$3:N$100&lt;&gt;"")*(G$3:G$100=G81)*(J$3:J$100&gt;J81))+1,IF(M81="P",SUMPRODUCT((O$3:O$100&lt;&gt;"")*(P$3:P$100="")*(G$3:G$100=G81))+SUMPRODUCT((P$3:P$100&lt;&gt;"")*(G$3:G$100=G81))+SUMPRODUCT((N$3:N$100&lt;&gt;"")*(G$3:G$100=G81))+SUMPRODUCT((P$3:P$100="")*(O$3:O$100="")*(N$3:N$100="")*(M$3:M$100="P")*(G$3:G$100=G81)*(J$3:J$100&gt;J81))+IF(H81="L5",SUMPRODUCT((P$3:P$100="")*(O$3:O$100="")*(N$3:N$100="")*(M$3:M$100="P")*(G$3:G$100=G81)*(J$3:J$100&lt;J81)*(H$3:H$100&lt;&gt;H81)),-1*SUMPRODUCT((P$3:P$100="")*(O$3:O$100="")*(N$3:N$100="")*(M$3:M$100="P")*(G$3:G$100=G81)*(J$3:J$100&gt;J81)*(H$3:H$100="L5")))+1,""))))</f>
        <v/>
      </c>
      <c r="C81" s="36" t="s">
        <v>492</v>
      </c>
      <c r="D81" s="36" t="str">
        <f>IF(E81="","",VLOOKUP(E81,'Coaching Points'!A:B,2,0))</f>
        <v>AB</v>
      </c>
      <c r="E81" s="36" t="s">
        <v>64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87.000004399999995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 t="shared" si="9"/>
        <v/>
      </c>
      <c r="R81" s="4">
        <f t="shared" si="10"/>
        <v>43</v>
      </c>
      <c r="S81" s="4">
        <f t="shared" si="11"/>
        <v>44</v>
      </c>
      <c r="T81" s="33"/>
      <c r="U81" s="40"/>
      <c r="V81" s="34"/>
      <c r="W81" s="40"/>
      <c r="X81" s="33">
        <v>43</v>
      </c>
      <c r="Y81" s="40">
        <v>8</v>
      </c>
      <c r="Z81" s="34">
        <v>44</v>
      </c>
      <c r="AA81" s="37">
        <v>6.6999999999999993</v>
      </c>
    </row>
    <row r="82" spans="1:27" x14ac:dyDescent="0.2">
      <c r="A82" s="1" t="str" cm="1">
        <f t="array" ref="A82">IF(I82="","",IF(P82&lt;&gt;"",SUMPRODUCT((P$3:P$100&lt;&gt;"")*(G$3:G$100=G82)*(J$3:J$100&gt;J82)*(I$3:I$100="P"))+1,IF(O82&lt;&gt;"",SUMPRODUCT((O$3:O$100&lt;&gt;"")*(P$3:P$100="")*(G$3:G$100=G82)*(J$3:J$100&gt;J82)*(I$3:I$100="P"))+SUMPRODUCT((P$3:P$100&lt;&gt;"")*(G$3:G$100=G82)*(I$3:I$100="P"))+1,IF(N82&lt;&gt;"",SUMPRODUCT((N$3:N$100&lt;&gt;"")*(G$3:G$100=G82)*(J$3:J$100&gt;J82)*(I$3:I$100="P"))+1,IF(M82="P",SUMPRODUCT((O$3:O$100&lt;&gt;"")*(P$3:P$100="")*(G$3:G$100=G82)*(I$3:I$100="P"))+SUMPRODUCT((P$3:P$100&lt;&gt;"")*(G$3:G$100=G82)*(I$3:I$100="P"))+SUMPRODUCT((N$3:N$100&lt;&gt;"")*(G$3:G$100=G82)*(I$3:I$100="P"))+SUMPRODUCT((P$3:P$100="")*(O$3:O$100="")*(N$3:N$100="")*(M$3:M$100="P")*(G$3:G$100=G82)*(J$3:J$100&gt;J82)*(I$3:I$100="P"))+IF(H82="L5",SUMPRODUCT((P$3:P$100="")*(O$3:O$100="")*(N$3:N$100="")*(M$3:M$100="P")*(G$3:G$100=G82)*(J$3:J$100&lt;J82)*(H$3:H$100&lt;&gt;H82)*(I$3:I$100="P")),-1*SUMPRODUCT((P$3:P$100="")*(O$3:O$100="")*(N$3:N$100="")*(M$3:M$100="P")*(G$3:G$100=G82)*(J$3:J$100&gt;J82)*(H$3:H$100="L5")*(I$3:I$100="P")))+1,"")))))</f>
        <v/>
      </c>
      <c r="B82" s="1" t="str" cm="1">
        <f t="array" ref="B82">IF(P82&lt;&gt;"",SUMPRODUCT((P$3:P$100&lt;&gt;"")*(G$3:G$100=G82)*(J$3:J$100&gt;J82))+1,IF(O82&lt;&gt;"",SUMPRODUCT((O$3:O$100&lt;&gt;"")*(P$3:P$100="")*(G$3:G$100=G82)*(J$3:J$100&gt;J82))+SUMPRODUCT((P$3:P$100&lt;&gt;"")*(G$3:G$100=G82))+1,IF(N82&lt;&gt;"",SUMPRODUCT((N$3:N$100&lt;&gt;"")*(G$3:G$100=G82)*(J$3:J$100&gt;J82))+1,IF(M82="P",SUMPRODUCT((O$3:O$100&lt;&gt;"")*(P$3:P$100="")*(G$3:G$100=G82))+SUMPRODUCT((P$3:P$100&lt;&gt;"")*(G$3:G$100=G82))+SUMPRODUCT((N$3:N$100&lt;&gt;"")*(G$3:G$100=G82))+SUMPRODUCT((P$3:P$100="")*(O$3:O$100="")*(N$3:N$100="")*(M$3:M$100="P")*(G$3:G$100=G82)*(J$3:J$100&gt;J82))+IF(H82="L5",SUMPRODUCT((P$3:P$100="")*(O$3:O$100="")*(N$3:N$100="")*(M$3:M$100="P")*(G$3:G$100=G82)*(J$3:J$100&lt;J82)*(H$3:H$100&lt;&gt;H82)),-1*SUMPRODUCT((P$3:P$100="")*(O$3:O$100="")*(N$3:N$100="")*(M$3:M$100="P")*(G$3:G$100=G82)*(J$3:J$100&gt;J82)*(H$3:H$100="L5")))+1,""))))</f>
        <v/>
      </c>
      <c r="C82" s="36" t="s">
        <v>493</v>
      </c>
      <c r="D82" s="36" t="str">
        <f>IF(E82="","",VLOOKUP(E82,'Coaching Points'!A:B,2,0))</f>
        <v>BC</v>
      </c>
      <c r="E82" s="36" t="s">
        <v>41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86.600004379999987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 t="shared" si="9"/>
        <v/>
      </c>
      <c r="R82" s="4">
        <f t="shared" si="10"/>
        <v>43.8</v>
      </c>
      <c r="S82" s="4">
        <f t="shared" si="11"/>
        <v>42.8</v>
      </c>
      <c r="T82" s="33"/>
      <c r="U82" s="40"/>
      <c r="V82" s="34"/>
      <c r="W82" s="40"/>
      <c r="X82" s="33">
        <v>43.8</v>
      </c>
      <c r="Y82" s="40">
        <v>8</v>
      </c>
      <c r="Z82" s="34">
        <v>42.8</v>
      </c>
      <c r="AA82" s="37">
        <v>6.6999999999999993</v>
      </c>
    </row>
    <row r="83" spans="1:27" x14ac:dyDescent="0.2">
      <c r="A83" s="1" t="str" cm="1">
        <f t="array" ref="A83">IF(I83="","",IF(P83&lt;&gt;"",SUMPRODUCT((P$3:P$100&lt;&gt;"")*(G$3:G$100=G83)*(J$3:J$100&gt;J83)*(I$3:I$100="P"))+1,IF(O83&lt;&gt;"",SUMPRODUCT((O$3:O$100&lt;&gt;"")*(P$3:P$100="")*(G$3:G$100=G83)*(J$3:J$100&gt;J83)*(I$3:I$100="P"))+SUMPRODUCT((P$3:P$100&lt;&gt;"")*(G$3:G$100=G83)*(I$3:I$100="P"))+1,IF(N83&lt;&gt;"",SUMPRODUCT((N$3:N$100&lt;&gt;"")*(G$3:G$100=G83)*(J$3:J$100&gt;J83)*(I$3:I$100="P"))+1,IF(M83="P",SUMPRODUCT((O$3:O$100&lt;&gt;"")*(P$3:P$100="")*(G$3:G$100=G83)*(I$3:I$100="P"))+SUMPRODUCT((P$3:P$100&lt;&gt;"")*(G$3:G$100=G83)*(I$3:I$100="P"))+SUMPRODUCT((N$3:N$100&lt;&gt;"")*(G$3:G$100=G83)*(I$3:I$100="P"))+SUMPRODUCT((P$3:P$100="")*(O$3:O$100="")*(N$3:N$100="")*(M$3:M$100="P")*(G$3:G$100=G83)*(J$3:J$100&gt;J83)*(I$3:I$100="P"))+IF(H83="L5",SUMPRODUCT((P$3:P$100="")*(O$3:O$100="")*(N$3:N$100="")*(M$3:M$100="P")*(G$3:G$100=G83)*(J$3:J$100&lt;J83)*(H$3:H$100&lt;&gt;H83)*(I$3:I$100="P")),-1*SUMPRODUCT((P$3:P$100="")*(O$3:O$100="")*(N$3:N$100="")*(M$3:M$100="P")*(G$3:G$100=G83)*(J$3:J$100&gt;J83)*(H$3:H$100="L5")*(I$3:I$100="P")))+1,"")))))</f>
        <v/>
      </c>
      <c r="B83" s="1" t="str" cm="1">
        <f t="array" ref="B83">IF(P83&lt;&gt;"",SUMPRODUCT((P$3:P$100&lt;&gt;"")*(G$3:G$100=G83)*(J$3:J$100&gt;J83))+1,IF(O83&lt;&gt;"",SUMPRODUCT((O$3:O$100&lt;&gt;"")*(P$3:P$100="")*(G$3:G$100=G83)*(J$3:J$100&gt;J83))+SUMPRODUCT((P$3:P$100&lt;&gt;"")*(G$3:G$100=G83))+1,IF(N83&lt;&gt;"",SUMPRODUCT((N$3:N$100&lt;&gt;"")*(G$3:G$100=G83)*(J$3:J$100&gt;J83))+1,IF(M83="P",SUMPRODUCT((O$3:O$100&lt;&gt;"")*(P$3:P$100="")*(G$3:G$100=G83))+SUMPRODUCT((P$3:P$100&lt;&gt;"")*(G$3:G$100=G83))+SUMPRODUCT((N$3:N$100&lt;&gt;"")*(G$3:G$100=G83))+SUMPRODUCT((P$3:P$100="")*(O$3:O$100="")*(N$3:N$100="")*(M$3:M$100="P")*(G$3:G$100=G83)*(J$3:J$100&gt;J83))+IF(H83="L5",SUMPRODUCT((P$3:P$100="")*(O$3:O$100="")*(N$3:N$100="")*(M$3:M$100="P")*(G$3:G$100=G83)*(J$3:J$100&lt;J83)*(H$3:H$100&lt;&gt;H83)),-1*SUMPRODUCT((P$3:P$100="")*(O$3:O$100="")*(N$3:N$100="")*(M$3:M$100="P")*(G$3:G$100=G83)*(J$3:J$100&gt;J83)*(H$3:H$100="L5")))+1,""))))</f>
        <v/>
      </c>
      <c r="C83" s="36" t="s">
        <v>494</v>
      </c>
      <c r="D83" s="36" t="str">
        <f>IF(E83="","",VLOOKUP(E83,'Coaching Points'!A:B,2,0))</f>
        <v>AB</v>
      </c>
      <c r="E83" s="36" t="s">
        <v>29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84.300004279999996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 t="shared" si="9"/>
        <v/>
      </c>
      <c r="R83" s="4">
        <f t="shared" si="10"/>
        <v>42.8</v>
      </c>
      <c r="S83" s="4">
        <f t="shared" si="11"/>
        <v>41.5</v>
      </c>
      <c r="T83" s="33"/>
      <c r="U83" s="40"/>
      <c r="V83" s="34"/>
      <c r="W83" s="40"/>
      <c r="X83" s="33">
        <v>42.8</v>
      </c>
      <c r="Y83" s="40">
        <v>6.3000000000000007</v>
      </c>
      <c r="Z83" s="34">
        <v>41.5</v>
      </c>
      <c r="AA83" s="37">
        <v>5.7</v>
      </c>
    </row>
    <row r="84" spans="1:27" x14ac:dyDescent="0.2">
      <c r="A84" s="1" t="str" cm="1">
        <f t="array" ref="A84">IF(I84="","",IF(P84&lt;&gt;"",SUMPRODUCT((P$3:P$100&lt;&gt;"")*(G$3:G$100=G84)*(J$3:J$100&gt;J84)*(I$3:I$100="P"))+1,IF(O84&lt;&gt;"",SUMPRODUCT((O$3:O$100&lt;&gt;"")*(P$3:P$100="")*(G$3:G$100=G84)*(J$3:J$100&gt;J84)*(I$3:I$100="P"))+SUMPRODUCT((P$3:P$100&lt;&gt;"")*(G$3:G$100=G84)*(I$3:I$100="P"))+1,IF(N84&lt;&gt;"",SUMPRODUCT((N$3:N$100&lt;&gt;"")*(G$3:G$100=G84)*(J$3:J$100&gt;J84)*(I$3:I$100="P"))+1,IF(M84="P",SUMPRODUCT((O$3:O$100&lt;&gt;"")*(P$3:P$100="")*(G$3:G$100=G84)*(I$3:I$100="P"))+SUMPRODUCT((P$3:P$100&lt;&gt;"")*(G$3:G$100=G84)*(I$3:I$100="P"))+SUMPRODUCT((N$3:N$100&lt;&gt;"")*(G$3:G$100=G84)*(I$3:I$100="P"))+SUMPRODUCT((P$3:P$100="")*(O$3:O$100="")*(N$3:N$100="")*(M$3:M$100="P")*(G$3:G$100=G84)*(J$3:J$100&gt;J84)*(I$3:I$100="P"))+IF(H84="L5",SUMPRODUCT((P$3:P$100="")*(O$3:O$100="")*(N$3:N$100="")*(M$3:M$100="P")*(G$3:G$100=G84)*(J$3:J$100&lt;J84)*(H$3:H$100&lt;&gt;H84)*(I$3:I$100="P")),-1*SUMPRODUCT((P$3:P$100="")*(O$3:O$100="")*(N$3:N$100="")*(M$3:M$100="P")*(G$3:G$100=G84)*(J$3:J$100&gt;J84)*(H$3:H$100="L5")*(I$3:I$100="P")))+1,"")))))</f>
        <v/>
      </c>
      <c r="B84" s="1" t="str" cm="1">
        <f t="array" ref="B84">IF(P84&lt;&gt;"",SUMPRODUCT((P$3:P$100&lt;&gt;"")*(G$3:G$100=G84)*(J$3:J$100&gt;J84))+1,IF(O84&lt;&gt;"",SUMPRODUCT((O$3:O$100&lt;&gt;"")*(P$3:P$100="")*(G$3:G$100=G84)*(J$3:J$100&gt;J84))+SUMPRODUCT((P$3:P$100&lt;&gt;"")*(G$3:G$100=G84))+1,IF(N84&lt;&gt;"",SUMPRODUCT((N$3:N$100&lt;&gt;"")*(G$3:G$100=G84)*(J$3:J$100&gt;J84))+1,IF(M84="P",SUMPRODUCT((O$3:O$100&lt;&gt;"")*(P$3:P$100="")*(G$3:G$100=G84))+SUMPRODUCT((P$3:P$100&lt;&gt;"")*(G$3:G$100=G84))+SUMPRODUCT((N$3:N$100&lt;&gt;"")*(G$3:G$100=G84))+SUMPRODUCT((P$3:P$100="")*(O$3:O$100="")*(N$3:N$100="")*(M$3:M$100="P")*(G$3:G$100=G84)*(J$3:J$100&gt;J84))+IF(H84="L5",SUMPRODUCT((P$3:P$100="")*(O$3:O$100="")*(N$3:N$100="")*(M$3:M$100="P")*(G$3:G$100=G84)*(J$3:J$100&lt;J84)*(H$3:H$100&lt;&gt;H84)),-1*SUMPRODUCT((P$3:P$100="")*(O$3:O$100="")*(N$3:N$100="")*(M$3:M$100="P")*(G$3:G$100=G84)*(J$3:J$100&gt;J84)*(H$3:H$100="L5")))+1,""))))</f>
        <v/>
      </c>
      <c r="C84" s="36" t="s">
        <v>495</v>
      </c>
      <c r="D84" s="36" t="str">
        <f>IF(E84="","",VLOOKUP(E84,'Coaching Points'!A:B,2,0))</f>
        <v>AB</v>
      </c>
      <c r="E84" s="36" t="s">
        <v>58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83.400004469999999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 t="shared" si="9"/>
        <v/>
      </c>
      <c r="R84" s="4">
        <f t="shared" si="10"/>
        <v>44.7</v>
      </c>
      <c r="S84" s="4">
        <f t="shared" si="11"/>
        <v>38.700000000000003</v>
      </c>
      <c r="T84" s="33"/>
      <c r="U84" s="40"/>
      <c r="V84" s="34"/>
      <c r="W84" s="40"/>
      <c r="X84" s="33">
        <v>44.7</v>
      </c>
      <c r="Y84" s="40">
        <v>8.4</v>
      </c>
      <c r="Z84" s="34">
        <v>38.700000000000003</v>
      </c>
      <c r="AA84" s="37">
        <v>4.3</v>
      </c>
    </row>
    <row r="85" spans="1:27" x14ac:dyDescent="0.2">
      <c r="A85" s="1" t="str" cm="1">
        <f t="array" ref="A85">IF(I85="","",IF(P85&lt;&gt;"",SUMPRODUCT((P$3:P$100&lt;&gt;"")*(G$3:G$100=G85)*(J$3:J$100&gt;J85)*(I$3:I$100="P"))+1,IF(O85&lt;&gt;"",SUMPRODUCT((O$3:O$100&lt;&gt;"")*(P$3:P$100="")*(G$3:G$100=G85)*(J$3:J$100&gt;J85)*(I$3:I$100="P"))+SUMPRODUCT((P$3:P$100&lt;&gt;"")*(G$3:G$100=G85)*(I$3:I$100="P"))+1,IF(N85&lt;&gt;"",SUMPRODUCT((N$3:N$100&lt;&gt;"")*(G$3:G$100=G85)*(J$3:J$100&gt;J85)*(I$3:I$100="P"))+1,IF(M85="P",SUMPRODUCT((O$3:O$100&lt;&gt;"")*(P$3:P$100="")*(G$3:G$100=G85)*(I$3:I$100="P"))+SUMPRODUCT((P$3:P$100&lt;&gt;"")*(G$3:G$100=G85)*(I$3:I$100="P"))+SUMPRODUCT((N$3:N$100&lt;&gt;"")*(G$3:G$100=G85)*(I$3:I$100="P"))+SUMPRODUCT((P$3:P$100="")*(O$3:O$100="")*(N$3:N$100="")*(M$3:M$100="P")*(G$3:G$100=G85)*(J$3:J$100&gt;J85)*(I$3:I$100="P"))+IF(H85="L5",SUMPRODUCT((P$3:P$100="")*(O$3:O$100="")*(N$3:N$100="")*(M$3:M$100="P")*(G$3:G$100=G85)*(J$3:J$100&lt;J85)*(H$3:H$100&lt;&gt;H85)*(I$3:I$100="P")),-1*SUMPRODUCT((P$3:P$100="")*(O$3:O$100="")*(N$3:N$100="")*(M$3:M$100="P")*(G$3:G$100=G85)*(J$3:J$100&gt;J85)*(H$3:H$100="L5")*(I$3:I$100="P")))+1,"")))))</f>
        <v/>
      </c>
      <c r="B85" s="1" t="str" cm="1">
        <f t="array" ref="B85">IF(P85&lt;&gt;"",SUMPRODUCT((P$3:P$100&lt;&gt;"")*(G$3:G$100=G85)*(J$3:J$100&gt;J85))+1,IF(O85&lt;&gt;"",SUMPRODUCT((O$3:O$100&lt;&gt;"")*(P$3:P$100="")*(G$3:G$100=G85)*(J$3:J$100&gt;J85))+SUMPRODUCT((P$3:P$100&lt;&gt;"")*(G$3:G$100=G85))+1,IF(N85&lt;&gt;"",SUMPRODUCT((N$3:N$100&lt;&gt;"")*(G$3:G$100=G85)*(J$3:J$100&gt;J85))+1,IF(M85="P",SUMPRODUCT((O$3:O$100&lt;&gt;"")*(P$3:P$100="")*(G$3:G$100=G85))+SUMPRODUCT((P$3:P$100&lt;&gt;"")*(G$3:G$100=G85))+SUMPRODUCT((N$3:N$100&lt;&gt;"")*(G$3:G$100=G85))+SUMPRODUCT((P$3:P$100="")*(O$3:O$100="")*(N$3:N$100="")*(M$3:M$100="P")*(G$3:G$100=G85)*(J$3:J$100&gt;J85))+IF(H85="L5",SUMPRODUCT((P$3:P$100="")*(O$3:O$100="")*(N$3:N$100="")*(M$3:M$100="P")*(G$3:G$100=G85)*(J$3:J$100&lt;J85)*(H$3:H$100&lt;&gt;H85)),-1*SUMPRODUCT((P$3:P$100="")*(O$3:O$100="")*(N$3:N$100="")*(M$3:M$100="P")*(G$3:G$100=G85)*(J$3:J$100&gt;J85)*(H$3:H$100="L5")))+1,""))))</f>
        <v/>
      </c>
      <c r="C85" s="36" t="s">
        <v>496</v>
      </c>
      <c r="D85" s="36" t="str">
        <f>IF(E85="","",VLOOKUP(E85,'Coaching Points'!A:B,2,0))</f>
        <v>AB</v>
      </c>
      <c r="E85" s="36" t="s">
        <v>423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80.300004189999996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 t="shared" si="9"/>
        <v/>
      </c>
      <c r="R85" s="4">
        <f t="shared" si="10"/>
        <v>41.9</v>
      </c>
      <c r="S85" s="4">
        <f t="shared" si="11"/>
        <v>38.4</v>
      </c>
      <c r="T85" s="33"/>
      <c r="U85" s="40"/>
      <c r="V85" s="34"/>
      <c r="W85" s="40"/>
      <c r="X85" s="33">
        <v>41.9</v>
      </c>
      <c r="Y85" s="40">
        <v>5.8000000000000007</v>
      </c>
      <c r="Z85" s="34">
        <v>38.4</v>
      </c>
      <c r="AA85" s="37">
        <v>2.9</v>
      </c>
    </row>
    <row r="86" spans="1:27" x14ac:dyDescent="0.2">
      <c r="A86" s="1" t="str" cm="1">
        <f t="array" ref="A86">IF(I86="","",IF(P86&lt;&gt;"",SUMPRODUCT((P$3:P$100&lt;&gt;"")*(G$3:G$100=G86)*(J$3:J$100&gt;J86)*(I$3:I$100="P"))+1,IF(O86&lt;&gt;"",SUMPRODUCT((O$3:O$100&lt;&gt;"")*(P$3:P$100="")*(G$3:G$100=G86)*(J$3:J$100&gt;J86)*(I$3:I$100="P"))+SUMPRODUCT((P$3:P$100&lt;&gt;"")*(G$3:G$100=G86)*(I$3:I$100="P"))+1,IF(N86&lt;&gt;"",SUMPRODUCT((N$3:N$100&lt;&gt;"")*(G$3:G$100=G86)*(J$3:J$100&gt;J86)*(I$3:I$100="P"))+1,IF(M86="P",SUMPRODUCT((O$3:O$100&lt;&gt;"")*(P$3:P$100="")*(G$3:G$100=G86)*(I$3:I$100="P"))+SUMPRODUCT((P$3:P$100&lt;&gt;"")*(G$3:G$100=G86)*(I$3:I$100="P"))+SUMPRODUCT((N$3:N$100&lt;&gt;"")*(G$3:G$100=G86)*(I$3:I$100="P"))+SUMPRODUCT((P$3:P$100="")*(O$3:O$100="")*(N$3:N$100="")*(M$3:M$100="P")*(G$3:G$100=G86)*(J$3:J$100&gt;J86)*(I$3:I$100="P"))+IF(H86="L5",SUMPRODUCT((P$3:P$100="")*(O$3:O$100="")*(N$3:N$100="")*(M$3:M$100="P")*(G$3:G$100=G86)*(J$3:J$100&lt;J86)*(H$3:H$100&lt;&gt;H86)*(I$3:I$100="P")),-1*SUMPRODUCT((P$3:P$100="")*(O$3:O$100="")*(N$3:N$100="")*(M$3:M$100="P")*(G$3:G$100=G86)*(J$3:J$100&gt;J86)*(H$3:H$100="L5")*(I$3:I$100="P")))+1,"")))))</f>
        <v/>
      </c>
      <c r="B86" s="1" t="str" cm="1">
        <f t="array" ref="B86">IF(P86&lt;&gt;"",SUMPRODUCT((P$3:P$100&lt;&gt;"")*(G$3:G$100=G86)*(J$3:J$100&gt;J86))+1,IF(O86&lt;&gt;"",SUMPRODUCT((O$3:O$100&lt;&gt;"")*(P$3:P$100="")*(G$3:G$100=G86)*(J$3:J$100&gt;J86))+SUMPRODUCT((P$3:P$100&lt;&gt;"")*(G$3:G$100=G86))+1,IF(N86&lt;&gt;"",SUMPRODUCT((N$3:N$100&lt;&gt;"")*(G$3:G$100=G86)*(J$3:J$100&gt;J86))+1,IF(M86="P",SUMPRODUCT((O$3:O$100&lt;&gt;"")*(P$3:P$100="")*(G$3:G$100=G86))+SUMPRODUCT((P$3:P$100&lt;&gt;"")*(G$3:G$100=G86))+SUMPRODUCT((N$3:N$100&lt;&gt;"")*(G$3:G$100=G86))+SUMPRODUCT((P$3:P$100="")*(O$3:O$100="")*(N$3:N$100="")*(M$3:M$100="P")*(G$3:G$100=G86)*(J$3:J$100&gt;J86))+IF(H86="L5",SUMPRODUCT((P$3:P$100="")*(O$3:O$100="")*(N$3:N$100="")*(M$3:M$100="P")*(G$3:G$100=G86)*(J$3:J$100&lt;J86)*(H$3:H$100&lt;&gt;H86)),-1*SUMPRODUCT((P$3:P$100="")*(O$3:O$100="")*(N$3:N$100="")*(M$3:M$100="P")*(G$3:G$100=G86)*(J$3:J$100&gt;J86)*(H$3:H$100="L5")))+1,""))))</f>
        <v/>
      </c>
      <c r="C86" s="36" t="s">
        <v>524</v>
      </c>
      <c r="D86" s="36" t="str">
        <f>IF(E86="","",VLOOKUP(E86,'Coaching Points'!A:B,2,0))</f>
        <v>BC</v>
      </c>
      <c r="E86" s="36" t="s">
        <v>61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20.300002030000002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 t="shared" si="9"/>
        <v/>
      </c>
      <c r="R86" s="4">
        <f t="shared" si="10"/>
        <v>20.3</v>
      </c>
      <c r="S86" s="4">
        <f t="shared" si="11"/>
        <v>0</v>
      </c>
      <c r="T86" s="33"/>
      <c r="U86" s="40"/>
      <c r="V86" s="34"/>
      <c r="W86" s="40"/>
      <c r="X86" s="33">
        <v>20.3</v>
      </c>
      <c r="Y86" s="40">
        <v>2.6</v>
      </c>
      <c r="Z86" s="34"/>
      <c r="AA86" s="37"/>
    </row>
    <row r="87" spans="1:27" x14ac:dyDescent="0.2">
      <c r="A87" s="1" t="str" cm="1">
        <f t="array" ref="A87">IF(I87="","",IF(P87&lt;&gt;"",SUMPRODUCT((P$3:P$100&lt;&gt;"")*(G$3:G$100=G87)*(J$3:J$100&gt;J87)*(I$3:I$100="P"))+1,IF(O87&lt;&gt;"",SUMPRODUCT((O$3:O$100&lt;&gt;"")*(P$3:P$100="")*(G$3:G$100=G87)*(J$3:J$100&gt;J87)*(I$3:I$100="P"))+SUMPRODUCT((P$3:P$100&lt;&gt;"")*(G$3:G$100=G87)*(I$3:I$100="P"))+1,IF(N87&lt;&gt;"",SUMPRODUCT((N$3:N$100&lt;&gt;"")*(G$3:G$100=G87)*(J$3:J$100&gt;J87)*(I$3:I$100="P"))+1,IF(M87="P",SUMPRODUCT((O$3:O$100&lt;&gt;"")*(P$3:P$100="")*(G$3:G$100=G87)*(I$3:I$100="P"))+SUMPRODUCT((P$3:P$100&lt;&gt;"")*(G$3:G$100=G87)*(I$3:I$100="P"))+SUMPRODUCT((N$3:N$100&lt;&gt;"")*(G$3:G$100=G87)*(I$3:I$100="P"))+SUMPRODUCT((P$3:P$100="")*(O$3:O$100="")*(N$3:N$100="")*(M$3:M$100="P")*(G$3:G$100=G87)*(J$3:J$100&gt;J87)*(I$3:I$100="P"))+IF(H87="L5",SUMPRODUCT((P$3:P$100="")*(O$3:O$100="")*(N$3:N$100="")*(M$3:M$100="P")*(G$3:G$100=G87)*(J$3:J$100&lt;J87)*(H$3:H$100&lt;&gt;H87)*(I$3:I$100="P")),-1*SUMPRODUCT((P$3:P$100="")*(O$3:O$100="")*(N$3:N$100="")*(M$3:M$100="P")*(G$3:G$100=G87)*(J$3:J$100&gt;J87)*(H$3:H$100="L5")*(I$3:I$100="P")))+1,"")))))</f>
        <v/>
      </c>
      <c r="B87" s="1" t="str" cm="1">
        <f t="array" ref="B87">IF(P87&lt;&gt;"",SUMPRODUCT((P$3:P$100&lt;&gt;"")*(G$3:G$100=G87)*(J$3:J$100&gt;J87))+1,IF(O87&lt;&gt;"",SUMPRODUCT((O$3:O$100&lt;&gt;"")*(P$3:P$100="")*(G$3:G$100=G87)*(J$3:J$100&gt;J87))+SUMPRODUCT((P$3:P$100&lt;&gt;"")*(G$3:G$100=G87))+1,IF(N87&lt;&gt;"",SUMPRODUCT((N$3:N$100&lt;&gt;"")*(G$3:G$100=G87)*(J$3:J$100&gt;J87))+1,IF(M87="P",SUMPRODUCT((O$3:O$100&lt;&gt;"")*(P$3:P$100="")*(G$3:G$100=G87))+SUMPRODUCT((P$3:P$100&lt;&gt;"")*(G$3:G$100=G87))+SUMPRODUCT((N$3:N$100&lt;&gt;"")*(G$3:G$100=G87))+SUMPRODUCT((P$3:P$100="")*(O$3:O$100="")*(N$3:N$100="")*(M$3:M$100="P")*(G$3:G$100=G87)*(J$3:J$100&gt;J87))+IF(H87="L5",SUMPRODUCT((P$3:P$100="")*(O$3:O$100="")*(N$3:N$100="")*(M$3:M$100="P")*(G$3:G$100=G87)*(J$3:J$100&lt;J87)*(H$3:H$100&lt;&gt;H87)),-1*SUMPRODUCT((P$3:P$100="")*(O$3:O$100="")*(N$3:N$100="")*(M$3:M$100="P")*(G$3:G$100=G87)*(J$3:J$100&gt;J87)*(H$3:H$100="L5")))+1,""))))</f>
        <v/>
      </c>
      <c r="C87" s="36" t="s">
        <v>525</v>
      </c>
      <c r="D87" s="36" t="str">
        <f>IF(E87="","",VLOOKUP(E87,'Coaching Points'!A:B,2,0))</f>
        <v>ON</v>
      </c>
      <c r="E87" s="36" t="s">
        <v>314</v>
      </c>
      <c r="F87" s="35">
        <v>2007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8"/>
        <v>20.000001999999999</v>
      </c>
      <c r="K87" s="3" t="str">
        <f>IF(G87="Not Age Eligible","",IF(MAX(T87,V87,X87,Z87)&gt;=LOOKUP(G87,'Qualifying Scores'!$A$4:$A$7,'Qualifying Scores'!$F$4:$F$7),"P",""))</f>
        <v/>
      </c>
      <c r="L87" s="3" t="str">
        <f>IF(G87="Not Age Eligible","",IF(MAX(U87,W87,Y87,AA87)&gt;=LOOKUP(G87,'Qualifying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/>
      </c>
      <c r="Q87" s="1" t="str">
        <f t="shared" si="9"/>
        <v/>
      </c>
      <c r="R87" s="4">
        <f t="shared" si="10"/>
        <v>20</v>
      </c>
      <c r="S87" s="4">
        <f t="shared" si="11"/>
        <v>0</v>
      </c>
      <c r="T87" s="33"/>
      <c r="U87" s="40"/>
      <c r="V87" s="34"/>
      <c r="W87" s="40"/>
      <c r="X87" s="33">
        <v>20</v>
      </c>
      <c r="Y87" s="40">
        <v>3</v>
      </c>
      <c r="Z87" s="34"/>
      <c r="AA87" s="37"/>
    </row>
    <row r="88" spans="1:27" x14ac:dyDescent="0.2">
      <c r="A88" s="1" t="str" cm="1">
        <f t="array" ref="A88">IF(I88="","",IF(P88&lt;&gt;"",SUMPRODUCT((P$3:P$100&lt;&gt;"")*(G$3:G$100=G88)*(J$3:J$100&gt;J88)*(I$3:I$100="P"))+1,IF(O88&lt;&gt;"",SUMPRODUCT((O$3:O$100&lt;&gt;"")*(P$3:P$100="")*(G$3:G$100=G88)*(J$3:J$100&gt;J88)*(I$3:I$100="P"))+SUMPRODUCT((P$3:P$100&lt;&gt;"")*(G$3:G$100=G88)*(I$3:I$100="P"))+1,IF(N88&lt;&gt;"",SUMPRODUCT((N$3:N$100&lt;&gt;"")*(G$3:G$100=G88)*(J$3:J$100&gt;J88)*(I$3:I$100="P"))+1,IF(M88="P",SUMPRODUCT((O$3:O$100&lt;&gt;"")*(P$3:P$100="")*(G$3:G$100=G88)*(I$3:I$100="P"))+SUMPRODUCT((P$3:P$100&lt;&gt;"")*(G$3:G$100=G88)*(I$3:I$100="P"))+SUMPRODUCT((N$3:N$100&lt;&gt;"")*(G$3:G$100=G88)*(I$3:I$100="P"))+SUMPRODUCT((P$3:P$100="")*(O$3:O$100="")*(N$3:N$100="")*(M$3:M$100="P")*(G$3:G$100=G88)*(J$3:J$100&gt;J88)*(I$3:I$100="P"))+IF(H88="L5",SUMPRODUCT((P$3:P$100="")*(O$3:O$100="")*(N$3:N$100="")*(M$3:M$100="P")*(G$3:G$100=G88)*(J$3:J$100&lt;J88)*(H$3:H$100&lt;&gt;H88)*(I$3:I$100="P")),-1*SUMPRODUCT((P$3:P$100="")*(O$3:O$100="")*(N$3:N$100="")*(M$3:M$100="P")*(G$3:G$100=G88)*(J$3:J$100&gt;J88)*(H$3:H$100="L5")*(I$3:I$100="P")))+1,"")))))</f>
        <v/>
      </c>
      <c r="B88" s="1" cm="1">
        <f t="array" ref="B88">IF(P88&lt;&gt;"",SUMPRODUCT((P$3:P$100&lt;&gt;"")*(G$3:G$100=G88)*(J$3:J$100&gt;J88))+1,IF(O88&lt;&gt;"",SUMPRODUCT((O$3:O$100&lt;&gt;"")*(P$3:P$100="")*(G$3:G$100=G88)*(J$3:J$100&gt;J88))+SUMPRODUCT((P$3:P$100&lt;&gt;"")*(G$3:G$100=G88))+1,IF(N88&lt;&gt;"",SUMPRODUCT((N$3:N$100&lt;&gt;"")*(G$3:G$100=G88)*(J$3:J$100&gt;J88))+1,IF(M88="P",SUMPRODUCT((O$3:O$100&lt;&gt;"")*(P$3:P$100="")*(G$3:G$100=G88))+SUMPRODUCT((P$3:P$100&lt;&gt;"")*(G$3:G$100=G88))+SUMPRODUCT((N$3:N$100&lt;&gt;"")*(G$3:G$100=G88))+SUMPRODUCT((P$3:P$100="")*(O$3:O$100="")*(N$3:N$100="")*(M$3:M$100="P")*(G$3:G$100=G88)*(J$3:J$100&gt;J88))+IF(H88="L5",SUMPRODUCT((P$3:P$100="")*(O$3:O$100="")*(N$3:N$100="")*(M$3:M$100="P")*(G$3:G$100=G88)*(J$3:J$100&lt;J88)*(H$3:H$100&lt;&gt;H88)),-1*SUMPRODUCT((P$3:P$100="")*(O$3:O$100="")*(N$3:N$100="")*(M$3:M$100="P")*(G$3:G$100=G88)*(J$3:J$100&gt;J88)*(H$3:H$100="L5")))+1,""))))</f>
        <v>1</v>
      </c>
      <c r="C88" s="36" t="s">
        <v>78</v>
      </c>
      <c r="D88" s="36" t="str">
        <f>IF(E88="","",VLOOKUP(E88,'Coaching Points'!A:B,2,0))</f>
        <v>SK</v>
      </c>
      <c r="E88" s="36" t="s">
        <v>60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67</v>
      </c>
      <c r="I88" s="43"/>
      <c r="J88" s="4">
        <f t="shared" si="8"/>
        <v>98.600104939999994</v>
      </c>
      <c r="K88" s="3" t="str">
        <f>IF(G88="Not Age Eligible","",IF(MAX(T88,V88,X88,Z88)&gt;=LOOKUP(G88,'Qualifying Scores'!$A$4:$A$7,'Qualifying Scores'!$F$4:$F$7),"P",""))</f>
        <v>P</v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>P</v>
      </c>
      <c r="Q88" s="1" t="str">
        <f t="shared" si="9"/>
        <v/>
      </c>
      <c r="R88" s="4">
        <f t="shared" si="10"/>
        <v>49.4</v>
      </c>
      <c r="S88" s="4">
        <f t="shared" si="11"/>
        <v>49.2</v>
      </c>
      <c r="T88" s="33">
        <v>46.6</v>
      </c>
      <c r="U88" s="40">
        <v>10.4</v>
      </c>
      <c r="V88" s="34">
        <v>45.4</v>
      </c>
      <c r="W88" s="40">
        <v>9.1999999999999993</v>
      </c>
      <c r="X88" s="33">
        <v>49.4</v>
      </c>
      <c r="Y88" s="40">
        <v>11.6</v>
      </c>
      <c r="Z88" s="34">
        <v>49.2</v>
      </c>
      <c r="AA88" s="37">
        <v>11.6</v>
      </c>
    </row>
    <row r="89" spans="1:27" x14ac:dyDescent="0.2">
      <c r="A89" s="1" t="str" cm="1">
        <f t="array" ref="A89">IF(I89="","",IF(P89&lt;&gt;"",SUMPRODUCT((P$3:P$100&lt;&gt;"")*(G$3:G$100=G89)*(J$3:J$100&gt;J89)*(I$3:I$100="P"))+1,IF(O89&lt;&gt;"",SUMPRODUCT((O$3:O$100&lt;&gt;"")*(P$3:P$100="")*(G$3:G$100=G89)*(J$3:J$100&gt;J89)*(I$3:I$100="P"))+SUMPRODUCT((P$3:P$100&lt;&gt;"")*(G$3:G$100=G89)*(I$3:I$100="P"))+1,IF(N89&lt;&gt;"",SUMPRODUCT((N$3:N$100&lt;&gt;"")*(G$3:G$100=G89)*(J$3:J$100&gt;J89)*(I$3:I$100="P"))+1,IF(M89="P",SUMPRODUCT((O$3:O$100&lt;&gt;"")*(P$3:P$100="")*(G$3:G$100=G89)*(I$3:I$100="P"))+SUMPRODUCT((P$3:P$100&lt;&gt;"")*(G$3:G$100=G89)*(I$3:I$100="P"))+SUMPRODUCT((N$3:N$100&lt;&gt;"")*(G$3:G$100=G89)*(I$3:I$100="P"))+SUMPRODUCT((P$3:P$100="")*(O$3:O$100="")*(N$3:N$100="")*(M$3:M$100="P")*(G$3:G$100=G89)*(J$3:J$100&gt;J89)*(I$3:I$100="P"))+IF(H89="L5",SUMPRODUCT((P$3:P$100="")*(O$3:O$100="")*(N$3:N$100="")*(M$3:M$100="P")*(G$3:G$100=G89)*(J$3:J$100&lt;J89)*(H$3:H$100&lt;&gt;H89)*(I$3:I$100="P")),-1*SUMPRODUCT((P$3:P$100="")*(O$3:O$100="")*(N$3:N$100="")*(M$3:M$100="P")*(G$3:G$100=G89)*(J$3:J$100&gt;J89)*(H$3:H$100="L5")*(I$3:I$100="P")))+1,"")))))</f>
        <v/>
      </c>
      <c r="B89" s="1" t="str" cm="1">
        <f t="array" ref="B89">IF(P89&lt;&gt;"",SUMPRODUCT((P$3:P$100&lt;&gt;"")*(G$3:G$100=G89)*(J$3:J$100&gt;J89))+1,IF(O89&lt;&gt;"",SUMPRODUCT((O$3:O$100&lt;&gt;"")*(P$3:P$100="")*(G$3:G$100=G89)*(J$3:J$100&gt;J89))+SUMPRODUCT((P$3:P$100&lt;&gt;"")*(G$3:G$100=G89))+1,IF(N89&lt;&gt;"",SUMPRODUCT((N$3:N$100&lt;&gt;"")*(G$3:G$100=G89)*(J$3:J$100&gt;J89))+1,IF(M89="P",SUMPRODUCT((O$3:O$100&lt;&gt;"")*(P$3:P$100="")*(G$3:G$100=G89))+SUMPRODUCT((P$3:P$100&lt;&gt;"")*(G$3:G$100=G89))+SUMPRODUCT((N$3:N$100&lt;&gt;"")*(G$3:G$100=G89))+SUMPRODUCT((P$3:P$100="")*(O$3:O$100="")*(N$3:N$100="")*(M$3:M$100="P")*(G$3:G$100=G89)*(J$3:J$100&gt;J89))+IF(H89="L5",SUMPRODUCT((P$3:P$100="")*(O$3:O$100="")*(N$3:N$100="")*(M$3:M$100="P")*(G$3:G$100=G89)*(J$3:J$100&lt;J89)*(H$3:H$100&lt;&gt;H89)),-1*SUMPRODUCT((P$3:P$100="")*(O$3:O$100="")*(N$3:N$100="")*(M$3:M$100="P")*(G$3:G$100=G89)*(J$3:J$100&gt;J89)*(H$3:H$100="L5")))+1,""))))</f>
        <v/>
      </c>
      <c r="C89" s="36" t="s">
        <v>325</v>
      </c>
      <c r="D89" s="36" t="str">
        <f>IF(E89="","",VLOOKUP(E89,'Coaching Points'!A:B,2,0))</f>
        <v>NS</v>
      </c>
      <c r="E89" s="36" t="s">
        <v>134</v>
      </c>
      <c r="F89" s="35">
        <v>2010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/>
      <c r="J89" s="4">
        <f t="shared" si="8"/>
        <v>89.40000452000001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 t="shared" si="9"/>
        <v/>
      </c>
      <c r="R89" s="4">
        <f t="shared" si="10"/>
        <v>45.2</v>
      </c>
      <c r="S89" s="4">
        <f t="shared" si="11"/>
        <v>44.2</v>
      </c>
      <c r="T89" s="33">
        <v>38.5</v>
      </c>
      <c r="U89" s="40">
        <v>3.4000000000000004</v>
      </c>
      <c r="V89" s="34">
        <v>43</v>
      </c>
      <c r="W89" s="40">
        <v>6.3</v>
      </c>
      <c r="X89" s="33">
        <v>45.2</v>
      </c>
      <c r="Y89" s="40">
        <v>8.1000000000000014</v>
      </c>
      <c r="Z89" s="34">
        <v>44.2</v>
      </c>
      <c r="AA89" s="37">
        <v>6.1</v>
      </c>
    </row>
    <row r="90" spans="1:27" x14ac:dyDescent="0.2">
      <c r="A90" s="1" t="str" cm="1">
        <f t="array" ref="A90">IF(I90="","",IF(P90&lt;&gt;"",SUMPRODUCT((P$3:P$100&lt;&gt;"")*(G$3:G$100=G90)*(J$3:J$100&gt;J90)*(I$3:I$100="P"))+1,IF(O90&lt;&gt;"",SUMPRODUCT((O$3:O$100&lt;&gt;"")*(P$3:P$100="")*(G$3:G$100=G90)*(J$3:J$100&gt;J90)*(I$3:I$100="P"))+SUMPRODUCT((P$3:P$100&lt;&gt;"")*(G$3:G$100=G90)*(I$3:I$100="P"))+1,IF(N90&lt;&gt;"",SUMPRODUCT((N$3:N$100&lt;&gt;"")*(G$3:G$100=G90)*(J$3:J$100&gt;J90)*(I$3:I$100="P"))+1,IF(M90="P",SUMPRODUCT((O$3:O$100&lt;&gt;"")*(P$3:P$100="")*(G$3:G$100=G90)*(I$3:I$100="P"))+SUMPRODUCT((P$3:P$100&lt;&gt;"")*(G$3:G$100=G90)*(I$3:I$100="P"))+SUMPRODUCT((N$3:N$100&lt;&gt;"")*(G$3:G$100=G90)*(I$3:I$100="P"))+SUMPRODUCT((P$3:P$100="")*(O$3:O$100="")*(N$3:N$100="")*(M$3:M$100="P")*(G$3:G$100=G90)*(J$3:J$100&gt;J90)*(I$3:I$100="P"))+IF(H90="L5",SUMPRODUCT((P$3:P$100="")*(O$3:O$100="")*(N$3:N$100="")*(M$3:M$100="P")*(G$3:G$100=G90)*(J$3:J$100&lt;J90)*(H$3:H$100&lt;&gt;H90)*(I$3:I$100="P")),-1*SUMPRODUCT((P$3:P$100="")*(O$3:O$100="")*(N$3:N$100="")*(M$3:M$100="P")*(G$3:G$100=G90)*(J$3:J$100&gt;J90)*(H$3:H$100="L5")*(I$3:I$100="P")))+1,"")))))</f>
        <v/>
      </c>
      <c r="B90" s="1" t="str" cm="1">
        <f t="array" ref="B90">IF(P90&lt;&gt;"",SUMPRODUCT((P$3:P$100&lt;&gt;"")*(G$3:G$100=G90)*(J$3:J$100&gt;J90))+1,IF(O90&lt;&gt;"",SUMPRODUCT((O$3:O$100&lt;&gt;"")*(P$3:P$100="")*(G$3:G$100=G90)*(J$3:J$100&gt;J90))+SUMPRODUCT((P$3:P$100&lt;&gt;"")*(G$3:G$100=G90))+1,IF(N90&lt;&gt;"",SUMPRODUCT((N$3:N$100&lt;&gt;"")*(G$3:G$100=G90)*(J$3:J$100&gt;J90))+1,IF(M90="P",SUMPRODUCT((O$3:O$100&lt;&gt;"")*(P$3:P$100="")*(G$3:G$100=G90))+SUMPRODUCT((P$3:P$100&lt;&gt;"")*(G$3:G$100=G90))+SUMPRODUCT((N$3:N$100&lt;&gt;"")*(G$3:G$100=G90))+SUMPRODUCT((P$3:P$100="")*(O$3:O$100="")*(N$3:N$100="")*(M$3:M$100="P")*(G$3:G$100=G90)*(J$3:J$100&gt;J90))+IF(H90="L5",SUMPRODUCT((P$3:P$100="")*(O$3:O$100="")*(N$3:N$100="")*(M$3:M$100="P")*(G$3:G$100=G90)*(J$3:J$100&lt;J90)*(H$3:H$100&lt;&gt;H90)),-1*SUMPRODUCT((P$3:P$100="")*(O$3:O$100="")*(N$3:N$100="")*(M$3:M$100="P")*(G$3:G$100=G90)*(J$3:J$100&gt;J90)*(H$3:H$100="L5")))+1,""))))</f>
        <v/>
      </c>
      <c r="C90" s="36" t="s">
        <v>327</v>
      </c>
      <c r="D90" s="36" t="str">
        <f>IF(E90="","",VLOOKUP(E90,'Coaching Points'!A:B,2,0))</f>
        <v>NS</v>
      </c>
      <c r="E90" s="36" t="s">
        <v>289</v>
      </c>
      <c r="F90" s="35">
        <v>2009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8"/>
        <v>88.200004429999993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 t="shared" si="9"/>
        <v/>
      </c>
      <c r="R90" s="4">
        <f t="shared" si="10"/>
        <v>43.9</v>
      </c>
      <c r="S90" s="4">
        <f t="shared" si="11"/>
        <v>44.3</v>
      </c>
      <c r="T90" s="33">
        <v>42.4</v>
      </c>
      <c r="U90" s="40">
        <v>6.1</v>
      </c>
      <c r="V90" s="34">
        <v>41.4</v>
      </c>
      <c r="W90" s="40">
        <v>7.8000000000000007</v>
      </c>
      <c r="X90" s="33">
        <v>43.9</v>
      </c>
      <c r="Y90" s="40">
        <v>7.9</v>
      </c>
      <c r="Z90" s="34">
        <v>44.3</v>
      </c>
      <c r="AA90" s="37">
        <v>6.5</v>
      </c>
    </row>
    <row r="91" spans="1:27" x14ac:dyDescent="0.2">
      <c r="A91" s="1" t="str" cm="1">
        <f t="array" ref="A91">IF(I91="","",IF(P91&lt;&gt;"",SUMPRODUCT((P$3:P$100&lt;&gt;"")*(G$3:G$100=G91)*(J$3:J$100&gt;J91)*(I$3:I$100="P"))+1,IF(O91&lt;&gt;"",SUMPRODUCT((O$3:O$100&lt;&gt;"")*(P$3:P$100="")*(G$3:G$100=G91)*(J$3:J$100&gt;J91)*(I$3:I$100="P"))+SUMPRODUCT((P$3:P$100&lt;&gt;"")*(G$3:G$100=G91)*(I$3:I$100="P"))+1,IF(N91&lt;&gt;"",SUMPRODUCT((N$3:N$100&lt;&gt;"")*(G$3:G$100=G91)*(J$3:J$100&gt;J91)*(I$3:I$100="P"))+1,IF(M91="P",SUMPRODUCT((O$3:O$100&lt;&gt;"")*(P$3:P$100="")*(G$3:G$100=G91)*(I$3:I$100="P"))+SUMPRODUCT((P$3:P$100&lt;&gt;"")*(G$3:G$100=G91)*(I$3:I$100="P"))+SUMPRODUCT((N$3:N$100&lt;&gt;"")*(G$3:G$100=G91)*(I$3:I$100="P"))+SUMPRODUCT((P$3:P$100="")*(O$3:O$100="")*(N$3:N$100="")*(M$3:M$100="P")*(G$3:G$100=G91)*(J$3:J$100&gt;J91)*(I$3:I$100="P"))+IF(H91="L5",SUMPRODUCT((P$3:P$100="")*(O$3:O$100="")*(N$3:N$100="")*(M$3:M$100="P")*(G$3:G$100=G91)*(J$3:J$100&lt;J91)*(H$3:H$100&lt;&gt;H91)*(I$3:I$100="P")),-1*SUMPRODUCT((P$3:P$100="")*(O$3:O$100="")*(N$3:N$100="")*(M$3:M$100="P")*(G$3:G$100=G91)*(J$3:J$100&gt;J91)*(H$3:H$100="L5")*(I$3:I$100="P")))+1,"")))))</f>
        <v/>
      </c>
      <c r="B91" s="1" t="str" cm="1">
        <f t="array" ref="B91">IF(P91&lt;&gt;"",SUMPRODUCT((P$3:P$100&lt;&gt;"")*(G$3:G$100=G91)*(J$3:J$100&gt;J91))+1,IF(O91&lt;&gt;"",SUMPRODUCT((O$3:O$100&lt;&gt;"")*(P$3:P$100="")*(G$3:G$100=G91)*(J$3:J$100&gt;J91))+SUMPRODUCT((P$3:P$100&lt;&gt;"")*(G$3:G$100=G91))+1,IF(N91&lt;&gt;"",SUMPRODUCT((N$3:N$100&lt;&gt;"")*(G$3:G$100=G91)*(J$3:J$100&gt;J91))+1,IF(M91="P",SUMPRODUCT((O$3:O$100&lt;&gt;"")*(P$3:P$100="")*(G$3:G$100=G91))+SUMPRODUCT((P$3:P$100&lt;&gt;"")*(G$3:G$100=G91))+SUMPRODUCT((N$3:N$100&lt;&gt;"")*(G$3:G$100=G91))+SUMPRODUCT((P$3:P$100="")*(O$3:O$100="")*(N$3:N$100="")*(M$3:M$100="P")*(G$3:G$100=G91)*(J$3:J$100&gt;J91))+IF(H91="L5",SUMPRODUCT((P$3:P$100="")*(O$3:O$100="")*(N$3:N$100="")*(M$3:M$100="P")*(G$3:G$100=G91)*(J$3:J$100&lt;J91)*(H$3:H$100&lt;&gt;H91)),-1*SUMPRODUCT((P$3:P$100="")*(O$3:O$100="")*(N$3:N$100="")*(M$3:M$100="P")*(G$3:G$100=G91)*(J$3:J$100&gt;J91)*(H$3:H$100="L5")))+1,""))))</f>
        <v/>
      </c>
      <c r="C91" s="36" t="s">
        <v>518</v>
      </c>
      <c r="D91" s="36" t="str">
        <f>IF(E91="","",VLOOKUP(E91,'Coaching Points'!A:B,2,0))</f>
        <v>BC</v>
      </c>
      <c r="E91" s="36" t="s">
        <v>41</v>
      </c>
      <c r="F91" s="35">
        <v>2010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/>
      <c r="J91" s="4">
        <f t="shared" si="8"/>
        <v>87.10000436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 t="shared" si="9"/>
        <v/>
      </c>
      <c r="R91" s="4">
        <f t="shared" si="10"/>
        <v>43.6</v>
      </c>
      <c r="S91" s="4">
        <f t="shared" si="11"/>
        <v>43.5</v>
      </c>
      <c r="T91" s="33"/>
      <c r="U91" s="40"/>
      <c r="V91" s="34"/>
      <c r="W91" s="40"/>
      <c r="X91" s="33">
        <v>43.6</v>
      </c>
      <c r="Y91" s="40">
        <v>6.5</v>
      </c>
      <c r="Z91" s="34">
        <v>43.5</v>
      </c>
      <c r="AA91" s="37">
        <v>6.4</v>
      </c>
    </row>
    <row r="92" spans="1:27" x14ac:dyDescent="0.2">
      <c r="A92" s="1" t="str" cm="1">
        <f t="array" ref="A92">IF(I92="","",IF(P92&lt;&gt;"",SUMPRODUCT((P$3:P$100&lt;&gt;"")*(G$3:G$100=G92)*(J$3:J$100&gt;J92)*(I$3:I$100="P"))+1,IF(O92&lt;&gt;"",SUMPRODUCT((O$3:O$100&lt;&gt;"")*(P$3:P$100="")*(G$3:G$100=G92)*(J$3:J$100&gt;J92)*(I$3:I$100="P"))+SUMPRODUCT((P$3:P$100&lt;&gt;"")*(G$3:G$100=G92)*(I$3:I$100="P"))+1,IF(N92&lt;&gt;"",SUMPRODUCT((N$3:N$100&lt;&gt;"")*(G$3:G$100=G92)*(J$3:J$100&gt;J92)*(I$3:I$100="P"))+1,IF(M92="P",SUMPRODUCT((O$3:O$100&lt;&gt;"")*(P$3:P$100="")*(G$3:G$100=G92)*(I$3:I$100="P"))+SUMPRODUCT((P$3:P$100&lt;&gt;"")*(G$3:G$100=G92)*(I$3:I$100="P"))+SUMPRODUCT((N$3:N$100&lt;&gt;"")*(G$3:G$100=G92)*(I$3:I$100="P"))+SUMPRODUCT((P$3:P$100="")*(O$3:O$100="")*(N$3:N$100="")*(M$3:M$100="P")*(G$3:G$100=G92)*(J$3:J$100&gt;J92)*(I$3:I$100="P"))+IF(H92="L5",SUMPRODUCT((P$3:P$100="")*(O$3:O$100="")*(N$3:N$100="")*(M$3:M$100="P")*(G$3:G$100=G92)*(J$3:J$100&lt;J92)*(H$3:H$100&lt;&gt;H92)*(I$3:I$100="P")),-1*SUMPRODUCT((P$3:P$100="")*(O$3:O$100="")*(N$3:N$100="")*(M$3:M$100="P")*(G$3:G$100=G92)*(J$3:J$100&gt;J92)*(H$3:H$100="L5")*(I$3:I$100="P")))+1,"")))))</f>
        <v/>
      </c>
      <c r="B92" s="1" t="str" cm="1">
        <f t="array" ref="B92">IF(P92&lt;&gt;"",SUMPRODUCT((P$3:P$100&lt;&gt;"")*(G$3:G$100=G92)*(J$3:J$100&gt;J92))+1,IF(O92&lt;&gt;"",SUMPRODUCT((O$3:O$100&lt;&gt;"")*(P$3:P$100="")*(G$3:G$100=G92)*(J$3:J$100&gt;J92))+SUMPRODUCT((P$3:P$100&lt;&gt;"")*(G$3:G$100=G92))+1,IF(N92&lt;&gt;"",SUMPRODUCT((N$3:N$100&lt;&gt;"")*(G$3:G$100=G92)*(J$3:J$100&gt;J92))+1,IF(M92="P",SUMPRODUCT((O$3:O$100&lt;&gt;"")*(P$3:P$100="")*(G$3:G$100=G92))+SUMPRODUCT((P$3:P$100&lt;&gt;"")*(G$3:G$100=G92))+SUMPRODUCT((N$3:N$100&lt;&gt;"")*(G$3:G$100=G92))+SUMPRODUCT((P$3:P$100="")*(O$3:O$100="")*(N$3:N$100="")*(M$3:M$100="P")*(G$3:G$100=G92)*(J$3:J$100&gt;J92))+IF(H92="L5",SUMPRODUCT((P$3:P$100="")*(O$3:O$100="")*(N$3:N$100="")*(M$3:M$100="P")*(G$3:G$100=G92)*(J$3:J$100&lt;J92)*(H$3:H$100&lt;&gt;H92)),-1*SUMPRODUCT((P$3:P$100="")*(O$3:O$100="")*(N$3:N$100="")*(M$3:M$100="P")*(G$3:G$100=G92)*(J$3:J$100&gt;J92)*(H$3:H$100="L5")))+1,""))))</f>
        <v/>
      </c>
      <c r="C92" s="36" t="s">
        <v>519</v>
      </c>
      <c r="D92" s="36" t="str">
        <f>IF(E92="","",VLOOKUP(E92,'Coaching Points'!A:B,2,0))</f>
        <v>AB</v>
      </c>
      <c r="E92" s="36" t="s">
        <v>29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8"/>
        <v>86.700004339999992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 t="shared" si="9"/>
        <v/>
      </c>
      <c r="R92" s="4">
        <f t="shared" si="10"/>
        <v>43.3</v>
      </c>
      <c r="S92" s="4">
        <f t="shared" si="11"/>
        <v>43.4</v>
      </c>
      <c r="T92" s="33"/>
      <c r="U92" s="40"/>
      <c r="V92" s="34"/>
      <c r="W92" s="40"/>
      <c r="X92" s="33">
        <v>43.3</v>
      </c>
      <c r="Y92" s="40">
        <v>6.3000000000000007</v>
      </c>
      <c r="Z92" s="34">
        <v>43.4</v>
      </c>
      <c r="AA92" s="37">
        <v>6.3</v>
      </c>
    </row>
    <row r="93" spans="1:27" x14ac:dyDescent="0.2">
      <c r="A93" s="1" t="str" cm="1">
        <f t="array" ref="A93">IF(I93="","",IF(P93&lt;&gt;"",SUMPRODUCT((P$3:P$100&lt;&gt;"")*(G$3:G$100=G93)*(J$3:J$100&gt;J93)*(I$3:I$100="P"))+1,IF(O93&lt;&gt;"",SUMPRODUCT((O$3:O$100&lt;&gt;"")*(P$3:P$100="")*(G$3:G$100=G93)*(J$3:J$100&gt;J93)*(I$3:I$100="P"))+SUMPRODUCT((P$3:P$100&lt;&gt;"")*(G$3:G$100=G93)*(I$3:I$100="P"))+1,IF(N93&lt;&gt;"",SUMPRODUCT((N$3:N$100&lt;&gt;"")*(G$3:G$100=G93)*(J$3:J$100&gt;J93)*(I$3:I$100="P"))+1,IF(M93="P",SUMPRODUCT((O$3:O$100&lt;&gt;"")*(P$3:P$100="")*(G$3:G$100=G93)*(I$3:I$100="P"))+SUMPRODUCT((P$3:P$100&lt;&gt;"")*(G$3:G$100=G93)*(I$3:I$100="P"))+SUMPRODUCT((N$3:N$100&lt;&gt;"")*(G$3:G$100=G93)*(I$3:I$100="P"))+SUMPRODUCT((P$3:P$100="")*(O$3:O$100="")*(N$3:N$100="")*(M$3:M$100="P")*(G$3:G$100=G93)*(J$3:J$100&gt;J93)*(I$3:I$100="P"))+IF(H93="L5",SUMPRODUCT((P$3:P$100="")*(O$3:O$100="")*(N$3:N$100="")*(M$3:M$100="P")*(G$3:G$100=G93)*(J$3:J$100&lt;J93)*(H$3:H$100&lt;&gt;H93)*(I$3:I$100="P")),-1*SUMPRODUCT((P$3:P$100="")*(O$3:O$100="")*(N$3:N$100="")*(M$3:M$100="P")*(G$3:G$100=G93)*(J$3:J$100&gt;J93)*(H$3:H$100="L5")*(I$3:I$100="P")))+1,"")))))</f>
        <v/>
      </c>
      <c r="B93" s="1" t="str" cm="1">
        <f t="array" ref="B93">IF(P93&lt;&gt;"",SUMPRODUCT((P$3:P$100&lt;&gt;"")*(G$3:G$100=G93)*(J$3:J$100&gt;J93))+1,IF(O93&lt;&gt;"",SUMPRODUCT((O$3:O$100&lt;&gt;"")*(P$3:P$100="")*(G$3:G$100=G93)*(J$3:J$100&gt;J93))+SUMPRODUCT((P$3:P$100&lt;&gt;"")*(G$3:G$100=G93))+1,IF(N93&lt;&gt;"",SUMPRODUCT((N$3:N$100&lt;&gt;"")*(G$3:G$100=G93)*(J$3:J$100&gt;J93))+1,IF(M93="P",SUMPRODUCT((O$3:O$100&lt;&gt;"")*(P$3:P$100="")*(G$3:G$100=G93))+SUMPRODUCT((P$3:P$100&lt;&gt;"")*(G$3:G$100=G93))+SUMPRODUCT((N$3:N$100&lt;&gt;"")*(G$3:G$100=G93))+SUMPRODUCT((P$3:P$100="")*(O$3:O$100="")*(N$3:N$100="")*(M$3:M$100="P")*(G$3:G$100=G93)*(J$3:J$100&gt;J93))+IF(H93="L5",SUMPRODUCT((P$3:P$100="")*(O$3:O$100="")*(N$3:N$100="")*(M$3:M$100="P")*(G$3:G$100=G93)*(J$3:J$100&lt;J93)*(H$3:H$100&lt;&gt;H93)),-1*SUMPRODUCT((P$3:P$100="")*(O$3:O$100="")*(N$3:N$100="")*(M$3:M$100="P")*(G$3:G$100=G93)*(J$3:J$100&gt;J93)*(H$3:H$100="L5")))+1,""))))</f>
        <v/>
      </c>
      <c r="C93" s="36" t="s">
        <v>349</v>
      </c>
      <c r="D93" s="36" t="str">
        <f>IF(E93="","",VLOOKUP(E93,'Coaching Points'!A:B,2,0))</f>
        <v>BC</v>
      </c>
      <c r="E93" s="36" t="s">
        <v>41</v>
      </c>
      <c r="F93" s="35">
        <v>2010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8"/>
        <v>85.800004149999992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>P</v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 t="shared" si="9"/>
        <v/>
      </c>
      <c r="R93" s="4">
        <f t="shared" si="10"/>
        <v>44.3</v>
      </c>
      <c r="S93" s="4">
        <f t="shared" si="11"/>
        <v>41.5</v>
      </c>
      <c r="T93" s="33">
        <v>44.3</v>
      </c>
      <c r="U93" s="40">
        <v>7.1</v>
      </c>
      <c r="V93" s="34">
        <v>36.799999999999997</v>
      </c>
      <c r="W93" s="40">
        <v>3.9</v>
      </c>
      <c r="X93" s="33">
        <v>41.5</v>
      </c>
      <c r="Y93" s="40">
        <v>8</v>
      </c>
      <c r="Z93" s="34">
        <v>38.6</v>
      </c>
      <c r="AA93" s="37">
        <v>2.6</v>
      </c>
    </row>
    <row r="94" spans="1:27" x14ac:dyDescent="0.2">
      <c r="A94" s="1" t="str" cm="1">
        <f t="array" ref="A94">IF(I94="","",IF(P94&lt;&gt;"",SUMPRODUCT((P$3:P$100&lt;&gt;"")*(G$3:G$100=G94)*(J$3:J$100&gt;J94)*(I$3:I$100="P"))+1,IF(O94&lt;&gt;"",SUMPRODUCT((O$3:O$100&lt;&gt;"")*(P$3:P$100="")*(G$3:G$100=G94)*(J$3:J$100&gt;J94)*(I$3:I$100="P"))+SUMPRODUCT((P$3:P$100&lt;&gt;"")*(G$3:G$100=G94)*(I$3:I$100="P"))+1,IF(N94&lt;&gt;"",SUMPRODUCT((N$3:N$100&lt;&gt;"")*(G$3:G$100=G94)*(J$3:J$100&gt;J94)*(I$3:I$100="P"))+1,IF(M94="P",SUMPRODUCT((O$3:O$100&lt;&gt;"")*(P$3:P$100="")*(G$3:G$100=G94)*(I$3:I$100="P"))+SUMPRODUCT((P$3:P$100&lt;&gt;"")*(G$3:G$100=G94)*(I$3:I$100="P"))+SUMPRODUCT((N$3:N$100&lt;&gt;"")*(G$3:G$100=G94)*(I$3:I$100="P"))+SUMPRODUCT((P$3:P$100="")*(O$3:O$100="")*(N$3:N$100="")*(M$3:M$100="P")*(G$3:G$100=G94)*(J$3:J$100&gt;J94)*(I$3:I$100="P"))+IF(H94="L5",SUMPRODUCT((P$3:P$100="")*(O$3:O$100="")*(N$3:N$100="")*(M$3:M$100="P")*(G$3:G$100=G94)*(J$3:J$100&lt;J94)*(H$3:H$100&lt;&gt;H94)*(I$3:I$100="P")),-1*SUMPRODUCT((P$3:P$100="")*(O$3:O$100="")*(N$3:N$100="")*(M$3:M$100="P")*(G$3:G$100=G94)*(J$3:J$100&gt;J94)*(H$3:H$100="L5")*(I$3:I$100="P")))+1,"")))))</f>
        <v/>
      </c>
      <c r="B94" s="1" t="str" cm="1">
        <f t="array" ref="B94">IF(P94&lt;&gt;"",SUMPRODUCT((P$3:P$100&lt;&gt;"")*(G$3:G$100=G94)*(J$3:J$100&gt;J94))+1,IF(O94&lt;&gt;"",SUMPRODUCT((O$3:O$100&lt;&gt;"")*(P$3:P$100="")*(G$3:G$100=G94)*(J$3:J$100&gt;J94))+SUMPRODUCT((P$3:P$100&lt;&gt;"")*(G$3:G$100=G94))+1,IF(N94&lt;&gt;"",SUMPRODUCT((N$3:N$100&lt;&gt;"")*(G$3:G$100=G94)*(J$3:J$100&gt;J94))+1,IF(M94="P",SUMPRODUCT((O$3:O$100&lt;&gt;"")*(P$3:P$100="")*(G$3:G$100=G94))+SUMPRODUCT((P$3:P$100&lt;&gt;"")*(G$3:G$100=G94))+SUMPRODUCT((N$3:N$100&lt;&gt;"")*(G$3:G$100=G94))+SUMPRODUCT((P$3:P$100="")*(O$3:O$100="")*(N$3:N$100="")*(M$3:M$100="P")*(G$3:G$100=G94)*(J$3:J$100&gt;J94))+IF(H94="L5",SUMPRODUCT((P$3:P$100="")*(O$3:O$100="")*(N$3:N$100="")*(M$3:M$100="P")*(G$3:G$100=G94)*(J$3:J$100&lt;J94)*(H$3:H$100&lt;&gt;H94)),-1*SUMPRODUCT((P$3:P$100="")*(O$3:O$100="")*(N$3:N$100="")*(M$3:M$100="P")*(G$3:G$100=G94)*(J$3:J$100&gt;J94)*(H$3:H$100="L5")))+1,""))))</f>
        <v/>
      </c>
      <c r="C94" s="36" t="s">
        <v>264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8"/>
        <v>85.000004369999999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 t="shared" si="9"/>
        <v/>
      </c>
      <c r="R94" s="4">
        <f t="shared" si="10"/>
        <v>41.3</v>
      </c>
      <c r="S94" s="4">
        <f t="shared" si="11"/>
        <v>43.7</v>
      </c>
      <c r="T94" s="33">
        <v>40.1</v>
      </c>
      <c r="U94" s="40">
        <v>4.7</v>
      </c>
      <c r="V94" s="34">
        <v>42.5</v>
      </c>
      <c r="W94" s="40">
        <v>5.0999999999999996</v>
      </c>
      <c r="X94" s="33">
        <v>41.3</v>
      </c>
      <c r="Y94" s="40">
        <v>6</v>
      </c>
      <c r="Z94" s="34">
        <v>43.7</v>
      </c>
      <c r="AA94" s="37">
        <v>6.1</v>
      </c>
    </row>
    <row r="95" spans="1:27" x14ac:dyDescent="0.2">
      <c r="A95" s="1" t="str" cm="1">
        <f t="array" ref="A95">IF(I95="","",IF(P95&lt;&gt;"",SUMPRODUCT((P$3:P$100&lt;&gt;"")*(G$3:G$100=G95)*(J$3:J$100&gt;J95)*(I$3:I$100="P"))+1,IF(O95&lt;&gt;"",SUMPRODUCT((O$3:O$100&lt;&gt;"")*(P$3:P$100="")*(G$3:G$100=G95)*(J$3:J$100&gt;J95)*(I$3:I$100="P"))+SUMPRODUCT((P$3:P$100&lt;&gt;"")*(G$3:G$100=G95)*(I$3:I$100="P"))+1,IF(N95&lt;&gt;"",SUMPRODUCT((N$3:N$100&lt;&gt;"")*(G$3:G$100=G95)*(J$3:J$100&gt;J95)*(I$3:I$100="P"))+1,IF(M95="P",SUMPRODUCT((O$3:O$100&lt;&gt;"")*(P$3:P$100="")*(G$3:G$100=G95)*(I$3:I$100="P"))+SUMPRODUCT((P$3:P$100&lt;&gt;"")*(G$3:G$100=G95)*(I$3:I$100="P"))+SUMPRODUCT((N$3:N$100&lt;&gt;"")*(G$3:G$100=G95)*(I$3:I$100="P"))+SUMPRODUCT((P$3:P$100="")*(O$3:O$100="")*(N$3:N$100="")*(M$3:M$100="P")*(G$3:G$100=G95)*(J$3:J$100&gt;J95)*(I$3:I$100="P"))+IF(H95="L5",SUMPRODUCT((P$3:P$100="")*(O$3:O$100="")*(N$3:N$100="")*(M$3:M$100="P")*(G$3:G$100=G95)*(J$3:J$100&lt;J95)*(H$3:H$100&lt;&gt;H95)*(I$3:I$100="P")),-1*SUMPRODUCT((P$3:P$100="")*(O$3:O$100="")*(N$3:N$100="")*(M$3:M$100="P")*(G$3:G$100=G95)*(J$3:J$100&gt;J95)*(H$3:H$100="L5")*(I$3:I$100="P")))+1,"")))))</f>
        <v/>
      </c>
      <c r="B95" s="1" t="str" cm="1">
        <f t="array" ref="B95">IF(P95&lt;&gt;"",SUMPRODUCT((P$3:P$100&lt;&gt;"")*(G$3:G$100=G95)*(J$3:J$100&gt;J95))+1,IF(O95&lt;&gt;"",SUMPRODUCT((O$3:O$100&lt;&gt;"")*(P$3:P$100="")*(G$3:G$100=G95)*(J$3:J$100&gt;J95))+SUMPRODUCT((P$3:P$100&lt;&gt;"")*(G$3:G$100=G95))+1,IF(N95&lt;&gt;"",SUMPRODUCT((N$3:N$100&lt;&gt;"")*(G$3:G$100=G95)*(J$3:J$100&gt;J95))+1,IF(M95="P",SUMPRODUCT((O$3:O$100&lt;&gt;"")*(P$3:P$100="")*(G$3:G$100=G95))+SUMPRODUCT((P$3:P$100&lt;&gt;"")*(G$3:G$100=G95))+SUMPRODUCT((N$3:N$100&lt;&gt;"")*(G$3:G$100=G95))+SUMPRODUCT((P$3:P$100="")*(O$3:O$100="")*(N$3:N$100="")*(M$3:M$100="P")*(G$3:G$100=G95)*(J$3:J$100&gt;J95))+IF(H95="L5",SUMPRODUCT((P$3:P$100="")*(O$3:O$100="")*(N$3:N$100="")*(M$3:M$100="P")*(G$3:G$100=G95)*(J$3:J$100&lt;J95)*(H$3:H$100&lt;&gt;H95)),-1*SUMPRODUCT((P$3:P$100="")*(O$3:O$100="")*(N$3:N$100="")*(M$3:M$100="P")*(G$3:G$100=G95)*(J$3:J$100&gt;J95)*(H$3:H$100="L5")))+1,""))))</f>
        <v/>
      </c>
      <c r="C95" s="36" t="s">
        <v>350</v>
      </c>
      <c r="D95" s="36" t="str">
        <f>IF(E95="","",VLOOKUP(E95,'Coaching Points'!A:B,2,0))</f>
        <v>BC</v>
      </c>
      <c r="E95" s="36" t="s">
        <v>41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83.900004210000006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 t="shared" si="9"/>
        <v/>
      </c>
      <c r="R95" s="4">
        <f t="shared" si="10"/>
        <v>42.1</v>
      </c>
      <c r="S95" s="4">
        <f t="shared" si="11"/>
        <v>41.8</v>
      </c>
      <c r="T95" s="33">
        <v>41.8</v>
      </c>
      <c r="U95" s="40">
        <v>7.1</v>
      </c>
      <c r="V95" s="34">
        <v>20.7</v>
      </c>
      <c r="W95" s="40">
        <v>2.7</v>
      </c>
      <c r="X95" s="33">
        <v>42.1</v>
      </c>
      <c r="Y95" s="40">
        <v>6.5</v>
      </c>
      <c r="Z95" s="34">
        <v>38.299999999999997</v>
      </c>
      <c r="AA95" s="37">
        <v>2.9</v>
      </c>
    </row>
    <row r="96" spans="1:27" x14ac:dyDescent="0.2">
      <c r="A96" s="1" t="str" cm="1">
        <f t="array" ref="A96">IF(I96="","",IF(P96&lt;&gt;"",SUMPRODUCT((P$3:P$100&lt;&gt;"")*(G$3:G$100=G96)*(J$3:J$100&gt;J96)*(I$3:I$100="P"))+1,IF(O96&lt;&gt;"",SUMPRODUCT((O$3:O$100&lt;&gt;"")*(P$3:P$100="")*(G$3:G$100=G96)*(J$3:J$100&gt;J96)*(I$3:I$100="P"))+SUMPRODUCT((P$3:P$100&lt;&gt;"")*(G$3:G$100=G96)*(I$3:I$100="P"))+1,IF(N96&lt;&gt;"",SUMPRODUCT((N$3:N$100&lt;&gt;"")*(G$3:G$100=G96)*(J$3:J$100&gt;J96)*(I$3:I$100="P"))+1,IF(M96="P",SUMPRODUCT((O$3:O$100&lt;&gt;"")*(P$3:P$100="")*(G$3:G$100=G96)*(I$3:I$100="P"))+SUMPRODUCT((P$3:P$100&lt;&gt;"")*(G$3:G$100=G96)*(I$3:I$100="P"))+SUMPRODUCT((N$3:N$100&lt;&gt;"")*(G$3:G$100=G96)*(I$3:I$100="P"))+SUMPRODUCT((P$3:P$100="")*(O$3:O$100="")*(N$3:N$100="")*(M$3:M$100="P")*(G$3:G$100=G96)*(J$3:J$100&gt;J96)*(I$3:I$100="P"))+IF(H96="L5",SUMPRODUCT((P$3:P$100="")*(O$3:O$100="")*(N$3:N$100="")*(M$3:M$100="P")*(G$3:G$100=G96)*(J$3:J$100&lt;J96)*(H$3:H$100&lt;&gt;H96)*(I$3:I$100="P")),-1*SUMPRODUCT((P$3:P$100="")*(O$3:O$100="")*(N$3:N$100="")*(M$3:M$100="P")*(G$3:G$100=G96)*(J$3:J$100&gt;J96)*(H$3:H$100="L5")*(I$3:I$100="P")))+1,"")))))</f>
        <v/>
      </c>
      <c r="B96" s="1" t="str" cm="1">
        <f t="array" ref="B96">IF(P96&lt;&gt;"",SUMPRODUCT((P$3:P$100&lt;&gt;"")*(G$3:G$100=G96)*(J$3:J$100&gt;J96))+1,IF(O96&lt;&gt;"",SUMPRODUCT((O$3:O$100&lt;&gt;"")*(P$3:P$100="")*(G$3:G$100=G96)*(J$3:J$100&gt;J96))+SUMPRODUCT((P$3:P$100&lt;&gt;"")*(G$3:G$100=G96))+1,IF(N96&lt;&gt;"",SUMPRODUCT((N$3:N$100&lt;&gt;"")*(G$3:G$100=G96)*(J$3:J$100&gt;J96))+1,IF(M96="P",SUMPRODUCT((O$3:O$100&lt;&gt;"")*(P$3:P$100="")*(G$3:G$100=G96))+SUMPRODUCT((P$3:P$100&lt;&gt;"")*(G$3:G$100=G96))+SUMPRODUCT((N$3:N$100&lt;&gt;"")*(G$3:G$100=G96))+SUMPRODUCT((P$3:P$100="")*(O$3:O$100="")*(N$3:N$100="")*(M$3:M$100="P")*(G$3:G$100=G96)*(J$3:J$100&gt;J96))+IF(H96="L5",SUMPRODUCT((P$3:P$100="")*(O$3:O$100="")*(N$3:N$100="")*(M$3:M$100="P")*(G$3:G$100=G96)*(J$3:J$100&lt;J96)*(H$3:H$100&lt;&gt;H96)),-1*SUMPRODUCT((P$3:P$100="")*(O$3:O$100="")*(N$3:N$100="")*(M$3:M$100="P")*(G$3:G$100=G96)*(J$3:J$100&gt;J96)*(H$3:H$100="L5")))+1,""))))</f>
        <v/>
      </c>
      <c r="C96" s="36" t="s">
        <v>520</v>
      </c>
      <c r="D96" s="36" t="str">
        <f>IF(E96="","",VLOOKUP(E96,'Coaching Points'!A:B,2,0))</f>
        <v>BC</v>
      </c>
      <c r="E96" s="36" t="s">
        <v>290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8"/>
        <v>83.300004310000006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 t="shared" si="9"/>
        <v/>
      </c>
      <c r="R96" s="4">
        <f t="shared" si="10"/>
        <v>43.1</v>
      </c>
      <c r="S96" s="4">
        <f t="shared" si="11"/>
        <v>40.200000000000003</v>
      </c>
      <c r="T96" s="33"/>
      <c r="U96" s="40"/>
      <c r="V96" s="34"/>
      <c r="W96" s="40"/>
      <c r="X96" s="33">
        <v>43.1</v>
      </c>
      <c r="Y96" s="40">
        <v>6.4</v>
      </c>
      <c r="Z96" s="34">
        <v>40.200000000000003</v>
      </c>
      <c r="AA96" s="37">
        <v>5</v>
      </c>
    </row>
    <row r="97" spans="1:27" x14ac:dyDescent="0.2">
      <c r="A97" s="1" t="str" cm="1">
        <f t="array" ref="A97">IF(I97="","",IF(P97&lt;&gt;"",SUMPRODUCT((P$3:P$100&lt;&gt;"")*(G$3:G$100=G97)*(J$3:J$100&gt;J97)*(I$3:I$100="P"))+1,IF(O97&lt;&gt;"",SUMPRODUCT((O$3:O$100&lt;&gt;"")*(P$3:P$100="")*(G$3:G$100=G97)*(J$3:J$100&gt;J97)*(I$3:I$100="P"))+SUMPRODUCT((P$3:P$100&lt;&gt;"")*(G$3:G$100=G97)*(I$3:I$100="P"))+1,IF(N97&lt;&gt;"",SUMPRODUCT((N$3:N$100&lt;&gt;"")*(G$3:G$100=G97)*(J$3:J$100&gt;J97)*(I$3:I$100="P"))+1,IF(M97="P",SUMPRODUCT((O$3:O$100&lt;&gt;"")*(P$3:P$100="")*(G$3:G$100=G97)*(I$3:I$100="P"))+SUMPRODUCT((P$3:P$100&lt;&gt;"")*(G$3:G$100=G97)*(I$3:I$100="P"))+SUMPRODUCT((N$3:N$100&lt;&gt;"")*(G$3:G$100=G97)*(I$3:I$100="P"))+SUMPRODUCT((P$3:P$100="")*(O$3:O$100="")*(N$3:N$100="")*(M$3:M$100="P")*(G$3:G$100=G97)*(J$3:J$100&gt;J97)*(I$3:I$100="P"))+IF(H97="L5",SUMPRODUCT((P$3:P$100="")*(O$3:O$100="")*(N$3:N$100="")*(M$3:M$100="P")*(G$3:G$100=G97)*(J$3:J$100&lt;J97)*(H$3:H$100&lt;&gt;H97)*(I$3:I$100="P")),-1*SUMPRODUCT((P$3:P$100="")*(O$3:O$100="")*(N$3:N$100="")*(M$3:M$100="P")*(G$3:G$100=G97)*(J$3:J$100&gt;J97)*(H$3:H$100="L5")*(I$3:I$100="P")))+1,"")))))</f>
        <v/>
      </c>
      <c r="B97" s="1" t="str" cm="1">
        <f t="array" ref="B97">IF(P97&lt;&gt;"",SUMPRODUCT((P$3:P$100&lt;&gt;"")*(G$3:G$100=G97)*(J$3:J$100&gt;J97))+1,IF(O97&lt;&gt;"",SUMPRODUCT((O$3:O$100&lt;&gt;"")*(P$3:P$100="")*(G$3:G$100=G97)*(J$3:J$100&gt;J97))+SUMPRODUCT((P$3:P$100&lt;&gt;"")*(G$3:G$100=G97))+1,IF(N97&lt;&gt;"",SUMPRODUCT((N$3:N$100&lt;&gt;"")*(G$3:G$100=G97)*(J$3:J$100&gt;J97))+1,IF(M97="P",SUMPRODUCT((O$3:O$100&lt;&gt;"")*(P$3:P$100="")*(G$3:G$100=G97))+SUMPRODUCT((P$3:P$100&lt;&gt;"")*(G$3:G$100=G97))+SUMPRODUCT((N$3:N$100&lt;&gt;"")*(G$3:G$100=G97))+SUMPRODUCT((P$3:P$100="")*(O$3:O$100="")*(N$3:N$100="")*(M$3:M$100="P")*(G$3:G$100=G97)*(J$3:J$100&gt;J97))+IF(H97="L5",SUMPRODUCT((P$3:P$100="")*(O$3:O$100="")*(N$3:N$100="")*(M$3:M$100="P")*(G$3:G$100=G97)*(J$3:J$100&lt;J97)*(H$3:H$100&lt;&gt;H97)),-1*SUMPRODUCT((P$3:P$100="")*(O$3:O$100="")*(N$3:N$100="")*(M$3:M$100="P")*(G$3:G$100=G97)*(J$3:J$100&gt;J97)*(H$3:H$100="L5")))+1,""))))</f>
        <v/>
      </c>
      <c r="C97" s="36" t="s">
        <v>521</v>
      </c>
      <c r="D97" s="36" t="str">
        <f>IF(E97="","",VLOOKUP(E97,'Coaching Points'!A:B,2,0))</f>
        <v>AB</v>
      </c>
      <c r="E97" s="36" t="s">
        <v>63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8"/>
        <v>82.300004120000011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/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 t="shared" si="9"/>
        <v/>
      </c>
      <c r="R97" s="4">
        <f t="shared" si="10"/>
        <v>41.1</v>
      </c>
      <c r="S97" s="4">
        <f t="shared" si="11"/>
        <v>41.2</v>
      </c>
      <c r="T97" s="33"/>
      <c r="U97" s="40"/>
      <c r="V97" s="34"/>
      <c r="W97" s="40"/>
      <c r="X97" s="33">
        <v>41.1</v>
      </c>
      <c r="Y97" s="40">
        <v>4.9000000000000004</v>
      </c>
      <c r="Z97" s="34">
        <v>41.2</v>
      </c>
      <c r="AA97" s="37">
        <v>4.2</v>
      </c>
    </row>
    <row r="98" spans="1:27" x14ac:dyDescent="0.2">
      <c r="A98" s="1" t="str" cm="1">
        <f t="array" ref="A98">IF(I98="","",IF(P98&lt;&gt;"",SUMPRODUCT((P$3:P$100&lt;&gt;"")*(G$3:G$100=G98)*(J$3:J$100&gt;J98)*(I$3:I$100="P"))+1,IF(O98&lt;&gt;"",SUMPRODUCT((O$3:O$100&lt;&gt;"")*(P$3:P$100="")*(G$3:G$100=G98)*(J$3:J$100&gt;J98)*(I$3:I$100="P"))+SUMPRODUCT((P$3:P$100&lt;&gt;"")*(G$3:G$100=G98)*(I$3:I$100="P"))+1,IF(N98&lt;&gt;"",SUMPRODUCT((N$3:N$100&lt;&gt;"")*(G$3:G$100=G98)*(J$3:J$100&gt;J98)*(I$3:I$100="P"))+1,IF(M98="P",SUMPRODUCT((O$3:O$100&lt;&gt;"")*(P$3:P$100="")*(G$3:G$100=G98)*(I$3:I$100="P"))+SUMPRODUCT((P$3:P$100&lt;&gt;"")*(G$3:G$100=G98)*(I$3:I$100="P"))+SUMPRODUCT((N$3:N$100&lt;&gt;"")*(G$3:G$100=G98)*(I$3:I$100="P"))+SUMPRODUCT((P$3:P$100="")*(O$3:O$100="")*(N$3:N$100="")*(M$3:M$100="P")*(G$3:G$100=G98)*(J$3:J$100&gt;J98)*(I$3:I$100="P"))+IF(H98="L5",SUMPRODUCT((P$3:P$100="")*(O$3:O$100="")*(N$3:N$100="")*(M$3:M$100="P")*(G$3:G$100=G98)*(J$3:J$100&lt;J98)*(H$3:H$100&lt;&gt;H98)*(I$3:I$100="P")),-1*SUMPRODUCT((P$3:P$100="")*(O$3:O$100="")*(N$3:N$100="")*(M$3:M$100="P")*(G$3:G$100=G98)*(J$3:J$100&gt;J98)*(H$3:H$100="L5")*(I$3:I$100="P")))+1,"")))))</f>
        <v/>
      </c>
      <c r="B98" s="1" t="str" cm="1">
        <f t="array" ref="B98">IF(P98&lt;&gt;"",SUMPRODUCT((P$3:P$100&lt;&gt;"")*(G$3:G$100=G98)*(J$3:J$100&gt;J98))+1,IF(O98&lt;&gt;"",SUMPRODUCT((O$3:O$100&lt;&gt;"")*(P$3:P$100="")*(G$3:G$100=G98)*(J$3:J$100&gt;J98))+SUMPRODUCT((P$3:P$100&lt;&gt;"")*(G$3:G$100=G98))+1,IF(N98&lt;&gt;"",SUMPRODUCT((N$3:N$100&lt;&gt;"")*(G$3:G$100=G98)*(J$3:J$100&gt;J98))+1,IF(M98="P",SUMPRODUCT((O$3:O$100&lt;&gt;"")*(P$3:P$100="")*(G$3:G$100=G98))+SUMPRODUCT((P$3:P$100&lt;&gt;"")*(G$3:G$100=G98))+SUMPRODUCT((N$3:N$100&lt;&gt;"")*(G$3:G$100=G98))+SUMPRODUCT((P$3:P$100="")*(O$3:O$100="")*(N$3:N$100="")*(M$3:M$100="P")*(G$3:G$100=G98)*(J$3:J$100&gt;J98))+IF(H98="L5",SUMPRODUCT((P$3:P$100="")*(O$3:O$100="")*(N$3:N$100="")*(M$3:M$100="P")*(G$3:G$100=G98)*(J$3:J$100&lt;J98)*(H$3:H$100&lt;&gt;H98)),-1*SUMPRODUCT((P$3:P$100="")*(O$3:O$100="")*(N$3:N$100="")*(M$3:M$100="P")*(G$3:G$100=G98)*(J$3:J$100&gt;J98)*(H$3:H$100="L5")))+1,""))))</f>
        <v/>
      </c>
      <c r="C98" s="36" t="s">
        <v>326</v>
      </c>
      <c r="D98" s="36" t="str">
        <f>IF(E98="","",VLOOKUP(E98,'Coaching Points'!A:B,2,0))</f>
        <v>BC</v>
      </c>
      <c r="E98" s="36" t="s">
        <v>443</v>
      </c>
      <c r="F98" s="35">
        <v>2011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 t="shared" si="8"/>
        <v>85.300004290000004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>P</v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 t="shared" si="9"/>
        <v/>
      </c>
      <c r="R98" s="4">
        <f t="shared" si="10"/>
        <v>42.4</v>
      </c>
      <c r="S98" s="4">
        <f t="shared" si="11"/>
        <v>42.9</v>
      </c>
      <c r="T98" s="33">
        <v>42.1</v>
      </c>
      <c r="U98" s="40">
        <v>4.8000000000000007</v>
      </c>
      <c r="V98" s="34">
        <v>36.299999999999997</v>
      </c>
      <c r="W98" s="40">
        <v>4.2</v>
      </c>
      <c r="X98" s="33">
        <v>42.4</v>
      </c>
      <c r="Y98" s="40">
        <v>6.1</v>
      </c>
      <c r="Z98" s="34">
        <v>42.9</v>
      </c>
      <c r="AA98" s="37">
        <v>6</v>
      </c>
    </row>
    <row r="99" spans="1:27" x14ac:dyDescent="0.2">
      <c r="A99" s="1" t="str" cm="1">
        <f t="array" ref="A99">IF(I99="","",IF(P99&lt;&gt;"",SUMPRODUCT((P$3:P$100&lt;&gt;"")*(G$3:G$100=G99)*(J$3:J$100&gt;J99)*(I$3:I$100="P"))+1,IF(O99&lt;&gt;"",SUMPRODUCT((O$3:O$100&lt;&gt;"")*(P$3:P$100="")*(G$3:G$100=G99)*(J$3:J$100&gt;J99)*(I$3:I$100="P"))+SUMPRODUCT((P$3:P$100&lt;&gt;"")*(G$3:G$100=G99)*(I$3:I$100="P"))+1,IF(N99&lt;&gt;"",SUMPRODUCT((N$3:N$100&lt;&gt;"")*(G$3:G$100=G99)*(J$3:J$100&gt;J99)*(I$3:I$100="P"))+1,IF(M99="P",SUMPRODUCT((O$3:O$100&lt;&gt;"")*(P$3:P$100="")*(G$3:G$100=G99)*(I$3:I$100="P"))+SUMPRODUCT((P$3:P$100&lt;&gt;"")*(G$3:G$100=G99)*(I$3:I$100="P"))+SUMPRODUCT((N$3:N$100&lt;&gt;"")*(G$3:G$100=G99)*(I$3:I$100="P"))+SUMPRODUCT((P$3:P$100="")*(O$3:O$100="")*(N$3:N$100="")*(M$3:M$100="P")*(G$3:G$100=G99)*(J$3:J$100&gt;J99)*(I$3:I$100="P"))+IF(H99="L5",SUMPRODUCT((P$3:P$100="")*(O$3:O$100="")*(N$3:N$100="")*(M$3:M$100="P")*(G$3:G$100=G99)*(J$3:J$100&lt;J99)*(H$3:H$100&lt;&gt;H99)*(I$3:I$100="P")),-1*SUMPRODUCT((P$3:P$100="")*(O$3:O$100="")*(N$3:N$100="")*(M$3:M$100="P")*(G$3:G$100=G99)*(J$3:J$100&gt;J99)*(H$3:H$100="L5")*(I$3:I$100="P")))+1,"")))))</f>
        <v/>
      </c>
      <c r="B99" s="1" t="str" cm="1">
        <f t="array" ref="B99">IF(P99&lt;&gt;"",SUMPRODUCT((P$3:P$100&lt;&gt;"")*(G$3:G$100=G99)*(J$3:J$100&gt;J99))+1,IF(O99&lt;&gt;"",SUMPRODUCT((O$3:O$100&lt;&gt;"")*(P$3:P$100="")*(G$3:G$100=G99)*(J$3:J$100&gt;J99))+SUMPRODUCT((P$3:P$100&lt;&gt;"")*(G$3:G$100=G99))+1,IF(N99&lt;&gt;"",SUMPRODUCT((N$3:N$100&lt;&gt;"")*(G$3:G$100=G99)*(J$3:J$100&gt;J99))+1,IF(M99="P",SUMPRODUCT((O$3:O$100&lt;&gt;"")*(P$3:P$100="")*(G$3:G$100=G99))+SUMPRODUCT((P$3:P$100&lt;&gt;"")*(G$3:G$100=G99))+SUMPRODUCT((N$3:N$100&lt;&gt;"")*(G$3:G$100=G99))+SUMPRODUCT((P$3:P$100="")*(O$3:O$100="")*(N$3:N$100="")*(M$3:M$100="P")*(G$3:G$100=G99)*(J$3:J$100&gt;J99))+IF(H99="L5",SUMPRODUCT((P$3:P$100="")*(O$3:O$100="")*(N$3:N$100="")*(M$3:M$100="P")*(G$3:G$100=G99)*(J$3:J$100&lt;J99)*(H$3:H$100&lt;&gt;H99)),-1*SUMPRODUCT((P$3:P$100="")*(O$3:O$100="")*(N$3:N$100="")*(M$3:M$100="P")*(G$3:G$100=G99)*(J$3:J$100&gt;J99)*(H$3:H$100="L5")))+1,""))))</f>
        <v/>
      </c>
      <c r="C99" s="36" t="s">
        <v>522</v>
      </c>
      <c r="D99" s="36" t="str">
        <f>IF(E99="","",VLOOKUP(E99,'Coaching Points'!A:B,2,0))</f>
        <v>BC</v>
      </c>
      <c r="E99" s="36" t="s">
        <v>41</v>
      </c>
      <c r="F99" s="35">
        <v>2012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11-12</v>
      </c>
      <c r="H99" s="39" t="s">
        <v>66</v>
      </c>
      <c r="I99" s="43"/>
      <c r="J99" s="4">
        <f t="shared" si="8"/>
        <v>38.600003860000001</v>
      </c>
      <c r="K99" s="3" t="str">
        <f>IF(G99="Not Age Eligible","",IF(MAX(T99,V99,X99,Z99)&gt;=LOOKUP(G99,'Qualifying Scores'!$A$4:$A$7,'Qualifying Scores'!$F$4:$F$7),"P",""))</f>
        <v/>
      </c>
      <c r="L99" s="3" t="str">
        <f>IF(G99="Not Age Eligible","",IF(MAX(U99,W99,Y99,AA99)&gt;=LOOKUP(G99,'Qualifying Scores'!$A$10:$A$13,'Qualifying Scores'!$F$10:$F$13),"P",""))</f>
        <v/>
      </c>
      <c r="M99" s="3" t="str">
        <f>IF(G99="Not Age Eligible","",IF(OR(AND(T99&gt;=LOOKUP(G99,'Qualifying Scores'!$A$4:$A$7,'Qualifying Scores'!$F$4:$F$7),U99&gt;=LOOKUP(G99,'Qualifying Scores'!$A$10:$A$13,'Qualifying Scores'!$F$10:$F$13)),AND(X99&gt;=LOOKUP(G99,'Qualifying Scores'!$A$4:$A$7,'Qualifying Scores'!$F$4:$F$7),Y99&gt;=LOOKUP(G99,'Qualifying Scores'!$A$10:$A$13,'Qualifying Scores'!$F$10:$F$13)),AND(V99&gt;=LOOKUP(G99,'Qualifying Scores'!$A$4:$A$7,'Qualifying Scores'!$F$4:$F$7),W99&gt;=LOOKUP(G99,'Qualifying Scores'!$A$10:$A$13,'Qualifying Scores'!$F$10:$F$13)),AND(Z99&gt;=LOOKUP(G99,'Qualifying Scores'!$A$4:$A$7,'Qualifying Scores'!$F$4:$F$7),AA99&gt;=LOOKUP(G99,'Qualifying Scores'!$A$10:$A$13,'Qualifying Scores'!$F$10:$F$13))),"P",""))</f>
        <v/>
      </c>
      <c r="Q99" s="1" t="str">
        <f t="shared" si="9"/>
        <v/>
      </c>
      <c r="R99" s="4">
        <f t="shared" si="10"/>
        <v>38.6</v>
      </c>
      <c r="S99" s="4">
        <f t="shared" ref="S99:S130" si="12">IF(R99=T99,MAX(V99,X99,Z99),IF(R99=X99,MAX(T99,V99,Z99),0))</f>
        <v>0</v>
      </c>
      <c r="T99" s="33"/>
      <c r="U99" s="40"/>
      <c r="V99" s="34"/>
      <c r="W99" s="40"/>
      <c r="X99" s="33">
        <v>38.6</v>
      </c>
      <c r="Y99" s="40">
        <v>4.5</v>
      </c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99">
      <sortCondition descending="1" ref="G1:G100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35" priority="25">
      <formula>IF($G1="17-21",1,0)</formula>
    </cfRule>
    <cfRule type="expression" dxfId="34" priority="26">
      <formula>IF($G1="15-16",1,0)</formula>
    </cfRule>
    <cfRule type="expression" dxfId="33" priority="27">
      <formula>IF($G1="13-14",1,0)</formula>
    </cfRule>
    <cfRule type="expression" dxfId="32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$106&lt;&gt;"")*(G$3:G$106=G3)*(J$3:J$106&gt;J3)*(I$3:I$106="P"))+1,IF(O3&lt;&gt;"",SUMPRODUCT((O$3:O$106&lt;&gt;"")*(P$3:P$106="")*(G$3:G$106=G3)*(J$3:J$106&gt;J3)*(I$3:I$106="P"))+SUMPRODUCT((P$3:P$106&lt;&gt;"")*(G$3:G$106=G3)*(I$3:I$106="P"))+1,IF(N3&lt;&gt;"",SUMPRODUCT((N$3:N$106&lt;&gt;"")*(G$3:G$106=G3)*(J$3:J$106&gt;J3)*(I$3:I$106="P"))+1,IF(M3="P",SUMPRODUCT((O$3:O$106&lt;&gt;"")*(P$3:P$106="")*(G$3:G$106=G3)*(I$3:I$106="P"))+SUMPRODUCT((P$3:P$106&lt;&gt;"")*(G$3:G$106=G3)*(I$3:I$106="P"))+SUMPRODUCT((N$3:N$106&lt;&gt;"")*(G$3:G$106=G3)*(I$3:I$106="P"))+SUMPRODUCT((P$3:P$106="")*(O$3:O$106="")*(N$3:N$106="")*(M$3:M$106="P")*(G$3:G$106=G3)*(J$3:J$106&gt;J3)*(I$3:I$106="P"))+IF(H3="L5",SUMPRODUCT((P$3:P$106="")*(O$3:O$106="")*(N$3:N$106="")*(M$3:M$106="P")*(G$3:G$106=G3)*(J$3:J$106&lt;J3)*(H$3:H$106&lt;&gt;H3)*(I$3:I$106="P")),-1*SUMPRODUCT((P$3:P$106="")*(O$3:O$106="")*(N$3:N$106="")*(M$3:M$106="P")*(G$3:G$106=G3)*(J$3:J$106&gt;J3)*(H$3:H$106="L5")*(I$3:I$106="P")))+1,"")))))</f>
        <v/>
      </c>
      <c r="B3" s="1" cm="1">
        <f t="array" ref="B3">IF(P3&lt;&gt;"",SUMPRODUCT((P$3:P$106&lt;&gt;"")*(G$3:G$106=G3)*(J$3:J$106&gt;J3))+1,IF(O3&lt;&gt;"",SUMPRODUCT((O$3:O$106&lt;&gt;"")*(P$3:P$106="")*(G$3:G$106=G3)*(J$3:J$106&gt;J3))+SUMPRODUCT((P$3:P$106&lt;&gt;"")*(G$3:G$106=G3))+1,IF(N3&lt;&gt;"",SUMPRODUCT((N$3:N$106&lt;&gt;"")*(G$3:G$106=G3)*(J$3:J$106&gt;J3))+1,IF(M3="P",SUMPRODUCT((O$3:O$106&lt;&gt;"")*(P$3:P$106="")*(G$3:G$106=G3))+SUMPRODUCT((P$3:P$106&lt;&gt;"")*(G$3:G$106=G3))+SUMPRODUCT((N$3:N$106&lt;&gt;"")*(G$3:G$106=G3))+SUMPRODUCT((P$3:P$106="")*(O$3:O$106="")*(N$3:N$106="")*(M$3:M$106="P")*(G$3:G$106=G3)*(J$3:J$106&gt;J3))+IF(H3="L5",SUMPRODUCT((P$3:P$106="")*(O$3:O$106="")*(N$3:N$106="")*(M$3:M$106="P")*(G$3:G$106=G3)*(J$3:J$106&lt;J3)*(H$3:H$106&lt;&gt;H3)),-1*SUMPRODUCT((P$3:P$106="")*(O$3:O$106="")*(N$3:N$106="")*(M$3:M$106="P")*(G$3:G$106=G3)*(J$3:J$106&gt;J3)*(H$3:H$106="L5")))+1,""))))</f>
        <v>1</v>
      </c>
      <c r="C3" s="36" t="s">
        <v>361</v>
      </c>
      <c r="D3" s="36" t="str">
        <f>IF(E3="","",VLOOKUP(E3,'Coaching Points'!A:B,2,0))</f>
        <v>SK</v>
      </c>
      <c r="E3" s="36" t="s">
        <v>45</v>
      </c>
      <c r="F3" s="35">
        <v>2002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100.50020486000001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2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50.5</v>
      </c>
      <c r="S3" s="4">
        <f t="shared" ref="S3:S34" si="3">IF(R3=T3,MAX(V3,X3,Z3),IF(R3=X3,MAX(T3,V3,Z3),0))</f>
        <v>50</v>
      </c>
      <c r="T3" s="33">
        <v>50.5</v>
      </c>
      <c r="U3" s="40">
        <v>13.2</v>
      </c>
      <c r="V3" s="34">
        <v>50</v>
      </c>
      <c r="W3" s="40">
        <v>13.2</v>
      </c>
      <c r="X3" s="33">
        <v>48.2</v>
      </c>
      <c r="Y3" s="40">
        <v>11.6</v>
      </c>
      <c r="Z3" s="34">
        <v>48.6</v>
      </c>
      <c r="AA3" s="37">
        <v>11.6</v>
      </c>
    </row>
    <row r="4" spans="1:27" x14ac:dyDescent="0.2">
      <c r="A4" s="1" t="str" cm="1">
        <f t="array" ref="A4">IF(I4="","",IF(P4&lt;&gt;"",SUMPRODUCT((P$3:P$106&lt;&gt;"")*(G$3:G$106=G4)*(J$3:J$106&gt;J4)*(I$3:I$106="P"))+1,IF(O4&lt;&gt;"",SUMPRODUCT((O$3:O$106&lt;&gt;"")*(P$3:P$106="")*(G$3:G$106=G4)*(J$3:J$106&gt;J4)*(I$3:I$106="P"))+SUMPRODUCT((P$3:P$106&lt;&gt;"")*(G$3:G$106=G4)*(I$3:I$106="P"))+1,IF(N4&lt;&gt;"",SUMPRODUCT((N$3:N$106&lt;&gt;"")*(G$3:G$106=G4)*(J$3:J$106&gt;J4)*(I$3:I$106="P"))+1,IF(M4="P",SUMPRODUCT((O$3:O$106&lt;&gt;"")*(P$3:P$106="")*(G$3:G$106=G4)*(I$3:I$106="P"))+SUMPRODUCT((P$3:P$106&lt;&gt;"")*(G$3:G$106=G4)*(I$3:I$106="P"))+SUMPRODUCT((N$3:N$106&lt;&gt;"")*(G$3:G$106=G4)*(I$3:I$106="P"))+SUMPRODUCT((P$3:P$106="")*(O$3:O$106="")*(N$3:N$106="")*(M$3:M$106="P")*(G$3:G$106=G4)*(J$3:J$106&gt;J4)*(I$3:I$106="P"))+IF(H4="L5",SUMPRODUCT((P$3:P$106="")*(O$3:O$106="")*(N$3:N$106="")*(M$3:M$106="P")*(G$3:G$106=G4)*(J$3:J$106&lt;J4)*(H$3:H$106&lt;&gt;H4)*(I$3:I$106="P")),-1*SUMPRODUCT((P$3:P$106="")*(O$3:O$106="")*(N$3:N$106="")*(M$3:M$106="P")*(G$3:G$106=G4)*(J$3:J$106&gt;J4)*(H$3:H$106="L5")*(I$3:I$106="P")))+1,"")))))</f>
        <v/>
      </c>
      <c r="B4" s="1" cm="1">
        <f t="array" ref="B4">IF(P4&lt;&gt;"",SUMPRODUCT((P$3:P$106&lt;&gt;"")*(G$3:G$106=G4)*(J$3:J$106&gt;J4))+1,IF(O4&lt;&gt;"",SUMPRODUCT((O$3:O$106&lt;&gt;"")*(P$3:P$106="")*(G$3:G$106=G4)*(J$3:J$106&gt;J4))+SUMPRODUCT((P$3:P$106&lt;&gt;"")*(G$3:G$106=G4))+1,IF(N4&lt;&gt;"",SUMPRODUCT((N$3:N$106&lt;&gt;"")*(G$3:G$106=G4)*(J$3:J$106&gt;J4))+1,IF(M4="P",SUMPRODUCT((O$3:O$106&lt;&gt;"")*(P$3:P$106="")*(G$3:G$106=G4))+SUMPRODUCT((P$3:P$106&lt;&gt;"")*(G$3:G$106=G4))+SUMPRODUCT((N$3:N$106&lt;&gt;"")*(G$3:G$106=G4))+SUMPRODUCT((P$3:P$106="")*(O$3:O$106="")*(N$3:N$106="")*(M$3:M$106="P")*(G$3:G$106=G4)*(J$3:J$106&gt;J4))+IF(H4="L5",SUMPRODUCT((P$3:P$106="")*(O$3:O$106="")*(N$3:N$106="")*(M$3:M$106="P")*(G$3:G$106=G4)*(J$3:J$106&lt;J4)*(H$3:H$106&lt;&gt;H4)),-1*SUMPRODUCT((P$3:P$106="")*(O$3:O$106="")*(N$3:N$106="")*(M$3:M$106="P")*(G$3:G$106=G4)*(J$3:J$106&gt;J4)*(H$3:H$106="L5")))+1,""))))</f>
        <v>2</v>
      </c>
      <c r="C4" s="36" t="s">
        <v>362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99.200204929999998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4</v>
      </c>
      <c r="Q4" s="1" t="str">
        <f t="shared" si="1"/>
        <v/>
      </c>
      <c r="R4" s="4">
        <f t="shared" si="2"/>
        <v>49.9</v>
      </c>
      <c r="S4" s="4">
        <f t="shared" si="3"/>
        <v>49.3</v>
      </c>
      <c r="T4" s="33">
        <v>49.9</v>
      </c>
      <c r="U4" s="40">
        <v>12.4</v>
      </c>
      <c r="V4" s="34">
        <v>49.2</v>
      </c>
      <c r="W4" s="40">
        <v>12.4</v>
      </c>
      <c r="X4" s="33">
        <v>49.3</v>
      </c>
      <c r="Y4" s="40">
        <v>12.4</v>
      </c>
      <c r="Z4" s="34">
        <v>42.4</v>
      </c>
      <c r="AA4" s="37">
        <v>9.3000000000000007</v>
      </c>
    </row>
    <row r="5" spans="1:27" x14ac:dyDescent="0.2">
      <c r="A5" s="1" t="str" cm="1">
        <f t="array" ref="A5">IF(I5="","",IF(P5&lt;&gt;"",SUMPRODUCT((P$3:P$106&lt;&gt;"")*(G$3:G$106=G5)*(J$3:J$106&gt;J5)*(I$3:I$106="P"))+1,IF(O5&lt;&gt;"",SUMPRODUCT((O$3:O$106&lt;&gt;"")*(P$3:P$106="")*(G$3:G$106=G5)*(J$3:J$106&gt;J5)*(I$3:I$106="P"))+SUMPRODUCT((P$3:P$106&lt;&gt;"")*(G$3:G$106=G5)*(I$3:I$106="P"))+1,IF(N5&lt;&gt;"",SUMPRODUCT((N$3:N$106&lt;&gt;"")*(G$3:G$106=G5)*(J$3:J$106&gt;J5)*(I$3:I$106="P"))+1,IF(M5="P",SUMPRODUCT((O$3:O$106&lt;&gt;"")*(P$3:P$106="")*(G$3:G$106=G5)*(I$3:I$106="P"))+SUMPRODUCT((P$3:P$106&lt;&gt;"")*(G$3:G$106=G5)*(I$3:I$106="P"))+SUMPRODUCT((N$3:N$106&lt;&gt;"")*(G$3:G$106=G5)*(I$3:I$106="P"))+SUMPRODUCT((P$3:P$106="")*(O$3:O$106="")*(N$3:N$106="")*(M$3:M$106="P")*(G$3:G$106=G5)*(J$3:J$106&gt;J5)*(I$3:I$106="P"))+IF(H5="L5",SUMPRODUCT((P$3:P$106="")*(O$3:O$106="")*(N$3:N$106="")*(M$3:M$106="P")*(G$3:G$106=G5)*(J$3:J$106&lt;J5)*(H$3:H$106&lt;&gt;H5)*(I$3:I$106="P")),-1*SUMPRODUCT((P$3:P$106="")*(O$3:O$106="")*(N$3:N$106="")*(M$3:M$106="P")*(G$3:G$106=G5)*(J$3:J$106&gt;J5)*(H$3:H$106="L5")*(I$3:I$106="P")))+1,"")))))</f>
        <v/>
      </c>
      <c r="B5" s="1" cm="1">
        <f t="array" ref="B5">IF(P5&lt;&gt;"",SUMPRODUCT((P$3:P$106&lt;&gt;"")*(G$3:G$106=G5)*(J$3:J$106&gt;J5))+1,IF(O5&lt;&gt;"",SUMPRODUCT((O$3:O$106&lt;&gt;"")*(P$3:P$106="")*(G$3:G$106=G5)*(J$3:J$106&gt;J5))+SUMPRODUCT((P$3:P$106&lt;&gt;"")*(G$3:G$106=G5))+1,IF(N5&lt;&gt;"",SUMPRODUCT((N$3:N$106&lt;&gt;"")*(G$3:G$106=G5)*(J$3:J$106&gt;J5))+1,IF(M5="P",SUMPRODUCT((O$3:O$106&lt;&gt;"")*(P$3:P$106="")*(G$3:G$106=G5))+SUMPRODUCT((P$3:P$106&lt;&gt;"")*(G$3:G$106=G5))+SUMPRODUCT((N$3:N$106&lt;&gt;"")*(G$3:G$106=G5))+SUMPRODUCT((P$3:P$106="")*(O$3:O$106="")*(N$3:N$106="")*(M$3:M$106="P")*(G$3:G$106=G5)*(J$3:J$106&gt;J5))+IF(H5="L5",SUMPRODUCT((P$3:P$106="")*(O$3:O$106="")*(N$3:N$106="")*(M$3:M$106="P")*(G$3:G$106=G5)*(J$3:J$106&lt;J5)*(H$3:H$106&lt;&gt;H5)),-1*SUMPRODUCT((P$3:P$106="")*(O$3:O$106="")*(N$3:N$106="")*(M$3:M$106="P")*(G$3:G$106=G5)*(J$3:J$106&gt;J5)*(H$3:H$106="L5")))+1,""))))</f>
        <v>3</v>
      </c>
      <c r="C5" s="36" t="s">
        <v>159</v>
      </c>
      <c r="D5" s="36" t="str">
        <f>IF(E5="","",VLOOKUP(E5,'Coaching Points'!A:B,2,0))</f>
        <v>BC</v>
      </c>
      <c r="E5" s="36" t="s">
        <v>41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95.700204710000008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7</v>
      </c>
      <c r="Q5" s="1" t="str">
        <f t="shared" si="1"/>
        <v/>
      </c>
      <c r="R5" s="4">
        <f t="shared" si="2"/>
        <v>48.6</v>
      </c>
      <c r="S5" s="4">
        <f t="shared" si="3"/>
        <v>47.1</v>
      </c>
      <c r="T5" s="33">
        <v>48.6</v>
      </c>
      <c r="U5" s="40">
        <v>11.6</v>
      </c>
      <c r="V5" s="34">
        <v>47.1</v>
      </c>
      <c r="W5" s="40">
        <v>11.2</v>
      </c>
      <c r="X5" s="33">
        <v>47.1</v>
      </c>
      <c r="Y5" s="40">
        <v>11.600000000000001</v>
      </c>
      <c r="Z5" s="34">
        <v>44.4</v>
      </c>
      <c r="AA5" s="37">
        <v>8.8000000000000007</v>
      </c>
    </row>
    <row r="6" spans="1:27" x14ac:dyDescent="0.2">
      <c r="A6" s="1" t="str" cm="1">
        <f t="array" ref="A6">IF(I6="","",IF(P6&lt;&gt;"",SUMPRODUCT((P$3:P$106&lt;&gt;"")*(G$3:G$106=G6)*(J$3:J$106&gt;J6)*(I$3:I$106="P"))+1,IF(O6&lt;&gt;"",SUMPRODUCT((O$3:O$106&lt;&gt;"")*(P$3:P$106="")*(G$3:G$106=G6)*(J$3:J$106&gt;J6)*(I$3:I$106="P"))+SUMPRODUCT((P$3:P$106&lt;&gt;"")*(G$3:G$106=G6)*(I$3:I$106="P"))+1,IF(N6&lt;&gt;"",SUMPRODUCT((N$3:N$106&lt;&gt;"")*(G$3:G$106=G6)*(J$3:J$106&gt;J6)*(I$3:I$106="P"))+1,IF(M6="P",SUMPRODUCT((O$3:O$106&lt;&gt;"")*(P$3:P$106="")*(G$3:G$106=G6)*(I$3:I$106="P"))+SUMPRODUCT((P$3:P$106&lt;&gt;"")*(G$3:G$106=G6)*(I$3:I$106="P"))+SUMPRODUCT((N$3:N$106&lt;&gt;"")*(G$3:G$106=G6)*(I$3:I$106="P"))+SUMPRODUCT((P$3:P$106="")*(O$3:O$106="")*(N$3:N$106="")*(M$3:M$106="P")*(G$3:G$106=G6)*(J$3:J$106&gt;J6)*(I$3:I$106="P"))+IF(H6="L5",SUMPRODUCT((P$3:P$106="")*(O$3:O$106="")*(N$3:N$106="")*(M$3:M$106="P")*(G$3:G$106=G6)*(J$3:J$106&lt;J6)*(H$3:H$106&lt;&gt;H6)*(I$3:I$106="P")),-1*SUMPRODUCT((P$3:P$106="")*(O$3:O$106="")*(N$3:N$106="")*(M$3:M$106="P")*(G$3:G$106=G6)*(J$3:J$106&gt;J6)*(H$3:H$106="L5")*(I$3:I$106="P")))+1,"")))))</f>
        <v/>
      </c>
      <c r="B6" s="1" cm="1">
        <f t="array" ref="B6">IF(P6&lt;&gt;"",SUMPRODUCT((P$3:P$106&lt;&gt;"")*(G$3:G$106=G6)*(J$3:J$106&gt;J6))+1,IF(O6&lt;&gt;"",SUMPRODUCT((O$3:O$106&lt;&gt;"")*(P$3:P$106="")*(G$3:G$106=G6)*(J$3:J$106&gt;J6))+SUMPRODUCT((P$3:P$106&lt;&gt;"")*(G$3:G$106=G6))+1,IF(N6&lt;&gt;"",SUMPRODUCT((N$3:N$106&lt;&gt;"")*(G$3:G$106=G6)*(J$3:J$106&gt;J6))+1,IF(M6="P",SUMPRODUCT((O$3:O$106&lt;&gt;"")*(P$3:P$106="")*(G$3:G$106=G6))+SUMPRODUCT((P$3:P$106&lt;&gt;"")*(G$3:G$106=G6))+SUMPRODUCT((N$3:N$106&lt;&gt;"")*(G$3:G$106=G6))+SUMPRODUCT((P$3:P$106="")*(O$3:O$106="")*(N$3:N$106="")*(M$3:M$106="P")*(G$3:G$106=G6)*(J$3:J$106&gt;J6))+IF(H6="L5",SUMPRODUCT((P$3:P$106="")*(O$3:O$106="")*(N$3:N$106="")*(M$3:M$106="P")*(G$3:G$106=G6)*(J$3:J$106&lt;J6)*(H$3:H$106&lt;&gt;H6)),-1*SUMPRODUCT((P$3:P$106="")*(O$3:O$106="")*(N$3:N$106="")*(M$3:M$106="P")*(G$3:G$106=G6)*(J$3:J$106&gt;J6)*(H$3:H$106="L5")))+1,""))))</f>
        <v>4</v>
      </c>
      <c r="C6" s="36" t="s">
        <v>363</v>
      </c>
      <c r="D6" s="36" t="str">
        <f>IF(E6="","",VLOOKUP(E6,'Coaching Points'!A:B,2,0))</f>
        <v>QC</v>
      </c>
      <c r="E6" s="36" t="s">
        <v>291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95.000204780000004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O6" s="39">
        <v>4</v>
      </c>
      <c r="Q6" s="1" t="str">
        <f t="shared" si="1"/>
        <v/>
      </c>
      <c r="R6" s="4">
        <f t="shared" si="2"/>
        <v>47.2</v>
      </c>
      <c r="S6" s="4">
        <f t="shared" si="3"/>
        <v>47.8</v>
      </c>
      <c r="T6" s="33">
        <v>47</v>
      </c>
      <c r="U6" s="40">
        <v>10.8</v>
      </c>
      <c r="V6" s="34">
        <v>23.2</v>
      </c>
      <c r="W6" s="40">
        <v>5.2</v>
      </c>
      <c r="X6" s="33">
        <v>47.2</v>
      </c>
      <c r="Y6" s="40">
        <v>10</v>
      </c>
      <c r="Z6" s="34">
        <v>47.8</v>
      </c>
      <c r="AA6" s="37">
        <v>10.8</v>
      </c>
    </row>
    <row r="7" spans="1:27" x14ac:dyDescent="0.2">
      <c r="A7" s="1" t="str" cm="1">
        <f t="array" ref="A7">IF(I7="","",IF(P7&lt;&gt;"",SUMPRODUCT((P$3:P$106&lt;&gt;"")*(G$3:G$106=G7)*(J$3:J$106&gt;J7)*(I$3:I$106="P"))+1,IF(O7&lt;&gt;"",SUMPRODUCT((O$3:O$106&lt;&gt;"")*(P$3:P$106="")*(G$3:G$106=G7)*(J$3:J$106&gt;J7)*(I$3:I$106="P"))+SUMPRODUCT((P$3:P$106&lt;&gt;"")*(G$3:G$106=G7)*(I$3:I$106="P"))+1,IF(N7&lt;&gt;"",SUMPRODUCT((N$3:N$106&lt;&gt;"")*(G$3:G$106=G7)*(J$3:J$106&gt;J7)*(I$3:I$106="P"))+1,IF(M7="P",SUMPRODUCT((O$3:O$106&lt;&gt;"")*(P$3:P$106="")*(G$3:G$106=G7)*(I$3:I$106="P"))+SUMPRODUCT((P$3:P$106&lt;&gt;"")*(G$3:G$106=G7)*(I$3:I$106="P"))+SUMPRODUCT((N$3:N$106&lt;&gt;"")*(G$3:G$106=G7)*(I$3:I$106="P"))+SUMPRODUCT((P$3:P$106="")*(O$3:O$106="")*(N$3:N$106="")*(M$3:M$106="P")*(G$3:G$106=G7)*(J$3:J$106&gt;J7)*(I$3:I$106="P"))+IF(H7="L5",SUMPRODUCT((P$3:P$106="")*(O$3:O$106="")*(N$3:N$106="")*(M$3:M$106="P")*(G$3:G$106=G7)*(J$3:J$106&lt;J7)*(H$3:H$106&lt;&gt;H7)*(I$3:I$106="P")),-1*SUMPRODUCT((P$3:P$106="")*(O$3:O$106="")*(N$3:N$106="")*(M$3:M$106="P")*(G$3:G$106=G7)*(J$3:J$106&gt;J7)*(H$3:H$106="L5")*(I$3:I$106="P")))+1,"")))))</f>
        <v/>
      </c>
      <c r="B7" s="1" cm="1">
        <f t="array" ref="B7">IF(P7&lt;&gt;"",SUMPRODUCT((P$3:P$106&lt;&gt;"")*(G$3:G$106=G7)*(J$3:J$106&gt;J7))+1,IF(O7&lt;&gt;"",SUMPRODUCT((O$3:O$106&lt;&gt;"")*(P$3:P$106="")*(G$3:G$106=G7)*(J$3:J$106&gt;J7))+SUMPRODUCT((P$3:P$106&lt;&gt;"")*(G$3:G$106=G7))+1,IF(N7&lt;&gt;"",SUMPRODUCT((N$3:N$106&lt;&gt;"")*(G$3:G$106=G7)*(J$3:J$106&gt;J7))+1,IF(M7="P",SUMPRODUCT((O$3:O$106&lt;&gt;"")*(P$3:P$106="")*(G$3:G$106=G7))+SUMPRODUCT((P$3:P$106&lt;&gt;"")*(G$3:G$106=G7))+SUMPRODUCT((N$3:N$106&lt;&gt;"")*(G$3:G$106=G7))+SUMPRODUCT((P$3:P$106="")*(O$3:O$106="")*(N$3:N$106="")*(M$3:M$106="P")*(G$3:G$106=G7)*(J$3:J$106&gt;J7))+IF(H7="L5",SUMPRODUCT((P$3:P$106="")*(O$3:O$106="")*(N$3:N$106="")*(M$3:M$106="P")*(G$3:G$106=G7)*(J$3:J$106&lt;J7)*(H$3:H$106&lt;&gt;H7)),-1*SUMPRODUCT((P$3:P$106="")*(O$3:O$106="")*(N$3:N$106="")*(M$3:M$106="P")*(G$3:G$106=G7)*(J$3:J$106&gt;J7)*(H$3:H$106="L5")))+1,""))))</f>
        <v>5</v>
      </c>
      <c r="C7" s="36" t="s">
        <v>359</v>
      </c>
      <c r="D7" s="36" t="str">
        <f>IF(E7="","",VLOOKUP(E7,'Coaching Points'!A:B,2,0))</f>
        <v>AB</v>
      </c>
      <c r="E7" s="36" t="s">
        <v>63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94.500104730000004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 t="shared" si="1"/>
        <v/>
      </c>
      <c r="R7" s="4">
        <f t="shared" si="2"/>
        <v>47.2</v>
      </c>
      <c r="S7" s="4">
        <f t="shared" si="3"/>
        <v>47.3</v>
      </c>
      <c r="T7" s="33">
        <v>47</v>
      </c>
      <c r="U7" s="40">
        <v>10.4</v>
      </c>
      <c r="V7" s="34">
        <v>46.1</v>
      </c>
      <c r="W7" s="40">
        <v>10.4</v>
      </c>
      <c r="X7" s="33">
        <v>47.2</v>
      </c>
      <c r="Y7" s="40">
        <v>11.6</v>
      </c>
      <c r="Z7" s="34">
        <v>47.3</v>
      </c>
      <c r="AA7" s="37">
        <v>11.6</v>
      </c>
    </row>
    <row r="8" spans="1:27" x14ac:dyDescent="0.2">
      <c r="A8" s="1" t="str" cm="1">
        <f t="array" ref="A8">IF(I8="","",IF(P8&lt;&gt;"",SUMPRODUCT((P$3:P$106&lt;&gt;"")*(G$3:G$106=G8)*(J$3:J$106&gt;J8)*(I$3:I$106="P"))+1,IF(O8&lt;&gt;"",SUMPRODUCT((O$3:O$106&lt;&gt;"")*(P$3:P$106="")*(G$3:G$106=G8)*(J$3:J$106&gt;J8)*(I$3:I$106="P"))+SUMPRODUCT((P$3:P$106&lt;&gt;"")*(G$3:G$106=G8)*(I$3:I$106="P"))+1,IF(N8&lt;&gt;"",SUMPRODUCT((N$3:N$106&lt;&gt;"")*(G$3:G$106=G8)*(J$3:J$106&gt;J8)*(I$3:I$106="P"))+1,IF(M8="P",SUMPRODUCT((O$3:O$106&lt;&gt;"")*(P$3:P$106="")*(G$3:G$106=G8)*(I$3:I$106="P"))+SUMPRODUCT((P$3:P$106&lt;&gt;"")*(G$3:G$106=G8)*(I$3:I$106="P"))+SUMPRODUCT((N$3:N$106&lt;&gt;"")*(G$3:G$106=G8)*(I$3:I$106="P"))+SUMPRODUCT((P$3:P$106="")*(O$3:O$106="")*(N$3:N$106="")*(M$3:M$106="P")*(G$3:G$106=G8)*(J$3:J$106&gt;J8)*(I$3:I$106="P"))+IF(H8="L5",SUMPRODUCT((P$3:P$106="")*(O$3:O$106="")*(N$3:N$106="")*(M$3:M$106="P")*(G$3:G$106=G8)*(J$3:J$106&lt;J8)*(H$3:H$106&lt;&gt;H8)*(I$3:I$106="P")),-1*SUMPRODUCT((P$3:P$106="")*(O$3:O$106="")*(N$3:N$106="")*(M$3:M$106="P")*(G$3:G$106=G8)*(J$3:J$106&gt;J8)*(H$3:H$106="L5")*(I$3:I$106="P")))+1,"")))))</f>
        <v/>
      </c>
      <c r="B8" s="1" cm="1">
        <f t="array" ref="B8">IF(P8&lt;&gt;"",SUMPRODUCT((P$3:P$106&lt;&gt;"")*(G$3:G$106=G8)*(J$3:J$106&gt;J8))+1,IF(O8&lt;&gt;"",SUMPRODUCT((O$3:O$106&lt;&gt;"")*(P$3:P$106="")*(G$3:G$106=G8)*(J$3:J$106&gt;J8))+SUMPRODUCT((P$3:P$106&lt;&gt;"")*(G$3:G$106=G8))+1,IF(N8&lt;&gt;"",SUMPRODUCT((N$3:N$106&lt;&gt;"")*(G$3:G$106=G8)*(J$3:J$106&gt;J8))+1,IF(M8="P",SUMPRODUCT((O$3:O$106&lt;&gt;"")*(P$3:P$106="")*(G$3:G$106=G8))+SUMPRODUCT((P$3:P$106&lt;&gt;"")*(G$3:G$106=G8))+SUMPRODUCT((N$3:N$106&lt;&gt;"")*(G$3:G$106=G8))+SUMPRODUCT((P$3:P$106="")*(O$3:O$106="")*(N$3:N$106="")*(M$3:M$106="P")*(G$3:G$106=G8)*(J$3:J$106&gt;J8))+IF(H8="L5",SUMPRODUCT((P$3:P$106="")*(O$3:O$106="")*(N$3:N$106="")*(M$3:M$106="P")*(G$3:G$106=G8)*(J$3:J$106&lt;J8)*(H$3:H$106&lt;&gt;H8)),-1*SUMPRODUCT((P$3:P$106="")*(O$3:O$106="")*(N$3:N$106="")*(M$3:M$106="P")*(G$3:G$106=G8)*(J$3:J$106&gt;J8)*(H$3:H$106="L5")))+1,""))))</f>
        <v>6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 t="shared" si="1"/>
        <v/>
      </c>
      <c r="R8" s="4">
        <f t="shared" si="2"/>
        <v>46.6</v>
      </c>
      <c r="S8" s="4">
        <f t="shared" si="3"/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$106&lt;&gt;"")*(G$3:G$106=G9)*(J$3:J$106&gt;J9)*(I$3:I$106="P"))+1,IF(O9&lt;&gt;"",SUMPRODUCT((O$3:O$106&lt;&gt;"")*(P$3:P$106="")*(G$3:G$106=G9)*(J$3:J$106&gt;J9)*(I$3:I$106="P"))+SUMPRODUCT((P$3:P$106&lt;&gt;"")*(G$3:G$106=G9)*(I$3:I$106="P"))+1,IF(N9&lt;&gt;"",SUMPRODUCT((N$3:N$106&lt;&gt;"")*(G$3:G$106=G9)*(J$3:J$106&gt;J9)*(I$3:I$106="P"))+1,IF(M9="P",SUMPRODUCT((O$3:O$106&lt;&gt;"")*(P$3:P$106="")*(G$3:G$106=G9)*(I$3:I$106="P"))+SUMPRODUCT((P$3:P$106&lt;&gt;"")*(G$3:G$106=G9)*(I$3:I$106="P"))+SUMPRODUCT((N$3:N$106&lt;&gt;"")*(G$3:G$106=G9)*(I$3:I$106="P"))+SUMPRODUCT((P$3:P$106="")*(O$3:O$106="")*(N$3:N$106="")*(M$3:M$106="P")*(G$3:G$106=G9)*(J$3:J$106&gt;J9)*(I$3:I$106="P"))+IF(H9="L5",SUMPRODUCT((P$3:P$106="")*(O$3:O$106="")*(N$3:N$106="")*(M$3:M$106="P")*(G$3:G$106=G9)*(J$3:J$106&lt;J9)*(H$3:H$106&lt;&gt;H9)*(I$3:I$106="P")),-1*SUMPRODUCT((P$3:P$106="")*(O$3:O$106="")*(N$3:N$106="")*(M$3:M$106="P")*(G$3:G$106=G9)*(J$3:J$106&gt;J9)*(H$3:H$106="L5")*(I$3:I$106="P")))+1,"")))))</f>
        <v/>
      </c>
      <c r="B9" s="1" cm="1">
        <f t="array" ref="B9">IF(P9&lt;&gt;"",SUMPRODUCT((P$3:P$106&lt;&gt;"")*(G$3:G$106=G9)*(J$3:J$106&gt;J9))+1,IF(O9&lt;&gt;"",SUMPRODUCT((O$3:O$106&lt;&gt;"")*(P$3:P$106="")*(G$3:G$106=G9)*(J$3:J$106&gt;J9))+SUMPRODUCT((P$3:P$106&lt;&gt;"")*(G$3:G$106=G9))+1,IF(N9&lt;&gt;"",SUMPRODUCT((N$3:N$106&lt;&gt;"")*(G$3:G$106=G9)*(J$3:J$106&gt;J9))+1,IF(M9="P",SUMPRODUCT((O$3:O$106&lt;&gt;"")*(P$3:P$106="")*(G$3:G$106=G9))+SUMPRODUCT((P$3:P$106&lt;&gt;"")*(G$3:G$106=G9))+SUMPRODUCT((N$3:N$106&lt;&gt;"")*(G$3:G$106=G9))+SUMPRODUCT((P$3:P$106="")*(O$3:O$106="")*(N$3:N$106="")*(M$3:M$106="P")*(G$3:G$106=G9)*(J$3:J$106&gt;J9))+IF(H9="L5",SUMPRODUCT((P$3:P$106="")*(O$3:O$106="")*(N$3:N$106="")*(M$3:M$106="P")*(G$3:G$106=G9)*(J$3:J$106&lt;J9)*(H$3:H$106&lt;&gt;H9)),-1*SUMPRODUCT((P$3:P$106="")*(O$3:O$106="")*(N$3:N$106="")*(M$3:M$106="P")*(G$3:G$106=G9)*(J$3:J$106&gt;J9)*(H$3:H$106="L5")))+1,""))))</f>
        <v>7</v>
      </c>
      <c r="C9" s="36" t="s">
        <v>353</v>
      </c>
      <c r="D9" s="36" t="str">
        <f>IF(E9="","",VLOOKUP(E9,'Coaching Points'!A:B,2,0))</f>
        <v>BC</v>
      </c>
      <c r="E9" s="36" t="s">
        <v>41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66</v>
      </c>
      <c r="I9" s="43"/>
      <c r="J9" s="4">
        <f t="shared" si="0"/>
        <v>92.400004660000008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Q9" s="1" t="str">
        <f t="shared" si="1"/>
        <v/>
      </c>
      <c r="R9" s="4">
        <f t="shared" si="2"/>
        <v>46.6</v>
      </c>
      <c r="S9" s="4">
        <f t="shared" si="3"/>
        <v>45.8</v>
      </c>
      <c r="T9" s="33">
        <v>40.5</v>
      </c>
      <c r="U9" s="40">
        <v>5.1000000000000005</v>
      </c>
      <c r="V9" s="34"/>
      <c r="W9" s="40"/>
      <c r="X9" s="33">
        <v>46.6</v>
      </c>
      <c r="Y9" s="40">
        <v>10.4</v>
      </c>
      <c r="Z9" s="34">
        <v>45.8</v>
      </c>
      <c r="AA9" s="37">
        <v>10.8</v>
      </c>
    </row>
    <row r="10" spans="1:27" x14ac:dyDescent="0.2">
      <c r="A10" s="1" t="str" cm="1">
        <f t="array" ref="A10">IF(I10="","",IF(P10&lt;&gt;"",SUMPRODUCT((P$3:P$106&lt;&gt;"")*(G$3:G$106=G10)*(J$3:J$106&gt;J10)*(I$3:I$106="P"))+1,IF(O10&lt;&gt;"",SUMPRODUCT((O$3:O$106&lt;&gt;"")*(P$3:P$106="")*(G$3:G$106=G10)*(J$3:J$106&gt;J10)*(I$3:I$106="P"))+SUMPRODUCT((P$3:P$106&lt;&gt;"")*(G$3:G$106=G10)*(I$3:I$106="P"))+1,IF(N10&lt;&gt;"",SUMPRODUCT((N$3:N$106&lt;&gt;"")*(G$3:G$106=G10)*(J$3:J$106&gt;J10)*(I$3:I$106="P"))+1,IF(M10="P",SUMPRODUCT((O$3:O$106&lt;&gt;"")*(P$3:P$106="")*(G$3:G$106=G10)*(I$3:I$106="P"))+SUMPRODUCT((P$3:P$106&lt;&gt;"")*(G$3:G$106=G10)*(I$3:I$106="P"))+SUMPRODUCT((N$3:N$106&lt;&gt;"")*(G$3:G$106=G10)*(I$3:I$106="P"))+SUMPRODUCT((P$3:P$106="")*(O$3:O$106="")*(N$3:N$106="")*(M$3:M$106="P")*(G$3:G$106=G10)*(J$3:J$106&gt;J10)*(I$3:I$106="P"))+IF(H10="L5",SUMPRODUCT((P$3:P$106="")*(O$3:O$106="")*(N$3:N$106="")*(M$3:M$106="P")*(G$3:G$106=G10)*(J$3:J$106&lt;J10)*(H$3:H$106&lt;&gt;H10)*(I$3:I$106="P")),-1*SUMPRODUCT((P$3:P$106="")*(O$3:O$106="")*(N$3:N$106="")*(M$3:M$106="P")*(G$3:G$106=G10)*(J$3:J$106&gt;J10)*(H$3:H$106="L5")*(I$3:I$106="P")))+1,"")))))</f>
        <v/>
      </c>
      <c r="B10" s="1" t="str" cm="1">
        <f t="array" ref="B10">IF(P10&lt;&gt;"",SUMPRODUCT((P$3:P$106&lt;&gt;"")*(G$3:G$106=G10)*(J$3:J$106&gt;J10))+1,IF(O10&lt;&gt;"",SUMPRODUCT((O$3:O$106&lt;&gt;"")*(P$3:P$106="")*(G$3:G$106=G10)*(J$3:J$106&gt;J10))+SUMPRODUCT((P$3:P$106&lt;&gt;"")*(G$3:G$106=G10))+1,IF(N10&lt;&gt;"",SUMPRODUCT((N$3:N$106&lt;&gt;"")*(G$3:G$106=G10)*(J$3:J$106&gt;J10))+1,IF(M10="P",SUMPRODUCT((O$3:O$106&lt;&gt;"")*(P$3:P$106="")*(G$3:G$106=G10))+SUMPRODUCT((P$3:P$106&lt;&gt;"")*(G$3:G$106=G10))+SUMPRODUCT((N$3:N$106&lt;&gt;"")*(G$3:G$106=G10))+SUMPRODUCT((P$3:P$106="")*(O$3:O$106="")*(N$3:N$106="")*(M$3:M$106="P")*(G$3:G$106=G10)*(J$3:J$106&gt;J10))+IF(H10="L5",SUMPRODUCT((P$3:P$106="")*(O$3:O$106="")*(N$3:N$106="")*(M$3:M$106="P")*(G$3:G$106=G10)*(J$3:J$106&lt;J10)*(H$3:H$106&lt;&gt;H10)),-1*SUMPRODUCT((P$3:P$106="")*(O$3:O$106="")*(N$3:N$106="")*(M$3:M$106="P")*(G$3:G$106=G10)*(J$3:J$106&gt;J10)*(H$3:H$106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 t="shared" si="1"/>
        <v/>
      </c>
      <c r="R10" s="4">
        <f t="shared" si="2"/>
        <v>45.1</v>
      </c>
      <c r="S10" s="4">
        <f t="shared" si="3"/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$106&lt;&gt;"")*(G$3:G$106=G11)*(J$3:J$106&gt;J11)*(I$3:I$106="P"))+1,IF(O11&lt;&gt;"",SUMPRODUCT((O$3:O$106&lt;&gt;"")*(P$3:P$106="")*(G$3:G$106=G11)*(J$3:J$106&gt;J11)*(I$3:I$106="P"))+SUMPRODUCT((P$3:P$106&lt;&gt;"")*(G$3:G$106=G11)*(I$3:I$106="P"))+1,IF(N11&lt;&gt;"",SUMPRODUCT((N$3:N$106&lt;&gt;"")*(G$3:G$106=G11)*(J$3:J$106&gt;J11)*(I$3:I$106="P"))+1,IF(M11="P",SUMPRODUCT((O$3:O$106&lt;&gt;"")*(P$3:P$106="")*(G$3:G$106=G11)*(I$3:I$106="P"))+SUMPRODUCT((P$3:P$106&lt;&gt;"")*(G$3:G$106=G11)*(I$3:I$106="P"))+SUMPRODUCT((N$3:N$106&lt;&gt;"")*(G$3:G$106=G11)*(I$3:I$106="P"))+SUMPRODUCT((P$3:P$106="")*(O$3:O$106="")*(N$3:N$106="")*(M$3:M$106="P")*(G$3:G$106=G11)*(J$3:J$106&gt;J11)*(I$3:I$106="P"))+IF(H11="L5",SUMPRODUCT((P$3:P$106="")*(O$3:O$106="")*(N$3:N$106="")*(M$3:M$106="P")*(G$3:G$106=G11)*(J$3:J$106&lt;J11)*(H$3:H$106&lt;&gt;H11)*(I$3:I$106="P")),-1*SUMPRODUCT((P$3:P$106="")*(O$3:O$106="")*(N$3:N$106="")*(M$3:M$106="P")*(G$3:G$106=G11)*(J$3:J$106&gt;J11)*(H$3:H$106="L5")*(I$3:I$106="P")))+1,"")))))</f>
        <v/>
      </c>
      <c r="B11" s="1" t="str" cm="1">
        <f t="array" ref="B11">IF(P11&lt;&gt;"",SUMPRODUCT((P$3:P$106&lt;&gt;"")*(G$3:G$106=G11)*(J$3:J$106&gt;J11))+1,IF(O11&lt;&gt;"",SUMPRODUCT((O$3:O$106&lt;&gt;"")*(P$3:P$106="")*(G$3:G$106=G11)*(J$3:J$106&gt;J11))+SUMPRODUCT((P$3:P$106&lt;&gt;"")*(G$3:G$106=G11))+1,IF(N11&lt;&gt;"",SUMPRODUCT((N$3:N$106&lt;&gt;"")*(G$3:G$106=G11)*(J$3:J$106&gt;J11))+1,IF(M11="P",SUMPRODUCT((O$3:O$106&lt;&gt;"")*(P$3:P$106="")*(G$3:G$106=G11))+SUMPRODUCT((P$3:P$106&lt;&gt;"")*(G$3:G$106=G11))+SUMPRODUCT((N$3:N$106&lt;&gt;"")*(G$3:G$106=G11))+SUMPRODUCT((P$3:P$106="")*(O$3:O$106="")*(N$3:N$106="")*(M$3:M$106="P")*(G$3:G$106=G11)*(J$3:J$106&gt;J11))+IF(H11="L5",SUMPRODUCT((P$3:P$106="")*(O$3:O$106="")*(N$3:N$106="")*(M$3:M$106="P")*(G$3:G$106=G11)*(J$3:J$106&lt;J11)*(H$3:H$106&lt;&gt;H11)),-1*SUMPRODUCT((P$3:P$106="")*(O$3:O$106="")*(N$3:N$106="")*(M$3:M$106="P")*(G$3:G$106=G11)*(J$3:J$106&gt;J11)*(H$3:H$106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 t="shared" si="1"/>
        <v/>
      </c>
      <c r="R11" s="4">
        <f t="shared" si="2"/>
        <v>45.3</v>
      </c>
      <c r="S11" s="4">
        <f t="shared" si="3"/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$106&lt;&gt;"")*(G$3:G$106=G12)*(J$3:J$106&gt;J12)*(I$3:I$106="P"))+1,IF(O12&lt;&gt;"",SUMPRODUCT((O$3:O$106&lt;&gt;"")*(P$3:P$106="")*(G$3:G$106=G12)*(J$3:J$106&gt;J12)*(I$3:I$106="P"))+SUMPRODUCT((P$3:P$106&lt;&gt;"")*(G$3:G$106=G12)*(I$3:I$106="P"))+1,IF(N12&lt;&gt;"",SUMPRODUCT((N$3:N$106&lt;&gt;"")*(G$3:G$106=G12)*(J$3:J$106&gt;J12)*(I$3:I$106="P"))+1,IF(M12="P",SUMPRODUCT((O$3:O$106&lt;&gt;"")*(P$3:P$106="")*(G$3:G$106=G12)*(I$3:I$106="P"))+SUMPRODUCT((P$3:P$106&lt;&gt;"")*(G$3:G$106=G12)*(I$3:I$106="P"))+SUMPRODUCT((N$3:N$106&lt;&gt;"")*(G$3:G$106=G12)*(I$3:I$106="P"))+SUMPRODUCT((P$3:P$106="")*(O$3:O$106="")*(N$3:N$106="")*(M$3:M$106="P")*(G$3:G$106=G12)*(J$3:J$106&gt;J12)*(I$3:I$106="P"))+IF(H12="L5",SUMPRODUCT((P$3:P$106="")*(O$3:O$106="")*(N$3:N$106="")*(M$3:M$106="P")*(G$3:G$106=G12)*(J$3:J$106&lt;J12)*(H$3:H$106&lt;&gt;H12)*(I$3:I$106="P")),-1*SUMPRODUCT((P$3:P$106="")*(O$3:O$106="")*(N$3:N$106="")*(M$3:M$106="P")*(G$3:G$106=G12)*(J$3:J$106&gt;J12)*(H$3:H$106="L5")*(I$3:I$106="P")))+1,"")))))</f>
        <v/>
      </c>
      <c r="B12" s="1" t="str" cm="1">
        <f t="array" ref="B12">IF(P12&lt;&gt;"",SUMPRODUCT((P$3:P$106&lt;&gt;"")*(G$3:G$106=G12)*(J$3:J$106&gt;J12))+1,IF(O12&lt;&gt;"",SUMPRODUCT((O$3:O$106&lt;&gt;"")*(P$3:P$106="")*(G$3:G$106=G12)*(J$3:J$106&gt;J12))+SUMPRODUCT((P$3:P$106&lt;&gt;"")*(G$3:G$106=G12))+1,IF(N12&lt;&gt;"",SUMPRODUCT((N$3:N$106&lt;&gt;"")*(G$3:G$106=G12)*(J$3:J$106&gt;J12))+1,IF(M12="P",SUMPRODUCT((O$3:O$106&lt;&gt;"")*(P$3:P$106="")*(G$3:G$106=G12))+SUMPRODUCT((P$3:P$106&lt;&gt;"")*(G$3:G$106=G12))+SUMPRODUCT((N$3:N$106&lt;&gt;"")*(G$3:G$106=G12))+SUMPRODUCT((P$3:P$106="")*(O$3:O$106="")*(N$3:N$106="")*(M$3:M$106="P")*(G$3:G$106=G12)*(J$3:J$106&gt;J12))+IF(H12="L5",SUMPRODUCT((P$3:P$106="")*(O$3:O$106="")*(N$3:N$106="")*(M$3:M$106="P")*(G$3:G$106=G12)*(J$3:J$106&lt;J12)*(H$3:H$106&lt;&gt;H12)),-1*SUMPRODUCT((P$3:P$106="")*(O$3:O$106="")*(N$3:N$106="")*(M$3:M$106="P")*(G$3:G$106=G12)*(J$3:J$106&gt;J12)*(H$3:H$106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 t="shared" si="1"/>
        <v/>
      </c>
      <c r="R12" s="4">
        <f t="shared" si="2"/>
        <v>44.2</v>
      </c>
      <c r="S12" s="4">
        <f t="shared" si="3"/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$106&lt;&gt;"")*(G$3:G$106=G13)*(J$3:J$106&gt;J13)*(I$3:I$106="P"))+1,IF(O13&lt;&gt;"",SUMPRODUCT((O$3:O$106&lt;&gt;"")*(P$3:P$106="")*(G$3:G$106=G13)*(J$3:J$106&gt;J13)*(I$3:I$106="P"))+SUMPRODUCT((P$3:P$106&lt;&gt;"")*(G$3:G$106=G13)*(I$3:I$106="P"))+1,IF(N13&lt;&gt;"",SUMPRODUCT((N$3:N$106&lt;&gt;"")*(G$3:G$106=G13)*(J$3:J$106&gt;J13)*(I$3:I$106="P"))+1,IF(M13="P",SUMPRODUCT((O$3:O$106&lt;&gt;"")*(P$3:P$106="")*(G$3:G$106=G13)*(I$3:I$106="P"))+SUMPRODUCT((P$3:P$106&lt;&gt;"")*(G$3:G$106=G13)*(I$3:I$106="P"))+SUMPRODUCT((N$3:N$106&lt;&gt;"")*(G$3:G$106=G13)*(I$3:I$106="P"))+SUMPRODUCT((P$3:P$106="")*(O$3:O$106="")*(N$3:N$106="")*(M$3:M$106="P")*(G$3:G$106=G13)*(J$3:J$106&gt;J13)*(I$3:I$106="P"))+IF(H13="L5",SUMPRODUCT((P$3:P$106="")*(O$3:O$106="")*(N$3:N$106="")*(M$3:M$106="P")*(G$3:G$106=G13)*(J$3:J$106&lt;J13)*(H$3:H$106&lt;&gt;H13)*(I$3:I$106="P")),-1*SUMPRODUCT((P$3:P$106="")*(O$3:O$106="")*(N$3:N$106="")*(M$3:M$106="P")*(G$3:G$106=G13)*(J$3:J$106&gt;J13)*(H$3:H$106="L5")*(I$3:I$106="P")))+1,"")))))</f>
        <v/>
      </c>
      <c r="B13" s="1" t="str" cm="1">
        <f t="array" ref="B13">IF(P13&lt;&gt;"",SUMPRODUCT((P$3:P$106&lt;&gt;"")*(G$3:G$106=G13)*(J$3:J$106&gt;J13))+1,IF(O13&lt;&gt;"",SUMPRODUCT((O$3:O$106&lt;&gt;"")*(P$3:P$106="")*(G$3:G$106=G13)*(J$3:J$106&gt;J13))+SUMPRODUCT((P$3:P$106&lt;&gt;"")*(G$3:G$106=G13))+1,IF(N13&lt;&gt;"",SUMPRODUCT((N$3:N$106&lt;&gt;"")*(G$3:G$106=G13)*(J$3:J$106&gt;J13))+1,IF(M13="P",SUMPRODUCT((O$3:O$106&lt;&gt;"")*(P$3:P$106="")*(G$3:G$106=G13))+SUMPRODUCT((P$3:P$106&lt;&gt;"")*(G$3:G$106=G13))+SUMPRODUCT((N$3:N$106&lt;&gt;"")*(G$3:G$106=G13))+SUMPRODUCT((P$3:P$106="")*(O$3:O$106="")*(N$3:N$106="")*(M$3:M$106="P")*(G$3:G$106=G13)*(J$3:J$106&gt;J13))+IF(H13="L5",SUMPRODUCT((P$3:P$106="")*(O$3:O$106="")*(N$3:N$106="")*(M$3:M$106="P")*(G$3:G$106=G13)*(J$3:J$106&lt;J13)*(H$3:H$106&lt;&gt;H13)),-1*SUMPRODUCT((P$3:P$106="")*(O$3:O$106="")*(N$3:N$106="")*(M$3:M$106="P")*(G$3:G$106=G13)*(J$3:J$106&gt;J13)*(H$3:H$106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 t="shared" si="1"/>
        <v/>
      </c>
      <c r="R13" s="4">
        <f t="shared" si="2"/>
        <v>43.5</v>
      </c>
      <c r="S13" s="4">
        <f t="shared" si="3"/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$106&lt;&gt;"")*(G$3:G$106=G14)*(J$3:J$106&gt;J14)*(I$3:I$106="P"))+1,IF(O14&lt;&gt;"",SUMPRODUCT((O$3:O$106&lt;&gt;"")*(P$3:P$106="")*(G$3:G$106=G14)*(J$3:J$106&gt;J14)*(I$3:I$106="P"))+SUMPRODUCT((P$3:P$106&lt;&gt;"")*(G$3:G$106=G14)*(I$3:I$106="P"))+1,IF(N14&lt;&gt;"",SUMPRODUCT((N$3:N$106&lt;&gt;"")*(G$3:G$106=G14)*(J$3:J$106&gt;J14)*(I$3:I$106="P"))+1,IF(M14="P",SUMPRODUCT((O$3:O$106&lt;&gt;"")*(P$3:P$106="")*(G$3:G$106=G14)*(I$3:I$106="P"))+SUMPRODUCT((P$3:P$106&lt;&gt;"")*(G$3:G$106=G14)*(I$3:I$106="P"))+SUMPRODUCT((N$3:N$106&lt;&gt;"")*(G$3:G$106=G14)*(I$3:I$106="P"))+SUMPRODUCT((P$3:P$106="")*(O$3:O$106="")*(N$3:N$106="")*(M$3:M$106="P")*(G$3:G$106=G14)*(J$3:J$106&gt;J14)*(I$3:I$106="P"))+IF(H14="L5",SUMPRODUCT((P$3:P$106="")*(O$3:O$106="")*(N$3:N$106="")*(M$3:M$106="P")*(G$3:G$106=G14)*(J$3:J$106&lt;J14)*(H$3:H$106&lt;&gt;H14)*(I$3:I$106="P")),-1*SUMPRODUCT((P$3:P$106="")*(O$3:O$106="")*(N$3:N$106="")*(M$3:M$106="P")*(G$3:G$106=G14)*(J$3:J$106&gt;J14)*(H$3:H$106="L5")*(I$3:I$106="P")))+1,"")))))</f>
        <v/>
      </c>
      <c r="B14" s="1" t="str" cm="1">
        <f t="array" ref="B14">IF(P14&lt;&gt;"",SUMPRODUCT((P$3:P$106&lt;&gt;"")*(G$3:G$106=G14)*(J$3:J$106&gt;J14))+1,IF(O14&lt;&gt;"",SUMPRODUCT((O$3:O$106&lt;&gt;"")*(P$3:P$106="")*(G$3:G$106=G14)*(J$3:J$106&gt;J14))+SUMPRODUCT((P$3:P$106&lt;&gt;"")*(G$3:G$106=G14))+1,IF(N14&lt;&gt;"",SUMPRODUCT((N$3:N$106&lt;&gt;"")*(G$3:G$106=G14)*(J$3:J$106&gt;J14))+1,IF(M14="P",SUMPRODUCT((O$3:O$106&lt;&gt;"")*(P$3:P$106="")*(G$3:G$106=G14))+SUMPRODUCT((P$3:P$106&lt;&gt;"")*(G$3:G$106=G14))+SUMPRODUCT((N$3:N$106&lt;&gt;"")*(G$3:G$106=G14))+SUMPRODUCT((P$3:P$106="")*(O$3:O$106="")*(N$3:N$106="")*(M$3:M$106="P")*(G$3:G$106=G14)*(J$3:J$106&gt;J14))+IF(H14="L5",SUMPRODUCT((P$3:P$106="")*(O$3:O$106="")*(N$3:N$106="")*(M$3:M$106="P")*(G$3:G$106=G14)*(J$3:J$106&lt;J14)*(H$3:H$106&lt;&gt;H14)),-1*SUMPRODUCT((P$3:P$106="")*(O$3:O$106="")*(N$3:N$106="")*(M$3:M$106="P")*(G$3:G$106=G14)*(J$3:J$106&gt;J14)*(H$3:H$106="L5")))+1,""))))</f>
        <v/>
      </c>
      <c r="C14" s="36" t="s">
        <v>187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 t="shared" si="1"/>
        <v/>
      </c>
      <c r="R14" s="4">
        <f t="shared" si="2"/>
        <v>44.5</v>
      </c>
      <c r="S14" s="4">
        <f t="shared" si="3"/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$106&lt;&gt;"")*(G$3:G$106=G15)*(J$3:J$106&gt;J15)*(I$3:I$106="P"))+1,IF(O15&lt;&gt;"",SUMPRODUCT((O$3:O$106&lt;&gt;"")*(P$3:P$106="")*(G$3:G$106=G15)*(J$3:J$106&gt;J15)*(I$3:I$106="P"))+SUMPRODUCT((P$3:P$106&lt;&gt;"")*(G$3:G$106=G15)*(I$3:I$106="P"))+1,IF(N15&lt;&gt;"",SUMPRODUCT((N$3:N$106&lt;&gt;"")*(G$3:G$106=G15)*(J$3:J$106&gt;J15)*(I$3:I$106="P"))+1,IF(M15="P",SUMPRODUCT((O$3:O$106&lt;&gt;"")*(P$3:P$106="")*(G$3:G$106=G15)*(I$3:I$106="P"))+SUMPRODUCT((P$3:P$106&lt;&gt;"")*(G$3:G$106=G15)*(I$3:I$106="P"))+SUMPRODUCT((N$3:N$106&lt;&gt;"")*(G$3:G$106=G15)*(I$3:I$106="P"))+SUMPRODUCT((P$3:P$106="")*(O$3:O$106="")*(N$3:N$106="")*(M$3:M$106="P")*(G$3:G$106=G15)*(J$3:J$106&gt;J15)*(I$3:I$106="P"))+IF(H15="L5",SUMPRODUCT((P$3:P$106="")*(O$3:O$106="")*(N$3:N$106="")*(M$3:M$106="P")*(G$3:G$106=G15)*(J$3:J$106&lt;J15)*(H$3:H$106&lt;&gt;H15)*(I$3:I$106="P")),-1*SUMPRODUCT((P$3:P$106="")*(O$3:O$106="")*(N$3:N$106="")*(M$3:M$106="P")*(G$3:G$106=G15)*(J$3:J$106&gt;J15)*(H$3:H$106="L5")*(I$3:I$106="P")))+1,"")))))</f>
        <v/>
      </c>
      <c r="B15" s="1" t="str" cm="1">
        <f t="array" ref="B15">IF(P15&lt;&gt;"",SUMPRODUCT((P$3:P$106&lt;&gt;"")*(G$3:G$106=G15)*(J$3:J$106&gt;J15))+1,IF(O15&lt;&gt;"",SUMPRODUCT((O$3:O$106&lt;&gt;"")*(P$3:P$106="")*(G$3:G$106=G15)*(J$3:J$106&gt;J15))+SUMPRODUCT((P$3:P$106&lt;&gt;"")*(G$3:G$106=G15))+1,IF(N15&lt;&gt;"",SUMPRODUCT((N$3:N$106&lt;&gt;"")*(G$3:G$106=G15)*(J$3:J$106&gt;J15))+1,IF(M15="P",SUMPRODUCT((O$3:O$106&lt;&gt;"")*(P$3:P$106="")*(G$3:G$106=G15))+SUMPRODUCT((P$3:P$106&lt;&gt;"")*(G$3:G$106=G15))+SUMPRODUCT((N$3:N$106&lt;&gt;"")*(G$3:G$106=G15))+SUMPRODUCT((P$3:P$106="")*(O$3:O$106="")*(N$3:N$106="")*(M$3:M$106="P")*(G$3:G$106=G15)*(J$3:J$106&gt;J15))+IF(H15="L5",SUMPRODUCT((P$3:P$106="")*(O$3:O$106="")*(N$3:N$106="")*(M$3:M$106="P")*(G$3:G$106=G15)*(J$3:J$106&lt;J15)*(H$3:H$106&lt;&gt;H15)),-1*SUMPRODUCT((P$3:P$106="")*(O$3:O$106="")*(N$3:N$106="")*(M$3:M$106="P")*(G$3:G$106=G15)*(J$3:J$106&gt;J15)*(H$3:H$106="L5")))+1,""))))</f>
        <v/>
      </c>
      <c r="C15" s="36" t="s">
        <v>299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 t="shared" si="1"/>
        <v/>
      </c>
      <c r="R15" s="4">
        <f t="shared" si="2"/>
        <v>43</v>
      </c>
      <c r="S15" s="4">
        <f t="shared" si="3"/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$106&lt;&gt;"")*(G$3:G$106=G16)*(J$3:J$106&gt;J16)*(I$3:I$106="P"))+1,IF(O16&lt;&gt;"",SUMPRODUCT((O$3:O$106&lt;&gt;"")*(P$3:P$106="")*(G$3:G$106=G16)*(J$3:J$106&gt;J16)*(I$3:I$106="P"))+SUMPRODUCT((P$3:P$106&lt;&gt;"")*(G$3:G$106=G16)*(I$3:I$106="P"))+1,IF(N16&lt;&gt;"",SUMPRODUCT((N$3:N$106&lt;&gt;"")*(G$3:G$106=G16)*(J$3:J$106&gt;J16)*(I$3:I$106="P"))+1,IF(M16="P",SUMPRODUCT((O$3:O$106&lt;&gt;"")*(P$3:P$106="")*(G$3:G$106=G16)*(I$3:I$106="P"))+SUMPRODUCT((P$3:P$106&lt;&gt;"")*(G$3:G$106=G16)*(I$3:I$106="P"))+SUMPRODUCT((N$3:N$106&lt;&gt;"")*(G$3:G$106=G16)*(I$3:I$106="P"))+SUMPRODUCT((P$3:P$106="")*(O$3:O$106="")*(N$3:N$106="")*(M$3:M$106="P")*(G$3:G$106=G16)*(J$3:J$106&gt;J16)*(I$3:I$106="P"))+IF(H16="L5",SUMPRODUCT((P$3:P$106="")*(O$3:O$106="")*(N$3:N$106="")*(M$3:M$106="P")*(G$3:G$106=G16)*(J$3:J$106&lt;J16)*(H$3:H$106&lt;&gt;H16)*(I$3:I$106="P")),-1*SUMPRODUCT((P$3:P$106="")*(O$3:O$106="")*(N$3:N$106="")*(M$3:M$106="P")*(G$3:G$106=G16)*(J$3:J$106&gt;J16)*(H$3:H$106="L5")*(I$3:I$106="P")))+1,"")))))</f>
        <v/>
      </c>
      <c r="B16" s="1" t="str" cm="1">
        <f t="array" ref="B16">IF(P16&lt;&gt;"",SUMPRODUCT((P$3:P$106&lt;&gt;"")*(G$3:G$106=G16)*(J$3:J$106&gt;J16))+1,IF(O16&lt;&gt;"",SUMPRODUCT((O$3:O$106&lt;&gt;"")*(P$3:P$106="")*(G$3:G$106=G16)*(J$3:J$106&gt;J16))+SUMPRODUCT((P$3:P$106&lt;&gt;"")*(G$3:G$106=G16))+1,IF(N16&lt;&gt;"",SUMPRODUCT((N$3:N$106&lt;&gt;"")*(G$3:G$106=G16)*(J$3:J$106&gt;J16))+1,IF(M16="P",SUMPRODUCT((O$3:O$106&lt;&gt;"")*(P$3:P$106="")*(G$3:G$106=G16))+SUMPRODUCT((P$3:P$106&lt;&gt;"")*(G$3:G$106=G16))+SUMPRODUCT((N$3:N$106&lt;&gt;"")*(G$3:G$106=G16))+SUMPRODUCT((P$3:P$106="")*(O$3:O$106="")*(N$3:N$106="")*(M$3:M$106="P")*(G$3:G$106=G16)*(J$3:J$106&gt;J16))+IF(H16="L5",SUMPRODUCT((P$3:P$106="")*(O$3:O$106="")*(N$3:N$106="")*(M$3:M$106="P")*(G$3:G$106=G16)*(J$3:J$106&lt;J16)*(H$3:H$106&lt;&gt;H16)),-1*SUMPRODUCT((P$3:P$106="")*(O$3:O$106="")*(N$3:N$106="")*(M$3:M$106="P")*(G$3:G$106=G16)*(J$3:J$106&gt;J16)*(H$3:H$106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 t="shared" si="1"/>
        <v/>
      </c>
      <c r="R16" s="4">
        <f t="shared" si="2"/>
        <v>43.6</v>
      </c>
      <c r="S16" s="4">
        <f t="shared" si="3"/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$106&lt;&gt;"")*(G$3:G$106=G17)*(J$3:J$106&gt;J17)*(I$3:I$106="P"))+1,IF(O17&lt;&gt;"",SUMPRODUCT((O$3:O$106&lt;&gt;"")*(P$3:P$106="")*(G$3:G$106=G17)*(J$3:J$106&gt;J17)*(I$3:I$106="P"))+SUMPRODUCT((P$3:P$106&lt;&gt;"")*(G$3:G$106=G17)*(I$3:I$106="P"))+1,IF(N17&lt;&gt;"",SUMPRODUCT((N$3:N$106&lt;&gt;"")*(G$3:G$106=G17)*(J$3:J$106&gt;J17)*(I$3:I$106="P"))+1,IF(M17="P",SUMPRODUCT((O$3:O$106&lt;&gt;"")*(P$3:P$106="")*(G$3:G$106=G17)*(I$3:I$106="P"))+SUMPRODUCT((P$3:P$106&lt;&gt;"")*(G$3:G$106=G17)*(I$3:I$106="P"))+SUMPRODUCT((N$3:N$106&lt;&gt;"")*(G$3:G$106=G17)*(I$3:I$106="P"))+SUMPRODUCT((P$3:P$106="")*(O$3:O$106="")*(N$3:N$106="")*(M$3:M$106="P")*(G$3:G$106=G17)*(J$3:J$106&gt;J17)*(I$3:I$106="P"))+IF(H17="L5",SUMPRODUCT((P$3:P$106="")*(O$3:O$106="")*(N$3:N$106="")*(M$3:M$106="P")*(G$3:G$106=G17)*(J$3:J$106&lt;J17)*(H$3:H$106&lt;&gt;H17)*(I$3:I$106="P")),-1*SUMPRODUCT((P$3:P$106="")*(O$3:O$106="")*(N$3:N$106="")*(M$3:M$106="P")*(G$3:G$106=G17)*(J$3:J$106&gt;J17)*(H$3:H$106="L5")*(I$3:I$106="P")))+1,"")))))</f>
        <v/>
      </c>
      <c r="B17" s="1" t="str" cm="1">
        <f t="array" ref="B17">IF(P17&lt;&gt;"",SUMPRODUCT((P$3:P$106&lt;&gt;"")*(G$3:G$106=G17)*(J$3:J$106&gt;J17))+1,IF(O17&lt;&gt;"",SUMPRODUCT((O$3:O$106&lt;&gt;"")*(P$3:P$106="")*(G$3:G$106=G17)*(J$3:J$106&gt;J17))+SUMPRODUCT((P$3:P$106&lt;&gt;"")*(G$3:G$106=G17))+1,IF(N17&lt;&gt;"",SUMPRODUCT((N$3:N$106&lt;&gt;"")*(G$3:G$106=G17)*(J$3:J$106&gt;J17))+1,IF(M17="P",SUMPRODUCT((O$3:O$106&lt;&gt;"")*(P$3:P$106="")*(G$3:G$106=G17))+SUMPRODUCT((P$3:P$106&lt;&gt;"")*(G$3:G$106=G17))+SUMPRODUCT((N$3:N$106&lt;&gt;"")*(G$3:G$106=G17))+SUMPRODUCT((P$3:P$106="")*(O$3:O$106="")*(N$3:N$106="")*(M$3:M$106="P")*(G$3:G$106=G17)*(J$3:J$106&gt;J17))+IF(H17="L5",SUMPRODUCT((P$3:P$106="")*(O$3:O$106="")*(N$3:N$106="")*(M$3:M$106="P")*(G$3:G$106=G17)*(J$3:J$106&lt;J17)*(H$3:H$106&lt;&gt;H17)),-1*SUMPRODUCT((P$3:P$106="")*(O$3:O$106="")*(N$3:N$106="")*(M$3:M$106="P")*(G$3:G$106=G17)*(J$3:J$106&gt;J17)*(H$3:H$106="L5")))+1,""))))</f>
        <v/>
      </c>
      <c r="C17" s="36" t="s">
        <v>301</v>
      </c>
      <c r="D17" s="36" t="str">
        <f>IF(E17="","",VLOOKUP(E17,'Coaching Points'!A:B,2,0))</f>
        <v>QC</v>
      </c>
      <c r="E17" s="36" t="s">
        <v>84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86.200004149999998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 t="shared" si="1"/>
        <v/>
      </c>
      <c r="R17" s="4">
        <f t="shared" si="2"/>
        <v>42.6</v>
      </c>
      <c r="S17" s="4">
        <f t="shared" si="3"/>
        <v>43.6</v>
      </c>
      <c r="T17" s="33">
        <v>42.6</v>
      </c>
      <c r="U17" s="40">
        <v>4.8000000000000007</v>
      </c>
      <c r="V17" s="34">
        <v>43.6</v>
      </c>
      <c r="W17" s="40">
        <v>6.3</v>
      </c>
      <c r="X17" s="33">
        <v>41.5</v>
      </c>
      <c r="Y17" s="40">
        <v>4.8000000000000007</v>
      </c>
      <c r="Z17" s="34"/>
      <c r="AA17" s="37"/>
    </row>
    <row r="18" spans="1:27" x14ac:dyDescent="0.2">
      <c r="A18" s="1" t="str" cm="1">
        <f t="array" ref="A18">IF(I18="","",IF(P18&lt;&gt;"",SUMPRODUCT((P$3:P$106&lt;&gt;"")*(G$3:G$106=G18)*(J$3:J$106&gt;J18)*(I$3:I$106="P"))+1,IF(O18&lt;&gt;"",SUMPRODUCT((O$3:O$106&lt;&gt;"")*(P$3:P$106="")*(G$3:G$106=G18)*(J$3:J$106&gt;J18)*(I$3:I$106="P"))+SUMPRODUCT((P$3:P$106&lt;&gt;"")*(G$3:G$106=G18)*(I$3:I$106="P"))+1,IF(N18&lt;&gt;"",SUMPRODUCT((N$3:N$106&lt;&gt;"")*(G$3:G$106=G18)*(J$3:J$106&gt;J18)*(I$3:I$106="P"))+1,IF(M18="P",SUMPRODUCT((O$3:O$106&lt;&gt;"")*(P$3:P$106="")*(G$3:G$106=G18)*(I$3:I$106="P"))+SUMPRODUCT((P$3:P$106&lt;&gt;"")*(G$3:G$106=G18)*(I$3:I$106="P"))+SUMPRODUCT((N$3:N$106&lt;&gt;"")*(G$3:G$106=G18)*(I$3:I$106="P"))+SUMPRODUCT((P$3:P$106="")*(O$3:O$106="")*(N$3:N$106="")*(M$3:M$106="P")*(G$3:G$106=G18)*(J$3:J$106&gt;J18)*(I$3:I$106="P"))+IF(H18="L5",SUMPRODUCT((P$3:P$106="")*(O$3:O$106="")*(N$3:N$106="")*(M$3:M$106="P")*(G$3:G$106=G18)*(J$3:J$106&lt;J18)*(H$3:H$106&lt;&gt;H18)*(I$3:I$106="P")),-1*SUMPRODUCT((P$3:P$106="")*(O$3:O$106="")*(N$3:N$106="")*(M$3:M$106="P")*(G$3:G$106=G18)*(J$3:J$106&gt;J18)*(H$3:H$106="L5")*(I$3:I$106="P")))+1,"")))))</f>
        <v/>
      </c>
      <c r="B18" s="1" t="str" cm="1">
        <f t="array" ref="B18">IF(P18&lt;&gt;"",SUMPRODUCT((P$3:P$106&lt;&gt;"")*(G$3:G$106=G18)*(J$3:J$106&gt;J18))+1,IF(O18&lt;&gt;"",SUMPRODUCT((O$3:O$106&lt;&gt;"")*(P$3:P$106="")*(G$3:G$106=G18)*(J$3:J$106&gt;J18))+SUMPRODUCT((P$3:P$106&lt;&gt;"")*(G$3:G$106=G18))+1,IF(N18&lt;&gt;"",SUMPRODUCT((N$3:N$106&lt;&gt;"")*(G$3:G$106=G18)*(J$3:J$106&gt;J18))+1,IF(M18="P",SUMPRODUCT((O$3:O$106&lt;&gt;"")*(P$3:P$106="")*(G$3:G$106=G18))+SUMPRODUCT((P$3:P$106&lt;&gt;"")*(G$3:G$106=G18))+SUMPRODUCT((N$3:N$106&lt;&gt;"")*(G$3:G$106=G18))+SUMPRODUCT((P$3:P$106="")*(O$3:O$106="")*(N$3:N$106="")*(M$3:M$106="P")*(G$3:G$106=G18)*(J$3:J$106&gt;J18))+IF(H18="L5",SUMPRODUCT((P$3:P$106="")*(O$3:O$106="")*(N$3:N$106="")*(M$3:M$106="P")*(G$3:G$106=G18)*(J$3:J$106&lt;J18)*(H$3:H$106&lt;&gt;H18)),-1*SUMPRODUCT((P$3:P$106="")*(O$3:O$106="")*(N$3:N$106="")*(M$3:M$106="P")*(G$3:G$106=G18)*(J$3:J$106&gt;J18)*(H$3:H$106="L5")))+1,""))))</f>
        <v/>
      </c>
      <c r="C18" s="36" t="s">
        <v>143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86.000004320000002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 t="shared" si="1"/>
        <v/>
      </c>
      <c r="R18" s="4">
        <f t="shared" si="2"/>
        <v>43.2</v>
      </c>
      <c r="S18" s="4">
        <f t="shared" si="3"/>
        <v>42.8</v>
      </c>
      <c r="T18" s="33">
        <v>42.6</v>
      </c>
      <c r="U18" s="40">
        <v>5.8000000000000007</v>
      </c>
      <c r="V18" s="34">
        <v>41.6</v>
      </c>
      <c r="W18" s="40">
        <v>5.6</v>
      </c>
      <c r="X18" s="33">
        <v>43.2</v>
      </c>
      <c r="Y18" s="40">
        <v>6</v>
      </c>
      <c r="Z18" s="34">
        <v>42.8</v>
      </c>
      <c r="AA18" s="37">
        <v>6.1</v>
      </c>
    </row>
    <row r="19" spans="1:27" x14ac:dyDescent="0.2">
      <c r="A19" s="1" t="str" cm="1">
        <f t="array" ref="A19">IF(I19="","",IF(P19&lt;&gt;"",SUMPRODUCT((P$3:P$106&lt;&gt;"")*(G$3:G$106=G19)*(J$3:J$106&gt;J19)*(I$3:I$106="P"))+1,IF(O19&lt;&gt;"",SUMPRODUCT((O$3:O$106&lt;&gt;"")*(P$3:P$106="")*(G$3:G$106=G19)*(J$3:J$106&gt;J19)*(I$3:I$106="P"))+SUMPRODUCT((P$3:P$106&lt;&gt;"")*(G$3:G$106=G19)*(I$3:I$106="P"))+1,IF(N19&lt;&gt;"",SUMPRODUCT((N$3:N$106&lt;&gt;"")*(G$3:G$106=G19)*(J$3:J$106&gt;J19)*(I$3:I$106="P"))+1,IF(M19="P",SUMPRODUCT((O$3:O$106&lt;&gt;"")*(P$3:P$106="")*(G$3:G$106=G19)*(I$3:I$106="P"))+SUMPRODUCT((P$3:P$106&lt;&gt;"")*(G$3:G$106=G19)*(I$3:I$106="P"))+SUMPRODUCT((N$3:N$106&lt;&gt;"")*(G$3:G$106=G19)*(I$3:I$106="P"))+SUMPRODUCT((P$3:P$106="")*(O$3:O$106="")*(N$3:N$106="")*(M$3:M$106="P")*(G$3:G$106=G19)*(J$3:J$106&gt;J19)*(I$3:I$106="P"))+IF(H19="L5",SUMPRODUCT((P$3:P$106="")*(O$3:O$106="")*(N$3:N$106="")*(M$3:M$106="P")*(G$3:G$106=G19)*(J$3:J$106&lt;J19)*(H$3:H$106&lt;&gt;H19)*(I$3:I$106="P")),-1*SUMPRODUCT((P$3:P$106="")*(O$3:O$106="")*(N$3:N$106="")*(M$3:M$106="P")*(G$3:G$106=G19)*(J$3:J$106&gt;J19)*(H$3:H$106="L5")*(I$3:I$106="P")))+1,"")))))</f>
        <v/>
      </c>
      <c r="B19" s="1" t="str" cm="1">
        <f t="array" ref="B19">IF(P19&lt;&gt;"",SUMPRODUCT((P$3:P$106&lt;&gt;"")*(G$3:G$106=G19)*(J$3:J$106&gt;J19))+1,IF(O19&lt;&gt;"",SUMPRODUCT((O$3:O$106&lt;&gt;"")*(P$3:P$106="")*(G$3:G$106=G19)*(J$3:J$106&gt;J19))+SUMPRODUCT((P$3:P$106&lt;&gt;"")*(G$3:G$106=G19))+1,IF(N19&lt;&gt;"",SUMPRODUCT((N$3:N$106&lt;&gt;"")*(G$3:G$106=G19)*(J$3:J$106&gt;J19))+1,IF(M19="P",SUMPRODUCT((O$3:O$106&lt;&gt;"")*(P$3:P$106="")*(G$3:G$106=G19))+SUMPRODUCT((P$3:P$106&lt;&gt;"")*(G$3:G$106=G19))+SUMPRODUCT((N$3:N$106&lt;&gt;"")*(G$3:G$106=G19))+SUMPRODUCT((P$3:P$106="")*(O$3:O$106="")*(N$3:N$106="")*(M$3:M$106="P")*(G$3:G$106=G19)*(J$3:J$106&gt;J19))+IF(H19="L5",SUMPRODUCT((P$3:P$106="")*(O$3:O$106="")*(N$3:N$106="")*(M$3:M$106="P")*(G$3:G$106=G19)*(J$3:J$106&lt;J19)*(H$3:H$106&lt;&gt;H19)),-1*SUMPRODUCT((P$3:P$106="")*(O$3:O$106="")*(N$3:N$106="")*(M$3:M$106="P")*(G$3:G$106=G19)*(J$3:J$106&gt;J19)*(H$3:H$106="L5")))+1,""))))</f>
        <v/>
      </c>
      <c r="C19" s="36" t="s">
        <v>130</v>
      </c>
      <c r="D19" s="36" t="str">
        <f>IF(E19="","",VLOOKUP(E19,'Coaching Points'!A:B,2,0))</f>
        <v>BC</v>
      </c>
      <c r="E19" s="36" t="s">
        <v>57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85.900004260000003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 t="shared" si="1"/>
        <v/>
      </c>
      <c r="R19" s="4">
        <f t="shared" si="2"/>
        <v>43.3</v>
      </c>
      <c r="S19" s="4">
        <f t="shared" si="3"/>
        <v>42.6</v>
      </c>
      <c r="T19" s="33">
        <v>43.3</v>
      </c>
      <c r="U19" s="40">
        <v>6.3000000000000007</v>
      </c>
      <c r="V19" s="34">
        <v>40.1</v>
      </c>
      <c r="W19" s="40">
        <v>4.0999999999999996</v>
      </c>
      <c r="X19" s="33">
        <v>42.6</v>
      </c>
      <c r="Y19" s="40">
        <v>6</v>
      </c>
      <c r="Z19" s="34"/>
      <c r="AA19" s="37"/>
    </row>
    <row r="20" spans="1:27" x14ac:dyDescent="0.2">
      <c r="A20" s="1" t="str" cm="1">
        <f t="array" ref="A20">IF(I20="","",IF(P20&lt;&gt;"",SUMPRODUCT((P$3:P$106&lt;&gt;"")*(G$3:G$106=G20)*(J$3:J$106&gt;J20)*(I$3:I$106="P"))+1,IF(O20&lt;&gt;"",SUMPRODUCT((O$3:O$106&lt;&gt;"")*(P$3:P$106="")*(G$3:G$106=G20)*(J$3:J$106&gt;J20)*(I$3:I$106="P"))+SUMPRODUCT((P$3:P$106&lt;&gt;"")*(G$3:G$106=G20)*(I$3:I$106="P"))+1,IF(N20&lt;&gt;"",SUMPRODUCT((N$3:N$106&lt;&gt;"")*(G$3:G$106=G20)*(J$3:J$106&gt;J20)*(I$3:I$106="P"))+1,IF(M20="P",SUMPRODUCT((O$3:O$106&lt;&gt;"")*(P$3:P$106="")*(G$3:G$106=G20)*(I$3:I$106="P"))+SUMPRODUCT((P$3:P$106&lt;&gt;"")*(G$3:G$106=G20)*(I$3:I$106="P"))+SUMPRODUCT((N$3:N$106&lt;&gt;"")*(G$3:G$106=G20)*(I$3:I$106="P"))+SUMPRODUCT((P$3:P$106="")*(O$3:O$106="")*(N$3:N$106="")*(M$3:M$106="P")*(G$3:G$106=G20)*(J$3:J$106&gt;J20)*(I$3:I$106="P"))+IF(H20="L5",SUMPRODUCT((P$3:P$106="")*(O$3:O$106="")*(N$3:N$106="")*(M$3:M$106="P")*(G$3:G$106=G20)*(J$3:J$106&lt;J20)*(H$3:H$106&lt;&gt;H20)*(I$3:I$106="P")),-1*SUMPRODUCT((P$3:P$106="")*(O$3:O$106="")*(N$3:N$106="")*(M$3:M$106="P")*(G$3:G$106=G20)*(J$3:J$106&gt;J20)*(H$3:H$106="L5")*(I$3:I$106="P")))+1,"")))))</f>
        <v/>
      </c>
      <c r="B20" s="1" t="str" cm="1">
        <f t="array" ref="B20">IF(P20&lt;&gt;"",SUMPRODUCT((P$3:P$106&lt;&gt;"")*(G$3:G$106=G20)*(J$3:J$106&gt;J20))+1,IF(O20&lt;&gt;"",SUMPRODUCT((O$3:O$106&lt;&gt;"")*(P$3:P$106="")*(G$3:G$106=G20)*(J$3:J$106&gt;J20))+SUMPRODUCT((P$3:P$106&lt;&gt;"")*(G$3:G$106=G20))+1,IF(N20&lt;&gt;"",SUMPRODUCT((N$3:N$106&lt;&gt;"")*(G$3:G$106=G20)*(J$3:J$106&gt;J20))+1,IF(M20="P",SUMPRODUCT((O$3:O$106&lt;&gt;"")*(P$3:P$106="")*(G$3:G$106=G20))+SUMPRODUCT((P$3:P$106&lt;&gt;"")*(G$3:G$106=G20))+SUMPRODUCT((N$3:N$106&lt;&gt;"")*(G$3:G$106=G20))+SUMPRODUCT((P$3:P$106="")*(O$3:O$106="")*(N$3:N$106="")*(M$3:M$106="P")*(G$3:G$106=G20)*(J$3:J$106&gt;J20))+IF(H20="L5",SUMPRODUCT((P$3:P$106="")*(O$3:O$106="")*(N$3:N$106="")*(M$3:M$106="P")*(G$3:G$106=G20)*(J$3:J$106&lt;J20)*(H$3:H$106&lt;&gt;H20)),-1*SUMPRODUCT((P$3:P$106="")*(O$3:O$106="")*(N$3:N$106="")*(M$3:M$106="P")*(G$3:G$106=G20)*(J$3:J$106&gt;J20)*(H$3:H$106="L5")))+1,""))))</f>
        <v/>
      </c>
      <c r="C20" s="36" t="s">
        <v>354</v>
      </c>
      <c r="D20" s="36" t="str">
        <f>IF(E20="","",VLOOKUP(E20,'Coaching Points'!A:B,2,0))</f>
        <v>BC</v>
      </c>
      <c r="E20" s="36" t="s">
        <v>41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85.600004339999998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 t="shared" si="1"/>
        <v/>
      </c>
      <c r="R20" s="4">
        <f t="shared" si="2"/>
        <v>43.4</v>
      </c>
      <c r="S20" s="4">
        <f t="shared" si="3"/>
        <v>42.2</v>
      </c>
      <c r="T20" s="33">
        <v>41</v>
      </c>
      <c r="U20" s="40">
        <v>5.8000000000000007</v>
      </c>
      <c r="V20" s="34"/>
      <c r="W20" s="40"/>
      <c r="X20" s="33">
        <v>43.4</v>
      </c>
      <c r="Y20" s="40">
        <v>6.5</v>
      </c>
      <c r="Z20" s="34">
        <v>42.2</v>
      </c>
      <c r="AA20" s="37">
        <v>6.4</v>
      </c>
    </row>
    <row r="21" spans="1:27" x14ac:dyDescent="0.2">
      <c r="A21" s="1" t="str" cm="1">
        <f t="array" ref="A21">IF(I21="","",IF(P21&lt;&gt;"",SUMPRODUCT((P$3:P$106&lt;&gt;"")*(G$3:G$106=G21)*(J$3:J$106&gt;J21)*(I$3:I$106="P"))+1,IF(O21&lt;&gt;"",SUMPRODUCT((O$3:O$106&lt;&gt;"")*(P$3:P$106="")*(G$3:G$106=G21)*(J$3:J$106&gt;J21)*(I$3:I$106="P"))+SUMPRODUCT((P$3:P$106&lt;&gt;"")*(G$3:G$106=G21)*(I$3:I$106="P"))+1,IF(N21&lt;&gt;"",SUMPRODUCT((N$3:N$106&lt;&gt;"")*(G$3:G$106=G21)*(J$3:J$106&gt;J21)*(I$3:I$106="P"))+1,IF(M21="P",SUMPRODUCT((O$3:O$106&lt;&gt;"")*(P$3:P$106="")*(G$3:G$106=G21)*(I$3:I$106="P"))+SUMPRODUCT((P$3:P$106&lt;&gt;"")*(G$3:G$106=G21)*(I$3:I$106="P"))+SUMPRODUCT((N$3:N$106&lt;&gt;"")*(G$3:G$106=G21)*(I$3:I$106="P"))+SUMPRODUCT((P$3:P$106="")*(O$3:O$106="")*(N$3:N$106="")*(M$3:M$106="P")*(G$3:G$106=G21)*(J$3:J$106&gt;J21)*(I$3:I$106="P"))+IF(H21="L5",SUMPRODUCT((P$3:P$106="")*(O$3:O$106="")*(N$3:N$106="")*(M$3:M$106="P")*(G$3:G$106=G21)*(J$3:J$106&lt;J21)*(H$3:H$106&lt;&gt;H21)*(I$3:I$106="P")),-1*SUMPRODUCT((P$3:P$106="")*(O$3:O$106="")*(N$3:N$106="")*(M$3:M$106="P")*(G$3:G$106=G21)*(J$3:J$106&gt;J21)*(H$3:H$106="L5")*(I$3:I$106="P")))+1,"")))))</f>
        <v/>
      </c>
      <c r="B21" s="1" t="str" cm="1">
        <f t="array" ref="B21">IF(P21&lt;&gt;"",SUMPRODUCT((P$3:P$106&lt;&gt;"")*(G$3:G$106=G21)*(J$3:J$106&gt;J21))+1,IF(O21&lt;&gt;"",SUMPRODUCT((O$3:O$106&lt;&gt;"")*(P$3:P$106="")*(G$3:G$106=G21)*(J$3:J$106&gt;J21))+SUMPRODUCT((P$3:P$106&lt;&gt;"")*(G$3:G$106=G21))+1,IF(N21&lt;&gt;"",SUMPRODUCT((N$3:N$106&lt;&gt;"")*(G$3:G$106=G21)*(J$3:J$106&gt;J21))+1,IF(M21="P",SUMPRODUCT((O$3:O$106&lt;&gt;"")*(P$3:P$106="")*(G$3:G$106=G21))+SUMPRODUCT((P$3:P$106&lt;&gt;"")*(G$3:G$106=G21))+SUMPRODUCT((N$3:N$106&lt;&gt;"")*(G$3:G$106=G21))+SUMPRODUCT((P$3:P$106="")*(O$3:O$106="")*(N$3:N$106="")*(M$3:M$106="P")*(G$3:G$106=G21)*(J$3:J$106&gt;J21))+IF(H21="L5",SUMPRODUCT((P$3:P$106="")*(O$3:O$106="")*(N$3:N$106="")*(M$3:M$106="P")*(G$3:G$106=G21)*(J$3:J$106&lt;J21)*(H$3:H$106&lt;&gt;H21)),-1*SUMPRODUCT((P$3:P$106="")*(O$3:O$106="")*(N$3:N$106="")*(M$3:M$106="P")*(G$3:G$106=G21)*(J$3:J$106&gt;J21)*(H$3:H$106="L5")))+1,""))))</f>
        <v/>
      </c>
      <c r="C21" s="36" t="s">
        <v>300</v>
      </c>
      <c r="D21" s="36" t="str">
        <f>IF(E21="","",VLOOKUP(E21,'Coaching Points'!A:B,2,0))</f>
        <v>QC</v>
      </c>
      <c r="E21" s="36" t="s">
        <v>203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85.500004290000007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 t="shared" si="1"/>
        <v/>
      </c>
      <c r="R21" s="4">
        <f t="shared" si="2"/>
        <v>42.9</v>
      </c>
      <c r="S21" s="4">
        <f t="shared" si="3"/>
        <v>42.6</v>
      </c>
      <c r="T21" s="33">
        <v>42.6</v>
      </c>
      <c r="U21" s="40">
        <v>5</v>
      </c>
      <c r="V21" s="34">
        <v>37</v>
      </c>
      <c r="W21" s="40">
        <v>4</v>
      </c>
      <c r="X21" s="33">
        <v>42.9</v>
      </c>
      <c r="Y21" s="40">
        <v>5.6</v>
      </c>
      <c r="Z21" s="34">
        <v>39.200000000000003</v>
      </c>
      <c r="AA21" s="37">
        <v>2.8</v>
      </c>
    </row>
    <row r="22" spans="1:27" x14ac:dyDescent="0.2">
      <c r="A22" s="1" t="str" cm="1">
        <f t="array" ref="A22">IF(I22="","",IF(P22&lt;&gt;"",SUMPRODUCT((P$3:P$106&lt;&gt;"")*(G$3:G$106=G22)*(J$3:J$106&gt;J22)*(I$3:I$106="P"))+1,IF(O22&lt;&gt;"",SUMPRODUCT((O$3:O$106&lt;&gt;"")*(P$3:P$106="")*(G$3:G$106=G22)*(J$3:J$106&gt;J22)*(I$3:I$106="P"))+SUMPRODUCT((P$3:P$106&lt;&gt;"")*(G$3:G$106=G22)*(I$3:I$106="P"))+1,IF(N22&lt;&gt;"",SUMPRODUCT((N$3:N$106&lt;&gt;"")*(G$3:G$106=G22)*(J$3:J$106&gt;J22)*(I$3:I$106="P"))+1,IF(M22="P",SUMPRODUCT((O$3:O$106&lt;&gt;"")*(P$3:P$106="")*(G$3:G$106=G22)*(I$3:I$106="P"))+SUMPRODUCT((P$3:P$106&lt;&gt;"")*(G$3:G$106=G22)*(I$3:I$106="P"))+SUMPRODUCT((N$3:N$106&lt;&gt;"")*(G$3:G$106=G22)*(I$3:I$106="P"))+SUMPRODUCT((P$3:P$106="")*(O$3:O$106="")*(N$3:N$106="")*(M$3:M$106="P")*(G$3:G$106=G22)*(J$3:J$106&gt;J22)*(I$3:I$106="P"))+IF(H22="L5",SUMPRODUCT((P$3:P$106="")*(O$3:O$106="")*(N$3:N$106="")*(M$3:M$106="P")*(G$3:G$106=G22)*(J$3:J$106&lt;J22)*(H$3:H$106&lt;&gt;H22)*(I$3:I$106="P")),-1*SUMPRODUCT((P$3:P$106="")*(O$3:O$106="")*(N$3:N$106="")*(M$3:M$106="P")*(G$3:G$106=G22)*(J$3:J$106&gt;J22)*(H$3:H$106="L5")*(I$3:I$106="P")))+1,"")))))</f>
        <v/>
      </c>
      <c r="B22" s="1" t="str" cm="1">
        <f t="array" ref="B22">IF(P22&lt;&gt;"",SUMPRODUCT((P$3:P$106&lt;&gt;"")*(G$3:G$106=G22)*(J$3:J$106&gt;J22))+1,IF(O22&lt;&gt;"",SUMPRODUCT((O$3:O$106&lt;&gt;"")*(P$3:P$106="")*(G$3:G$106=G22)*(J$3:J$106&gt;J22))+SUMPRODUCT((P$3:P$106&lt;&gt;"")*(G$3:G$106=G22))+1,IF(N22&lt;&gt;"",SUMPRODUCT((N$3:N$106&lt;&gt;"")*(G$3:G$106=G22)*(J$3:J$106&gt;J22))+1,IF(M22="P",SUMPRODUCT((O$3:O$106&lt;&gt;"")*(P$3:P$106="")*(G$3:G$106=G22))+SUMPRODUCT((P$3:P$106&lt;&gt;"")*(G$3:G$106=G22))+SUMPRODUCT((N$3:N$106&lt;&gt;"")*(G$3:G$106=G22))+SUMPRODUCT((P$3:P$106="")*(O$3:O$106="")*(N$3:N$106="")*(M$3:M$106="P")*(G$3:G$106=G22)*(J$3:J$106&gt;J22))+IF(H22="L5",SUMPRODUCT((P$3:P$106="")*(O$3:O$106="")*(N$3:N$106="")*(M$3:M$106="P")*(G$3:G$106=G22)*(J$3:J$106&lt;J22)*(H$3:H$106&lt;&gt;H22)),-1*SUMPRODUCT((P$3:P$106="")*(O$3:O$106="")*(N$3:N$106="")*(M$3:M$106="P")*(G$3:G$106=G22)*(J$3:J$106&gt;J22)*(H$3:H$106="L5")))+1,""))))</f>
        <v/>
      </c>
      <c r="C22" s="36" t="s">
        <v>129</v>
      </c>
      <c r="D22" s="36" t="str">
        <f>IF(E22="","",VLOOKUP(E22,'Coaching Points'!A:B,2,0))</f>
        <v>ON</v>
      </c>
      <c r="E22" s="36" t="s">
        <v>47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85.40000431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 t="shared" si="1"/>
        <v/>
      </c>
      <c r="R22" s="4">
        <f t="shared" si="2"/>
        <v>43.1</v>
      </c>
      <c r="S22" s="4">
        <f t="shared" si="3"/>
        <v>42.3</v>
      </c>
      <c r="T22" s="33">
        <v>42.3</v>
      </c>
      <c r="U22" s="40">
        <v>4.9000000000000004</v>
      </c>
      <c r="V22" s="34">
        <v>41.4</v>
      </c>
      <c r="W22" s="40">
        <v>4.2</v>
      </c>
      <c r="X22" s="33">
        <v>43.1</v>
      </c>
      <c r="Y22" s="40">
        <v>5.4</v>
      </c>
      <c r="Z22" s="34">
        <v>37.5</v>
      </c>
      <c r="AA22" s="37">
        <v>3.4000000000000004</v>
      </c>
    </row>
    <row r="23" spans="1:27" x14ac:dyDescent="0.2">
      <c r="A23" s="1" t="str" cm="1">
        <f t="array" ref="A23">IF(I23="","",IF(P23&lt;&gt;"",SUMPRODUCT((P$3:P$106&lt;&gt;"")*(G$3:G$106=G23)*(J$3:J$106&gt;J23)*(I$3:I$106="P"))+1,IF(O23&lt;&gt;"",SUMPRODUCT((O$3:O$106&lt;&gt;"")*(P$3:P$106="")*(G$3:G$106=G23)*(J$3:J$106&gt;J23)*(I$3:I$106="P"))+SUMPRODUCT((P$3:P$106&lt;&gt;"")*(G$3:G$106=G23)*(I$3:I$106="P"))+1,IF(N23&lt;&gt;"",SUMPRODUCT((N$3:N$106&lt;&gt;"")*(G$3:G$106=G23)*(J$3:J$106&gt;J23)*(I$3:I$106="P"))+1,IF(M23="P",SUMPRODUCT((O$3:O$106&lt;&gt;"")*(P$3:P$106="")*(G$3:G$106=G23)*(I$3:I$106="P"))+SUMPRODUCT((P$3:P$106&lt;&gt;"")*(G$3:G$106=G23)*(I$3:I$106="P"))+SUMPRODUCT((N$3:N$106&lt;&gt;"")*(G$3:G$106=G23)*(I$3:I$106="P"))+SUMPRODUCT((P$3:P$106="")*(O$3:O$106="")*(N$3:N$106="")*(M$3:M$106="P")*(G$3:G$106=G23)*(J$3:J$106&gt;J23)*(I$3:I$106="P"))+IF(H23="L5",SUMPRODUCT((P$3:P$106="")*(O$3:O$106="")*(N$3:N$106="")*(M$3:M$106="P")*(G$3:G$106=G23)*(J$3:J$106&lt;J23)*(H$3:H$106&lt;&gt;H23)*(I$3:I$106="P")),-1*SUMPRODUCT((P$3:P$106="")*(O$3:O$106="")*(N$3:N$106="")*(M$3:M$106="P")*(G$3:G$106=G23)*(J$3:J$106&gt;J23)*(H$3:H$106="L5")*(I$3:I$106="P")))+1,"")))))</f>
        <v/>
      </c>
      <c r="B23" s="1" t="str" cm="1">
        <f t="array" ref="B23">IF(P23&lt;&gt;"",SUMPRODUCT((P$3:P$106&lt;&gt;"")*(G$3:G$106=G23)*(J$3:J$106&gt;J23))+1,IF(O23&lt;&gt;"",SUMPRODUCT((O$3:O$106&lt;&gt;"")*(P$3:P$106="")*(G$3:G$106=G23)*(J$3:J$106&gt;J23))+SUMPRODUCT((P$3:P$106&lt;&gt;"")*(G$3:G$106=G23))+1,IF(N23&lt;&gt;"",SUMPRODUCT((N$3:N$106&lt;&gt;"")*(G$3:G$106=G23)*(J$3:J$106&gt;J23))+1,IF(M23="P",SUMPRODUCT((O$3:O$106&lt;&gt;"")*(P$3:P$106="")*(G$3:G$106=G23))+SUMPRODUCT((P$3:P$106&lt;&gt;"")*(G$3:G$106=G23))+SUMPRODUCT((N$3:N$106&lt;&gt;"")*(G$3:G$106=G23))+SUMPRODUCT((P$3:P$106="")*(O$3:O$106="")*(N$3:N$106="")*(M$3:M$106="P")*(G$3:G$106=G23)*(J$3:J$106&gt;J23))+IF(H23="L5",SUMPRODUCT((P$3:P$106="")*(O$3:O$106="")*(N$3:N$106="")*(M$3:M$106="P")*(G$3:G$106=G23)*(J$3:J$106&lt;J23)*(H$3:H$106&lt;&gt;H23)),-1*SUMPRODUCT((P$3:P$106="")*(O$3:O$106="")*(N$3:N$106="")*(M$3:M$106="P")*(G$3:G$106=G23)*(J$3:J$106&gt;J23)*(H$3:H$106="L5")))+1,""))))</f>
        <v/>
      </c>
      <c r="C23" s="36" t="s">
        <v>509</v>
      </c>
      <c r="D23" s="36" t="str">
        <f>IF(E23="","",VLOOKUP(E23,'Coaching Points'!A:B,2,0))</f>
        <v>BC</v>
      </c>
      <c r="E23" s="36" t="s">
        <v>46</v>
      </c>
      <c r="F23" s="35">
        <v>2003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85.200004329999985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 t="shared" si="1"/>
        <v/>
      </c>
      <c r="R23" s="4">
        <f t="shared" si="2"/>
        <v>43.3</v>
      </c>
      <c r="S23" s="4">
        <f t="shared" si="3"/>
        <v>41.9</v>
      </c>
      <c r="T23" s="33"/>
      <c r="U23" s="40"/>
      <c r="V23" s="34"/>
      <c r="W23" s="40"/>
      <c r="X23" s="33">
        <v>43.3</v>
      </c>
      <c r="Y23" s="40">
        <v>6.3000000000000007</v>
      </c>
      <c r="Z23" s="34">
        <v>41.9</v>
      </c>
      <c r="AA23" s="37">
        <v>5.2</v>
      </c>
    </row>
    <row r="24" spans="1:27" x14ac:dyDescent="0.2">
      <c r="A24" s="1" t="str" cm="1">
        <f t="array" ref="A24">IF(I24="","",IF(P24&lt;&gt;"",SUMPRODUCT((P$3:P$106&lt;&gt;"")*(G$3:G$106=G24)*(J$3:J$106&gt;J24)*(I$3:I$106="P"))+1,IF(O24&lt;&gt;"",SUMPRODUCT((O$3:O$106&lt;&gt;"")*(P$3:P$106="")*(G$3:G$106=G24)*(J$3:J$106&gt;J24)*(I$3:I$106="P"))+SUMPRODUCT((P$3:P$106&lt;&gt;"")*(G$3:G$106=G24)*(I$3:I$106="P"))+1,IF(N24&lt;&gt;"",SUMPRODUCT((N$3:N$106&lt;&gt;"")*(G$3:G$106=G24)*(J$3:J$106&gt;J24)*(I$3:I$106="P"))+1,IF(M24="P",SUMPRODUCT((O$3:O$106&lt;&gt;"")*(P$3:P$106="")*(G$3:G$106=G24)*(I$3:I$106="P"))+SUMPRODUCT((P$3:P$106&lt;&gt;"")*(G$3:G$106=G24)*(I$3:I$106="P"))+SUMPRODUCT((N$3:N$106&lt;&gt;"")*(G$3:G$106=G24)*(I$3:I$106="P"))+SUMPRODUCT((P$3:P$106="")*(O$3:O$106="")*(N$3:N$106="")*(M$3:M$106="P")*(G$3:G$106=G24)*(J$3:J$106&gt;J24)*(I$3:I$106="P"))+IF(H24="L5",SUMPRODUCT((P$3:P$106="")*(O$3:O$106="")*(N$3:N$106="")*(M$3:M$106="P")*(G$3:G$106=G24)*(J$3:J$106&lt;J24)*(H$3:H$106&lt;&gt;H24)*(I$3:I$106="P")),-1*SUMPRODUCT((P$3:P$106="")*(O$3:O$106="")*(N$3:N$106="")*(M$3:M$106="P")*(G$3:G$106=G24)*(J$3:J$106&gt;J24)*(H$3:H$106="L5")*(I$3:I$106="P")))+1,"")))))</f>
        <v/>
      </c>
      <c r="B24" s="1" t="str" cm="1">
        <f t="array" ref="B24">IF(P24&lt;&gt;"",SUMPRODUCT((P$3:P$106&lt;&gt;"")*(G$3:G$106=G24)*(J$3:J$106&gt;J24))+1,IF(O24&lt;&gt;"",SUMPRODUCT((O$3:O$106&lt;&gt;"")*(P$3:P$106="")*(G$3:G$106=G24)*(J$3:J$106&gt;J24))+SUMPRODUCT((P$3:P$106&lt;&gt;"")*(G$3:G$106=G24))+1,IF(N24&lt;&gt;"",SUMPRODUCT((N$3:N$106&lt;&gt;"")*(G$3:G$106=G24)*(J$3:J$106&gt;J24))+1,IF(M24="P",SUMPRODUCT((O$3:O$106&lt;&gt;"")*(P$3:P$106="")*(G$3:G$106=G24))+SUMPRODUCT((P$3:P$106&lt;&gt;"")*(G$3:G$106=G24))+SUMPRODUCT((N$3:N$106&lt;&gt;"")*(G$3:G$106=G24))+SUMPRODUCT((P$3:P$106="")*(O$3:O$106="")*(N$3:N$106="")*(M$3:M$106="P")*(G$3:G$106=G24)*(J$3:J$106&gt;J24))+IF(H24="L5",SUMPRODUCT((P$3:P$106="")*(O$3:O$106="")*(N$3:N$106="")*(M$3:M$106="P")*(G$3:G$106=G24)*(J$3:J$106&lt;J24)*(H$3:H$106&lt;&gt;H24)),-1*SUMPRODUCT((P$3:P$106="")*(O$3:O$106="")*(N$3:N$106="")*(M$3:M$106="P")*(G$3:G$106=G24)*(J$3:J$106&gt;J24)*(H$3:H$106="L5")))+1,""))))</f>
        <v/>
      </c>
      <c r="C24" s="36" t="s">
        <v>360</v>
      </c>
      <c r="D24" s="36" t="str">
        <f>IF(E24="","",VLOOKUP(E24,'Coaching Points'!A:B,2,0))</f>
        <v>BC</v>
      </c>
      <c r="E24" s="36" t="s">
        <v>284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85.100104329999994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 t="shared" si="1"/>
        <v/>
      </c>
      <c r="R24" s="4">
        <f t="shared" si="2"/>
        <v>41.8</v>
      </c>
      <c r="S24" s="4">
        <f t="shared" si="3"/>
        <v>43.3</v>
      </c>
      <c r="T24" s="33">
        <v>23.9</v>
      </c>
      <c r="U24" s="40">
        <v>5.2</v>
      </c>
      <c r="V24" s="34"/>
      <c r="W24" s="40"/>
      <c r="X24" s="33">
        <v>41.8</v>
      </c>
      <c r="Y24" s="40">
        <v>7.6</v>
      </c>
      <c r="Z24" s="34">
        <v>43.3</v>
      </c>
      <c r="AA24" s="37">
        <v>7.2</v>
      </c>
    </row>
    <row r="25" spans="1:27" x14ac:dyDescent="0.2">
      <c r="A25" s="1" t="str" cm="1">
        <f t="array" ref="A25">IF(I25="","",IF(P25&lt;&gt;"",SUMPRODUCT((P$3:P$106&lt;&gt;"")*(G$3:G$106=G25)*(J$3:J$106&gt;J25)*(I$3:I$106="P"))+1,IF(O25&lt;&gt;"",SUMPRODUCT((O$3:O$106&lt;&gt;"")*(P$3:P$106="")*(G$3:G$106=G25)*(J$3:J$106&gt;J25)*(I$3:I$106="P"))+SUMPRODUCT((P$3:P$106&lt;&gt;"")*(G$3:G$106=G25)*(I$3:I$106="P"))+1,IF(N25&lt;&gt;"",SUMPRODUCT((N$3:N$106&lt;&gt;"")*(G$3:G$106=G25)*(J$3:J$106&gt;J25)*(I$3:I$106="P"))+1,IF(M25="P",SUMPRODUCT((O$3:O$106&lt;&gt;"")*(P$3:P$106="")*(G$3:G$106=G25)*(I$3:I$106="P"))+SUMPRODUCT((P$3:P$106&lt;&gt;"")*(G$3:G$106=G25)*(I$3:I$106="P"))+SUMPRODUCT((N$3:N$106&lt;&gt;"")*(G$3:G$106=G25)*(I$3:I$106="P"))+SUMPRODUCT((P$3:P$106="")*(O$3:O$106="")*(N$3:N$106="")*(M$3:M$106="P")*(G$3:G$106=G25)*(J$3:J$106&gt;J25)*(I$3:I$106="P"))+IF(H25="L5",SUMPRODUCT((P$3:P$106="")*(O$3:O$106="")*(N$3:N$106="")*(M$3:M$106="P")*(G$3:G$106=G25)*(J$3:J$106&lt;J25)*(H$3:H$106&lt;&gt;H25)*(I$3:I$106="P")),-1*SUMPRODUCT((P$3:P$106="")*(O$3:O$106="")*(N$3:N$106="")*(M$3:M$106="P")*(G$3:G$106=G25)*(J$3:J$106&gt;J25)*(H$3:H$106="L5")*(I$3:I$106="P")))+1,"")))))</f>
        <v/>
      </c>
      <c r="B25" s="1" t="str" cm="1">
        <f t="array" ref="B25">IF(P25&lt;&gt;"",SUMPRODUCT((P$3:P$106&lt;&gt;"")*(G$3:G$106=G25)*(J$3:J$106&gt;J25))+1,IF(O25&lt;&gt;"",SUMPRODUCT((O$3:O$106&lt;&gt;"")*(P$3:P$106="")*(G$3:G$106=G25)*(J$3:J$106&gt;J25))+SUMPRODUCT((P$3:P$106&lt;&gt;"")*(G$3:G$106=G25))+1,IF(N25&lt;&gt;"",SUMPRODUCT((N$3:N$106&lt;&gt;"")*(G$3:G$106=G25)*(J$3:J$106&gt;J25))+1,IF(M25="P",SUMPRODUCT((O$3:O$106&lt;&gt;"")*(P$3:P$106="")*(G$3:G$106=G25))+SUMPRODUCT((P$3:P$106&lt;&gt;"")*(G$3:G$106=G25))+SUMPRODUCT((N$3:N$106&lt;&gt;"")*(G$3:G$106=G25))+SUMPRODUCT((P$3:P$106="")*(O$3:O$106="")*(N$3:N$106="")*(M$3:M$106="P")*(G$3:G$106=G25)*(J$3:J$106&gt;J25))+IF(H25="L5",SUMPRODUCT((P$3:P$106="")*(O$3:O$106="")*(N$3:N$106="")*(M$3:M$106="P")*(G$3:G$106=G25)*(J$3:J$106&lt;J25)*(H$3:H$106&lt;&gt;H25)),-1*SUMPRODUCT((P$3:P$106="")*(O$3:O$106="")*(N$3:N$106="")*(M$3:M$106="P")*(G$3:G$106=G25)*(J$3:J$106&gt;J25)*(H$3:H$106="L5")))+1,""))))</f>
        <v/>
      </c>
      <c r="C25" s="36" t="s">
        <v>186</v>
      </c>
      <c r="D25" s="36" t="str">
        <f>IF(E25="","",VLOOKUP(E25,'Coaching Points'!A:B,2,0))</f>
        <v>SK</v>
      </c>
      <c r="E25" s="36" t="s">
        <v>60</v>
      </c>
      <c r="F25" s="35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85.000004300000001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 t="shared" si="1"/>
        <v/>
      </c>
      <c r="R25" s="4">
        <f t="shared" si="2"/>
        <v>43</v>
      </c>
      <c r="S25" s="4">
        <f t="shared" si="3"/>
        <v>42</v>
      </c>
      <c r="T25" s="33">
        <v>41.7</v>
      </c>
      <c r="U25" s="40">
        <v>4.8000000000000007</v>
      </c>
      <c r="V25" s="34"/>
      <c r="W25" s="40"/>
      <c r="X25" s="33">
        <v>43</v>
      </c>
      <c r="Y25" s="40">
        <v>5.8000000000000007</v>
      </c>
      <c r="Z25" s="34">
        <v>42</v>
      </c>
      <c r="AA25" s="37">
        <v>5.6</v>
      </c>
    </row>
    <row r="26" spans="1:27" x14ac:dyDescent="0.2">
      <c r="A26" s="1" t="str" cm="1">
        <f t="array" ref="A26">IF(I26="","",IF(P26&lt;&gt;"",SUMPRODUCT((P$3:P$106&lt;&gt;"")*(G$3:G$106=G26)*(J$3:J$106&gt;J26)*(I$3:I$106="P"))+1,IF(O26&lt;&gt;"",SUMPRODUCT((O$3:O$106&lt;&gt;"")*(P$3:P$106="")*(G$3:G$106=G26)*(J$3:J$106&gt;J26)*(I$3:I$106="P"))+SUMPRODUCT((P$3:P$106&lt;&gt;"")*(G$3:G$106=G26)*(I$3:I$106="P"))+1,IF(N26&lt;&gt;"",SUMPRODUCT((N$3:N$106&lt;&gt;"")*(G$3:G$106=G26)*(J$3:J$106&gt;J26)*(I$3:I$106="P"))+1,IF(M26="P",SUMPRODUCT((O$3:O$106&lt;&gt;"")*(P$3:P$106="")*(G$3:G$106=G26)*(I$3:I$106="P"))+SUMPRODUCT((P$3:P$106&lt;&gt;"")*(G$3:G$106=G26)*(I$3:I$106="P"))+SUMPRODUCT((N$3:N$106&lt;&gt;"")*(G$3:G$106=G26)*(I$3:I$106="P"))+SUMPRODUCT((P$3:P$106="")*(O$3:O$106="")*(N$3:N$106="")*(M$3:M$106="P")*(G$3:G$106=G26)*(J$3:J$106&gt;J26)*(I$3:I$106="P"))+IF(H26="L5",SUMPRODUCT((P$3:P$106="")*(O$3:O$106="")*(N$3:N$106="")*(M$3:M$106="P")*(G$3:G$106=G26)*(J$3:J$106&lt;J26)*(H$3:H$106&lt;&gt;H26)*(I$3:I$106="P")),-1*SUMPRODUCT((P$3:P$106="")*(O$3:O$106="")*(N$3:N$106="")*(M$3:M$106="P")*(G$3:G$106=G26)*(J$3:J$106&gt;J26)*(H$3:H$106="L5")*(I$3:I$106="P")))+1,"")))))</f>
        <v/>
      </c>
      <c r="B26" s="1" t="str" cm="1">
        <f t="array" ref="B26">IF(P26&lt;&gt;"",SUMPRODUCT((P$3:P$106&lt;&gt;"")*(G$3:G$106=G26)*(J$3:J$106&gt;J26))+1,IF(O26&lt;&gt;"",SUMPRODUCT((O$3:O$106&lt;&gt;"")*(P$3:P$106="")*(G$3:G$106=G26)*(J$3:J$106&gt;J26))+SUMPRODUCT((P$3:P$106&lt;&gt;"")*(G$3:G$106=G26))+1,IF(N26&lt;&gt;"",SUMPRODUCT((N$3:N$106&lt;&gt;"")*(G$3:G$106=G26)*(J$3:J$106&gt;J26))+1,IF(M26="P",SUMPRODUCT((O$3:O$106&lt;&gt;"")*(P$3:P$106="")*(G$3:G$106=G26))+SUMPRODUCT((P$3:P$106&lt;&gt;"")*(G$3:G$106=G26))+SUMPRODUCT((N$3:N$106&lt;&gt;"")*(G$3:G$106=G26))+SUMPRODUCT((P$3:P$106="")*(O$3:O$106="")*(N$3:N$106="")*(M$3:M$106="P")*(G$3:G$106=G26)*(J$3:J$106&gt;J26))+IF(H26="L5",SUMPRODUCT((P$3:P$106="")*(O$3:O$106="")*(N$3:N$106="")*(M$3:M$106="P")*(G$3:G$106=G26)*(J$3:J$106&lt;J26)*(H$3:H$106&lt;&gt;H26)),-1*SUMPRODUCT((P$3:P$106="")*(O$3:O$106="")*(N$3:N$106="")*(M$3:M$106="P")*(G$3:G$106=G26)*(J$3:J$106&gt;J26)*(H$3:H$106="L5")))+1,""))))</f>
        <v/>
      </c>
      <c r="C26" s="36" t="s">
        <v>248</v>
      </c>
      <c r="D26" s="36" t="str">
        <f>IF(E26="","",VLOOKUP(E26,'Coaching Points'!A:B,2,0))</f>
        <v>SK</v>
      </c>
      <c r="E26" s="36" t="s">
        <v>45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84.90000422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 t="shared" si="1"/>
        <v/>
      </c>
      <c r="R26" s="4">
        <f t="shared" si="2"/>
        <v>42.7</v>
      </c>
      <c r="S26" s="4">
        <f t="shared" si="3"/>
        <v>42.2</v>
      </c>
      <c r="T26" s="33">
        <v>42.7</v>
      </c>
      <c r="U26" s="40">
        <v>5.8000000000000007</v>
      </c>
      <c r="V26" s="34">
        <v>37.9</v>
      </c>
      <c r="W26" s="40">
        <v>4</v>
      </c>
      <c r="X26" s="33">
        <v>42.2</v>
      </c>
      <c r="Y26" s="40">
        <v>6.3000000000000007</v>
      </c>
      <c r="Z26" s="34"/>
      <c r="AA26" s="37"/>
    </row>
    <row r="27" spans="1:27" x14ac:dyDescent="0.2">
      <c r="A27" s="1" t="str" cm="1">
        <f t="array" ref="A27">IF(I27="","",IF(P27&lt;&gt;"",SUMPRODUCT((P$3:P$106&lt;&gt;"")*(G$3:G$106=G27)*(J$3:J$106&gt;J27)*(I$3:I$106="P"))+1,IF(O27&lt;&gt;"",SUMPRODUCT((O$3:O$106&lt;&gt;"")*(P$3:P$106="")*(G$3:G$106=G27)*(J$3:J$106&gt;J27)*(I$3:I$106="P"))+SUMPRODUCT((P$3:P$106&lt;&gt;"")*(G$3:G$106=G27)*(I$3:I$106="P"))+1,IF(N27&lt;&gt;"",SUMPRODUCT((N$3:N$106&lt;&gt;"")*(G$3:G$106=G27)*(J$3:J$106&gt;J27)*(I$3:I$106="P"))+1,IF(M27="P",SUMPRODUCT((O$3:O$106&lt;&gt;"")*(P$3:P$106="")*(G$3:G$106=G27)*(I$3:I$106="P"))+SUMPRODUCT((P$3:P$106&lt;&gt;"")*(G$3:G$106=G27)*(I$3:I$106="P"))+SUMPRODUCT((N$3:N$106&lt;&gt;"")*(G$3:G$106=G27)*(I$3:I$106="P"))+SUMPRODUCT((P$3:P$106="")*(O$3:O$106="")*(N$3:N$106="")*(M$3:M$106="P")*(G$3:G$106=G27)*(J$3:J$106&gt;J27)*(I$3:I$106="P"))+IF(H27="L5",SUMPRODUCT((P$3:P$106="")*(O$3:O$106="")*(N$3:N$106="")*(M$3:M$106="P")*(G$3:G$106=G27)*(J$3:J$106&lt;J27)*(H$3:H$106&lt;&gt;H27)*(I$3:I$106="P")),-1*SUMPRODUCT((P$3:P$106="")*(O$3:O$106="")*(N$3:N$106="")*(M$3:M$106="P")*(G$3:G$106=G27)*(J$3:J$106&gt;J27)*(H$3:H$106="L5")*(I$3:I$106="P")))+1,"")))))</f>
        <v/>
      </c>
      <c r="B27" s="1" t="str" cm="1">
        <f t="array" ref="B27">IF(P27&lt;&gt;"",SUMPRODUCT((P$3:P$106&lt;&gt;"")*(G$3:G$106=G27)*(J$3:J$106&gt;J27))+1,IF(O27&lt;&gt;"",SUMPRODUCT((O$3:O$106&lt;&gt;"")*(P$3:P$106="")*(G$3:G$106=G27)*(J$3:J$106&gt;J27))+SUMPRODUCT((P$3:P$106&lt;&gt;"")*(G$3:G$106=G27))+1,IF(N27&lt;&gt;"",SUMPRODUCT((N$3:N$106&lt;&gt;"")*(G$3:G$106=G27)*(J$3:J$106&gt;J27))+1,IF(M27="P",SUMPRODUCT((O$3:O$106&lt;&gt;"")*(P$3:P$106="")*(G$3:G$106=G27))+SUMPRODUCT((P$3:P$106&lt;&gt;"")*(G$3:G$106=G27))+SUMPRODUCT((N$3:N$106&lt;&gt;"")*(G$3:G$106=G27))+SUMPRODUCT((P$3:P$106="")*(O$3:O$106="")*(N$3:N$106="")*(M$3:M$106="P")*(G$3:G$106=G27)*(J$3:J$106&gt;J27))+IF(H27="L5",SUMPRODUCT((P$3:P$106="")*(O$3:O$106="")*(N$3:N$106="")*(M$3:M$106="P")*(G$3:G$106=G27)*(J$3:J$106&lt;J27)*(H$3:H$106&lt;&gt;H27)),-1*SUMPRODUCT((P$3:P$106="")*(O$3:O$106="")*(N$3:N$106="")*(M$3:M$106="P")*(G$3:G$106=G27)*(J$3:J$106&gt;J27)*(H$3:H$106="L5")))+1,""))))</f>
        <v/>
      </c>
      <c r="C27" s="36" t="s">
        <v>190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 t="shared" si="1"/>
        <v/>
      </c>
      <c r="R27" s="4">
        <f t="shared" si="2"/>
        <v>42.3</v>
      </c>
      <c r="S27" s="4">
        <f t="shared" si="3"/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$106&lt;&gt;"")*(G$3:G$106=G28)*(J$3:J$106&gt;J28)*(I$3:I$106="P"))+1,IF(O28&lt;&gt;"",SUMPRODUCT((O$3:O$106&lt;&gt;"")*(P$3:P$106="")*(G$3:G$106=G28)*(J$3:J$106&gt;J28)*(I$3:I$106="P"))+SUMPRODUCT((P$3:P$106&lt;&gt;"")*(G$3:G$106=G28)*(I$3:I$106="P"))+1,IF(N28&lt;&gt;"",SUMPRODUCT((N$3:N$106&lt;&gt;"")*(G$3:G$106=G28)*(J$3:J$106&gt;J28)*(I$3:I$106="P"))+1,IF(M28="P",SUMPRODUCT((O$3:O$106&lt;&gt;"")*(P$3:P$106="")*(G$3:G$106=G28)*(I$3:I$106="P"))+SUMPRODUCT((P$3:P$106&lt;&gt;"")*(G$3:G$106=G28)*(I$3:I$106="P"))+SUMPRODUCT((N$3:N$106&lt;&gt;"")*(G$3:G$106=G28)*(I$3:I$106="P"))+SUMPRODUCT((P$3:P$106="")*(O$3:O$106="")*(N$3:N$106="")*(M$3:M$106="P")*(G$3:G$106=G28)*(J$3:J$106&gt;J28)*(I$3:I$106="P"))+IF(H28="L5",SUMPRODUCT((P$3:P$106="")*(O$3:O$106="")*(N$3:N$106="")*(M$3:M$106="P")*(G$3:G$106=G28)*(J$3:J$106&lt;J28)*(H$3:H$106&lt;&gt;H28)*(I$3:I$106="P")),-1*SUMPRODUCT((P$3:P$106="")*(O$3:O$106="")*(N$3:N$106="")*(M$3:M$106="P")*(G$3:G$106=G28)*(J$3:J$106&gt;J28)*(H$3:H$106="L5")*(I$3:I$106="P")))+1,"")))))</f>
        <v/>
      </c>
      <c r="B28" s="1" t="str" cm="1">
        <f t="array" ref="B28">IF(P28&lt;&gt;"",SUMPRODUCT((P$3:P$106&lt;&gt;"")*(G$3:G$106=G28)*(J$3:J$106&gt;J28))+1,IF(O28&lt;&gt;"",SUMPRODUCT((O$3:O$106&lt;&gt;"")*(P$3:P$106="")*(G$3:G$106=G28)*(J$3:J$106&gt;J28))+SUMPRODUCT((P$3:P$106&lt;&gt;"")*(G$3:G$106=G28))+1,IF(N28&lt;&gt;"",SUMPRODUCT((N$3:N$106&lt;&gt;"")*(G$3:G$106=G28)*(J$3:J$106&gt;J28))+1,IF(M28="P",SUMPRODUCT((O$3:O$106&lt;&gt;"")*(P$3:P$106="")*(G$3:G$106=G28))+SUMPRODUCT((P$3:P$106&lt;&gt;"")*(G$3:G$106=G28))+SUMPRODUCT((N$3:N$106&lt;&gt;"")*(G$3:G$106=G28))+SUMPRODUCT((P$3:P$106="")*(O$3:O$106="")*(N$3:N$106="")*(M$3:M$106="P")*(G$3:G$106=G28)*(J$3:J$106&gt;J28))+IF(H28="L5",SUMPRODUCT((P$3:P$106="")*(O$3:O$106="")*(N$3:N$106="")*(M$3:M$106="P")*(G$3:G$106=G28)*(J$3:J$106&lt;J28)*(H$3:H$106&lt;&gt;H28)),-1*SUMPRODUCT((P$3:P$106="")*(O$3:O$106="")*(N$3:N$106="")*(M$3:M$106="P")*(G$3:G$106=G28)*(J$3:J$106&gt;J28)*(H$3:H$106="L5")))+1,""))))</f>
        <v/>
      </c>
      <c r="C28" s="36" t="s">
        <v>251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 t="shared" si="1"/>
        <v/>
      </c>
      <c r="R28" s="4">
        <f t="shared" si="2"/>
        <v>43.5</v>
      </c>
      <c r="S28" s="4">
        <f t="shared" si="3"/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$106&lt;&gt;"")*(G$3:G$106=G29)*(J$3:J$106&gt;J29)*(I$3:I$106="P"))+1,IF(O29&lt;&gt;"",SUMPRODUCT((O$3:O$106&lt;&gt;"")*(P$3:P$106="")*(G$3:G$106=G29)*(J$3:J$106&gt;J29)*(I$3:I$106="P"))+SUMPRODUCT((P$3:P$106&lt;&gt;"")*(G$3:G$106=G29)*(I$3:I$106="P"))+1,IF(N29&lt;&gt;"",SUMPRODUCT((N$3:N$106&lt;&gt;"")*(G$3:G$106=G29)*(J$3:J$106&gt;J29)*(I$3:I$106="P"))+1,IF(M29="P",SUMPRODUCT((O$3:O$106&lt;&gt;"")*(P$3:P$106="")*(G$3:G$106=G29)*(I$3:I$106="P"))+SUMPRODUCT((P$3:P$106&lt;&gt;"")*(G$3:G$106=G29)*(I$3:I$106="P"))+SUMPRODUCT((N$3:N$106&lt;&gt;"")*(G$3:G$106=G29)*(I$3:I$106="P"))+SUMPRODUCT((P$3:P$106="")*(O$3:O$106="")*(N$3:N$106="")*(M$3:M$106="P")*(G$3:G$106=G29)*(J$3:J$106&gt;J29)*(I$3:I$106="P"))+IF(H29="L5",SUMPRODUCT((P$3:P$106="")*(O$3:O$106="")*(N$3:N$106="")*(M$3:M$106="P")*(G$3:G$106=G29)*(J$3:J$106&lt;J29)*(H$3:H$106&lt;&gt;H29)*(I$3:I$106="P")),-1*SUMPRODUCT((P$3:P$106="")*(O$3:O$106="")*(N$3:N$106="")*(M$3:M$106="P")*(G$3:G$106=G29)*(J$3:J$106&gt;J29)*(H$3:H$106="L5")*(I$3:I$106="P")))+1,"")))))</f>
        <v/>
      </c>
      <c r="B29" s="1" t="str" cm="1">
        <f t="array" ref="B29">IF(P29&lt;&gt;"",SUMPRODUCT((P$3:P$106&lt;&gt;"")*(G$3:G$106=G29)*(J$3:J$106&gt;J29))+1,IF(O29&lt;&gt;"",SUMPRODUCT((O$3:O$106&lt;&gt;"")*(P$3:P$106="")*(G$3:G$106=G29)*(J$3:J$106&gt;J29))+SUMPRODUCT((P$3:P$106&lt;&gt;"")*(G$3:G$106=G29))+1,IF(N29&lt;&gt;"",SUMPRODUCT((N$3:N$106&lt;&gt;"")*(G$3:G$106=G29)*(J$3:J$106&gt;J29))+1,IF(M29="P",SUMPRODUCT((O$3:O$106&lt;&gt;"")*(P$3:P$106="")*(G$3:G$106=G29))+SUMPRODUCT((P$3:P$106&lt;&gt;"")*(G$3:G$106=G29))+SUMPRODUCT((N$3:N$106&lt;&gt;"")*(G$3:G$106=G29))+SUMPRODUCT((P$3:P$106="")*(O$3:O$106="")*(N$3:N$106="")*(M$3:M$106="P")*(G$3:G$106=G29)*(J$3:J$106&gt;J29))+IF(H29="L5",SUMPRODUCT((P$3:P$106="")*(O$3:O$106="")*(N$3:N$106="")*(M$3:M$106="P")*(G$3:G$106=G29)*(J$3:J$106&lt;J29)*(H$3:H$106&lt;&gt;H29)),-1*SUMPRODUCT((P$3:P$106="")*(O$3:O$106="")*(N$3:N$106="")*(M$3:M$106="P")*(G$3:G$106=G29)*(J$3:J$106&gt;J29)*(H$3:H$106="L5")))+1,""))))</f>
        <v/>
      </c>
      <c r="C29" s="36" t="s">
        <v>510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 t="shared" si="1"/>
        <v/>
      </c>
      <c r="R29" s="4">
        <f t="shared" si="2"/>
        <v>43.6</v>
      </c>
      <c r="S29" s="4">
        <f t="shared" si="3"/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$106&lt;&gt;"")*(G$3:G$106=G30)*(J$3:J$106&gt;J30)*(I$3:I$106="P"))+1,IF(O30&lt;&gt;"",SUMPRODUCT((O$3:O$106&lt;&gt;"")*(P$3:P$106="")*(G$3:G$106=G30)*(J$3:J$106&gt;J30)*(I$3:I$106="P"))+SUMPRODUCT((P$3:P$106&lt;&gt;"")*(G$3:G$106=G30)*(I$3:I$106="P"))+1,IF(N30&lt;&gt;"",SUMPRODUCT((N$3:N$106&lt;&gt;"")*(G$3:G$106=G30)*(J$3:J$106&gt;J30)*(I$3:I$106="P"))+1,IF(M30="P",SUMPRODUCT((O$3:O$106&lt;&gt;"")*(P$3:P$106="")*(G$3:G$106=G30)*(I$3:I$106="P"))+SUMPRODUCT((P$3:P$106&lt;&gt;"")*(G$3:G$106=G30)*(I$3:I$106="P"))+SUMPRODUCT((N$3:N$106&lt;&gt;"")*(G$3:G$106=G30)*(I$3:I$106="P"))+SUMPRODUCT((P$3:P$106="")*(O$3:O$106="")*(N$3:N$106="")*(M$3:M$106="P")*(G$3:G$106=G30)*(J$3:J$106&gt;J30)*(I$3:I$106="P"))+IF(H30="L5",SUMPRODUCT((P$3:P$106="")*(O$3:O$106="")*(N$3:N$106="")*(M$3:M$106="P")*(G$3:G$106=G30)*(J$3:J$106&lt;J30)*(H$3:H$106&lt;&gt;H30)*(I$3:I$106="P")),-1*SUMPRODUCT((P$3:P$106="")*(O$3:O$106="")*(N$3:N$106="")*(M$3:M$106="P")*(G$3:G$106=G30)*(J$3:J$106&gt;J30)*(H$3:H$106="L5")*(I$3:I$106="P")))+1,"")))))</f>
        <v/>
      </c>
      <c r="B30" s="1" t="str" cm="1">
        <f t="array" ref="B30">IF(P30&lt;&gt;"",SUMPRODUCT((P$3:P$106&lt;&gt;"")*(G$3:G$106=G30)*(J$3:J$106&gt;J30))+1,IF(O30&lt;&gt;"",SUMPRODUCT((O$3:O$106&lt;&gt;"")*(P$3:P$106="")*(G$3:G$106=G30)*(J$3:J$106&gt;J30))+SUMPRODUCT((P$3:P$106&lt;&gt;"")*(G$3:G$106=G30))+1,IF(N30&lt;&gt;"",SUMPRODUCT((N$3:N$106&lt;&gt;"")*(G$3:G$106=G30)*(J$3:J$106&gt;J30))+1,IF(M30="P",SUMPRODUCT((O$3:O$106&lt;&gt;"")*(P$3:P$106="")*(G$3:G$106=G30))+SUMPRODUCT((P$3:P$106&lt;&gt;"")*(G$3:G$106=G30))+SUMPRODUCT((N$3:N$106&lt;&gt;"")*(G$3:G$106=G30))+SUMPRODUCT((P$3:P$106="")*(O$3:O$106="")*(N$3:N$106="")*(M$3:M$106="P")*(G$3:G$106=G30)*(J$3:J$106&gt;J30))+IF(H30="L5",SUMPRODUCT((P$3:P$106="")*(O$3:O$106="")*(N$3:N$106="")*(M$3:M$106="P")*(G$3:G$106=G30)*(J$3:J$106&lt;J30)*(H$3:H$106&lt;&gt;H30)),-1*SUMPRODUCT((P$3:P$106="")*(O$3:O$106="")*(N$3:N$106="")*(M$3:M$106="P")*(G$3:G$106=G30)*(J$3:J$106&gt;J30)*(H$3:H$106="L5")))+1,""))))</f>
        <v/>
      </c>
      <c r="C30" s="36" t="s">
        <v>355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 t="shared" si="1"/>
        <v/>
      </c>
      <c r="R30" s="4">
        <f t="shared" si="2"/>
        <v>42.7</v>
      </c>
      <c r="S30" s="4">
        <f t="shared" si="3"/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$106&lt;&gt;"")*(G$3:G$106=G31)*(J$3:J$106&gt;J31)*(I$3:I$106="P"))+1,IF(O31&lt;&gt;"",SUMPRODUCT((O$3:O$106&lt;&gt;"")*(P$3:P$106="")*(G$3:G$106=G31)*(J$3:J$106&gt;J31)*(I$3:I$106="P"))+SUMPRODUCT((P$3:P$106&lt;&gt;"")*(G$3:G$106=G31)*(I$3:I$106="P"))+1,IF(N31&lt;&gt;"",SUMPRODUCT((N$3:N$106&lt;&gt;"")*(G$3:G$106=G31)*(J$3:J$106&gt;J31)*(I$3:I$106="P"))+1,IF(M31="P",SUMPRODUCT((O$3:O$106&lt;&gt;"")*(P$3:P$106="")*(G$3:G$106=G31)*(I$3:I$106="P"))+SUMPRODUCT((P$3:P$106&lt;&gt;"")*(G$3:G$106=G31)*(I$3:I$106="P"))+SUMPRODUCT((N$3:N$106&lt;&gt;"")*(G$3:G$106=G31)*(I$3:I$106="P"))+SUMPRODUCT((P$3:P$106="")*(O$3:O$106="")*(N$3:N$106="")*(M$3:M$106="P")*(G$3:G$106=G31)*(J$3:J$106&gt;J31)*(I$3:I$106="P"))+IF(H31="L5",SUMPRODUCT((P$3:P$106="")*(O$3:O$106="")*(N$3:N$106="")*(M$3:M$106="P")*(G$3:G$106=G31)*(J$3:J$106&lt;J31)*(H$3:H$106&lt;&gt;H31)*(I$3:I$106="P")),-1*SUMPRODUCT((P$3:P$106="")*(O$3:O$106="")*(N$3:N$106="")*(M$3:M$106="P")*(G$3:G$106=G31)*(J$3:J$106&gt;J31)*(H$3:H$106="L5")*(I$3:I$106="P")))+1,"")))))</f>
        <v/>
      </c>
      <c r="B31" s="1" t="str" cm="1">
        <f t="array" ref="B31">IF(P31&lt;&gt;"",SUMPRODUCT((P$3:P$106&lt;&gt;"")*(G$3:G$106=G31)*(J$3:J$106&gt;J31))+1,IF(O31&lt;&gt;"",SUMPRODUCT((O$3:O$106&lt;&gt;"")*(P$3:P$106="")*(G$3:G$106=G31)*(J$3:J$106&gt;J31))+SUMPRODUCT((P$3:P$106&lt;&gt;"")*(G$3:G$106=G31))+1,IF(N31&lt;&gt;"",SUMPRODUCT((N$3:N$106&lt;&gt;"")*(G$3:G$106=G31)*(J$3:J$106&gt;J31))+1,IF(M31="P",SUMPRODUCT((O$3:O$106&lt;&gt;"")*(P$3:P$106="")*(G$3:G$106=G31))+SUMPRODUCT((P$3:P$106&lt;&gt;"")*(G$3:G$106=G31))+SUMPRODUCT((N$3:N$106&lt;&gt;"")*(G$3:G$106=G31))+SUMPRODUCT((P$3:P$106="")*(O$3:O$106="")*(N$3:N$106="")*(M$3:M$106="P")*(G$3:G$106=G31)*(J$3:J$106&gt;J31))+IF(H31="L5",SUMPRODUCT((P$3:P$106="")*(O$3:O$106="")*(N$3:N$106="")*(M$3:M$106="P")*(G$3:G$106=G31)*(J$3:J$106&lt;J31)*(H$3:H$106&lt;&gt;H31)),-1*SUMPRODUCT((P$3:P$106="")*(O$3:O$106="")*(N$3:N$106="")*(M$3:M$106="P")*(G$3:G$106=G31)*(J$3:J$106&gt;J31)*(H$3:H$106="L5")))+1,""))))</f>
        <v/>
      </c>
      <c r="C31" s="36" t="s">
        <v>272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 t="shared" si="1"/>
        <v/>
      </c>
      <c r="R31" s="4">
        <f t="shared" si="2"/>
        <v>42.7</v>
      </c>
      <c r="S31" s="4">
        <f t="shared" si="3"/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$106&lt;&gt;"")*(G$3:G$106=G32)*(J$3:J$106&gt;J32)*(I$3:I$106="P"))+1,IF(O32&lt;&gt;"",SUMPRODUCT((O$3:O$106&lt;&gt;"")*(P$3:P$106="")*(G$3:G$106=G32)*(J$3:J$106&gt;J32)*(I$3:I$106="P"))+SUMPRODUCT((P$3:P$106&lt;&gt;"")*(G$3:G$106=G32)*(I$3:I$106="P"))+1,IF(N32&lt;&gt;"",SUMPRODUCT((N$3:N$106&lt;&gt;"")*(G$3:G$106=G32)*(J$3:J$106&gt;J32)*(I$3:I$106="P"))+1,IF(M32="P",SUMPRODUCT((O$3:O$106&lt;&gt;"")*(P$3:P$106="")*(G$3:G$106=G32)*(I$3:I$106="P"))+SUMPRODUCT((P$3:P$106&lt;&gt;"")*(G$3:G$106=G32)*(I$3:I$106="P"))+SUMPRODUCT((N$3:N$106&lt;&gt;"")*(G$3:G$106=G32)*(I$3:I$106="P"))+SUMPRODUCT((P$3:P$106="")*(O$3:O$106="")*(N$3:N$106="")*(M$3:M$106="P")*(G$3:G$106=G32)*(J$3:J$106&gt;J32)*(I$3:I$106="P"))+IF(H32="L5",SUMPRODUCT((P$3:P$106="")*(O$3:O$106="")*(N$3:N$106="")*(M$3:M$106="P")*(G$3:G$106=G32)*(J$3:J$106&lt;J32)*(H$3:H$106&lt;&gt;H32)*(I$3:I$106="P")),-1*SUMPRODUCT((P$3:P$106="")*(O$3:O$106="")*(N$3:N$106="")*(M$3:M$106="P")*(G$3:G$106=G32)*(J$3:J$106&gt;J32)*(H$3:H$106="L5")*(I$3:I$106="P")))+1,"")))))</f>
        <v/>
      </c>
      <c r="B32" s="1" t="str" cm="1">
        <f t="array" ref="B32">IF(P32&lt;&gt;"",SUMPRODUCT((P$3:P$106&lt;&gt;"")*(G$3:G$106=G32)*(J$3:J$106&gt;J32))+1,IF(O32&lt;&gt;"",SUMPRODUCT((O$3:O$106&lt;&gt;"")*(P$3:P$106="")*(G$3:G$106=G32)*(J$3:J$106&gt;J32))+SUMPRODUCT((P$3:P$106&lt;&gt;"")*(G$3:G$106=G32))+1,IF(N32&lt;&gt;"",SUMPRODUCT((N$3:N$106&lt;&gt;"")*(G$3:G$106=G32)*(J$3:J$106&gt;J32))+1,IF(M32="P",SUMPRODUCT((O$3:O$106&lt;&gt;"")*(P$3:P$106="")*(G$3:G$106=G32))+SUMPRODUCT((P$3:P$106&lt;&gt;"")*(G$3:G$106=G32))+SUMPRODUCT((N$3:N$106&lt;&gt;"")*(G$3:G$106=G32))+SUMPRODUCT((P$3:P$106="")*(O$3:O$106="")*(N$3:N$106="")*(M$3:M$106="P")*(G$3:G$106=G32)*(J$3:J$106&gt;J32))+IF(H32="L5",SUMPRODUCT((P$3:P$106="")*(O$3:O$106="")*(N$3:N$106="")*(M$3:M$106="P")*(G$3:G$106=G32)*(J$3:J$106&lt;J32)*(H$3:H$106&lt;&gt;H32)),-1*SUMPRODUCT((P$3:P$106="")*(O$3:O$106="")*(N$3:N$106="")*(M$3:M$106="P")*(G$3:G$106=G32)*(J$3:J$106&gt;J32)*(H$3:H$106="L5")))+1,""))))</f>
        <v/>
      </c>
      <c r="C32" s="36" t="s">
        <v>184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 t="shared" si="1"/>
        <v/>
      </c>
      <c r="R32" s="4">
        <f t="shared" si="2"/>
        <v>42.5</v>
      </c>
      <c r="S32" s="4">
        <f t="shared" si="3"/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$106&lt;&gt;"")*(G$3:G$106=G33)*(J$3:J$106&gt;J33)*(I$3:I$106="P"))+1,IF(O33&lt;&gt;"",SUMPRODUCT((O$3:O$106&lt;&gt;"")*(P$3:P$106="")*(G$3:G$106=G33)*(J$3:J$106&gt;J33)*(I$3:I$106="P"))+SUMPRODUCT((P$3:P$106&lt;&gt;"")*(G$3:G$106=G33)*(I$3:I$106="P"))+1,IF(N33&lt;&gt;"",SUMPRODUCT((N$3:N$106&lt;&gt;"")*(G$3:G$106=G33)*(J$3:J$106&gt;J33)*(I$3:I$106="P"))+1,IF(M33="P",SUMPRODUCT((O$3:O$106&lt;&gt;"")*(P$3:P$106="")*(G$3:G$106=G33)*(I$3:I$106="P"))+SUMPRODUCT((P$3:P$106&lt;&gt;"")*(G$3:G$106=G33)*(I$3:I$106="P"))+SUMPRODUCT((N$3:N$106&lt;&gt;"")*(G$3:G$106=G33)*(I$3:I$106="P"))+SUMPRODUCT((P$3:P$106="")*(O$3:O$106="")*(N$3:N$106="")*(M$3:M$106="P")*(G$3:G$106=G33)*(J$3:J$106&gt;J33)*(I$3:I$106="P"))+IF(H33="L5",SUMPRODUCT((P$3:P$106="")*(O$3:O$106="")*(N$3:N$106="")*(M$3:M$106="P")*(G$3:G$106=G33)*(J$3:J$106&lt;J33)*(H$3:H$106&lt;&gt;H33)*(I$3:I$106="P")),-1*SUMPRODUCT((P$3:P$106="")*(O$3:O$106="")*(N$3:N$106="")*(M$3:M$106="P")*(G$3:G$106=G33)*(J$3:J$106&gt;J33)*(H$3:H$106="L5")*(I$3:I$106="P")))+1,"")))))</f>
        <v/>
      </c>
      <c r="B33" s="1" t="str" cm="1">
        <f t="array" ref="B33">IF(P33&lt;&gt;"",SUMPRODUCT((P$3:P$106&lt;&gt;"")*(G$3:G$106=G33)*(J$3:J$106&gt;J33))+1,IF(O33&lt;&gt;"",SUMPRODUCT((O$3:O$106&lt;&gt;"")*(P$3:P$106="")*(G$3:G$106=G33)*(J$3:J$106&gt;J33))+SUMPRODUCT((P$3:P$106&lt;&gt;"")*(G$3:G$106=G33))+1,IF(N33&lt;&gt;"",SUMPRODUCT((N$3:N$106&lt;&gt;"")*(G$3:G$106=G33)*(J$3:J$106&gt;J33))+1,IF(M33="P",SUMPRODUCT((O$3:O$106&lt;&gt;"")*(P$3:P$106="")*(G$3:G$106=G33))+SUMPRODUCT((P$3:P$106&lt;&gt;"")*(G$3:G$106=G33))+SUMPRODUCT((N$3:N$106&lt;&gt;"")*(G$3:G$106=G33))+SUMPRODUCT((P$3:P$106="")*(O$3:O$106="")*(N$3:N$106="")*(M$3:M$106="P")*(G$3:G$106=G33)*(J$3:J$106&gt;J33))+IF(H33="L5",SUMPRODUCT((P$3:P$106="")*(O$3:O$106="")*(N$3:N$106="")*(M$3:M$106="P")*(G$3:G$106=G33)*(J$3:J$106&lt;J33)*(H$3:H$106&lt;&gt;H33)),-1*SUMPRODUCT((P$3:P$106="")*(O$3:O$106="")*(N$3:N$106="")*(M$3:M$106="P")*(G$3:G$106=G33)*(J$3:J$106&gt;J33)*(H$3:H$106="L5")))+1,""))))</f>
        <v/>
      </c>
      <c r="C33" s="36" t="s">
        <v>511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 t="shared" si="1"/>
        <v/>
      </c>
      <c r="R33" s="4">
        <f t="shared" si="2"/>
        <v>43.8</v>
      </c>
      <c r="S33" s="4">
        <f t="shared" si="3"/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$106&lt;&gt;"")*(G$3:G$106=G34)*(J$3:J$106&gt;J34)*(I$3:I$106="P"))+1,IF(O34&lt;&gt;"",SUMPRODUCT((O$3:O$106&lt;&gt;"")*(P$3:P$106="")*(G$3:G$106=G34)*(J$3:J$106&gt;J34)*(I$3:I$106="P"))+SUMPRODUCT((P$3:P$106&lt;&gt;"")*(G$3:G$106=G34)*(I$3:I$106="P"))+1,IF(N34&lt;&gt;"",SUMPRODUCT((N$3:N$106&lt;&gt;"")*(G$3:G$106=G34)*(J$3:J$106&gt;J34)*(I$3:I$106="P"))+1,IF(M34="P",SUMPRODUCT((O$3:O$106&lt;&gt;"")*(P$3:P$106="")*(G$3:G$106=G34)*(I$3:I$106="P"))+SUMPRODUCT((P$3:P$106&lt;&gt;"")*(G$3:G$106=G34)*(I$3:I$106="P"))+SUMPRODUCT((N$3:N$106&lt;&gt;"")*(G$3:G$106=G34)*(I$3:I$106="P"))+SUMPRODUCT((P$3:P$106="")*(O$3:O$106="")*(N$3:N$106="")*(M$3:M$106="P")*(G$3:G$106=G34)*(J$3:J$106&gt;J34)*(I$3:I$106="P"))+IF(H34="L5",SUMPRODUCT((P$3:P$106="")*(O$3:O$106="")*(N$3:N$106="")*(M$3:M$106="P")*(G$3:G$106=G34)*(J$3:J$106&lt;J34)*(H$3:H$106&lt;&gt;H34)*(I$3:I$106="P")),-1*SUMPRODUCT((P$3:P$106="")*(O$3:O$106="")*(N$3:N$106="")*(M$3:M$106="P")*(G$3:G$106=G34)*(J$3:J$106&gt;J34)*(H$3:H$106="L5")*(I$3:I$106="P")))+1,"")))))</f>
        <v/>
      </c>
      <c r="B34" s="1" t="str" cm="1">
        <f t="array" ref="B34">IF(P34&lt;&gt;"",SUMPRODUCT((P$3:P$106&lt;&gt;"")*(G$3:G$106=G34)*(J$3:J$106&gt;J34))+1,IF(O34&lt;&gt;"",SUMPRODUCT((O$3:O$106&lt;&gt;"")*(P$3:P$106="")*(G$3:G$106=G34)*(J$3:J$106&gt;J34))+SUMPRODUCT((P$3:P$106&lt;&gt;"")*(G$3:G$106=G34))+1,IF(N34&lt;&gt;"",SUMPRODUCT((N$3:N$106&lt;&gt;"")*(G$3:G$106=G34)*(J$3:J$106&gt;J34))+1,IF(M34="P",SUMPRODUCT((O$3:O$106&lt;&gt;"")*(P$3:P$106="")*(G$3:G$106=G34))+SUMPRODUCT((P$3:P$106&lt;&gt;"")*(G$3:G$106=G34))+SUMPRODUCT((N$3:N$106&lt;&gt;"")*(G$3:G$106=G34))+SUMPRODUCT((P$3:P$106="")*(O$3:O$106="")*(N$3:N$106="")*(M$3:M$106="P")*(G$3:G$106=G34)*(J$3:J$106&gt;J34))+IF(H34="L5",SUMPRODUCT((P$3:P$106="")*(O$3:O$106="")*(N$3:N$106="")*(M$3:M$106="P")*(G$3:G$106=G34)*(J$3:J$106&lt;J34)*(H$3:H$106&lt;&gt;H34)),-1*SUMPRODUCT((P$3:P$106="")*(O$3:O$106="")*(N$3:N$106="")*(M$3:M$106="P")*(G$3:G$106=G34)*(J$3:J$106&gt;J34)*(H$3:H$106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291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 t="shared" si="1"/>
        <v/>
      </c>
      <c r="R34" s="4">
        <f t="shared" si="2"/>
        <v>42.8</v>
      </c>
      <c r="S34" s="4">
        <f t="shared" si="3"/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$106&lt;&gt;"")*(G$3:G$106=G35)*(J$3:J$106&gt;J35)*(I$3:I$106="P"))+1,IF(O35&lt;&gt;"",SUMPRODUCT((O$3:O$106&lt;&gt;"")*(P$3:P$106="")*(G$3:G$106=G35)*(J$3:J$106&gt;J35)*(I$3:I$106="P"))+SUMPRODUCT((P$3:P$106&lt;&gt;"")*(G$3:G$106=G35)*(I$3:I$106="P"))+1,IF(N35&lt;&gt;"",SUMPRODUCT((N$3:N$106&lt;&gt;"")*(G$3:G$106=G35)*(J$3:J$106&gt;J35)*(I$3:I$106="P"))+1,IF(M35="P",SUMPRODUCT((O$3:O$106&lt;&gt;"")*(P$3:P$106="")*(G$3:G$106=G35)*(I$3:I$106="P"))+SUMPRODUCT((P$3:P$106&lt;&gt;"")*(G$3:G$106=G35)*(I$3:I$106="P"))+SUMPRODUCT((N$3:N$106&lt;&gt;"")*(G$3:G$106=G35)*(I$3:I$106="P"))+SUMPRODUCT((P$3:P$106="")*(O$3:O$106="")*(N$3:N$106="")*(M$3:M$106="P")*(G$3:G$106=G35)*(J$3:J$106&gt;J35)*(I$3:I$106="P"))+IF(H35="L5",SUMPRODUCT((P$3:P$106="")*(O$3:O$106="")*(N$3:N$106="")*(M$3:M$106="P")*(G$3:G$106=G35)*(J$3:J$106&lt;J35)*(H$3:H$106&lt;&gt;H35)*(I$3:I$106="P")),-1*SUMPRODUCT((P$3:P$106="")*(O$3:O$106="")*(N$3:N$106="")*(M$3:M$106="P")*(G$3:G$106=G35)*(J$3:J$106&gt;J35)*(H$3:H$106="L5")*(I$3:I$106="P")))+1,"")))))</f>
        <v/>
      </c>
      <c r="B35" s="1" t="str" cm="1">
        <f t="array" ref="B35">IF(P35&lt;&gt;"",SUMPRODUCT((P$3:P$106&lt;&gt;"")*(G$3:G$106=G35)*(J$3:J$106&gt;J35))+1,IF(O35&lt;&gt;"",SUMPRODUCT((O$3:O$106&lt;&gt;"")*(P$3:P$106="")*(G$3:G$106=G35)*(J$3:J$106&gt;J35))+SUMPRODUCT((P$3:P$106&lt;&gt;"")*(G$3:G$106=G35))+1,IF(N35&lt;&gt;"",SUMPRODUCT((N$3:N$106&lt;&gt;"")*(G$3:G$106=G35)*(J$3:J$106&gt;J35))+1,IF(M35="P",SUMPRODUCT((O$3:O$106&lt;&gt;"")*(P$3:P$106="")*(G$3:G$106=G35))+SUMPRODUCT((P$3:P$106&lt;&gt;"")*(G$3:G$106=G35))+SUMPRODUCT((N$3:N$106&lt;&gt;"")*(G$3:G$106=G35))+SUMPRODUCT((P$3:P$106="")*(O$3:O$106="")*(N$3:N$106="")*(M$3:M$106="P")*(G$3:G$106=G35)*(J$3:J$106&gt;J35))+IF(H35="L5",SUMPRODUCT((P$3:P$106="")*(O$3:O$106="")*(N$3:N$106="")*(M$3:M$106="P")*(G$3:G$106=G35)*(J$3:J$106&lt;J35)*(H$3:H$106&lt;&gt;H35)),-1*SUMPRODUCT((P$3:P$106="")*(O$3:O$106="")*(N$3:N$106="")*(M$3:M$106="P")*(G$3:G$106=G35)*(J$3:J$106&gt;J35)*(H$3:H$106="L5")))+1,""))))</f>
        <v/>
      </c>
      <c r="C35" s="36" t="s">
        <v>352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42.2</v>
      </c>
      <c r="S35" s="4">
        <f t="shared" ref="S35:S66" si="7"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$106&lt;&gt;"")*(G$3:G$106=G36)*(J$3:J$106&gt;J36)*(I$3:I$106="P"))+1,IF(O36&lt;&gt;"",SUMPRODUCT((O$3:O$106&lt;&gt;"")*(P$3:P$106="")*(G$3:G$106=G36)*(J$3:J$106&gt;J36)*(I$3:I$106="P"))+SUMPRODUCT((P$3:P$106&lt;&gt;"")*(G$3:G$106=G36)*(I$3:I$106="P"))+1,IF(N36&lt;&gt;"",SUMPRODUCT((N$3:N$106&lt;&gt;"")*(G$3:G$106=G36)*(J$3:J$106&gt;J36)*(I$3:I$106="P"))+1,IF(M36="P",SUMPRODUCT((O$3:O$106&lt;&gt;"")*(P$3:P$106="")*(G$3:G$106=G36)*(I$3:I$106="P"))+SUMPRODUCT((P$3:P$106&lt;&gt;"")*(G$3:G$106=G36)*(I$3:I$106="P"))+SUMPRODUCT((N$3:N$106&lt;&gt;"")*(G$3:G$106=G36)*(I$3:I$106="P"))+SUMPRODUCT((P$3:P$106="")*(O$3:O$106="")*(N$3:N$106="")*(M$3:M$106="P")*(G$3:G$106=G36)*(J$3:J$106&gt;J36)*(I$3:I$106="P"))+IF(H36="L5",SUMPRODUCT((P$3:P$106="")*(O$3:O$106="")*(N$3:N$106="")*(M$3:M$106="P")*(G$3:G$106=G36)*(J$3:J$106&lt;J36)*(H$3:H$106&lt;&gt;H36)*(I$3:I$106="P")),-1*SUMPRODUCT((P$3:P$106="")*(O$3:O$106="")*(N$3:N$106="")*(M$3:M$106="P")*(G$3:G$106=G36)*(J$3:J$106&gt;J36)*(H$3:H$106="L5")*(I$3:I$106="P")))+1,"")))))</f>
        <v/>
      </c>
      <c r="B36" s="1" t="str" cm="1">
        <f t="array" ref="B36">IF(P36&lt;&gt;"",SUMPRODUCT((P$3:P$106&lt;&gt;"")*(G$3:G$106=G36)*(J$3:J$106&gt;J36))+1,IF(O36&lt;&gt;"",SUMPRODUCT((O$3:O$106&lt;&gt;"")*(P$3:P$106="")*(G$3:G$106=G36)*(J$3:J$106&gt;J36))+SUMPRODUCT((P$3:P$106&lt;&gt;"")*(G$3:G$106=G36))+1,IF(N36&lt;&gt;"",SUMPRODUCT((N$3:N$106&lt;&gt;"")*(G$3:G$106=G36)*(J$3:J$106&gt;J36))+1,IF(M36="P",SUMPRODUCT((O$3:O$106&lt;&gt;"")*(P$3:P$106="")*(G$3:G$106=G36))+SUMPRODUCT((P$3:P$106&lt;&gt;"")*(G$3:G$106=G36))+SUMPRODUCT((N$3:N$106&lt;&gt;"")*(G$3:G$106=G36))+SUMPRODUCT((P$3:P$106="")*(O$3:O$106="")*(N$3:N$106="")*(M$3:M$106="P")*(G$3:G$106=G36)*(J$3:J$106&gt;J36))+IF(H36="L5",SUMPRODUCT((P$3:P$106="")*(O$3:O$106="")*(N$3:N$106="")*(M$3:M$106="P")*(G$3:G$106=G36)*(J$3:J$106&lt;J36)*(H$3:H$106&lt;&gt;H36)),-1*SUMPRODUCT((P$3:P$106="")*(O$3:O$106="")*(N$3:N$106="")*(M$3:M$106="P")*(G$3:G$106=G36)*(J$3:J$106&gt;J36)*(H$3:H$106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4"/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 t="shared" si="5"/>
        <v/>
      </c>
      <c r="R36" s="4">
        <f t="shared" si="6"/>
        <v>42.6</v>
      </c>
      <c r="S36" s="4">
        <f t="shared" si="7"/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$106&lt;&gt;"")*(G$3:G$106=G37)*(J$3:J$106&gt;J37)*(I$3:I$106="P"))+1,IF(O37&lt;&gt;"",SUMPRODUCT((O$3:O$106&lt;&gt;"")*(P$3:P$106="")*(G$3:G$106=G37)*(J$3:J$106&gt;J37)*(I$3:I$106="P"))+SUMPRODUCT((P$3:P$106&lt;&gt;"")*(G$3:G$106=G37)*(I$3:I$106="P"))+1,IF(N37&lt;&gt;"",SUMPRODUCT((N$3:N$106&lt;&gt;"")*(G$3:G$106=G37)*(J$3:J$106&gt;J37)*(I$3:I$106="P"))+1,IF(M37="P",SUMPRODUCT((O$3:O$106&lt;&gt;"")*(P$3:P$106="")*(G$3:G$106=G37)*(I$3:I$106="P"))+SUMPRODUCT((P$3:P$106&lt;&gt;"")*(G$3:G$106=G37)*(I$3:I$106="P"))+SUMPRODUCT((N$3:N$106&lt;&gt;"")*(G$3:G$106=G37)*(I$3:I$106="P"))+SUMPRODUCT((P$3:P$106="")*(O$3:O$106="")*(N$3:N$106="")*(M$3:M$106="P")*(G$3:G$106=G37)*(J$3:J$106&gt;J37)*(I$3:I$106="P"))+IF(H37="L5",SUMPRODUCT((P$3:P$106="")*(O$3:O$106="")*(N$3:N$106="")*(M$3:M$106="P")*(G$3:G$106=G37)*(J$3:J$106&lt;J37)*(H$3:H$106&lt;&gt;H37)*(I$3:I$106="P")),-1*SUMPRODUCT((P$3:P$106="")*(O$3:O$106="")*(N$3:N$106="")*(M$3:M$106="P")*(G$3:G$106=G37)*(J$3:J$106&gt;J37)*(H$3:H$106="L5")*(I$3:I$106="P")))+1,"")))))</f>
        <v/>
      </c>
      <c r="B37" s="1" t="str" cm="1">
        <f t="array" ref="B37">IF(P37&lt;&gt;"",SUMPRODUCT((P$3:P$106&lt;&gt;"")*(G$3:G$106=G37)*(J$3:J$106&gt;J37))+1,IF(O37&lt;&gt;"",SUMPRODUCT((O$3:O$106&lt;&gt;"")*(P$3:P$106="")*(G$3:G$106=G37)*(J$3:J$106&gt;J37))+SUMPRODUCT((P$3:P$106&lt;&gt;"")*(G$3:G$106=G37))+1,IF(N37&lt;&gt;"",SUMPRODUCT((N$3:N$106&lt;&gt;"")*(G$3:G$106=G37)*(J$3:J$106&gt;J37))+1,IF(M37="P",SUMPRODUCT((O$3:O$106&lt;&gt;"")*(P$3:P$106="")*(G$3:G$106=G37))+SUMPRODUCT((P$3:P$106&lt;&gt;"")*(G$3:G$106=G37))+SUMPRODUCT((N$3:N$106&lt;&gt;"")*(G$3:G$106=G37))+SUMPRODUCT((P$3:P$106="")*(O$3:O$106="")*(N$3:N$106="")*(M$3:M$106="P")*(G$3:G$106=G37)*(J$3:J$106&gt;J37))+IF(H37="L5",SUMPRODUCT((P$3:P$106="")*(O$3:O$106="")*(N$3:N$106="")*(M$3:M$106="P")*(G$3:G$106=G37)*(J$3:J$106&lt;J37)*(H$3:H$106&lt;&gt;H37)),-1*SUMPRODUCT((P$3:P$106="")*(O$3:O$106="")*(N$3:N$106="")*(M$3:M$106="P")*(G$3:G$106=G37)*(J$3:J$106&gt;J37)*(H$3:H$106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 t="shared" si="5"/>
        <v/>
      </c>
      <c r="R37" s="4">
        <f t="shared" si="6"/>
        <v>42.7</v>
      </c>
      <c r="S37" s="4">
        <f t="shared" si="7"/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$106&lt;&gt;"")*(G$3:G$106=G38)*(J$3:J$106&gt;J38)*(I$3:I$106="P"))+1,IF(O38&lt;&gt;"",SUMPRODUCT((O$3:O$106&lt;&gt;"")*(P$3:P$106="")*(G$3:G$106=G38)*(J$3:J$106&gt;J38)*(I$3:I$106="P"))+SUMPRODUCT((P$3:P$106&lt;&gt;"")*(G$3:G$106=G38)*(I$3:I$106="P"))+1,IF(N38&lt;&gt;"",SUMPRODUCT((N$3:N$106&lt;&gt;"")*(G$3:G$106=G38)*(J$3:J$106&gt;J38)*(I$3:I$106="P"))+1,IF(M38="P",SUMPRODUCT((O$3:O$106&lt;&gt;"")*(P$3:P$106="")*(G$3:G$106=G38)*(I$3:I$106="P"))+SUMPRODUCT((P$3:P$106&lt;&gt;"")*(G$3:G$106=G38)*(I$3:I$106="P"))+SUMPRODUCT((N$3:N$106&lt;&gt;"")*(G$3:G$106=G38)*(I$3:I$106="P"))+SUMPRODUCT((P$3:P$106="")*(O$3:O$106="")*(N$3:N$106="")*(M$3:M$106="P")*(G$3:G$106=G38)*(J$3:J$106&gt;J38)*(I$3:I$106="P"))+IF(H38="L5",SUMPRODUCT((P$3:P$106="")*(O$3:O$106="")*(N$3:N$106="")*(M$3:M$106="P")*(G$3:G$106=G38)*(J$3:J$106&lt;J38)*(H$3:H$106&lt;&gt;H38)*(I$3:I$106="P")),-1*SUMPRODUCT((P$3:P$106="")*(O$3:O$106="")*(N$3:N$106="")*(M$3:M$106="P")*(G$3:G$106=G38)*(J$3:J$106&gt;J38)*(H$3:H$106="L5")*(I$3:I$106="P")))+1,"")))))</f>
        <v/>
      </c>
      <c r="B38" s="1" t="str" cm="1">
        <f t="array" ref="B38">IF(P38&lt;&gt;"",SUMPRODUCT((P$3:P$106&lt;&gt;"")*(G$3:G$106=G38)*(J$3:J$106&gt;J38))+1,IF(O38&lt;&gt;"",SUMPRODUCT((O$3:O$106&lt;&gt;"")*(P$3:P$106="")*(G$3:G$106=G38)*(J$3:J$106&gt;J38))+SUMPRODUCT((P$3:P$106&lt;&gt;"")*(G$3:G$106=G38))+1,IF(N38&lt;&gt;"",SUMPRODUCT((N$3:N$106&lt;&gt;"")*(G$3:G$106=G38)*(J$3:J$106&gt;J38))+1,IF(M38="P",SUMPRODUCT((O$3:O$106&lt;&gt;"")*(P$3:P$106="")*(G$3:G$106=G38))+SUMPRODUCT((P$3:P$106&lt;&gt;"")*(G$3:G$106=G38))+SUMPRODUCT((N$3:N$106&lt;&gt;"")*(G$3:G$106=G38))+SUMPRODUCT((P$3:P$106="")*(O$3:O$106="")*(N$3:N$106="")*(M$3:M$106="P")*(G$3:G$106=G38)*(J$3:J$106&gt;J38))+IF(H38="L5",SUMPRODUCT((P$3:P$106="")*(O$3:O$106="")*(N$3:N$106="")*(M$3:M$106="P")*(G$3:G$106=G38)*(J$3:J$106&lt;J38)*(H$3:H$106&lt;&gt;H38)),-1*SUMPRODUCT((P$3:P$106="")*(O$3:O$106="")*(N$3:N$106="")*(M$3:M$106="P")*(G$3:G$106=G38)*(J$3:J$106&gt;J38)*(H$3:H$106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 t="shared" si="5"/>
        <v/>
      </c>
      <c r="R38" s="4">
        <f t="shared" si="6"/>
        <v>43.1</v>
      </c>
      <c r="S38" s="4">
        <f t="shared" si="7"/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$106&lt;&gt;"")*(G$3:G$106=G39)*(J$3:J$106&gt;J39)*(I$3:I$106="P"))+1,IF(O39&lt;&gt;"",SUMPRODUCT((O$3:O$106&lt;&gt;"")*(P$3:P$106="")*(G$3:G$106=G39)*(J$3:J$106&gt;J39)*(I$3:I$106="P"))+SUMPRODUCT((P$3:P$106&lt;&gt;"")*(G$3:G$106=G39)*(I$3:I$106="P"))+1,IF(N39&lt;&gt;"",SUMPRODUCT((N$3:N$106&lt;&gt;"")*(G$3:G$106=G39)*(J$3:J$106&gt;J39)*(I$3:I$106="P"))+1,IF(M39="P",SUMPRODUCT((O$3:O$106&lt;&gt;"")*(P$3:P$106="")*(G$3:G$106=G39)*(I$3:I$106="P"))+SUMPRODUCT((P$3:P$106&lt;&gt;"")*(G$3:G$106=G39)*(I$3:I$106="P"))+SUMPRODUCT((N$3:N$106&lt;&gt;"")*(G$3:G$106=G39)*(I$3:I$106="P"))+SUMPRODUCT((P$3:P$106="")*(O$3:O$106="")*(N$3:N$106="")*(M$3:M$106="P")*(G$3:G$106=G39)*(J$3:J$106&gt;J39)*(I$3:I$106="P"))+IF(H39="L5",SUMPRODUCT((P$3:P$106="")*(O$3:O$106="")*(N$3:N$106="")*(M$3:M$106="P")*(G$3:G$106=G39)*(J$3:J$106&lt;J39)*(H$3:H$106&lt;&gt;H39)*(I$3:I$106="P")),-1*SUMPRODUCT((P$3:P$106="")*(O$3:O$106="")*(N$3:N$106="")*(M$3:M$106="P")*(G$3:G$106=G39)*(J$3:J$106&gt;J39)*(H$3:H$106="L5")*(I$3:I$106="P")))+1,"")))))</f>
        <v/>
      </c>
      <c r="B39" s="1" t="str" cm="1">
        <f t="array" ref="B39">IF(P39&lt;&gt;"",SUMPRODUCT((P$3:P$106&lt;&gt;"")*(G$3:G$106=G39)*(J$3:J$106&gt;J39))+1,IF(O39&lt;&gt;"",SUMPRODUCT((O$3:O$106&lt;&gt;"")*(P$3:P$106="")*(G$3:G$106=G39)*(J$3:J$106&gt;J39))+SUMPRODUCT((P$3:P$106&lt;&gt;"")*(G$3:G$106=G39))+1,IF(N39&lt;&gt;"",SUMPRODUCT((N$3:N$106&lt;&gt;"")*(G$3:G$106=G39)*(J$3:J$106&gt;J39))+1,IF(M39="P",SUMPRODUCT((O$3:O$106&lt;&gt;"")*(P$3:P$106="")*(G$3:G$106=G39))+SUMPRODUCT((P$3:P$106&lt;&gt;"")*(G$3:G$106=G39))+SUMPRODUCT((N$3:N$106&lt;&gt;"")*(G$3:G$106=G39))+SUMPRODUCT((P$3:P$106="")*(O$3:O$106="")*(N$3:N$106="")*(M$3:M$106="P")*(G$3:G$106=G39)*(J$3:J$106&gt;J39))+IF(H39="L5",SUMPRODUCT((P$3:P$106="")*(O$3:O$106="")*(N$3:N$106="")*(M$3:M$106="P")*(G$3:G$106=G39)*(J$3:J$106&lt;J39)*(H$3:H$106&lt;&gt;H39)),-1*SUMPRODUCT((P$3:P$106="")*(O$3:O$106="")*(N$3:N$106="")*(M$3:M$106="P")*(G$3:G$106=G39)*(J$3:J$106&gt;J39)*(H$3:H$106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 t="shared" si="4"/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 t="shared" si="5"/>
        <v/>
      </c>
      <c r="R39" s="4">
        <f t="shared" si="6"/>
        <v>39.700000000000003</v>
      </c>
      <c r="S39" s="4">
        <f t="shared" si="7"/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$106&lt;&gt;"")*(G$3:G$106=G40)*(J$3:J$106&gt;J40)*(I$3:I$106="P"))+1,IF(O40&lt;&gt;"",SUMPRODUCT((O$3:O$106&lt;&gt;"")*(P$3:P$106="")*(G$3:G$106=G40)*(J$3:J$106&gt;J40)*(I$3:I$106="P"))+SUMPRODUCT((P$3:P$106&lt;&gt;"")*(G$3:G$106=G40)*(I$3:I$106="P"))+1,IF(N40&lt;&gt;"",SUMPRODUCT((N$3:N$106&lt;&gt;"")*(G$3:G$106=G40)*(J$3:J$106&gt;J40)*(I$3:I$106="P"))+1,IF(M40="P",SUMPRODUCT((O$3:O$106&lt;&gt;"")*(P$3:P$106="")*(G$3:G$106=G40)*(I$3:I$106="P"))+SUMPRODUCT((P$3:P$106&lt;&gt;"")*(G$3:G$106=G40)*(I$3:I$106="P"))+SUMPRODUCT((N$3:N$106&lt;&gt;"")*(G$3:G$106=G40)*(I$3:I$106="P"))+SUMPRODUCT((P$3:P$106="")*(O$3:O$106="")*(N$3:N$106="")*(M$3:M$106="P")*(G$3:G$106=G40)*(J$3:J$106&gt;J40)*(I$3:I$106="P"))+IF(H40="L5",SUMPRODUCT((P$3:P$106="")*(O$3:O$106="")*(N$3:N$106="")*(M$3:M$106="P")*(G$3:G$106=G40)*(J$3:J$106&lt;J40)*(H$3:H$106&lt;&gt;H40)*(I$3:I$106="P")),-1*SUMPRODUCT((P$3:P$106="")*(O$3:O$106="")*(N$3:N$106="")*(M$3:M$106="P")*(G$3:G$106=G40)*(J$3:J$106&gt;J40)*(H$3:H$106="L5")*(I$3:I$106="P")))+1,"")))))</f>
        <v/>
      </c>
      <c r="B40" s="1" t="str" cm="1">
        <f t="array" ref="B40">IF(P40&lt;&gt;"",SUMPRODUCT((P$3:P$106&lt;&gt;"")*(G$3:G$106=G40)*(J$3:J$106&gt;J40))+1,IF(O40&lt;&gt;"",SUMPRODUCT((O$3:O$106&lt;&gt;"")*(P$3:P$106="")*(G$3:G$106=G40)*(J$3:J$106&gt;J40))+SUMPRODUCT((P$3:P$106&lt;&gt;"")*(G$3:G$106=G40))+1,IF(N40&lt;&gt;"",SUMPRODUCT((N$3:N$106&lt;&gt;"")*(G$3:G$106=G40)*(J$3:J$106&gt;J40))+1,IF(M40="P",SUMPRODUCT((O$3:O$106&lt;&gt;"")*(P$3:P$106="")*(G$3:G$106=G40))+SUMPRODUCT((P$3:P$106&lt;&gt;"")*(G$3:G$106=G40))+SUMPRODUCT((N$3:N$106&lt;&gt;"")*(G$3:G$106=G40))+SUMPRODUCT((P$3:P$106="")*(O$3:O$106="")*(N$3:N$106="")*(M$3:M$106="P")*(G$3:G$106=G40)*(J$3:J$106&gt;J40))+IF(H40="L5",SUMPRODUCT((P$3:P$106="")*(O$3:O$106="")*(N$3:N$106="")*(M$3:M$106="P")*(G$3:G$106=G40)*(J$3:J$106&lt;J40)*(H$3:H$106&lt;&gt;H40)),-1*SUMPRODUCT((P$3:P$106="")*(O$3:O$106="")*(N$3:N$106="")*(M$3:M$106="P")*(G$3:G$106=G40)*(J$3:J$106&gt;J40)*(H$3:H$106="L5")))+1,""))))</f>
        <v/>
      </c>
      <c r="C40" s="36" t="s">
        <v>453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 t="shared" si="5"/>
        <v/>
      </c>
      <c r="R40" s="4">
        <f t="shared" si="6"/>
        <v>42.8</v>
      </c>
      <c r="S40" s="4">
        <f t="shared" si="7"/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$106&lt;&gt;"")*(G$3:G$106=G41)*(J$3:J$106&gt;J41)*(I$3:I$106="P"))+1,IF(O41&lt;&gt;"",SUMPRODUCT((O$3:O$106&lt;&gt;"")*(P$3:P$106="")*(G$3:G$106=G41)*(J$3:J$106&gt;J41)*(I$3:I$106="P"))+SUMPRODUCT((P$3:P$106&lt;&gt;"")*(G$3:G$106=G41)*(I$3:I$106="P"))+1,IF(N41&lt;&gt;"",SUMPRODUCT((N$3:N$106&lt;&gt;"")*(G$3:G$106=G41)*(J$3:J$106&gt;J41)*(I$3:I$106="P"))+1,IF(M41="P",SUMPRODUCT((O$3:O$106&lt;&gt;"")*(P$3:P$106="")*(G$3:G$106=G41)*(I$3:I$106="P"))+SUMPRODUCT((P$3:P$106&lt;&gt;"")*(G$3:G$106=G41)*(I$3:I$106="P"))+SUMPRODUCT((N$3:N$106&lt;&gt;"")*(G$3:G$106=G41)*(I$3:I$106="P"))+SUMPRODUCT((P$3:P$106="")*(O$3:O$106="")*(N$3:N$106="")*(M$3:M$106="P")*(G$3:G$106=G41)*(J$3:J$106&gt;J41)*(I$3:I$106="P"))+IF(H41="L5",SUMPRODUCT((P$3:P$106="")*(O$3:O$106="")*(N$3:N$106="")*(M$3:M$106="P")*(G$3:G$106=G41)*(J$3:J$106&lt;J41)*(H$3:H$106&lt;&gt;H41)*(I$3:I$106="P")),-1*SUMPRODUCT((P$3:P$106="")*(O$3:O$106="")*(N$3:N$106="")*(M$3:M$106="P")*(G$3:G$106=G41)*(J$3:J$106&gt;J41)*(H$3:H$106="L5")*(I$3:I$106="P")))+1,"")))))</f>
        <v/>
      </c>
      <c r="B41" s="1" t="str" cm="1">
        <f t="array" ref="B41">IF(P41&lt;&gt;"",SUMPRODUCT((P$3:P$106&lt;&gt;"")*(G$3:G$106=G41)*(J$3:J$106&gt;J41))+1,IF(O41&lt;&gt;"",SUMPRODUCT((O$3:O$106&lt;&gt;"")*(P$3:P$106="")*(G$3:G$106=G41)*(J$3:J$106&gt;J41))+SUMPRODUCT((P$3:P$106&lt;&gt;"")*(G$3:G$106=G41))+1,IF(N41&lt;&gt;"",SUMPRODUCT((N$3:N$106&lt;&gt;"")*(G$3:G$106=G41)*(J$3:J$106&gt;J41))+1,IF(M41="P",SUMPRODUCT((O$3:O$106&lt;&gt;"")*(P$3:P$106="")*(G$3:G$106=G41))+SUMPRODUCT((P$3:P$106&lt;&gt;"")*(G$3:G$106=G41))+SUMPRODUCT((N$3:N$106&lt;&gt;"")*(G$3:G$106=G41))+SUMPRODUCT((P$3:P$106="")*(O$3:O$106="")*(N$3:N$106="")*(M$3:M$106="P")*(G$3:G$106=G41)*(J$3:J$106&gt;J41))+IF(H41="L5",SUMPRODUCT((P$3:P$106="")*(O$3:O$106="")*(N$3:N$106="")*(M$3:M$106="P")*(G$3:G$106=G41)*(J$3:J$106&lt;J41)*(H$3:H$106&lt;&gt;H41)),-1*SUMPRODUCT((P$3:P$106="")*(O$3:O$106="")*(N$3:N$106="")*(M$3:M$106="P")*(G$3:G$106=G41)*(J$3:J$106&gt;J41)*(H$3:H$106="L5")))+1,""))))</f>
        <v/>
      </c>
      <c r="C41" s="36" t="s">
        <v>246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 t="shared" si="5"/>
        <v/>
      </c>
      <c r="R41" s="4">
        <f t="shared" si="6"/>
        <v>41</v>
      </c>
      <c r="S41" s="4">
        <f t="shared" si="7"/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$106&lt;&gt;"")*(G$3:G$106=G42)*(J$3:J$106&gt;J42)*(I$3:I$106="P"))+1,IF(O42&lt;&gt;"",SUMPRODUCT((O$3:O$106&lt;&gt;"")*(P$3:P$106="")*(G$3:G$106=G42)*(J$3:J$106&gt;J42)*(I$3:I$106="P"))+SUMPRODUCT((P$3:P$106&lt;&gt;"")*(G$3:G$106=G42)*(I$3:I$106="P"))+1,IF(N42&lt;&gt;"",SUMPRODUCT((N$3:N$106&lt;&gt;"")*(G$3:G$106=G42)*(J$3:J$106&gt;J42)*(I$3:I$106="P"))+1,IF(M42="P",SUMPRODUCT((O$3:O$106&lt;&gt;"")*(P$3:P$106="")*(G$3:G$106=G42)*(I$3:I$106="P"))+SUMPRODUCT((P$3:P$106&lt;&gt;"")*(G$3:G$106=G42)*(I$3:I$106="P"))+SUMPRODUCT((N$3:N$106&lt;&gt;"")*(G$3:G$106=G42)*(I$3:I$106="P"))+SUMPRODUCT((P$3:P$106="")*(O$3:O$106="")*(N$3:N$106="")*(M$3:M$106="P")*(G$3:G$106=G42)*(J$3:J$106&gt;J42)*(I$3:I$106="P"))+IF(H42="L5",SUMPRODUCT((P$3:P$106="")*(O$3:O$106="")*(N$3:N$106="")*(M$3:M$106="P")*(G$3:G$106=G42)*(J$3:J$106&lt;J42)*(H$3:H$106&lt;&gt;H42)*(I$3:I$106="P")),-1*SUMPRODUCT((P$3:P$106="")*(O$3:O$106="")*(N$3:N$106="")*(M$3:M$106="P")*(G$3:G$106=G42)*(J$3:J$106&gt;J42)*(H$3:H$106="L5")*(I$3:I$106="P")))+1,"")))))</f>
        <v/>
      </c>
      <c r="B42" s="1" t="str" cm="1">
        <f t="array" ref="B42">IF(P42&lt;&gt;"",SUMPRODUCT((P$3:P$106&lt;&gt;"")*(G$3:G$106=G42)*(J$3:J$106&gt;J42))+1,IF(O42&lt;&gt;"",SUMPRODUCT((O$3:O$106&lt;&gt;"")*(P$3:P$106="")*(G$3:G$106=G42)*(J$3:J$106&gt;J42))+SUMPRODUCT((P$3:P$106&lt;&gt;"")*(G$3:G$106=G42))+1,IF(N42&lt;&gt;"",SUMPRODUCT((N$3:N$106&lt;&gt;"")*(G$3:G$106=G42)*(J$3:J$106&gt;J42))+1,IF(M42="P",SUMPRODUCT((O$3:O$106&lt;&gt;"")*(P$3:P$106="")*(G$3:G$106=G42))+SUMPRODUCT((P$3:P$106&lt;&gt;"")*(G$3:G$106=G42))+SUMPRODUCT((N$3:N$106&lt;&gt;"")*(G$3:G$106=G42))+SUMPRODUCT((P$3:P$106="")*(O$3:O$106="")*(N$3:N$106="")*(M$3:M$106="P")*(G$3:G$106=G42)*(J$3:J$106&gt;J42))+IF(H42="L5",SUMPRODUCT((P$3:P$106="")*(O$3:O$106="")*(N$3:N$106="")*(M$3:M$106="P")*(G$3:G$106=G42)*(J$3:J$106&lt;J42)*(H$3:H$106&lt;&gt;H42)),-1*SUMPRODUCT((P$3:P$106="")*(O$3:O$106="")*(N$3:N$106="")*(M$3:M$106="P")*(G$3:G$106=G42)*(J$3:J$106&gt;J42)*(H$3:H$106="L5")))+1,""))))</f>
        <v/>
      </c>
      <c r="C42" s="36" t="s">
        <v>269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 t="shared" si="5"/>
        <v/>
      </c>
      <c r="R42" s="4">
        <f t="shared" si="6"/>
        <v>40.9</v>
      </c>
      <c r="S42" s="4">
        <f t="shared" si="7"/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$106&lt;&gt;"")*(G$3:G$106=G43)*(J$3:J$106&gt;J43)*(I$3:I$106="P"))+1,IF(O43&lt;&gt;"",SUMPRODUCT((O$3:O$106&lt;&gt;"")*(P$3:P$106="")*(G$3:G$106=G43)*(J$3:J$106&gt;J43)*(I$3:I$106="P"))+SUMPRODUCT((P$3:P$106&lt;&gt;"")*(G$3:G$106=G43)*(I$3:I$106="P"))+1,IF(N43&lt;&gt;"",SUMPRODUCT((N$3:N$106&lt;&gt;"")*(G$3:G$106=G43)*(J$3:J$106&gt;J43)*(I$3:I$106="P"))+1,IF(M43="P",SUMPRODUCT((O$3:O$106&lt;&gt;"")*(P$3:P$106="")*(G$3:G$106=G43)*(I$3:I$106="P"))+SUMPRODUCT((P$3:P$106&lt;&gt;"")*(G$3:G$106=G43)*(I$3:I$106="P"))+SUMPRODUCT((N$3:N$106&lt;&gt;"")*(G$3:G$106=G43)*(I$3:I$106="P"))+SUMPRODUCT((P$3:P$106="")*(O$3:O$106="")*(N$3:N$106="")*(M$3:M$106="P")*(G$3:G$106=G43)*(J$3:J$106&gt;J43)*(I$3:I$106="P"))+IF(H43="L5",SUMPRODUCT((P$3:P$106="")*(O$3:O$106="")*(N$3:N$106="")*(M$3:M$106="P")*(G$3:G$106=G43)*(J$3:J$106&lt;J43)*(H$3:H$106&lt;&gt;H43)*(I$3:I$106="P")),-1*SUMPRODUCT((P$3:P$106="")*(O$3:O$106="")*(N$3:N$106="")*(M$3:M$106="P")*(G$3:G$106=G43)*(J$3:J$106&gt;J43)*(H$3:H$106="L5")*(I$3:I$106="P")))+1,"")))))</f>
        <v/>
      </c>
      <c r="B43" s="1" t="str" cm="1">
        <f t="array" ref="B43">IF(P43&lt;&gt;"",SUMPRODUCT((P$3:P$106&lt;&gt;"")*(G$3:G$106=G43)*(J$3:J$106&gt;J43))+1,IF(O43&lt;&gt;"",SUMPRODUCT((O$3:O$106&lt;&gt;"")*(P$3:P$106="")*(G$3:G$106=G43)*(J$3:J$106&gt;J43))+SUMPRODUCT((P$3:P$106&lt;&gt;"")*(G$3:G$106=G43))+1,IF(N43&lt;&gt;"",SUMPRODUCT((N$3:N$106&lt;&gt;"")*(G$3:G$106=G43)*(J$3:J$106&gt;J43))+1,IF(M43="P",SUMPRODUCT((O$3:O$106&lt;&gt;"")*(P$3:P$106="")*(G$3:G$106=G43))+SUMPRODUCT((P$3:P$106&lt;&gt;"")*(G$3:G$106=G43))+SUMPRODUCT((N$3:N$106&lt;&gt;"")*(G$3:G$106=G43))+SUMPRODUCT((P$3:P$106="")*(O$3:O$106="")*(N$3:N$106="")*(M$3:M$106="P")*(G$3:G$106=G43)*(J$3:J$106&gt;J43))+IF(H43="L5",SUMPRODUCT((P$3:P$106="")*(O$3:O$106="")*(N$3:N$106="")*(M$3:M$106="P")*(G$3:G$106=G43)*(J$3:J$106&lt;J43)*(H$3:H$106&lt;&gt;H43)),-1*SUMPRODUCT((P$3:P$106="")*(O$3:O$106="")*(N$3:N$106="")*(M$3:M$106="P")*(G$3:G$106=G43)*(J$3:J$106&gt;J43)*(H$3:H$106="L5")))+1,""))))</f>
        <v/>
      </c>
      <c r="C43" s="36" t="s">
        <v>123</v>
      </c>
      <c r="D43" s="36" t="str">
        <f>IF(E43="","",VLOOKUP(E43,'Coaching Points'!A:B,2,0))</f>
        <v>SK</v>
      </c>
      <c r="E43" s="36" t="s">
        <v>60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/>
      <c r="J43" s="4">
        <f t="shared" si="4"/>
        <v>64.600104259999995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 t="shared" si="5"/>
        <v/>
      </c>
      <c r="R43" s="4">
        <f t="shared" si="6"/>
        <v>42.6</v>
      </c>
      <c r="S43" s="4">
        <f t="shared" si="7"/>
        <v>22</v>
      </c>
      <c r="T43" s="33"/>
      <c r="U43" s="40"/>
      <c r="V43" s="34"/>
      <c r="W43" s="40"/>
      <c r="X43" s="33">
        <v>42.6</v>
      </c>
      <c r="Y43" s="40">
        <v>6.3000000000000007</v>
      </c>
      <c r="Z43" s="34">
        <v>22</v>
      </c>
      <c r="AA43" s="37">
        <v>3.3</v>
      </c>
    </row>
    <row r="44" spans="1:27" x14ac:dyDescent="0.2">
      <c r="A44" s="1" t="str" cm="1">
        <f t="array" ref="A44">IF(I44="","",IF(P44&lt;&gt;"",SUMPRODUCT((P$3:P$106&lt;&gt;"")*(G$3:G$106=G44)*(J$3:J$106&gt;J44)*(I$3:I$106="P"))+1,IF(O44&lt;&gt;"",SUMPRODUCT((O$3:O$106&lt;&gt;"")*(P$3:P$106="")*(G$3:G$106=G44)*(J$3:J$106&gt;J44)*(I$3:I$106="P"))+SUMPRODUCT((P$3:P$106&lt;&gt;"")*(G$3:G$106=G44)*(I$3:I$106="P"))+1,IF(N44&lt;&gt;"",SUMPRODUCT((N$3:N$106&lt;&gt;"")*(G$3:G$106=G44)*(J$3:J$106&gt;J44)*(I$3:I$106="P"))+1,IF(M44="P",SUMPRODUCT((O$3:O$106&lt;&gt;"")*(P$3:P$106="")*(G$3:G$106=G44)*(I$3:I$106="P"))+SUMPRODUCT((P$3:P$106&lt;&gt;"")*(G$3:G$106=G44)*(I$3:I$106="P"))+SUMPRODUCT((N$3:N$106&lt;&gt;"")*(G$3:G$106=G44)*(I$3:I$106="P"))+SUMPRODUCT((P$3:P$106="")*(O$3:O$106="")*(N$3:N$106="")*(M$3:M$106="P")*(G$3:G$106=G44)*(J$3:J$106&gt;J44)*(I$3:I$106="P"))+IF(H44="L5",SUMPRODUCT((P$3:P$106="")*(O$3:O$106="")*(N$3:N$106="")*(M$3:M$106="P")*(G$3:G$106=G44)*(J$3:J$106&lt;J44)*(H$3:H$106&lt;&gt;H44)*(I$3:I$106="P")),-1*SUMPRODUCT((P$3:P$106="")*(O$3:O$106="")*(N$3:N$106="")*(M$3:M$106="P")*(G$3:G$106=G44)*(J$3:J$106&gt;J44)*(H$3:H$106="L5")*(I$3:I$106="P")))+1,"")))))</f>
        <v/>
      </c>
      <c r="B44" s="1" t="str" cm="1">
        <f t="array" ref="B44">IF(P44&lt;&gt;"",SUMPRODUCT((P$3:P$106&lt;&gt;"")*(G$3:G$106=G44)*(J$3:J$106&gt;J44))+1,IF(O44&lt;&gt;"",SUMPRODUCT((O$3:O$106&lt;&gt;"")*(P$3:P$106="")*(G$3:G$106=G44)*(J$3:J$106&gt;J44))+SUMPRODUCT((P$3:P$106&lt;&gt;"")*(G$3:G$106=G44))+1,IF(N44&lt;&gt;"",SUMPRODUCT((N$3:N$106&lt;&gt;"")*(G$3:G$106=G44)*(J$3:J$106&gt;J44))+1,IF(M44="P",SUMPRODUCT((O$3:O$106&lt;&gt;"")*(P$3:P$106="")*(G$3:G$106=G44))+SUMPRODUCT((P$3:P$106&lt;&gt;"")*(G$3:G$106=G44))+SUMPRODUCT((N$3:N$106&lt;&gt;"")*(G$3:G$106=G44))+SUMPRODUCT((P$3:P$106="")*(O$3:O$106="")*(N$3:N$106="")*(M$3:M$106="P")*(G$3:G$106=G44)*(J$3:J$106&gt;J44))+IF(H44="L5",SUMPRODUCT((P$3:P$106="")*(O$3:O$106="")*(N$3:N$106="")*(M$3:M$106="P")*(G$3:G$106=G44)*(J$3:J$106&lt;J44)*(H$3:H$106&lt;&gt;H44)),-1*SUMPRODUCT((P$3:P$106="")*(O$3:O$106="")*(N$3:N$106="")*(M$3:M$106="P")*(G$3:G$106=G44)*(J$3:J$106&gt;J44)*(H$3:H$106="L5")))+1,""))))</f>
        <v/>
      </c>
      <c r="C44" s="36" t="s">
        <v>268</v>
      </c>
      <c r="D44" s="36" t="str">
        <f>IF(E44="","",VLOOKUP(E44,'Coaching Points'!A:B,2,0))</f>
        <v>AB</v>
      </c>
      <c r="E44" s="36" t="s">
        <v>63</v>
      </c>
      <c r="F44" s="35">
        <v>2003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62.000004169999997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 t="shared" si="5"/>
        <v/>
      </c>
      <c r="R44" s="4">
        <f t="shared" si="6"/>
        <v>41.7</v>
      </c>
      <c r="S44" s="4">
        <f t="shared" si="7"/>
        <v>20.3</v>
      </c>
      <c r="T44" s="33">
        <v>20.3</v>
      </c>
      <c r="U44" s="40">
        <v>2.7</v>
      </c>
      <c r="V44" s="34"/>
      <c r="W44" s="40"/>
      <c r="X44" s="33">
        <v>41.7</v>
      </c>
      <c r="Y44" s="40">
        <v>7</v>
      </c>
      <c r="Z44" s="34"/>
      <c r="AA44" s="37"/>
    </row>
    <row r="45" spans="1:27" x14ac:dyDescent="0.2">
      <c r="A45" s="1" t="str" cm="1">
        <f t="array" ref="A45">IF(I45="","",IF(P45&lt;&gt;"",SUMPRODUCT((P$3:P$106&lt;&gt;"")*(G$3:G$106=G45)*(J$3:J$106&gt;J45)*(I$3:I$106="P"))+1,IF(O45&lt;&gt;"",SUMPRODUCT((O$3:O$106&lt;&gt;"")*(P$3:P$106="")*(G$3:G$106=G45)*(J$3:J$106&gt;J45)*(I$3:I$106="P"))+SUMPRODUCT((P$3:P$106&lt;&gt;"")*(G$3:G$106=G45)*(I$3:I$106="P"))+1,IF(N45&lt;&gt;"",SUMPRODUCT((N$3:N$106&lt;&gt;"")*(G$3:G$106=G45)*(J$3:J$106&gt;J45)*(I$3:I$106="P"))+1,IF(M45="P",SUMPRODUCT((O$3:O$106&lt;&gt;"")*(P$3:P$106="")*(G$3:G$106=G45)*(I$3:I$106="P"))+SUMPRODUCT((P$3:P$106&lt;&gt;"")*(G$3:G$106=G45)*(I$3:I$106="P"))+SUMPRODUCT((N$3:N$106&lt;&gt;"")*(G$3:G$106=G45)*(I$3:I$106="P"))+SUMPRODUCT((P$3:P$106="")*(O$3:O$106="")*(N$3:N$106="")*(M$3:M$106="P")*(G$3:G$106=G45)*(J$3:J$106&gt;J45)*(I$3:I$106="P"))+IF(H45="L5",SUMPRODUCT((P$3:P$106="")*(O$3:O$106="")*(N$3:N$106="")*(M$3:M$106="P")*(G$3:G$106=G45)*(J$3:J$106&lt;J45)*(H$3:H$106&lt;&gt;H45)*(I$3:I$106="P")),-1*SUMPRODUCT((P$3:P$106="")*(O$3:O$106="")*(N$3:N$106="")*(M$3:M$106="P")*(G$3:G$106=G45)*(J$3:J$106&gt;J45)*(H$3:H$106="L5")*(I$3:I$106="P")))+1,"")))))</f>
        <v/>
      </c>
      <c r="B45" s="1" t="str" cm="1">
        <f t="array" ref="B45">IF(P45&lt;&gt;"",SUMPRODUCT((P$3:P$106&lt;&gt;"")*(G$3:G$106=G45)*(J$3:J$106&gt;J45))+1,IF(O45&lt;&gt;"",SUMPRODUCT((O$3:O$106&lt;&gt;"")*(P$3:P$106="")*(G$3:G$106=G45)*(J$3:J$106&gt;J45))+SUMPRODUCT((P$3:P$106&lt;&gt;"")*(G$3:G$106=G45))+1,IF(N45&lt;&gt;"",SUMPRODUCT((N$3:N$106&lt;&gt;"")*(G$3:G$106=G45)*(J$3:J$106&gt;J45))+1,IF(M45="P",SUMPRODUCT((O$3:O$106&lt;&gt;"")*(P$3:P$106="")*(G$3:G$106=G45))+SUMPRODUCT((P$3:P$106&lt;&gt;"")*(G$3:G$106=G45))+SUMPRODUCT((N$3:N$106&lt;&gt;"")*(G$3:G$106=G45))+SUMPRODUCT((P$3:P$106="")*(O$3:O$106="")*(N$3:N$106="")*(M$3:M$106="P")*(G$3:G$106=G45)*(J$3:J$106&gt;J45))+IF(H45="L5",SUMPRODUCT((P$3:P$106="")*(O$3:O$106="")*(N$3:N$106="")*(M$3:M$106="P")*(G$3:G$106=G45)*(J$3:J$106&lt;J45)*(H$3:H$106&lt;&gt;H45)),-1*SUMPRODUCT((P$3:P$106="")*(O$3:O$106="")*(N$3:N$106="")*(M$3:M$106="P")*(G$3:G$106=G45)*(J$3:J$106&gt;J45)*(H$3:H$106="L5")))+1,""))))</f>
        <v/>
      </c>
      <c r="C45" s="36" t="s">
        <v>512</v>
      </c>
      <c r="D45" s="36" t="str">
        <f>IF(E45="","",VLOOKUP(E45,'Coaching Points'!A:B,2,0))</f>
        <v>AB</v>
      </c>
      <c r="E45" s="36" t="s">
        <v>58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 t="shared" si="5"/>
        <v/>
      </c>
      <c r="R45" s="4">
        <f t="shared" si="6"/>
        <v>42.7</v>
      </c>
      <c r="S45" s="4">
        <f t="shared" si="7"/>
        <v>0</v>
      </c>
      <c r="T45" s="33"/>
      <c r="U45" s="40"/>
      <c r="V45" s="34"/>
      <c r="W45" s="40"/>
      <c r="X45" s="33">
        <v>42.7</v>
      </c>
      <c r="Y45" s="40">
        <v>6.1</v>
      </c>
      <c r="Z45" s="34"/>
      <c r="AA45" s="37"/>
    </row>
    <row r="46" spans="1:27" x14ac:dyDescent="0.2">
      <c r="A46" s="1" t="str" cm="1">
        <f t="array" ref="A46">IF(I46="","",IF(P46&lt;&gt;"",SUMPRODUCT((P$3:P$106&lt;&gt;"")*(G$3:G$106=G46)*(J$3:J$106&gt;J46)*(I$3:I$106="P"))+1,IF(O46&lt;&gt;"",SUMPRODUCT((O$3:O$106&lt;&gt;"")*(P$3:P$106="")*(G$3:G$106=G46)*(J$3:J$106&gt;J46)*(I$3:I$106="P"))+SUMPRODUCT((P$3:P$106&lt;&gt;"")*(G$3:G$106=G46)*(I$3:I$106="P"))+1,IF(N46&lt;&gt;"",SUMPRODUCT((N$3:N$106&lt;&gt;"")*(G$3:G$106=G46)*(J$3:J$106&gt;J46)*(I$3:I$106="P"))+1,IF(M46="P",SUMPRODUCT((O$3:O$106&lt;&gt;"")*(P$3:P$106="")*(G$3:G$106=G46)*(I$3:I$106="P"))+SUMPRODUCT((P$3:P$106&lt;&gt;"")*(G$3:G$106=G46)*(I$3:I$106="P"))+SUMPRODUCT((N$3:N$106&lt;&gt;"")*(G$3:G$106=G46)*(I$3:I$106="P"))+SUMPRODUCT((P$3:P$106="")*(O$3:O$106="")*(N$3:N$106="")*(M$3:M$106="P")*(G$3:G$106=G46)*(J$3:J$106&gt;J46)*(I$3:I$106="P"))+IF(H46="L5",SUMPRODUCT((P$3:P$106="")*(O$3:O$106="")*(N$3:N$106="")*(M$3:M$106="P")*(G$3:G$106=G46)*(J$3:J$106&lt;J46)*(H$3:H$106&lt;&gt;H46)*(I$3:I$106="P")),-1*SUMPRODUCT((P$3:P$106="")*(O$3:O$106="")*(N$3:N$106="")*(M$3:M$106="P")*(G$3:G$106=G46)*(J$3:J$106&gt;J46)*(H$3:H$106="L5")*(I$3:I$106="P")))+1,"")))))</f>
        <v/>
      </c>
      <c r="B46" s="1" t="str" cm="1">
        <f t="array" ref="B46">IF(P46&lt;&gt;"",SUMPRODUCT((P$3:P$106&lt;&gt;"")*(G$3:G$106=G46)*(J$3:J$106&gt;J46))+1,IF(O46&lt;&gt;"",SUMPRODUCT((O$3:O$106&lt;&gt;"")*(P$3:P$106="")*(G$3:G$106=G46)*(J$3:J$106&gt;J46))+SUMPRODUCT((P$3:P$106&lt;&gt;"")*(G$3:G$106=G46))+1,IF(N46&lt;&gt;"",SUMPRODUCT((N$3:N$106&lt;&gt;"")*(G$3:G$106=G46)*(J$3:J$106&gt;J46))+1,IF(M46="P",SUMPRODUCT((O$3:O$106&lt;&gt;"")*(P$3:P$106="")*(G$3:G$106=G46))+SUMPRODUCT((P$3:P$106&lt;&gt;"")*(G$3:G$106=G46))+SUMPRODUCT((N$3:N$106&lt;&gt;"")*(G$3:G$106=G46))+SUMPRODUCT((P$3:P$106="")*(O$3:O$106="")*(N$3:N$106="")*(M$3:M$106="P")*(G$3:G$106=G46)*(J$3:J$106&gt;J46))+IF(H46="L5",SUMPRODUCT((P$3:P$106="")*(O$3:O$106="")*(N$3:N$106="")*(M$3:M$106="P")*(G$3:G$106=G46)*(J$3:J$106&lt;J46)*(H$3:H$106&lt;&gt;H46)),-1*SUMPRODUCT((P$3:P$106="")*(O$3:O$106="")*(N$3:N$106="")*(M$3:M$106="P")*(G$3:G$106=G46)*(J$3:J$106&gt;J46)*(H$3:H$106="L5")))+1,""))))</f>
        <v/>
      </c>
      <c r="C46" s="36" t="s">
        <v>513</v>
      </c>
      <c r="D46" s="36" t="str">
        <f>IF(E46="","",VLOOKUP(E46,'Coaching Points'!A:B,2,0))</f>
        <v>AB</v>
      </c>
      <c r="E46" s="36" t="s">
        <v>424</v>
      </c>
      <c r="F46" s="35">
        <v>2006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42.700004270000001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 t="shared" si="5"/>
        <v/>
      </c>
      <c r="R46" s="4">
        <f t="shared" si="6"/>
        <v>42.7</v>
      </c>
      <c r="S46" s="4">
        <f t="shared" si="7"/>
        <v>0</v>
      </c>
      <c r="T46" s="33"/>
      <c r="U46" s="40"/>
      <c r="V46" s="34"/>
      <c r="W46" s="40"/>
      <c r="X46" s="33">
        <v>42.7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$106&lt;&gt;"")*(G$3:G$106=G47)*(J$3:J$106&gt;J47)*(I$3:I$106="P"))+1,IF(O47&lt;&gt;"",SUMPRODUCT((O$3:O$106&lt;&gt;"")*(P$3:P$106="")*(G$3:G$106=G47)*(J$3:J$106&gt;J47)*(I$3:I$106="P"))+SUMPRODUCT((P$3:P$106&lt;&gt;"")*(G$3:G$106=G47)*(I$3:I$106="P"))+1,IF(N47&lt;&gt;"",SUMPRODUCT((N$3:N$106&lt;&gt;"")*(G$3:G$106=G47)*(J$3:J$106&gt;J47)*(I$3:I$106="P"))+1,IF(M47="P",SUMPRODUCT((O$3:O$106&lt;&gt;"")*(P$3:P$106="")*(G$3:G$106=G47)*(I$3:I$106="P"))+SUMPRODUCT((P$3:P$106&lt;&gt;"")*(G$3:G$106=G47)*(I$3:I$106="P"))+SUMPRODUCT((N$3:N$106&lt;&gt;"")*(G$3:G$106=G47)*(I$3:I$106="P"))+SUMPRODUCT((P$3:P$106="")*(O$3:O$106="")*(N$3:N$106="")*(M$3:M$106="P")*(G$3:G$106=G47)*(J$3:J$106&gt;J47)*(I$3:I$106="P"))+IF(H47="L5",SUMPRODUCT((P$3:P$106="")*(O$3:O$106="")*(N$3:N$106="")*(M$3:M$106="P")*(G$3:G$106=G47)*(J$3:J$106&lt;J47)*(H$3:H$106&lt;&gt;H47)*(I$3:I$106="P")),-1*SUMPRODUCT((P$3:P$106="")*(O$3:O$106="")*(N$3:N$106="")*(M$3:M$106="P")*(G$3:G$106=G47)*(J$3:J$106&gt;J47)*(H$3:H$106="L5")*(I$3:I$106="P")))+1,"")))))</f>
        <v/>
      </c>
      <c r="B47" s="1" t="str" cm="1">
        <f t="array" ref="B47">IF(P47&lt;&gt;"",SUMPRODUCT((P$3:P$106&lt;&gt;"")*(G$3:G$106=G47)*(J$3:J$106&gt;J47))+1,IF(O47&lt;&gt;"",SUMPRODUCT((O$3:O$106&lt;&gt;"")*(P$3:P$106="")*(G$3:G$106=G47)*(J$3:J$106&gt;J47))+SUMPRODUCT((P$3:P$106&lt;&gt;"")*(G$3:G$106=G47))+1,IF(N47&lt;&gt;"",SUMPRODUCT((N$3:N$106&lt;&gt;"")*(G$3:G$106=G47)*(J$3:J$106&gt;J47))+1,IF(M47="P",SUMPRODUCT((O$3:O$106&lt;&gt;"")*(P$3:P$106="")*(G$3:G$106=G47))+SUMPRODUCT((P$3:P$106&lt;&gt;"")*(G$3:G$106=G47))+SUMPRODUCT((N$3:N$106&lt;&gt;"")*(G$3:G$106=G47))+SUMPRODUCT((P$3:P$106="")*(O$3:O$106="")*(N$3:N$106="")*(M$3:M$106="P")*(G$3:G$106=G47)*(J$3:J$106&gt;J47))+IF(H47="L5",SUMPRODUCT((P$3:P$106="")*(O$3:O$106="")*(N$3:N$106="")*(M$3:M$106="P")*(G$3:G$106=G47)*(J$3:J$106&lt;J47)*(H$3:H$106&lt;&gt;H47)),-1*SUMPRODUCT((P$3:P$106="")*(O$3:O$106="")*(N$3:N$106="")*(M$3:M$106="P")*(G$3:G$106=G47)*(J$3:J$106&gt;J47)*(H$3:H$106="L5")))+1,""))))</f>
        <v/>
      </c>
      <c r="C47" s="36" t="s">
        <v>180</v>
      </c>
      <c r="D47" s="36" t="str">
        <f>IF(E47="","",VLOOKUP(E47,'Coaching Points'!A:B,2,0))</f>
        <v>SK</v>
      </c>
      <c r="E47" s="36" t="s">
        <v>60</v>
      </c>
      <c r="F47" s="35">
        <v>2005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42.500004250000003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 t="shared" si="5"/>
        <v/>
      </c>
      <c r="R47" s="4">
        <f t="shared" si="6"/>
        <v>42.5</v>
      </c>
      <c r="S47" s="4">
        <f t="shared" si="7"/>
        <v>0</v>
      </c>
      <c r="T47" s="33"/>
      <c r="U47" s="40"/>
      <c r="V47" s="34"/>
      <c r="W47" s="40"/>
      <c r="X47" s="33">
        <v>42.5</v>
      </c>
      <c r="Y47" s="40">
        <v>6.3000000000000007</v>
      </c>
      <c r="Z47" s="34"/>
      <c r="AA47" s="37"/>
    </row>
    <row r="48" spans="1:27" x14ac:dyDescent="0.2">
      <c r="A48" s="1" t="str" cm="1">
        <f t="array" ref="A48">IF(I48="","",IF(P48&lt;&gt;"",SUMPRODUCT((P$3:P$106&lt;&gt;"")*(G$3:G$106=G48)*(J$3:J$106&gt;J48)*(I$3:I$106="P"))+1,IF(O48&lt;&gt;"",SUMPRODUCT((O$3:O$106&lt;&gt;"")*(P$3:P$106="")*(G$3:G$106=G48)*(J$3:J$106&gt;J48)*(I$3:I$106="P"))+SUMPRODUCT((P$3:P$106&lt;&gt;"")*(G$3:G$106=G48)*(I$3:I$106="P"))+1,IF(N48&lt;&gt;"",SUMPRODUCT((N$3:N$106&lt;&gt;"")*(G$3:G$106=G48)*(J$3:J$106&gt;J48)*(I$3:I$106="P"))+1,IF(M48="P",SUMPRODUCT((O$3:O$106&lt;&gt;"")*(P$3:P$106="")*(G$3:G$106=G48)*(I$3:I$106="P"))+SUMPRODUCT((P$3:P$106&lt;&gt;"")*(G$3:G$106=G48)*(I$3:I$106="P"))+SUMPRODUCT((N$3:N$106&lt;&gt;"")*(G$3:G$106=G48)*(I$3:I$106="P"))+SUMPRODUCT((P$3:P$106="")*(O$3:O$106="")*(N$3:N$106="")*(M$3:M$106="P")*(G$3:G$106=G48)*(J$3:J$106&gt;J48)*(I$3:I$106="P"))+IF(H48="L5",SUMPRODUCT((P$3:P$106="")*(O$3:O$106="")*(N$3:N$106="")*(M$3:M$106="P")*(G$3:G$106=G48)*(J$3:J$106&lt;J48)*(H$3:H$106&lt;&gt;H48)*(I$3:I$106="P")),-1*SUMPRODUCT((P$3:P$106="")*(O$3:O$106="")*(N$3:N$106="")*(M$3:M$106="P")*(G$3:G$106=G48)*(J$3:J$106&gt;J48)*(H$3:H$106="L5")*(I$3:I$106="P")))+1,"")))))</f>
        <v/>
      </c>
      <c r="B48" s="1" t="str" cm="1">
        <f t="array" ref="B48">IF(P48&lt;&gt;"",SUMPRODUCT((P$3:P$106&lt;&gt;"")*(G$3:G$106=G48)*(J$3:J$106&gt;J48))+1,IF(O48&lt;&gt;"",SUMPRODUCT((O$3:O$106&lt;&gt;"")*(P$3:P$106="")*(G$3:G$106=G48)*(J$3:J$106&gt;J48))+SUMPRODUCT((P$3:P$106&lt;&gt;"")*(G$3:G$106=G48))+1,IF(N48&lt;&gt;"",SUMPRODUCT((N$3:N$106&lt;&gt;"")*(G$3:G$106=G48)*(J$3:J$106&gt;J48))+1,IF(M48="P",SUMPRODUCT((O$3:O$106&lt;&gt;"")*(P$3:P$106="")*(G$3:G$106=G48))+SUMPRODUCT((P$3:P$106&lt;&gt;"")*(G$3:G$106=G48))+SUMPRODUCT((N$3:N$106&lt;&gt;"")*(G$3:G$106=G48))+SUMPRODUCT((P$3:P$106="")*(O$3:O$106="")*(N$3:N$106="")*(M$3:M$106="P")*(G$3:G$106=G48)*(J$3:J$106&gt;J48))+IF(H48="L5",SUMPRODUCT((P$3:P$106="")*(O$3:O$106="")*(N$3:N$106="")*(M$3:M$106="P")*(G$3:G$106=G48)*(J$3:J$106&lt;J48)*(H$3:H$106&lt;&gt;H48)),-1*SUMPRODUCT((P$3:P$106="")*(O$3:O$106="")*(N$3:N$106="")*(M$3:M$106="P")*(G$3:G$106=G48)*(J$3:J$106&gt;J48)*(H$3:H$106="L5")))+1,""))))</f>
        <v/>
      </c>
      <c r="C48" s="36" t="s">
        <v>514</v>
      </c>
      <c r="D48" s="36" t="str">
        <f>IF(E48="","",VLOOKUP(E48,'Coaching Points'!A:B,2,0))</f>
        <v>MB</v>
      </c>
      <c r="E48" s="36" t="s">
        <v>568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 t="shared" si="5"/>
        <v/>
      </c>
      <c r="R48" s="4">
        <f t="shared" si="6"/>
        <v>42.3</v>
      </c>
      <c r="S48" s="4">
        <f t="shared" si="7"/>
        <v>0</v>
      </c>
      <c r="T48" s="33"/>
      <c r="U48" s="40"/>
      <c r="V48" s="34"/>
      <c r="W48" s="40"/>
      <c r="X48" s="33">
        <v>42.3</v>
      </c>
      <c r="Y48" s="40">
        <v>5.7</v>
      </c>
      <c r="Z48" s="34"/>
      <c r="AA48" s="37"/>
    </row>
    <row r="49" spans="1:27" x14ac:dyDescent="0.2">
      <c r="A49" s="1" t="str" cm="1">
        <f t="array" ref="A49">IF(I49="","",IF(P49&lt;&gt;"",SUMPRODUCT((P$3:P$106&lt;&gt;"")*(G$3:G$106=G49)*(J$3:J$106&gt;J49)*(I$3:I$106="P"))+1,IF(O49&lt;&gt;"",SUMPRODUCT((O$3:O$106&lt;&gt;"")*(P$3:P$106="")*(G$3:G$106=G49)*(J$3:J$106&gt;J49)*(I$3:I$106="P"))+SUMPRODUCT((P$3:P$106&lt;&gt;"")*(G$3:G$106=G49)*(I$3:I$106="P"))+1,IF(N49&lt;&gt;"",SUMPRODUCT((N$3:N$106&lt;&gt;"")*(G$3:G$106=G49)*(J$3:J$106&gt;J49)*(I$3:I$106="P"))+1,IF(M49="P",SUMPRODUCT((O$3:O$106&lt;&gt;"")*(P$3:P$106="")*(G$3:G$106=G49)*(I$3:I$106="P"))+SUMPRODUCT((P$3:P$106&lt;&gt;"")*(G$3:G$106=G49)*(I$3:I$106="P"))+SUMPRODUCT((N$3:N$106&lt;&gt;"")*(G$3:G$106=G49)*(I$3:I$106="P"))+SUMPRODUCT((P$3:P$106="")*(O$3:O$106="")*(N$3:N$106="")*(M$3:M$106="P")*(G$3:G$106=G49)*(J$3:J$106&gt;J49)*(I$3:I$106="P"))+IF(H49="L5",SUMPRODUCT((P$3:P$106="")*(O$3:O$106="")*(N$3:N$106="")*(M$3:M$106="P")*(G$3:G$106=G49)*(J$3:J$106&lt;J49)*(H$3:H$106&lt;&gt;H49)*(I$3:I$106="P")),-1*SUMPRODUCT((P$3:P$106="")*(O$3:O$106="")*(N$3:N$106="")*(M$3:M$106="P")*(G$3:G$106=G49)*(J$3:J$106&gt;J49)*(H$3:H$106="L5")*(I$3:I$106="P")))+1,"")))))</f>
        <v/>
      </c>
      <c r="B49" s="1" t="str" cm="1">
        <f t="array" ref="B49">IF(P49&lt;&gt;"",SUMPRODUCT((P$3:P$106&lt;&gt;"")*(G$3:G$106=G49)*(J$3:J$106&gt;J49))+1,IF(O49&lt;&gt;"",SUMPRODUCT((O$3:O$106&lt;&gt;"")*(P$3:P$106="")*(G$3:G$106=G49)*(J$3:J$106&gt;J49))+SUMPRODUCT((P$3:P$106&lt;&gt;"")*(G$3:G$106=G49))+1,IF(N49&lt;&gt;"",SUMPRODUCT((N$3:N$106&lt;&gt;"")*(G$3:G$106=G49)*(J$3:J$106&gt;J49))+1,IF(M49="P",SUMPRODUCT((O$3:O$106&lt;&gt;"")*(P$3:P$106="")*(G$3:G$106=G49))+SUMPRODUCT((P$3:P$106&lt;&gt;"")*(G$3:G$106=G49))+SUMPRODUCT((N$3:N$106&lt;&gt;"")*(G$3:G$106=G49))+SUMPRODUCT((P$3:P$106="")*(O$3:O$106="")*(N$3:N$106="")*(M$3:M$106="P")*(G$3:G$106=G49)*(J$3:J$106&gt;J49))+IF(H49="L5",SUMPRODUCT((P$3:P$106="")*(O$3:O$106="")*(N$3:N$106="")*(M$3:M$106="P")*(G$3:G$106=G49)*(J$3:J$106&lt;J49)*(H$3:H$106&lt;&gt;H49)),-1*SUMPRODUCT((P$3:P$106="")*(O$3:O$106="")*(N$3:N$106="")*(M$3:M$106="P")*(G$3:G$106=G49)*(J$3:J$106&gt;J49)*(H$3:H$106="L5")))+1,""))))</f>
        <v/>
      </c>
      <c r="C49" s="36" t="s">
        <v>463</v>
      </c>
      <c r="D49" s="36" t="str">
        <f>IF(E49="","",VLOOKUP(E49,'Coaching Points'!A:B,2,0))</f>
        <v>ON</v>
      </c>
      <c r="E49" s="36" t="s">
        <v>47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42.300004229999999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 t="shared" si="5"/>
        <v/>
      </c>
      <c r="R49" s="4">
        <f t="shared" si="6"/>
        <v>42.3</v>
      </c>
      <c r="S49" s="4">
        <f t="shared" si="7"/>
        <v>0</v>
      </c>
      <c r="T49" s="33"/>
      <c r="U49" s="40"/>
      <c r="V49" s="34"/>
      <c r="W49" s="40"/>
      <c r="X49" s="33">
        <v>42.3</v>
      </c>
      <c r="Y49" s="40">
        <v>5.8000000000000007</v>
      </c>
      <c r="Z49" s="34"/>
      <c r="AA49" s="37"/>
    </row>
    <row r="50" spans="1:27" x14ac:dyDescent="0.2">
      <c r="A50" s="1" t="str" cm="1">
        <f t="array" ref="A50">IF(I50="","",IF(P50&lt;&gt;"",SUMPRODUCT((P$3:P$106&lt;&gt;"")*(G$3:G$106=G50)*(J$3:J$106&gt;J50)*(I$3:I$106="P"))+1,IF(O50&lt;&gt;"",SUMPRODUCT((O$3:O$106&lt;&gt;"")*(P$3:P$106="")*(G$3:G$106=G50)*(J$3:J$106&gt;J50)*(I$3:I$106="P"))+SUMPRODUCT((P$3:P$106&lt;&gt;"")*(G$3:G$106=G50)*(I$3:I$106="P"))+1,IF(N50&lt;&gt;"",SUMPRODUCT((N$3:N$106&lt;&gt;"")*(G$3:G$106=G50)*(J$3:J$106&gt;J50)*(I$3:I$106="P"))+1,IF(M50="P",SUMPRODUCT((O$3:O$106&lt;&gt;"")*(P$3:P$106="")*(G$3:G$106=G50)*(I$3:I$106="P"))+SUMPRODUCT((P$3:P$106&lt;&gt;"")*(G$3:G$106=G50)*(I$3:I$106="P"))+SUMPRODUCT((N$3:N$106&lt;&gt;"")*(G$3:G$106=G50)*(I$3:I$106="P"))+SUMPRODUCT((P$3:P$106="")*(O$3:O$106="")*(N$3:N$106="")*(M$3:M$106="P")*(G$3:G$106=G50)*(J$3:J$106&gt;J50)*(I$3:I$106="P"))+IF(H50="L5",SUMPRODUCT((P$3:P$106="")*(O$3:O$106="")*(N$3:N$106="")*(M$3:M$106="P")*(G$3:G$106=G50)*(J$3:J$106&lt;J50)*(H$3:H$106&lt;&gt;H50)*(I$3:I$106="P")),-1*SUMPRODUCT((P$3:P$106="")*(O$3:O$106="")*(N$3:N$106="")*(M$3:M$106="P")*(G$3:G$106=G50)*(J$3:J$106&gt;J50)*(H$3:H$106="L5")*(I$3:I$106="P")))+1,"")))))</f>
        <v/>
      </c>
      <c r="B50" s="1" t="str" cm="1">
        <f t="array" ref="B50">IF(P50&lt;&gt;"",SUMPRODUCT((P$3:P$106&lt;&gt;"")*(G$3:G$106=G50)*(J$3:J$106&gt;J50))+1,IF(O50&lt;&gt;"",SUMPRODUCT((O$3:O$106&lt;&gt;"")*(P$3:P$106="")*(G$3:G$106=G50)*(J$3:J$106&gt;J50))+SUMPRODUCT((P$3:P$106&lt;&gt;"")*(G$3:G$106=G50))+1,IF(N50&lt;&gt;"",SUMPRODUCT((N$3:N$106&lt;&gt;"")*(G$3:G$106=G50)*(J$3:J$106&gt;J50))+1,IF(M50="P",SUMPRODUCT((O$3:O$106&lt;&gt;"")*(P$3:P$106="")*(G$3:G$106=G50))+SUMPRODUCT((P$3:P$106&lt;&gt;"")*(G$3:G$106=G50))+SUMPRODUCT((N$3:N$106&lt;&gt;"")*(G$3:G$106=G50))+SUMPRODUCT((P$3:P$106="")*(O$3:O$106="")*(N$3:N$106="")*(M$3:M$106="P")*(G$3:G$106=G50)*(J$3:J$106&gt;J50))+IF(H50="L5",SUMPRODUCT((P$3:P$106="")*(O$3:O$106="")*(N$3:N$106="")*(M$3:M$106="P")*(G$3:G$106=G50)*(J$3:J$106&lt;J50)*(H$3:H$106&lt;&gt;H50)),-1*SUMPRODUCT((P$3:P$106="")*(O$3:O$106="")*(N$3:N$106="")*(M$3:M$106="P")*(G$3:G$106=G50)*(J$3:J$106&gt;J50)*(H$3:H$106="L5")))+1,""))))</f>
        <v/>
      </c>
      <c r="C50" s="36" t="s">
        <v>462</v>
      </c>
      <c r="D50" s="36" t="str">
        <f>IF(E50="","",VLOOKUP(E50,'Coaching Points'!A:B,2,0))</f>
        <v>AB</v>
      </c>
      <c r="E50" s="36" t="s">
        <v>424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 t="shared" si="5"/>
        <v/>
      </c>
      <c r="R50" s="4">
        <f t="shared" si="6"/>
        <v>42.2</v>
      </c>
      <c r="S50" s="4">
        <f t="shared" si="7"/>
        <v>0</v>
      </c>
      <c r="T50" s="33"/>
      <c r="U50" s="40"/>
      <c r="V50" s="34"/>
      <c r="W50" s="40"/>
      <c r="X50" s="33">
        <v>42.2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$106&lt;&gt;"")*(G$3:G$106=G51)*(J$3:J$106&gt;J51)*(I$3:I$106="P"))+1,IF(O51&lt;&gt;"",SUMPRODUCT((O$3:O$106&lt;&gt;"")*(P$3:P$106="")*(G$3:G$106=G51)*(J$3:J$106&gt;J51)*(I$3:I$106="P"))+SUMPRODUCT((P$3:P$106&lt;&gt;"")*(G$3:G$106=G51)*(I$3:I$106="P"))+1,IF(N51&lt;&gt;"",SUMPRODUCT((N$3:N$106&lt;&gt;"")*(G$3:G$106=G51)*(J$3:J$106&gt;J51)*(I$3:I$106="P"))+1,IF(M51="P",SUMPRODUCT((O$3:O$106&lt;&gt;"")*(P$3:P$106="")*(G$3:G$106=G51)*(I$3:I$106="P"))+SUMPRODUCT((P$3:P$106&lt;&gt;"")*(G$3:G$106=G51)*(I$3:I$106="P"))+SUMPRODUCT((N$3:N$106&lt;&gt;"")*(G$3:G$106=G51)*(I$3:I$106="P"))+SUMPRODUCT((P$3:P$106="")*(O$3:O$106="")*(N$3:N$106="")*(M$3:M$106="P")*(G$3:G$106=G51)*(J$3:J$106&gt;J51)*(I$3:I$106="P"))+IF(H51="L5",SUMPRODUCT((P$3:P$106="")*(O$3:O$106="")*(N$3:N$106="")*(M$3:M$106="P")*(G$3:G$106=G51)*(J$3:J$106&lt;J51)*(H$3:H$106&lt;&gt;H51)*(I$3:I$106="P")),-1*SUMPRODUCT((P$3:P$106="")*(O$3:O$106="")*(N$3:N$106="")*(M$3:M$106="P")*(G$3:G$106=G51)*(J$3:J$106&gt;J51)*(H$3:H$106="L5")*(I$3:I$106="P")))+1,"")))))</f>
        <v/>
      </c>
      <c r="B51" s="1" t="str" cm="1">
        <f t="array" ref="B51">IF(P51&lt;&gt;"",SUMPRODUCT((P$3:P$106&lt;&gt;"")*(G$3:G$106=G51)*(J$3:J$106&gt;J51))+1,IF(O51&lt;&gt;"",SUMPRODUCT((O$3:O$106&lt;&gt;"")*(P$3:P$106="")*(G$3:G$106=G51)*(J$3:J$106&gt;J51))+SUMPRODUCT((P$3:P$106&lt;&gt;"")*(G$3:G$106=G51))+1,IF(N51&lt;&gt;"",SUMPRODUCT((N$3:N$106&lt;&gt;"")*(G$3:G$106=G51)*(J$3:J$106&gt;J51))+1,IF(M51="P",SUMPRODUCT((O$3:O$106&lt;&gt;"")*(P$3:P$106="")*(G$3:G$106=G51))+SUMPRODUCT((P$3:P$106&lt;&gt;"")*(G$3:G$106=G51))+SUMPRODUCT((N$3:N$106&lt;&gt;"")*(G$3:G$106=G51))+SUMPRODUCT((P$3:P$106="")*(O$3:O$106="")*(N$3:N$106="")*(M$3:M$106="P")*(G$3:G$106=G51)*(J$3:J$106&gt;J51))+IF(H51="L5",SUMPRODUCT((P$3:P$106="")*(O$3:O$106="")*(N$3:N$106="")*(M$3:M$106="P")*(G$3:G$106=G51)*(J$3:J$106&lt;J51)*(H$3:H$106&lt;&gt;H51)),-1*SUMPRODUCT((P$3:P$106="")*(O$3:O$106="")*(N$3:N$106="")*(M$3:M$106="P")*(G$3:G$106=G51)*(J$3:J$106&gt;J51)*(H$3:H$106="L5")))+1,""))))</f>
        <v/>
      </c>
      <c r="C51" s="36" t="s">
        <v>458</v>
      </c>
      <c r="D51" s="36" t="str">
        <f>IF(E51="","",VLOOKUP(E51,'Coaching Points'!A:B,2,0))</f>
        <v>ON</v>
      </c>
      <c r="E51" s="36" t="s">
        <v>429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42.200004220000004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 t="shared" si="5"/>
        <v/>
      </c>
      <c r="R51" s="4">
        <f t="shared" si="6"/>
        <v>42.2</v>
      </c>
      <c r="S51" s="4">
        <f t="shared" si="7"/>
        <v>0</v>
      </c>
      <c r="T51" s="33"/>
      <c r="U51" s="40"/>
      <c r="V51" s="34"/>
      <c r="W51" s="40"/>
      <c r="X51" s="33">
        <v>42.2</v>
      </c>
      <c r="Y51" s="40">
        <v>6.3000000000000007</v>
      </c>
      <c r="Z51" s="34"/>
      <c r="AA51" s="37"/>
    </row>
    <row r="52" spans="1:27" x14ac:dyDescent="0.2">
      <c r="A52" s="1" t="str" cm="1">
        <f t="array" ref="A52">IF(I52="","",IF(P52&lt;&gt;"",SUMPRODUCT((P$3:P$106&lt;&gt;"")*(G$3:G$106=G52)*(J$3:J$106&gt;J52)*(I$3:I$106="P"))+1,IF(O52&lt;&gt;"",SUMPRODUCT((O$3:O$106&lt;&gt;"")*(P$3:P$106="")*(G$3:G$106=G52)*(J$3:J$106&gt;J52)*(I$3:I$106="P"))+SUMPRODUCT((P$3:P$106&lt;&gt;"")*(G$3:G$106=G52)*(I$3:I$106="P"))+1,IF(N52&lt;&gt;"",SUMPRODUCT((N$3:N$106&lt;&gt;"")*(G$3:G$106=G52)*(J$3:J$106&gt;J52)*(I$3:I$106="P"))+1,IF(M52="P",SUMPRODUCT((O$3:O$106&lt;&gt;"")*(P$3:P$106="")*(G$3:G$106=G52)*(I$3:I$106="P"))+SUMPRODUCT((P$3:P$106&lt;&gt;"")*(G$3:G$106=G52)*(I$3:I$106="P"))+SUMPRODUCT((N$3:N$106&lt;&gt;"")*(G$3:G$106=G52)*(I$3:I$106="P"))+SUMPRODUCT((P$3:P$106="")*(O$3:O$106="")*(N$3:N$106="")*(M$3:M$106="P")*(G$3:G$106=G52)*(J$3:J$106&gt;J52)*(I$3:I$106="P"))+IF(H52="L5",SUMPRODUCT((P$3:P$106="")*(O$3:O$106="")*(N$3:N$106="")*(M$3:M$106="P")*(G$3:G$106=G52)*(J$3:J$106&lt;J52)*(H$3:H$106&lt;&gt;H52)*(I$3:I$106="P")),-1*SUMPRODUCT((P$3:P$106="")*(O$3:O$106="")*(N$3:N$106="")*(M$3:M$106="P")*(G$3:G$106=G52)*(J$3:J$106&gt;J52)*(H$3:H$106="L5")*(I$3:I$106="P")))+1,"")))))</f>
        <v/>
      </c>
      <c r="B52" s="1" t="str" cm="1">
        <f t="array" ref="B52">IF(P52&lt;&gt;"",SUMPRODUCT((P$3:P$106&lt;&gt;"")*(G$3:G$106=G52)*(J$3:J$106&gt;J52))+1,IF(O52&lt;&gt;"",SUMPRODUCT((O$3:O$106&lt;&gt;"")*(P$3:P$106="")*(G$3:G$106=G52)*(J$3:J$106&gt;J52))+SUMPRODUCT((P$3:P$106&lt;&gt;"")*(G$3:G$106=G52))+1,IF(N52&lt;&gt;"",SUMPRODUCT((N$3:N$106&lt;&gt;"")*(G$3:G$106=G52)*(J$3:J$106&gt;J52))+1,IF(M52="P",SUMPRODUCT((O$3:O$106&lt;&gt;"")*(P$3:P$106="")*(G$3:G$106=G52))+SUMPRODUCT((P$3:P$106&lt;&gt;"")*(G$3:G$106=G52))+SUMPRODUCT((N$3:N$106&lt;&gt;"")*(G$3:G$106=G52))+SUMPRODUCT((P$3:P$106="")*(O$3:O$106="")*(N$3:N$106="")*(M$3:M$106="P")*(G$3:G$106=G52)*(J$3:J$106&gt;J52))+IF(H52="L5",SUMPRODUCT((P$3:P$106="")*(O$3:O$106="")*(N$3:N$106="")*(M$3:M$106="P")*(G$3:G$106=G52)*(J$3:J$106&lt;J52)*(H$3:H$106&lt;&gt;H52)),-1*SUMPRODUCT((P$3:P$106="")*(O$3:O$106="")*(N$3:N$106="")*(M$3:M$106="P")*(G$3:G$106=G52)*(J$3:J$106&gt;J52)*(H$3:H$106="L5")))+1,""))))</f>
        <v/>
      </c>
      <c r="C52" s="36" t="s">
        <v>250</v>
      </c>
      <c r="D52" s="36" t="str">
        <f>IF(E52="","",VLOOKUP(E52,'Coaching Points'!A:B,2,0))</f>
        <v>AB</v>
      </c>
      <c r="E52" s="36" t="s">
        <v>63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68</v>
      </c>
      <c r="I52" s="43"/>
      <c r="J52" s="4">
        <f t="shared" si="4"/>
        <v>41.900100000000002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 t="shared" si="5"/>
        <v/>
      </c>
      <c r="R52" s="4">
        <f t="shared" si="6"/>
        <v>41.9</v>
      </c>
      <c r="S52" s="4">
        <f t="shared" si="7"/>
        <v>0</v>
      </c>
      <c r="T52" s="33">
        <v>41.9</v>
      </c>
      <c r="U52" s="40">
        <v>6.5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$106&lt;&gt;"")*(G$3:G$106=G53)*(J$3:J$106&gt;J53)*(I$3:I$106="P"))+1,IF(O53&lt;&gt;"",SUMPRODUCT((O$3:O$106&lt;&gt;"")*(P$3:P$106="")*(G$3:G$106=G53)*(J$3:J$106&gt;J53)*(I$3:I$106="P"))+SUMPRODUCT((P$3:P$106&lt;&gt;"")*(G$3:G$106=G53)*(I$3:I$106="P"))+1,IF(N53&lt;&gt;"",SUMPRODUCT((N$3:N$106&lt;&gt;"")*(G$3:G$106=G53)*(J$3:J$106&gt;J53)*(I$3:I$106="P"))+1,IF(M53="P",SUMPRODUCT((O$3:O$106&lt;&gt;"")*(P$3:P$106="")*(G$3:G$106=G53)*(I$3:I$106="P"))+SUMPRODUCT((P$3:P$106&lt;&gt;"")*(G$3:G$106=G53)*(I$3:I$106="P"))+SUMPRODUCT((N$3:N$106&lt;&gt;"")*(G$3:G$106=G53)*(I$3:I$106="P"))+SUMPRODUCT((P$3:P$106="")*(O$3:O$106="")*(N$3:N$106="")*(M$3:M$106="P")*(G$3:G$106=G53)*(J$3:J$106&gt;J53)*(I$3:I$106="P"))+IF(H53="L5",SUMPRODUCT((P$3:P$106="")*(O$3:O$106="")*(N$3:N$106="")*(M$3:M$106="P")*(G$3:G$106=G53)*(J$3:J$106&lt;J53)*(H$3:H$106&lt;&gt;H53)*(I$3:I$106="P")),-1*SUMPRODUCT((P$3:P$106="")*(O$3:O$106="")*(N$3:N$106="")*(M$3:M$106="P")*(G$3:G$106=G53)*(J$3:J$106&gt;J53)*(H$3:H$106="L5")*(I$3:I$106="P")))+1,"")))))</f>
        <v/>
      </c>
      <c r="B53" s="1" t="str" cm="1">
        <f t="array" ref="B53">IF(P53&lt;&gt;"",SUMPRODUCT((P$3:P$106&lt;&gt;"")*(G$3:G$106=G53)*(J$3:J$106&gt;J53))+1,IF(O53&lt;&gt;"",SUMPRODUCT((O$3:O$106&lt;&gt;"")*(P$3:P$106="")*(G$3:G$106=G53)*(J$3:J$106&gt;J53))+SUMPRODUCT((P$3:P$106&lt;&gt;"")*(G$3:G$106=G53))+1,IF(N53&lt;&gt;"",SUMPRODUCT((N$3:N$106&lt;&gt;"")*(G$3:G$106=G53)*(J$3:J$106&gt;J53))+1,IF(M53="P",SUMPRODUCT((O$3:O$106&lt;&gt;"")*(P$3:P$106="")*(G$3:G$106=G53))+SUMPRODUCT((P$3:P$106&lt;&gt;"")*(G$3:G$106=G53))+SUMPRODUCT((N$3:N$106&lt;&gt;"")*(G$3:G$106=G53))+SUMPRODUCT((P$3:P$106="")*(O$3:O$106="")*(N$3:N$106="")*(M$3:M$106="P")*(G$3:G$106=G53)*(J$3:J$106&gt;J53))+IF(H53="L5",SUMPRODUCT((P$3:P$106="")*(O$3:O$106="")*(N$3:N$106="")*(M$3:M$106="P")*(G$3:G$106=G53)*(J$3:J$106&lt;J53)*(H$3:H$106&lt;&gt;H53)),-1*SUMPRODUCT((P$3:P$106="")*(O$3:O$106="")*(N$3:N$106="")*(M$3:M$106="P")*(G$3:G$106=G53)*(J$3:J$106&gt;J53)*(H$3:H$106="L5")))+1,""))))</f>
        <v/>
      </c>
      <c r="C53" s="36" t="s">
        <v>515</v>
      </c>
      <c r="D53" s="36" t="str">
        <f>IF(E53="","",VLOOKUP(E53,'Coaching Points'!A:B,2,0))</f>
        <v>ON</v>
      </c>
      <c r="E53" s="36" t="s">
        <v>47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41.600004160000005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 t="shared" si="5"/>
        <v/>
      </c>
      <c r="R53" s="4">
        <f t="shared" si="6"/>
        <v>41.6</v>
      </c>
      <c r="S53" s="4">
        <f t="shared" si="7"/>
        <v>0</v>
      </c>
      <c r="T53" s="33"/>
      <c r="U53" s="40"/>
      <c r="V53" s="34"/>
      <c r="W53" s="40"/>
      <c r="X53" s="33">
        <v>41.6</v>
      </c>
      <c r="Y53" s="40">
        <v>4.9000000000000004</v>
      </c>
      <c r="Z53" s="34"/>
      <c r="AA53" s="37"/>
    </row>
    <row r="54" spans="1:27" x14ac:dyDescent="0.2">
      <c r="A54" s="1" t="str" cm="1">
        <f t="array" ref="A54">IF(I54="","",IF(P54&lt;&gt;"",SUMPRODUCT((P$3:P$106&lt;&gt;"")*(G$3:G$106=G54)*(J$3:J$106&gt;J54)*(I$3:I$106="P"))+1,IF(O54&lt;&gt;"",SUMPRODUCT((O$3:O$106&lt;&gt;"")*(P$3:P$106="")*(G$3:G$106=G54)*(J$3:J$106&gt;J54)*(I$3:I$106="P"))+SUMPRODUCT((P$3:P$106&lt;&gt;"")*(G$3:G$106=G54)*(I$3:I$106="P"))+1,IF(N54&lt;&gt;"",SUMPRODUCT((N$3:N$106&lt;&gt;"")*(G$3:G$106=G54)*(J$3:J$106&gt;J54)*(I$3:I$106="P"))+1,IF(M54="P",SUMPRODUCT((O$3:O$106&lt;&gt;"")*(P$3:P$106="")*(G$3:G$106=G54)*(I$3:I$106="P"))+SUMPRODUCT((P$3:P$106&lt;&gt;"")*(G$3:G$106=G54)*(I$3:I$106="P"))+SUMPRODUCT((N$3:N$106&lt;&gt;"")*(G$3:G$106=G54)*(I$3:I$106="P"))+SUMPRODUCT((P$3:P$106="")*(O$3:O$106="")*(N$3:N$106="")*(M$3:M$106="P")*(G$3:G$106=G54)*(J$3:J$106&gt;J54)*(I$3:I$106="P"))+IF(H54="L5",SUMPRODUCT((P$3:P$106="")*(O$3:O$106="")*(N$3:N$106="")*(M$3:M$106="P")*(G$3:G$106=G54)*(J$3:J$106&lt;J54)*(H$3:H$106&lt;&gt;H54)*(I$3:I$106="P")),-1*SUMPRODUCT((P$3:P$106="")*(O$3:O$106="")*(N$3:N$106="")*(M$3:M$106="P")*(G$3:G$106=G54)*(J$3:J$106&gt;J54)*(H$3:H$106="L5")*(I$3:I$106="P")))+1,"")))))</f>
        <v/>
      </c>
      <c r="B54" s="1" t="str" cm="1">
        <f t="array" ref="B54">IF(P54&lt;&gt;"",SUMPRODUCT((P$3:P$106&lt;&gt;"")*(G$3:G$106=G54)*(J$3:J$106&gt;J54))+1,IF(O54&lt;&gt;"",SUMPRODUCT((O$3:O$106&lt;&gt;"")*(P$3:P$106="")*(G$3:G$106=G54)*(J$3:J$106&gt;J54))+SUMPRODUCT((P$3:P$106&lt;&gt;"")*(G$3:G$106=G54))+1,IF(N54&lt;&gt;"",SUMPRODUCT((N$3:N$106&lt;&gt;"")*(G$3:G$106=G54)*(J$3:J$106&gt;J54))+1,IF(M54="P",SUMPRODUCT((O$3:O$106&lt;&gt;"")*(P$3:P$106="")*(G$3:G$106=G54))+SUMPRODUCT((P$3:P$106&lt;&gt;"")*(G$3:G$106=G54))+SUMPRODUCT((N$3:N$106&lt;&gt;"")*(G$3:G$106=G54))+SUMPRODUCT((P$3:P$106="")*(O$3:O$106="")*(N$3:N$106="")*(M$3:M$106="P")*(G$3:G$106=G54)*(J$3:J$106&gt;J54))+IF(H54="L5",SUMPRODUCT((P$3:P$106="")*(O$3:O$106="")*(N$3:N$106="")*(M$3:M$106="P")*(G$3:G$106=G54)*(J$3:J$106&lt;J54)*(H$3:H$106&lt;&gt;H54)),-1*SUMPRODUCT((P$3:P$106="")*(O$3:O$106="")*(N$3:N$106="")*(M$3:M$106="P")*(G$3:G$106=G54)*(J$3:J$106&gt;J54)*(H$3:H$106="L5")))+1,""))))</f>
        <v/>
      </c>
      <c r="C54" s="36" t="s">
        <v>139</v>
      </c>
      <c r="D54" s="36" t="str">
        <f>IF(E54="","",VLOOKUP(E54,'Coaching Points'!A:B,2,0))</f>
        <v>BC</v>
      </c>
      <c r="E54" s="36" t="s">
        <v>46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41.4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 t="shared" si="5"/>
        <v/>
      </c>
      <c r="R54" s="4">
        <f t="shared" si="6"/>
        <v>41.4</v>
      </c>
      <c r="S54" s="4">
        <f t="shared" si="7"/>
        <v>0</v>
      </c>
      <c r="T54" s="33">
        <v>41.4</v>
      </c>
      <c r="U54" s="40">
        <v>4.8000000000000007</v>
      </c>
      <c r="V54" s="34"/>
      <c r="W54" s="40"/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$106&lt;&gt;"")*(G$3:G$106=G55)*(J$3:J$106&gt;J55)*(I$3:I$106="P"))+1,IF(O55&lt;&gt;"",SUMPRODUCT((O$3:O$106&lt;&gt;"")*(P$3:P$106="")*(G$3:G$106=G55)*(J$3:J$106&gt;J55)*(I$3:I$106="P"))+SUMPRODUCT((P$3:P$106&lt;&gt;"")*(G$3:G$106=G55)*(I$3:I$106="P"))+1,IF(N55&lt;&gt;"",SUMPRODUCT((N$3:N$106&lt;&gt;"")*(G$3:G$106=G55)*(J$3:J$106&gt;J55)*(I$3:I$106="P"))+1,IF(M55="P",SUMPRODUCT((O$3:O$106&lt;&gt;"")*(P$3:P$106="")*(G$3:G$106=G55)*(I$3:I$106="P"))+SUMPRODUCT((P$3:P$106&lt;&gt;"")*(G$3:G$106=G55)*(I$3:I$106="P"))+SUMPRODUCT((N$3:N$106&lt;&gt;"")*(G$3:G$106=G55)*(I$3:I$106="P"))+SUMPRODUCT((P$3:P$106="")*(O$3:O$106="")*(N$3:N$106="")*(M$3:M$106="P")*(G$3:G$106=G55)*(J$3:J$106&gt;J55)*(I$3:I$106="P"))+IF(H55="L5",SUMPRODUCT((P$3:P$106="")*(O$3:O$106="")*(N$3:N$106="")*(M$3:M$106="P")*(G$3:G$106=G55)*(J$3:J$106&lt;J55)*(H$3:H$106&lt;&gt;H55)*(I$3:I$106="P")),-1*SUMPRODUCT((P$3:P$106="")*(O$3:O$106="")*(N$3:N$106="")*(M$3:M$106="P")*(G$3:G$106=G55)*(J$3:J$106&gt;J55)*(H$3:H$106="L5")*(I$3:I$106="P")))+1,"")))))</f>
        <v/>
      </c>
      <c r="B55" s="1" t="str" cm="1">
        <f t="array" ref="B55">IF(P55&lt;&gt;"",SUMPRODUCT((P$3:P$106&lt;&gt;"")*(G$3:G$106=G55)*(J$3:J$106&gt;J55))+1,IF(O55&lt;&gt;"",SUMPRODUCT((O$3:O$106&lt;&gt;"")*(P$3:P$106="")*(G$3:G$106=G55)*(J$3:J$106&gt;J55))+SUMPRODUCT((P$3:P$106&lt;&gt;"")*(G$3:G$106=G55))+1,IF(N55&lt;&gt;"",SUMPRODUCT((N$3:N$106&lt;&gt;"")*(G$3:G$106=G55)*(J$3:J$106&gt;J55))+1,IF(M55="P",SUMPRODUCT((O$3:O$106&lt;&gt;"")*(P$3:P$106="")*(G$3:G$106=G55))+SUMPRODUCT((P$3:P$106&lt;&gt;"")*(G$3:G$106=G55))+SUMPRODUCT((N$3:N$106&lt;&gt;"")*(G$3:G$106=G55))+SUMPRODUCT((P$3:P$106="")*(O$3:O$106="")*(N$3:N$106="")*(M$3:M$106="P")*(G$3:G$106=G55)*(J$3:J$106&gt;J55))+IF(H55="L5",SUMPRODUCT((P$3:P$106="")*(O$3:O$106="")*(N$3:N$106="")*(M$3:M$106="P")*(G$3:G$106=G55)*(J$3:J$106&lt;J55)*(H$3:H$106&lt;&gt;H55)),-1*SUMPRODUCT((P$3:P$106="")*(O$3:O$106="")*(N$3:N$106="")*(M$3:M$106="P")*(G$3:G$106=G55)*(J$3:J$106&gt;J55)*(H$3:H$106="L5")))+1,""))))</f>
        <v/>
      </c>
      <c r="C55" s="36" t="s">
        <v>454</v>
      </c>
      <c r="D55" s="36" t="str">
        <f>IF(E55="","",VLOOKUP(E55,'Coaching Points'!A:B,2,0))</f>
        <v>BC</v>
      </c>
      <c r="E55" s="36" t="s">
        <v>37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41.10000411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 t="shared" si="5"/>
        <v/>
      </c>
      <c r="R55" s="4">
        <f t="shared" si="6"/>
        <v>41.1</v>
      </c>
      <c r="S55" s="4">
        <f t="shared" si="7"/>
        <v>0</v>
      </c>
      <c r="T55" s="33"/>
      <c r="U55" s="40"/>
      <c r="V55" s="34"/>
      <c r="W55" s="40"/>
      <c r="X55" s="33">
        <v>41.1</v>
      </c>
      <c r="Y55" s="40">
        <v>5.6</v>
      </c>
      <c r="Z55" s="34"/>
      <c r="AA55" s="37"/>
    </row>
    <row r="56" spans="1:27" x14ac:dyDescent="0.2">
      <c r="A56" s="1" t="str" cm="1">
        <f t="array" ref="A56">IF(I56="","",IF(P56&lt;&gt;"",SUMPRODUCT((P$3:P$106&lt;&gt;"")*(G$3:G$106=G56)*(J$3:J$106&gt;J56)*(I$3:I$106="P"))+1,IF(O56&lt;&gt;"",SUMPRODUCT((O$3:O$106&lt;&gt;"")*(P$3:P$106="")*(G$3:G$106=G56)*(J$3:J$106&gt;J56)*(I$3:I$106="P"))+SUMPRODUCT((P$3:P$106&lt;&gt;"")*(G$3:G$106=G56)*(I$3:I$106="P"))+1,IF(N56&lt;&gt;"",SUMPRODUCT((N$3:N$106&lt;&gt;"")*(G$3:G$106=G56)*(J$3:J$106&gt;J56)*(I$3:I$106="P"))+1,IF(M56="P",SUMPRODUCT((O$3:O$106&lt;&gt;"")*(P$3:P$106="")*(G$3:G$106=G56)*(I$3:I$106="P"))+SUMPRODUCT((P$3:P$106&lt;&gt;"")*(G$3:G$106=G56)*(I$3:I$106="P"))+SUMPRODUCT((N$3:N$106&lt;&gt;"")*(G$3:G$106=G56)*(I$3:I$106="P"))+SUMPRODUCT((P$3:P$106="")*(O$3:O$106="")*(N$3:N$106="")*(M$3:M$106="P")*(G$3:G$106=G56)*(J$3:J$106&gt;J56)*(I$3:I$106="P"))+IF(H56="L5",SUMPRODUCT((P$3:P$106="")*(O$3:O$106="")*(N$3:N$106="")*(M$3:M$106="P")*(G$3:G$106=G56)*(J$3:J$106&lt;J56)*(H$3:H$106&lt;&gt;H56)*(I$3:I$106="P")),-1*SUMPRODUCT((P$3:P$106="")*(O$3:O$106="")*(N$3:N$106="")*(M$3:M$106="P")*(G$3:G$106=G56)*(J$3:J$106&gt;J56)*(H$3:H$106="L5")*(I$3:I$106="P")))+1,"")))))</f>
        <v/>
      </c>
      <c r="B56" s="1" t="str" cm="1">
        <f t="array" ref="B56">IF(P56&lt;&gt;"",SUMPRODUCT((P$3:P$106&lt;&gt;"")*(G$3:G$106=G56)*(J$3:J$106&gt;J56))+1,IF(O56&lt;&gt;"",SUMPRODUCT((O$3:O$106&lt;&gt;"")*(P$3:P$106="")*(G$3:G$106=G56)*(J$3:J$106&gt;J56))+SUMPRODUCT((P$3:P$106&lt;&gt;"")*(G$3:G$106=G56))+1,IF(N56&lt;&gt;"",SUMPRODUCT((N$3:N$106&lt;&gt;"")*(G$3:G$106=G56)*(J$3:J$106&gt;J56))+1,IF(M56="P",SUMPRODUCT((O$3:O$106&lt;&gt;"")*(P$3:P$106="")*(G$3:G$106=G56))+SUMPRODUCT((P$3:P$106&lt;&gt;"")*(G$3:G$106=G56))+SUMPRODUCT((N$3:N$106&lt;&gt;"")*(G$3:G$106=G56))+SUMPRODUCT((P$3:P$106="")*(O$3:O$106="")*(N$3:N$106="")*(M$3:M$106="P")*(G$3:G$106=G56)*(J$3:J$106&gt;J56))+IF(H56="L5",SUMPRODUCT((P$3:P$106="")*(O$3:O$106="")*(N$3:N$106="")*(M$3:M$106="P")*(G$3:G$106=G56)*(J$3:J$106&lt;J56)*(H$3:H$106&lt;&gt;H56)),-1*SUMPRODUCT((P$3:P$106="")*(O$3:O$106="")*(N$3:N$106="")*(M$3:M$106="P")*(G$3:G$106=G56)*(J$3:J$106&gt;J56)*(H$3:H$106="L5")))+1,""))))</f>
        <v/>
      </c>
      <c r="C56" s="36" t="s">
        <v>497</v>
      </c>
      <c r="D56" s="36" t="str">
        <f>IF(E56="","",VLOOKUP(E56,'Coaching Points'!A:B,2,0))</f>
        <v>BC</v>
      </c>
      <c r="E56" s="36" t="s">
        <v>41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4"/>
        <v>40.500004050000001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 t="shared" si="5"/>
        <v/>
      </c>
      <c r="R56" s="4">
        <f t="shared" si="6"/>
        <v>40.5</v>
      </c>
      <c r="S56" s="4">
        <f t="shared" si="7"/>
        <v>0</v>
      </c>
      <c r="T56" s="33"/>
      <c r="U56" s="40"/>
      <c r="V56" s="34"/>
      <c r="W56" s="40"/>
      <c r="X56" s="33">
        <v>40.5</v>
      </c>
      <c r="Y56" s="40">
        <v>6.3000000000000007</v>
      </c>
      <c r="Z56" s="34"/>
      <c r="AA56" s="37"/>
    </row>
    <row r="57" spans="1:27" x14ac:dyDescent="0.2">
      <c r="A57" s="1" t="str" cm="1">
        <f t="array" ref="A57">IF(I57="","",IF(P57&lt;&gt;"",SUMPRODUCT((P$3:P$106&lt;&gt;"")*(G$3:G$106=G57)*(J$3:J$106&gt;J57)*(I$3:I$106="P"))+1,IF(O57&lt;&gt;"",SUMPRODUCT((O$3:O$106&lt;&gt;"")*(P$3:P$106="")*(G$3:G$106=G57)*(J$3:J$106&gt;J57)*(I$3:I$106="P"))+SUMPRODUCT((P$3:P$106&lt;&gt;"")*(G$3:G$106=G57)*(I$3:I$106="P"))+1,IF(N57&lt;&gt;"",SUMPRODUCT((N$3:N$106&lt;&gt;"")*(G$3:G$106=G57)*(J$3:J$106&gt;J57)*(I$3:I$106="P"))+1,IF(M57="P",SUMPRODUCT((O$3:O$106&lt;&gt;"")*(P$3:P$106="")*(G$3:G$106=G57)*(I$3:I$106="P"))+SUMPRODUCT((P$3:P$106&lt;&gt;"")*(G$3:G$106=G57)*(I$3:I$106="P"))+SUMPRODUCT((N$3:N$106&lt;&gt;"")*(G$3:G$106=G57)*(I$3:I$106="P"))+SUMPRODUCT((P$3:P$106="")*(O$3:O$106="")*(N$3:N$106="")*(M$3:M$106="P")*(G$3:G$106=G57)*(J$3:J$106&gt;J57)*(I$3:I$106="P"))+IF(H57="L5",SUMPRODUCT((P$3:P$106="")*(O$3:O$106="")*(N$3:N$106="")*(M$3:M$106="P")*(G$3:G$106=G57)*(J$3:J$106&lt;J57)*(H$3:H$106&lt;&gt;H57)*(I$3:I$106="P")),-1*SUMPRODUCT((P$3:P$106="")*(O$3:O$106="")*(N$3:N$106="")*(M$3:M$106="P")*(G$3:G$106=G57)*(J$3:J$106&gt;J57)*(H$3:H$106="L5")*(I$3:I$106="P")))+1,"")))))</f>
        <v/>
      </c>
      <c r="B57" s="1" t="str" cm="1">
        <f t="array" ref="B57">IF(P57&lt;&gt;"",SUMPRODUCT((P$3:P$106&lt;&gt;"")*(G$3:G$106=G57)*(J$3:J$106&gt;J57))+1,IF(O57&lt;&gt;"",SUMPRODUCT((O$3:O$106&lt;&gt;"")*(P$3:P$106="")*(G$3:G$106=G57)*(J$3:J$106&gt;J57))+SUMPRODUCT((P$3:P$106&lt;&gt;"")*(G$3:G$106=G57))+1,IF(N57&lt;&gt;"",SUMPRODUCT((N$3:N$106&lt;&gt;"")*(G$3:G$106=G57)*(J$3:J$106&gt;J57))+1,IF(M57="P",SUMPRODUCT((O$3:O$106&lt;&gt;"")*(P$3:P$106="")*(G$3:G$106=G57))+SUMPRODUCT((P$3:P$106&lt;&gt;"")*(G$3:G$106=G57))+SUMPRODUCT((N$3:N$106&lt;&gt;"")*(G$3:G$106=G57))+SUMPRODUCT((P$3:P$106="")*(O$3:O$106="")*(N$3:N$106="")*(M$3:M$106="P")*(G$3:G$106=G57)*(J$3:J$106&gt;J57))+IF(H57="L5",SUMPRODUCT((P$3:P$106="")*(O$3:O$106="")*(N$3:N$106="")*(M$3:M$106="P")*(G$3:G$106=G57)*(J$3:J$106&lt;J57)*(H$3:H$106&lt;&gt;H57)),-1*SUMPRODUCT((P$3:P$106="")*(O$3:O$106="")*(N$3:N$106="")*(M$3:M$106="P")*(G$3:G$106=G57)*(J$3:J$106&gt;J57)*(H$3:H$106="L5")))+1,""))))</f>
        <v/>
      </c>
      <c r="C57" s="36" t="s">
        <v>498</v>
      </c>
      <c r="D57" s="36" t="str">
        <f>IF(E57="","",VLOOKUP(E57,'Coaching Points'!A:B,2,0))</f>
        <v>NS</v>
      </c>
      <c r="E57" s="36" t="s">
        <v>508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4"/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 t="shared" si="5"/>
        <v/>
      </c>
      <c r="R57" s="4">
        <f t="shared" si="6"/>
        <v>39.700000000000003</v>
      </c>
      <c r="S57" s="4">
        <f t="shared" si="7"/>
        <v>0</v>
      </c>
      <c r="T57" s="33"/>
      <c r="U57" s="40"/>
      <c r="V57" s="34"/>
      <c r="W57" s="40"/>
      <c r="X57" s="33">
        <v>39.700000000000003</v>
      </c>
      <c r="Y57" s="40">
        <v>4.3</v>
      </c>
      <c r="Z57" s="34"/>
      <c r="AA57" s="37"/>
    </row>
    <row r="58" spans="1:27" x14ac:dyDescent="0.2">
      <c r="A58" s="1" t="str" cm="1">
        <f t="array" ref="A58">IF(I58="","",IF(P58&lt;&gt;"",SUMPRODUCT((P$3:P$106&lt;&gt;"")*(G$3:G$106=G58)*(J$3:J$106&gt;J58)*(I$3:I$106="P"))+1,IF(O58&lt;&gt;"",SUMPRODUCT((O$3:O$106&lt;&gt;"")*(P$3:P$106="")*(G$3:G$106=G58)*(J$3:J$106&gt;J58)*(I$3:I$106="P"))+SUMPRODUCT((P$3:P$106&lt;&gt;"")*(G$3:G$106=G58)*(I$3:I$106="P"))+1,IF(N58&lt;&gt;"",SUMPRODUCT((N$3:N$106&lt;&gt;"")*(G$3:G$106=G58)*(J$3:J$106&gt;J58)*(I$3:I$106="P"))+1,IF(M58="P",SUMPRODUCT((O$3:O$106&lt;&gt;"")*(P$3:P$106="")*(G$3:G$106=G58)*(I$3:I$106="P"))+SUMPRODUCT((P$3:P$106&lt;&gt;"")*(G$3:G$106=G58)*(I$3:I$106="P"))+SUMPRODUCT((N$3:N$106&lt;&gt;"")*(G$3:G$106=G58)*(I$3:I$106="P"))+SUMPRODUCT((P$3:P$106="")*(O$3:O$106="")*(N$3:N$106="")*(M$3:M$106="P")*(G$3:G$106=G58)*(J$3:J$106&gt;J58)*(I$3:I$106="P"))+IF(H58="L5",SUMPRODUCT((P$3:P$106="")*(O$3:O$106="")*(N$3:N$106="")*(M$3:M$106="P")*(G$3:G$106=G58)*(J$3:J$106&lt;J58)*(H$3:H$106&lt;&gt;H58)*(I$3:I$106="P")),-1*SUMPRODUCT((P$3:P$106="")*(O$3:O$106="")*(N$3:N$106="")*(M$3:M$106="P")*(G$3:G$106=G58)*(J$3:J$106&gt;J58)*(H$3:H$106="L5")*(I$3:I$106="P")))+1,"")))))</f>
        <v/>
      </c>
      <c r="B58" s="1" t="str" cm="1">
        <f t="array" ref="B58">IF(P58&lt;&gt;"",SUMPRODUCT((P$3:P$106&lt;&gt;"")*(G$3:G$106=G58)*(J$3:J$106&gt;J58))+1,IF(O58&lt;&gt;"",SUMPRODUCT((O$3:O$106&lt;&gt;"")*(P$3:P$106="")*(G$3:G$106=G58)*(J$3:J$106&gt;J58))+SUMPRODUCT((P$3:P$106&lt;&gt;"")*(G$3:G$106=G58))+1,IF(N58&lt;&gt;"",SUMPRODUCT((N$3:N$106&lt;&gt;"")*(G$3:G$106=G58)*(J$3:J$106&gt;J58))+1,IF(M58="P",SUMPRODUCT((O$3:O$106&lt;&gt;"")*(P$3:P$106="")*(G$3:G$106=G58))+SUMPRODUCT((P$3:P$106&lt;&gt;"")*(G$3:G$106=G58))+SUMPRODUCT((N$3:N$106&lt;&gt;"")*(G$3:G$106=G58))+SUMPRODUCT((P$3:P$106="")*(O$3:O$106="")*(N$3:N$106="")*(M$3:M$106="P")*(G$3:G$106=G58)*(J$3:J$106&gt;J58))+IF(H58="L5",SUMPRODUCT((P$3:P$106="")*(O$3:O$106="")*(N$3:N$106="")*(M$3:M$106="P")*(G$3:G$106=G58)*(J$3:J$106&lt;J58)*(H$3:H$106&lt;&gt;H58)),-1*SUMPRODUCT((P$3:P$106="")*(O$3:O$106="")*(N$3:N$106="")*(M$3:M$106="P")*(G$3:G$106=G58)*(J$3:J$106&gt;J58)*(H$3:H$106="L5")))+1,""))))</f>
        <v/>
      </c>
      <c r="C58" s="36" t="s">
        <v>460</v>
      </c>
      <c r="D58" s="36" t="str">
        <f>IF(E58="","",VLOOKUP(E58,'Coaching Points'!A:B,2,0))</f>
        <v>BC</v>
      </c>
      <c r="E58" s="36" t="s">
        <v>37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4"/>
        <v>39.700003970000004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 t="shared" si="5"/>
        <v/>
      </c>
      <c r="R58" s="4">
        <f t="shared" si="6"/>
        <v>39.700000000000003</v>
      </c>
      <c r="S58" s="4">
        <f t="shared" si="7"/>
        <v>0</v>
      </c>
      <c r="T58" s="33"/>
      <c r="U58" s="40"/>
      <c r="V58" s="34"/>
      <c r="W58" s="40"/>
      <c r="X58" s="33">
        <v>39.700000000000003</v>
      </c>
      <c r="Y58" s="40">
        <v>3.9000000000000004</v>
      </c>
      <c r="Z58" s="34"/>
      <c r="AA58" s="37"/>
    </row>
    <row r="59" spans="1:27" x14ac:dyDescent="0.2">
      <c r="A59" s="1" t="str" cm="1">
        <f t="array" ref="A59">IF(I59="","",IF(P59&lt;&gt;"",SUMPRODUCT((P$3:P$106&lt;&gt;"")*(G$3:G$106=G59)*(J$3:J$106&gt;J59)*(I$3:I$106="P"))+1,IF(O59&lt;&gt;"",SUMPRODUCT((O$3:O$106&lt;&gt;"")*(P$3:P$106="")*(G$3:G$106=G59)*(J$3:J$106&gt;J59)*(I$3:I$106="P"))+SUMPRODUCT((P$3:P$106&lt;&gt;"")*(G$3:G$106=G59)*(I$3:I$106="P"))+1,IF(N59&lt;&gt;"",SUMPRODUCT((N$3:N$106&lt;&gt;"")*(G$3:G$106=G59)*(J$3:J$106&gt;J59)*(I$3:I$106="P"))+1,IF(M59="P",SUMPRODUCT((O$3:O$106&lt;&gt;"")*(P$3:P$106="")*(G$3:G$106=G59)*(I$3:I$106="P"))+SUMPRODUCT((P$3:P$106&lt;&gt;"")*(G$3:G$106=G59)*(I$3:I$106="P"))+SUMPRODUCT((N$3:N$106&lt;&gt;"")*(G$3:G$106=G59)*(I$3:I$106="P"))+SUMPRODUCT((P$3:P$106="")*(O$3:O$106="")*(N$3:N$106="")*(M$3:M$106="P")*(G$3:G$106=G59)*(J$3:J$106&gt;J59)*(I$3:I$106="P"))+IF(H59="L5",SUMPRODUCT((P$3:P$106="")*(O$3:O$106="")*(N$3:N$106="")*(M$3:M$106="P")*(G$3:G$106=G59)*(J$3:J$106&lt;J59)*(H$3:H$106&lt;&gt;H59)*(I$3:I$106="P")),-1*SUMPRODUCT((P$3:P$106="")*(O$3:O$106="")*(N$3:N$106="")*(M$3:M$106="P")*(G$3:G$106=G59)*(J$3:J$106&gt;J59)*(H$3:H$106="L5")*(I$3:I$106="P")))+1,"")))))</f>
        <v/>
      </c>
      <c r="B59" s="1" t="str" cm="1">
        <f t="array" ref="B59">IF(P59&lt;&gt;"",SUMPRODUCT((P$3:P$106&lt;&gt;"")*(G$3:G$106=G59)*(J$3:J$106&gt;J59))+1,IF(O59&lt;&gt;"",SUMPRODUCT((O$3:O$106&lt;&gt;"")*(P$3:P$106="")*(G$3:G$106=G59)*(J$3:J$106&gt;J59))+SUMPRODUCT((P$3:P$106&lt;&gt;"")*(G$3:G$106=G59))+1,IF(N59&lt;&gt;"",SUMPRODUCT((N$3:N$106&lt;&gt;"")*(G$3:G$106=G59)*(J$3:J$106&gt;J59))+1,IF(M59="P",SUMPRODUCT((O$3:O$106&lt;&gt;"")*(P$3:P$106="")*(G$3:G$106=G59))+SUMPRODUCT((P$3:P$106&lt;&gt;"")*(G$3:G$106=G59))+SUMPRODUCT((N$3:N$106&lt;&gt;"")*(G$3:G$106=G59))+SUMPRODUCT((P$3:P$106="")*(O$3:O$106="")*(N$3:N$106="")*(M$3:M$106="P")*(G$3:G$106=G59)*(J$3:J$106&gt;J59))+IF(H59="L5",SUMPRODUCT((P$3:P$106="")*(O$3:O$106="")*(N$3:N$106="")*(M$3:M$106="P")*(G$3:G$106=G59)*(J$3:J$106&lt;J59)*(H$3:H$106&lt;&gt;H59)),-1*SUMPRODUCT((P$3:P$106="")*(O$3:O$106="")*(N$3:N$106="")*(M$3:M$106="P")*(G$3:G$106=G59)*(J$3:J$106&gt;J59)*(H$3:H$106="L5")))+1,""))))</f>
        <v/>
      </c>
      <c r="C59" s="36" t="s">
        <v>247</v>
      </c>
      <c r="D59" s="36" t="str">
        <f>IF(E59="","",VLOOKUP(E59,'Coaching Points'!A:B,2,0))</f>
        <v>BC</v>
      </c>
      <c r="E59" s="36" t="s">
        <v>41</v>
      </c>
      <c r="F59" s="35">
        <v>2004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4"/>
        <v>39.200000000000003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 t="shared" si="5"/>
        <v/>
      </c>
      <c r="R59" s="4">
        <f t="shared" si="6"/>
        <v>39.200000000000003</v>
      </c>
      <c r="S59" s="4">
        <f t="shared" si="7"/>
        <v>0</v>
      </c>
      <c r="T59" s="33">
        <v>39.200000000000003</v>
      </c>
      <c r="U59" s="40">
        <v>4.3000000000000007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$106&lt;&gt;"")*(G$3:G$106=G60)*(J$3:J$106&gt;J60)*(I$3:I$106="P"))+1,IF(O60&lt;&gt;"",SUMPRODUCT((O$3:O$106&lt;&gt;"")*(P$3:P$106="")*(G$3:G$106=G60)*(J$3:J$106&gt;J60)*(I$3:I$106="P"))+SUMPRODUCT((P$3:P$106&lt;&gt;"")*(G$3:G$106=G60)*(I$3:I$106="P"))+1,IF(N60&lt;&gt;"",SUMPRODUCT((N$3:N$106&lt;&gt;"")*(G$3:G$106=G60)*(J$3:J$106&gt;J60)*(I$3:I$106="P"))+1,IF(M60="P",SUMPRODUCT((O$3:O$106&lt;&gt;"")*(P$3:P$106="")*(G$3:G$106=G60)*(I$3:I$106="P"))+SUMPRODUCT((P$3:P$106&lt;&gt;"")*(G$3:G$106=G60)*(I$3:I$106="P"))+SUMPRODUCT((N$3:N$106&lt;&gt;"")*(G$3:G$106=G60)*(I$3:I$106="P"))+SUMPRODUCT((P$3:P$106="")*(O$3:O$106="")*(N$3:N$106="")*(M$3:M$106="P")*(G$3:G$106=G60)*(J$3:J$106&gt;J60)*(I$3:I$106="P"))+IF(H60="L5",SUMPRODUCT((P$3:P$106="")*(O$3:O$106="")*(N$3:N$106="")*(M$3:M$106="P")*(G$3:G$106=G60)*(J$3:J$106&lt;J60)*(H$3:H$106&lt;&gt;H60)*(I$3:I$106="P")),-1*SUMPRODUCT((P$3:P$106="")*(O$3:O$106="")*(N$3:N$106="")*(M$3:M$106="P")*(G$3:G$106=G60)*(J$3:J$106&gt;J60)*(H$3:H$106="L5")*(I$3:I$106="P")))+1,"")))))</f>
        <v/>
      </c>
      <c r="B60" s="1" t="str" cm="1">
        <f t="array" ref="B60">IF(P60&lt;&gt;"",SUMPRODUCT((P$3:P$106&lt;&gt;"")*(G$3:G$106=G60)*(J$3:J$106&gt;J60))+1,IF(O60&lt;&gt;"",SUMPRODUCT((O$3:O$106&lt;&gt;"")*(P$3:P$106="")*(G$3:G$106=G60)*(J$3:J$106&gt;J60))+SUMPRODUCT((P$3:P$106&lt;&gt;"")*(G$3:G$106=G60))+1,IF(N60&lt;&gt;"",SUMPRODUCT((N$3:N$106&lt;&gt;"")*(G$3:G$106=G60)*(J$3:J$106&gt;J60))+1,IF(M60="P",SUMPRODUCT((O$3:O$106&lt;&gt;"")*(P$3:P$106="")*(G$3:G$106=G60))+SUMPRODUCT((P$3:P$106&lt;&gt;"")*(G$3:G$106=G60))+SUMPRODUCT((N$3:N$106&lt;&gt;"")*(G$3:G$106=G60))+SUMPRODUCT((P$3:P$106="")*(O$3:O$106="")*(N$3:N$106="")*(M$3:M$106="P")*(G$3:G$106=G60)*(J$3:J$106&gt;J60))+IF(H60="L5",SUMPRODUCT((P$3:P$106="")*(O$3:O$106="")*(N$3:N$106="")*(M$3:M$106="P")*(G$3:G$106=G60)*(J$3:J$106&lt;J60)*(H$3:H$106&lt;&gt;H60)),-1*SUMPRODUCT((P$3:P$106="")*(O$3:O$106="")*(N$3:N$106="")*(M$3:M$106="P")*(G$3:G$106=G60)*(J$3:J$106&gt;J60)*(H$3:H$106="L5")))+1,""))))</f>
        <v/>
      </c>
      <c r="C60" s="36" t="s">
        <v>298</v>
      </c>
      <c r="D60" s="36" t="str">
        <f>IF(E60="","",VLOOKUP(E60,'Coaching Points'!A:B,2,0))</f>
        <v>AB</v>
      </c>
      <c r="E60" s="36" t="s">
        <v>58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4"/>
        <v>37.700000000000003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1" t="str">
        <f t="shared" si="5"/>
        <v/>
      </c>
      <c r="R60" s="4">
        <f t="shared" si="6"/>
        <v>37.700000000000003</v>
      </c>
      <c r="S60" s="4">
        <f t="shared" si="7"/>
        <v>0</v>
      </c>
      <c r="T60" s="33">
        <v>37.700000000000003</v>
      </c>
      <c r="U60" s="40">
        <v>3.7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$106&lt;&gt;"")*(G$3:G$106=G61)*(J$3:J$106&gt;J61)*(I$3:I$106="P"))+1,IF(O61&lt;&gt;"",SUMPRODUCT((O$3:O$106&lt;&gt;"")*(P$3:P$106="")*(G$3:G$106=G61)*(J$3:J$106&gt;J61)*(I$3:I$106="P"))+SUMPRODUCT((P$3:P$106&lt;&gt;"")*(G$3:G$106=G61)*(I$3:I$106="P"))+1,IF(N61&lt;&gt;"",SUMPRODUCT((N$3:N$106&lt;&gt;"")*(G$3:G$106=G61)*(J$3:J$106&gt;J61)*(I$3:I$106="P"))+1,IF(M61="P",SUMPRODUCT((O$3:O$106&lt;&gt;"")*(P$3:P$106="")*(G$3:G$106=G61)*(I$3:I$106="P"))+SUMPRODUCT((P$3:P$106&lt;&gt;"")*(G$3:G$106=G61)*(I$3:I$106="P"))+SUMPRODUCT((N$3:N$106&lt;&gt;"")*(G$3:G$106=G61)*(I$3:I$106="P"))+SUMPRODUCT((P$3:P$106="")*(O$3:O$106="")*(N$3:N$106="")*(M$3:M$106="P")*(G$3:G$106=G61)*(J$3:J$106&gt;J61)*(I$3:I$106="P"))+IF(H61="L5",SUMPRODUCT((P$3:P$106="")*(O$3:O$106="")*(N$3:N$106="")*(M$3:M$106="P")*(G$3:G$106=G61)*(J$3:J$106&lt;J61)*(H$3:H$106&lt;&gt;H61)*(I$3:I$106="P")),-1*SUMPRODUCT((P$3:P$106="")*(O$3:O$106="")*(N$3:N$106="")*(M$3:M$106="P")*(G$3:G$106=G61)*(J$3:J$106&gt;J61)*(H$3:H$106="L5")*(I$3:I$106="P")))+1,"")))))</f>
        <v/>
      </c>
      <c r="B61" s="1" cm="1">
        <f t="array" ref="B61">IF(P61&lt;&gt;"",SUMPRODUCT((P$3:P$106&lt;&gt;"")*(G$3:G$106=G61)*(J$3:J$106&gt;J61))+1,IF(O61&lt;&gt;"",SUMPRODUCT((O$3:O$106&lt;&gt;"")*(P$3:P$106="")*(G$3:G$106=G61)*(J$3:J$106&gt;J61))+SUMPRODUCT((P$3:P$106&lt;&gt;"")*(G$3:G$106=G61))+1,IF(N61&lt;&gt;"",SUMPRODUCT((N$3:N$106&lt;&gt;"")*(G$3:G$106=G61)*(J$3:J$106&gt;J61))+1,IF(M61="P",SUMPRODUCT((O$3:O$106&lt;&gt;"")*(P$3:P$106="")*(G$3:G$106=G61))+SUMPRODUCT((P$3:P$106&lt;&gt;"")*(G$3:G$106=G61))+SUMPRODUCT((N$3:N$106&lt;&gt;"")*(G$3:G$106=G61))+SUMPRODUCT((P$3:P$106="")*(O$3:O$106="")*(N$3:N$106="")*(M$3:M$106="P")*(G$3:G$106=G61)*(J$3:J$106&gt;J61))+IF(H61="L5",SUMPRODUCT((P$3:P$106="")*(O$3:O$106="")*(N$3:N$106="")*(M$3:M$106="P")*(G$3:G$106=G61)*(J$3:J$106&lt;J61)*(H$3:H$106&lt;&gt;H61)),-1*SUMPRODUCT((P$3:P$106="")*(O$3:O$106="")*(N$3:N$106="")*(M$3:M$106="P")*(G$3:G$106=G61)*(J$3:J$106&gt;J61)*(H$3:H$106="L5")))+1,""))))</f>
        <v>1</v>
      </c>
      <c r="C61" s="36" t="s">
        <v>153</v>
      </c>
      <c r="D61" s="36" t="str">
        <f>IF(E61="","",VLOOKUP(E61,'Coaching Points'!A:B,2,0))</f>
        <v>BC</v>
      </c>
      <c r="E61" s="36" t="s">
        <v>46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4"/>
        <v>97.800204930000007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2</v>
      </c>
      <c r="Q61" s="1" t="str">
        <f t="shared" si="5"/>
        <v/>
      </c>
      <c r="R61" s="4">
        <f t="shared" si="6"/>
        <v>49.3</v>
      </c>
      <c r="S61" s="4">
        <f t="shared" si="7"/>
        <v>48.5</v>
      </c>
      <c r="T61" s="33">
        <v>48.2</v>
      </c>
      <c r="U61" s="40">
        <v>10.4</v>
      </c>
      <c r="V61" s="34">
        <v>47.8</v>
      </c>
      <c r="W61" s="40">
        <v>11.6</v>
      </c>
      <c r="X61" s="33">
        <v>49.3</v>
      </c>
      <c r="Y61" s="40">
        <v>12.4</v>
      </c>
      <c r="Z61" s="34">
        <v>48.5</v>
      </c>
      <c r="AA61" s="37">
        <v>11.6</v>
      </c>
    </row>
    <row r="62" spans="1:27" x14ac:dyDescent="0.2">
      <c r="A62" s="1" t="str" cm="1">
        <f t="array" ref="A62">IF(I62="","",IF(P62&lt;&gt;"",SUMPRODUCT((P$3:P$106&lt;&gt;"")*(G$3:G$106=G62)*(J$3:J$106&gt;J62)*(I$3:I$106="P"))+1,IF(O62&lt;&gt;"",SUMPRODUCT((O$3:O$106&lt;&gt;"")*(P$3:P$106="")*(G$3:G$106=G62)*(J$3:J$106&gt;J62)*(I$3:I$106="P"))+SUMPRODUCT((P$3:P$106&lt;&gt;"")*(G$3:G$106=G62)*(I$3:I$106="P"))+1,IF(N62&lt;&gt;"",SUMPRODUCT((N$3:N$106&lt;&gt;"")*(G$3:G$106=G62)*(J$3:J$106&gt;J62)*(I$3:I$106="P"))+1,IF(M62="P",SUMPRODUCT((O$3:O$106&lt;&gt;"")*(P$3:P$106="")*(G$3:G$106=G62)*(I$3:I$106="P"))+SUMPRODUCT((P$3:P$106&lt;&gt;"")*(G$3:G$106=G62)*(I$3:I$106="P"))+SUMPRODUCT((N$3:N$106&lt;&gt;"")*(G$3:G$106=G62)*(I$3:I$106="P"))+SUMPRODUCT((P$3:P$106="")*(O$3:O$106="")*(N$3:N$106="")*(M$3:M$106="P")*(G$3:G$106=G62)*(J$3:J$106&gt;J62)*(I$3:I$106="P"))+IF(H62="L5",SUMPRODUCT((P$3:P$106="")*(O$3:O$106="")*(N$3:N$106="")*(M$3:M$106="P")*(G$3:G$106=G62)*(J$3:J$106&lt;J62)*(H$3:H$106&lt;&gt;H62)*(I$3:I$106="P")),-1*SUMPRODUCT((P$3:P$106="")*(O$3:O$106="")*(N$3:N$106="")*(M$3:M$106="P")*(G$3:G$106=G62)*(J$3:J$106&gt;J62)*(H$3:H$106="L5")*(I$3:I$106="P")))+1,"")))))</f>
        <v/>
      </c>
      <c r="B62" s="1" cm="1">
        <f t="array" ref="B62">IF(P62&lt;&gt;"",SUMPRODUCT((P$3:P$106&lt;&gt;"")*(G$3:G$106=G62)*(J$3:J$106&gt;J62))+1,IF(O62&lt;&gt;"",SUMPRODUCT((O$3:O$106&lt;&gt;"")*(P$3:P$106="")*(G$3:G$106=G62)*(J$3:J$106&gt;J62))+SUMPRODUCT((P$3:P$106&lt;&gt;"")*(G$3:G$106=G62))+1,IF(N62&lt;&gt;"",SUMPRODUCT((N$3:N$106&lt;&gt;"")*(G$3:G$106=G62)*(J$3:J$106&gt;J62))+1,IF(M62="P",SUMPRODUCT((O$3:O$106&lt;&gt;"")*(P$3:P$106="")*(G$3:G$106=G62))+SUMPRODUCT((P$3:P$106&lt;&gt;"")*(G$3:G$106=G62))+SUMPRODUCT((N$3:N$106&lt;&gt;"")*(G$3:G$106=G62))+SUMPRODUCT((P$3:P$106="")*(O$3:O$106="")*(N$3:N$106="")*(M$3:M$106="P")*(G$3:G$106=G62)*(J$3:J$106&gt;J62))+IF(H62="L5",SUMPRODUCT((P$3:P$106="")*(O$3:O$106="")*(N$3:N$106="")*(M$3:M$106="P")*(G$3:G$106=G62)*(J$3:J$106&lt;J62)*(H$3:H$106&lt;&gt;H62)),-1*SUMPRODUCT((P$3:P$106="")*(O$3:O$106="")*(N$3:N$106="")*(M$3:M$106="P")*(G$3:G$106=G62)*(J$3:J$106&gt;J62)*(H$3:H$106="L5")))+1,""))))</f>
        <v>2</v>
      </c>
      <c r="C62" s="36" t="s">
        <v>119</v>
      </c>
      <c r="D62" s="36" t="str">
        <f>IF(E62="","",VLOOKUP(E62,'Coaching Points'!A:B,2,0))</f>
        <v>BC</v>
      </c>
      <c r="E62" s="36" t="s">
        <v>46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/>
      <c r="J62" s="4">
        <f t="shared" si="4"/>
        <v>94.700204760000005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N62" s="39">
        <v>3</v>
      </c>
      <c r="Q62" s="1" t="str">
        <f t="shared" si="5"/>
        <v/>
      </c>
      <c r="R62" s="4">
        <f t="shared" si="6"/>
        <v>47.1</v>
      </c>
      <c r="S62" s="4">
        <f t="shared" si="7"/>
        <v>47.6</v>
      </c>
      <c r="T62" s="33">
        <v>47.1</v>
      </c>
      <c r="U62" s="40">
        <v>10.4</v>
      </c>
      <c r="V62" s="34">
        <v>46.3</v>
      </c>
      <c r="W62" s="40">
        <v>11.2</v>
      </c>
      <c r="X62" s="33">
        <v>23.8</v>
      </c>
      <c r="Y62" s="40">
        <v>6</v>
      </c>
      <c r="Z62" s="34">
        <v>47.6</v>
      </c>
      <c r="AA62" s="37">
        <v>11.2</v>
      </c>
    </row>
    <row r="63" spans="1:27" x14ac:dyDescent="0.2">
      <c r="A63" s="1" t="str" cm="1">
        <f t="array" ref="A63">IF(I63="","",IF(P63&lt;&gt;"",SUMPRODUCT((P$3:P$106&lt;&gt;"")*(G$3:G$106=G63)*(J$3:J$106&gt;J63)*(I$3:I$106="P"))+1,IF(O63&lt;&gt;"",SUMPRODUCT((O$3:O$106&lt;&gt;"")*(P$3:P$106="")*(G$3:G$106=G63)*(J$3:J$106&gt;J63)*(I$3:I$106="P"))+SUMPRODUCT((P$3:P$106&lt;&gt;"")*(G$3:G$106=G63)*(I$3:I$106="P"))+1,IF(N63&lt;&gt;"",SUMPRODUCT((N$3:N$106&lt;&gt;"")*(G$3:G$106=G63)*(J$3:J$106&gt;J63)*(I$3:I$106="P"))+1,IF(M63="P",SUMPRODUCT((O$3:O$106&lt;&gt;"")*(P$3:P$106="")*(G$3:G$106=G63)*(I$3:I$106="P"))+SUMPRODUCT((P$3:P$106&lt;&gt;"")*(G$3:G$106=G63)*(I$3:I$106="P"))+SUMPRODUCT((N$3:N$106&lt;&gt;"")*(G$3:G$106=G63)*(I$3:I$106="P"))+SUMPRODUCT((P$3:P$106="")*(O$3:O$106="")*(N$3:N$106="")*(M$3:M$106="P")*(G$3:G$106=G63)*(J$3:J$106&gt;J63)*(I$3:I$106="P"))+IF(H63="L5",SUMPRODUCT((P$3:P$106="")*(O$3:O$106="")*(N$3:N$106="")*(M$3:M$106="P")*(G$3:G$106=G63)*(J$3:J$106&lt;J63)*(H$3:H$106&lt;&gt;H63)*(I$3:I$106="P")),-1*SUMPRODUCT((P$3:P$106="")*(O$3:O$106="")*(N$3:N$106="")*(M$3:M$106="P")*(G$3:G$106=G63)*(J$3:J$106&gt;J63)*(H$3:H$106="L5")*(I$3:I$106="P")))+1,"")))))</f>
        <v/>
      </c>
      <c r="B63" s="1" cm="1">
        <f t="array" ref="B63">IF(P63&lt;&gt;"",SUMPRODUCT((P$3:P$106&lt;&gt;"")*(G$3:G$106=G63)*(J$3:J$106&gt;J63))+1,IF(O63&lt;&gt;"",SUMPRODUCT((O$3:O$106&lt;&gt;"")*(P$3:P$106="")*(G$3:G$106=G63)*(J$3:J$106&gt;J63))+SUMPRODUCT((P$3:P$106&lt;&gt;"")*(G$3:G$106=G63))+1,IF(N63&lt;&gt;"",SUMPRODUCT((N$3:N$106&lt;&gt;"")*(G$3:G$106=G63)*(J$3:J$106&gt;J63))+1,IF(M63="P",SUMPRODUCT((O$3:O$106&lt;&gt;"")*(P$3:P$106="")*(G$3:G$106=G63))+SUMPRODUCT((P$3:P$106&lt;&gt;"")*(G$3:G$106=G63))+SUMPRODUCT((N$3:N$106&lt;&gt;"")*(G$3:G$106=G63))+SUMPRODUCT((P$3:P$106="")*(O$3:O$106="")*(N$3:N$106="")*(M$3:M$106="P")*(G$3:G$106=G63)*(J$3:J$106&gt;J63))+IF(H63="L5",SUMPRODUCT((P$3:P$106="")*(O$3:O$106="")*(N$3:N$106="")*(M$3:M$106="P")*(G$3:G$106=G63)*(J$3:J$106&lt;J63)*(H$3:H$106&lt;&gt;H63)),-1*SUMPRODUCT((P$3:P$106="")*(O$3:O$106="")*(N$3:N$106="")*(M$3:M$106="P")*(G$3:G$106=G63)*(J$3:J$106&gt;J63)*(H$3:H$106="L5")))+1,""))))</f>
        <v>3</v>
      </c>
      <c r="C63" s="36" t="s">
        <v>304</v>
      </c>
      <c r="D63" s="36" t="str">
        <f>IF(E63="","",VLOOKUP(E63,'Coaching Points'!A:B,2,0))</f>
        <v>BC</v>
      </c>
      <c r="E63" s="36" t="s">
        <v>57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 t="shared" si="4"/>
        <v>90.20010456</v>
      </c>
      <c r="K63" s="3" t="str">
        <f>IF(G63="Not Age Eligible","",IF(MAX(T63,V63,X63,Z63)&gt;=LOOKUP(G63,'Qualifying Scores'!$A$4:$A$7,'Qualifying Scores'!$G$4:$G$7),"P",""))</f>
        <v>P</v>
      </c>
      <c r="L63" s="3" t="str">
        <f>IF(G63="Not Age Eligible","",IF(MAX(U63,W63,Y63,AA63)&gt;=LOOKUP(G63,'Qualifying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>P</v>
      </c>
      <c r="Q63" s="1" t="str">
        <f t="shared" si="5"/>
        <v/>
      </c>
      <c r="R63" s="4">
        <f t="shared" si="6"/>
        <v>44.6</v>
      </c>
      <c r="S63" s="4">
        <f t="shared" si="7"/>
        <v>45.6</v>
      </c>
      <c r="T63" s="33">
        <v>43.5</v>
      </c>
      <c r="U63" s="40">
        <v>6.1</v>
      </c>
      <c r="V63" s="34">
        <v>42.7</v>
      </c>
      <c r="W63" s="40">
        <v>6.2</v>
      </c>
      <c r="X63" s="33">
        <v>44.6</v>
      </c>
      <c r="Y63" s="40">
        <v>8.8000000000000007</v>
      </c>
      <c r="Z63" s="34">
        <v>45.6</v>
      </c>
      <c r="AA63" s="37">
        <v>8.1999999999999993</v>
      </c>
    </row>
    <row r="64" spans="1:27" x14ac:dyDescent="0.2">
      <c r="A64" s="1" t="str" cm="1">
        <f t="array" ref="A64">IF(I64="","",IF(P64&lt;&gt;"",SUMPRODUCT((P$3:P$106&lt;&gt;"")*(G$3:G$106=G64)*(J$3:J$106&gt;J64)*(I$3:I$106="P"))+1,IF(O64&lt;&gt;"",SUMPRODUCT((O$3:O$106&lt;&gt;"")*(P$3:P$106="")*(G$3:G$106=G64)*(J$3:J$106&gt;J64)*(I$3:I$106="P"))+SUMPRODUCT((P$3:P$106&lt;&gt;"")*(G$3:G$106=G64)*(I$3:I$106="P"))+1,IF(N64&lt;&gt;"",SUMPRODUCT((N$3:N$106&lt;&gt;"")*(G$3:G$106=G64)*(J$3:J$106&gt;J64)*(I$3:I$106="P"))+1,IF(M64="P",SUMPRODUCT((O$3:O$106&lt;&gt;"")*(P$3:P$106="")*(G$3:G$106=G64)*(I$3:I$106="P"))+SUMPRODUCT((P$3:P$106&lt;&gt;"")*(G$3:G$106=G64)*(I$3:I$106="P"))+SUMPRODUCT((N$3:N$106&lt;&gt;"")*(G$3:G$106=G64)*(I$3:I$106="P"))+SUMPRODUCT((P$3:P$106="")*(O$3:O$106="")*(N$3:N$106="")*(M$3:M$106="P")*(G$3:G$106=G64)*(J$3:J$106&gt;J64)*(I$3:I$106="P"))+IF(H64="L5",SUMPRODUCT((P$3:P$106="")*(O$3:O$106="")*(N$3:N$106="")*(M$3:M$106="P")*(G$3:G$106=G64)*(J$3:J$106&lt;J64)*(H$3:H$106&lt;&gt;H64)*(I$3:I$106="P")),-1*SUMPRODUCT((P$3:P$106="")*(O$3:O$106="")*(N$3:N$106="")*(M$3:M$106="P")*(G$3:G$106=G64)*(J$3:J$106&gt;J64)*(H$3:H$106="L5")*(I$3:I$106="P")))+1,"")))))</f>
        <v/>
      </c>
      <c r="B64" s="1" t="str" cm="1">
        <f t="array" ref="B64">IF(P64&lt;&gt;"",SUMPRODUCT((P$3:P$106&lt;&gt;"")*(G$3:G$106=G64)*(J$3:J$106&gt;J64))+1,IF(O64&lt;&gt;"",SUMPRODUCT((O$3:O$106&lt;&gt;"")*(P$3:P$106="")*(G$3:G$106=G64)*(J$3:J$106&gt;J64))+SUMPRODUCT((P$3:P$106&lt;&gt;"")*(G$3:G$106=G64))+1,IF(N64&lt;&gt;"",SUMPRODUCT((N$3:N$106&lt;&gt;"")*(G$3:G$106=G64)*(J$3:J$106&gt;J64))+1,IF(M64="P",SUMPRODUCT((O$3:O$106&lt;&gt;"")*(P$3:P$106="")*(G$3:G$106=G64))+SUMPRODUCT((P$3:P$106&lt;&gt;"")*(G$3:G$106=G64))+SUMPRODUCT((N$3:N$106&lt;&gt;"")*(G$3:G$106=G64))+SUMPRODUCT((P$3:P$106="")*(O$3:O$106="")*(N$3:N$106="")*(M$3:M$106="P")*(G$3:G$106=G64)*(J$3:J$106&gt;J64))+IF(H64="L5",SUMPRODUCT((P$3:P$106="")*(O$3:O$106="")*(N$3:N$106="")*(M$3:M$106="P")*(G$3:G$106=G64)*(J$3:J$106&lt;J64)*(H$3:H$106&lt;&gt;H64)),-1*SUMPRODUCT((P$3:P$106="")*(O$3:O$106="")*(N$3:N$106="")*(M$3:M$106="P")*(G$3:G$106=G64)*(J$3:J$106&gt;J64)*(H$3:H$106="L5")))+1,""))))</f>
        <v/>
      </c>
      <c r="C64" s="36" t="s">
        <v>117</v>
      </c>
      <c r="D64" s="36" t="str">
        <f>IF(E64="","",VLOOKUP(E64,'Coaching Points'!A:B,2,0))</f>
        <v>AB</v>
      </c>
      <c r="E64" s="36" t="s">
        <v>64</v>
      </c>
      <c r="F64" s="35">
        <v>2008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/>
      <c r="J64" s="4">
        <f t="shared" si="4"/>
        <v>89.700104500000009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 t="shared" si="5"/>
        <v/>
      </c>
      <c r="R64" s="4">
        <f t="shared" si="6"/>
        <v>44.7</v>
      </c>
      <c r="S64" s="4">
        <f t="shared" si="7"/>
        <v>45</v>
      </c>
      <c r="T64" s="33">
        <v>43.5</v>
      </c>
      <c r="U64" s="40">
        <v>6.4</v>
      </c>
      <c r="V64" s="34">
        <v>41.2</v>
      </c>
      <c r="W64" s="40">
        <v>4.7</v>
      </c>
      <c r="X64" s="33">
        <v>44.7</v>
      </c>
      <c r="Y64" s="40">
        <v>7.8000000000000007</v>
      </c>
      <c r="Z64" s="34">
        <v>45</v>
      </c>
      <c r="AA64" s="37">
        <v>7.1</v>
      </c>
    </row>
    <row r="65" spans="1:27" x14ac:dyDescent="0.2">
      <c r="A65" s="1" t="str" cm="1">
        <f t="array" ref="A65">IF(I65="","",IF(P65&lt;&gt;"",SUMPRODUCT((P$3:P$106&lt;&gt;"")*(G$3:G$106=G65)*(J$3:J$106&gt;J65)*(I$3:I$106="P"))+1,IF(O65&lt;&gt;"",SUMPRODUCT((O$3:O$106&lt;&gt;"")*(P$3:P$106="")*(G$3:G$106=G65)*(J$3:J$106&gt;J65)*(I$3:I$106="P"))+SUMPRODUCT((P$3:P$106&lt;&gt;"")*(G$3:G$106=G65)*(I$3:I$106="P"))+1,IF(N65&lt;&gt;"",SUMPRODUCT((N$3:N$106&lt;&gt;"")*(G$3:G$106=G65)*(J$3:J$106&gt;J65)*(I$3:I$106="P"))+1,IF(M65="P",SUMPRODUCT((O$3:O$106&lt;&gt;"")*(P$3:P$106="")*(G$3:G$106=G65)*(I$3:I$106="P"))+SUMPRODUCT((P$3:P$106&lt;&gt;"")*(G$3:G$106=G65)*(I$3:I$106="P"))+SUMPRODUCT((N$3:N$106&lt;&gt;"")*(G$3:G$106=G65)*(I$3:I$106="P"))+SUMPRODUCT((P$3:P$106="")*(O$3:O$106="")*(N$3:N$106="")*(M$3:M$106="P")*(G$3:G$106=G65)*(J$3:J$106&gt;J65)*(I$3:I$106="P"))+IF(H65="L5",SUMPRODUCT((P$3:P$106="")*(O$3:O$106="")*(N$3:N$106="")*(M$3:M$106="P")*(G$3:G$106=G65)*(J$3:J$106&lt;J65)*(H$3:H$106&lt;&gt;H65)*(I$3:I$106="P")),-1*SUMPRODUCT((P$3:P$106="")*(O$3:O$106="")*(N$3:N$106="")*(M$3:M$106="P")*(G$3:G$106=G65)*(J$3:J$106&gt;J65)*(H$3:H$106="L5")*(I$3:I$106="P")))+1,"")))))</f>
        <v/>
      </c>
      <c r="B65" s="1" t="str" cm="1">
        <f t="array" ref="B65">IF(P65&lt;&gt;"",SUMPRODUCT((P$3:P$106&lt;&gt;"")*(G$3:G$106=G65)*(J$3:J$106&gt;J65))+1,IF(O65&lt;&gt;"",SUMPRODUCT((O$3:O$106&lt;&gt;"")*(P$3:P$106="")*(G$3:G$106=G65)*(J$3:J$106&gt;J65))+SUMPRODUCT((P$3:P$106&lt;&gt;"")*(G$3:G$106=G65))+1,IF(N65&lt;&gt;"",SUMPRODUCT((N$3:N$106&lt;&gt;"")*(G$3:G$106=G65)*(J$3:J$106&gt;J65))+1,IF(M65="P",SUMPRODUCT((O$3:O$106&lt;&gt;"")*(P$3:P$106="")*(G$3:G$106=G65))+SUMPRODUCT((P$3:P$106&lt;&gt;"")*(G$3:G$106=G65))+SUMPRODUCT((N$3:N$106&lt;&gt;"")*(G$3:G$106=G65))+SUMPRODUCT((P$3:P$106="")*(O$3:O$106="")*(N$3:N$106="")*(M$3:M$106="P")*(G$3:G$106=G65)*(J$3:J$106&gt;J65))+IF(H65="L5",SUMPRODUCT((P$3:P$106="")*(O$3:O$106="")*(N$3:N$106="")*(M$3:M$106="P")*(G$3:G$106=G65)*(J$3:J$106&lt;J65)*(H$3:H$106&lt;&gt;H65)),-1*SUMPRODUCT((P$3:P$106="")*(O$3:O$106="")*(N$3:N$106="")*(M$3:M$106="P")*(G$3:G$106=G65)*(J$3:J$106&gt;J65)*(H$3:H$106="L5")))+1,""))))</f>
        <v/>
      </c>
      <c r="C65" s="36" t="s">
        <v>120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4"/>
        <v>89.400104520000014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 t="shared" si="5"/>
        <v/>
      </c>
      <c r="R65" s="4">
        <f t="shared" si="6"/>
        <v>45.2</v>
      </c>
      <c r="S65" s="4">
        <f t="shared" si="7"/>
        <v>44.2</v>
      </c>
      <c r="T65" s="33">
        <v>44.1</v>
      </c>
      <c r="U65" s="40">
        <v>8.4</v>
      </c>
      <c r="V65" s="34">
        <v>44.2</v>
      </c>
      <c r="W65" s="40">
        <v>8.1000000000000014</v>
      </c>
      <c r="X65" s="33">
        <v>45.2</v>
      </c>
      <c r="Y65" s="40">
        <v>10</v>
      </c>
      <c r="Z65" s="34">
        <v>42.2</v>
      </c>
      <c r="AA65" s="37">
        <v>6.6999999999999993</v>
      </c>
    </row>
    <row r="66" spans="1:27" x14ac:dyDescent="0.2">
      <c r="A66" s="1" t="str" cm="1">
        <f t="array" ref="A66">IF(I66="","",IF(P66&lt;&gt;"",SUMPRODUCT((P$3:P$106&lt;&gt;"")*(G$3:G$106=G66)*(J$3:J$106&gt;J66)*(I$3:I$106="P"))+1,IF(O66&lt;&gt;"",SUMPRODUCT((O$3:O$106&lt;&gt;"")*(P$3:P$106="")*(G$3:G$106=G66)*(J$3:J$106&gt;J66)*(I$3:I$106="P"))+SUMPRODUCT((P$3:P$106&lt;&gt;"")*(G$3:G$106=G66)*(I$3:I$106="P"))+1,IF(N66&lt;&gt;"",SUMPRODUCT((N$3:N$106&lt;&gt;"")*(G$3:G$106=G66)*(J$3:J$106&gt;J66)*(I$3:I$106="P"))+1,IF(M66="P",SUMPRODUCT((O$3:O$106&lt;&gt;"")*(P$3:P$106="")*(G$3:G$106=G66)*(I$3:I$106="P"))+SUMPRODUCT((P$3:P$106&lt;&gt;"")*(G$3:G$106=G66)*(I$3:I$106="P"))+SUMPRODUCT((N$3:N$106&lt;&gt;"")*(G$3:G$106=G66)*(I$3:I$106="P"))+SUMPRODUCT((P$3:P$106="")*(O$3:O$106="")*(N$3:N$106="")*(M$3:M$106="P")*(G$3:G$106=G66)*(J$3:J$106&gt;J66)*(I$3:I$106="P"))+IF(H66="L5",SUMPRODUCT((P$3:P$106="")*(O$3:O$106="")*(N$3:N$106="")*(M$3:M$106="P")*(G$3:G$106=G66)*(J$3:J$106&lt;J66)*(H$3:H$106&lt;&gt;H66)*(I$3:I$106="P")),-1*SUMPRODUCT((P$3:P$106="")*(O$3:O$106="")*(N$3:N$106="")*(M$3:M$106="P")*(G$3:G$106=G66)*(J$3:J$106&gt;J66)*(H$3:H$106="L5")*(I$3:I$106="P")))+1,"")))))</f>
        <v/>
      </c>
      <c r="B66" s="1" t="str" cm="1">
        <f t="array" ref="B66">IF(P66&lt;&gt;"",SUMPRODUCT((P$3:P$106&lt;&gt;"")*(G$3:G$106=G66)*(J$3:J$106&gt;J66))+1,IF(O66&lt;&gt;"",SUMPRODUCT((O$3:O$106&lt;&gt;"")*(P$3:P$106="")*(G$3:G$106=G66)*(J$3:J$106&gt;J66))+SUMPRODUCT((P$3:P$106&lt;&gt;"")*(G$3:G$106=G66))+1,IF(N66&lt;&gt;"",SUMPRODUCT((N$3:N$106&lt;&gt;"")*(G$3:G$106=G66)*(J$3:J$106&gt;J66))+1,IF(M66="P",SUMPRODUCT((O$3:O$106&lt;&gt;"")*(P$3:P$106="")*(G$3:G$106=G66))+SUMPRODUCT((P$3:P$106&lt;&gt;"")*(G$3:G$106=G66))+SUMPRODUCT((N$3:N$106&lt;&gt;"")*(G$3:G$106=G66))+SUMPRODUCT((P$3:P$106="")*(O$3:O$106="")*(N$3:N$106="")*(M$3:M$106="P")*(G$3:G$106=G66)*(J$3:J$106&gt;J66))+IF(H66="L5",SUMPRODUCT((P$3:P$106="")*(O$3:O$106="")*(N$3:N$106="")*(M$3:M$106="P")*(G$3:G$106=G66)*(J$3:J$106&lt;J66)*(H$3:H$106&lt;&gt;H66)),-1*SUMPRODUCT((P$3:P$106="")*(O$3:O$106="")*(N$3:N$106="")*(M$3:M$106="P")*(G$3:G$106=G66)*(J$3:J$106&gt;J66)*(H$3:H$106="L5")))+1,""))))</f>
        <v/>
      </c>
      <c r="C66" s="36" t="s">
        <v>306</v>
      </c>
      <c r="D66" s="36" t="str">
        <f>IF(E66="","",VLOOKUP(E66,'Coaching Points'!A:B,2,0))</f>
        <v>AB</v>
      </c>
      <c r="E66" s="36" t="s">
        <v>40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66</v>
      </c>
      <c r="I66" s="43"/>
      <c r="J66" s="4">
        <f t="shared" si="4"/>
        <v>88.200004419999999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 t="shared" si="5"/>
        <v/>
      </c>
      <c r="R66" s="4">
        <f t="shared" si="6"/>
        <v>44.2</v>
      </c>
      <c r="S66" s="4">
        <f t="shared" si="7"/>
        <v>44</v>
      </c>
      <c r="T66" s="33">
        <v>41.6</v>
      </c>
      <c r="U66" s="40">
        <v>4.8000000000000007</v>
      </c>
      <c r="V66" s="34">
        <v>41</v>
      </c>
      <c r="W66" s="40">
        <v>5.6999999999999993</v>
      </c>
      <c r="X66" s="33">
        <v>44.2</v>
      </c>
      <c r="Y66" s="40">
        <v>8</v>
      </c>
      <c r="Z66" s="34">
        <v>44</v>
      </c>
      <c r="AA66" s="37">
        <v>6.5</v>
      </c>
    </row>
    <row r="67" spans="1:27" x14ac:dyDescent="0.2">
      <c r="A67" s="1" t="str" cm="1">
        <f t="array" ref="A67">IF(I67="","",IF(P67&lt;&gt;"",SUMPRODUCT((P$3:P$106&lt;&gt;"")*(G$3:G$106=G67)*(J$3:J$106&gt;J67)*(I$3:I$106="P"))+1,IF(O67&lt;&gt;"",SUMPRODUCT((O$3:O$106&lt;&gt;"")*(P$3:P$106="")*(G$3:G$106=G67)*(J$3:J$106&gt;J67)*(I$3:I$106="P"))+SUMPRODUCT((P$3:P$106&lt;&gt;"")*(G$3:G$106=G67)*(I$3:I$106="P"))+1,IF(N67&lt;&gt;"",SUMPRODUCT((N$3:N$106&lt;&gt;"")*(G$3:G$106=G67)*(J$3:J$106&gt;J67)*(I$3:I$106="P"))+1,IF(M67="P",SUMPRODUCT((O$3:O$106&lt;&gt;"")*(P$3:P$106="")*(G$3:G$106=G67)*(I$3:I$106="P"))+SUMPRODUCT((P$3:P$106&lt;&gt;"")*(G$3:G$106=G67)*(I$3:I$106="P"))+SUMPRODUCT((N$3:N$106&lt;&gt;"")*(G$3:G$106=G67)*(I$3:I$106="P"))+SUMPRODUCT((P$3:P$106="")*(O$3:O$106="")*(N$3:N$106="")*(M$3:M$106="P")*(G$3:G$106=G67)*(J$3:J$106&gt;J67)*(I$3:I$106="P"))+IF(H67="L5",SUMPRODUCT((P$3:P$106="")*(O$3:O$106="")*(N$3:N$106="")*(M$3:M$106="P")*(G$3:G$106=G67)*(J$3:J$106&lt;J67)*(H$3:H$106&lt;&gt;H67)*(I$3:I$106="P")),-1*SUMPRODUCT((P$3:P$106="")*(O$3:O$106="")*(N$3:N$106="")*(M$3:M$106="P")*(G$3:G$106=G67)*(J$3:J$106&gt;J67)*(H$3:H$106="L5")*(I$3:I$106="P")))+1,"")))))</f>
        <v/>
      </c>
      <c r="B67" s="1" t="str" cm="1">
        <f t="array" ref="B67">IF(P67&lt;&gt;"",SUMPRODUCT((P$3:P$106&lt;&gt;"")*(G$3:G$106=G67)*(J$3:J$106&gt;J67))+1,IF(O67&lt;&gt;"",SUMPRODUCT((O$3:O$106&lt;&gt;"")*(P$3:P$106="")*(G$3:G$106=G67)*(J$3:J$106&gt;J67))+SUMPRODUCT((P$3:P$106&lt;&gt;"")*(G$3:G$106=G67))+1,IF(N67&lt;&gt;"",SUMPRODUCT((N$3:N$106&lt;&gt;"")*(G$3:G$106=G67)*(J$3:J$106&gt;J67))+1,IF(M67="P",SUMPRODUCT((O$3:O$106&lt;&gt;"")*(P$3:P$106="")*(G$3:G$106=G67))+SUMPRODUCT((P$3:P$106&lt;&gt;"")*(G$3:G$106=G67))+SUMPRODUCT((N$3:N$106&lt;&gt;"")*(G$3:G$106=G67))+SUMPRODUCT((P$3:P$106="")*(O$3:O$106="")*(N$3:N$106="")*(M$3:M$106="P")*(G$3:G$106=G67)*(J$3:J$106&gt;J67))+IF(H67="L5",SUMPRODUCT((P$3:P$106="")*(O$3:O$106="")*(N$3:N$106="")*(M$3:M$106="P")*(G$3:G$106=G67)*(J$3:J$106&lt;J67)*(H$3:H$106&lt;&gt;H67)),-1*SUMPRODUCT((P$3:P$106="")*(O$3:O$106="")*(N$3:N$106="")*(M$3:M$106="P")*(G$3:G$106=G67)*(J$3:J$106&gt;J67)*(H$3:H$106="L5")))+1,""))))</f>
        <v/>
      </c>
      <c r="C67" s="36" t="s">
        <v>152</v>
      </c>
      <c r="D67" s="36" t="s">
        <v>196</v>
      </c>
      <c r="E67" s="36" t="s">
        <v>45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98" si="8">R67+S67+IF(OR(H67="Junior",H67="Senior"),0.0002,IF(OR(H67="L7",H67="L6"),0.0001,0))+MAX(X67,Z67)*0.0000001</f>
        <v>88.100004429999998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 t="shared" ref="Q67:Q98" si="9">IF(A67&lt;5,IF(_xlfn.MAXIFS(A:A,G:G,G67)&gt;3,5-A67,_xlfn.MAXIFS(A:A,G:G,G67)+1-A67),"")</f>
        <v/>
      </c>
      <c r="R67" s="4">
        <f t="shared" ref="R67:R98" si="10">MAX(T67,X67)</f>
        <v>43.8</v>
      </c>
      <c r="S67" s="4">
        <f t="shared" ref="S67:S98" si="11">IF(R67=T67,MAX(V67,X67,Z67),IF(R67=X67,MAX(T67,V67,Z67),0))</f>
        <v>44.3</v>
      </c>
      <c r="T67" s="33">
        <v>43.3</v>
      </c>
      <c r="U67" s="40">
        <v>6.3000000000000007</v>
      </c>
      <c r="V67" s="34">
        <v>37.9</v>
      </c>
      <c r="W67" s="40">
        <v>4</v>
      </c>
      <c r="X67" s="33">
        <v>43.8</v>
      </c>
      <c r="Y67" s="40">
        <v>6.3000000000000007</v>
      </c>
      <c r="Z67" s="34">
        <v>44.3</v>
      </c>
      <c r="AA67" s="37">
        <v>6.8</v>
      </c>
    </row>
    <row r="68" spans="1:27" x14ac:dyDescent="0.2">
      <c r="A68" s="1" t="str" cm="1">
        <f t="array" ref="A68">IF(I68="","",IF(P68&lt;&gt;"",SUMPRODUCT((P$3:P$106&lt;&gt;"")*(G$3:G$106=G68)*(J$3:J$106&gt;J68)*(I$3:I$106="P"))+1,IF(O68&lt;&gt;"",SUMPRODUCT((O$3:O$106&lt;&gt;"")*(P$3:P$106="")*(G$3:G$106=G68)*(J$3:J$106&gt;J68)*(I$3:I$106="P"))+SUMPRODUCT((P$3:P$106&lt;&gt;"")*(G$3:G$106=G68)*(I$3:I$106="P"))+1,IF(N68&lt;&gt;"",SUMPRODUCT((N$3:N$106&lt;&gt;"")*(G$3:G$106=G68)*(J$3:J$106&gt;J68)*(I$3:I$106="P"))+1,IF(M68="P",SUMPRODUCT((O$3:O$106&lt;&gt;"")*(P$3:P$106="")*(G$3:G$106=G68)*(I$3:I$106="P"))+SUMPRODUCT((P$3:P$106&lt;&gt;"")*(G$3:G$106=G68)*(I$3:I$106="P"))+SUMPRODUCT((N$3:N$106&lt;&gt;"")*(G$3:G$106=G68)*(I$3:I$106="P"))+SUMPRODUCT((P$3:P$106="")*(O$3:O$106="")*(N$3:N$106="")*(M$3:M$106="P")*(G$3:G$106=G68)*(J$3:J$106&gt;J68)*(I$3:I$106="P"))+IF(H68="L5",SUMPRODUCT((P$3:P$106="")*(O$3:O$106="")*(N$3:N$106="")*(M$3:M$106="P")*(G$3:G$106=G68)*(J$3:J$106&lt;J68)*(H$3:H$106&lt;&gt;H68)*(I$3:I$106="P")),-1*SUMPRODUCT((P$3:P$106="")*(O$3:O$106="")*(N$3:N$106="")*(M$3:M$106="P")*(G$3:G$106=G68)*(J$3:J$106&gt;J68)*(H$3:H$106="L5")*(I$3:I$106="P")))+1,"")))))</f>
        <v/>
      </c>
      <c r="B68" s="1" t="str" cm="1">
        <f t="array" ref="B68">IF(P68&lt;&gt;"",SUMPRODUCT((P$3:P$106&lt;&gt;"")*(G$3:G$106=G68)*(J$3:J$106&gt;J68))+1,IF(O68&lt;&gt;"",SUMPRODUCT((O$3:O$106&lt;&gt;"")*(P$3:P$106="")*(G$3:G$106=G68)*(J$3:J$106&gt;J68))+SUMPRODUCT((P$3:P$106&lt;&gt;"")*(G$3:G$106=G68))+1,IF(N68&lt;&gt;"",SUMPRODUCT((N$3:N$106&lt;&gt;"")*(G$3:G$106=G68)*(J$3:J$106&gt;J68))+1,IF(M68="P",SUMPRODUCT((O$3:O$106&lt;&gt;"")*(P$3:P$106="")*(G$3:G$106=G68))+SUMPRODUCT((P$3:P$106&lt;&gt;"")*(G$3:G$106=G68))+SUMPRODUCT((N$3:N$106&lt;&gt;"")*(G$3:G$106=G68))+SUMPRODUCT((P$3:P$106="")*(O$3:O$106="")*(N$3:N$106="")*(M$3:M$106="P")*(G$3:G$106=G68)*(J$3:J$106&gt;J68))+IF(H68="L5",SUMPRODUCT((P$3:P$106="")*(O$3:O$106="")*(N$3:N$106="")*(M$3:M$106="P")*(G$3:G$106=G68)*(J$3:J$106&lt;J68)*(H$3:H$106&lt;&gt;H68)),-1*SUMPRODUCT((P$3:P$106="")*(O$3:O$106="")*(N$3:N$106="")*(M$3:M$106="P")*(G$3:G$106=G68)*(J$3:J$106&gt;J68)*(H$3:H$106="L5")))+1,""))))</f>
        <v/>
      </c>
      <c r="C68" s="36" t="s">
        <v>569</v>
      </c>
      <c r="D68" s="36" t="str">
        <f>IF(E68="","",VLOOKUP(E68,'Coaching Points'!A:B,2,0))</f>
        <v>AB</v>
      </c>
      <c r="E68" s="36" t="s">
        <v>312</v>
      </c>
      <c r="F68" s="35">
        <v>2007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8"/>
        <v>87.400004370000005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 t="shared" si="9"/>
        <v/>
      </c>
      <c r="R68" s="4">
        <f t="shared" si="10"/>
        <v>43.7</v>
      </c>
      <c r="S68" s="4">
        <f t="shared" si="11"/>
        <v>43.7</v>
      </c>
      <c r="T68" s="33"/>
      <c r="U68" s="40"/>
      <c r="V68" s="34"/>
      <c r="W68" s="40"/>
      <c r="X68" s="33">
        <v>43.7</v>
      </c>
      <c r="Y68" s="40">
        <v>6.3000000000000007</v>
      </c>
      <c r="Z68" s="34">
        <v>43.7</v>
      </c>
      <c r="AA68" s="37">
        <v>6.6999999999999993</v>
      </c>
    </row>
    <row r="69" spans="1:27" x14ac:dyDescent="0.2">
      <c r="A69" s="1" t="str" cm="1">
        <f t="array" ref="A69">IF(I69="","",IF(P69&lt;&gt;"",SUMPRODUCT((P$3:P$106&lt;&gt;"")*(G$3:G$106=G69)*(J$3:J$106&gt;J69)*(I$3:I$106="P"))+1,IF(O69&lt;&gt;"",SUMPRODUCT((O$3:O$106&lt;&gt;"")*(P$3:P$106="")*(G$3:G$106=G69)*(J$3:J$106&gt;J69)*(I$3:I$106="P"))+SUMPRODUCT((P$3:P$106&lt;&gt;"")*(G$3:G$106=G69)*(I$3:I$106="P"))+1,IF(N69&lt;&gt;"",SUMPRODUCT((N$3:N$106&lt;&gt;"")*(G$3:G$106=G69)*(J$3:J$106&gt;J69)*(I$3:I$106="P"))+1,IF(M69="P",SUMPRODUCT((O$3:O$106&lt;&gt;"")*(P$3:P$106="")*(G$3:G$106=G69)*(I$3:I$106="P"))+SUMPRODUCT((P$3:P$106&lt;&gt;"")*(G$3:G$106=G69)*(I$3:I$106="P"))+SUMPRODUCT((N$3:N$106&lt;&gt;"")*(G$3:G$106=G69)*(I$3:I$106="P"))+SUMPRODUCT((P$3:P$106="")*(O$3:O$106="")*(N$3:N$106="")*(M$3:M$106="P")*(G$3:G$106=G69)*(J$3:J$106&gt;J69)*(I$3:I$106="P"))+IF(H69="L5",SUMPRODUCT((P$3:P$106="")*(O$3:O$106="")*(N$3:N$106="")*(M$3:M$106="P")*(G$3:G$106=G69)*(J$3:J$106&lt;J69)*(H$3:H$106&lt;&gt;H69)*(I$3:I$106="P")),-1*SUMPRODUCT((P$3:P$106="")*(O$3:O$106="")*(N$3:N$106="")*(M$3:M$106="P")*(G$3:G$106=G69)*(J$3:J$106&gt;J69)*(H$3:H$106="L5")*(I$3:I$106="P")))+1,"")))))</f>
        <v/>
      </c>
      <c r="B69" s="1" t="str" cm="1">
        <f t="array" ref="B69">IF(P69&lt;&gt;"",SUMPRODUCT((P$3:P$106&lt;&gt;"")*(G$3:G$106=G69)*(J$3:J$106&gt;J69))+1,IF(O69&lt;&gt;"",SUMPRODUCT((O$3:O$106&lt;&gt;"")*(P$3:P$106="")*(G$3:G$106=G69)*(J$3:J$106&gt;J69))+SUMPRODUCT((P$3:P$106&lt;&gt;"")*(G$3:G$106=G69))+1,IF(N69&lt;&gt;"",SUMPRODUCT((N$3:N$106&lt;&gt;"")*(G$3:G$106=G69)*(J$3:J$106&gt;J69))+1,IF(M69="P",SUMPRODUCT((O$3:O$106&lt;&gt;"")*(P$3:P$106="")*(G$3:G$106=G69))+SUMPRODUCT((P$3:P$106&lt;&gt;"")*(G$3:G$106=G69))+SUMPRODUCT((N$3:N$106&lt;&gt;"")*(G$3:G$106=G69))+SUMPRODUCT((P$3:P$106="")*(O$3:O$106="")*(N$3:N$106="")*(M$3:M$106="P")*(G$3:G$106=G69)*(J$3:J$106&gt;J69))+IF(H69="L5",SUMPRODUCT((P$3:P$106="")*(O$3:O$106="")*(N$3:N$106="")*(M$3:M$106="P")*(G$3:G$106=G69)*(J$3:J$106&lt;J69)*(H$3:H$106&lt;&gt;H69)),-1*SUMPRODUCT((P$3:P$106="")*(O$3:O$106="")*(N$3:N$106="")*(M$3:M$106="P")*(G$3:G$106=G69)*(J$3:J$106&gt;J69)*(H$3:H$106="L5")))+1,""))))</f>
        <v/>
      </c>
      <c r="C69" s="36" t="s">
        <v>466</v>
      </c>
      <c r="D69" s="36" t="str">
        <f>IF(E69="","",VLOOKUP(E69,'Coaching Points'!A:B,2,0))</f>
        <v>QC</v>
      </c>
      <c r="E69" s="36" t="s">
        <v>96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8"/>
        <v>87.300004370000011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 t="shared" si="9"/>
        <v/>
      </c>
      <c r="R69" s="4">
        <f t="shared" si="10"/>
        <v>43.6</v>
      </c>
      <c r="S69" s="4">
        <f t="shared" si="11"/>
        <v>43.7</v>
      </c>
      <c r="T69" s="33"/>
      <c r="U69" s="40"/>
      <c r="V69" s="34"/>
      <c r="W69" s="40"/>
      <c r="X69" s="33">
        <v>43.6</v>
      </c>
      <c r="Y69" s="40">
        <v>6</v>
      </c>
      <c r="Z69" s="34">
        <v>43.7</v>
      </c>
      <c r="AA69" s="37">
        <v>5.0999999999999996</v>
      </c>
    </row>
    <row r="70" spans="1:27" x14ac:dyDescent="0.2">
      <c r="A70" s="1" t="str" cm="1">
        <f t="array" ref="A70">IF(I70="","",IF(P70&lt;&gt;"",SUMPRODUCT((P$3:P$106&lt;&gt;"")*(G$3:G$106=G70)*(J$3:J$106&gt;J70)*(I$3:I$106="P"))+1,IF(O70&lt;&gt;"",SUMPRODUCT((O$3:O$106&lt;&gt;"")*(P$3:P$106="")*(G$3:G$106=G70)*(J$3:J$106&gt;J70)*(I$3:I$106="P"))+SUMPRODUCT((P$3:P$106&lt;&gt;"")*(G$3:G$106=G70)*(I$3:I$106="P"))+1,IF(N70&lt;&gt;"",SUMPRODUCT((N$3:N$106&lt;&gt;"")*(G$3:G$106=G70)*(J$3:J$106&gt;J70)*(I$3:I$106="P"))+1,IF(M70="P",SUMPRODUCT((O$3:O$106&lt;&gt;"")*(P$3:P$106="")*(G$3:G$106=G70)*(I$3:I$106="P"))+SUMPRODUCT((P$3:P$106&lt;&gt;"")*(G$3:G$106=G70)*(I$3:I$106="P"))+SUMPRODUCT((N$3:N$106&lt;&gt;"")*(G$3:G$106=G70)*(I$3:I$106="P"))+SUMPRODUCT((P$3:P$106="")*(O$3:O$106="")*(N$3:N$106="")*(M$3:M$106="P")*(G$3:G$106=G70)*(J$3:J$106&gt;J70)*(I$3:I$106="P"))+IF(H70="L5",SUMPRODUCT((P$3:P$106="")*(O$3:O$106="")*(N$3:N$106="")*(M$3:M$106="P")*(G$3:G$106=G70)*(J$3:J$106&lt;J70)*(H$3:H$106&lt;&gt;H70)*(I$3:I$106="P")),-1*SUMPRODUCT((P$3:P$106="")*(O$3:O$106="")*(N$3:N$106="")*(M$3:M$106="P")*(G$3:G$106=G70)*(J$3:J$106&gt;J70)*(H$3:H$106="L5")*(I$3:I$106="P")))+1,"")))))</f>
        <v/>
      </c>
      <c r="B70" s="1" t="str" cm="1">
        <f t="array" ref="B70">IF(P70&lt;&gt;"",SUMPRODUCT((P$3:P$106&lt;&gt;"")*(G$3:G$106=G70)*(J$3:J$106&gt;J70))+1,IF(O70&lt;&gt;"",SUMPRODUCT((O$3:O$106&lt;&gt;"")*(P$3:P$106="")*(G$3:G$106=G70)*(J$3:J$106&gt;J70))+SUMPRODUCT((P$3:P$106&lt;&gt;"")*(G$3:G$106=G70))+1,IF(N70&lt;&gt;"",SUMPRODUCT((N$3:N$106&lt;&gt;"")*(G$3:G$106=G70)*(J$3:J$106&gt;J70))+1,IF(M70="P",SUMPRODUCT((O$3:O$106&lt;&gt;"")*(P$3:P$106="")*(G$3:G$106=G70))+SUMPRODUCT((P$3:P$106&lt;&gt;"")*(G$3:G$106=G70))+SUMPRODUCT((N$3:N$106&lt;&gt;"")*(G$3:G$106=G70))+SUMPRODUCT((P$3:P$106="")*(O$3:O$106="")*(N$3:N$106="")*(M$3:M$106="P")*(G$3:G$106=G70)*(J$3:J$106&gt;J70))+IF(H70="L5",SUMPRODUCT((P$3:P$106="")*(O$3:O$106="")*(N$3:N$106="")*(M$3:M$106="P")*(G$3:G$106=G70)*(J$3:J$106&lt;J70)*(H$3:H$106&lt;&gt;H70)),-1*SUMPRODUCT((P$3:P$106="")*(O$3:O$106="")*(N$3:N$106="")*(M$3:M$106="P")*(G$3:G$106=G70)*(J$3:J$106&gt;J70)*(H$3:H$106="L5")))+1,""))))</f>
        <v/>
      </c>
      <c r="C70" s="36" t="s">
        <v>236</v>
      </c>
      <c r="D70" s="36" t="str">
        <f>IF(E70="","",VLOOKUP(E70,'Coaching Points'!A:B,2,0))</f>
        <v>AB</v>
      </c>
      <c r="E70" s="36" t="s">
        <v>58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8"/>
        <v>87.100003849999993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 t="shared" si="9"/>
        <v/>
      </c>
      <c r="R70" s="4">
        <f t="shared" si="10"/>
        <v>43.1</v>
      </c>
      <c r="S70" s="4">
        <f t="shared" si="11"/>
        <v>44</v>
      </c>
      <c r="T70" s="33">
        <v>43.1</v>
      </c>
      <c r="U70" s="40">
        <v>6.8</v>
      </c>
      <c r="V70" s="34">
        <v>44</v>
      </c>
      <c r="W70" s="40">
        <v>6.6</v>
      </c>
      <c r="X70" s="33">
        <v>38.5</v>
      </c>
      <c r="Y70" s="40">
        <v>3.5999999999999996</v>
      </c>
      <c r="Z70" s="34"/>
      <c r="AA70" s="37"/>
    </row>
    <row r="71" spans="1:27" x14ac:dyDescent="0.2">
      <c r="A71" s="1" t="str" cm="1">
        <f t="array" ref="A71">IF(I71="","",IF(P71&lt;&gt;"",SUMPRODUCT((P$3:P$106&lt;&gt;"")*(G$3:G$106=G71)*(J$3:J$106&gt;J71)*(I$3:I$106="P"))+1,IF(O71&lt;&gt;"",SUMPRODUCT((O$3:O$106&lt;&gt;"")*(P$3:P$106="")*(G$3:G$106=G71)*(J$3:J$106&gt;J71)*(I$3:I$106="P"))+SUMPRODUCT((P$3:P$106&lt;&gt;"")*(G$3:G$106=G71)*(I$3:I$106="P"))+1,IF(N71&lt;&gt;"",SUMPRODUCT((N$3:N$106&lt;&gt;"")*(G$3:G$106=G71)*(J$3:J$106&gt;J71)*(I$3:I$106="P"))+1,IF(M71="P",SUMPRODUCT((O$3:O$106&lt;&gt;"")*(P$3:P$106="")*(G$3:G$106=G71)*(I$3:I$106="P"))+SUMPRODUCT((P$3:P$106&lt;&gt;"")*(G$3:G$106=G71)*(I$3:I$106="P"))+SUMPRODUCT((N$3:N$106&lt;&gt;"")*(G$3:G$106=G71)*(I$3:I$106="P"))+SUMPRODUCT((P$3:P$106="")*(O$3:O$106="")*(N$3:N$106="")*(M$3:M$106="P")*(G$3:G$106=G71)*(J$3:J$106&gt;J71)*(I$3:I$106="P"))+IF(H71="L5",SUMPRODUCT((P$3:P$106="")*(O$3:O$106="")*(N$3:N$106="")*(M$3:M$106="P")*(G$3:G$106=G71)*(J$3:J$106&lt;J71)*(H$3:H$106&lt;&gt;H71)*(I$3:I$106="P")),-1*SUMPRODUCT((P$3:P$106="")*(O$3:O$106="")*(N$3:N$106="")*(M$3:M$106="P")*(G$3:G$106=G71)*(J$3:J$106&gt;J71)*(H$3:H$106="L5")*(I$3:I$106="P")))+1,"")))))</f>
        <v/>
      </c>
      <c r="B71" s="1" t="str" cm="1">
        <f t="array" ref="B71">IF(P71&lt;&gt;"",SUMPRODUCT((P$3:P$106&lt;&gt;"")*(G$3:G$106=G71)*(J$3:J$106&gt;J71))+1,IF(O71&lt;&gt;"",SUMPRODUCT((O$3:O$106&lt;&gt;"")*(P$3:P$106="")*(G$3:G$106=G71)*(J$3:J$106&gt;J71))+SUMPRODUCT((P$3:P$106&lt;&gt;"")*(G$3:G$106=G71))+1,IF(N71&lt;&gt;"",SUMPRODUCT((N$3:N$106&lt;&gt;"")*(G$3:G$106=G71)*(J$3:J$106&gt;J71))+1,IF(M71="P",SUMPRODUCT((O$3:O$106&lt;&gt;"")*(P$3:P$106="")*(G$3:G$106=G71))+SUMPRODUCT((P$3:P$106&lt;&gt;"")*(G$3:G$106=G71))+SUMPRODUCT((N$3:N$106&lt;&gt;"")*(G$3:G$106=G71))+SUMPRODUCT((P$3:P$106="")*(O$3:O$106="")*(N$3:N$106="")*(M$3:M$106="P")*(G$3:G$106=G71)*(J$3:J$106&gt;J71))+IF(H71="L5",SUMPRODUCT((P$3:P$106="")*(O$3:O$106="")*(N$3:N$106="")*(M$3:M$106="P")*(G$3:G$106=G71)*(J$3:J$106&lt;J71)*(H$3:H$106&lt;&gt;H71)),-1*SUMPRODUCT((P$3:P$106="")*(O$3:O$106="")*(N$3:N$106="")*(M$3:M$106="P")*(G$3:G$106=G71)*(J$3:J$106&gt;J71)*(H$3:H$106="L5")))+1,""))))</f>
        <v/>
      </c>
      <c r="C71" s="36" t="s">
        <v>473</v>
      </c>
      <c r="D71" s="36" t="str">
        <f>IF(E71="","",VLOOKUP(E71,'Coaching Points'!A:B,2,0))</f>
        <v>ON</v>
      </c>
      <c r="E71" s="36" t="s">
        <v>47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8"/>
        <v>86.700004379999982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 t="shared" si="9"/>
        <v/>
      </c>
      <c r="R71" s="4">
        <f t="shared" si="10"/>
        <v>43.8</v>
      </c>
      <c r="S71" s="4">
        <f t="shared" si="11"/>
        <v>42.9</v>
      </c>
      <c r="T71" s="33"/>
      <c r="U71" s="40"/>
      <c r="V71" s="34"/>
      <c r="W71" s="40"/>
      <c r="X71" s="33">
        <v>43.8</v>
      </c>
      <c r="Y71" s="40">
        <v>6.6</v>
      </c>
      <c r="Z71" s="34">
        <v>42.9</v>
      </c>
      <c r="AA71" s="37">
        <v>5.7</v>
      </c>
    </row>
    <row r="72" spans="1:27" x14ac:dyDescent="0.2">
      <c r="A72" s="1" t="str" cm="1">
        <f t="array" ref="A72">IF(I72="","",IF(P72&lt;&gt;"",SUMPRODUCT((P$3:P$106&lt;&gt;"")*(G$3:G$106=G72)*(J$3:J$106&gt;J72)*(I$3:I$106="P"))+1,IF(O72&lt;&gt;"",SUMPRODUCT((O$3:O$106&lt;&gt;"")*(P$3:P$106="")*(G$3:G$106=G72)*(J$3:J$106&gt;J72)*(I$3:I$106="P"))+SUMPRODUCT((P$3:P$106&lt;&gt;"")*(G$3:G$106=G72)*(I$3:I$106="P"))+1,IF(N72&lt;&gt;"",SUMPRODUCT((N$3:N$106&lt;&gt;"")*(G$3:G$106=G72)*(J$3:J$106&gt;J72)*(I$3:I$106="P"))+1,IF(M72="P",SUMPRODUCT((O$3:O$106&lt;&gt;"")*(P$3:P$106="")*(G$3:G$106=G72)*(I$3:I$106="P"))+SUMPRODUCT((P$3:P$106&lt;&gt;"")*(G$3:G$106=G72)*(I$3:I$106="P"))+SUMPRODUCT((N$3:N$106&lt;&gt;"")*(G$3:G$106=G72)*(I$3:I$106="P"))+SUMPRODUCT((P$3:P$106="")*(O$3:O$106="")*(N$3:N$106="")*(M$3:M$106="P")*(G$3:G$106=G72)*(J$3:J$106&gt;J72)*(I$3:I$106="P"))+IF(H72="L5",SUMPRODUCT((P$3:P$106="")*(O$3:O$106="")*(N$3:N$106="")*(M$3:M$106="P")*(G$3:G$106=G72)*(J$3:J$106&lt;J72)*(H$3:H$106&lt;&gt;H72)*(I$3:I$106="P")),-1*SUMPRODUCT((P$3:P$106="")*(O$3:O$106="")*(N$3:N$106="")*(M$3:M$106="P")*(G$3:G$106=G72)*(J$3:J$106&gt;J72)*(H$3:H$106="L5")*(I$3:I$106="P")))+1,"")))))</f>
        <v/>
      </c>
      <c r="B72" s="1" t="str" cm="1">
        <f t="array" ref="B72">IF(P72&lt;&gt;"",SUMPRODUCT((P$3:P$106&lt;&gt;"")*(G$3:G$106=G72)*(J$3:J$106&gt;J72))+1,IF(O72&lt;&gt;"",SUMPRODUCT((O$3:O$106&lt;&gt;"")*(P$3:P$106="")*(G$3:G$106=G72)*(J$3:J$106&gt;J72))+SUMPRODUCT((P$3:P$106&lt;&gt;"")*(G$3:G$106=G72))+1,IF(N72&lt;&gt;"",SUMPRODUCT((N$3:N$106&lt;&gt;"")*(G$3:G$106=G72)*(J$3:J$106&gt;J72))+1,IF(M72="P",SUMPRODUCT((O$3:O$106&lt;&gt;"")*(P$3:P$106="")*(G$3:G$106=G72))+SUMPRODUCT((P$3:P$106&lt;&gt;"")*(G$3:G$106=G72))+SUMPRODUCT((N$3:N$106&lt;&gt;"")*(G$3:G$106=G72))+SUMPRODUCT((P$3:P$106="")*(O$3:O$106="")*(N$3:N$106="")*(M$3:M$106="P")*(G$3:G$106=G72)*(J$3:J$106&gt;J72))+IF(H72="L5",SUMPRODUCT((P$3:P$106="")*(O$3:O$106="")*(N$3:N$106="")*(M$3:M$106="P")*(G$3:G$106=G72)*(J$3:J$106&lt;J72)*(H$3:H$106&lt;&gt;H72)),-1*SUMPRODUCT((P$3:P$106="")*(O$3:O$106="")*(N$3:N$106="")*(M$3:M$106="P")*(G$3:G$106=G72)*(J$3:J$106&gt;J72)*(H$3:H$106="L5")))+1,""))))</f>
        <v/>
      </c>
      <c r="C72" s="36" t="s">
        <v>270</v>
      </c>
      <c r="D72" s="36" t="str">
        <f>IF(E72="","",VLOOKUP(E72,'Coaching Points'!A:B,2,0))</f>
        <v>AB</v>
      </c>
      <c r="E72" s="36" t="s">
        <v>58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8"/>
        <v>86.600003770000001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 t="shared" si="9"/>
        <v/>
      </c>
      <c r="R72" s="4">
        <f t="shared" si="10"/>
        <v>43.4</v>
      </c>
      <c r="S72" s="4">
        <f t="shared" si="11"/>
        <v>43.2</v>
      </c>
      <c r="T72" s="33">
        <v>43.4</v>
      </c>
      <c r="U72" s="40">
        <v>6.6</v>
      </c>
      <c r="V72" s="34">
        <v>43.2</v>
      </c>
      <c r="W72" s="40">
        <v>6.5</v>
      </c>
      <c r="X72" s="33">
        <v>37.700000000000003</v>
      </c>
      <c r="Y72" s="40">
        <v>3.0999999999999996</v>
      </c>
      <c r="Z72" s="34"/>
      <c r="AA72" s="37"/>
    </row>
    <row r="73" spans="1:27" x14ac:dyDescent="0.2">
      <c r="A73" s="1" t="str" cm="1">
        <f t="array" ref="A73">IF(I73="","",IF(P73&lt;&gt;"",SUMPRODUCT((P$3:P$106&lt;&gt;"")*(G$3:G$106=G73)*(J$3:J$106&gt;J73)*(I$3:I$106="P"))+1,IF(O73&lt;&gt;"",SUMPRODUCT((O$3:O$106&lt;&gt;"")*(P$3:P$106="")*(G$3:G$106=G73)*(J$3:J$106&gt;J73)*(I$3:I$106="P"))+SUMPRODUCT((P$3:P$106&lt;&gt;"")*(G$3:G$106=G73)*(I$3:I$106="P"))+1,IF(N73&lt;&gt;"",SUMPRODUCT((N$3:N$106&lt;&gt;"")*(G$3:G$106=G73)*(J$3:J$106&gt;J73)*(I$3:I$106="P"))+1,IF(M73="P",SUMPRODUCT((O$3:O$106&lt;&gt;"")*(P$3:P$106="")*(G$3:G$106=G73)*(I$3:I$106="P"))+SUMPRODUCT((P$3:P$106&lt;&gt;"")*(G$3:G$106=G73)*(I$3:I$106="P"))+SUMPRODUCT((N$3:N$106&lt;&gt;"")*(G$3:G$106=G73)*(I$3:I$106="P"))+SUMPRODUCT((P$3:P$106="")*(O$3:O$106="")*(N$3:N$106="")*(M$3:M$106="P")*(G$3:G$106=G73)*(J$3:J$106&gt;J73)*(I$3:I$106="P"))+IF(H73="L5",SUMPRODUCT((P$3:P$106="")*(O$3:O$106="")*(N$3:N$106="")*(M$3:M$106="P")*(G$3:G$106=G73)*(J$3:J$106&lt;J73)*(H$3:H$106&lt;&gt;H73)*(I$3:I$106="P")),-1*SUMPRODUCT((P$3:P$106="")*(O$3:O$106="")*(N$3:N$106="")*(M$3:M$106="P")*(G$3:G$106=G73)*(J$3:J$106&gt;J73)*(H$3:H$106="L5")*(I$3:I$106="P")))+1,"")))))</f>
        <v/>
      </c>
      <c r="B73" s="1" t="str" cm="1">
        <f t="array" ref="B73">IF(P73&lt;&gt;"",SUMPRODUCT((P$3:P$106&lt;&gt;"")*(G$3:G$106=G73)*(J$3:J$106&gt;J73))+1,IF(O73&lt;&gt;"",SUMPRODUCT((O$3:O$106&lt;&gt;"")*(P$3:P$106="")*(G$3:G$106=G73)*(J$3:J$106&gt;J73))+SUMPRODUCT((P$3:P$106&lt;&gt;"")*(G$3:G$106=G73))+1,IF(N73&lt;&gt;"",SUMPRODUCT((N$3:N$106&lt;&gt;"")*(G$3:G$106=G73)*(J$3:J$106&gt;J73))+1,IF(M73="P",SUMPRODUCT((O$3:O$106&lt;&gt;"")*(P$3:P$106="")*(G$3:G$106=G73))+SUMPRODUCT((P$3:P$106&lt;&gt;"")*(G$3:G$106=G73))+SUMPRODUCT((N$3:N$106&lt;&gt;"")*(G$3:G$106=G73))+SUMPRODUCT((P$3:P$106="")*(O$3:O$106="")*(N$3:N$106="")*(M$3:M$106="P")*(G$3:G$106=G73)*(J$3:J$106&gt;J73))+IF(H73="L5",SUMPRODUCT((P$3:P$106="")*(O$3:O$106="")*(N$3:N$106="")*(M$3:M$106="P")*(G$3:G$106=G73)*(J$3:J$106&lt;J73)*(H$3:H$106&lt;&gt;H73)),-1*SUMPRODUCT((P$3:P$106="")*(O$3:O$106="")*(N$3:N$106="")*(M$3:M$106="P")*(G$3:G$106=G73)*(J$3:J$106&gt;J73)*(H$3:H$106="L5")))+1,""))))</f>
        <v/>
      </c>
      <c r="C73" s="36" t="s">
        <v>149</v>
      </c>
      <c r="D73" s="36" t="str">
        <f>IF(E73="","",VLOOKUP(E73,'Coaching Points'!A:B,2,0))</f>
        <v>QC</v>
      </c>
      <c r="E73" s="36" t="s">
        <v>59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8"/>
        <v>86.40000185000001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 t="shared" si="9"/>
        <v/>
      </c>
      <c r="R73" s="4">
        <f t="shared" si="10"/>
        <v>43.5</v>
      </c>
      <c r="S73" s="4">
        <f t="shared" si="11"/>
        <v>42.9</v>
      </c>
      <c r="T73" s="33">
        <v>43.5</v>
      </c>
      <c r="U73" s="40">
        <v>6.4</v>
      </c>
      <c r="V73" s="34">
        <v>42.9</v>
      </c>
      <c r="W73" s="40">
        <v>5.4</v>
      </c>
      <c r="X73" s="33">
        <v>18.5</v>
      </c>
      <c r="Y73" s="40">
        <v>0.7</v>
      </c>
      <c r="Z73" s="34"/>
      <c r="AA73" s="37"/>
    </row>
    <row r="74" spans="1:27" x14ac:dyDescent="0.2">
      <c r="A74" s="1" t="str" cm="1">
        <f t="array" ref="A74">IF(I74="","",IF(P74&lt;&gt;"",SUMPRODUCT((P$3:P$106&lt;&gt;"")*(G$3:G$106=G74)*(J$3:J$106&gt;J74)*(I$3:I$106="P"))+1,IF(O74&lt;&gt;"",SUMPRODUCT((O$3:O$106&lt;&gt;"")*(P$3:P$106="")*(G$3:G$106=G74)*(J$3:J$106&gt;J74)*(I$3:I$106="P"))+SUMPRODUCT((P$3:P$106&lt;&gt;"")*(G$3:G$106=G74)*(I$3:I$106="P"))+1,IF(N74&lt;&gt;"",SUMPRODUCT((N$3:N$106&lt;&gt;"")*(G$3:G$106=G74)*(J$3:J$106&gt;J74)*(I$3:I$106="P"))+1,IF(M74="P",SUMPRODUCT((O$3:O$106&lt;&gt;"")*(P$3:P$106="")*(G$3:G$106=G74)*(I$3:I$106="P"))+SUMPRODUCT((P$3:P$106&lt;&gt;"")*(G$3:G$106=G74)*(I$3:I$106="P"))+SUMPRODUCT((N$3:N$106&lt;&gt;"")*(G$3:G$106=G74)*(I$3:I$106="P"))+SUMPRODUCT((P$3:P$106="")*(O$3:O$106="")*(N$3:N$106="")*(M$3:M$106="P")*(G$3:G$106=G74)*(J$3:J$106&gt;J74)*(I$3:I$106="P"))+IF(H74="L5",SUMPRODUCT((P$3:P$106="")*(O$3:O$106="")*(N$3:N$106="")*(M$3:M$106="P")*(G$3:G$106=G74)*(J$3:J$106&lt;J74)*(H$3:H$106&lt;&gt;H74)*(I$3:I$106="P")),-1*SUMPRODUCT((P$3:P$106="")*(O$3:O$106="")*(N$3:N$106="")*(M$3:M$106="P")*(G$3:G$106=G74)*(J$3:J$106&gt;J74)*(H$3:H$106="L5")*(I$3:I$106="P")))+1,"")))))</f>
        <v/>
      </c>
      <c r="B74" s="1" t="str" cm="1">
        <f t="array" ref="B74">IF(P74&lt;&gt;"",SUMPRODUCT((P$3:P$106&lt;&gt;"")*(G$3:G$106=G74)*(J$3:J$106&gt;J74))+1,IF(O74&lt;&gt;"",SUMPRODUCT((O$3:O$106&lt;&gt;"")*(P$3:P$106="")*(G$3:G$106=G74)*(J$3:J$106&gt;J74))+SUMPRODUCT((P$3:P$106&lt;&gt;"")*(G$3:G$106=G74))+1,IF(N74&lt;&gt;"",SUMPRODUCT((N$3:N$106&lt;&gt;"")*(G$3:G$106=G74)*(J$3:J$106&gt;J74))+1,IF(M74="P",SUMPRODUCT((O$3:O$106&lt;&gt;"")*(P$3:P$106="")*(G$3:G$106=G74))+SUMPRODUCT((P$3:P$106&lt;&gt;"")*(G$3:G$106=G74))+SUMPRODUCT((N$3:N$106&lt;&gt;"")*(G$3:G$106=G74))+SUMPRODUCT((P$3:P$106="")*(O$3:O$106="")*(N$3:N$106="")*(M$3:M$106="P")*(G$3:G$106=G74)*(J$3:J$106&gt;J74))+IF(H74="L5",SUMPRODUCT((P$3:P$106="")*(O$3:O$106="")*(N$3:N$106="")*(M$3:M$106="P")*(G$3:G$106=G74)*(J$3:J$106&lt;J74)*(H$3:H$106&lt;&gt;H74)),-1*SUMPRODUCT((P$3:P$106="")*(O$3:O$106="")*(N$3:N$106="")*(M$3:M$106="P")*(G$3:G$106=G74)*(J$3:J$106&gt;J74)*(H$3:H$106="L5")))+1,""))))</f>
        <v/>
      </c>
      <c r="C74" s="36" t="s">
        <v>357</v>
      </c>
      <c r="D74" s="36" t="s">
        <v>194</v>
      </c>
      <c r="E74" s="36" t="s">
        <v>60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85.90000434000001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 t="shared" si="9"/>
        <v/>
      </c>
      <c r="R74" s="4">
        <f t="shared" si="10"/>
        <v>42.5</v>
      </c>
      <c r="S74" s="4">
        <f t="shared" si="11"/>
        <v>43.4</v>
      </c>
      <c r="T74" s="33">
        <v>39.9</v>
      </c>
      <c r="U74" s="40">
        <v>3.9000000000000004</v>
      </c>
      <c r="V74" s="34"/>
      <c r="W74" s="40"/>
      <c r="X74" s="33">
        <v>42.5</v>
      </c>
      <c r="Y74" s="40">
        <v>6</v>
      </c>
      <c r="Z74" s="34">
        <v>43.4</v>
      </c>
      <c r="AA74" s="37">
        <v>6.4</v>
      </c>
    </row>
    <row r="75" spans="1:27" x14ac:dyDescent="0.2">
      <c r="A75" s="1" t="str" cm="1">
        <f t="array" ref="A75">IF(I75="","",IF(P75&lt;&gt;"",SUMPRODUCT((P$3:P$106&lt;&gt;"")*(G$3:G$106=G75)*(J$3:J$106&gt;J75)*(I$3:I$106="P"))+1,IF(O75&lt;&gt;"",SUMPRODUCT((O$3:O$106&lt;&gt;"")*(P$3:P$106="")*(G$3:G$106=G75)*(J$3:J$106&gt;J75)*(I$3:I$106="P"))+SUMPRODUCT((P$3:P$106&lt;&gt;"")*(G$3:G$106=G75)*(I$3:I$106="P"))+1,IF(N75&lt;&gt;"",SUMPRODUCT((N$3:N$106&lt;&gt;"")*(G$3:G$106=G75)*(J$3:J$106&gt;J75)*(I$3:I$106="P"))+1,IF(M75="P",SUMPRODUCT((O$3:O$106&lt;&gt;"")*(P$3:P$106="")*(G$3:G$106=G75)*(I$3:I$106="P"))+SUMPRODUCT((P$3:P$106&lt;&gt;"")*(G$3:G$106=G75)*(I$3:I$106="P"))+SUMPRODUCT((N$3:N$106&lt;&gt;"")*(G$3:G$106=G75)*(I$3:I$106="P"))+SUMPRODUCT((P$3:P$106="")*(O$3:O$106="")*(N$3:N$106="")*(M$3:M$106="P")*(G$3:G$106=G75)*(J$3:J$106&gt;J75)*(I$3:I$106="P"))+IF(H75="L5",SUMPRODUCT((P$3:P$106="")*(O$3:O$106="")*(N$3:N$106="")*(M$3:M$106="P")*(G$3:G$106=G75)*(J$3:J$106&lt;J75)*(H$3:H$106&lt;&gt;H75)*(I$3:I$106="P")),-1*SUMPRODUCT((P$3:P$106="")*(O$3:O$106="")*(N$3:N$106="")*(M$3:M$106="P")*(G$3:G$106=G75)*(J$3:J$106&gt;J75)*(H$3:H$106="L5")*(I$3:I$106="P")))+1,"")))))</f>
        <v/>
      </c>
      <c r="B75" s="1" t="str" cm="1">
        <f t="array" ref="B75">IF(P75&lt;&gt;"",SUMPRODUCT((P$3:P$106&lt;&gt;"")*(G$3:G$106=G75)*(J$3:J$106&gt;J75))+1,IF(O75&lt;&gt;"",SUMPRODUCT((O$3:O$106&lt;&gt;"")*(P$3:P$106="")*(G$3:G$106=G75)*(J$3:J$106&gt;J75))+SUMPRODUCT((P$3:P$106&lt;&gt;"")*(G$3:G$106=G75))+1,IF(N75&lt;&gt;"",SUMPRODUCT((N$3:N$106&lt;&gt;"")*(G$3:G$106=G75)*(J$3:J$106&gt;J75))+1,IF(M75="P",SUMPRODUCT((O$3:O$106&lt;&gt;"")*(P$3:P$106="")*(G$3:G$106=G75))+SUMPRODUCT((P$3:P$106&lt;&gt;"")*(G$3:G$106=G75))+SUMPRODUCT((N$3:N$106&lt;&gt;"")*(G$3:G$106=G75))+SUMPRODUCT((P$3:P$106="")*(O$3:O$106="")*(N$3:N$106="")*(M$3:M$106="P")*(G$3:G$106=G75)*(J$3:J$106&gt;J75))+IF(H75="L5",SUMPRODUCT((P$3:P$106="")*(O$3:O$106="")*(N$3:N$106="")*(M$3:M$106="P")*(G$3:G$106=G75)*(J$3:J$106&lt;J75)*(H$3:H$106&lt;&gt;H75)),-1*SUMPRODUCT((P$3:P$106="")*(O$3:O$106="")*(N$3:N$106="")*(M$3:M$106="P")*(G$3:G$106=G75)*(J$3:J$106&gt;J75)*(H$3:H$106="L5")))+1,""))))</f>
        <v/>
      </c>
      <c r="C75" s="36" t="s">
        <v>177</v>
      </c>
      <c r="D75" s="36" t="s">
        <v>195</v>
      </c>
      <c r="E75" s="36" t="s">
        <v>57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85.300004370000011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 t="shared" si="9"/>
        <v/>
      </c>
      <c r="R75" s="4">
        <f t="shared" si="10"/>
        <v>43.7</v>
      </c>
      <c r="S75" s="4">
        <f t="shared" si="11"/>
        <v>41.6</v>
      </c>
      <c r="T75" s="33">
        <v>40.799999999999997</v>
      </c>
      <c r="U75" s="40">
        <v>4.9000000000000004</v>
      </c>
      <c r="V75" s="34"/>
      <c r="W75" s="40"/>
      <c r="X75" s="33">
        <v>43.7</v>
      </c>
      <c r="Y75" s="40">
        <v>6.7</v>
      </c>
      <c r="Z75" s="34">
        <v>41.6</v>
      </c>
      <c r="AA75" s="37">
        <v>4.8</v>
      </c>
    </row>
    <row r="76" spans="1:27" x14ac:dyDescent="0.2">
      <c r="A76" s="1" t="str" cm="1">
        <f t="array" ref="A76">IF(I76="","",IF(P76&lt;&gt;"",SUMPRODUCT((P$3:P$106&lt;&gt;"")*(G$3:G$106=G76)*(J$3:J$106&gt;J76)*(I$3:I$106="P"))+1,IF(O76&lt;&gt;"",SUMPRODUCT((O$3:O$106&lt;&gt;"")*(P$3:P$106="")*(G$3:G$106=G76)*(J$3:J$106&gt;J76)*(I$3:I$106="P"))+SUMPRODUCT((P$3:P$106&lt;&gt;"")*(G$3:G$106=G76)*(I$3:I$106="P"))+1,IF(N76&lt;&gt;"",SUMPRODUCT((N$3:N$106&lt;&gt;"")*(G$3:G$106=G76)*(J$3:J$106&gt;J76)*(I$3:I$106="P"))+1,IF(M76="P",SUMPRODUCT((O$3:O$106&lt;&gt;"")*(P$3:P$106="")*(G$3:G$106=G76)*(I$3:I$106="P"))+SUMPRODUCT((P$3:P$106&lt;&gt;"")*(G$3:G$106=G76)*(I$3:I$106="P"))+SUMPRODUCT((N$3:N$106&lt;&gt;"")*(G$3:G$106=G76)*(I$3:I$106="P"))+SUMPRODUCT((P$3:P$106="")*(O$3:O$106="")*(N$3:N$106="")*(M$3:M$106="P")*(G$3:G$106=G76)*(J$3:J$106&gt;J76)*(I$3:I$106="P"))+IF(H76="L5",SUMPRODUCT((P$3:P$106="")*(O$3:O$106="")*(N$3:N$106="")*(M$3:M$106="P")*(G$3:G$106=G76)*(J$3:J$106&lt;J76)*(H$3:H$106&lt;&gt;H76)*(I$3:I$106="P")),-1*SUMPRODUCT((P$3:P$106="")*(O$3:O$106="")*(N$3:N$106="")*(M$3:M$106="P")*(G$3:G$106=G76)*(J$3:J$106&gt;J76)*(H$3:H$106="L5")*(I$3:I$106="P")))+1,"")))))</f>
        <v/>
      </c>
      <c r="B76" s="1" t="str" cm="1">
        <f t="array" ref="B76">IF(P76&lt;&gt;"",SUMPRODUCT((P$3:P$106&lt;&gt;"")*(G$3:G$106=G76)*(J$3:J$106&gt;J76))+1,IF(O76&lt;&gt;"",SUMPRODUCT((O$3:O$106&lt;&gt;"")*(P$3:P$106="")*(G$3:G$106=G76)*(J$3:J$106&gt;J76))+SUMPRODUCT((P$3:P$106&lt;&gt;"")*(G$3:G$106=G76))+1,IF(N76&lt;&gt;"",SUMPRODUCT((N$3:N$106&lt;&gt;"")*(G$3:G$106=G76)*(J$3:J$106&gt;J76))+1,IF(M76="P",SUMPRODUCT((O$3:O$106&lt;&gt;"")*(P$3:P$106="")*(G$3:G$106=G76))+SUMPRODUCT((P$3:P$106&lt;&gt;"")*(G$3:G$106=G76))+SUMPRODUCT((N$3:N$106&lt;&gt;"")*(G$3:G$106=G76))+SUMPRODUCT((P$3:P$106="")*(O$3:O$106="")*(N$3:N$106="")*(M$3:M$106="P")*(G$3:G$106=G76)*(J$3:J$106&gt;J76))+IF(H76="L5",SUMPRODUCT((P$3:P$106="")*(O$3:O$106="")*(N$3:N$106="")*(M$3:M$106="P")*(G$3:G$106=G76)*(J$3:J$106&lt;J76)*(H$3:H$106&lt;&gt;H76)),-1*SUMPRODUCT((P$3:P$106="")*(O$3:O$106="")*(N$3:N$106="")*(M$3:M$106="P")*(G$3:G$106=G76)*(J$3:J$106&gt;J76)*(H$3:H$106="L5")))+1,""))))</f>
        <v/>
      </c>
      <c r="C76" s="36" t="s">
        <v>238</v>
      </c>
      <c r="D76" s="36" t="s">
        <v>197</v>
      </c>
      <c r="E76" s="36" t="s">
        <v>58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85.000004309999994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 t="shared" si="9"/>
        <v/>
      </c>
      <c r="R76" s="4">
        <f t="shared" si="10"/>
        <v>43.1</v>
      </c>
      <c r="S76" s="4">
        <f t="shared" si="11"/>
        <v>41.9</v>
      </c>
      <c r="T76" s="33">
        <v>41.9</v>
      </c>
      <c r="U76" s="40">
        <v>6.5</v>
      </c>
      <c r="V76" s="34">
        <v>39.5</v>
      </c>
      <c r="W76" s="40">
        <v>3.8</v>
      </c>
      <c r="X76" s="33">
        <v>43.1</v>
      </c>
      <c r="Y76" s="40">
        <v>7.3000000000000007</v>
      </c>
      <c r="Z76" s="34">
        <v>40.700000000000003</v>
      </c>
      <c r="AA76" s="37">
        <v>6.5</v>
      </c>
    </row>
    <row r="77" spans="1:27" x14ac:dyDescent="0.2">
      <c r="A77" s="1" t="str" cm="1">
        <f t="array" ref="A77">IF(I77="","",IF(P77&lt;&gt;"",SUMPRODUCT((P$3:P$106&lt;&gt;"")*(G$3:G$106=G77)*(J$3:J$106&gt;J77)*(I$3:I$106="P"))+1,IF(O77&lt;&gt;"",SUMPRODUCT((O$3:O$106&lt;&gt;"")*(P$3:P$106="")*(G$3:G$106=G77)*(J$3:J$106&gt;J77)*(I$3:I$106="P"))+SUMPRODUCT((P$3:P$106&lt;&gt;"")*(G$3:G$106=G77)*(I$3:I$106="P"))+1,IF(N77&lt;&gt;"",SUMPRODUCT((N$3:N$106&lt;&gt;"")*(G$3:G$106=G77)*(J$3:J$106&gt;J77)*(I$3:I$106="P"))+1,IF(M77="P",SUMPRODUCT((O$3:O$106&lt;&gt;"")*(P$3:P$106="")*(G$3:G$106=G77)*(I$3:I$106="P"))+SUMPRODUCT((P$3:P$106&lt;&gt;"")*(G$3:G$106=G77)*(I$3:I$106="P"))+SUMPRODUCT((N$3:N$106&lt;&gt;"")*(G$3:G$106=G77)*(I$3:I$106="P"))+SUMPRODUCT((P$3:P$106="")*(O$3:O$106="")*(N$3:N$106="")*(M$3:M$106="P")*(G$3:G$106=G77)*(J$3:J$106&gt;J77)*(I$3:I$106="P"))+IF(H77="L5",SUMPRODUCT((P$3:P$106="")*(O$3:O$106="")*(N$3:N$106="")*(M$3:M$106="P")*(G$3:G$106=G77)*(J$3:J$106&lt;J77)*(H$3:H$106&lt;&gt;H77)*(I$3:I$106="P")),-1*SUMPRODUCT((P$3:P$106="")*(O$3:O$106="")*(N$3:N$106="")*(M$3:M$106="P")*(G$3:G$106=G77)*(J$3:J$106&gt;J77)*(H$3:H$106="L5")*(I$3:I$106="P")))+1,"")))))</f>
        <v/>
      </c>
      <c r="B77" s="1" t="str" cm="1">
        <f t="array" ref="B77">IF(P77&lt;&gt;"",SUMPRODUCT((P$3:P$106&lt;&gt;"")*(G$3:G$106=G77)*(J$3:J$106&gt;J77))+1,IF(O77&lt;&gt;"",SUMPRODUCT((O$3:O$106&lt;&gt;"")*(P$3:P$106="")*(G$3:G$106=G77)*(J$3:J$106&gt;J77))+SUMPRODUCT((P$3:P$106&lt;&gt;"")*(G$3:G$106=G77))+1,IF(N77&lt;&gt;"",SUMPRODUCT((N$3:N$106&lt;&gt;"")*(G$3:G$106=G77)*(J$3:J$106&gt;J77))+1,IF(M77="P",SUMPRODUCT((O$3:O$106&lt;&gt;"")*(P$3:P$106="")*(G$3:G$106=G77))+SUMPRODUCT((P$3:P$106&lt;&gt;"")*(G$3:G$106=G77))+SUMPRODUCT((N$3:N$106&lt;&gt;"")*(G$3:G$106=G77))+SUMPRODUCT((P$3:P$106="")*(O$3:O$106="")*(N$3:N$106="")*(M$3:M$106="P")*(G$3:G$106=G77)*(J$3:J$106&gt;J77))+IF(H77="L5",SUMPRODUCT((P$3:P$106="")*(O$3:O$106="")*(N$3:N$106="")*(M$3:M$106="P")*(G$3:G$106=G77)*(J$3:J$106&lt;J77)*(H$3:H$106&lt;&gt;H77)),-1*SUMPRODUCT((P$3:P$106="")*(O$3:O$106="")*(N$3:N$106="")*(M$3:M$106="P")*(G$3:G$106=G77)*(J$3:J$106&gt;J77)*(H$3:H$106="L5")))+1,""))))</f>
        <v/>
      </c>
      <c r="C77" s="36" t="s">
        <v>478</v>
      </c>
      <c r="D77" s="36" t="str">
        <f>IF(E77="","",VLOOKUP(E77,'Coaching Points'!A:B,2,0))</f>
        <v>SK</v>
      </c>
      <c r="E77" s="36" t="s">
        <v>60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84.000004309999994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 t="shared" si="9"/>
        <v/>
      </c>
      <c r="R77" s="4">
        <f t="shared" si="10"/>
        <v>43.1</v>
      </c>
      <c r="S77" s="4">
        <f t="shared" si="11"/>
        <v>40.9</v>
      </c>
      <c r="T77" s="33"/>
      <c r="U77" s="40"/>
      <c r="V77" s="34"/>
      <c r="W77" s="40"/>
      <c r="X77" s="33">
        <v>43.1</v>
      </c>
      <c r="Y77" s="40">
        <v>6.3000000000000007</v>
      </c>
      <c r="Z77" s="34">
        <v>40.9</v>
      </c>
      <c r="AA77" s="37">
        <v>4.3000000000000007</v>
      </c>
    </row>
    <row r="78" spans="1:27" x14ac:dyDescent="0.2">
      <c r="A78" s="1" t="str" cm="1">
        <f t="array" ref="A78">IF(I78="","",IF(P78&lt;&gt;"",SUMPRODUCT((P$3:P$106&lt;&gt;"")*(G$3:G$106=G78)*(J$3:J$106&gt;J78)*(I$3:I$106="P"))+1,IF(O78&lt;&gt;"",SUMPRODUCT((O$3:O$106&lt;&gt;"")*(P$3:P$106="")*(G$3:G$106=G78)*(J$3:J$106&gt;J78)*(I$3:I$106="P"))+SUMPRODUCT((P$3:P$106&lt;&gt;"")*(G$3:G$106=G78)*(I$3:I$106="P"))+1,IF(N78&lt;&gt;"",SUMPRODUCT((N$3:N$106&lt;&gt;"")*(G$3:G$106=G78)*(J$3:J$106&gt;J78)*(I$3:I$106="P"))+1,IF(M78="P",SUMPRODUCT((O$3:O$106&lt;&gt;"")*(P$3:P$106="")*(G$3:G$106=G78)*(I$3:I$106="P"))+SUMPRODUCT((P$3:P$106&lt;&gt;"")*(G$3:G$106=G78)*(I$3:I$106="P"))+SUMPRODUCT((N$3:N$106&lt;&gt;"")*(G$3:G$106=G78)*(I$3:I$106="P"))+SUMPRODUCT((P$3:P$106="")*(O$3:O$106="")*(N$3:N$106="")*(M$3:M$106="P")*(G$3:G$106=G78)*(J$3:J$106&gt;J78)*(I$3:I$106="P"))+IF(H78="L5",SUMPRODUCT((P$3:P$106="")*(O$3:O$106="")*(N$3:N$106="")*(M$3:M$106="P")*(G$3:G$106=G78)*(J$3:J$106&lt;J78)*(H$3:H$106&lt;&gt;H78)*(I$3:I$106="P")),-1*SUMPRODUCT((P$3:P$106="")*(O$3:O$106="")*(N$3:N$106="")*(M$3:M$106="P")*(G$3:G$106=G78)*(J$3:J$106&gt;J78)*(H$3:H$106="L5")*(I$3:I$106="P")))+1,"")))))</f>
        <v/>
      </c>
      <c r="B78" s="1" t="str" cm="1">
        <f t="array" ref="B78">IF(P78&lt;&gt;"",SUMPRODUCT((P$3:P$106&lt;&gt;"")*(G$3:G$106=G78)*(J$3:J$106&gt;J78))+1,IF(O78&lt;&gt;"",SUMPRODUCT((O$3:O$106&lt;&gt;"")*(P$3:P$106="")*(G$3:G$106=G78)*(J$3:J$106&gt;J78))+SUMPRODUCT((P$3:P$106&lt;&gt;"")*(G$3:G$106=G78))+1,IF(N78&lt;&gt;"",SUMPRODUCT((N$3:N$106&lt;&gt;"")*(G$3:G$106=G78)*(J$3:J$106&gt;J78))+1,IF(M78="P",SUMPRODUCT((O$3:O$106&lt;&gt;"")*(P$3:P$106="")*(G$3:G$106=G78))+SUMPRODUCT((P$3:P$106&lt;&gt;"")*(G$3:G$106=G78))+SUMPRODUCT((N$3:N$106&lt;&gt;"")*(G$3:G$106=G78))+SUMPRODUCT((P$3:P$106="")*(O$3:O$106="")*(N$3:N$106="")*(M$3:M$106="P")*(G$3:G$106=G78)*(J$3:J$106&gt;J78))+IF(H78="L5",SUMPRODUCT((P$3:P$106="")*(O$3:O$106="")*(N$3:N$106="")*(M$3:M$106="P")*(G$3:G$106=G78)*(J$3:J$106&lt;J78)*(H$3:H$106&lt;&gt;H78)),-1*SUMPRODUCT((P$3:P$106="")*(O$3:O$106="")*(N$3:N$106="")*(M$3:M$106="P")*(G$3:G$106=G78)*(J$3:J$106&gt;J78)*(H$3:H$106="L5")))+1,""))))</f>
        <v/>
      </c>
      <c r="C78" s="36" t="s">
        <v>356</v>
      </c>
      <c r="D78" s="36" t="str">
        <f>IF(E78="","",VLOOKUP(E78,'Coaching Points'!A:B,2,0))</f>
        <v>ON</v>
      </c>
      <c r="E78" s="36" t="s">
        <v>47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83.80000403999999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 t="shared" si="9"/>
        <v/>
      </c>
      <c r="R78" s="4">
        <f t="shared" si="10"/>
        <v>42.3</v>
      </c>
      <c r="S78" s="4">
        <f t="shared" si="11"/>
        <v>41.5</v>
      </c>
      <c r="T78" s="33">
        <v>42.3</v>
      </c>
      <c r="U78" s="40">
        <v>4.9000000000000004</v>
      </c>
      <c r="V78" s="34">
        <v>41.5</v>
      </c>
      <c r="W78" s="40">
        <v>4</v>
      </c>
      <c r="X78" s="33">
        <v>40.4</v>
      </c>
      <c r="Y78" s="40">
        <v>4.9000000000000004</v>
      </c>
      <c r="Z78" s="34"/>
      <c r="AA78" s="37"/>
    </row>
    <row r="79" spans="1:27" x14ac:dyDescent="0.2">
      <c r="A79" s="1" t="str" cm="1">
        <f t="array" ref="A79">IF(I79="","",IF(P79&lt;&gt;"",SUMPRODUCT((P$3:P$106&lt;&gt;"")*(G$3:G$106=G79)*(J$3:J$106&gt;J79)*(I$3:I$106="P"))+1,IF(O79&lt;&gt;"",SUMPRODUCT((O$3:O$106&lt;&gt;"")*(P$3:P$106="")*(G$3:G$106=G79)*(J$3:J$106&gt;J79)*(I$3:I$106="P"))+SUMPRODUCT((P$3:P$106&lt;&gt;"")*(G$3:G$106=G79)*(I$3:I$106="P"))+1,IF(N79&lt;&gt;"",SUMPRODUCT((N$3:N$106&lt;&gt;"")*(G$3:G$106=G79)*(J$3:J$106&gt;J79)*(I$3:I$106="P"))+1,IF(M79="P",SUMPRODUCT((O$3:O$106&lt;&gt;"")*(P$3:P$106="")*(G$3:G$106=G79)*(I$3:I$106="P"))+SUMPRODUCT((P$3:P$106&lt;&gt;"")*(G$3:G$106=G79)*(I$3:I$106="P"))+SUMPRODUCT((N$3:N$106&lt;&gt;"")*(G$3:G$106=G79)*(I$3:I$106="P"))+SUMPRODUCT((P$3:P$106="")*(O$3:O$106="")*(N$3:N$106="")*(M$3:M$106="P")*(G$3:G$106=G79)*(J$3:J$106&gt;J79)*(I$3:I$106="P"))+IF(H79="L5",SUMPRODUCT((P$3:P$106="")*(O$3:O$106="")*(N$3:N$106="")*(M$3:M$106="P")*(G$3:G$106=G79)*(J$3:J$106&lt;J79)*(H$3:H$106&lt;&gt;H79)*(I$3:I$106="P")),-1*SUMPRODUCT((P$3:P$106="")*(O$3:O$106="")*(N$3:N$106="")*(M$3:M$106="P")*(G$3:G$106=G79)*(J$3:J$106&gt;J79)*(H$3:H$106="L5")*(I$3:I$106="P")))+1,"")))))</f>
        <v/>
      </c>
      <c r="B79" s="1" t="str" cm="1">
        <f t="array" ref="B79">IF(P79&lt;&gt;"",SUMPRODUCT((P$3:P$106&lt;&gt;"")*(G$3:G$106=G79)*(J$3:J$106&gt;J79))+1,IF(O79&lt;&gt;"",SUMPRODUCT((O$3:O$106&lt;&gt;"")*(P$3:P$106="")*(G$3:G$106=G79)*(J$3:J$106&gt;J79))+SUMPRODUCT((P$3:P$106&lt;&gt;"")*(G$3:G$106=G79))+1,IF(N79&lt;&gt;"",SUMPRODUCT((N$3:N$106&lt;&gt;"")*(G$3:G$106=G79)*(J$3:J$106&gt;J79))+1,IF(M79="P",SUMPRODUCT((O$3:O$106&lt;&gt;"")*(P$3:P$106="")*(G$3:G$106=G79))+SUMPRODUCT((P$3:P$106&lt;&gt;"")*(G$3:G$106=G79))+SUMPRODUCT((N$3:N$106&lt;&gt;"")*(G$3:G$106=G79))+SUMPRODUCT((P$3:P$106="")*(O$3:O$106="")*(N$3:N$106="")*(M$3:M$106="P")*(G$3:G$106=G79)*(J$3:J$106&gt;J79))+IF(H79="L5",SUMPRODUCT((P$3:P$106="")*(O$3:O$106="")*(N$3:N$106="")*(M$3:M$106="P")*(G$3:G$106=G79)*(J$3:J$106&lt;J79)*(H$3:H$106&lt;&gt;H79)),-1*SUMPRODUCT((P$3:P$106="")*(O$3:O$106="")*(N$3:N$106="")*(M$3:M$106="P")*(G$3:G$106=G79)*(J$3:J$106&gt;J79)*(H$3:H$106="L5")))+1,""))))</f>
        <v/>
      </c>
      <c r="C79" s="36" t="s">
        <v>570</v>
      </c>
      <c r="D79" s="36" t="str">
        <f>IF(E79="","",VLOOKUP(E79,'Coaching Points'!A:B,2,0))</f>
        <v>BC</v>
      </c>
      <c r="E79" s="36" t="s">
        <v>284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83.000004349999998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 t="shared" si="9"/>
        <v/>
      </c>
      <c r="R79" s="4">
        <f t="shared" si="10"/>
        <v>43.5</v>
      </c>
      <c r="S79" s="4">
        <f t="shared" si="11"/>
        <v>39.5</v>
      </c>
      <c r="T79" s="33"/>
      <c r="U79" s="40"/>
      <c r="V79" s="34"/>
      <c r="W79" s="40"/>
      <c r="X79" s="33">
        <v>43.5</v>
      </c>
      <c r="Y79" s="40">
        <v>6.2</v>
      </c>
      <c r="Z79" s="34">
        <v>39.5</v>
      </c>
      <c r="AA79" s="37">
        <v>4</v>
      </c>
    </row>
    <row r="80" spans="1:27" x14ac:dyDescent="0.2">
      <c r="A80" s="1" t="str" cm="1">
        <f t="array" ref="A80">IF(I80="","",IF(P80&lt;&gt;"",SUMPRODUCT((P$3:P$106&lt;&gt;"")*(G$3:G$106=G80)*(J$3:J$106&gt;J80)*(I$3:I$106="P"))+1,IF(O80&lt;&gt;"",SUMPRODUCT((O$3:O$106&lt;&gt;"")*(P$3:P$106="")*(G$3:G$106=G80)*(J$3:J$106&gt;J80)*(I$3:I$106="P"))+SUMPRODUCT((P$3:P$106&lt;&gt;"")*(G$3:G$106=G80)*(I$3:I$106="P"))+1,IF(N80&lt;&gt;"",SUMPRODUCT((N$3:N$106&lt;&gt;"")*(G$3:G$106=G80)*(J$3:J$106&gt;J80)*(I$3:I$106="P"))+1,IF(M80="P",SUMPRODUCT((O$3:O$106&lt;&gt;"")*(P$3:P$106="")*(G$3:G$106=G80)*(I$3:I$106="P"))+SUMPRODUCT((P$3:P$106&lt;&gt;"")*(G$3:G$106=G80)*(I$3:I$106="P"))+SUMPRODUCT((N$3:N$106&lt;&gt;"")*(G$3:G$106=G80)*(I$3:I$106="P"))+SUMPRODUCT((P$3:P$106="")*(O$3:O$106="")*(N$3:N$106="")*(M$3:M$106="P")*(G$3:G$106=G80)*(J$3:J$106&gt;J80)*(I$3:I$106="P"))+IF(H80="L5",SUMPRODUCT((P$3:P$106="")*(O$3:O$106="")*(N$3:N$106="")*(M$3:M$106="P")*(G$3:G$106=G80)*(J$3:J$106&lt;J80)*(H$3:H$106&lt;&gt;H80)*(I$3:I$106="P")),-1*SUMPRODUCT((P$3:P$106="")*(O$3:O$106="")*(N$3:N$106="")*(M$3:M$106="P")*(G$3:G$106=G80)*(J$3:J$106&gt;J80)*(H$3:H$106="L5")*(I$3:I$106="P")))+1,"")))))</f>
        <v/>
      </c>
      <c r="B80" s="1" t="str" cm="1">
        <f t="array" ref="B80">IF(P80&lt;&gt;"",SUMPRODUCT((P$3:P$106&lt;&gt;"")*(G$3:G$106=G80)*(J$3:J$106&gt;J80))+1,IF(O80&lt;&gt;"",SUMPRODUCT((O$3:O$106&lt;&gt;"")*(P$3:P$106="")*(G$3:G$106=G80)*(J$3:J$106&gt;J80))+SUMPRODUCT((P$3:P$106&lt;&gt;"")*(G$3:G$106=G80))+1,IF(N80&lt;&gt;"",SUMPRODUCT((N$3:N$106&lt;&gt;"")*(G$3:G$106=G80)*(J$3:J$106&gt;J80))+1,IF(M80="P",SUMPRODUCT((O$3:O$106&lt;&gt;"")*(P$3:P$106="")*(G$3:G$106=G80))+SUMPRODUCT((P$3:P$106&lt;&gt;"")*(G$3:G$106=G80))+SUMPRODUCT((N$3:N$106&lt;&gt;"")*(G$3:G$106=G80))+SUMPRODUCT((P$3:P$106="")*(O$3:O$106="")*(N$3:N$106="")*(M$3:M$106="P")*(G$3:G$106=G80)*(J$3:J$106&gt;J80))+IF(H80="L5",SUMPRODUCT((P$3:P$106="")*(O$3:O$106="")*(N$3:N$106="")*(M$3:M$106="P")*(G$3:G$106=G80)*(J$3:J$106&lt;J80)*(H$3:H$106&lt;&gt;H80)),-1*SUMPRODUCT((P$3:P$106="")*(O$3:O$106="")*(N$3:N$106="")*(M$3:M$106="P")*(G$3:G$106=G80)*(J$3:J$106&gt;J80)*(H$3:H$106="L5")))+1,""))))</f>
        <v/>
      </c>
      <c r="C80" s="36" t="s">
        <v>303</v>
      </c>
      <c r="D80" s="36" t="str">
        <f>IF(E80="","",VLOOKUP(E80,'Coaching Points'!A:B,2,0))</f>
        <v>AB</v>
      </c>
      <c r="E80" s="36" t="s">
        <v>29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83.00000412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 t="shared" si="9"/>
        <v/>
      </c>
      <c r="R80" s="4">
        <f t="shared" si="10"/>
        <v>41.8</v>
      </c>
      <c r="S80" s="4">
        <f t="shared" si="11"/>
        <v>41.2</v>
      </c>
      <c r="T80" s="33">
        <v>41.8</v>
      </c>
      <c r="U80" s="40">
        <v>4.8000000000000007</v>
      </c>
      <c r="V80" s="34">
        <v>39.700000000000003</v>
      </c>
      <c r="W80" s="40">
        <v>5</v>
      </c>
      <c r="X80" s="33">
        <v>41.2</v>
      </c>
      <c r="Y80" s="40">
        <v>6.3000000000000007</v>
      </c>
      <c r="Z80" s="34">
        <v>40.799999999999997</v>
      </c>
      <c r="AA80" s="37">
        <v>5.6999999999999993</v>
      </c>
    </row>
    <row r="81" spans="1:27" x14ac:dyDescent="0.2">
      <c r="A81" s="1" t="str" cm="1">
        <f t="array" ref="A81">IF(I81="","",IF(P81&lt;&gt;"",SUMPRODUCT((P$3:P$106&lt;&gt;"")*(G$3:G$106=G81)*(J$3:J$106&gt;J81)*(I$3:I$106="P"))+1,IF(O81&lt;&gt;"",SUMPRODUCT((O$3:O$106&lt;&gt;"")*(P$3:P$106="")*(G$3:G$106=G81)*(J$3:J$106&gt;J81)*(I$3:I$106="P"))+SUMPRODUCT((P$3:P$106&lt;&gt;"")*(G$3:G$106=G81)*(I$3:I$106="P"))+1,IF(N81&lt;&gt;"",SUMPRODUCT((N$3:N$106&lt;&gt;"")*(G$3:G$106=G81)*(J$3:J$106&gt;J81)*(I$3:I$106="P"))+1,IF(M81="P",SUMPRODUCT((O$3:O$106&lt;&gt;"")*(P$3:P$106="")*(G$3:G$106=G81)*(I$3:I$106="P"))+SUMPRODUCT((P$3:P$106&lt;&gt;"")*(G$3:G$106=G81)*(I$3:I$106="P"))+SUMPRODUCT((N$3:N$106&lt;&gt;"")*(G$3:G$106=G81)*(I$3:I$106="P"))+SUMPRODUCT((P$3:P$106="")*(O$3:O$106="")*(N$3:N$106="")*(M$3:M$106="P")*(G$3:G$106=G81)*(J$3:J$106&gt;J81)*(I$3:I$106="P"))+IF(H81="L5",SUMPRODUCT((P$3:P$106="")*(O$3:O$106="")*(N$3:N$106="")*(M$3:M$106="P")*(G$3:G$106=G81)*(J$3:J$106&lt;J81)*(H$3:H$106&lt;&gt;H81)*(I$3:I$106="P")),-1*SUMPRODUCT((P$3:P$106="")*(O$3:O$106="")*(N$3:N$106="")*(M$3:M$106="P")*(G$3:G$106=G81)*(J$3:J$106&gt;J81)*(H$3:H$106="L5")*(I$3:I$106="P")))+1,"")))))</f>
        <v/>
      </c>
      <c r="B81" s="1" t="str" cm="1">
        <f t="array" ref="B81">IF(P81&lt;&gt;"",SUMPRODUCT((P$3:P$106&lt;&gt;"")*(G$3:G$106=G81)*(J$3:J$106&gt;J81))+1,IF(O81&lt;&gt;"",SUMPRODUCT((O$3:O$106&lt;&gt;"")*(P$3:P$106="")*(G$3:G$106=G81)*(J$3:J$106&gt;J81))+SUMPRODUCT((P$3:P$106&lt;&gt;"")*(G$3:G$106=G81))+1,IF(N81&lt;&gt;"",SUMPRODUCT((N$3:N$106&lt;&gt;"")*(G$3:G$106=G81)*(J$3:J$106&gt;J81))+1,IF(M81="P",SUMPRODUCT((O$3:O$106&lt;&gt;"")*(P$3:P$106="")*(G$3:G$106=G81))+SUMPRODUCT((P$3:P$106&lt;&gt;"")*(G$3:G$106=G81))+SUMPRODUCT((N$3:N$106&lt;&gt;"")*(G$3:G$106=G81))+SUMPRODUCT((P$3:P$106="")*(O$3:O$106="")*(N$3:N$106="")*(M$3:M$106="P")*(G$3:G$106=G81)*(J$3:J$106&gt;J81))+IF(H81="L5",SUMPRODUCT((P$3:P$106="")*(O$3:O$106="")*(N$3:N$106="")*(M$3:M$106="P")*(G$3:G$106=G81)*(J$3:J$106&lt;J81)*(H$3:H$106&lt;&gt;H81)),-1*SUMPRODUCT((P$3:P$106="")*(O$3:O$106="")*(N$3:N$106="")*(M$3:M$106="P")*(G$3:G$106=G81)*(J$3:J$106&gt;J81)*(H$3:H$106="L5")))+1,""))))</f>
        <v/>
      </c>
      <c r="C81" s="36" t="s">
        <v>305</v>
      </c>
      <c r="D81" s="36" t="s">
        <v>198</v>
      </c>
      <c r="E81" s="36" t="s">
        <v>58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81.800003910000015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 t="shared" si="9"/>
        <v/>
      </c>
      <c r="R81" s="4">
        <f t="shared" si="10"/>
        <v>42.7</v>
      </c>
      <c r="S81" s="4">
        <f t="shared" si="11"/>
        <v>39.1</v>
      </c>
      <c r="T81" s="33">
        <v>42.7</v>
      </c>
      <c r="U81" s="40">
        <v>6.3000000000000007</v>
      </c>
      <c r="V81" s="34">
        <v>38</v>
      </c>
      <c r="W81" s="40">
        <v>4</v>
      </c>
      <c r="X81" s="33">
        <v>39.1</v>
      </c>
      <c r="Y81" s="40">
        <v>4.5</v>
      </c>
      <c r="Z81" s="34"/>
      <c r="AA81" s="37"/>
    </row>
    <row r="82" spans="1:27" x14ac:dyDescent="0.2">
      <c r="A82" s="1" t="str" cm="1">
        <f t="array" ref="A82">IF(I82="","",IF(P82&lt;&gt;"",SUMPRODUCT((P$3:P$106&lt;&gt;"")*(G$3:G$106=G82)*(J$3:J$106&gt;J82)*(I$3:I$106="P"))+1,IF(O82&lt;&gt;"",SUMPRODUCT((O$3:O$106&lt;&gt;"")*(P$3:P$106="")*(G$3:G$106=G82)*(J$3:J$106&gt;J82)*(I$3:I$106="P"))+SUMPRODUCT((P$3:P$106&lt;&gt;"")*(G$3:G$106=G82)*(I$3:I$106="P"))+1,IF(N82&lt;&gt;"",SUMPRODUCT((N$3:N$106&lt;&gt;"")*(G$3:G$106=G82)*(J$3:J$106&gt;J82)*(I$3:I$106="P"))+1,IF(M82="P",SUMPRODUCT((O$3:O$106&lt;&gt;"")*(P$3:P$106="")*(G$3:G$106=G82)*(I$3:I$106="P"))+SUMPRODUCT((P$3:P$106&lt;&gt;"")*(G$3:G$106=G82)*(I$3:I$106="P"))+SUMPRODUCT((N$3:N$106&lt;&gt;"")*(G$3:G$106=G82)*(I$3:I$106="P"))+SUMPRODUCT((P$3:P$106="")*(O$3:O$106="")*(N$3:N$106="")*(M$3:M$106="P")*(G$3:G$106=G82)*(J$3:J$106&gt;J82)*(I$3:I$106="P"))+IF(H82="L5",SUMPRODUCT((P$3:P$106="")*(O$3:O$106="")*(N$3:N$106="")*(M$3:M$106="P")*(G$3:G$106=G82)*(J$3:J$106&lt;J82)*(H$3:H$106&lt;&gt;H82)*(I$3:I$106="P")),-1*SUMPRODUCT((P$3:P$106="")*(O$3:O$106="")*(N$3:N$106="")*(M$3:M$106="P")*(G$3:G$106=G82)*(J$3:J$106&gt;J82)*(H$3:H$106="L5")*(I$3:I$106="P")))+1,"")))))</f>
        <v/>
      </c>
      <c r="B82" s="1" t="str" cm="1">
        <f t="array" ref="B82">IF(P82&lt;&gt;"",SUMPRODUCT((P$3:P$106&lt;&gt;"")*(G$3:G$106=G82)*(J$3:J$106&gt;J82))+1,IF(O82&lt;&gt;"",SUMPRODUCT((O$3:O$106&lt;&gt;"")*(P$3:P$106="")*(G$3:G$106=G82)*(J$3:J$106&gt;J82))+SUMPRODUCT((P$3:P$106&lt;&gt;"")*(G$3:G$106=G82))+1,IF(N82&lt;&gt;"",SUMPRODUCT((N$3:N$106&lt;&gt;"")*(G$3:G$106=G82)*(J$3:J$106&gt;J82))+1,IF(M82="P",SUMPRODUCT((O$3:O$106&lt;&gt;"")*(P$3:P$106="")*(G$3:G$106=G82))+SUMPRODUCT((P$3:P$106&lt;&gt;"")*(G$3:G$106=G82))+SUMPRODUCT((N$3:N$106&lt;&gt;"")*(G$3:G$106=G82))+SUMPRODUCT((P$3:P$106="")*(O$3:O$106="")*(N$3:N$106="")*(M$3:M$106="P")*(G$3:G$106=G82)*(J$3:J$106&gt;J82))+IF(H82="L5",SUMPRODUCT((P$3:P$106="")*(O$3:O$106="")*(N$3:N$106="")*(M$3:M$106="P")*(G$3:G$106=G82)*(J$3:J$106&lt;J82)*(H$3:H$106&lt;&gt;H82)),-1*SUMPRODUCT((P$3:P$106="")*(O$3:O$106="")*(N$3:N$106="")*(M$3:M$106="P")*(G$3:G$106=G82)*(J$3:J$106&gt;J82)*(H$3:H$106="L5")))+1,""))))</f>
        <v/>
      </c>
      <c r="C82" s="36" t="s">
        <v>241</v>
      </c>
      <c r="D82" s="36" t="s">
        <v>194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81.000004029999999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 t="shared" si="9"/>
        <v/>
      </c>
      <c r="R82" s="4">
        <f t="shared" si="10"/>
        <v>40.700000000000003</v>
      </c>
      <c r="S82" s="4">
        <f t="shared" si="11"/>
        <v>40.299999999999997</v>
      </c>
      <c r="T82" s="33">
        <v>40.700000000000003</v>
      </c>
      <c r="U82" s="40">
        <v>5.5</v>
      </c>
      <c r="V82" s="34"/>
      <c r="W82" s="40"/>
      <c r="X82" s="33">
        <v>40.299999999999997</v>
      </c>
      <c r="Y82" s="40">
        <v>2.9</v>
      </c>
      <c r="Z82" s="34"/>
      <c r="AA82" s="37"/>
    </row>
    <row r="83" spans="1:27" x14ac:dyDescent="0.2">
      <c r="A83" s="1" t="str" cm="1">
        <f t="array" ref="A83">IF(I83="","",IF(P83&lt;&gt;"",SUMPRODUCT((P$3:P$106&lt;&gt;"")*(G$3:G$106=G83)*(J$3:J$106&gt;J83)*(I$3:I$106="P"))+1,IF(O83&lt;&gt;"",SUMPRODUCT((O$3:O$106&lt;&gt;"")*(P$3:P$106="")*(G$3:G$106=G83)*(J$3:J$106&gt;J83)*(I$3:I$106="P"))+SUMPRODUCT((P$3:P$106&lt;&gt;"")*(G$3:G$106=G83)*(I$3:I$106="P"))+1,IF(N83&lt;&gt;"",SUMPRODUCT((N$3:N$106&lt;&gt;"")*(G$3:G$106=G83)*(J$3:J$106&gt;J83)*(I$3:I$106="P"))+1,IF(M83="P",SUMPRODUCT((O$3:O$106&lt;&gt;"")*(P$3:P$106="")*(G$3:G$106=G83)*(I$3:I$106="P"))+SUMPRODUCT((P$3:P$106&lt;&gt;"")*(G$3:G$106=G83)*(I$3:I$106="P"))+SUMPRODUCT((N$3:N$106&lt;&gt;"")*(G$3:G$106=G83)*(I$3:I$106="P"))+SUMPRODUCT((P$3:P$106="")*(O$3:O$106="")*(N$3:N$106="")*(M$3:M$106="P")*(G$3:G$106=G83)*(J$3:J$106&gt;J83)*(I$3:I$106="P"))+IF(H83="L5",SUMPRODUCT((P$3:P$106="")*(O$3:O$106="")*(N$3:N$106="")*(M$3:M$106="P")*(G$3:G$106=G83)*(J$3:J$106&lt;J83)*(H$3:H$106&lt;&gt;H83)*(I$3:I$106="P")),-1*SUMPRODUCT((P$3:P$106="")*(O$3:O$106="")*(N$3:N$106="")*(M$3:M$106="P")*(G$3:G$106=G83)*(J$3:J$106&gt;J83)*(H$3:H$106="L5")*(I$3:I$106="P")))+1,"")))))</f>
        <v/>
      </c>
      <c r="B83" s="1" t="str" cm="1">
        <f t="array" ref="B83">IF(P83&lt;&gt;"",SUMPRODUCT((P$3:P$106&lt;&gt;"")*(G$3:G$106=G83)*(J$3:J$106&gt;J83))+1,IF(O83&lt;&gt;"",SUMPRODUCT((O$3:O$106&lt;&gt;"")*(P$3:P$106="")*(G$3:G$106=G83)*(J$3:J$106&gt;J83))+SUMPRODUCT((P$3:P$106&lt;&gt;"")*(G$3:G$106=G83))+1,IF(N83&lt;&gt;"",SUMPRODUCT((N$3:N$106&lt;&gt;"")*(G$3:G$106=G83)*(J$3:J$106&gt;J83))+1,IF(M83="P",SUMPRODUCT((O$3:O$106&lt;&gt;"")*(P$3:P$106="")*(G$3:G$106=G83))+SUMPRODUCT((P$3:P$106&lt;&gt;"")*(G$3:G$106=G83))+SUMPRODUCT((N$3:N$106&lt;&gt;"")*(G$3:G$106=G83))+SUMPRODUCT((P$3:P$106="")*(O$3:O$106="")*(N$3:N$106="")*(M$3:M$106="P")*(G$3:G$106=G83)*(J$3:J$106&gt;J83))+IF(H83="L5",SUMPRODUCT((P$3:P$106="")*(O$3:O$106="")*(N$3:N$106="")*(M$3:M$106="P")*(G$3:G$106=G83)*(J$3:J$106&lt;J83)*(H$3:H$106&lt;&gt;H83)),-1*SUMPRODUCT((P$3:P$106="")*(O$3:O$106="")*(N$3:N$106="")*(M$3:M$106="P")*(G$3:G$106=G83)*(J$3:J$106&gt;J83)*(H$3:H$106="L5")))+1,""))))</f>
        <v/>
      </c>
      <c r="C83" s="36" t="s">
        <v>266</v>
      </c>
      <c r="D83" s="36" t="s">
        <v>194</v>
      </c>
      <c r="E83" s="36" t="s">
        <v>62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81.000003899999996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 t="shared" si="9"/>
        <v/>
      </c>
      <c r="R83" s="4">
        <f t="shared" si="10"/>
        <v>42</v>
      </c>
      <c r="S83" s="4">
        <f t="shared" si="11"/>
        <v>39</v>
      </c>
      <c r="T83" s="33">
        <v>42</v>
      </c>
      <c r="U83" s="40">
        <v>5.8000000000000007</v>
      </c>
      <c r="V83" s="34">
        <v>34.9</v>
      </c>
      <c r="W83" s="40">
        <v>3.9000000000000004</v>
      </c>
      <c r="X83" s="33">
        <v>39</v>
      </c>
      <c r="Y83" s="40">
        <v>3.4000000000000004</v>
      </c>
      <c r="Z83" s="34"/>
      <c r="AA83" s="37"/>
    </row>
    <row r="84" spans="1:27" x14ac:dyDescent="0.2">
      <c r="A84" s="1" t="str" cm="1">
        <f t="array" ref="A84">IF(I84="","",IF(P84&lt;&gt;"",SUMPRODUCT((P$3:P$106&lt;&gt;"")*(G$3:G$106=G84)*(J$3:J$106&gt;J84)*(I$3:I$106="P"))+1,IF(O84&lt;&gt;"",SUMPRODUCT((O$3:O$106&lt;&gt;"")*(P$3:P$106="")*(G$3:G$106=G84)*(J$3:J$106&gt;J84)*(I$3:I$106="P"))+SUMPRODUCT((P$3:P$106&lt;&gt;"")*(G$3:G$106=G84)*(I$3:I$106="P"))+1,IF(N84&lt;&gt;"",SUMPRODUCT((N$3:N$106&lt;&gt;"")*(G$3:G$106=G84)*(J$3:J$106&gt;J84)*(I$3:I$106="P"))+1,IF(M84="P",SUMPRODUCT((O$3:O$106&lt;&gt;"")*(P$3:P$106="")*(G$3:G$106=G84)*(I$3:I$106="P"))+SUMPRODUCT((P$3:P$106&lt;&gt;"")*(G$3:G$106=G84)*(I$3:I$106="P"))+SUMPRODUCT((N$3:N$106&lt;&gt;"")*(G$3:G$106=G84)*(I$3:I$106="P"))+SUMPRODUCT((P$3:P$106="")*(O$3:O$106="")*(N$3:N$106="")*(M$3:M$106="P")*(G$3:G$106=G84)*(J$3:J$106&gt;J84)*(I$3:I$106="P"))+IF(H84="L5",SUMPRODUCT((P$3:P$106="")*(O$3:O$106="")*(N$3:N$106="")*(M$3:M$106="P")*(G$3:G$106=G84)*(J$3:J$106&lt;J84)*(H$3:H$106&lt;&gt;H84)*(I$3:I$106="P")),-1*SUMPRODUCT((P$3:P$106="")*(O$3:O$106="")*(N$3:N$106="")*(M$3:M$106="P")*(G$3:G$106=G84)*(J$3:J$106&gt;J84)*(H$3:H$106="L5")*(I$3:I$106="P")))+1,"")))))</f>
        <v/>
      </c>
      <c r="B84" s="1" t="str" cm="1">
        <f t="array" ref="B84">IF(P84&lt;&gt;"",SUMPRODUCT((P$3:P$106&lt;&gt;"")*(G$3:G$106=G84)*(J$3:J$106&gt;J84))+1,IF(O84&lt;&gt;"",SUMPRODUCT((O$3:O$106&lt;&gt;"")*(P$3:P$106="")*(G$3:G$106=G84)*(J$3:J$106&gt;J84))+SUMPRODUCT((P$3:P$106&lt;&gt;"")*(G$3:G$106=G84))+1,IF(N84&lt;&gt;"",SUMPRODUCT((N$3:N$106&lt;&gt;"")*(G$3:G$106=G84)*(J$3:J$106&gt;J84))+1,IF(M84="P",SUMPRODUCT((O$3:O$106&lt;&gt;"")*(P$3:P$106="")*(G$3:G$106=G84))+SUMPRODUCT((P$3:P$106&lt;&gt;"")*(G$3:G$106=G84))+SUMPRODUCT((N$3:N$106&lt;&gt;"")*(G$3:G$106=G84))+SUMPRODUCT((P$3:P$106="")*(O$3:O$106="")*(N$3:N$106="")*(M$3:M$106="P")*(G$3:G$106=G84)*(J$3:J$106&gt;J84))+IF(H84="L5",SUMPRODUCT((P$3:P$106="")*(O$3:O$106="")*(N$3:N$106="")*(M$3:M$106="P")*(G$3:G$106=G84)*(J$3:J$106&lt;J84)*(H$3:H$106&lt;&gt;H84)),-1*SUMPRODUCT((P$3:P$106="")*(O$3:O$106="")*(N$3:N$106="")*(M$3:M$106="P")*(G$3:G$106=G84)*(J$3:J$106&gt;J84)*(H$3:H$106="L5")))+1,""))))</f>
        <v/>
      </c>
      <c r="C84" s="36" t="s">
        <v>240</v>
      </c>
      <c r="D84" s="36" t="s">
        <v>194</v>
      </c>
      <c r="E84" s="36" t="s">
        <v>290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80.90000409000001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 t="shared" si="9"/>
        <v/>
      </c>
      <c r="R84" s="4">
        <f t="shared" si="10"/>
        <v>40.9</v>
      </c>
      <c r="S84" s="4">
        <f t="shared" si="11"/>
        <v>40</v>
      </c>
      <c r="T84" s="33">
        <v>40</v>
      </c>
      <c r="U84" s="40">
        <v>3.9000000000000004</v>
      </c>
      <c r="V84" s="34"/>
      <c r="W84" s="40"/>
      <c r="X84" s="33">
        <v>40.9</v>
      </c>
      <c r="Y84" s="40">
        <v>4.8000000000000007</v>
      </c>
      <c r="Z84" s="34"/>
      <c r="AA84" s="37"/>
    </row>
    <row r="85" spans="1:27" x14ac:dyDescent="0.2">
      <c r="A85" s="1" t="str" cm="1">
        <f t="array" ref="A85">IF(I85="","",IF(P85&lt;&gt;"",SUMPRODUCT((P$3:P$106&lt;&gt;"")*(G$3:G$106=G85)*(J$3:J$106&gt;J85)*(I$3:I$106="P"))+1,IF(O85&lt;&gt;"",SUMPRODUCT((O$3:O$106&lt;&gt;"")*(P$3:P$106="")*(G$3:G$106=G85)*(J$3:J$106&gt;J85)*(I$3:I$106="P"))+SUMPRODUCT((P$3:P$106&lt;&gt;"")*(G$3:G$106=G85)*(I$3:I$106="P"))+1,IF(N85&lt;&gt;"",SUMPRODUCT((N$3:N$106&lt;&gt;"")*(G$3:G$106=G85)*(J$3:J$106&gt;J85)*(I$3:I$106="P"))+1,IF(M85="P",SUMPRODUCT((O$3:O$106&lt;&gt;"")*(P$3:P$106="")*(G$3:G$106=G85)*(I$3:I$106="P"))+SUMPRODUCT((P$3:P$106&lt;&gt;"")*(G$3:G$106=G85)*(I$3:I$106="P"))+SUMPRODUCT((N$3:N$106&lt;&gt;"")*(G$3:G$106=G85)*(I$3:I$106="P"))+SUMPRODUCT((P$3:P$106="")*(O$3:O$106="")*(N$3:N$106="")*(M$3:M$106="P")*(G$3:G$106=G85)*(J$3:J$106&gt;J85)*(I$3:I$106="P"))+IF(H85="L5",SUMPRODUCT((P$3:P$106="")*(O$3:O$106="")*(N$3:N$106="")*(M$3:M$106="P")*(G$3:G$106=G85)*(J$3:J$106&lt;J85)*(H$3:H$106&lt;&gt;H85)*(I$3:I$106="P")),-1*SUMPRODUCT((P$3:P$106="")*(O$3:O$106="")*(N$3:N$106="")*(M$3:M$106="P")*(G$3:G$106=G85)*(J$3:J$106&gt;J85)*(H$3:H$106="L5")*(I$3:I$106="P")))+1,"")))))</f>
        <v/>
      </c>
      <c r="B85" s="1" t="str" cm="1">
        <f t="array" ref="B85">IF(P85&lt;&gt;"",SUMPRODUCT((P$3:P$106&lt;&gt;"")*(G$3:G$106=G85)*(J$3:J$106&gt;J85))+1,IF(O85&lt;&gt;"",SUMPRODUCT((O$3:O$106&lt;&gt;"")*(P$3:P$106="")*(G$3:G$106=G85)*(J$3:J$106&gt;J85))+SUMPRODUCT((P$3:P$106&lt;&gt;"")*(G$3:G$106=G85))+1,IF(N85&lt;&gt;"",SUMPRODUCT((N$3:N$106&lt;&gt;"")*(G$3:G$106=G85)*(J$3:J$106&gt;J85))+1,IF(M85="P",SUMPRODUCT((O$3:O$106&lt;&gt;"")*(P$3:P$106="")*(G$3:G$106=G85))+SUMPRODUCT((P$3:P$106&lt;&gt;"")*(G$3:G$106=G85))+SUMPRODUCT((N$3:N$106&lt;&gt;"")*(G$3:G$106=G85))+SUMPRODUCT((P$3:P$106="")*(O$3:O$106="")*(N$3:N$106="")*(M$3:M$106="P")*(G$3:G$106=G85)*(J$3:J$106&gt;J85))+IF(H85="L5",SUMPRODUCT((P$3:P$106="")*(O$3:O$106="")*(N$3:N$106="")*(M$3:M$106="P")*(G$3:G$106=G85)*(J$3:J$106&lt;J85)*(H$3:H$106&lt;&gt;H85)),-1*SUMPRODUCT((P$3:P$106="")*(O$3:O$106="")*(N$3:N$106="")*(M$3:M$106="P")*(G$3:G$106=G85)*(J$3:J$106&gt;J85)*(H$3:H$106="L5")))+1,""))))</f>
        <v/>
      </c>
      <c r="C85" s="36" t="s">
        <v>267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78.100003919999992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 t="shared" si="9"/>
        <v/>
      </c>
      <c r="R85" s="4">
        <f t="shared" si="10"/>
        <v>39.200000000000003</v>
      </c>
      <c r="S85" s="4">
        <f t="shared" si="11"/>
        <v>38.9</v>
      </c>
      <c r="T85" s="33">
        <v>38.9</v>
      </c>
      <c r="U85" s="40">
        <v>3.4000000000000004</v>
      </c>
      <c r="V85" s="34"/>
      <c r="W85" s="40"/>
      <c r="X85" s="33">
        <v>39.200000000000003</v>
      </c>
      <c r="Y85" s="40">
        <v>3.8</v>
      </c>
      <c r="Z85" s="34"/>
      <c r="AA85" s="37"/>
    </row>
    <row r="86" spans="1:27" x14ac:dyDescent="0.2">
      <c r="A86" s="1" t="str" cm="1">
        <f t="array" ref="A86">IF(I86="","",IF(P86&lt;&gt;"",SUMPRODUCT((P$3:P$106&lt;&gt;"")*(G$3:G$106=G86)*(J$3:J$106&gt;J86)*(I$3:I$106="P"))+1,IF(O86&lt;&gt;"",SUMPRODUCT((O$3:O$106&lt;&gt;"")*(P$3:P$106="")*(G$3:G$106=G86)*(J$3:J$106&gt;J86)*(I$3:I$106="P"))+SUMPRODUCT((P$3:P$106&lt;&gt;"")*(G$3:G$106=G86)*(I$3:I$106="P"))+1,IF(N86&lt;&gt;"",SUMPRODUCT((N$3:N$106&lt;&gt;"")*(G$3:G$106=G86)*(J$3:J$106&gt;J86)*(I$3:I$106="P"))+1,IF(M86="P",SUMPRODUCT((O$3:O$106&lt;&gt;"")*(P$3:P$106="")*(G$3:G$106=G86)*(I$3:I$106="P"))+SUMPRODUCT((P$3:P$106&lt;&gt;"")*(G$3:G$106=G86)*(I$3:I$106="P"))+SUMPRODUCT((N$3:N$106&lt;&gt;"")*(G$3:G$106=G86)*(I$3:I$106="P"))+SUMPRODUCT((P$3:P$106="")*(O$3:O$106="")*(N$3:N$106="")*(M$3:M$106="P")*(G$3:G$106=G86)*(J$3:J$106&gt;J86)*(I$3:I$106="P"))+IF(H86="L5",SUMPRODUCT((P$3:P$106="")*(O$3:O$106="")*(N$3:N$106="")*(M$3:M$106="P")*(G$3:G$106=G86)*(J$3:J$106&lt;J86)*(H$3:H$106&lt;&gt;H86)*(I$3:I$106="P")),-1*SUMPRODUCT((P$3:P$106="")*(O$3:O$106="")*(N$3:N$106="")*(M$3:M$106="P")*(G$3:G$106=G86)*(J$3:J$106&gt;J86)*(H$3:H$106="L5")*(I$3:I$106="P")))+1,"")))))</f>
        <v/>
      </c>
      <c r="B86" s="1" t="str" cm="1">
        <f t="array" ref="B86">IF(P86&lt;&gt;"",SUMPRODUCT((P$3:P$106&lt;&gt;"")*(G$3:G$106=G86)*(J$3:J$106&gt;J86))+1,IF(O86&lt;&gt;"",SUMPRODUCT((O$3:O$106&lt;&gt;"")*(P$3:P$106="")*(G$3:G$106=G86)*(J$3:J$106&gt;J86))+SUMPRODUCT((P$3:P$106&lt;&gt;"")*(G$3:G$106=G86))+1,IF(N86&lt;&gt;"",SUMPRODUCT((N$3:N$106&lt;&gt;"")*(G$3:G$106=G86)*(J$3:J$106&gt;J86))+1,IF(M86="P",SUMPRODUCT((O$3:O$106&lt;&gt;"")*(P$3:P$106="")*(G$3:G$106=G86))+SUMPRODUCT((P$3:P$106&lt;&gt;"")*(G$3:G$106=G86))+SUMPRODUCT((N$3:N$106&lt;&gt;"")*(G$3:G$106=G86))+SUMPRODUCT((P$3:P$106="")*(O$3:O$106="")*(N$3:N$106="")*(M$3:M$106="P")*(G$3:G$106=G86)*(J$3:J$106&gt;J86))+IF(H86="L5",SUMPRODUCT((P$3:P$106="")*(O$3:O$106="")*(N$3:N$106="")*(M$3:M$106="P")*(G$3:G$106=G86)*(J$3:J$106&lt;J86)*(H$3:H$106&lt;&gt;H86)),-1*SUMPRODUCT((P$3:P$106="")*(O$3:O$106="")*(N$3:N$106="")*(M$3:M$106="P")*(G$3:G$106=G86)*(J$3:J$106&gt;J86)*(H$3:H$106="L5")))+1,""))))</f>
        <v/>
      </c>
      <c r="C86" s="36" t="s">
        <v>571</v>
      </c>
      <c r="D86" s="36" t="str">
        <f>IF(E86="","",VLOOKUP(E86,'Coaching Points'!A:B,2,0))</f>
        <v>ON</v>
      </c>
      <c r="E86" s="36" t="s">
        <v>47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62.00000421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 t="shared" si="9"/>
        <v/>
      </c>
      <c r="R86" s="4">
        <f t="shared" si="10"/>
        <v>42.1</v>
      </c>
      <c r="S86" s="4">
        <f t="shared" si="11"/>
        <v>19.899999999999999</v>
      </c>
      <c r="T86" s="33"/>
      <c r="U86" s="40"/>
      <c r="V86" s="34"/>
      <c r="W86" s="40"/>
      <c r="X86" s="33">
        <v>42.1</v>
      </c>
      <c r="Y86" s="40">
        <v>4.9000000000000004</v>
      </c>
      <c r="Z86" s="34">
        <v>19.899999999999999</v>
      </c>
      <c r="AA86" s="37">
        <v>2.1</v>
      </c>
    </row>
    <row r="87" spans="1:27" x14ac:dyDescent="0.2">
      <c r="A87" s="1" t="str" cm="1">
        <f t="array" ref="A87">IF(I87="","",IF(P87&lt;&gt;"",SUMPRODUCT((P$3:P$106&lt;&gt;"")*(G$3:G$106=G87)*(J$3:J$106&gt;J87)*(I$3:I$106="P"))+1,IF(O87&lt;&gt;"",SUMPRODUCT((O$3:O$106&lt;&gt;"")*(P$3:P$106="")*(G$3:G$106=G87)*(J$3:J$106&gt;J87)*(I$3:I$106="P"))+SUMPRODUCT((P$3:P$106&lt;&gt;"")*(G$3:G$106=G87)*(I$3:I$106="P"))+1,IF(N87&lt;&gt;"",SUMPRODUCT((N$3:N$106&lt;&gt;"")*(G$3:G$106=G87)*(J$3:J$106&gt;J87)*(I$3:I$106="P"))+1,IF(M87="P",SUMPRODUCT((O$3:O$106&lt;&gt;"")*(P$3:P$106="")*(G$3:G$106=G87)*(I$3:I$106="P"))+SUMPRODUCT((P$3:P$106&lt;&gt;"")*(G$3:G$106=G87)*(I$3:I$106="P"))+SUMPRODUCT((N$3:N$106&lt;&gt;"")*(G$3:G$106=G87)*(I$3:I$106="P"))+SUMPRODUCT((P$3:P$106="")*(O$3:O$106="")*(N$3:N$106="")*(M$3:M$106="P")*(G$3:G$106=G87)*(J$3:J$106&gt;J87)*(I$3:I$106="P"))+IF(H87="L5",SUMPRODUCT((P$3:P$106="")*(O$3:O$106="")*(N$3:N$106="")*(M$3:M$106="P")*(G$3:G$106=G87)*(J$3:J$106&lt;J87)*(H$3:H$106&lt;&gt;H87)*(I$3:I$106="P")),-1*SUMPRODUCT((P$3:P$106="")*(O$3:O$106="")*(N$3:N$106="")*(M$3:M$106="P")*(G$3:G$106=G87)*(J$3:J$106&gt;J87)*(H$3:H$106="L5")*(I$3:I$106="P")))+1,"")))))</f>
        <v/>
      </c>
      <c r="B87" s="1" t="str" cm="1">
        <f t="array" ref="B87">IF(P87&lt;&gt;"",SUMPRODUCT((P$3:P$106&lt;&gt;"")*(G$3:G$106=G87)*(J$3:J$106&gt;J87))+1,IF(O87&lt;&gt;"",SUMPRODUCT((O$3:O$106&lt;&gt;"")*(P$3:P$106="")*(G$3:G$106=G87)*(J$3:J$106&gt;J87))+SUMPRODUCT((P$3:P$106&lt;&gt;"")*(G$3:G$106=G87))+1,IF(N87&lt;&gt;"",SUMPRODUCT((N$3:N$106&lt;&gt;"")*(G$3:G$106=G87)*(J$3:J$106&gt;J87))+1,IF(M87="P",SUMPRODUCT((O$3:O$106&lt;&gt;"")*(P$3:P$106="")*(G$3:G$106=G87))+SUMPRODUCT((P$3:P$106&lt;&gt;"")*(G$3:G$106=G87))+SUMPRODUCT((N$3:N$106&lt;&gt;"")*(G$3:G$106=G87))+SUMPRODUCT((P$3:P$106="")*(O$3:O$106="")*(N$3:N$106="")*(M$3:M$106="P")*(G$3:G$106=G87)*(J$3:J$106&gt;J87))+IF(H87="L5",SUMPRODUCT((P$3:P$106="")*(O$3:O$106="")*(N$3:N$106="")*(M$3:M$106="P")*(G$3:G$106=G87)*(J$3:J$106&lt;J87)*(H$3:H$106&lt;&gt;H87)),-1*SUMPRODUCT((P$3:P$106="")*(O$3:O$106="")*(N$3:N$106="")*(M$3:M$106="P")*(G$3:G$106=G87)*(J$3:J$106&gt;J87)*(H$3:H$106="L5")))+1,""))))</f>
        <v/>
      </c>
      <c r="C87" s="36" t="s">
        <v>475</v>
      </c>
      <c r="D87" s="36" t="str">
        <f>IF(E87="","",VLOOKUP(E87,'Coaching Points'!A:B,2,0))</f>
        <v>BC</v>
      </c>
      <c r="E87" s="36" t="s">
        <v>41</v>
      </c>
      <c r="F87" s="35">
        <v>2007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67</v>
      </c>
      <c r="I87" s="43"/>
      <c r="J87" s="4">
        <f t="shared" si="8"/>
        <v>44.600104460000004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 t="shared" si="9"/>
        <v/>
      </c>
      <c r="R87" s="4">
        <f t="shared" si="10"/>
        <v>44.6</v>
      </c>
      <c r="S87" s="4">
        <f t="shared" si="11"/>
        <v>0</v>
      </c>
      <c r="T87" s="33"/>
      <c r="U87" s="40"/>
      <c r="V87" s="34"/>
      <c r="W87" s="40"/>
      <c r="X87" s="33">
        <v>44.6</v>
      </c>
      <c r="Y87" s="40">
        <v>9.5</v>
      </c>
      <c r="Z87" s="34"/>
      <c r="AA87" s="37"/>
    </row>
    <row r="88" spans="1:27" x14ac:dyDescent="0.2">
      <c r="A88" s="1" t="str" cm="1">
        <f t="array" ref="A88">IF(I88="","",IF(P88&lt;&gt;"",SUMPRODUCT((P$3:P$106&lt;&gt;"")*(G$3:G$106=G88)*(J$3:J$106&gt;J88)*(I$3:I$106="P"))+1,IF(O88&lt;&gt;"",SUMPRODUCT((O$3:O$106&lt;&gt;"")*(P$3:P$106="")*(G$3:G$106=G88)*(J$3:J$106&gt;J88)*(I$3:I$106="P"))+SUMPRODUCT((P$3:P$106&lt;&gt;"")*(G$3:G$106=G88)*(I$3:I$106="P"))+1,IF(N88&lt;&gt;"",SUMPRODUCT((N$3:N$106&lt;&gt;"")*(G$3:G$106=G88)*(J$3:J$106&gt;J88)*(I$3:I$106="P"))+1,IF(M88="P",SUMPRODUCT((O$3:O$106&lt;&gt;"")*(P$3:P$106="")*(G$3:G$106=G88)*(I$3:I$106="P"))+SUMPRODUCT((P$3:P$106&lt;&gt;"")*(G$3:G$106=G88)*(I$3:I$106="P"))+SUMPRODUCT((N$3:N$106&lt;&gt;"")*(G$3:G$106=G88)*(I$3:I$106="P"))+SUMPRODUCT((P$3:P$106="")*(O$3:O$106="")*(N$3:N$106="")*(M$3:M$106="P")*(G$3:G$106=G88)*(J$3:J$106&gt;J88)*(I$3:I$106="P"))+IF(H88="L5",SUMPRODUCT((P$3:P$106="")*(O$3:O$106="")*(N$3:N$106="")*(M$3:M$106="P")*(G$3:G$106=G88)*(J$3:J$106&lt;J88)*(H$3:H$106&lt;&gt;H88)*(I$3:I$106="P")),-1*SUMPRODUCT((P$3:P$106="")*(O$3:O$106="")*(N$3:N$106="")*(M$3:M$106="P")*(G$3:G$106=G88)*(J$3:J$106&gt;J88)*(H$3:H$106="L5")*(I$3:I$106="P")))+1,"")))))</f>
        <v/>
      </c>
      <c r="B88" s="1" t="str" cm="1">
        <f t="array" ref="B88">IF(P88&lt;&gt;"",SUMPRODUCT((P$3:P$106&lt;&gt;"")*(G$3:G$106=G88)*(J$3:J$106&gt;J88))+1,IF(O88&lt;&gt;"",SUMPRODUCT((O$3:O$106&lt;&gt;"")*(P$3:P$106="")*(G$3:G$106=G88)*(J$3:J$106&gt;J88))+SUMPRODUCT((P$3:P$106&lt;&gt;"")*(G$3:G$106=G88))+1,IF(N88&lt;&gt;"",SUMPRODUCT((N$3:N$106&lt;&gt;"")*(G$3:G$106=G88)*(J$3:J$106&gt;J88))+1,IF(M88="P",SUMPRODUCT((O$3:O$106&lt;&gt;"")*(P$3:P$106="")*(G$3:G$106=G88))+SUMPRODUCT((P$3:P$106&lt;&gt;"")*(G$3:G$106=G88))+SUMPRODUCT((N$3:N$106&lt;&gt;"")*(G$3:G$106=G88))+SUMPRODUCT((P$3:P$106="")*(O$3:O$106="")*(N$3:N$106="")*(M$3:M$106="P")*(G$3:G$106=G88)*(J$3:J$106&gt;J88))+IF(H88="L5",SUMPRODUCT((P$3:P$106="")*(O$3:O$106="")*(N$3:N$106="")*(M$3:M$106="P")*(G$3:G$106=G88)*(J$3:J$106&lt;J88)*(H$3:H$106&lt;&gt;H88)),-1*SUMPRODUCT((P$3:P$106="")*(O$3:O$106="")*(N$3:N$106="")*(M$3:M$106="P")*(G$3:G$106=G88)*(J$3:J$106&gt;J88)*(H$3:H$106="L5")))+1,""))))</f>
        <v/>
      </c>
      <c r="C88" s="36" t="s">
        <v>559</v>
      </c>
      <c r="D88" s="36" t="str">
        <f>IF(E88="","",VLOOKUP(E88,'Coaching Points'!A:B,2,0))</f>
        <v>AB</v>
      </c>
      <c r="E88" s="36" t="s">
        <v>63</v>
      </c>
      <c r="F88" s="35">
        <v>2008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8"/>
        <v>40.600004060000003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 t="shared" si="9"/>
        <v/>
      </c>
      <c r="R88" s="4">
        <f t="shared" si="10"/>
        <v>40.6</v>
      </c>
      <c r="S88" s="4">
        <f t="shared" si="11"/>
        <v>0</v>
      </c>
      <c r="T88" s="33"/>
      <c r="U88" s="40"/>
      <c r="V88" s="34"/>
      <c r="W88" s="40"/>
      <c r="X88" s="33">
        <v>40.6</v>
      </c>
      <c r="Y88" s="40">
        <v>4.4000000000000004</v>
      </c>
      <c r="Z88" s="34"/>
      <c r="AA88" s="37"/>
    </row>
    <row r="89" spans="1:27" x14ac:dyDescent="0.2">
      <c r="A89" s="1" t="str" cm="1">
        <f t="array" ref="A89">IF(I89="","",IF(P89&lt;&gt;"",SUMPRODUCT((P$3:P$106&lt;&gt;"")*(G$3:G$106=G89)*(J$3:J$106&gt;J89)*(I$3:I$106="P"))+1,IF(O89&lt;&gt;"",SUMPRODUCT((O$3:O$106&lt;&gt;"")*(P$3:P$106="")*(G$3:G$106=G89)*(J$3:J$106&gt;J89)*(I$3:I$106="P"))+SUMPRODUCT((P$3:P$106&lt;&gt;"")*(G$3:G$106=G89)*(I$3:I$106="P"))+1,IF(N89&lt;&gt;"",SUMPRODUCT((N$3:N$106&lt;&gt;"")*(G$3:G$106=G89)*(J$3:J$106&gt;J89)*(I$3:I$106="P"))+1,IF(M89="P",SUMPRODUCT((O$3:O$106&lt;&gt;"")*(P$3:P$106="")*(G$3:G$106=G89)*(I$3:I$106="P"))+SUMPRODUCT((P$3:P$106&lt;&gt;"")*(G$3:G$106=G89)*(I$3:I$106="P"))+SUMPRODUCT((N$3:N$106&lt;&gt;"")*(G$3:G$106=G89)*(I$3:I$106="P"))+SUMPRODUCT((P$3:P$106="")*(O$3:O$106="")*(N$3:N$106="")*(M$3:M$106="P")*(G$3:G$106=G89)*(J$3:J$106&gt;J89)*(I$3:I$106="P"))+IF(H89="L5",SUMPRODUCT((P$3:P$106="")*(O$3:O$106="")*(N$3:N$106="")*(M$3:M$106="P")*(G$3:G$106=G89)*(J$3:J$106&lt;J89)*(H$3:H$106&lt;&gt;H89)*(I$3:I$106="P")),-1*SUMPRODUCT((P$3:P$106="")*(O$3:O$106="")*(N$3:N$106="")*(M$3:M$106="P")*(G$3:G$106=G89)*(J$3:J$106&gt;J89)*(H$3:H$106="L5")*(I$3:I$106="P")))+1,"")))))</f>
        <v/>
      </c>
      <c r="B89" s="1" t="str" cm="1">
        <f t="array" ref="B89">IF(P89&lt;&gt;"",SUMPRODUCT((P$3:P$106&lt;&gt;"")*(G$3:G$106=G89)*(J$3:J$106&gt;J89))+1,IF(O89&lt;&gt;"",SUMPRODUCT((O$3:O$106&lt;&gt;"")*(P$3:P$106="")*(G$3:G$106=G89)*(J$3:J$106&gt;J89))+SUMPRODUCT((P$3:P$106&lt;&gt;"")*(G$3:G$106=G89))+1,IF(N89&lt;&gt;"",SUMPRODUCT((N$3:N$106&lt;&gt;"")*(G$3:G$106=G89)*(J$3:J$106&gt;J89))+1,IF(M89="P",SUMPRODUCT((O$3:O$106&lt;&gt;"")*(P$3:P$106="")*(G$3:G$106=G89))+SUMPRODUCT((P$3:P$106&lt;&gt;"")*(G$3:G$106=G89))+SUMPRODUCT((N$3:N$106&lt;&gt;"")*(G$3:G$106=G89))+SUMPRODUCT((P$3:P$106="")*(O$3:O$106="")*(N$3:N$106="")*(M$3:M$106="P")*(G$3:G$106=G89)*(J$3:J$106&gt;J89))+IF(H89="L5",SUMPRODUCT((P$3:P$106="")*(O$3:O$106="")*(N$3:N$106="")*(M$3:M$106="P")*(G$3:G$106=G89)*(J$3:J$106&lt;J89)*(H$3:H$106&lt;&gt;H89)),-1*SUMPRODUCT((P$3:P$106="")*(O$3:O$106="")*(N$3:N$106="")*(M$3:M$106="P")*(G$3:G$106=G89)*(J$3:J$106&gt;J89)*(H$3:H$106="L5")))+1,""))))</f>
        <v/>
      </c>
      <c r="C89" s="36" t="s">
        <v>560</v>
      </c>
      <c r="D89" s="36" t="str">
        <f>IF(E89="","",VLOOKUP(E89,'Coaching Points'!A:B,2,0))</f>
        <v>AB</v>
      </c>
      <c r="E89" s="36" t="s">
        <v>424</v>
      </c>
      <c r="F89" s="35">
        <v>2007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8"/>
        <v>38.800003879999998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 t="shared" si="9"/>
        <v/>
      </c>
      <c r="R89" s="4">
        <f t="shared" si="10"/>
        <v>38.799999999999997</v>
      </c>
      <c r="S89" s="4">
        <f t="shared" si="11"/>
        <v>0</v>
      </c>
      <c r="T89" s="33"/>
      <c r="U89" s="40"/>
      <c r="V89" s="34"/>
      <c r="W89" s="40"/>
      <c r="X89" s="33">
        <v>38.799999999999997</v>
      </c>
      <c r="Y89" s="40">
        <v>3.4000000000000004</v>
      </c>
      <c r="Z89" s="34"/>
      <c r="AA89" s="37"/>
    </row>
    <row r="90" spans="1:27" x14ac:dyDescent="0.2">
      <c r="A90" s="1" t="str" cm="1">
        <f t="array" ref="A90">IF(I90="","",IF(P90&lt;&gt;"",SUMPRODUCT((P$3:P$106&lt;&gt;"")*(G$3:G$106=G90)*(J$3:J$106&gt;J90)*(I$3:I$106="P"))+1,IF(O90&lt;&gt;"",SUMPRODUCT((O$3:O$106&lt;&gt;"")*(P$3:P$106="")*(G$3:G$106=G90)*(J$3:J$106&gt;J90)*(I$3:I$106="P"))+SUMPRODUCT((P$3:P$106&lt;&gt;"")*(G$3:G$106=G90)*(I$3:I$106="P"))+1,IF(N90&lt;&gt;"",SUMPRODUCT((N$3:N$106&lt;&gt;"")*(G$3:G$106=G90)*(J$3:J$106&gt;J90)*(I$3:I$106="P"))+1,IF(M90="P",SUMPRODUCT((O$3:O$106&lt;&gt;"")*(P$3:P$106="")*(G$3:G$106=G90)*(I$3:I$106="P"))+SUMPRODUCT((P$3:P$106&lt;&gt;"")*(G$3:G$106=G90)*(I$3:I$106="P"))+SUMPRODUCT((N$3:N$106&lt;&gt;"")*(G$3:G$106=G90)*(I$3:I$106="P"))+SUMPRODUCT((P$3:P$106="")*(O$3:O$106="")*(N$3:N$106="")*(M$3:M$106="P")*(G$3:G$106=G90)*(J$3:J$106&gt;J90)*(I$3:I$106="P"))+IF(H90="L5",SUMPRODUCT((P$3:P$106="")*(O$3:O$106="")*(N$3:N$106="")*(M$3:M$106="P")*(G$3:G$106=G90)*(J$3:J$106&lt;J90)*(H$3:H$106&lt;&gt;H90)*(I$3:I$106="P")),-1*SUMPRODUCT((P$3:P$106="")*(O$3:O$106="")*(N$3:N$106="")*(M$3:M$106="P")*(G$3:G$106=G90)*(J$3:J$106&gt;J90)*(H$3:H$106="L5")*(I$3:I$106="P")))+1,"")))))</f>
        <v/>
      </c>
      <c r="B90" s="1" t="str" cm="1">
        <f t="array" ref="B90">IF(P90&lt;&gt;"",SUMPRODUCT((P$3:P$106&lt;&gt;"")*(G$3:G$106=G90)*(J$3:J$106&gt;J90))+1,IF(O90&lt;&gt;"",SUMPRODUCT((O$3:O$106&lt;&gt;"")*(P$3:P$106="")*(G$3:G$106=G90)*(J$3:J$106&gt;J90))+SUMPRODUCT((P$3:P$106&lt;&gt;"")*(G$3:G$106=G90))+1,IF(N90&lt;&gt;"",SUMPRODUCT((N$3:N$106&lt;&gt;"")*(G$3:G$106=G90)*(J$3:J$106&gt;J90))+1,IF(M90="P",SUMPRODUCT((O$3:O$106&lt;&gt;"")*(P$3:P$106="")*(G$3:G$106=G90))+SUMPRODUCT((P$3:P$106&lt;&gt;"")*(G$3:G$106=G90))+SUMPRODUCT((N$3:N$106&lt;&gt;"")*(G$3:G$106=G90))+SUMPRODUCT((P$3:P$106="")*(O$3:O$106="")*(N$3:N$106="")*(M$3:M$106="P")*(G$3:G$106=G90)*(J$3:J$106&gt;J90))+IF(H90="L5",SUMPRODUCT((P$3:P$106="")*(O$3:O$106="")*(N$3:N$106="")*(M$3:M$106="P")*(G$3:G$106=G90)*(J$3:J$106&lt;J90)*(H$3:H$106&lt;&gt;H90)),-1*SUMPRODUCT((P$3:P$106="")*(O$3:O$106="")*(N$3:N$106="")*(M$3:M$106="P")*(G$3:G$106=G90)*(J$3:J$106&gt;J90)*(H$3:H$106="L5")))+1,""))))</f>
        <v/>
      </c>
      <c r="C90" s="36" t="s">
        <v>470</v>
      </c>
      <c r="D90" s="36" t="str">
        <f>IF(E90="","",VLOOKUP(E90,'Coaching Points'!A:B,2,0))</f>
        <v>QC</v>
      </c>
      <c r="E90" s="36" t="s">
        <v>96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8"/>
        <v>37.700003770000002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 t="shared" si="9"/>
        <v/>
      </c>
      <c r="R90" s="4">
        <f t="shared" si="10"/>
        <v>37.700000000000003</v>
      </c>
      <c r="S90" s="4">
        <f t="shared" si="11"/>
        <v>0</v>
      </c>
      <c r="T90" s="33"/>
      <c r="U90" s="40"/>
      <c r="V90" s="34"/>
      <c r="W90" s="40"/>
      <c r="X90" s="33">
        <v>37.700000000000003</v>
      </c>
      <c r="Y90" s="40">
        <v>3.7</v>
      </c>
      <c r="Z90" s="34"/>
      <c r="AA90" s="37"/>
    </row>
    <row r="91" spans="1:27" x14ac:dyDescent="0.2">
      <c r="A91" s="1" t="str" cm="1">
        <f t="array" ref="A91">IF(I91="","",IF(P91&lt;&gt;"",SUMPRODUCT((P$3:P$106&lt;&gt;"")*(G$3:G$106=G91)*(J$3:J$106&gt;J91)*(I$3:I$106="P"))+1,IF(O91&lt;&gt;"",SUMPRODUCT((O$3:O$106&lt;&gt;"")*(P$3:P$106="")*(G$3:G$106=G91)*(J$3:J$106&gt;J91)*(I$3:I$106="P"))+SUMPRODUCT((P$3:P$106&lt;&gt;"")*(G$3:G$106=G91)*(I$3:I$106="P"))+1,IF(N91&lt;&gt;"",SUMPRODUCT((N$3:N$106&lt;&gt;"")*(G$3:G$106=G91)*(J$3:J$106&gt;J91)*(I$3:I$106="P"))+1,IF(M91="P",SUMPRODUCT((O$3:O$106&lt;&gt;"")*(P$3:P$106="")*(G$3:G$106=G91)*(I$3:I$106="P"))+SUMPRODUCT((P$3:P$106&lt;&gt;"")*(G$3:G$106=G91)*(I$3:I$106="P"))+SUMPRODUCT((N$3:N$106&lt;&gt;"")*(G$3:G$106=G91)*(I$3:I$106="P"))+SUMPRODUCT((P$3:P$106="")*(O$3:O$106="")*(N$3:N$106="")*(M$3:M$106="P")*(G$3:G$106=G91)*(J$3:J$106&gt;J91)*(I$3:I$106="P"))+IF(H91="L5",SUMPRODUCT((P$3:P$106="")*(O$3:O$106="")*(N$3:N$106="")*(M$3:M$106="P")*(G$3:G$106=G91)*(J$3:J$106&lt;J91)*(H$3:H$106&lt;&gt;H91)*(I$3:I$106="P")),-1*SUMPRODUCT((P$3:P$106="")*(O$3:O$106="")*(N$3:N$106="")*(M$3:M$106="P")*(G$3:G$106=G91)*(J$3:J$106&gt;J91)*(H$3:H$106="L5")*(I$3:I$106="P")))+1,"")))))</f>
        <v/>
      </c>
      <c r="B91" s="1" t="str" cm="1">
        <f t="array" ref="B91">IF(P91&lt;&gt;"",SUMPRODUCT((P$3:P$106&lt;&gt;"")*(G$3:G$106=G91)*(J$3:J$106&gt;J91))+1,IF(O91&lt;&gt;"",SUMPRODUCT((O$3:O$106&lt;&gt;"")*(P$3:P$106="")*(G$3:G$106=G91)*(J$3:J$106&gt;J91))+SUMPRODUCT((P$3:P$106&lt;&gt;"")*(G$3:G$106=G91))+1,IF(N91&lt;&gt;"",SUMPRODUCT((N$3:N$106&lt;&gt;"")*(G$3:G$106=G91)*(J$3:J$106&gt;J91))+1,IF(M91="P",SUMPRODUCT((O$3:O$106&lt;&gt;"")*(P$3:P$106="")*(G$3:G$106=G91))+SUMPRODUCT((P$3:P$106&lt;&gt;"")*(G$3:G$106=G91))+SUMPRODUCT((N$3:N$106&lt;&gt;"")*(G$3:G$106=G91))+SUMPRODUCT((P$3:P$106="")*(O$3:O$106="")*(N$3:N$106="")*(M$3:M$106="P")*(G$3:G$106=G91)*(J$3:J$106&gt;J91))+IF(H91="L5",SUMPRODUCT((P$3:P$106="")*(O$3:O$106="")*(N$3:N$106="")*(M$3:M$106="P")*(G$3:G$106=G91)*(J$3:J$106&lt;J91)*(H$3:H$106&lt;&gt;H91)),-1*SUMPRODUCT((P$3:P$106="")*(O$3:O$106="")*(N$3:N$106="")*(M$3:M$106="P")*(G$3:G$106=G91)*(J$3:J$106&gt;J91)*(H$3:H$106="L5")))+1,""))))</f>
        <v/>
      </c>
      <c r="C91" s="36" t="s">
        <v>572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8"/>
        <v>37.100003710000003</v>
      </c>
      <c r="K91" s="3" t="str">
        <f>IF(G91="Not Age Eligible","",IF(MAX(T91,V91,X91,Z91)&gt;=LOOKUP(G91,'Qualifying Scores'!$A$4:$A$7,'Qualifying Scores'!$G$4:$G$7),"P",""))</f>
        <v/>
      </c>
      <c r="L91" s="3" t="str">
        <f>IF(G91="Not Age Eligible","",IF(MAX(U91,W91,Y91,AA91)&gt;=LOOKUP(G91,'Qualifying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/>
      </c>
      <c r="Q91" s="1" t="str">
        <f t="shared" si="9"/>
        <v/>
      </c>
      <c r="R91" s="4">
        <f t="shared" si="10"/>
        <v>37.1</v>
      </c>
      <c r="S91" s="4">
        <f t="shared" si="11"/>
        <v>0</v>
      </c>
      <c r="T91" s="33"/>
      <c r="U91" s="40"/>
      <c r="V91" s="34"/>
      <c r="W91" s="40"/>
      <c r="X91" s="33">
        <v>37.1</v>
      </c>
      <c r="Y91" s="40">
        <v>2.9000000000000004</v>
      </c>
      <c r="Z91" s="34"/>
      <c r="AA91" s="37"/>
    </row>
    <row r="92" spans="1:27" x14ac:dyDescent="0.2">
      <c r="A92" s="1" t="str" cm="1">
        <f t="array" ref="A92">IF(I92="","",IF(P92&lt;&gt;"",SUMPRODUCT((P$3:P$106&lt;&gt;"")*(G$3:G$106=G92)*(J$3:J$106&gt;J92)*(I$3:I$106="P"))+1,IF(O92&lt;&gt;"",SUMPRODUCT((O$3:O$106&lt;&gt;"")*(P$3:P$106="")*(G$3:G$106=G92)*(J$3:J$106&gt;J92)*(I$3:I$106="P"))+SUMPRODUCT((P$3:P$106&lt;&gt;"")*(G$3:G$106=G92)*(I$3:I$106="P"))+1,IF(N92&lt;&gt;"",SUMPRODUCT((N$3:N$106&lt;&gt;"")*(G$3:G$106=G92)*(J$3:J$106&gt;J92)*(I$3:I$106="P"))+1,IF(M92="P",SUMPRODUCT((O$3:O$106&lt;&gt;"")*(P$3:P$106="")*(G$3:G$106=G92)*(I$3:I$106="P"))+SUMPRODUCT((P$3:P$106&lt;&gt;"")*(G$3:G$106=G92)*(I$3:I$106="P"))+SUMPRODUCT((N$3:N$106&lt;&gt;"")*(G$3:G$106=G92)*(I$3:I$106="P"))+SUMPRODUCT((P$3:P$106="")*(O$3:O$106="")*(N$3:N$106="")*(M$3:M$106="P")*(G$3:G$106=G92)*(J$3:J$106&gt;J92)*(I$3:I$106="P"))+IF(H92="L5",SUMPRODUCT((P$3:P$106="")*(O$3:O$106="")*(N$3:N$106="")*(M$3:M$106="P")*(G$3:G$106=G92)*(J$3:J$106&lt;J92)*(H$3:H$106&lt;&gt;H92)*(I$3:I$106="P")),-1*SUMPRODUCT((P$3:P$106="")*(O$3:O$106="")*(N$3:N$106="")*(M$3:M$106="P")*(G$3:G$106=G92)*(J$3:J$106&gt;J92)*(H$3:H$106="L5")*(I$3:I$106="P")))+1,"")))))</f>
        <v/>
      </c>
      <c r="B92" s="1" cm="1">
        <f t="array" ref="B92">IF(P92&lt;&gt;"",SUMPRODUCT((P$3:P$106&lt;&gt;"")*(G$3:G$106=G92)*(J$3:J$106&gt;J92))+1,IF(O92&lt;&gt;"",SUMPRODUCT((O$3:O$106&lt;&gt;"")*(P$3:P$106="")*(G$3:G$106=G92)*(J$3:J$106&gt;J92))+SUMPRODUCT((P$3:P$106&lt;&gt;"")*(G$3:G$106=G92))+1,IF(N92&lt;&gt;"",SUMPRODUCT((N$3:N$106&lt;&gt;"")*(G$3:G$106=G92)*(J$3:J$106&gt;J92))+1,IF(M92="P",SUMPRODUCT((O$3:O$106&lt;&gt;"")*(P$3:P$106="")*(G$3:G$106=G92))+SUMPRODUCT((P$3:P$106&lt;&gt;"")*(G$3:G$106=G92))+SUMPRODUCT((N$3:N$106&lt;&gt;"")*(G$3:G$106=G92))+SUMPRODUCT((P$3:P$106="")*(O$3:O$106="")*(N$3:N$106="")*(M$3:M$106="P")*(G$3:G$106=G92)*(J$3:J$106&gt;J92))+IF(H92="L5",SUMPRODUCT((P$3:P$106="")*(O$3:O$106="")*(N$3:N$106="")*(M$3:M$106="P")*(G$3:G$106=G92)*(J$3:J$106&lt;J92)*(H$3:H$106&lt;&gt;H92)),-1*SUMPRODUCT((P$3:P$106="")*(O$3:O$106="")*(N$3:N$106="")*(M$3:M$106="P")*(G$3:G$106=G92)*(J$3:J$106&gt;J92)*(H$3:H$106="L5")))+1,""))))</f>
        <v>1</v>
      </c>
      <c r="C92" s="36" t="s">
        <v>148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65</v>
      </c>
      <c r="I92" s="43"/>
      <c r="J92" s="4">
        <f t="shared" si="8"/>
        <v>101.40020511000002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N92" s="39">
        <v>1</v>
      </c>
      <c r="Q92" s="1" t="str">
        <f t="shared" si="9"/>
        <v/>
      </c>
      <c r="R92" s="4">
        <f t="shared" si="10"/>
        <v>51.1</v>
      </c>
      <c r="S92" s="4">
        <f t="shared" si="11"/>
        <v>50.3</v>
      </c>
      <c r="T92" s="33">
        <v>48.9</v>
      </c>
      <c r="U92" s="40">
        <v>11.6</v>
      </c>
      <c r="V92" s="34"/>
      <c r="W92" s="40"/>
      <c r="X92" s="33">
        <v>51.1</v>
      </c>
      <c r="Y92" s="40">
        <v>13.2</v>
      </c>
      <c r="Z92" s="34">
        <v>50.3</v>
      </c>
      <c r="AA92" s="37">
        <v>13.2</v>
      </c>
    </row>
    <row r="93" spans="1:27" x14ac:dyDescent="0.2">
      <c r="A93" s="1" t="str" cm="1">
        <f t="array" ref="A93">IF(I93="","",IF(P93&lt;&gt;"",SUMPRODUCT((P$3:P$106&lt;&gt;"")*(G$3:G$106=G93)*(J$3:J$106&gt;J93)*(I$3:I$106="P"))+1,IF(O93&lt;&gt;"",SUMPRODUCT((O$3:O$106&lt;&gt;"")*(P$3:P$106="")*(G$3:G$106=G93)*(J$3:J$106&gt;J93)*(I$3:I$106="P"))+SUMPRODUCT((P$3:P$106&lt;&gt;"")*(G$3:G$106=G93)*(I$3:I$106="P"))+1,IF(N93&lt;&gt;"",SUMPRODUCT((N$3:N$106&lt;&gt;"")*(G$3:G$106=G93)*(J$3:J$106&gt;J93)*(I$3:I$106="P"))+1,IF(M93="P",SUMPRODUCT((O$3:O$106&lt;&gt;"")*(P$3:P$106="")*(G$3:G$106=G93)*(I$3:I$106="P"))+SUMPRODUCT((P$3:P$106&lt;&gt;"")*(G$3:G$106=G93)*(I$3:I$106="P"))+SUMPRODUCT((N$3:N$106&lt;&gt;"")*(G$3:G$106=G93)*(I$3:I$106="P"))+SUMPRODUCT((P$3:P$106="")*(O$3:O$106="")*(N$3:N$106="")*(M$3:M$106="P")*(G$3:G$106=G93)*(J$3:J$106&gt;J93)*(I$3:I$106="P"))+IF(H93="L5",SUMPRODUCT((P$3:P$106="")*(O$3:O$106="")*(N$3:N$106="")*(M$3:M$106="P")*(G$3:G$106=G93)*(J$3:J$106&lt;J93)*(H$3:H$106&lt;&gt;H93)*(I$3:I$106="P")),-1*SUMPRODUCT((P$3:P$106="")*(O$3:O$106="")*(N$3:N$106="")*(M$3:M$106="P")*(G$3:G$106=G93)*(J$3:J$106&gt;J93)*(H$3:H$106="L5")*(I$3:I$106="P")))+1,"")))))</f>
        <v/>
      </c>
      <c r="B93" s="1" cm="1">
        <f t="array" ref="B93">IF(P93&lt;&gt;"",SUMPRODUCT((P$3:P$106&lt;&gt;"")*(G$3:G$106=G93)*(J$3:J$106&gt;J93))+1,IF(O93&lt;&gt;"",SUMPRODUCT((O$3:O$106&lt;&gt;"")*(P$3:P$106="")*(G$3:G$106=G93)*(J$3:J$106&gt;J93))+SUMPRODUCT((P$3:P$106&lt;&gt;"")*(G$3:G$106=G93))+1,IF(N93&lt;&gt;"",SUMPRODUCT((N$3:N$106&lt;&gt;"")*(G$3:G$106=G93)*(J$3:J$106&gt;J93))+1,IF(M93="P",SUMPRODUCT((O$3:O$106&lt;&gt;"")*(P$3:P$106="")*(G$3:G$106=G93))+SUMPRODUCT((P$3:P$106&lt;&gt;"")*(G$3:G$106=G93))+SUMPRODUCT((N$3:N$106&lt;&gt;"")*(G$3:G$106=G93))+SUMPRODUCT((P$3:P$106="")*(O$3:O$106="")*(N$3:N$106="")*(M$3:M$106="P")*(G$3:G$106=G93)*(J$3:J$106&gt;J93))+IF(H93="L5",SUMPRODUCT((P$3:P$106="")*(O$3:O$106="")*(N$3:N$106="")*(M$3:M$106="P")*(G$3:G$106=G93)*(J$3:J$106&lt;J93)*(H$3:H$106&lt;&gt;H93)),-1*SUMPRODUCT((P$3:P$106="")*(O$3:O$106="")*(N$3:N$106="")*(M$3:M$106="P")*(G$3:G$106=G93)*(J$3:J$106&gt;J93)*(H$3:H$106="L5")))+1,""))))</f>
        <v>2</v>
      </c>
      <c r="C93" s="36" t="s">
        <v>118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/>
      <c r="J93" s="4">
        <f t="shared" si="8"/>
        <v>92.000104660000005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 t="str">
        <f t="shared" si="9"/>
        <v/>
      </c>
      <c r="R93" s="4">
        <f t="shared" si="10"/>
        <v>46.6</v>
      </c>
      <c r="S93" s="4">
        <f t="shared" si="11"/>
        <v>45.4</v>
      </c>
      <c r="T93" s="33">
        <v>45.4</v>
      </c>
      <c r="U93" s="40">
        <v>8.3000000000000007</v>
      </c>
      <c r="V93" s="34">
        <v>45.3</v>
      </c>
      <c r="W93" s="40">
        <v>8.1999999999999993</v>
      </c>
      <c r="X93" s="33">
        <v>46.6</v>
      </c>
      <c r="Y93" s="40">
        <v>10.4</v>
      </c>
      <c r="Z93" s="34">
        <v>44</v>
      </c>
      <c r="AA93" s="37">
        <v>6.9</v>
      </c>
    </row>
    <row r="94" spans="1:27" x14ac:dyDescent="0.2">
      <c r="A94" s="1" t="str" cm="1">
        <f t="array" ref="A94">IF(I94="","",IF(P94&lt;&gt;"",SUMPRODUCT((P$3:P$106&lt;&gt;"")*(G$3:G$106=G94)*(J$3:J$106&gt;J94)*(I$3:I$106="P"))+1,IF(O94&lt;&gt;"",SUMPRODUCT((O$3:O$106&lt;&gt;"")*(P$3:P$106="")*(G$3:G$106=G94)*(J$3:J$106&gt;J94)*(I$3:I$106="P"))+SUMPRODUCT((P$3:P$106&lt;&gt;"")*(G$3:G$106=G94)*(I$3:I$106="P"))+1,IF(N94&lt;&gt;"",SUMPRODUCT((N$3:N$106&lt;&gt;"")*(G$3:G$106=G94)*(J$3:J$106&gt;J94)*(I$3:I$106="P"))+1,IF(M94="P",SUMPRODUCT((O$3:O$106&lt;&gt;"")*(P$3:P$106="")*(G$3:G$106=G94)*(I$3:I$106="P"))+SUMPRODUCT((P$3:P$106&lt;&gt;"")*(G$3:G$106=G94)*(I$3:I$106="P"))+SUMPRODUCT((N$3:N$106&lt;&gt;"")*(G$3:G$106=G94)*(I$3:I$106="P"))+SUMPRODUCT((P$3:P$106="")*(O$3:O$106="")*(N$3:N$106="")*(M$3:M$106="P")*(G$3:G$106=G94)*(J$3:J$106&gt;J94)*(I$3:I$106="P"))+IF(H94="L5",SUMPRODUCT((P$3:P$106="")*(O$3:O$106="")*(N$3:N$106="")*(M$3:M$106="P")*(G$3:G$106=G94)*(J$3:J$106&lt;J94)*(H$3:H$106&lt;&gt;H94)*(I$3:I$106="P")),-1*SUMPRODUCT((P$3:P$106="")*(O$3:O$106="")*(N$3:N$106="")*(M$3:M$106="P")*(G$3:G$106=G94)*(J$3:J$106&gt;J94)*(H$3:H$106="L5")*(I$3:I$106="P")))+1,"")))))</f>
        <v/>
      </c>
      <c r="B94" s="1" cm="1">
        <f t="array" ref="B94">IF(P94&lt;&gt;"",SUMPRODUCT((P$3:P$106&lt;&gt;"")*(G$3:G$106=G94)*(J$3:J$106&gt;J94))+1,IF(O94&lt;&gt;"",SUMPRODUCT((O$3:O$106&lt;&gt;"")*(P$3:P$106="")*(G$3:G$106=G94)*(J$3:J$106&gt;J94))+SUMPRODUCT((P$3:P$106&lt;&gt;"")*(G$3:G$106=G94))+1,IF(N94&lt;&gt;"",SUMPRODUCT((N$3:N$106&lt;&gt;"")*(G$3:G$106=G94)*(J$3:J$106&gt;J94))+1,IF(M94="P",SUMPRODUCT((O$3:O$106&lt;&gt;"")*(P$3:P$106="")*(G$3:G$106=G94))+SUMPRODUCT((P$3:P$106&lt;&gt;"")*(G$3:G$106=G94))+SUMPRODUCT((N$3:N$106&lt;&gt;"")*(G$3:G$106=G94))+SUMPRODUCT((P$3:P$106="")*(O$3:O$106="")*(N$3:N$106="")*(M$3:M$106="P")*(G$3:G$106=G94)*(J$3:J$106&gt;J94))+IF(H94="L5",SUMPRODUCT((P$3:P$106="")*(O$3:O$106="")*(N$3:N$106="")*(M$3:M$106="P")*(G$3:G$106=G94)*(J$3:J$106&lt;J94)*(H$3:H$106&lt;&gt;H94)),-1*SUMPRODUCT((P$3:P$106="")*(O$3:O$106="")*(N$3:N$106="")*(M$3:M$106="P")*(G$3:G$106=G94)*(J$3:J$106&gt;J94)*(H$3:H$106="L5")))+1,""))))</f>
        <v>3</v>
      </c>
      <c r="C94" s="36" t="s">
        <v>237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67</v>
      </c>
      <c r="I94" s="43"/>
      <c r="J94" s="4">
        <f t="shared" si="8"/>
        <v>91.000104640000004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 t="str">
        <f t="shared" si="9"/>
        <v/>
      </c>
      <c r="R94" s="4">
        <f t="shared" si="10"/>
        <v>46.4</v>
      </c>
      <c r="S94" s="4">
        <f t="shared" si="11"/>
        <v>44.6</v>
      </c>
      <c r="T94" s="33">
        <v>43.8</v>
      </c>
      <c r="U94" s="40">
        <v>6.9</v>
      </c>
      <c r="V94" s="34">
        <v>20.9</v>
      </c>
      <c r="W94" s="40">
        <v>2.7</v>
      </c>
      <c r="X94" s="33">
        <v>46.4</v>
      </c>
      <c r="Y94" s="40">
        <v>9.6</v>
      </c>
      <c r="Z94" s="34">
        <v>44.6</v>
      </c>
      <c r="AA94" s="37">
        <v>7.2</v>
      </c>
    </row>
    <row r="95" spans="1:27" x14ac:dyDescent="0.2">
      <c r="A95" s="1" t="str" cm="1">
        <f t="array" ref="A95">IF(I95="","",IF(P95&lt;&gt;"",SUMPRODUCT((P$3:P$106&lt;&gt;"")*(G$3:G$106=G95)*(J$3:J$106&gt;J95)*(I$3:I$106="P"))+1,IF(O95&lt;&gt;"",SUMPRODUCT((O$3:O$106&lt;&gt;"")*(P$3:P$106="")*(G$3:G$106=G95)*(J$3:J$106&gt;J95)*(I$3:I$106="P"))+SUMPRODUCT((P$3:P$106&lt;&gt;"")*(G$3:G$106=G95)*(I$3:I$106="P"))+1,IF(N95&lt;&gt;"",SUMPRODUCT((N$3:N$106&lt;&gt;"")*(G$3:G$106=G95)*(J$3:J$106&gt;J95)*(I$3:I$106="P"))+1,IF(M95="P",SUMPRODUCT((O$3:O$106&lt;&gt;"")*(P$3:P$106="")*(G$3:G$106=G95)*(I$3:I$106="P"))+SUMPRODUCT((P$3:P$106&lt;&gt;"")*(G$3:G$106=G95)*(I$3:I$106="P"))+SUMPRODUCT((N$3:N$106&lt;&gt;"")*(G$3:G$106=G95)*(I$3:I$106="P"))+SUMPRODUCT((P$3:P$106="")*(O$3:O$106="")*(N$3:N$106="")*(M$3:M$106="P")*(G$3:G$106=G95)*(J$3:J$106&gt;J95)*(I$3:I$106="P"))+IF(H95="L5",SUMPRODUCT((P$3:P$106="")*(O$3:O$106="")*(N$3:N$106="")*(M$3:M$106="P")*(G$3:G$106=G95)*(J$3:J$106&lt;J95)*(H$3:H$106&lt;&gt;H95)*(I$3:I$106="P")),-1*SUMPRODUCT((P$3:P$106="")*(O$3:O$106="")*(N$3:N$106="")*(M$3:M$106="P")*(G$3:G$106=G95)*(J$3:J$106&gt;J95)*(H$3:H$106="L5")*(I$3:I$106="P")))+1,"")))))</f>
        <v/>
      </c>
      <c r="B95" s="1" cm="1">
        <f t="array" ref="B95">IF(P95&lt;&gt;"",SUMPRODUCT((P$3:P$106&lt;&gt;"")*(G$3:G$106=G95)*(J$3:J$106&gt;J95))+1,IF(O95&lt;&gt;"",SUMPRODUCT((O$3:O$106&lt;&gt;"")*(P$3:P$106="")*(G$3:G$106=G95)*(J$3:J$106&gt;J95))+SUMPRODUCT((P$3:P$106&lt;&gt;"")*(G$3:G$106=G95))+1,IF(N95&lt;&gt;"",SUMPRODUCT((N$3:N$106&lt;&gt;"")*(G$3:G$106=G95)*(J$3:J$106&gt;J95))+1,IF(M95="P",SUMPRODUCT((O$3:O$106&lt;&gt;"")*(P$3:P$106="")*(G$3:G$106=G95))+SUMPRODUCT((P$3:P$106&lt;&gt;"")*(G$3:G$106=G95))+SUMPRODUCT((N$3:N$106&lt;&gt;"")*(G$3:G$106=G95))+SUMPRODUCT((P$3:P$106="")*(O$3:O$106="")*(N$3:N$106="")*(M$3:M$106="P")*(G$3:G$106=G95)*(J$3:J$106&gt;J95))+IF(H95="L5",SUMPRODUCT((P$3:P$106="")*(O$3:O$106="")*(N$3:N$106="")*(M$3:M$106="P")*(G$3:G$106=G95)*(J$3:J$106&lt;J95)*(H$3:H$106&lt;&gt;H95)),-1*SUMPRODUCT((P$3:P$106="")*(O$3:O$106="")*(N$3:N$106="")*(M$3:M$106="P")*(G$3:G$106=G95)*(J$3:J$106&gt;J95)*(H$3:H$106="L5")))+1,""))))</f>
        <v>4</v>
      </c>
      <c r="C95" s="36" t="s">
        <v>308</v>
      </c>
      <c r="D95" s="36" t="str">
        <f>IF(E95="","",VLOOKUP(E95,'Coaching Points'!A:B,2,0))</f>
        <v>AB</v>
      </c>
      <c r="E95" s="36" t="s">
        <v>29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87.100004339999998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>P</v>
      </c>
      <c r="Q95" s="1" t="str">
        <f t="shared" si="9"/>
        <v/>
      </c>
      <c r="R95" s="4">
        <f t="shared" si="10"/>
        <v>43.7</v>
      </c>
      <c r="S95" s="4">
        <f t="shared" si="11"/>
        <v>43.4</v>
      </c>
      <c r="T95" s="33">
        <v>43.7</v>
      </c>
      <c r="U95" s="40">
        <v>6.3000000000000007</v>
      </c>
      <c r="V95" s="34">
        <v>41.3</v>
      </c>
      <c r="W95" s="40">
        <v>4.3000000000000007</v>
      </c>
      <c r="X95" s="33">
        <v>43.4</v>
      </c>
      <c r="Y95" s="40">
        <v>6.3000000000000007</v>
      </c>
      <c r="Z95" s="34">
        <v>41.5</v>
      </c>
      <c r="AA95" s="37">
        <v>4.3000000000000007</v>
      </c>
    </row>
    <row r="96" spans="1:27" x14ac:dyDescent="0.2">
      <c r="A96" s="1" t="str" cm="1">
        <f t="array" ref="A96">IF(I96="","",IF(P96&lt;&gt;"",SUMPRODUCT((P$3:P$106&lt;&gt;"")*(G$3:G$106=G96)*(J$3:J$106&gt;J96)*(I$3:I$106="P"))+1,IF(O96&lt;&gt;"",SUMPRODUCT((O$3:O$106&lt;&gt;"")*(P$3:P$106="")*(G$3:G$106=G96)*(J$3:J$106&gt;J96)*(I$3:I$106="P"))+SUMPRODUCT((P$3:P$106&lt;&gt;"")*(G$3:G$106=G96)*(I$3:I$106="P"))+1,IF(N96&lt;&gt;"",SUMPRODUCT((N$3:N$106&lt;&gt;"")*(G$3:G$106=G96)*(J$3:J$106&gt;J96)*(I$3:I$106="P"))+1,IF(M96="P",SUMPRODUCT((O$3:O$106&lt;&gt;"")*(P$3:P$106="")*(G$3:G$106=G96)*(I$3:I$106="P"))+SUMPRODUCT((P$3:P$106&lt;&gt;"")*(G$3:G$106=G96)*(I$3:I$106="P"))+SUMPRODUCT((N$3:N$106&lt;&gt;"")*(G$3:G$106=G96)*(I$3:I$106="P"))+SUMPRODUCT((P$3:P$106="")*(O$3:O$106="")*(N$3:N$106="")*(M$3:M$106="P")*(G$3:G$106=G96)*(J$3:J$106&gt;J96)*(I$3:I$106="P"))+IF(H96="L5",SUMPRODUCT((P$3:P$106="")*(O$3:O$106="")*(N$3:N$106="")*(M$3:M$106="P")*(G$3:G$106=G96)*(J$3:J$106&lt;J96)*(H$3:H$106&lt;&gt;H96)*(I$3:I$106="P")),-1*SUMPRODUCT((P$3:P$106="")*(O$3:O$106="")*(N$3:N$106="")*(M$3:M$106="P")*(G$3:G$106=G96)*(J$3:J$106&gt;J96)*(H$3:H$106="L5")*(I$3:I$106="P")))+1,"")))))</f>
        <v/>
      </c>
      <c r="B96" s="1" t="str" cm="1">
        <f t="array" ref="B96">IF(P96&lt;&gt;"",SUMPRODUCT((P$3:P$106&lt;&gt;"")*(G$3:G$106=G96)*(J$3:J$106&gt;J96))+1,IF(O96&lt;&gt;"",SUMPRODUCT((O$3:O$106&lt;&gt;"")*(P$3:P$106="")*(G$3:G$106=G96)*(J$3:J$106&gt;J96))+SUMPRODUCT((P$3:P$106&lt;&gt;"")*(G$3:G$106=G96))+1,IF(N96&lt;&gt;"",SUMPRODUCT((N$3:N$106&lt;&gt;"")*(G$3:G$106=G96)*(J$3:J$106&gt;J96))+1,IF(M96="P",SUMPRODUCT((O$3:O$106&lt;&gt;"")*(P$3:P$106="")*(G$3:G$106=G96))+SUMPRODUCT((P$3:P$106&lt;&gt;"")*(G$3:G$106=G96))+SUMPRODUCT((N$3:N$106&lt;&gt;"")*(G$3:G$106=G96))+SUMPRODUCT((P$3:P$106="")*(O$3:O$106="")*(N$3:N$106="")*(M$3:M$106="P")*(G$3:G$106=G96)*(J$3:J$106&gt;J96))+IF(H96="L5",SUMPRODUCT((P$3:P$106="")*(O$3:O$106="")*(N$3:N$106="")*(M$3:M$106="P")*(G$3:G$106=G96)*(J$3:J$106&lt;J96)*(H$3:H$106&lt;&gt;H96)),-1*SUMPRODUCT((P$3:P$106="")*(O$3:O$106="")*(N$3:N$106="")*(M$3:M$106="P")*(G$3:G$106=G96)*(J$3:J$106&gt;J96)*(H$3:H$106="L5")))+1,""))))</f>
        <v/>
      </c>
      <c r="C96" s="36" t="s">
        <v>239</v>
      </c>
      <c r="D96" s="36" t="s">
        <v>196</v>
      </c>
      <c r="E96" s="36" t="s">
        <v>96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8"/>
        <v>86.500004149999995</v>
      </c>
      <c r="K96" s="3" t="str">
        <f>IF(G96="Not Age Eligible","",IF(MAX(T96,V96,X96,Z96)&gt;=LOOKUP(G96,'Qualifying Scores'!$A$4:$A$7,'Qualifying Scores'!$G$4:$G$7),"P",""))</f>
        <v>P</v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 t="shared" si="9"/>
        <v/>
      </c>
      <c r="R96" s="4">
        <f t="shared" si="10"/>
        <v>43.8</v>
      </c>
      <c r="S96" s="4">
        <f t="shared" si="11"/>
        <v>42.7</v>
      </c>
      <c r="T96" s="33">
        <v>43.8</v>
      </c>
      <c r="U96" s="40">
        <v>6.1</v>
      </c>
      <c r="V96" s="34">
        <v>42.7</v>
      </c>
      <c r="W96" s="40">
        <v>6.5</v>
      </c>
      <c r="X96" s="33">
        <v>41.5</v>
      </c>
      <c r="Y96" s="40">
        <v>6.6</v>
      </c>
      <c r="Z96" s="34">
        <v>40.1</v>
      </c>
      <c r="AA96" s="37">
        <v>3.7</v>
      </c>
    </row>
    <row r="97" spans="1:27" x14ac:dyDescent="0.2">
      <c r="A97" s="1" t="str" cm="1">
        <f t="array" ref="A97">IF(I97="","",IF(P97&lt;&gt;"",SUMPRODUCT((P$3:P$106&lt;&gt;"")*(G$3:G$106=G97)*(J$3:J$106&gt;J97)*(I$3:I$106="P"))+1,IF(O97&lt;&gt;"",SUMPRODUCT((O$3:O$106&lt;&gt;"")*(P$3:P$106="")*(G$3:G$106=G97)*(J$3:J$106&gt;J97)*(I$3:I$106="P"))+SUMPRODUCT((P$3:P$106&lt;&gt;"")*(G$3:G$106=G97)*(I$3:I$106="P"))+1,IF(N97&lt;&gt;"",SUMPRODUCT((N$3:N$106&lt;&gt;"")*(G$3:G$106=G97)*(J$3:J$106&gt;J97)*(I$3:I$106="P"))+1,IF(M97="P",SUMPRODUCT((O$3:O$106&lt;&gt;"")*(P$3:P$106="")*(G$3:G$106=G97)*(I$3:I$106="P"))+SUMPRODUCT((P$3:P$106&lt;&gt;"")*(G$3:G$106=G97)*(I$3:I$106="P"))+SUMPRODUCT((N$3:N$106&lt;&gt;"")*(G$3:G$106=G97)*(I$3:I$106="P"))+SUMPRODUCT((P$3:P$106="")*(O$3:O$106="")*(N$3:N$106="")*(M$3:M$106="P")*(G$3:G$106=G97)*(J$3:J$106&gt;J97)*(I$3:I$106="P"))+IF(H97="L5",SUMPRODUCT((P$3:P$106="")*(O$3:O$106="")*(N$3:N$106="")*(M$3:M$106="P")*(G$3:G$106=G97)*(J$3:J$106&lt;J97)*(H$3:H$106&lt;&gt;H97)*(I$3:I$106="P")),-1*SUMPRODUCT((P$3:P$106="")*(O$3:O$106="")*(N$3:N$106="")*(M$3:M$106="P")*(G$3:G$106=G97)*(J$3:J$106&gt;J97)*(H$3:H$106="L5")*(I$3:I$106="P")))+1,"")))))</f>
        <v/>
      </c>
      <c r="B97" s="1" t="str" cm="1">
        <f t="array" ref="B97">IF(P97&lt;&gt;"",SUMPRODUCT((P$3:P$106&lt;&gt;"")*(G$3:G$106=G97)*(J$3:J$106&gt;J97))+1,IF(O97&lt;&gt;"",SUMPRODUCT((O$3:O$106&lt;&gt;"")*(P$3:P$106="")*(G$3:G$106=G97)*(J$3:J$106&gt;J97))+SUMPRODUCT((P$3:P$106&lt;&gt;"")*(G$3:G$106=G97))+1,IF(N97&lt;&gt;"",SUMPRODUCT((N$3:N$106&lt;&gt;"")*(G$3:G$106=G97)*(J$3:J$106&gt;J97))+1,IF(M97="P",SUMPRODUCT((O$3:O$106&lt;&gt;"")*(P$3:P$106="")*(G$3:G$106=G97))+SUMPRODUCT((P$3:P$106&lt;&gt;"")*(G$3:G$106=G97))+SUMPRODUCT((N$3:N$106&lt;&gt;"")*(G$3:G$106=G97))+SUMPRODUCT((P$3:P$106="")*(O$3:O$106="")*(N$3:N$106="")*(M$3:M$106="P")*(G$3:G$106=G97)*(J$3:J$106&gt;J97))+IF(H97="L5",SUMPRODUCT((P$3:P$106="")*(O$3:O$106="")*(N$3:N$106="")*(M$3:M$106="P")*(G$3:G$106=G97)*(J$3:J$106&lt;J97)*(H$3:H$106&lt;&gt;H97)),-1*SUMPRODUCT((P$3:P$106="")*(O$3:O$106="")*(N$3:N$106="")*(M$3:M$106="P")*(G$3:G$106=G97)*(J$3:J$106&gt;J97)*(H$3:H$106="L5")))+1,""))))</f>
        <v/>
      </c>
      <c r="C97" s="36" t="s">
        <v>358</v>
      </c>
      <c r="D97" s="36" t="str">
        <f>IF(E97="","",VLOOKUP(E97,'Coaching Points'!A:B,2,0))</f>
        <v>AB</v>
      </c>
      <c r="E97" s="36" t="s">
        <v>29</v>
      </c>
      <c r="F97" s="35">
        <v>2009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8"/>
        <v>85.700004250000006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>P</v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 t="shared" si="9"/>
        <v/>
      </c>
      <c r="R97" s="4">
        <f t="shared" si="10"/>
        <v>43.2</v>
      </c>
      <c r="S97" s="4">
        <f t="shared" si="11"/>
        <v>42.5</v>
      </c>
      <c r="T97" s="33">
        <v>43.2</v>
      </c>
      <c r="U97" s="40">
        <v>6.6</v>
      </c>
      <c r="V97" s="34">
        <v>41.4</v>
      </c>
      <c r="W97" s="40">
        <v>5.4</v>
      </c>
      <c r="X97" s="33">
        <v>42.5</v>
      </c>
      <c r="Y97" s="40">
        <v>6.5</v>
      </c>
      <c r="Z97" s="34">
        <v>42.1</v>
      </c>
      <c r="AA97" s="37">
        <v>6.5</v>
      </c>
    </row>
    <row r="98" spans="1:27" x14ac:dyDescent="0.2">
      <c r="A98" s="1" t="str" cm="1">
        <f t="array" ref="A98">IF(I98="","",IF(P98&lt;&gt;"",SUMPRODUCT((P$3:P$106&lt;&gt;"")*(G$3:G$106=G98)*(J$3:J$106&gt;J98)*(I$3:I$106="P"))+1,IF(O98&lt;&gt;"",SUMPRODUCT((O$3:O$106&lt;&gt;"")*(P$3:P$106="")*(G$3:G$106=G98)*(J$3:J$106&gt;J98)*(I$3:I$106="P"))+SUMPRODUCT((P$3:P$106&lt;&gt;"")*(G$3:G$106=G98)*(I$3:I$106="P"))+1,IF(N98&lt;&gt;"",SUMPRODUCT((N$3:N$106&lt;&gt;"")*(G$3:G$106=G98)*(J$3:J$106&gt;J98)*(I$3:I$106="P"))+1,IF(M98="P",SUMPRODUCT((O$3:O$106&lt;&gt;"")*(P$3:P$106="")*(G$3:G$106=G98)*(I$3:I$106="P"))+SUMPRODUCT((P$3:P$106&lt;&gt;"")*(G$3:G$106=G98)*(I$3:I$106="P"))+SUMPRODUCT((N$3:N$106&lt;&gt;"")*(G$3:G$106=G98)*(I$3:I$106="P"))+SUMPRODUCT((P$3:P$106="")*(O$3:O$106="")*(N$3:N$106="")*(M$3:M$106="P")*(G$3:G$106=G98)*(J$3:J$106&gt;J98)*(I$3:I$106="P"))+IF(H98="L5",SUMPRODUCT((P$3:P$106="")*(O$3:O$106="")*(N$3:N$106="")*(M$3:M$106="P")*(G$3:G$106=G98)*(J$3:J$106&lt;J98)*(H$3:H$106&lt;&gt;H98)*(I$3:I$106="P")),-1*SUMPRODUCT((P$3:P$106="")*(O$3:O$106="")*(N$3:N$106="")*(M$3:M$106="P")*(G$3:G$106=G98)*(J$3:J$106&gt;J98)*(H$3:H$106="L5")*(I$3:I$106="P")))+1,"")))))</f>
        <v/>
      </c>
      <c r="B98" s="1" t="str" cm="1">
        <f t="array" ref="B98">IF(P98&lt;&gt;"",SUMPRODUCT((P$3:P$106&lt;&gt;"")*(G$3:G$106=G98)*(J$3:J$106&gt;J98))+1,IF(O98&lt;&gt;"",SUMPRODUCT((O$3:O$106&lt;&gt;"")*(P$3:P$106="")*(G$3:G$106=G98)*(J$3:J$106&gt;J98))+SUMPRODUCT((P$3:P$106&lt;&gt;"")*(G$3:G$106=G98))+1,IF(N98&lt;&gt;"",SUMPRODUCT((N$3:N$106&lt;&gt;"")*(G$3:G$106=G98)*(J$3:J$106&gt;J98))+1,IF(M98="P",SUMPRODUCT((O$3:O$106&lt;&gt;"")*(P$3:P$106="")*(G$3:G$106=G98))+SUMPRODUCT((P$3:P$106&lt;&gt;"")*(G$3:G$106=G98))+SUMPRODUCT((N$3:N$106&lt;&gt;"")*(G$3:G$106=G98))+SUMPRODUCT((P$3:P$106="")*(O$3:O$106="")*(N$3:N$106="")*(M$3:M$106="P")*(G$3:G$106=G98)*(J$3:J$106&gt;J98))+IF(H98="L5",SUMPRODUCT((P$3:P$106="")*(O$3:O$106="")*(N$3:N$106="")*(M$3:M$106="P")*(G$3:G$106=G98)*(J$3:J$106&lt;J98)*(H$3:H$106&lt;&gt;H98)),-1*SUMPRODUCT((P$3:P$106="")*(O$3:O$106="")*(N$3:N$106="")*(M$3:M$106="P")*(G$3:G$106=G98)*(J$3:J$106&gt;J98)*(H$3:H$106="L5")))+1,""))))</f>
        <v/>
      </c>
      <c r="C98" s="36" t="s">
        <v>499</v>
      </c>
      <c r="D98" s="36" t="str">
        <f>IF(E98="","",VLOOKUP(E98,'Coaching Points'!A:B,2,0))</f>
        <v>BC</v>
      </c>
      <c r="E98" s="36" t="s">
        <v>41</v>
      </c>
      <c r="F98" s="35">
        <v>2010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si="8"/>
        <v>85.000004309999994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/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 t="shared" si="9"/>
        <v/>
      </c>
      <c r="R98" s="4">
        <f t="shared" si="10"/>
        <v>43.1</v>
      </c>
      <c r="S98" s="4">
        <f t="shared" si="11"/>
        <v>41.9</v>
      </c>
      <c r="T98" s="33"/>
      <c r="U98" s="40"/>
      <c r="V98" s="34"/>
      <c r="W98" s="40"/>
      <c r="X98" s="33">
        <v>43.1</v>
      </c>
      <c r="Y98" s="40">
        <v>5.5</v>
      </c>
      <c r="Z98" s="34">
        <v>41.9</v>
      </c>
      <c r="AA98" s="37">
        <v>5.9</v>
      </c>
    </row>
    <row r="99" spans="1:27" x14ac:dyDescent="0.2">
      <c r="A99" s="1" t="str" cm="1">
        <f t="array" ref="A99">IF(I99="","",IF(P99&lt;&gt;"",SUMPRODUCT((P$3:P$106&lt;&gt;"")*(G$3:G$106=G99)*(J$3:J$106&gt;J99)*(I$3:I$106="P"))+1,IF(O99&lt;&gt;"",SUMPRODUCT((O$3:O$106&lt;&gt;"")*(P$3:P$106="")*(G$3:G$106=G99)*(J$3:J$106&gt;J99)*(I$3:I$106="P"))+SUMPRODUCT((P$3:P$106&lt;&gt;"")*(G$3:G$106=G99)*(I$3:I$106="P"))+1,IF(N99&lt;&gt;"",SUMPRODUCT((N$3:N$106&lt;&gt;"")*(G$3:G$106=G99)*(J$3:J$106&gt;J99)*(I$3:I$106="P"))+1,IF(M99="P",SUMPRODUCT((O$3:O$106&lt;&gt;"")*(P$3:P$106="")*(G$3:G$106=G99)*(I$3:I$106="P"))+SUMPRODUCT((P$3:P$106&lt;&gt;"")*(G$3:G$106=G99)*(I$3:I$106="P"))+SUMPRODUCT((N$3:N$106&lt;&gt;"")*(G$3:G$106=G99)*(I$3:I$106="P"))+SUMPRODUCT((P$3:P$106="")*(O$3:O$106="")*(N$3:N$106="")*(M$3:M$106="P")*(G$3:G$106=G99)*(J$3:J$106&gt;J99)*(I$3:I$106="P"))+IF(H99="L5",SUMPRODUCT((P$3:P$106="")*(O$3:O$106="")*(N$3:N$106="")*(M$3:M$106="P")*(G$3:G$106=G99)*(J$3:J$106&lt;J99)*(H$3:H$106&lt;&gt;H99)*(I$3:I$106="P")),-1*SUMPRODUCT((P$3:P$106="")*(O$3:O$106="")*(N$3:N$106="")*(M$3:M$106="P")*(G$3:G$106=G99)*(J$3:J$106&gt;J99)*(H$3:H$106="L5")*(I$3:I$106="P")))+1,"")))))</f>
        <v/>
      </c>
      <c r="B99" s="1" t="str" cm="1">
        <f t="array" ref="B99">IF(P99&lt;&gt;"",SUMPRODUCT((P$3:P$106&lt;&gt;"")*(G$3:G$106=G99)*(J$3:J$106&gt;J99))+1,IF(O99&lt;&gt;"",SUMPRODUCT((O$3:O$106&lt;&gt;"")*(P$3:P$106="")*(G$3:G$106=G99)*(J$3:J$106&gt;J99))+SUMPRODUCT((P$3:P$106&lt;&gt;"")*(G$3:G$106=G99))+1,IF(N99&lt;&gt;"",SUMPRODUCT((N$3:N$106&lt;&gt;"")*(G$3:G$106=G99)*(J$3:J$106&gt;J99))+1,IF(M99="P",SUMPRODUCT((O$3:O$106&lt;&gt;"")*(P$3:P$106="")*(G$3:G$106=G99))+SUMPRODUCT((P$3:P$106&lt;&gt;"")*(G$3:G$106=G99))+SUMPRODUCT((N$3:N$106&lt;&gt;"")*(G$3:G$106=G99))+SUMPRODUCT((P$3:P$106="")*(O$3:O$106="")*(N$3:N$106="")*(M$3:M$106="P")*(G$3:G$106=G99)*(J$3:J$106&gt;J99))+IF(H99="L5",SUMPRODUCT((P$3:P$106="")*(O$3:O$106="")*(N$3:N$106="")*(M$3:M$106="P")*(G$3:G$106=G99)*(J$3:J$106&lt;J99)*(H$3:H$106&lt;&gt;H99)),-1*SUMPRODUCT((P$3:P$106="")*(O$3:O$106="")*(N$3:N$106="")*(M$3:M$106="P")*(G$3:G$106=G99)*(J$3:J$106&gt;J99)*(H$3:H$106="L5")))+1,""))))</f>
        <v/>
      </c>
      <c r="C99" s="36" t="s">
        <v>500</v>
      </c>
      <c r="D99" s="36" t="str">
        <f>IF(E99="","",VLOOKUP(E99,'Coaching Points'!A:B,2,0))</f>
        <v>SK</v>
      </c>
      <c r="E99" s="36" t="s">
        <v>60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5" si="12">R99+S99+IF(OR(H99="Junior",H99="Senior"),0.0002,IF(OR(H99="L7",H99="L6"),0.0001,0))+MAX(X99,Z99)*0.0000001</f>
        <v>83.300004299999998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>P</v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 t="shared" ref="Q99:Q105" si="13">IF(A99&lt;5,IF(_xlfn.MAXIFS(A:A,G:G,G99)&gt;3,5-A99,_xlfn.MAXIFS(A:A,G:G,G99)+1-A99),"")</f>
        <v/>
      </c>
      <c r="R99" s="4">
        <f t="shared" ref="R99:R105" si="14">MAX(T99,X99)</f>
        <v>43</v>
      </c>
      <c r="S99" s="4">
        <f t="shared" ref="S99:S130" si="15">IF(R99=T99,MAX(V99,X99,Z99),IF(R99=X99,MAX(T99,V99,Z99),0))</f>
        <v>40.299999999999997</v>
      </c>
      <c r="T99" s="33"/>
      <c r="U99" s="40"/>
      <c r="V99" s="34"/>
      <c r="W99" s="40"/>
      <c r="X99" s="33">
        <v>43</v>
      </c>
      <c r="Y99" s="40">
        <v>5.7</v>
      </c>
      <c r="Z99" s="34">
        <v>40.299999999999997</v>
      </c>
      <c r="AA99" s="37">
        <v>6.4</v>
      </c>
    </row>
    <row r="100" spans="1:27" x14ac:dyDescent="0.2">
      <c r="A100" s="1" t="str" cm="1">
        <f t="array" ref="A100">IF(I100="","",IF(P100&lt;&gt;"",SUMPRODUCT((P$3:P$106&lt;&gt;"")*(G$3:G$106=G100)*(J$3:J$106&gt;J100)*(I$3:I$106="P"))+1,IF(O100&lt;&gt;"",SUMPRODUCT((O$3:O$106&lt;&gt;"")*(P$3:P$106="")*(G$3:G$106=G100)*(J$3:J$106&gt;J100)*(I$3:I$106="P"))+SUMPRODUCT((P$3:P$106&lt;&gt;"")*(G$3:G$106=G100)*(I$3:I$106="P"))+1,IF(N100&lt;&gt;"",SUMPRODUCT((N$3:N$106&lt;&gt;"")*(G$3:G$106=G100)*(J$3:J$106&gt;J100)*(I$3:I$106="P"))+1,IF(M100="P",SUMPRODUCT((O$3:O$106&lt;&gt;"")*(P$3:P$106="")*(G$3:G$106=G100)*(I$3:I$106="P"))+SUMPRODUCT((P$3:P$106&lt;&gt;"")*(G$3:G$106=G100)*(I$3:I$106="P"))+SUMPRODUCT((N$3:N$106&lt;&gt;"")*(G$3:G$106=G100)*(I$3:I$106="P"))+SUMPRODUCT((P$3:P$106="")*(O$3:O$106="")*(N$3:N$106="")*(M$3:M$106="P")*(G$3:G$106=G100)*(J$3:J$106&gt;J100)*(I$3:I$106="P"))+IF(H100="L5",SUMPRODUCT((P$3:P$106="")*(O$3:O$106="")*(N$3:N$106="")*(M$3:M$106="P")*(G$3:G$106=G100)*(J$3:J$106&lt;J100)*(H$3:H$106&lt;&gt;H100)*(I$3:I$106="P")),-1*SUMPRODUCT((P$3:P$106="")*(O$3:O$106="")*(N$3:N$106="")*(M$3:M$106="P")*(G$3:G$106=G100)*(J$3:J$106&gt;J100)*(H$3:H$106="L5")*(I$3:I$106="P")))+1,"")))))</f>
        <v/>
      </c>
      <c r="B100" s="1" t="str" cm="1">
        <f t="array" ref="B100">IF(P100&lt;&gt;"",SUMPRODUCT((P$3:P$106&lt;&gt;"")*(G$3:G$106=G100)*(J$3:J$106&gt;J100))+1,IF(O100&lt;&gt;"",SUMPRODUCT((O$3:O$106&lt;&gt;"")*(P$3:P$106="")*(G$3:G$106=G100)*(J$3:J$106&gt;J100))+SUMPRODUCT((P$3:P$106&lt;&gt;"")*(G$3:G$106=G100))+1,IF(N100&lt;&gt;"",SUMPRODUCT((N$3:N$106&lt;&gt;"")*(G$3:G$106=G100)*(J$3:J$106&gt;J100))+1,IF(M100="P",SUMPRODUCT((O$3:O$106&lt;&gt;"")*(P$3:P$106="")*(G$3:G$106=G100))+SUMPRODUCT((P$3:P$106&lt;&gt;"")*(G$3:G$106=G100))+SUMPRODUCT((N$3:N$106&lt;&gt;"")*(G$3:G$106=G100))+SUMPRODUCT((P$3:P$106="")*(O$3:O$106="")*(N$3:N$106="")*(M$3:M$106="P")*(G$3:G$106=G100)*(J$3:J$106&gt;J100))+IF(H100="L5",SUMPRODUCT((P$3:P$106="")*(O$3:O$106="")*(N$3:N$106="")*(M$3:M$106="P")*(G$3:G$106=G100)*(J$3:J$106&lt;J100)*(H$3:H$106&lt;&gt;H100)),-1*SUMPRODUCT((P$3:P$106="")*(O$3:O$106="")*(N$3:N$106="")*(M$3:M$106="P")*(G$3:G$106=G100)*(J$3:J$106&gt;J100)*(H$3:H$106="L5")))+1,""))))</f>
        <v/>
      </c>
      <c r="C100" s="36" t="s">
        <v>486</v>
      </c>
      <c r="D100" s="36" t="str">
        <f>IF(E100="","",VLOOKUP(E100,'Coaching Points'!A:B,2,0))</f>
        <v>ON</v>
      </c>
      <c r="E100" s="36" t="s">
        <v>285</v>
      </c>
      <c r="F100" s="35">
        <v>2009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/>
      <c r="J100" s="4">
        <f t="shared" si="12"/>
        <v>82.500004329999996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 t="shared" si="13"/>
        <v/>
      </c>
      <c r="R100" s="4">
        <f t="shared" si="14"/>
        <v>43.3</v>
      </c>
      <c r="S100" s="4">
        <f t="shared" si="15"/>
        <v>39.200000000000003</v>
      </c>
      <c r="T100" s="33"/>
      <c r="U100" s="40"/>
      <c r="V100" s="34"/>
      <c r="W100" s="40"/>
      <c r="X100" s="33">
        <v>43.3</v>
      </c>
      <c r="Y100" s="40">
        <v>5.7</v>
      </c>
      <c r="Z100" s="34">
        <v>39.200000000000003</v>
      </c>
      <c r="AA100" s="37">
        <v>3.2</v>
      </c>
    </row>
    <row r="101" spans="1:27" x14ac:dyDescent="0.2">
      <c r="A101" s="1" t="str" cm="1">
        <f t="array" ref="A101">IF(I101="","",IF(P101&lt;&gt;"",SUMPRODUCT((P$3:P$106&lt;&gt;"")*(G$3:G$106=G101)*(J$3:J$106&gt;J101)*(I$3:I$106="P"))+1,IF(O101&lt;&gt;"",SUMPRODUCT((O$3:O$106&lt;&gt;"")*(P$3:P$106="")*(G$3:G$106=G101)*(J$3:J$106&gt;J101)*(I$3:I$106="P"))+SUMPRODUCT((P$3:P$106&lt;&gt;"")*(G$3:G$106=G101)*(I$3:I$106="P"))+1,IF(N101&lt;&gt;"",SUMPRODUCT((N$3:N$106&lt;&gt;"")*(G$3:G$106=G101)*(J$3:J$106&gt;J101)*(I$3:I$106="P"))+1,IF(M101="P",SUMPRODUCT((O$3:O$106&lt;&gt;"")*(P$3:P$106="")*(G$3:G$106=G101)*(I$3:I$106="P"))+SUMPRODUCT((P$3:P$106&lt;&gt;"")*(G$3:G$106=G101)*(I$3:I$106="P"))+SUMPRODUCT((N$3:N$106&lt;&gt;"")*(G$3:G$106=G101)*(I$3:I$106="P"))+SUMPRODUCT((P$3:P$106="")*(O$3:O$106="")*(N$3:N$106="")*(M$3:M$106="P")*(G$3:G$106=G101)*(J$3:J$106&gt;J101)*(I$3:I$106="P"))+IF(H101="L5",SUMPRODUCT((P$3:P$106="")*(O$3:O$106="")*(N$3:N$106="")*(M$3:M$106="P")*(G$3:G$106=G101)*(J$3:J$106&lt;J101)*(H$3:H$106&lt;&gt;H101)*(I$3:I$106="P")),-1*SUMPRODUCT((P$3:P$106="")*(O$3:O$106="")*(N$3:N$106="")*(M$3:M$106="P")*(G$3:G$106=G101)*(J$3:J$106&gt;J101)*(H$3:H$106="L5")*(I$3:I$106="P")))+1,"")))))</f>
        <v/>
      </c>
      <c r="B101" s="1" t="str" cm="1">
        <f t="array" ref="B101">IF(P101&lt;&gt;"",SUMPRODUCT((P$3:P$106&lt;&gt;"")*(G$3:G$106=G101)*(J$3:J$106&gt;J101))+1,IF(O101&lt;&gt;"",SUMPRODUCT((O$3:O$106&lt;&gt;"")*(P$3:P$106="")*(G$3:G$106=G101)*(J$3:J$106&gt;J101))+SUMPRODUCT((P$3:P$106&lt;&gt;"")*(G$3:G$106=G101))+1,IF(N101&lt;&gt;"",SUMPRODUCT((N$3:N$106&lt;&gt;"")*(G$3:G$106=G101)*(J$3:J$106&gt;J101))+1,IF(M101="P",SUMPRODUCT((O$3:O$106&lt;&gt;"")*(P$3:P$106="")*(G$3:G$106=G101))+SUMPRODUCT((P$3:P$106&lt;&gt;"")*(G$3:G$106=G101))+SUMPRODUCT((N$3:N$106&lt;&gt;"")*(G$3:G$106=G101))+SUMPRODUCT((P$3:P$106="")*(O$3:O$106="")*(N$3:N$106="")*(M$3:M$106="P")*(G$3:G$106=G101)*(J$3:J$106&gt;J101))+IF(H101="L5",SUMPRODUCT((P$3:P$106="")*(O$3:O$106="")*(N$3:N$106="")*(M$3:M$106="P")*(G$3:G$106=G101)*(J$3:J$106&lt;J101)*(H$3:H$106&lt;&gt;H101)),-1*SUMPRODUCT((P$3:P$106="")*(O$3:O$106="")*(N$3:N$106="")*(M$3:M$106="P")*(G$3:G$106=G101)*(J$3:J$106&gt;J101)*(H$3:H$106="L5")))+1,""))))</f>
        <v/>
      </c>
      <c r="C101" s="36" t="s">
        <v>309</v>
      </c>
      <c r="D101" s="36" t="str">
        <f>IF(E101="","",VLOOKUP(E101,'Coaching Points'!A:B,2,0))</f>
        <v>AB</v>
      </c>
      <c r="E101" s="36" t="s">
        <v>40</v>
      </c>
      <c r="F101" s="35">
        <v>2010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2"/>
        <v>82.000001889999993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 t="shared" si="13"/>
        <v/>
      </c>
      <c r="R101" s="4">
        <f t="shared" si="14"/>
        <v>38.9</v>
      </c>
      <c r="S101" s="4">
        <f t="shared" si="15"/>
        <v>43.1</v>
      </c>
      <c r="T101" s="33">
        <v>38.9</v>
      </c>
      <c r="U101" s="40">
        <v>3.2</v>
      </c>
      <c r="V101" s="34">
        <v>43.1</v>
      </c>
      <c r="W101" s="40">
        <v>6.1</v>
      </c>
      <c r="X101" s="33">
        <v>18.899999999999999</v>
      </c>
      <c r="Y101" s="40">
        <v>3.2</v>
      </c>
      <c r="Z101" s="34"/>
      <c r="AA101" s="37"/>
    </row>
    <row r="102" spans="1:27" x14ac:dyDescent="0.2">
      <c r="A102" s="1" t="str" cm="1">
        <f t="array" ref="A102">IF(I102="","",IF(P102&lt;&gt;"",SUMPRODUCT((P$3:P$106&lt;&gt;"")*(G$3:G$106=G102)*(J$3:J$106&gt;J102)*(I$3:I$106="P"))+1,IF(O102&lt;&gt;"",SUMPRODUCT((O$3:O$106&lt;&gt;"")*(P$3:P$106="")*(G$3:G$106=G102)*(J$3:J$106&gt;J102)*(I$3:I$106="P"))+SUMPRODUCT((P$3:P$106&lt;&gt;"")*(G$3:G$106=G102)*(I$3:I$106="P"))+1,IF(N102&lt;&gt;"",SUMPRODUCT((N$3:N$106&lt;&gt;"")*(G$3:G$106=G102)*(J$3:J$106&gt;J102)*(I$3:I$106="P"))+1,IF(M102="P",SUMPRODUCT((O$3:O$106&lt;&gt;"")*(P$3:P$106="")*(G$3:G$106=G102)*(I$3:I$106="P"))+SUMPRODUCT((P$3:P$106&lt;&gt;"")*(G$3:G$106=G102)*(I$3:I$106="P"))+SUMPRODUCT((N$3:N$106&lt;&gt;"")*(G$3:G$106=G102)*(I$3:I$106="P"))+SUMPRODUCT((P$3:P$106="")*(O$3:O$106="")*(N$3:N$106="")*(M$3:M$106="P")*(G$3:G$106=G102)*(J$3:J$106&gt;J102)*(I$3:I$106="P"))+IF(H102="L5",SUMPRODUCT((P$3:P$106="")*(O$3:O$106="")*(N$3:N$106="")*(M$3:M$106="P")*(G$3:G$106=G102)*(J$3:J$106&lt;J102)*(H$3:H$106&lt;&gt;H102)*(I$3:I$106="P")),-1*SUMPRODUCT((P$3:P$106="")*(O$3:O$106="")*(N$3:N$106="")*(M$3:M$106="P")*(G$3:G$106=G102)*(J$3:J$106&gt;J102)*(H$3:H$106="L5")*(I$3:I$106="P")))+1,"")))))</f>
        <v/>
      </c>
      <c r="B102" s="1" t="str" cm="1">
        <f t="array" ref="B102">IF(P102&lt;&gt;"",SUMPRODUCT((P$3:P$106&lt;&gt;"")*(G$3:G$106=G102)*(J$3:J$106&gt;J102))+1,IF(O102&lt;&gt;"",SUMPRODUCT((O$3:O$106&lt;&gt;"")*(P$3:P$106="")*(G$3:G$106=G102)*(J$3:J$106&gt;J102))+SUMPRODUCT((P$3:P$106&lt;&gt;"")*(G$3:G$106=G102))+1,IF(N102&lt;&gt;"",SUMPRODUCT((N$3:N$106&lt;&gt;"")*(G$3:G$106=G102)*(J$3:J$106&gt;J102))+1,IF(M102="P",SUMPRODUCT((O$3:O$106&lt;&gt;"")*(P$3:P$106="")*(G$3:G$106=G102))+SUMPRODUCT((P$3:P$106&lt;&gt;"")*(G$3:G$106=G102))+SUMPRODUCT((N$3:N$106&lt;&gt;"")*(G$3:G$106=G102))+SUMPRODUCT((P$3:P$106="")*(O$3:O$106="")*(N$3:N$106="")*(M$3:M$106="P")*(G$3:G$106=G102)*(J$3:J$106&gt;J102))+IF(H102="L5",SUMPRODUCT((P$3:P$106="")*(O$3:O$106="")*(N$3:N$106="")*(M$3:M$106="P")*(G$3:G$106=G102)*(J$3:J$106&lt;J102)*(H$3:H$106&lt;&gt;H102)),-1*SUMPRODUCT((P$3:P$106="")*(O$3:O$106="")*(N$3:N$106="")*(M$3:M$106="P")*(G$3:G$106=G102)*(J$3:J$106&gt;J102)*(H$3:H$106="L5")))+1,""))))</f>
        <v/>
      </c>
      <c r="C102" s="36" t="s">
        <v>483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2"/>
        <v>81.200004120000003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/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 t="shared" si="13"/>
        <v/>
      </c>
      <c r="R102" s="4">
        <f t="shared" si="14"/>
        <v>41.2</v>
      </c>
      <c r="S102" s="4">
        <f t="shared" si="15"/>
        <v>40</v>
      </c>
      <c r="T102" s="33"/>
      <c r="U102" s="40"/>
      <c r="V102" s="34"/>
      <c r="W102" s="40"/>
      <c r="X102" s="33">
        <v>41.2</v>
      </c>
      <c r="Y102" s="40">
        <v>4.8000000000000007</v>
      </c>
      <c r="Z102" s="34">
        <v>40</v>
      </c>
      <c r="AA102" s="37">
        <v>4.3000000000000007</v>
      </c>
    </row>
    <row r="103" spans="1:27" x14ac:dyDescent="0.2">
      <c r="A103" s="1" t="str" cm="1">
        <f t="array" ref="A103">IF(I103="","",IF(P103&lt;&gt;"",SUMPRODUCT((P$3:P$106&lt;&gt;"")*(G$3:G$106=G103)*(J$3:J$106&gt;J103)*(I$3:I$106="P"))+1,IF(O103&lt;&gt;"",SUMPRODUCT((O$3:O$106&lt;&gt;"")*(P$3:P$106="")*(G$3:G$106=G103)*(J$3:J$106&gt;J103)*(I$3:I$106="P"))+SUMPRODUCT((P$3:P$106&lt;&gt;"")*(G$3:G$106=G103)*(I$3:I$106="P"))+1,IF(N103&lt;&gt;"",SUMPRODUCT((N$3:N$106&lt;&gt;"")*(G$3:G$106=G103)*(J$3:J$106&gt;J103)*(I$3:I$106="P"))+1,IF(M103="P",SUMPRODUCT((O$3:O$106&lt;&gt;"")*(P$3:P$106="")*(G$3:G$106=G103)*(I$3:I$106="P"))+SUMPRODUCT((P$3:P$106&lt;&gt;"")*(G$3:G$106=G103)*(I$3:I$106="P"))+SUMPRODUCT((N$3:N$106&lt;&gt;"")*(G$3:G$106=G103)*(I$3:I$106="P"))+SUMPRODUCT((P$3:P$106="")*(O$3:O$106="")*(N$3:N$106="")*(M$3:M$106="P")*(G$3:G$106=G103)*(J$3:J$106&gt;J103)*(I$3:I$106="P"))+IF(H103="L5",SUMPRODUCT((P$3:P$106="")*(O$3:O$106="")*(N$3:N$106="")*(M$3:M$106="P")*(G$3:G$106=G103)*(J$3:J$106&lt;J103)*(H$3:H$106&lt;&gt;H103)*(I$3:I$106="P")),-1*SUMPRODUCT((P$3:P$106="")*(O$3:O$106="")*(N$3:N$106="")*(M$3:M$106="P")*(G$3:G$106=G103)*(J$3:J$106&gt;J103)*(H$3:H$106="L5")*(I$3:I$106="P")))+1,"")))))</f>
        <v/>
      </c>
      <c r="B103" s="1" t="str" cm="1">
        <f t="array" ref="B103">IF(P103&lt;&gt;"",SUMPRODUCT((P$3:P$106&lt;&gt;"")*(G$3:G$106=G103)*(J$3:J$106&gt;J103))+1,IF(O103&lt;&gt;"",SUMPRODUCT((O$3:O$106&lt;&gt;"")*(P$3:P$106="")*(G$3:G$106=G103)*(J$3:J$106&gt;J103))+SUMPRODUCT((P$3:P$106&lt;&gt;"")*(G$3:G$106=G103))+1,IF(N103&lt;&gt;"",SUMPRODUCT((N$3:N$106&lt;&gt;"")*(G$3:G$106=G103)*(J$3:J$106&gt;J103))+1,IF(M103="P",SUMPRODUCT((O$3:O$106&lt;&gt;"")*(P$3:P$106="")*(G$3:G$106=G103))+SUMPRODUCT((P$3:P$106&lt;&gt;"")*(G$3:G$106=G103))+SUMPRODUCT((N$3:N$106&lt;&gt;"")*(G$3:G$106=G103))+SUMPRODUCT((P$3:P$106="")*(O$3:O$106="")*(N$3:N$106="")*(M$3:M$106="P")*(G$3:G$106=G103)*(J$3:J$106&gt;J103))+IF(H103="L5",SUMPRODUCT((P$3:P$106="")*(O$3:O$106="")*(N$3:N$106="")*(M$3:M$106="P")*(G$3:G$106=G103)*(J$3:J$106&lt;J103)*(H$3:H$106&lt;&gt;H103)),-1*SUMPRODUCT((P$3:P$106="")*(O$3:O$106="")*(N$3:N$106="")*(M$3:M$106="P")*(G$3:G$106=G103)*(J$3:J$106&gt;J103)*(H$3:H$106="L5")))+1,""))))</f>
        <v/>
      </c>
      <c r="C103" s="36" t="s">
        <v>310</v>
      </c>
      <c r="D103" s="36" t="str">
        <f>IF(E103="","",VLOOKUP(E103,'Coaching Points'!A:B,2,0))</f>
        <v>AB</v>
      </c>
      <c r="E103" s="36" t="s">
        <v>40</v>
      </c>
      <c r="F103" s="35">
        <v>2009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2"/>
        <v>80.60000414999999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>P</v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 t="shared" si="13"/>
        <v/>
      </c>
      <c r="R103" s="4">
        <f t="shared" si="14"/>
        <v>41.5</v>
      </c>
      <c r="S103" s="4">
        <f t="shared" si="15"/>
        <v>39.1</v>
      </c>
      <c r="T103" s="33">
        <v>39.1</v>
      </c>
      <c r="U103" s="40">
        <v>3.4000000000000004</v>
      </c>
      <c r="V103" s="34">
        <v>38.6</v>
      </c>
      <c r="W103" s="40">
        <v>4</v>
      </c>
      <c r="X103" s="33">
        <v>41.5</v>
      </c>
      <c r="Y103" s="40">
        <v>6.3000000000000007</v>
      </c>
      <c r="Z103" s="34">
        <v>38.799999999999997</v>
      </c>
      <c r="AA103" s="37">
        <v>3.8</v>
      </c>
    </row>
    <row r="104" spans="1:27" x14ac:dyDescent="0.2">
      <c r="A104" s="1" t="str" cm="1">
        <f t="array" ref="A104">IF(I104="","",IF(P104&lt;&gt;"",SUMPRODUCT((P$3:P$106&lt;&gt;"")*(G$3:G$106=G104)*(J$3:J$106&gt;J104)*(I$3:I$106="P"))+1,IF(O104&lt;&gt;"",SUMPRODUCT((O$3:O$106&lt;&gt;"")*(P$3:P$106="")*(G$3:G$106=G104)*(J$3:J$106&gt;J104)*(I$3:I$106="P"))+SUMPRODUCT((P$3:P$106&lt;&gt;"")*(G$3:G$106=G104)*(I$3:I$106="P"))+1,IF(N104&lt;&gt;"",SUMPRODUCT((N$3:N$106&lt;&gt;"")*(G$3:G$106=G104)*(J$3:J$106&gt;J104)*(I$3:I$106="P"))+1,IF(M104="P",SUMPRODUCT((O$3:O$106&lt;&gt;"")*(P$3:P$106="")*(G$3:G$106=G104)*(I$3:I$106="P"))+SUMPRODUCT((P$3:P$106&lt;&gt;"")*(G$3:G$106=G104)*(I$3:I$106="P"))+SUMPRODUCT((N$3:N$106&lt;&gt;"")*(G$3:G$106=G104)*(I$3:I$106="P"))+SUMPRODUCT((P$3:P$106="")*(O$3:O$106="")*(N$3:N$106="")*(M$3:M$106="P")*(G$3:G$106=G104)*(J$3:J$106&gt;J104)*(I$3:I$106="P"))+IF(H104="L5",SUMPRODUCT((P$3:P$106="")*(O$3:O$106="")*(N$3:N$106="")*(M$3:M$106="P")*(G$3:G$106=G104)*(J$3:J$106&lt;J104)*(H$3:H$106&lt;&gt;H104)*(I$3:I$106="P")),-1*SUMPRODUCT((P$3:P$106="")*(O$3:O$106="")*(N$3:N$106="")*(M$3:M$106="P")*(G$3:G$106=G104)*(J$3:J$106&gt;J104)*(H$3:H$106="L5")*(I$3:I$106="P")))+1,"")))))</f>
        <v/>
      </c>
      <c r="B104" s="1" t="str" cm="1">
        <f t="array" ref="B104">IF(P104&lt;&gt;"",SUMPRODUCT((P$3:P$106&lt;&gt;"")*(G$3:G$106=G104)*(J$3:J$106&gt;J104))+1,IF(O104&lt;&gt;"",SUMPRODUCT((O$3:O$106&lt;&gt;"")*(P$3:P$106="")*(G$3:G$106=G104)*(J$3:J$106&gt;J104))+SUMPRODUCT((P$3:P$106&lt;&gt;"")*(G$3:G$106=G104))+1,IF(N104&lt;&gt;"",SUMPRODUCT((N$3:N$106&lt;&gt;"")*(G$3:G$106=G104)*(J$3:J$106&gt;J104))+1,IF(M104="P",SUMPRODUCT((O$3:O$106&lt;&gt;"")*(P$3:P$106="")*(G$3:G$106=G104))+SUMPRODUCT((P$3:P$106&lt;&gt;"")*(G$3:G$106=G104))+SUMPRODUCT((N$3:N$106&lt;&gt;"")*(G$3:G$106=G104))+SUMPRODUCT((P$3:P$106="")*(O$3:O$106="")*(N$3:N$106="")*(M$3:M$106="P")*(G$3:G$106=G104)*(J$3:J$106&gt;J104))+IF(H104="L5",SUMPRODUCT((P$3:P$106="")*(O$3:O$106="")*(N$3:N$106="")*(M$3:M$106="P")*(G$3:G$106=G104)*(J$3:J$106&lt;J104)*(H$3:H$106&lt;&gt;H104)),-1*SUMPRODUCT((P$3:P$106="")*(O$3:O$106="")*(N$3:N$106="")*(M$3:M$106="P")*(G$3:G$106=G104)*(J$3:J$106&gt;J104)*(H$3:H$106="L5")))+1,""))))</f>
        <v/>
      </c>
      <c r="C104" s="36" t="s">
        <v>485</v>
      </c>
      <c r="D104" s="36" t="str">
        <f>IF(E104="","",VLOOKUP(E104,'Coaching Points'!A:B,2,0))</f>
        <v>BC</v>
      </c>
      <c r="E104" s="36" t="s">
        <v>37</v>
      </c>
      <c r="F104" s="35">
        <v>2010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13-14</v>
      </c>
      <c r="H104" s="39" t="s">
        <v>66</v>
      </c>
      <c r="I104" s="43"/>
      <c r="J104" s="4">
        <f t="shared" si="12"/>
        <v>80.200004079999985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 t="shared" si="13"/>
        <v/>
      </c>
      <c r="R104" s="4">
        <f t="shared" si="14"/>
        <v>39.4</v>
      </c>
      <c r="S104" s="4">
        <f t="shared" si="15"/>
        <v>40.799999999999997</v>
      </c>
      <c r="T104" s="33"/>
      <c r="U104" s="40"/>
      <c r="V104" s="34"/>
      <c r="W104" s="40"/>
      <c r="X104" s="33">
        <v>39.4</v>
      </c>
      <c r="Y104" s="40">
        <v>4.8000000000000007</v>
      </c>
      <c r="Z104" s="34">
        <v>40.799999999999997</v>
      </c>
      <c r="AA104" s="37">
        <v>5</v>
      </c>
    </row>
    <row r="105" spans="1:27" x14ac:dyDescent="0.2">
      <c r="A105" s="1" t="str" cm="1">
        <f t="array" ref="A105">IF(I105="","",IF(P105&lt;&gt;"",SUMPRODUCT((P$3:P$106&lt;&gt;"")*(G$3:G$106=G105)*(J$3:J$106&gt;J105)*(I$3:I$106="P"))+1,IF(O105&lt;&gt;"",SUMPRODUCT((O$3:O$106&lt;&gt;"")*(P$3:P$106="")*(G$3:G$106=G105)*(J$3:J$106&gt;J105)*(I$3:I$106="P"))+SUMPRODUCT((P$3:P$106&lt;&gt;"")*(G$3:G$106=G105)*(I$3:I$106="P"))+1,IF(N105&lt;&gt;"",SUMPRODUCT((N$3:N$106&lt;&gt;"")*(G$3:G$106=G105)*(J$3:J$106&gt;J105)*(I$3:I$106="P"))+1,IF(M105="P",SUMPRODUCT((O$3:O$106&lt;&gt;"")*(P$3:P$106="")*(G$3:G$106=G105)*(I$3:I$106="P"))+SUMPRODUCT((P$3:P$106&lt;&gt;"")*(G$3:G$106=G105)*(I$3:I$106="P"))+SUMPRODUCT((N$3:N$106&lt;&gt;"")*(G$3:G$106=G105)*(I$3:I$106="P"))+SUMPRODUCT((P$3:P$106="")*(O$3:O$106="")*(N$3:N$106="")*(M$3:M$106="P")*(G$3:G$106=G105)*(J$3:J$106&gt;J105)*(I$3:I$106="P"))+IF(H105="L5",SUMPRODUCT((P$3:P$106="")*(O$3:O$106="")*(N$3:N$106="")*(M$3:M$106="P")*(G$3:G$106=G105)*(J$3:J$106&lt;J105)*(H$3:H$106&lt;&gt;H105)*(I$3:I$106="P")),-1*SUMPRODUCT((P$3:P$106="")*(O$3:O$106="")*(N$3:N$106="")*(M$3:M$106="P")*(G$3:G$106=G105)*(J$3:J$106&gt;J105)*(H$3:H$106="L5")*(I$3:I$106="P")))+1,"")))))</f>
        <v/>
      </c>
      <c r="B105" s="1" t="str" cm="1">
        <f t="array" ref="B105">IF(P105&lt;&gt;"",SUMPRODUCT((P$3:P$106&lt;&gt;"")*(G$3:G$106=G105)*(J$3:J$106&gt;J105))+1,IF(O105&lt;&gt;"",SUMPRODUCT((O$3:O$106&lt;&gt;"")*(P$3:P$106="")*(G$3:G$106=G105)*(J$3:J$106&gt;J105))+SUMPRODUCT((P$3:P$106&lt;&gt;"")*(G$3:G$106=G105))+1,IF(N105&lt;&gt;"",SUMPRODUCT((N$3:N$106&lt;&gt;"")*(G$3:G$106=G105)*(J$3:J$106&gt;J105))+1,IF(M105="P",SUMPRODUCT((O$3:O$106&lt;&gt;"")*(P$3:P$106="")*(G$3:G$106=G105))+SUMPRODUCT((P$3:P$106&lt;&gt;"")*(G$3:G$106=G105))+SUMPRODUCT((N$3:N$106&lt;&gt;"")*(G$3:G$106=G105))+SUMPRODUCT((P$3:P$106="")*(O$3:O$106="")*(N$3:N$106="")*(M$3:M$106="P")*(G$3:G$106=G105)*(J$3:J$106&gt;J105))+IF(H105="L5",SUMPRODUCT((P$3:P$106="")*(O$3:O$106="")*(N$3:N$106="")*(M$3:M$106="P")*(G$3:G$106=G105)*(J$3:J$106&lt;J105)*(H$3:H$106&lt;&gt;H105)),-1*SUMPRODUCT((P$3:P$106="")*(O$3:O$106="")*(N$3:N$106="")*(M$3:M$106="P")*(G$3:G$106=G105)*(J$3:J$106&gt;J105)*(H$3:H$106="L5")))+1,""))))</f>
        <v/>
      </c>
      <c r="C105" s="36" t="s">
        <v>516</v>
      </c>
      <c r="D105" s="36" t="str">
        <f>IF(E105="","",VLOOKUP(E105,'Coaching Points'!A:B,2,0))</f>
        <v>BC</v>
      </c>
      <c r="E105" s="36" t="s">
        <v>41</v>
      </c>
      <c r="F105" s="35">
        <v>2011</v>
      </c>
      <c r="G105" s="1" t="str">
        <f>IF('Qualifying Scores'!$B$1-F105&gt;21,"Not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2"/>
        <v>78.100003919999992</v>
      </c>
      <c r="K105" s="3" t="str">
        <f>IF(G105="Not Age Eligible","",IF(MAX(T105,V105,X105,Z105)&gt;=LOOKUP(G105,'Qualifying Scores'!$A$4:$A$7,'Qualifying Scores'!$G$4:$G$7),"P",""))</f>
        <v/>
      </c>
      <c r="L105" s="3" t="str">
        <f>IF(G105="Not Age Eligible","",IF(MAX(U105,W105,Y105,AA105)&gt;=LOOKUP(G105,'Qualifying Scores'!$A$10:$A$13,'Qualifying Scores'!$G$10:$G$13),"P",""))</f>
        <v/>
      </c>
      <c r="M105" s="3" t="str">
        <f>IF(G105="Not Age Eligible","",IF(OR(AND(T105&gt;=LOOKUP(G105,'Qualifying Scores'!$A$4:$A$7,'Qualifying Scores'!$G$4:$G$7),U105&gt;=LOOKUP(G105,'Qualifying Scores'!$A$10:$A$13,'Qualifying Scores'!$G$10:$G$13)),AND(X105&gt;=LOOKUP(G105,'Qualifying Scores'!$A$4:$A$7,'Qualifying Scores'!$G$4:$G$7),Y105&gt;=LOOKUP(G105,'Qualifying Scores'!$A$10:$A$13,'Qualifying Scores'!$G$10:$G$13)),AND(V105&gt;=LOOKUP(G105,'Qualifying Scores'!$A$4:$A$7,'Qualifying Scores'!$G$4:$G$7),W105&gt;=LOOKUP(G105,'Qualifying Scores'!$A$10:$A$13,'Qualifying Scores'!$G$10:$G$13)),AND(Z105&gt;=LOOKUP(G105,'Qualifying Scores'!$A$4:$A$7,'Qualifying Scores'!$G$4:$G$7),AA105&gt;=LOOKUP(G105,'Qualifying Scores'!$A$10:$A$13,'Qualifying Scores'!$G$10:$G$13))),"P",""))</f>
        <v/>
      </c>
      <c r="Q105" s="1" t="str">
        <f t="shared" si="13"/>
        <v/>
      </c>
      <c r="R105" s="4">
        <f t="shared" si="14"/>
        <v>38.9</v>
      </c>
      <c r="S105" s="4">
        <f t="shared" si="15"/>
        <v>39.200000000000003</v>
      </c>
      <c r="T105" s="33"/>
      <c r="U105" s="40"/>
      <c r="V105" s="34"/>
      <c r="W105" s="40"/>
      <c r="X105" s="33">
        <v>38.9</v>
      </c>
      <c r="Y105" s="40">
        <v>3.4000000000000004</v>
      </c>
      <c r="Z105" s="34">
        <v>39.200000000000003</v>
      </c>
      <c r="AA105" s="37">
        <v>2.8</v>
      </c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  <row r="268" spans="2:27" x14ac:dyDescent="0.2">
      <c r="B268" s="1"/>
      <c r="G268" s="1"/>
      <c r="H268" s="39"/>
      <c r="I268" s="43"/>
      <c r="J268" s="4"/>
      <c r="K268" s="3"/>
      <c r="L268" s="3"/>
      <c r="R268" s="4"/>
      <c r="S268" s="4"/>
      <c r="T268" s="33"/>
      <c r="U268" s="40"/>
      <c r="V268" s="34"/>
      <c r="W268" s="40"/>
      <c r="X268" s="33"/>
      <c r="Y268" s="40"/>
      <c r="Z268" s="34"/>
      <c r="AA26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105">
      <sortCondition descending="1" ref="G1:G106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06:XFD1048576 A3:AK105 AM3:XFD105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conditionalFormatting sqref="R1:S2">
    <cfRule type="expression" dxfId="27" priority="5">
      <formula>IF($G1="17-21",1,0)</formula>
    </cfRule>
    <cfRule type="expression" dxfId="26" priority="6">
      <formula>IF($G1="15-16",1,0)</formula>
    </cfRule>
    <cfRule type="expression" dxfId="25" priority="7">
      <formula>IF($G1="13-14",1,0)</formula>
    </cfRule>
    <cfRule type="expression" dxfId="24" priority="8">
      <formula>IF($G1="11-12",1,0)</formula>
    </cfRule>
  </conditionalFormatting>
  <conditionalFormatting sqref="AL3:AL105">
    <cfRule type="expression" dxfId="23" priority="1">
      <formula>IF($G3="17-21",1,0)</formula>
    </cfRule>
    <cfRule type="expression" dxfId="22" priority="2">
      <formula>IF($G3="15-16",1,0)</formula>
    </cfRule>
    <cfRule type="expression" dxfId="21" priority="3">
      <formula>IF($G3="13-14",1,0)</formula>
    </cfRule>
    <cfRule type="expression" dxfId="2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/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1</v>
      </c>
      <c r="C3" s="36" t="s">
        <v>173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49" si="0">R3+S3+IF(OR(H3="Junior",H3="Senior"),0.0002,IF(OR(H3="L7",H3="L6"),0.0001,0))+MAX(X3,Z3)*0.0000001</f>
        <v>105.00020533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1" t="str">
        <f t="shared" ref="Q3:Q49" si="1">IF(A3&lt;5,IF(_xlfn.MAXIFS(A:A,G:G,G3)&gt;3,5-A3,_xlfn.MAXIFS(A:A,G:G,G3)+1-A3),"")</f>
        <v/>
      </c>
      <c r="R3" s="4">
        <f t="shared" ref="R3:R49" si="2">MAX(T3,X3)</f>
        <v>51.6</v>
      </c>
      <c r="S3" s="4">
        <f t="shared" ref="S3:S49" si="3">IF(R3=T3,MAX(V3,X3,Z3),IF(R3=X3,MAX(T3,V3,Z3),0))</f>
        <v>53.4</v>
      </c>
      <c r="T3" s="33">
        <v>51.6</v>
      </c>
      <c r="U3" s="40">
        <v>14.6</v>
      </c>
      <c r="V3" s="34">
        <v>53.4</v>
      </c>
      <c r="W3" s="40">
        <v>15.8</v>
      </c>
      <c r="X3" s="33">
        <v>51.4</v>
      </c>
      <c r="Y3" s="40">
        <v>16.200000000000003</v>
      </c>
      <c r="Z3" s="34">
        <v>53.3</v>
      </c>
      <c r="AA3" s="37">
        <v>15.8</v>
      </c>
    </row>
    <row r="4" spans="1:27" x14ac:dyDescent="0.2">
      <c r="A4" s="1" t="str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/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2</v>
      </c>
      <c r="C4" s="36" t="s">
        <v>161</v>
      </c>
      <c r="D4" s="36" t="str">
        <f>IF(E4="","",VLOOKUP(E4,'Coaching Points'!A:B,2,0))</f>
        <v>ON</v>
      </c>
      <c r="E4" s="36" t="s">
        <v>162</v>
      </c>
      <c r="F4" s="35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101.70020510000001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51</v>
      </c>
      <c r="S4" s="4">
        <f t="shared" si="3"/>
        <v>50.7</v>
      </c>
      <c r="T4" s="33">
        <v>45.6</v>
      </c>
      <c r="U4" s="40">
        <v>10.199999999999999</v>
      </c>
      <c r="V4" s="34">
        <v>50.7</v>
      </c>
      <c r="W4" s="40">
        <v>13.8</v>
      </c>
      <c r="X4" s="33">
        <v>51</v>
      </c>
      <c r="Y4" s="40">
        <v>15.8</v>
      </c>
      <c r="Z4" s="34">
        <v>49.7</v>
      </c>
      <c r="AA4" s="37">
        <v>14.7</v>
      </c>
    </row>
    <row r="5" spans="1:27" x14ac:dyDescent="0.2">
      <c r="A5" s="1" t="str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/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3</v>
      </c>
      <c r="C5" s="36" t="s">
        <v>281</v>
      </c>
      <c r="D5" s="36" t="str">
        <f>IF(E5="","",VLOOKUP(E5,'Coaching Points'!A:B,2,0))</f>
        <v>ON</v>
      </c>
      <c r="E5" s="36" t="s">
        <v>162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93.900204820000013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4</v>
      </c>
      <c r="P5" s="39">
        <v>4</v>
      </c>
      <c r="Q5" s="1" t="str">
        <f t="shared" si="1"/>
        <v/>
      </c>
      <c r="R5" s="4">
        <f t="shared" si="2"/>
        <v>45.7</v>
      </c>
      <c r="S5" s="4">
        <f t="shared" si="3"/>
        <v>48.2</v>
      </c>
      <c r="T5" s="33">
        <v>45.7</v>
      </c>
      <c r="U5" s="40">
        <v>11.1</v>
      </c>
      <c r="V5" s="34">
        <v>42.6</v>
      </c>
      <c r="W5" s="40">
        <v>9.1999999999999993</v>
      </c>
      <c r="X5" s="33">
        <v>43</v>
      </c>
      <c r="Y5" s="40">
        <v>10.9</v>
      </c>
      <c r="Z5" s="34">
        <v>48.2</v>
      </c>
      <c r="AA5" s="37">
        <v>12</v>
      </c>
    </row>
    <row r="6" spans="1:27" x14ac:dyDescent="0.2">
      <c r="A6" s="1" t="str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/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4</v>
      </c>
      <c r="C6" s="36" t="s">
        <v>544</v>
      </c>
      <c r="D6" s="36" t="str">
        <f>IF(E6="","",VLOOKUP(E6,'Coaching Points'!A:B,2,0))</f>
        <v>AB</v>
      </c>
      <c r="E6" s="36" t="s">
        <v>64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92.500204660000009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P6" s="39">
        <v>5</v>
      </c>
      <c r="Q6" s="1" t="str">
        <f t="shared" si="1"/>
        <v/>
      </c>
      <c r="R6" s="4">
        <f t="shared" si="2"/>
        <v>45.9</v>
      </c>
      <c r="S6" s="4">
        <f t="shared" si="3"/>
        <v>46.6</v>
      </c>
      <c r="T6" s="33"/>
      <c r="U6" s="40"/>
      <c r="V6" s="34"/>
      <c r="W6" s="40"/>
      <c r="X6" s="33">
        <v>45.9</v>
      </c>
      <c r="Y6" s="40">
        <v>11</v>
      </c>
      <c r="Z6" s="34">
        <v>46.6</v>
      </c>
      <c r="AA6" s="37">
        <v>11.6</v>
      </c>
    </row>
    <row r="7" spans="1:27" x14ac:dyDescent="0.2">
      <c r="A7" s="1" t="str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/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5</v>
      </c>
      <c r="C7" s="36" t="s">
        <v>280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92.000204610000011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3</v>
      </c>
      <c r="P7" s="39">
        <v>3</v>
      </c>
      <c r="Q7" s="1" t="str">
        <f t="shared" si="1"/>
        <v/>
      </c>
      <c r="R7" s="4">
        <f t="shared" si="2"/>
        <v>45.9</v>
      </c>
      <c r="S7" s="4">
        <f t="shared" si="3"/>
        <v>46.1</v>
      </c>
      <c r="T7" s="33">
        <v>45.9</v>
      </c>
      <c r="U7" s="40">
        <v>11.600000000000001</v>
      </c>
      <c r="V7" s="34">
        <v>44.6</v>
      </c>
      <c r="W7" s="40">
        <v>9.6</v>
      </c>
      <c r="X7" s="33">
        <v>45.9</v>
      </c>
      <c r="Y7" s="40">
        <v>11.600000000000001</v>
      </c>
      <c r="Z7" s="34">
        <v>46.1</v>
      </c>
      <c r="AA7" s="37">
        <v>12.2</v>
      </c>
    </row>
    <row r="8" spans="1:27" x14ac:dyDescent="0.2">
      <c r="A8" s="1" t="str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/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6</v>
      </c>
      <c r="C8" s="36" t="s">
        <v>543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92.300104700000006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 t="shared" si="1"/>
        <v/>
      </c>
      <c r="R8" s="4">
        <f t="shared" si="2"/>
        <v>45.3</v>
      </c>
      <c r="S8" s="4">
        <f t="shared" si="3"/>
        <v>47</v>
      </c>
      <c r="T8" s="33"/>
      <c r="U8" s="40"/>
      <c r="V8" s="34"/>
      <c r="W8" s="40"/>
      <c r="X8" s="33">
        <v>45.3</v>
      </c>
      <c r="Y8" s="40">
        <v>10.6</v>
      </c>
      <c r="Z8" s="34">
        <v>47</v>
      </c>
      <c r="AA8" s="37">
        <v>10.6</v>
      </c>
    </row>
    <row r="9" spans="1:27" x14ac:dyDescent="0.2">
      <c r="A9" s="1" t="str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/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7</v>
      </c>
      <c r="C9" s="36" t="s">
        <v>169</v>
      </c>
      <c r="D9" s="36" t="str">
        <f>IF(E9="","",VLOOKUP(E9,'Coaching Points'!A:B,2,0))</f>
        <v>AB</v>
      </c>
      <c r="E9" s="36" t="s">
        <v>64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91.300204610000023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 t="shared" si="1"/>
        <v/>
      </c>
      <c r="R9" s="4">
        <f t="shared" si="2"/>
        <v>45.2</v>
      </c>
      <c r="S9" s="4">
        <f t="shared" si="3"/>
        <v>46.1</v>
      </c>
      <c r="T9" s="33">
        <v>45.2</v>
      </c>
      <c r="U9" s="40">
        <v>12.3</v>
      </c>
      <c r="V9" s="34">
        <v>38.299999999999997</v>
      </c>
      <c r="W9" s="40">
        <v>9</v>
      </c>
      <c r="X9" s="33">
        <v>41.3</v>
      </c>
      <c r="Y9" s="40">
        <v>9.1999999999999993</v>
      </c>
      <c r="Z9" s="34">
        <v>46.1</v>
      </c>
      <c r="AA9" s="37">
        <v>11.9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8</v>
      </c>
      <c r="C10" s="36" t="s">
        <v>171</v>
      </c>
      <c r="D10" s="36" t="str">
        <f>IF(E10="","",VLOOKUP(E10,'Coaching Points'!A:B,2,0))</f>
        <v>AB</v>
      </c>
      <c r="E10" s="36" t="s">
        <v>64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89.100104590000001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Q10" s="1" t="str">
        <f t="shared" si="1"/>
        <v/>
      </c>
      <c r="R10" s="4">
        <f t="shared" si="2"/>
        <v>43.2</v>
      </c>
      <c r="S10" s="4">
        <f t="shared" si="3"/>
        <v>45.9</v>
      </c>
      <c r="T10" s="33">
        <v>41.4</v>
      </c>
      <c r="U10" s="40">
        <v>9.3999999999999986</v>
      </c>
      <c r="V10" s="34">
        <v>43.9</v>
      </c>
      <c r="W10" s="40">
        <v>10.1</v>
      </c>
      <c r="X10" s="33">
        <v>43.2</v>
      </c>
      <c r="Y10" s="40">
        <v>10.8</v>
      </c>
      <c r="Z10" s="34">
        <v>45.9</v>
      </c>
      <c r="AA10" s="37">
        <v>11.5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9</v>
      </c>
      <c r="C11" s="36" t="s">
        <v>170</v>
      </c>
      <c r="D11" s="36" t="str">
        <f>IF(E11="","",VLOOKUP(E11,'Coaching Points'!A:B,2,0))</f>
        <v>AB</v>
      </c>
      <c r="E11" s="36" t="s">
        <v>64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88.600104540000004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Q11" s="1" t="str">
        <f t="shared" si="1"/>
        <v/>
      </c>
      <c r="R11" s="4">
        <f t="shared" si="2"/>
        <v>45.4</v>
      </c>
      <c r="S11" s="4">
        <f t="shared" si="3"/>
        <v>43.2</v>
      </c>
      <c r="T11" s="33">
        <v>42.5</v>
      </c>
      <c r="U11" s="40">
        <v>11.5</v>
      </c>
      <c r="V11" s="34">
        <v>43.2</v>
      </c>
      <c r="W11" s="40">
        <v>10.9</v>
      </c>
      <c r="X11" s="33">
        <v>45.4</v>
      </c>
      <c r="Y11" s="40">
        <v>12.3</v>
      </c>
      <c r="Z11" s="34">
        <v>42.4</v>
      </c>
      <c r="AA11" s="37">
        <v>10.399999999999999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10</v>
      </c>
      <c r="C12" s="36" t="s">
        <v>226</v>
      </c>
      <c r="D12" s="36" t="str">
        <f>IF(E12="","",VLOOKUP(E12,'Coaching Points'!A:B,2,0))</f>
        <v>QC</v>
      </c>
      <c r="E12" s="36" t="s">
        <v>3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88.200104410000009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Q12" s="1" t="str">
        <f t="shared" si="1"/>
        <v/>
      </c>
      <c r="R12" s="4">
        <f t="shared" si="2"/>
        <v>44.1</v>
      </c>
      <c r="S12" s="4">
        <f t="shared" si="3"/>
        <v>44.1</v>
      </c>
      <c r="T12" s="33">
        <v>41</v>
      </c>
      <c r="U12" s="40">
        <v>8.5</v>
      </c>
      <c r="V12" s="34">
        <v>44.1</v>
      </c>
      <c r="W12" s="40">
        <v>10.1</v>
      </c>
      <c r="X12" s="33">
        <v>44.1</v>
      </c>
      <c r="Y12" s="40">
        <v>9.3999999999999986</v>
      </c>
      <c r="Z12" s="34">
        <v>43.7</v>
      </c>
      <c r="AA12" s="37">
        <v>9.3999999999999986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 t="shared" si="1"/>
        <v/>
      </c>
      <c r="R13" s="4">
        <f t="shared" si="2"/>
        <v>42.2</v>
      </c>
      <c r="S13" s="4">
        <f t="shared" si="3"/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502</v>
      </c>
      <c r="D14" s="36" t="str">
        <f>IF(E14="","",VLOOKUP(E14,'Coaching Points'!A:B,2,0))</f>
        <v>ON</v>
      </c>
      <c r="E14" s="36" t="s">
        <v>292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 t="shared" si="1"/>
        <v/>
      </c>
      <c r="R14" s="4">
        <f t="shared" si="2"/>
        <v>42.4</v>
      </c>
      <c r="S14" s="4">
        <f t="shared" si="3"/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526</v>
      </c>
      <c r="D15" s="36" t="str">
        <f>IF(E15="","",VLOOKUP(E15,'Coaching Points'!A:B,2,0))</f>
        <v>MB</v>
      </c>
      <c r="E15" s="36" t="s">
        <v>568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 t="shared" si="1"/>
        <v/>
      </c>
      <c r="R15" s="4">
        <f t="shared" si="2"/>
        <v>39.9</v>
      </c>
      <c r="S15" s="4">
        <f t="shared" si="3"/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203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 t="shared" si="1"/>
        <v/>
      </c>
      <c r="R16" s="4">
        <f t="shared" si="2"/>
        <v>40.799999999999997</v>
      </c>
      <c r="S16" s="4">
        <f t="shared" si="3"/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315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 t="shared" si="1"/>
        <v/>
      </c>
      <c r="R17" s="4">
        <f t="shared" si="2"/>
        <v>40.799999999999997</v>
      </c>
      <c r="S17" s="4">
        <f t="shared" si="3"/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 t="shared" si="1"/>
        <v/>
      </c>
      <c r="R18" s="4">
        <f t="shared" si="2"/>
        <v>39.799999999999997</v>
      </c>
      <c r="S18" s="4">
        <f t="shared" si="3"/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 t="shared" si="1"/>
        <v/>
      </c>
      <c r="R19" s="4">
        <f t="shared" si="2"/>
        <v>41.6</v>
      </c>
      <c r="S19" s="4">
        <f t="shared" si="3"/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320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79.500004169999997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 t="shared" si="1"/>
        <v/>
      </c>
      <c r="R20" s="4">
        <f t="shared" si="2"/>
        <v>37.799999999999997</v>
      </c>
      <c r="S20" s="4">
        <f t="shared" si="3"/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 t="shared" si="1"/>
        <v/>
      </c>
      <c r="R21" s="4">
        <f t="shared" si="2"/>
        <v>39.4</v>
      </c>
      <c r="S21" s="4">
        <f t="shared" si="3"/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347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79.200003239999987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 t="shared" si="1"/>
        <v/>
      </c>
      <c r="R22" s="4">
        <f t="shared" si="2"/>
        <v>38.799999999999997</v>
      </c>
      <c r="S22" s="4">
        <f t="shared" si="3"/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277</v>
      </c>
      <c r="D23" s="36" t="str">
        <f>IF(E23="","",VLOOKUP(E23,'Coaching Points'!A:B,2,0))</f>
        <v>ON</v>
      </c>
      <c r="E23" s="36" t="s">
        <v>292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 t="shared" si="1"/>
        <v/>
      </c>
      <c r="R23" s="4">
        <f t="shared" si="2"/>
        <v>38.1</v>
      </c>
      <c r="S23" s="4">
        <f t="shared" si="3"/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 t="shared" si="1"/>
        <v/>
      </c>
      <c r="R24" s="4">
        <f t="shared" si="2"/>
        <v>38.1</v>
      </c>
      <c r="S24" s="4">
        <f t="shared" si="3"/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279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 t="shared" si="1"/>
        <v/>
      </c>
      <c r="R25" s="4">
        <f t="shared" si="2"/>
        <v>38.799999999999997</v>
      </c>
      <c r="S25" s="4">
        <f t="shared" si="3"/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430</v>
      </c>
      <c r="D26" s="36" t="str">
        <f>IF(E26="","",VLOOKUP(E26,'Coaching Points'!A:B,2,0))</f>
        <v>AB</v>
      </c>
      <c r="E26" s="36" t="s">
        <v>312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 t="shared" si="1"/>
        <v/>
      </c>
      <c r="R26" s="4">
        <f t="shared" si="2"/>
        <v>37.299999999999997</v>
      </c>
      <c r="S26" s="4">
        <f t="shared" si="3"/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324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 t="shared" si="1"/>
        <v/>
      </c>
      <c r="R27" s="4">
        <f t="shared" si="2"/>
        <v>37</v>
      </c>
      <c r="S27" s="4">
        <f t="shared" si="3"/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433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 t="shared" si="1"/>
        <v/>
      </c>
      <c r="R28" s="4">
        <f t="shared" si="2"/>
        <v>34.4</v>
      </c>
      <c r="S28" s="4">
        <f t="shared" si="3"/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529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 t="shared" si="1"/>
        <v/>
      </c>
      <c r="R29" s="4">
        <f t="shared" si="2"/>
        <v>33.700000000000003</v>
      </c>
      <c r="S29" s="4">
        <f t="shared" si="3"/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503</v>
      </c>
      <c r="D30" s="36" t="str">
        <f>IF(E30="","",VLOOKUP(E30,'Coaching Points'!A:B,2,0))</f>
        <v>BC</v>
      </c>
      <c r="E30" s="36" t="s">
        <v>443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 t="shared" si="1"/>
        <v/>
      </c>
      <c r="R30" s="4">
        <f t="shared" si="2"/>
        <v>32.9</v>
      </c>
      <c r="S30" s="4">
        <f t="shared" si="3"/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530</v>
      </c>
      <c r="D31" s="36" t="str">
        <f>IF(E31="","",VLOOKUP(E31,'Coaching Points'!A:B,2,0))</f>
        <v>ON</v>
      </c>
      <c r="E31" s="36" t="s">
        <v>316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 t="shared" si="1"/>
        <v/>
      </c>
      <c r="R31" s="4">
        <f t="shared" si="2"/>
        <v>32.9</v>
      </c>
      <c r="S31" s="4">
        <f t="shared" si="3"/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t="str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/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276</v>
      </c>
      <c r="D32" s="36" t="str">
        <f>IF(E32="","",VLOOKUP(E32,'Coaching Points'!A:B,2,0))</f>
        <v>ON</v>
      </c>
      <c r="E32" s="36" t="s">
        <v>293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/>
      <c r="J32" s="4">
        <f t="shared" si="0"/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 t="str">
        <f t="shared" si="1"/>
        <v/>
      </c>
      <c r="R32" s="4">
        <f t="shared" si="2"/>
        <v>43.2</v>
      </c>
      <c r="S32" s="4">
        <f t="shared" si="3"/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t="str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/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/>
      <c r="J33" s="4">
        <f t="shared" si="0"/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 t="str">
        <f t="shared" si="1"/>
        <v/>
      </c>
      <c r="R33" s="4">
        <f t="shared" si="2"/>
        <v>40.5</v>
      </c>
      <c r="S33" s="4">
        <f t="shared" si="3"/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t="str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/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/>
      <c r="J34" s="4">
        <f t="shared" si="0"/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 t="str">
        <f t="shared" si="1"/>
        <v/>
      </c>
      <c r="R34" s="4">
        <f t="shared" si="2"/>
        <v>43.8</v>
      </c>
      <c r="S34" s="4">
        <f t="shared" si="3"/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67</v>
      </c>
      <c r="I35" s="43"/>
      <c r="J35" s="4">
        <f t="shared" si="0"/>
        <v>84.900103930000014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 t="shared" si="1"/>
        <v/>
      </c>
      <c r="R35" s="4">
        <f t="shared" si="2"/>
        <v>41.9</v>
      </c>
      <c r="S35" s="4">
        <f t="shared" si="3"/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/>
      <c r="J36" s="4">
        <f t="shared" si="0"/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 t="shared" si="1"/>
        <v/>
      </c>
      <c r="R36" s="4">
        <f t="shared" si="2"/>
        <v>41.5</v>
      </c>
      <c r="S36" s="4">
        <f t="shared" si="3"/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364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/>
      <c r="J37" s="4">
        <f t="shared" si="0"/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 t="shared" si="1"/>
        <v/>
      </c>
      <c r="R37" s="4">
        <f t="shared" si="2"/>
        <v>38.9</v>
      </c>
      <c r="S37" s="4">
        <f t="shared" si="3"/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528</v>
      </c>
      <c r="D38" s="36" t="str">
        <f>IF(E38="","",VLOOKUP(E38,'Coaching Points'!A:B,2,0))</f>
        <v>ON</v>
      </c>
      <c r="E38" s="36" t="s">
        <v>292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 t="shared" si="0"/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 t="shared" si="1"/>
        <v/>
      </c>
      <c r="R38" s="4">
        <f t="shared" si="2"/>
        <v>37</v>
      </c>
      <c r="S38" s="4">
        <f t="shared" si="3"/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501</v>
      </c>
      <c r="D39" s="36" t="str">
        <f>IF(E39="","",VLOOKUP(E39,'Coaching Points'!A:B,2,0))</f>
        <v>BC</v>
      </c>
      <c r="E39" s="36" t="s">
        <v>443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 t="shared" si="1"/>
        <v/>
      </c>
      <c r="R39" s="4">
        <f t="shared" si="2"/>
        <v>37.700000000000003</v>
      </c>
      <c r="S39" s="4">
        <f t="shared" si="3"/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523</v>
      </c>
      <c r="D40" s="36" t="str">
        <f>IF(E40="","",VLOOKUP(E40,'Coaching Points'!A:B,2,0))</f>
        <v>SK</v>
      </c>
      <c r="E40" s="36" t="s">
        <v>573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 t="shared" si="1"/>
        <v/>
      </c>
      <c r="R40" s="4">
        <f t="shared" si="2"/>
        <v>38.5</v>
      </c>
      <c r="S40" s="4">
        <f t="shared" si="3"/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278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/>
      <c r="J41" s="4">
        <f t="shared" si="0"/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 t="shared" si="1"/>
        <v/>
      </c>
      <c r="R41" s="4">
        <f t="shared" si="2"/>
        <v>37.799999999999997</v>
      </c>
      <c r="S41" s="4">
        <f t="shared" si="3"/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265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 t="shared" si="1"/>
        <v/>
      </c>
      <c r="R42" s="4">
        <f t="shared" si="2"/>
        <v>35</v>
      </c>
      <c r="S42" s="4">
        <f t="shared" si="3"/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494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 t="shared" si="1"/>
        <v/>
      </c>
      <c r="R43" s="4">
        <f t="shared" si="2"/>
        <v>36.700000000000003</v>
      </c>
      <c r="S43" s="4">
        <f t="shared" si="3"/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QC</v>
      </c>
      <c r="E44" s="36" t="s">
        <v>3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 t="shared" si="0"/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 t="shared" si="1"/>
        <v/>
      </c>
      <c r="R44" s="4">
        <f t="shared" si="2"/>
        <v>34.200000000000003</v>
      </c>
      <c r="S44" s="4">
        <f t="shared" si="3"/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542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 t="shared" si="0"/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 t="shared" si="1"/>
        <v/>
      </c>
      <c r="R45" s="4">
        <f t="shared" si="2"/>
        <v>37.5</v>
      </c>
      <c r="S45" s="4">
        <f t="shared" si="3"/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/>
      <c r="J46" s="4">
        <f t="shared" si="0"/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 t="shared" si="1"/>
        <v/>
      </c>
      <c r="R46" s="4">
        <f t="shared" si="2"/>
        <v>27.8</v>
      </c>
      <c r="S46" s="4">
        <f t="shared" si="3"/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531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 t="shared" si="0"/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 t="shared" si="1"/>
        <v/>
      </c>
      <c r="R47" s="4">
        <f t="shared" si="2"/>
        <v>35.299999999999997</v>
      </c>
      <c r="S47" s="4">
        <f t="shared" si="3"/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532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 t="shared" si="0"/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 t="shared" si="1"/>
        <v/>
      </c>
      <c r="R48" s="4">
        <f t="shared" si="2"/>
        <v>36.6</v>
      </c>
      <c r="S48" s="4">
        <f t="shared" si="3"/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326</v>
      </c>
      <c r="D49" s="36" t="str">
        <f>IF(E49="","",VLOOKUP(E49,'Coaching Points'!A:B,2,0))</f>
        <v>BC</v>
      </c>
      <c r="E49" s="36" t="s">
        <v>443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 t="shared" si="0"/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 t="shared" si="1"/>
        <v/>
      </c>
      <c r="R49" s="4">
        <f t="shared" si="2"/>
        <v>36.1</v>
      </c>
      <c r="S49" s="4">
        <f t="shared" si="3"/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49">
      <sortCondition descending="1" ref="G1:G5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R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/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193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44.7</v>
      </c>
      <c r="S3" s="4">
        <f t="shared" ref="S3:S34" si="3"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t="str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/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188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44.7</v>
      </c>
      <c r="S4" s="4">
        <f t="shared" si="3"/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t="str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/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275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 t="str">
        <f t="shared" si="1"/>
        <v/>
      </c>
      <c r="R5" s="4">
        <f t="shared" si="2"/>
        <v>42.9</v>
      </c>
      <c r="S5" s="4">
        <f t="shared" si="3"/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t="str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/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/>
      <c r="J6" s="4">
        <f t="shared" si="0"/>
        <v>86.900104340000013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 t="str">
        <f t="shared" si="1"/>
        <v/>
      </c>
      <c r="R6" s="4">
        <f t="shared" si="2"/>
        <v>43.5</v>
      </c>
      <c r="S6" s="4">
        <f t="shared" si="3"/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t="str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/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563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43.2</v>
      </c>
      <c r="S7" s="4">
        <f t="shared" si="3"/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t="str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/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191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42.1</v>
      </c>
      <c r="S8" s="4">
        <f t="shared" si="3"/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t="str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/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38.700000000000003</v>
      </c>
      <c r="S9" s="4">
        <f t="shared" si="3"/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t="str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/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359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 t="shared" si="1"/>
        <v/>
      </c>
      <c r="R10" s="4">
        <f t="shared" si="2"/>
        <v>37.6</v>
      </c>
      <c r="S10" s="4">
        <f t="shared" si="3"/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189</v>
      </c>
      <c r="D11" s="36" t="str">
        <f>IF(E11="","",VLOOKUP(E11,'Coaching Points'!A:B,2,0))</f>
        <v>QC</v>
      </c>
      <c r="E11" s="36" t="s">
        <v>203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40.1</v>
      </c>
      <c r="S11" s="4">
        <f t="shared" si="3"/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192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40.9</v>
      </c>
      <c r="S12" s="4">
        <f t="shared" si="3"/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185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80.500004169999997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41.7</v>
      </c>
      <c r="S13" s="4">
        <f t="shared" si="3"/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292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40.5</v>
      </c>
      <c r="S14" s="4">
        <f t="shared" si="3"/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545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366</v>
      </c>
      <c r="D16" s="36" t="str">
        <f>IF(E16="","",VLOOKUP(E16,'Coaching Points'!A:B,2,0))</f>
        <v>QC</v>
      </c>
      <c r="E16" s="36" t="s">
        <v>315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39.799999999999997</v>
      </c>
      <c r="S16" s="4">
        <f t="shared" si="3"/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183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79.400003980000008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39.799999999999997</v>
      </c>
      <c r="S17" s="4">
        <f t="shared" si="3"/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365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39.1</v>
      </c>
      <c r="S18" s="4">
        <f t="shared" si="3"/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510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39.1</v>
      </c>
      <c r="S19" s="4">
        <f t="shared" si="3"/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274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38.299999999999997</v>
      </c>
      <c r="S20" s="4">
        <f t="shared" si="3"/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38.299999999999997</v>
      </c>
      <c r="S21" s="4">
        <f t="shared" si="3"/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37.299999999999997</v>
      </c>
      <c r="S22" s="4">
        <f t="shared" si="3"/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37</v>
      </c>
      <c r="S23" s="4">
        <f t="shared" si="3"/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36.799999999999997</v>
      </c>
      <c r="S24" s="4">
        <f t="shared" si="3"/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546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38.200000000000003</v>
      </c>
      <c r="S25" s="4">
        <f t="shared" si="3"/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184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37.6</v>
      </c>
      <c r="S26" s="4">
        <f t="shared" si="3"/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35.700000000000003</v>
      </c>
      <c r="S27" s="4">
        <f t="shared" si="3"/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187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40.1</v>
      </c>
      <c r="S28" s="4">
        <f t="shared" si="3"/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272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37.4</v>
      </c>
      <c r="S29" s="4">
        <f t="shared" si="3"/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186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35.5</v>
      </c>
      <c r="S30" s="4">
        <f t="shared" si="3"/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564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36.36</v>
      </c>
      <c r="S32" s="4">
        <f t="shared" si="3"/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367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36.4</v>
      </c>
      <c r="S33" s="4">
        <f t="shared" si="3"/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32.700000000000003</v>
      </c>
      <c r="S34" s="4">
        <f t="shared" si="3"/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33.5</v>
      </c>
      <c r="S35" s="4">
        <f t="shared" ref="S35:S66" si="7"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273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5"/>
        <v/>
      </c>
      <c r="R36" s="4">
        <f t="shared" si="6"/>
        <v>37.299999999999997</v>
      </c>
      <c r="S36" s="4">
        <f t="shared" si="7"/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547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5"/>
        <v/>
      </c>
      <c r="R37" s="4">
        <f t="shared" si="6"/>
        <v>37.299999999999997</v>
      </c>
      <c r="S37" s="4">
        <f t="shared" si="7"/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271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5"/>
        <v/>
      </c>
      <c r="R38" s="4">
        <f t="shared" si="6"/>
        <v>36.799999999999997</v>
      </c>
      <c r="S38" s="4">
        <f t="shared" si="7"/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246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5"/>
        <v/>
      </c>
      <c r="R39" s="4">
        <f t="shared" si="6"/>
        <v>36.200000000000003</v>
      </c>
      <c r="S39" s="4">
        <f t="shared" si="7"/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548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5"/>
        <v/>
      </c>
      <c r="R40" s="4">
        <f t="shared" si="6"/>
        <v>36.200000000000003</v>
      </c>
      <c r="S40" s="4">
        <f t="shared" si="7"/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352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5"/>
        <v/>
      </c>
      <c r="R41" s="4">
        <f t="shared" si="6"/>
        <v>36.1</v>
      </c>
      <c r="S41" s="4">
        <f t="shared" si="7"/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463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5"/>
        <v/>
      </c>
      <c r="R42" s="4">
        <f t="shared" si="6"/>
        <v>35.9</v>
      </c>
      <c r="S42" s="4">
        <f t="shared" si="7"/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549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5"/>
        <v/>
      </c>
      <c r="R43" s="4">
        <f t="shared" si="6"/>
        <v>35.200000000000003</v>
      </c>
      <c r="S43" s="4">
        <f t="shared" si="7"/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353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5"/>
        <v/>
      </c>
      <c r="R44" s="4">
        <f t="shared" si="6"/>
        <v>34</v>
      </c>
      <c r="S44" s="4">
        <f t="shared" si="7"/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514</v>
      </c>
      <c r="D45" s="36" t="str">
        <f>IF(E45="","",VLOOKUP(E45,'Coaching Points'!A:B,2,0))</f>
        <v>MB</v>
      </c>
      <c r="E45" s="36" t="s">
        <v>568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 t="shared" si="5"/>
        <v/>
      </c>
      <c r="R45" s="4">
        <f t="shared" si="6"/>
        <v>33.4</v>
      </c>
      <c r="S45" s="4">
        <f t="shared" si="7"/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250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 t="shared" si="5"/>
        <v/>
      </c>
      <c r="R46" s="4">
        <f t="shared" si="6"/>
        <v>32.299999999999997</v>
      </c>
      <c r="S46" s="4">
        <f t="shared" si="7"/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550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 t="shared" si="5"/>
        <v/>
      </c>
      <c r="R47" s="4">
        <f t="shared" si="6"/>
        <v>32.200000000000003</v>
      </c>
      <c r="S47" s="4">
        <f t="shared" si="7"/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 t="shared" si="5"/>
        <v/>
      </c>
      <c r="R48" s="4">
        <f t="shared" si="6"/>
        <v>30.5</v>
      </c>
      <c r="S48" s="4">
        <f t="shared" si="7"/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511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 t="shared" si="5"/>
        <v/>
      </c>
      <c r="R49" s="4">
        <f t="shared" si="6"/>
        <v>28.7</v>
      </c>
      <c r="S49" s="4">
        <f t="shared" si="7"/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 t="shared" si="5"/>
        <v/>
      </c>
      <c r="R50" s="4">
        <f t="shared" si="6"/>
        <v>28.1</v>
      </c>
      <c r="S50" s="4">
        <f t="shared" si="7"/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/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369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 t="shared" si="4"/>
        <v>83.800004310000006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 t="str">
        <f t="shared" si="5"/>
        <v/>
      </c>
      <c r="R51" s="4">
        <f t="shared" si="6"/>
        <v>40.700000000000003</v>
      </c>
      <c r="S51" s="4">
        <f t="shared" si="7"/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270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 t="shared" si="4"/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 t="shared" si="5"/>
        <v/>
      </c>
      <c r="R52" s="4">
        <f t="shared" si="6"/>
        <v>41.4</v>
      </c>
      <c r="S52" s="4">
        <f t="shared" si="7"/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66</v>
      </c>
      <c r="I53" s="43"/>
      <c r="J53" s="4">
        <f t="shared" si="4"/>
        <v>81.400004200000012</v>
      </c>
      <c r="K53" s="3" t="str">
        <f>IF(G53="Not Age Eligible","",IF(MAX(T53,V53,X53,Z53)&gt;=LOOKUP(G53,'Qualifying Scores'!$A$4:$A$7,'Qualifying Scores'!$I$4:$I$7),"P",""))</f>
        <v>P</v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 t="shared" si="5"/>
        <v/>
      </c>
      <c r="R53" s="4">
        <f t="shared" si="6"/>
        <v>39.4</v>
      </c>
      <c r="S53" s="4">
        <f t="shared" si="7"/>
        <v>42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42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556</v>
      </c>
      <c r="D54" s="36" t="str">
        <f>IF(E54="","",VLOOKUP(E54,'Coaching Points'!A:B,2,0))</f>
        <v>ON</v>
      </c>
      <c r="E54" s="36" t="s">
        <v>487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4"/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 t="shared" si="5"/>
        <v/>
      </c>
      <c r="R54" s="4">
        <f t="shared" si="6"/>
        <v>38.1</v>
      </c>
      <c r="S54" s="4">
        <f t="shared" si="7"/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 t="shared" si="5"/>
        <v/>
      </c>
      <c r="R55" s="4">
        <f t="shared" si="6"/>
        <v>37.4</v>
      </c>
      <c r="S55" s="4">
        <f t="shared" si="7"/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 t="shared" si="4"/>
        <v>76.000003950000007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 t="shared" si="5"/>
        <v/>
      </c>
      <c r="R56" s="4">
        <f t="shared" si="6"/>
        <v>39.5</v>
      </c>
      <c r="S56" s="4">
        <f t="shared" si="7"/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557</v>
      </c>
      <c r="D57" s="36" t="str">
        <f>IF(E57="","",VLOOKUP(E57,'Coaching Points'!A:B,2,0))</f>
        <v>ON</v>
      </c>
      <c r="E57" s="36" t="s">
        <v>565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 t="shared" si="5"/>
        <v/>
      </c>
      <c r="R57" s="4">
        <f t="shared" si="6"/>
        <v>37.6</v>
      </c>
      <c r="S57" s="4">
        <f t="shared" si="7"/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357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 t="shared" si="5"/>
        <v/>
      </c>
      <c r="R58" s="4">
        <f t="shared" si="6"/>
        <v>36.700000000000003</v>
      </c>
      <c r="S58" s="4">
        <f t="shared" si="7"/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558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4"/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 t="shared" si="5"/>
        <v/>
      </c>
      <c r="R59" s="4">
        <f t="shared" si="6"/>
        <v>36</v>
      </c>
      <c r="S59" s="4">
        <f t="shared" si="7"/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559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/>
      <c r="J60" s="4">
        <f t="shared" si="4"/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 t="shared" si="5"/>
        <v/>
      </c>
      <c r="R60" s="4">
        <f t="shared" si="6"/>
        <v>34.5</v>
      </c>
      <c r="S60" s="4">
        <f t="shared" si="7"/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267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4"/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 t="shared" si="5"/>
        <v/>
      </c>
      <c r="R61" s="4">
        <f t="shared" si="6"/>
        <v>37.5</v>
      </c>
      <c r="S61" s="4">
        <f t="shared" si="7"/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305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/>
      <c r="J62" s="4">
        <f t="shared" si="4"/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 t="shared" si="5"/>
        <v/>
      </c>
      <c r="R62" s="4">
        <f t="shared" si="6"/>
        <v>33.4</v>
      </c>
      <c r="S62" s="4">
        <f t="shared" si="7"/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266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4"/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 t="shared" si="5"/>
        <v/>
      </c>
      <c r="R63" s="4">
        <f t="shared" si="6"/>
        <v>34.799999999999997</v>
      </c>
      <c r="S63" s="4">
        <f t="shared" si="7"/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560</v>
      </c>
      <c r="D64" s="36" t="str">
        <f>IF(E64="","",VLOOKUP(E64,'Coaching Points'!A:B,2,0))</f>
        <v>AB</v>
      </c>
      <c r="E64" s="36" t="s">
        <v>424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4"/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 t="shared" si="5"/>
        <v/>
      </c>
      <c r="R64" s="4">
        <f t="shared" si="6"/>
        <v>32.6</v>
      </c>
      <c r="S64" s="4">
        <f t="shared" si="7"/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561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 t="shared" si="5"/>
        <v/>
      </c>
      <c r="R65" s="4">
        <f t="shared" si="6"/>
        <v>29.8</v>
      </c>
      <c r="S65" s="4">
        <f t="shared" si="7"/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551</v>
      </c>
      <c r="D66" s="36" t="str">
        <f>IF(E66="","",VLOOKUP(E66,'Coaching Points'!A:B,2,0))</f>
        <v>ON</v>
      </c>
      <c r="E66" s="36" t="s">
        <v>565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 t="shared" si="4"/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 t="shared" si="5"/>
        <v/>
      </c>
      <c r="R66" s="4">
        <f t="shared" si="6"/>
        <v>39.5</v>
      </c>
      <c r="S66" s="4">
        <f t="shared" si="7"/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562</v>
      </c>
      <c r="D67" s="36" t="str">
        <f>IF(E67="","",VLOOKUP(E67,'Coaching Points'!A:B,2,0))</f>
        <v>ON</v>
      </c>
      <c r="E67" s="36" t="s">
        <v>565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 t="shared" ref="J67:J76" si="8"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 t="shared" ref="Q67:Q76" si="9">IF(A67&lt;5,IF(_xlfn.MAXIFS(A:A,G:G,G67)&gt;3,5-A67,_xlfn.MAXIFS(A:A,G:G,G67)+1-A67),"")</f>
        <v/>
      </c>
      <c r="R67" s="4">
        <f t="shared" ref="R67:R76" si="10">MAX(T67,X67)</f>
        <v>40.4</v>
      </c>
      <c r="S67" s="4">
        <f t="shared" ref="S67:S98" si="11"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368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/>
      <c r="J68" s="4">
        <f t="shared" si="8"/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 t="shared" si="9"/>
        <v/>
      </c>
      <c r="R68" s="4">
        <f t="shared" si="10"/>
        <v>38.799999999999997</v>
      </c>
      <c r="S68" s="4">
        <f t="shared" si="11"/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552</v>
      </c>
      <c r="D69" s="36" t="str">
        <f>IF(E69="","",VLOOKUP(E69,'Coaching Points'!A:B,2,0))</f>
        <v>ON</v>
      </c>
      <c r="E69" s="36" t="s">
        <v>487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8"/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 t="shared" si="9"/>
        <v/>
      </c>
      <c r="R69" s="4">
        <f t="shared" si="10"/>
        <v>37.700000000000003</v>
      </c>
      <c r="S69" s="4">
        <f t="shared" si="11"/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553</v>
      </c>
      <c r="D70" s="36" t="str">
        <f>IF(E70="","",VLOOKUP(E70,'Coaching Points'!A:B,2,0))</f>
        <v>ON</v>
      </c>
      <c r="E70" s="36" t="s">
        <v>292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 t="shared" si="8"/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 t="shared" si="9"/>
        <v/>
      </c>
      <c r="R70" s="4">
        <f t="shared" si="10"/>
        <v>34.299999999999997</v>
      </c>
      <c r="S70" s="4">
        <f t="shared" si="11"/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566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 t="shared" si="8"/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 t="shared" si="9"/>
        <v/>
      </c>
      <c r="R71" s="4">
        <f t="shared" si="10"/>
        <v>35.200000000000003</v>
      </c>
      <c r="S71" s="4">
        <f t="shared" si="11"/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358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/>
      <c r="J72" s="4">
        <f t="shared" si="8"/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 t="shared" si="9"/>
        <v/>
      </c>
      <c r="R72" s="4">
        <f t="shared" si="10"/>
        <v>34</v>
      </c>
      <c r="S72" s="4">
        <f t="shared" si="11"/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554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 t="shared" si="8"/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 t="shared" si="9"/>
        <v/>
      </c>
      <c r="R73" s="4">
        <f t="shared" si="10"/>
        <v>35.4</v>
      </c>
      <c r="S73" s="4">
        <f t="shared" si="11"/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237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/>
      <c r="J74" s="4">
        <f t="shared" si="8"/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 t="shared" si="9"/>
        <v/>
      </c>
      <c r="R74" s="4">
        <f t="shared" si="10"/>
        <v>34.200000000000003</v>
      </c>
      <c r="S74" s="4">
        <f t="shared" si="11"/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308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/>
      <c r="J75" s="4">
        <f t="shared" si="8"/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 t="shared" si="9"/>
        <v/>
      </c>
      <c r="R75" s="4">
        <f t="shared" si="10"/>
        <v>36.299999999999997</v>
      </c>
      <c r="S75" s="4">
        <f t="shared" si="11"/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555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/>
      <c r="J76" s="4">
        <f t="shared" si="8"/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 t="shared" si="9"/>
        <v/>
      </c>
      <c r="R76" s="4">
        <f t="shared" si="10"/>
        <v>33.5</v>
      </c>
      <c r="S76" s="4">
        <f t="shared" si="11"/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6">
      <sortCondition descending="1" ref="G1:G7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2023-07-28T14:44:19Z</dcterms:modified>
</cp:coreProperties>
</file>